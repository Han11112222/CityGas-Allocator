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업무\빌링팀(2026)\2. 매출정산\4월\"/>
    </mc:Choice>
  </mc:AlternateContent>
  <bookViews>
    <workbookView xWindow="0" yWindow="0" windowWidth="24810" windowHeight="11580" tabRatio="762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매출액표!$A$8:$S$101</definedName>
    <definedName name="_xlnm.Print_Area" localSheetId="1">매출액표!$A$1:$N$102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62913"/>
</workbook>
</file>

<file path=xl/calcChain.xml><?xml version="1.0" encoding="utf-8"?>
<calcChain xmlns="http://schemas.openxmlformats.org/spreadsheetml/2006/main">
  <c r="D8" i="13" l="1"/>
  <c r="E15" i="13"/>
  <c r="N99" i="3" l="1"/>
  <c r="D31" i="13" l="1"/>
  <c r="D11" i="3" l="1"/>
  <c r="I84" i="3" l="1"/>
  <c r="J79" i="3"/>
  <c r="I79" i="3"/>
  <c r="J68" i="3"/>
  <c r="I68" i="3"/>
  <c r="F26" i="3" l="1"/>
  <c r="C46" i="13" l="1"/>
  <c r="C35" i="13" l="1"/>
  <c r="D40" i="13" l="1"/>
  <c r="D41" i="13"/>
  <c r="E16" i="13" l="1"/>
  <c r="D16" i="13"/>
  <c r="E16" i="46" l="1"/>
  <c r="E37" i="36" l="1"/>
  <c r="N59" i="3" l="1"/>
  <c r="N53" i="3"/>
  <c r="N51" i="3"/>
  <c r="N48" i="3"/>
  <c r="N47" i="3"/>
  <c r="N43" i="3"/>
  <c r="N41" i="3"/>
  <c r="N57" i="3"/>
  <c r="I60" i="3"/>
  <c r="J60" i="3"/>
  <c r="K60" i="3"/>
  <c r="L60" i="3"/>
  <c r="M60" i="3"/>
  <c r="H60" i="3"/>
  <c r="G60" i="3"/>
  <c r="F59" i="3"/>
  <c r="E60" i="3"/>
  <c r="D60" i="3"/>
  <c r="F51" i="3" l="1"/>
  <c r="F38" i="3" l="1"/>
  <c r="E17" i="13" l="1"/>
  <c r="V11" i="13" l="1"/>
  <c r="N72" i="3" l="1"/>
  <c r="N69" i="3"/>
  <c r="F69" i="3"/>
  <c r="N68" i="3"/>
  <c r="F68" i="3"/>
  <c r="N46" i="3" l="1"/>
  <c r="N52" i="3"/>
  <c r="N42" i="3"/>
  <c r="F52" i="3" l="1"/>
  <c r="A2" i="7" l="1"/>
  <c r="N70" i="3" l="1"/>
  <c r="F70" i="3" l="1"/>
  <c r="D73" i="3"/>
  <c r="J73" i="3" l="1"/>
  <c r="I73" i="3"/>
  <c r="G73" i="3"/>
  <c r="E73" i="3"/>
  <c r="E14" i="13" l="1"/>
  <c r="Q19" i="46"/>
  <c r="K19" i="46" s="1"/>
  <c r="Q17" i="46"/>
  <c r="K17" i="46" s="1"/>
  <c r="Q14" i="46"/>
  <c r="K14" i="46" s="1"/>
  <c r="Q13" i="46"/>
  <c r="K13" i="46" s="1"/>
  <c r="Q12" i="46"/>
  <c r="Q10" i="46" s="1"/>
  <c r="K10" i="46" s="1"/>
  <c r="L16" i="46"/>
  <c r="B1" i="46"/>
  <c r="K20" i="46"/>
  <c r="K18" i="46"/>
  <c r="K16" i="46"/>
  <c r="K15" i="46"/>
  <c r="I12" i="46"/>
  <c r="H12" i="46"/>
  <c r="Q9" i="46"/>
  <c r="J9" i="46"/>
  <c r="J21" i="46" s="1"/>
  <c r="I9" i="46"/>
  <c r="H9" i="46"/>
  <c r="F9" i="46"/>
  <c r="F21" i="46" s="1"/>
  <c r="K12" i="46" l="1"/>
  <c r="K21" i="46" s="1"/>
  <c r="I21" i="46"/>
  <c r="H21" i="46"/>
  <c r="Q21" i="46"/>
  <c r="K24" i="46" l="1"/>
  <c r="F16" i="13" l="1"/>
  <c r="D55" i="3" l="1"/>
  <c r="E55" i="3"/>
  <c r="E11" i="46" s="1"/>
  <c r="L11" i="46" s="1"/>
  <c r="E50" i="3"/>
  <c r="K24" i="13" l="1"/>
  <c r="N67" i="3" l="1"/>
  <c r="N54" i="3" l="1"/>
  <c r="N71" i="3" l="1"/>
  <c r="N64" i="3" l="1"/>
  <c r="N38" i="3" l="1"/>
  <c r="F76" i="3" l="1"/>
  <c r="C11" i="13" l="1"/>
  <c r="N66" i="3"/>
  <c r="N73" i="3" s="1"/>
  <c r="J8" i="13" l="1"/>
  <c r="J24" i="13" l="1"/>
  <c r="H77" i="3" l="1"/>
  <c r="H44" i="3"/>
  <c r="H40" i="3"/>
  <c r="F88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4" i="3" l="1"/>
  <c r="N76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E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9" i="3"/>
  <c r="E109" i="3"/>
  <c r="D109" i="3"/>
  <c r="I36" i="3"/>
  <c r="G21" i="46" l="1"/>
  <c r="L10" i="46"/>
  <c r="E12" i="46"/>
  <c r="L100" i="3"/>
  <c r="L101" i="3"/>
  <c r="L99" i="3"/>
  <c r="L98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L12" i="46" l="1"/>
  <c r="F12" i="7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7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36" i="3" l="1"/>
  <c r="E36" i="3"/>
  <c r="D17" i="13" l="1"/>
  <c r="F17" i="13" l="1"/>
  <c r="C14" i="41"/>
  <c r="C16" i="41"/>
  <c r="C12" i="41"/>
  <c r="C10" i="41"/>
  <c r="C8" i="41"/>
  <c r="N91" i="3" l="1"/>
  <c r="N90" i="3"/>
  <c r="N88" i="3"/>
  <c r="N84" i="3"/>
  <c r="N85" i="3"/>
  <c r="N86" i="3"/>
  <c r="N83" i="3"/>
  <c r="N79" i="3"/>
  <c r="N80" i="3"/>
  <c r="N81" i="3"/>
  <c r="N78" i="3"/>
  <c r="N75" i="3"/>
  <c r="N63" i="3"/>
  <c r="N61" i="3"/>
  <c r="N58" i="3"/>
  <c r="N60" i="3" s="1"/>
  <c r="N49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92" i="3" l="1"/>
  <c r="D77" i="3"/>
  <c r="D15" i="13" s="1"/>
  <c r="J77" i="3"/>
  <c r="I77" i="3"/>
  <c r="G77" i="3"/>
  <c r="D39" i="13" s="1"/>
  <c r="E77" i="3"/>
  <c r="E15" i="46" s="1"/>
  <c r="F75" i="3"/>
  <c r="L15" i="46" l="1"/>
  <c r="E12" i="41"/>
  <c r="F12" i="41"/>
  <c r="K39" i="13"/>
  <c r="K12" i="41" l="1"/>
  <c r="L12" i="41"/>
  <c r="D12" i="41"/>
  <c r="E13" i="41"/>
  <c r="G12" i="41"/>
  <c r="M12" i="41" l="1"/>
  <c r="B51" i="36"/>
  <c r="E38" i="36"/>
  <c r="B17" i="42" s="1"/>
  <c r="B15" i="42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4" i="3"/>
  <c r="L92" i="3"/>
  <c r="K92" i="3"/>
  <c r="I92" i="3"/>
  <c r="H92" i="3"/>
  <c r="G92" i="3"/>
  <c r="D45" i="13" s="1"/>
  <c r="E92" i="3"/>
  <c r="E21" i="13" s="1"/>
  <c r="D92" i="3"/>
  <c r="D21" i="13" s="1"/>
  <c r="F90" i="3"/>
  <c r="M89" i="3"/>
  <c r="L89" i="3"/>
  <c r="K89" i="3"/>
  <c r="J89" i="3"/>
  <c r="I89" i="3"/>
  <c r="H89" i="3"/>
  <c r="G89" i="3"/>
  <c r="D44" i="13" s="1"/>
  <c r="E89" i="3"/>
  <c r="E20" i="13" s="1"/>
  <c r="D89" i="3"/>
  <c r="D20" i="13" s="1"/>
  <c r="M87" i="3"/>
  <c r="L87" i="3"/>
  <c r="K87" i="3"/>
  <c r="J87" i="3"/>
  <c r="I87" i="3"/>
  <c r="H87" i="3"/>
  <c r="G87" i="3"/>
  <c r="D43" i="13" s="1"/>
  <c r="E87" i="3"/>
  <c r="E19" i="13" s="1"/>
  <c r="D87" i="3"/>
  <c r="D19" i="13" s="1"/>
  <c r="F83" i="3"/>
  <c r="N87" i="3"/>
  <c r="M82" i="3"/>
  <c r="L82" i="3"/>
  <c r="K82" i="3"/>
  <c r="J82" i="3"/>
  <c r="I82" i="3"/>
  <c r="H82" i="3"/>
  <c r="G82" i="3"/>
  <c r="D42" i="13" s="1"/>
  <c r="E82" i="3"/>
  <c r="E18" i="13" s="1"/>
  <c r="D82" i="3"/>
  <c r="D18" i="13" s="1"/>
  <c r="F79" i="3"/>
  <c r="F78" i="3"/>
  <c r="L73" i="3"/>
  <c r="K73" i="3"/>
  <c r="H73" i="3"/>
  <c r="D38" i="13" s="1"/>
  <c r="D14" i="13"/>
  <c r="L65" i="3"/>
  <c r="K65" i="3"/>
  <c r="H65" i="3"/>
  <c r="F61" i="3"/>
  <c r="F58" i="3"/>
  <c r="F57" i="3"/>
  <c r="L55" i="3"/>
  <c r="K55" i="3"/>
  <c r="J55" i="3"/>
  <c r="I55" i="3"/>
  <c r="H55" i="3"/>
  <c r="G55" i="3"/>
  <c r="L50" i="3"/>
  <c r="K50" i="3"/>
  <c r="H50" i="3"/>
  <c r="F47" i="3"/>
  <c r="L44" i="3"/>
  <c r="K44" i="3"/>
  <c r="J44" i="3"/>
  <c r="I44" i="3"/>
  <c r="G44" i="3"/>
  <c r="D34" i="13" s="1"/>
  <c r="E44" i="3"/>
  <c r="D44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L23" i="3"/>
  <c r="K23" i="3"/>
  <c r="J23" i="3"/>
  <c r="I23" i="3"/>
  <c r="H23" i="3"/>
  <c r="F19" i="3"/>
  <c r="F18" i="3"/>
  <c r="E17" i="3"/>
  <c r="E95" i="3" s="1"/>
  <c r="D17" i="3"/>
  <c r="D95" i="3" s="1"/>
  <c r="W46" i="13"/>
  <c r="W35" i="13"/>
  <c r="L6" i="42"/>
  <c r="F46" i="13"/>
  <c r="K41" i="13"/>
  <c r="F35" i="13"/>
  <c r="C6" i="4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20" i="46"/>
  <c r="L20" i="46" s="1"/>
  <c r="E19" i="46"/>
  <c r="L19" i="46" s="1"/>
  <c r="E17" i="46"/>
  <c r="L17" i="46" s="1"/>
  <c r="L13" i="46"/>
  <c r="E8" i="46"/>
  <c r="L8" i="46" s="1"/>
  <c r="E10" i="13"/>
  <c r="E7" i="46"/>
  <c r="L7" i="46" s="1"/>
  <c r="E9" i="13"/>
  <c r="W47" i="13"/>
  <c r="C10" i="36"/>
  <c r="K33" i="13"/>
  <c r="K44" i="13"/>
  <c r="D13" i="3"/>
  <c r="W6" i="42"/>
  <c r="W18" i="42" s="1"/>
  <c r="G23" i="13"/>
  <c r="F56" i="36" s="1"/>
  <c r="S114" i="3"/>
  <c r="H15" i="13"/>
  <c r="F15" i="13"/>
  <c r="L74" i="3"/>
  <c r="H74" i="3"/>
  <c r="K74" i="3"/>
  <c r="E14" i="41"/>
  <c r="F14" i="41"/>
  <c r="K40" i="13"/>
  <c r="L45" i="3"/>
  <c r="K45" i="3"/>
  <c r="AH14" i="42"/>
  <c r="L13" i="42"/>
  <c r="J12" i="42" s="1"/>
  <c r="L15" i="42"/>
  <c r="J14" i="42" s="1"/>
  <c r="F92" i="3"/>
  <c r="H56" i="3"/>
  <c r="K56" i="3"/>
  <c r="L56" i="3"/>
  <c r="F40" i="3"/>
  <c r="C18" i="41"/>
  <c r="C47" i="13"/>
  <c r="F47" i="13"/>
  <c r="F58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7" i="3" s="1"/>
  <c r="P18" i="42"/>
  <c r="Q6" i="42"/>
  <c r="Q18" i="42" s="1"/>
  <c r="A10" i="36"/>
  <c r="B56" i="36"/>
  <c r="B58" i="36" s="1"/>
  <c r="E39" i="36"/>
  <c r="B19" i="42" s="1"/>
  <c r="E12" i="17"/>
  <c r="E11" i="3" s="1"/>
  <c r="D10" i="17"/>
  <c r="F36" i="3"/>
  <c r="F87" i="3"/>
  <c r="N82" i="3"/>
  <c r="N89" i="3"/>
  <c r="F89" i="3"/>
  <c r="F82" i="3"/>
  <c r="N77" i="3"/>
  <c r="D13" i="41"/>
  <c r="F13" i="41"/>
  <c r="F77" i="3"/>
  <c r="L15" i="13"/>
  <c r="N12" i="42"/>
  <c r="F73" i="3"/>
  <c r="O17" i="13"/>
  <c r="H17" i="13"/>
  <c r="F60" i="3"/>
  <c r="O16" i="13"/>
  <c r="H16" i="13"/>
  <c r="N14" i="42"/>
  <c r="N55" i="3"/>
  <c r="F55" i="3"/>
  <c r="N44" i="3"/>
  <c r="F44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8" i="36"/>
  <c r="D10" i="45" s="1"/>
  <c r="A20" i="36"/>
  <c r="F19" i="36" s="1"/>
  <c r="M47" i="13"/>
  <c r="F59" i="36" s="1"/>
  <c r="N23" i="13"/>
  <c r="F57" i="36" s="1"/>
  <c r="A5" i="36"/>
  <c r="F4" i="36" s="1"/>
  <c r="C56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5" i="3"/>
  <c r="H93" i="3" s="1"/>
  <c r="N25" i="3" l="1"/>
  <c r="N31" i="3" s="1"/>
  <c r="I31" i="3"/>
  <c r="I45" i="3" l="1"/>
  <c r="D50" i="3"/>
  <c r="D56" i="3" s="1"/>
  <c r="D12" i="13" s="1"/>
  <c r="E56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50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6" i="3"/>
  <c r="F50" i="3"/>
  <c r="E9" i="41" l="1"/>
  <c r="D9" i="41" s="1"/>
  <c r="D8" i="41"/>
  <c r="G8" i="41"/>
  <c r="F9" i="41" s="1"/>
  <c r="F56" i="3"/>
  <c r="K8" i="41"/>
  <c r="L8" i="41"/>
  <c r="M8" i="41" l="1"/>
  <c r="L9" i="41" s="1"/>
  <c r="J50" i="3" l="1"/>
  <c r="J56" i="3" s="1"/>
  <c r="I50" i="3"/>
  <c r="I56" i="3" s="1"/>
  <c r="N50" i="3"/>
  <c r="N56" i="3" s="1"/>
  <c r="D65" i="3" l="1"/>
  <c r="E65" i="3"/>
  <c r="E13" i="13" s="1"/>
  <c r="E14" i="46" l="1"/>
  <c r="L14" i="46" s="1"/>
  <c r="D74" i="3"/>
  <c r="D13" i="13"/>
  <c r="E74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62" i="3"/>
  <c r="I65" i="3"/>
  <c r="J65" i="3"/>
  <c r="J74" i="3" s="1"/>
  <c r="G65" i="3"/>
  <c r="N62" i="3"/>
  <c r="N65" i="3" s="1"/>
  <c r="F65" i="3" l="1"/>
  <c r="D37" i="13"/>
  <c r="D11" i="42"/>
  <c r="E11" i="42"/>
  <c r="J22" i="13"/>
  <c r="M22" i="13" s="1"/>
  <c r="M13" i="13"/>
  <c r="AA10" i="42"/>
  <c r="F10" i="42"/>
  <c r="G11" i="42" s="1"/>
  <c r="H11" i="42"/>
  <c r="G74" i="3"/>
  <c r="AB10" i="42" l="1"/>
  <c r="Z11" i="42"/>
  <c r="AC10" i="42" s="1"/>
  <c r="AA11" i="42"/>
  <c r="AD11" i="42" s="1"/>
  <c r="AC11" i="42" s="1"/>
  <c r="F10" i="41"/>
  <c r="K37" i="13"/>
  <c r="D46" i="13"/>
  <c r="E10" i="41"/>
  <c r="F74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l="1"/>
  <c r="M7" i="13"/>
  <c r="G45" i="3"/>
  <c r="G93" i="3" s="1"/>
  <c r="D35" i="13" l="1"/>
  <c r="K31" i="13"/>
  <c r="F108" i="3" l="1"/>
  <c r="F110" i="3" s="1"/>
  <c r="G35" i="13"/>
  <c r="E35" i="13"/>
  <c r="D47" i="13"/>
  <c r="F6" i="41"/>
  <c r="F18" i="41" s="1"/>
  <c r="E6" i="41"/>
  <c r="K35" i="13"/>
  <c r="K47" i="13" s="1"/>
  <c r="E7" i="41" l="1"/>
  <c r="D7" i="41" s="1"/>
  <c r="E18" i="41"/>
  <c r="D6" i="41"/>
  <c r="G6" i="41"/>
  <c r="F7" i="41" s="1"/>
  <c r="L6" i="41"/>
  <c r="L18" i="41" s="1"/>
  <c r="N35" i="13"/>
  <c r="K6" i="41"/>
  <c r="T37" i="13"/>
  <c r="E47" i="13"/>
  <c r="T40" i="13"/>
  <c r="T43" i="13"/>
  <c r="T34" i="13"/>
  <c r="T33" i="13"/>
  <c r="T44" i="13"/>
  <c r="T38" i="13"/>
  <c r="D58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8" i="36"/>
  <c r="G10" i="45" s="1"/>
  <c r="I58" i="36"/>
  <c r="H10" i="45" s="1"/>
  <c r="E58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9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9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E31" i="3"/>
  <c r="E8" i="13" s="1"/>
  <c r="E11" i="13" l="1"/>
  <c r="E6" i="46"/>
  <c r="L6" i="46" s="1"/>
  <c r="I12" i="41"/>
  <c r="J46" i="13"/>
  <c r="L46" i="13" s="1"/>
  <c r="I6" i="41"/>
  <c r="L35" i="13"/>
  <c r="E45" i="3"/>
  <c r="E93" i="3" s="1"/>
  <c r="H96" i="3" s="1"/>
  <c r="D45" i="3"/>
  <c r="D11" i="13"/>
  <c r="D23" i="13" s="1"/>
  <c r="F31" i="3"/>
  <c r="E9" i="46" l="1"/>
  <c r="E21" i="46" s="1"/>
  <c r="L9" i="46"/>
  <c r="L21" i="46" s="1"/>
  <c r="M7" i="46" s="1"/>
  <c r="E25" i="46"/>
  <c r="L25" i="46"/>
  <c r="E108" i="3"/>
  <c r="E110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5" i="3"/>
  <c r="D93" i="3"/>
  <c r="F8" i="13"/>
  <c r="L8" i="13"/>
  <c r="F96" i="3"/>
  <c r="F93" i="3"/>
  <c r="E94" i="3"/>
  <c r="D108" i="3" l="1"/>
  <c r="D110" i="3" s="1"/>
  <c r="D94" i="3"/>
  <c r="M6" i="46"/>
  <c r="M15" i="46"/>
  <c r="M5" i="46"/>
  <c r="M17" i="46"/>
  <c r="M11" i="46"/>
  <c r="M8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C59" i="36"/>
  <c r="L47" i="13"/>
  <c r="K19" i="41"/>
  <c r="J18" i="41"/>
  <c r="J19" i="41" s="1"/>
  <c r="O8" i="13"/>
  <c r="L11" i="13"/>
  <c r="L23" i="13" s="1"/>
  <c r="H11" i="13"/>
  <c r="F11" i="13"/>
  <c r="E24" i="46" l="1"/>
  <c r="E26" i="46" s="1"/>
  <c r="S6" i="42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9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6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7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6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6" i="36"/>
  <c r="H8" i="45" s="1"/>
  <c r="G56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7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7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7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5" i="3" s="1"/>
  <c r="J40" i="3"/>
  <c r="J45" i="3" s="1"/>
  <c r="J93" i="3" s="1"/>
  <c r="Q100" i="3" l="1"/>
  <c r="P100" i="3" s="1"/>
  <c r="M93" i="3" l="1"/>
  <c r="R103" i="3"/>
  <c r="N74" i="3" l="1"/>
  <c r="Q93" i="3" s="1"/>
  <c r="I74" i="3"/>
  <c r="I93" i="3" s="1"/>
  <c r="R93" i="3" l="1"/>
  <c r="Q99" i="3"/>
  <c r="S93" i="3" l="1"/>
  <c r="P99" i="3"/>
  <c r="Q113" i="3"/>
  <c r="R113" i="3" l="1"/>
  <c r="R115" i="3" s="1"/>
  <c r="R102" i="3"/>
  <c r="P103" i="3" s="1"/>
  <c r="L93" i="3"/>
  <c r="Q115" i="3"/>
  <c r="S113" i="3" l="1"/>
  <c r="S115" i="3" s="1"/>
  <c r="K93" i="3"/>
  <c r="P102" i="3"/>
  <c r="R94" i="3" l="1"/>
  <c r="R95" i="3" s="1"/>
  <c r="N93" i="3"/>
  <c r="Q94" i="3" s="1"/>
  <c r="S94" i="3" l="1"/>
  <c r="Q95" i="3"/>
  <c r="S95" i="3" s="1"/>
</calcChain>
</file>

<file path=xl/comments1.xml><?xml version="1.0" encoding="utf-8"?>
<comments xmlns="http://schemas.openxmlformats.org/spreadsheetml/2006/main">
  <authors>
    <author>user</author>
    <author>Windows User</author>
  </authors>
  <commentList>
    <comment ref="C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C24" authorId="0" shapeId="0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  <comment ref="A4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동명</t>
        </r>
        <r>
          <rPr>
            <sz val="9"/>
            <color indexed="81"/>
            <rFont val="Tahoma"/>
            <family val="2"/>
          </rPr>
          <t xml:space="preserve"> CNG </t>
        </r>
        <r>
          <rPr>
            <sz val="9"/>
            <color indexed="81"/>
            <rFont val="돋움"/>
            <family val="3"/>
            <charset val="129"/>
          </rPr>
          <t>매각으로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상이</t>
        </r>
      </text>
    </comment>
  </commentList>
</comments>
</file>

<file path=xl/comments2.xml><?xml version="1.0" encoding="utf-8"?>
<comments xmlns="http://schemas.openxmlformats.org/spreadsheetml/2006/main">
  <authors>
    <author>user</author>
    <author>Windows User</author>
    <author>USER</author>
  </authors>
  <commentList>
    <comment ref="D8" authorId="0" shapeId="0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91" authorId="0" shapeId="0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8" authorId="0" shapeId="0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M9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조정예수금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가산금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발생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P103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7" authorId="0" shapeId="0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9" authorId="2" shapeId="0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부과현황의</t>
        </r>
        <r>
          <rPr>
            <sz val="9"/>
            <color indexed="81"/>
            <rFont val="Tahoma"/>
            <family val="2"/>
          </rPr>
          <t xml:space="preserve"> AMI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comments3.xml><?xml version="1.0" encoding="utf-8"?>
<comments xmlns="http://schemas.openxmlformats.org/spreadsheetml/2006/main">
  <authors>
    <author>user</author>
    <author>Windows User</author>
  </authors>
  <commentList>
    <comment ref="Q1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>
  <authors>
    <author>user</author>
    <author>Windows User</author>
  </authors>
  <commentList>
    <comment ref="R5" authorId="0" shapeId="0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<sst xmlns="http://schemas.openxmlformats.org/spreadsheetml/2006/main" count="1036" uniqueCount="473">
  <si>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</si>
  <si>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</si>
  <si>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</si>
  <si>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</si>
  <si>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</si>
  <si>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</si>
  <si>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</si>
  <si>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</si>
  <si>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</si>
  <si>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</si>
  <si>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</si>
  <si>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</si>
  <si>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</si>
  <si>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42" type="noConversion"/>
  </si>
  <si>
    <t>금액(원)</t>
    <phoneticPr fontId="42" type="noConversion"/>
  </si>
  <si>
    <t>미적용</t>
    <phoneticPr fontId="42" type="noConversion"/>
  </si>
  <si>
    <t>적용</t>
    <phoneticPr fontId="42" type="noConversion"/>
  </si>
  <si>
    <t>소계</t>
    <phoneticPr fontId="43" type="noConversion"/>
  </si>
  <si>
    <t xml:space="preserve">취사용
</t>
    <phoneticPr fontId="42" type="noConversion"/>
  </si>
  <si>
    <t>2.판매금액(단위:백만원)</t>
    <phoneticPr fontId="43" type="noConversion"/>
  </si>
  <si>
    <t>당           월</t>
    <phoneticPr fontId="43" type="noConversion"/>
  </si>
  <si>
    <t>누           계</t>
    <phoneticPr fontId="43" type="noConversion"/>
  </si>
  <si>
    <t>계획</t>
    <phoneticPr fontId="43" type="noConversion"/>
  </si>
  <si>
    <t>실적</t>
    <phoneticPr fontId="43" type="noConversion"/>
  </si>
  <si>
    <t>전년</t>
    <phoneticPr fontId="40" type="noConversion"/>
  </si>
  <si>
    <t>가정용</t>
    <phoneticPr fontId="43" type="noConversion"/>
  </si>
  <si>
    <t>수송용(CNG)</t>
    <phoneticPr fontId="43" type="noConversion"/>
  </si>
  <si>
    <t>계</t>
    <phoneticPr fontId="43" type="noConversion"/>
  </si>
  <si>
    <t>취사용</t>
    <phoneticPr fontId="43" type="noConversion"/>
  </si>
  <si>
    <t>사회복지</t>
  </si>
  <si>
    <t>자가소모</t>
  </si>
  <si>
    <t>소계</t>
  </si>
  <si>
    <t>사회적배려 할인액</t>
    <phoneticPr fontId="43" type="noConversion"/>
  </si>
  <si>
    <t>검침착오분조정</t>
    <phoneticPr fontId="43" type="noConversion"/>
  </si>
  <si>
    <t xml:space="preserve"> </t>
    <phoneticPr fontId="42" type="noConversion"/>
  </si>
  <si>
    <t>업무난방용</t>
    <phoneticPr fontId="43" type="noConversion"/>
  </si>
  <si>
    <t>합계</t>
    <phoneticPr fontId="43" type="noConversion"/>
  </si>
  <si>
    <t>취사용</t>
  </si>
  <si>
    <t>중앙난방용</t>
  </si>
  <si>
    <t>일반용</t>
  </si>
  <si>
    <t>업무난방용</t>
  </si>
  <si>
    <t>소  계</t>
    <phoneticPr fontId="40" type="noConversion"/>
  </si>
  <si>
    <t>업무난방용</t>
    <phoneticPr fontId="40" type="noConversion"/>
  </si>
  <si>
    <t>공급량</t>
    <phoneticPr fontId="40" type="noConversion"/>
  </si>
  <si>
    <t>산 업 용</t>
    <phoneticPr fontId="43" type="noConversion"/>
  </si>
  <si>
    <t>구분</t>
    <phoneticPr fontId="40" type="noConversion"/>
  </si>
  <si>
    <t>소계</t>
    <phoneticPr fontId="40" type="noConversion"/>
  </si>
  <si>
    <t>열전용설비용</t>
  </si>
  <si>
    <t>사회적배려</t>
    <phoneticPr fontId="43" type="noConversion"/>
  </si>
  <si>
    <t>사회복지시설할인액</t>
    <phoneticPr fontId="43" type="noConversion"/>
  </si>
  <si>
    <t>침</t>
    <phoneticPr fontId="43" type="noConversion"/>
  </si>
  <si>
    <t>계획대비 :</t>
    <phoneticPr fontId="43" type="noConversion"/>
  </si>
  <si>
    <t>사회복지시설</t>
    <phoneticPr fontId="43" type="noConversion"/>
  </si>
  <si>
    <t>절사액</t>
    <phoneticPr fontId="43" type="noConversion"/>
  </si>
  <si>
    <t>조정예수금</t>
    <phoneticPr fontId="43" type="noConversion"/>
  </si>
  <si>
    <t>연체가산금</t>
    <phoneticPr fontId="43" type="noConversion"/>
  </si>
  <si>
    <t>1.판매량</t>
    <phoneticPr fontId="43" type="noConversion"/>
  </si>
  <si>
    <t>판매량(MJ)</t>
    <phoneticPr fontId="42" type="noConversion"/>
  </si>
  <si>
    <t xml:space="preserve">냉난방용
(업무)
</t>
    <phoneticPr fontId="42" type="noConversion"/>
  </si>
  <si>
    <t>주한미군</t>
    <phoneticPr fontId="40" type="noConversion"/>
  </si>
  <si>
    <t>상품</t>
    <phoneticPr fontId="43" type="noConversion"/>
  </si>
  <si>
    <t>사용량(㎥)</t>
    <phoneticPr fontId="43" type="noConversion"/>
  </si>
  <si>
    <t>사용열랑(MJ)</t>
    <phoneticPr fontId="43" type="noConversion"/>
  </si>
  <si>
    <t>1.판매량(단위:GJ)</t>
    <phoneticPr fontId="43" type="noConversion"/>
  </si>
  <si>
    <t>계획(GJ)</t>
    <phoneticPr fontId="40" type="noConversion"/>
  </si>
  <si>
    <t>실적(GJ)</t>
    <phoneticPr fontId="43" type="noConversion"/>
  </si>
  <si>
    <t>전년(GJ)</t>
    <phoneticPr fontId="43" type="noConversion"/>
  </si>
  <si>
    <t>당월생산(LNG)(+)</t>
    <phoneticPr fontId="43" type="noConversion"/>
  </si>
  <si>
    <t>당월재고(LNG)</t>
    <phoneticPr fontId="43" type="noConversion"/>
  </si>
  <si>
    <t>당월재고(BIO)</t>
    <phoneticPr fontId="43" type="noConversion"/>
  </si>
  <si>
    <t>수송용 (BIO)</t>
    <phoneticPr fontId="43" type="noConversion"/>
  </si>
  <si>
    <t>자가소모(LNG) 소계</t>
    <phoneticPr fontId="43" type="noConversion"/>
  </si>
  <si>
    <t>자가소모 합계</t>
    <phoneticPr fontId="43" type="noConversion"/>
  </si>
  <si>
    <t>수송용(BIO)</t>
    <phoneticPr fontId="43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</si>
  <si>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</si>
  <si>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</si>
  <si>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</si>
  <si>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</si>
  <si>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43" type="noConversion"/>
  </si>
  <si>
    <t>부가세(매출화면)</t>
    <phoneticPr fontId="43" type="noConversion"/>
  </si>
  <si>
    <t>* 사회복지할인금액 :매출내역과 청구할인 정산내역 및 상품별 청구할인정산내역 같은지 재 확인 할 것</t>
    <phoneticPr fontId="43" type="noConversion"/>
  </si>
  <si>
    <t>계량기관리비</t>
    <phoneticPr fontId="43" type="noConversion"/>
  </si>
  <si>
    <t>보정기관리비</t>
    <phoneticPr fontId="43" type="noConversion"/>
  </si>
  <si>
    <t>보정기부가세</t>
    <phoneticPr fontId="43" type="noConversion"/>
  </si>
  <si>
    <t>계량기부가세</t>
    <phoneticPr fontId="43" type="noConversion"/>
  </si>
  <si>
    <t>계기부가세/보정기부가세</t>
    <phoneticPr fontId="43" type="noConversion"/>
  </si>
  <si>
    <t>계량기/보정기관리비</t>
    <phoneticPr fontId="43" type="noConversion"/>
  </si>
  <si>
    <t>검침착오분조정</t>
  </si>
  <si>
    <t>주한미군(정산비)</t>
    <phoneticPr fontId="43" type="noConversion"/>
  </si>
  <si>
    <t>수입부과금</t>
    <phoneticPr fontId="43" type="noConversion"/>
  </si>
  <si>
    <t>수입부과금</t>
    <phoneticPr fontId="43" type="noConversion"/>
  </si>
  <si>
    <t>개별난방용 변동후</t>
    <phoneticPr fontId="43" type="noConversion"/>
  </si>
  <si>
    <t>공급가액</t>
    <phoneticPr fontId="43" type="noConversion"/>
  </si>
  <si>
    <t>부가세</t>
    <phoneticPr fontId="43" type="noConversion"/>
  </si>
  <si>
    <t>일반계량기관리비</t>
    <phoneticPr fontId="43" type="noConversion"/>
  </si>
  <si>
    <t>특수계량기관리비</t>
    <phoneticPr fontId="43" type="noConversion"/>
  </si>
  <si>
    <t>합  계</t>
    <phoneticPr fontId="43" type="noConversion"/>
  </si>
  <si>
    <t>합 계</t>
    <phoneticPr fontId="43" type="noConversion"/>
  </si>
  <si>
    <t>구  분</t>
    <phoneticPr fontId="43" type="noConversion"/>
  </si>
  <si>
    <t>※ 계량기관리비 상세내역</t>
    <phoneticPr fontId="43" type="noConversion"/>
  </si>
  <si>
    <t>실적(천N㎥)</t>
    <phoneticPr fontId="40" type="noConversion"/>
  </si>
  <si>
    <t>퍼지량(업무난방)</t>
    <phoneticPr fontId="43" type="noConversion"/>
  </si>
  <si>
    <t>전월재고</t>
  </si>
  <si>
    <t>전월재고</t>
    <phoneticPr fontId="43" type="noConversion"/>
  </si>
  <si>
    <t>가스부가세</t>
    <phoneticPr fontId="43" type="noConversion"/>
  </si>
  <si>
    <t>적             요</t>
    <phoneticPr fontId="43" type="noConversion"/>
  </si>
  <si>
    <t xml:space="preserve"> </t>
  </si>
  <si>
    <t>퍼지량(CNG)</t>
    <phoneticPr fontId="43" type="noConversion"/>
  </si>
  <si>
    <t>계획</t>
    <phoneticPr fontId="40" type="noConversion"/>
  </si>
  <si>
    <t>실적</t>
    <phoneticPr fontId="40" type="noConversion"/>
  </si>
  <si>
    <t xml:space="preserve"> </t>
    <phoneticPr fontId="40" type="noConversion"/>
  </si>
  <si>
    <t>수량(㎥)</t>
    <phoneticPr fontId="43" type="noConversion"/>
  </si>
  <si>
    <t>수량(MJ)</t>
    <phoneticPr fontId="43" type="noConversion"/>
  </si>
  <si>
    <t>.</t>
    <phoneticPr fontId="43" type="noConversion"/>
  </si>
  <si>
    <t>합  계</t>
    <phoneticPr fontId="40" type="noConversion"/>
  </si>
  <si>
    <t>산 업 용</t>
    <phoneticPr fontId="43" type="noConversion"/>
  </si>
  <si>
    <t>2.판매금액</t>
    <phoneticPr fontId="43" type="noConversion"/>
  </si>
  <si>
    <t>단위 : 백만원</t>
    <phoneticPr fontId="40" type="noConversion"/>
  </si>
  <si>
    <t>구    분</t>
    <phoneticPr fontId="43" type="noConversion"/>
  </si>
  <si>
    <t>계획</t>
    <phoneticPr fontId="43" type="noConversion"/>
  </si>
  <si>
    <t>실적</t>
    <phoneticPr fontId="43" type="noConversion"/>
  </si>
  <si>
    <t>구성비</t>
    <phoneticPr fontId="43" type="noConversion"/>
  </si>
  <si>
    <t>산 업 용</t>
    <phoneticPr fontId="43" type="noConversion"/>
  </si>
  <si>
    <t>수 송 용</t>
    <phoneticPr fontId="43" type="noConversion"/>
  </si>
  <si>
    <t>판매량</t>
    <phoneticPr fontId="43" type="noConversion"/>
  </si>
  <si>
    <t>구성비</t>
    <phoneticPr fontId="43" type="noConversion"/>
  </si>
  <si>
    <t>판매금액</t>
    <phoneticPr fontId="43" type="noConversion"/>
  </si>
  <si>
    <t>판매금액 구성비</t>
    <phoneticPr fontId="43" type="noConversion"/>
  </si>
  <si>
    <t>사용량</t>
    <phoneticPr fontId="43" type="noConversion"/>
  </si>
  <si>
    <t>누 계</t>
    <phoneticPr fontId="43" type="noConversion"/>
  </si>
  <si>
    <t>※ 구성비는 판매량 정산서 기준으로 작성되었으며 한국가스공사 정산시 수송용(BIO)은 제외되고 자가소모분이 추가 됨</t>
    <phoneticPr fontId="43" type="noConversion"/>
  </si>
  <si>
    <t>업무냉방용</t>
    <phoneticPr fontId="43" type="noConversion"/>
  </si>
  <si>
    <t>기 타</t>
    <phoneticPr fontId="43" type="noConversion"/>
  </si>
  <si>
    <t>기 타</t>
    <phoneticPr fontId="43" type="noConversion"/>
  </si>
  <si>
    <t>취사용 변동후</t>
    <phoneticPr fontId="43" type="noConversion"/>
  </si>
  <si>
    <t>※ 기타 : 열병합용, 연료전지, 열전용설비(주택용외), 주한미군</t>
    <phoneticPr fontId="43" type="noConversion"/>
  </si>
  <si>
    <t>전년동월</t>
    <phoneticPr fontId="43" type="noConversion"/>
  </si>
  <si>
    <t>차이</t>
    <phoneticPr fontId="43" type="noConversion"/>
  </si>
  <si>
    <t>총 합 계</t>
    <phoneticPr fontId="149" type="noConversion"/>
  </si>
  <si>
    <t>금 액</t>
    <phoneticPr fontId="43" type="noConversion"/>
  </si>
  <si>
    <t>연료전지</t>
  </si>
  <si>
    <t>주한미군</t>
  </si>
  <si>
    <t>수송용(CNG)</t>
  </si>
  <si>
    <t>수송용(BIO)</t>
  </si>
  <si>
    <t>용도</t>
    <phoneticPr fontId="43" type="noConversion"/>
  </si>
  <si>
    <t>검수</t>
    <phoneticPr fontId="43" type="noConversion"/>
  </si>
  <si>
    <t>합  계</t>
    <phoneticPr fontId="43" type="noConversion"/>
  </si>
  <si>
    <t>용 도
[판매전수]</t>
    <phoneticPr fontId="43" type="noConversion"/>
  </si>
  <si>
    <t>용 도</t>
    <phoneticPr fontId="43" type="noConversion"/>
  </si>
  <si>
    <t>판  매  실  적</t>
    <phoneticPr fontId="43" type="noConversion"/>
  </si>
  <si>
    <t>사업계획</t>
    <phoneticPr fontId="43" type="noConversion"/>
  </si>
  <si>
    <t>대비(%)</t>
    <phoneticPr fontId="43" type="noConversion"/>
  </si>
  <si>
    <t>차이</t>
    <phoneticPr fontId="149" type="noConversion"/>
  </si>
  <si>
    <t>판  매  금  액</t>
    <phoneticPr fontId="43" type="noConversion"/>
  </si>
  <si>
    <t>금액</t>
    <phoneticPr fontId="43" type="noConversion"/>
  </si>
  <si>
    <t>누 계</t>
    <phoneticPr fontId="43" type="noConversion"/>
  </si>
  <si>
    <t>개별난방용</t>
    <phoneticPr fontId="43" type="noConversion"/>
  </si>
  <si>
    <t>자가열전용</t>
    <phoneticPr fontId="43" type="noConversion"/>
  </si>
  <si>
    <t>열전용설비용</t>
    <phoneticPr fontId="43" type="noConversion"/>
  </si>
  <si>
    <t>개 별
난방용</t>
    <phoneticPr fontId="42" type="noConversion"/>
  </si>
  <si>
    <t>주  택  용</t>
    <phoneticPr fontId="42" type="noConversion"/>
  </si>
  <si>
    <t>업
무
용</t>
    <phoneticPr fontId="42" type="noConversion"/>
  </si>
  <si>
    <t>연료전지용</t>
    <phoneticPr fontId="42" type="noConversion"/>
  </si>
  <si>
    <t>앞으로 없음. 다 없앰. 관리비가 더 많이 들어서?</t>
    <phoneticPr fontId="43" type="noConversion"/>
  </si>
  <si>
    <t>총계와 같아야됨</t>
    <phoneticPr fontId="43" type="noConversion"/>
  </si>
  <si>
    <t>1~3번 보일러 합계</t>
    <phoneticPr fontId="43" type="noConversion"/>
  </si>
  <si>
    <t>업무난방용 변동후</t>
    <phoneticPr fontId="43" type="noConversion"/>
  </si>
  <si>
    <t>일 반 용</t>
    <phoneticPr fontId="43" type="noConversion"/>
  </si>
  <si>
    <t>열병합용</t>
  </si>
  <si>
    <t>상품</t>
    <phoneticPr fontId="149" type="noConversion"/>
  </si>
  <si>
    <t>공급전수</t>
    <phoneticPr fontId="149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</si>
  <si>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</si>
  <si>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</si>
  <si>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</si>
  <si>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</si>
  <si>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</si>
  <si>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</si>
  <si>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</si>
  <si>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</si>
  <si>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9" type="noConversion"/>
  </si>
  <si>
    <t>열병합용</t>
    <phoneticPr fontId="40" type="noConversion"/>
  </si>
  <si>
    <t>연료전지용</t>
    <phoneticPr fontId="40" type="noConversion"/>
  </si>
  <si>
    <t>열전용설비용</t>
    <phoneticPr fontId="40" type="noConversion"/>
  </si>
  <si>
    <t>자가소모량 확인대장</t>
    <phoneticPr fontId="43" type="noConversion"/>
  </si>
  <si>
    <t>퍼지량 계</t>
    <phoneticPr fontId="43" type="noConversion"/>
  </si>
  <si>
    <t>개별난방용</t>
    <phoneticPr fontId="40" type="noConversion"/>
  </si>
  <si>
    <t>중앙난방용</t>
    <phoneticPr fontId="40" type="noConversion"/>
  </si>
  <si>
    <t>자가열전용</t>
    <phoneticPr fontId="40" type="noConversion"/>
  </si>
  <si>
    <t>중앙난방용</t>
    <phoneticPr fontId="40" type="noConversion"/>
  </si>
  <si>
    <t>영세율(계량기/보정기)관리비</t>
    <phoneticPr fontId="43" type="noConversion"/>
  </si>
  <si>
    <t>전월누계(1~11월)</t>
    <phoneticPr fontId="43" type="noConversion"/>
  </si>
  <si>
    <t>업
무
용</t>
    <phoneticPr fontId="43" type="noConversion"/>
  </si>
  <si>
    <t>계획</t>
    <phoneticPr fontId="43" type="noConversion"/>
  </si>
  <si>
    <t>실적</t>
    <phoneticPr fontId="43" type="noConversion"/>
  </si>
  <si>
    <t>누계</t>
    <phoneticPr fontId="43" type="noConversion"/>
  </si>
  <si>
    <t>당월</t>
    <phoneticPr fontId="43" type="noConversion"/>
  </si>
  <si>
    <t>당월</t>
    <phoneticPr fontId="43" type="noConversion"/>
  </si>
  <si>
    <t>업무냉난방용</t>
    <phoneticPr fontId="43" type="noConversion"/>
  </si>
  <si>
    <t>구 분</t>
  </si>
  <si>
    <t>계획</t>
  </si>
  <si>
    <t>실적</t>
  </si>
  <si>
    <t>실적대비</t>
    <phoneticPr fontId="149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</si>
  <si>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</si>
  <si>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</si>
  <si>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</si>
  <si>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</si>
  <si>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</si>
  <si>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</si>
  <si>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</si>
  <si>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43" type="noConversion"/>
  </si>
  <si>
    <t>정산관리=&gt;청구할인정산관리=&gt;정산년월:마감월, 원가정산항목:사회적복지할인</t>
    <phoneticPr fontId="43" type="noConversion"/>
  </si>
  <si>
    <t>개별난방용 변동전</t>
    <phoneticPr fontId="43" type="noConversion"/>
  </si>
  <si>
    <t>수송용(CNG)</t>
    <phoneticPr fontId="43" type="noConversion"/>
  </si>
  <si>
    <t>수
송
용</t>
    <phoneticPr fontId="43" type="noConversion"/>
  </si>
  <si>
    <t>미
군</t>
    <phoneticPr fontId="43" type="noConversion"/>
  </si>
  <si>
    <t>주한미군</t>
    <phoneticPr fontId="43" type="noConversion"/>
  </si>
  <si>
    <t>상품별 건수 (전산요청, 파일입력 후 =&gt; 판매량월별추이 상품별 전수 입력할 것)</t>
    <phoneticPr fontId="43" type="noConversion"/>
  </si>
  <si>
    <t>[계획대비]</t>
    <phoneticPr fontId="43" type="noConversion"/>
  </si>
  <si>
    <t>[입력할것]</t>
    <phoneticPr fontId="43" type="noConversion"/>
  </si>
  <si>
    <t>사회적배려 할인액</t>
    <phoneticPr fontId="43" type="noConversion"/>
  </si>
  <si>
    <t>취사용 변동전</t>
    <phoneticPr fontId="43" type="noConversion"/>
  </si>
  <si>
    <t>기    타</t>
    <phoneticPr fontId="43" type="noConversion"/>
  </si>
  <si>
    <t>공급가액</t>
    <phoneticPr fontId="43" type="noConversion"/>
  </si>
  <si>
    <t>부가세</t>
    <phoneticPr fontId="43" type="noConversion"/>
  </si>
  <si>
    <t>합계</t>
    <phoneticPr fontId="43" type="noConversion"/>
  </si>
  <si>
    <t>매출액표 소계의 합</t>
    <phoneticPr fontId="43" type="noConversion"/>
  </si>
  <si>
    <t>합계검증</t>
    <phoneticPr fontId="43" type="noConversion"/>
  </si>
  <si>
    <t>합계(매출액,절사액제외)</t>
    <phoneticPr fontId="43" type="noConversion"/>
  </si>
  <si>
    <t>구분</t>
    <phoneticPr fontId="43" type="noConversion"/>
  </si>
  <si>
    <t>열병합용 변동후</t>
    <phoneticPr fontId="43" type="noConversion"/>
  </si>
  <si>
    <t>연료전지 변동후</t>
    <phoneticPr fontId="43" type="noConversion"/>
  </si>
  <si>
    <t>연료전지 변동전</t>
    <phoneticPr fontId="43" type="noConversion"/>
  </si>
  <si>
    <t>열병합용 변동전</t>
    <phoneticPr fontId="43" type="noConversion"/>
  </si>
  <si>
    <t>업무난방용 변동전</t>
    <phoneticPr fontId="43" type="noConversion"/>
  </si>
  <si>
    <t>냉방용</t>
    <phoneticPr fontId="40" type="noConversion"/>
  </si>
  <si>
    <t>일반용</t>
    <phoneticPr fontId="40" type="noConversion"/>
  </si>
  <si>
    <t>냉방용</t>
  </si>
  <si>
    <t>소계</t>
    <phoneticPr fontId="43" type="noConversion"/>
  </si>
  <si>
    <t xml:space="preserve">          </t>
    <phoneticPr fontId="43" type="noConversion"/>
  </si>
  <si>
    <t>산업용</t>
    <phoneticPr fontId="40" type="noConversion"/>
  </si>
  <si>
    <t>수송용(CNG)</t>
    <phoneticPr fontId="40" type="noConversion"/>
  </si>
  <si>
    <t>수송용(BIO)</t>
    <phoneticPr fontId="40" type="noConversion"/>
  </si>
  <si>
    <t>누           계</t>
  </si>
  <si>
    <t>합계</t>
    <phoneticPr fontId="40" type="noConversion"/>
  </si>
  <si>
    <t>구분</t>
    <phoneticPr fontId="43" type="noConversion"/>
  </si>
  <si>
    <t>구성비</t>
    <phoneticPr fontId="43" type="noConversion"/>
  </si>
  <si>
    <t>당월</t>
    <phoneticPr fontId="43" type="noConversion"/>
  </si>
  <si>
    <t>누계</t>
    <phoneticPr fontId="43" type="noConversion"/>
  </si>
  <si>
    <t>당월</t>
    <phoneticPr fontId="40" type="noConversion"/>
  </si>
  <si>
    <t>누계</t>
    <phoneticPr fontId="40" type="noConversion"/>
  </si>
  <si>
    <t>판매금액(누계)</t>
    <phoneticPr fontId="43" type="noConversion"/>
  </si>
  <si>
    <t>판매량(누계)</t>
    <phoneticPr fontId="43" type="noConversion"/>
  </si>
  <si>
    <t>(누계-집계용도)</t>
    <phoneticPr fontId="40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</si>
  <si>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4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</si>
  <si>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43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</si>
  <si>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4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</si>
  <si>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3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</si>
  <si>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40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</si>
  <si>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40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</si>
  <si>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40" type="noConversion"/>
  </si>
  <si>
    <t>업  무
난방용</t>
    <phoneticPr fontId="42" type="noConversion"/>
  </si>
  <si>
    <t>소  계</t>
    <phoneticPr fontId="42" type="noConversion"/>
  </si>
  <si>
    <t>합  계</t>
    <phoneticPr fontId="42" type="noConversion"/>
  </si>
  <si>
    <t>전년누계</t>
    <phoneticPr fontId="40" type="noConversion"/>
  </si>
  <si>
    <t>전월기준 누계값으로 작성</t>
    <phoneticPr fontId="43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</si>
  <si>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</si>
  <si>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</si>
  <si>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</si>
  <si>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</si>
  <si>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</si>
  <si>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</si>
  <si>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</si>
  <si>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</si>
  <si>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</si>
  <si>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</si>
  <si>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</si>
  <si>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</si>
  <si>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</si>
  <si>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</si>
  <si>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</si>
  <si>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</si>
  <si>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</si>
  <si>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</si>
  <si>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</si>
  <si>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</si>
  <si>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</si>
  <si>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</si>
  <si>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</si>
  <si>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</si>
  <si>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</si>
  <si>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</si>
  <si>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</si>
  <si>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</si>
  <si>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</si>
  <si>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</si>
  <si>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</si>
  <si>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</si>
  <si>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</si>
  <si>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</si>
  <si>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</si>
  <si>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</si>
  <si>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</si>
  <si>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</si>
  <si>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</si>
  <si>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</si>
  <si>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</si>
  <si>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</si>
  <si>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</si>
  <si>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</si>
  <si>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</si>
  <si>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</si>
  <si>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</si>
  <si>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</si>
  <si>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</si>
  <si>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</si>
  <si>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</si>
  <si>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</si>
  <si>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</si>
  <si>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</si>
  <si>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</si>
  <si>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</si>
  <si>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</si>
  <si>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43" type="noConversion"/>
  </si>
  <si>
    <t>서비스</t>
    <phoneticPr fontId="43" type="noConversion"/>
  </si>
  <si>
    <t>정상매출</t>
    <phoneticPr fontId="43" type="noConversion"/>
  </si>
  <si>
    <t>변동 후 단가</t>
    <phoneticPr fontId="43" type="noConversion"/>
  </si>
  <si>
    <t>청구년월</t>
  </si>
  <si>
    <t>정상청구액</t>
  </si>
  <si>
    <t>할인액</t>
  </si>
  <si>
    <t>감면청구액</t>
  </si>
  <si>
    <t>열
병
합
용</t>
    <phoneticPr fontId="43" type="noConversion"/>
  </si>
  <si>
    <t>연
료
전
지</t>
    <phoneticPr fontId="43" type="noConversion"/>
  </si>
  <si>
    <t>일반용(2)(하절기)</t>
    <phoneticPr fontId="43" type="noConversion"/>
  </si>
  <si>
    <t xml:space="preserve">합계 </t>
  </si>
  <si>
    <t>냉난방(기타)</t>
    <phoneticPr fontId="43" type="noConversion"/>
  </si>
  <si>
    <t>산업용(기타)</t>
    <phoneticPr fontId="43" type="noConversion"/>
  </si>
  <si>
    <t>냉난방(기타)</t>
    <phoneticPr fontId="43" type="noConversion"/>
  </si>
  <si>
    <t>냉난방(하절기)</t>
    <phoneticPr fontId="43" type="noConversion"/>
  </si>
  <si>
    <t>단가변동갯수</t>
    <phoneticPr fontId="43" type="noConversion"/>
  </si>
  <si>
    <t>일반용(2)(동절기)</t>
    <phoneticPr fontId="43" type="noConversion"/>
  </si>
  <si>
    <t>산업용(동절기)</t>
    <phoneticPr fontId="43" type="noConversion"/>
  </si>
  <si>
    <t>열병합용(동절기)</t>
    <phoneticPr fontId="43" type="noConversion"/>
  </si>
  <si>
    <t>연료전지(동절기)</t>
    <phoneticPr fontId="43" type="noConversion"/>
  </si>
  <si>
    <t>일 반 용</t>
    <phoneticPr fontId="42" type="noConversion"/>
  </si>
  <si>
    <t>냉난방(동절기)</t>
    <phoneticPr fontId="43" type="noConversion"/>
  </si>
  <si>
    <t>2. 2024년 판매금액 현황</t>
    <phoneticPr fontId="40" type="noConversion"/>
  </si>
  <si>
    <t>- 다   음 -</t>
    <phoneticPr fontId="43" type="noConversion"/>
  </si>
  <si>
    <t>2. 매출현황</t>
    <phoneticPr fontId="43" type="noConversion"/>
  </si>
  <si>
    <t>계획대비</t>
    <phoneticPr fontId="149" type="noConversion"/>
  </si>
  <si>
    <t>전년대비</t>
    <phoneticPr fontId="43" type="noConversion"/>
  </si>
  <si>
    <t>전월대비</t>
    <phoneticPr fontId="43" type="noConversion"/>
  </si>
  <si>
    <t>[GJ]</t>
    <phoneticPr fontId="43" type="noConversion"/>
  </si>
  <si>
    <t xml:space="preserve">별    첨 :  1. 매출현황 </t>
    <phoneticPr fontId="43" type="noConversion"/>
  </si>
  <si>
    <t xml:space="preserve">             2. 매출액 집계표</t>
    <phoneticPr fontId="43" type="noConversion"/>
  </si>
  <si>
    <t xml:space="preserve">             3. 매출 증빙자료 각 1부.  끝.</t>
    <phoneticPr fontId="43" type="noConversion"/>
  </si>
  <si>
    <t>3. 상세현황: 별첨 참조</t>
    <phoneticPr fontId="43" type="noConversion"/>
  </si>
  <si>
    <t>바이오가스</t>
  </si>
  <si>
    <t>천연가스</t>
    <phoneticPr fontId="43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</si>
  <si>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43" type="noConversion"/>
  </si>
  <si>
    <t>[이미지 830*523]</t>
    <phoneticPr fontId="43" type="noConversion"/>
  </si>
  <si>
    <t xml:space="preserve"> </t>
    <phoneticPr fontId="43" type="noConversion"/>
  </si>
  <si>
    <t>산업용(기타)</t>
  </si>
  <si>
    <t>열병합용(기타)</t>
  </si>
  <si>
    <t>연료전지(기타)</t>
  </si>
  <si>
    <t>(단위:천MJ)</t>
    <phoneticPr fontId="43" type="noConversion"/>
  </si>
  <si>
    <t>(단위:백만원)</t>
    <phoneticPr fontId="43" type="noConversion"/>
  </si>
  <si>
    <t>주 택 용</t>
    <phoneticPr fontId="43" type="noConversion"/>
  </si>
  <si>
    <t>주
택
용</t>
    <phoneticPr fontId="43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</si>
  <si>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</si>
  <si>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</si>
  <si>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</si>
  <si>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</si>
  <si>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</si>
  <si>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43" type="noConversion"/>
  </si>
  <si>
    <t>열병합용(기타)</t>
    <phoneticPr fontId="43" type="noConversion"/>
  </si>
  <si>
    <t>열병합용(하절기)</t>
    <phoneticPr fontId="43" type="noConversion"/>
  </si>
  <si>
    <t>연료전지(하절기)</t>
    <phoneticPr fontId="43" type="noConversion"/>
  </si>
  <si>
    <t>연료전지(기타)</t>
    <phoneticPr fontId="43" type="noConversion"/>
  </si>
  <si>
    <t>계</t>
    <phoneticPr fontId="43" type="noConversion"/>
  </si>
  <si>
    <t>열병합용1</t>
    <phoneticPr fontId="43" type="noConversion"/>
  </si>
  <si>
    <t>냉난방용</t>
    <phoneticPr fontId="43" type="noConversion"/>
  </si>
  <si>
    <t>일반용</t>
    <phoneticPr fontId="43" type="noConversion"/>
  </si>
  <si>
    <t>총무결재본</t>
    <phoneticPr fontId="43" type="noConversion"/>
  </si>
  <si>
    <t>취사난방용(취사)변동전</t>
    <phoneticPr fontId="43" type="noConversion"/>
  </si>
  <si>
    <t>취사난방용(취사)변동후</t>
    <phoneticPr fontId="43" type="noConversion"/>
  </si>
  <si>
    <t>취사난방용(난방)변동전</t>
    <phoneticPr fontId="43" type="noConversion"/>
  </si>
  <si>
    <t>취사난방용(난방)변동후</t>
    <phoneticPr fontId="43" type="noConversion"/>
  </si>
  <si>
    <t>주 택 용</t>
  </si>
  <si>
    <t>산업용</t>
    <phoneticPr fontId="43" type="noConversion"/>
  </si>
  <si>
    <t>열전</t>
    <phoneticPr fontId="43" type="noConversion"/>
  </si>
  <si>
    <t>`</t>
    <phoneticPr fontId="43" type="noConversion"/>
  </si>
  <si>
    <t>산업용 변동전</t>
    <phoneticPr fontId="43" type="noConversion"/>
  </si>
  <si>
    <t>산업용 변동후</t>
    <phoneticPr fontId="43" type="noConversion"/>
  </si>
  <si>
    <t>일반용(1) 변동전</t>
    <phoneticPr fontId="43" type="noConversion"/>
  </si>
  <si>
    <t>일 반용</t>
    <phoneticPr fontId="43" type="noConversion"/>
  </si>
  <si>
    <t>산  업  용</t>
    <phoneticPr fontId="43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</si>
  <si>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43" type="noConversion"/>
  </si>
  <si>
    <t>구     분</t>
  </si>
  <si>
    <t>판 매 량</t>
  </si>
  <si>
    <t>개별소비세</t>
  </si>
  <si>
    <t>차상위할인</t>
    <phoneticPr fontId="43" type="noConversion"/>
  </si>
  <si>
    <t>다자녀할인</t>
    <phoneticPr fontId="43" type="noConversion"/>
  </si>
  <si>
    <t>판 매 량 계</t>
  </si>
  <si>
    <t>구성비</t>
  </si>
  <si>
    <t>(MJ)</t>
    <phoneticPr fontId="43" type="noConversion"/>
  </si>
  <si>
    <t>(%)</t>
  </si>
  <si>
    <t>주택용</t>
    <phoneticPr fontId="43" type="noConversion"/>
  </si>
  <si>
    <t>※ 판매량+(개별소비세+사회복지+사회적배려+차상위할인)=매출액표 수량합계(자가소모포함되어있으므로 제외됨)</t>
    <phoneticPr fontId="43" type="noConversion"/>
  </si>
  <si>
    <t>중앙난방용</t>
    <phoneticPr fontId="43" type="noConversion"/>
  </si>
  <si>
    <t>※ 업무난방과 냉방용은 구별요(5월~9월 냉방용적용)</t>
    <phoneticPr fontId="43" type="noConversion"/>
  </si>
  <si>
    <t>※ 매출내역서의 자가소모를 확인한다</t>
    <phoneticPr fontId="43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</si>
  <si>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</si>
  <si>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43" type="noConversion"/>
  </si>
  <si>
    <t xml:space="preserve"> 일반용1</t>
    <phoneticPr fontId="43" type="noConversion"/>
  </si>
  <si>
    <t>일반용2</t>
    <phoneticPr fontId="43" type="noConversion"/>
  </si>
  <si>
    <t>냉난방공조용</t>
    <phoneticPr fontId="43" type="noConversion"/>
  </si>
  <si>
    <t>수  송  용</t>
    <phoneticPr fontId="43" type="noConversion"/>
  </si>
  <si>
    <t>열 병 합 용</t>
    <phoneticPr fontId="43" type="noConversion"/>
  </si>
  <si>
    <t>연료전지용</t>
    <phoneticPr fontId="43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</si>
  <si>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</si>
  <si>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43" type="noConversion"/>
  </si>
  <si>
    <t>판매열량(MJ)</t>
    <phoneticPr fontId="43" type="noConversion"/>
  </si>
  <si>
    <t>냉방물량(9월)</t>
    <phoneticPr fontId="43" type="noConversion"/>
  </si>
  <si>
    <t>※ 관리납기와 일반납기의판매량전산실의뢰 (일반납기 청구작업이후)</t>
    <phoneticPr fontId="43" type="noConversion"/>
  </si>
  <si>
    <t>(월초)</t>
    <phoneticPr fontId="43" type="noConversion"/>
  </si>
  <si>
    <t>관리납기(변동)</t>
    <phoneticPr fontId="43" type="noConversion"/>
  </si>
  <si>
    <t xml:space="preserve">   - 9월판매실적 작성을 위한 냉방용 상품에대한 변동검침사용량 자료 요청</t>
    <phoneticPr fontId="43" type="noConversion"/>
  </si>
  <si>
    <t>(청구일)</t>
    <phoneticPr fontId="43" type="noConversion"/>
  </si>
  <si>
    <t>일반납기(일수)</t>
    <phoneticPr fontId="43" type="noConversion"/>
  </si>
  <si>
    <t>※ 계절이 바뀌는 4월(기타)↔5월(하절기) 냉방집계 조정</t>
    <phoneticPr fontId="43" type="noConversion"/>
  </si>
  <si>
    <t>- 시기: 2022년 4월 매출분부터</t>
    <phoneticPr fontId="43" type="noConversion"/>
  </si>
  <si>
    <t>- 사유: 기존 9월, 10월만 물량조정했으나 가스공사 이의제기로 4월, 5월도 시행하게 됨</t>
    <phoneticPr fontId="43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</si>
  <si>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43" type="noConversion"/>
  </si>
  <si>
    <t>※ 9월 판매량에 냉방용을 추가청구하여  10월 판매량에서 차감함</t>
    <phoneticPr fontId="43" type="noConversion"/>
  </si>
  <si>
    <t>※ 매출건</t>
    <phoneticPr fontId="43" type="noConversion"/>
  </si>
  <si>
    <t xml:space="preserve">   - 9월매출은일반납기의 경우 (8/1~8 부터9/1~8사용량)이므로 9월사용분(10월 청구분) 포함</t>
    <phoneticPr fontId="43" type="noConversion"/>
  </si>
  <si>
    <t xml:space="preserve">   - 관리납기는 (8/16~9/16)까지이나 관리납기는 10월에 변동검침을 했으므로, 9/16~10초까지 변동검침 물량 포함</t>
    <phoneticPr fontId="43" type="noConversion"/>
  </si>
  <si>
    <t>※ 사 유 : 냉난방의 경우 10월 하절기ㅡ&gt; 기타 단가로 변동됨에 따라 도매요금인상이 많이 이루어지므로 보전차원에서 9월 정산</t>
    <phoneticPr fontId="40" type="noConversion"/>
  </si>
  <si>
    <t xml:space="preserve">           [5월의 경우 (기타 ㅡ&gt; 하절기 단가 변동)는 회사 손해가 없으므로 물량정산 안함.]</t>
    <phoneticPr fontId="43" type="noConversion"/>
  </si>
  <si>
    <t>※ 9월 냉방용집계확인 할 것</t>
    <phoneticPr fontId="40" type="noConversion"/>
  </si>
  <si>
    <t xml:space="preserve">   - 냉방용 (+), 10월매출(-) 변동검침확인할 것</t>
    <phoneticPr fontId="40" type="noConversion"/>
  </si>
  <si>
    <t xml:space="preserve">   - 10/14청구작업후 자료요청할것</t>
    <phoneticPr fontId="40" type="noConversion"/>
  </si>
  <si>
    <t>작업순서</t>
    <phoneticPr fontId="43" type="noConversion"/>
  </si>
  <si>
    <t>1. 월매출 작업 기존대로 작성하여 메일 전송</t>
    <phoneticPr fontId="43" type="noConversion"/>
  </si>
  <si>
    <t>2. 10월 청구작업 후 전산에 자료 요청하여 가스공사용 시트에 입력</t>
    <phoneticPr fontId="43" type="noConversion"/>
  </si>
  <si>
    <t>3. 가스공사 공문 발송 및 재무팀 자료 재전달</t>
    <phoneticPr fontId="43" type="noConversion"/>
  </si>
  <si>
    <t>세너지 (1번 ~ 3번발전기) 계-보일러합계</t>
    <phoneticPr fontId="43" type="noConversion"/>
  </si>
  <si>
    <t>왼쪽 자동 계산 됨</t>
    <phoneticPr fontId="43" type="noConversion"/>
  </si>
  <si>
    <t xml:space="preserve">빌링관리-청구관리-청구작업관리-청구작업지원-청구서 출력현황(배송방법별)=&gt;합계(우편+등기) </t>
    <phoneticPr fontId="43" type="noConversion"/>
  </si>
  <si>
    <t>1번 )전월기준 누계값으로 작성</t>
    <phoneticPr fontId="43" type="noConversion"/>
  </si>
  <si>
    <t xml:space="preserve"> (사회복지 할인만 조회)</t>
    <phoneticPr fontId="43" type="noConversion"/>
  </si>
  <si>
    <t>(샘플참고)</t>
    <phoneticPr fontId="43" type="noConversion"/>
  </si>
  <si>
    <t>판매열량</t>
  </si>
  <si>
    <t>2025년 사업계획서 normal기준작성</t>
    <phoneticPr fontId="43" type="noConversion"/>
  </si>
  <si>
    <t>경산지사(업무난방--&gt;냉난방용으로 상품변경)</t>
    <phoneticPr fontId="43" type="noConversion"/>
  </si>
  <si>
    <t>자가열전용 변동후</t>
    <phoneticPr fontId="43" type="noConversion"/>
  </si>
  <si>
    <t>중앙난방용(중앙난방)</t>
    <phoneticPr fontId="43" type="noConversion"/>
  </si>
  <si>
    <t>냉난방용(업무)(동절기)변동전</t>
    <phoneticPr fontId="43" type="noConversion"/>
  </si>
  <si>
    <t>냉난방용(업무)(기타)변동전</t>
    <phoneticPr fontId="43" type="noConversion"/>
  </si>
  <si>
    <t>냉난방용(주택)(중앙난방)</t>
    <phoneticPr fontId="43" type="noConversion"/>
  </si>
  <si>
    <t>본사 일반용</t>
    <phoneticPr fontId="43" type="noConversion"/>
  </si>
  <si>
    <t>본사 냉난방용+서부지사+수성안전팀</t>
    <phoneticPr fontId="43" type="noConversion"/>
  </si>
  <si>
    <t>냉난방용(업무)(기타)(변동후)</t>
    <phoneticPr fontId="43" type="noConversion"/>
  </si>
  <si>
    <t>일반용(2)</t>
    <phoneticPr fontId="43" type="noConversion"/>
  </si>
  <si>
    <t>냉난방용(업무) 변동전</t>
    <phoneticPr fontId="43" type="noConversion"/>
  </si>
  <si>
    <t>냉난방용(업무) 변동후</t>
    <phoneticPr fontId="43" type="noConversion"/>
  </si>
  <si>
    <t>수송용(외주)</t>
    <phoneticPr fontId="43" type="noConversion"/>
  </si>
  <si>
    <t>수송용(외주)</t>
    <phoneticPr fontId="43" type="noConversion"/>
  </si>
  <si>
    <t>3월</t>
    <phoneticPr fontId="43" type="noConversion"/>
  </si>
  <si>
    <t>일반용(1)</t>
    <phoneticPr fontId="43" type="noConversion"/>
  </si>
  <si>
    <t>2026년 4월 매출현황</t>
    <phoneticPr fontId="40" type="noConversion"/>
  </si>
  <si>
    <t xml:space="preserve">26년 4월 </t>
    <phoneticPr fontId="43" type="noConversion"/>
  </si>
  <si>
    <t>1. 2026년 판매량 현황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</si>
</sst>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9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00000_ "/>
    <numFmt numFmtId="200" formatCode="#,##0.00000000_ "/>
    <numFmt numFmtId="201" formatCode="[Black]##.0%;[Red]\-##.0%"/>
    <numFmt numFmtId="202" formatCode="&quot;[&quot;##,##0&quot;]&quot;"/>
    <numFmt numFmtId="203" formatCode="#,##0.0&quot;%&quot;"/>
    <numFmt numFmtId="204" formatCode="#,##0,\ "/>
    <numFmt numFmtId="205" formatCode="#,###,\ "/>
    <numFmt numFmtId="206" formatCode="#,###,###\ "/>
    <numFmt numFmtId="207" formatCode="#,###\ "/>
    <numFmt numFmtId="208" formatCode="#,###,_ ;[Red]\-#,###,\ "/>
    <numFmt numFmtId="209" formatCode="##,###,\ "/>
    <numFmt numFmtId="210" formatCode="_-* #,##0.0000000_-;\-* #,##0.0000000_-;_-* &quot;-&quot;_-;_-@_-"/>
    <numFmt numFmtId="211" formatCode="General\ "/>
    <numFmt numFmtId="212" formatCode="#,###,_ "/>
    <numFmt numFmtId="213" formatCode="#,###_-\ "/>
    <numFmt numFmtId="214" formatCode="#,###,"/>
    <numFmt numFmtId="215" formatCode="#,###"/>
    <numFmt numFmtId="216" formatCode="0.0%\ "/>
    <numFmt numFmtId="217" formatCode="0_);[Red]\(0\)"/>
    <numFmt numFmtId="218" formatCode="0.00%\ "/>
    <numFmt numFmtId="219" formatCode="0.0000_);[Red]\(0.0000\)"/>
    <numFmt numFmtId="220" formatCode="0.0000_ "/>
    <numFmt numFmtId="221" formatCode="_(* #,##0_);_(* \(#,##0\);_(* &quot;-&quot;??_);_(@_)"/>
    <numFmt numFmtId="222" formatCode="0.000000000_);[Red]\(0.000000000\)"/>
  </numFmts>
  <fonts count="23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1"/>
      <color rgb="FF0000FF"/>
      <name val="돋움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b/>
      <sz val="10"/>
      <color rgb="FF0000FF"/>
      <name val="굴림체"/>
      <family val="3"/>
      <charset val="129"/>
    </font>
    <font>
      <sz val="9"/>
      <color rgb="FFFF0000"/>
      <name val="돋움"/>
      <family val="3"/>
      <charset val="129"/>
    </font>
    <font>
      <sz val="9"/>
      <color rgb="FFFF0066"/>
      <name val="굴림체"/>
      <family val="3"/>
      <charset val="129"/>
    </font>
    <font>
      <b/>
      <sz val="11"/>
      <color rgb="FFFF0000"/>
      <name val="굴림체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b/>
      <sz val="11"/>
      <color rgb="FF0000FF"/>
      <name val="돋움"/>
      <family val="3"/>
      <charset val="129"/>
    </font>
    <font>
      <sz val="9"/>
      <color rgb="FF0000FF"/>
      <name val="돋움"/>
      <family val="3"/>
      <charset val="129"/>
    </font>
    <font>
      <sz val="12"/>
      <color rgb="FF0000FF"/>
      <name val="맑은 고딕"/>
      <family val="3"/>
      <charset val="129"/>
      <scheme val="minor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6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medium">
        <color rgb="FF0000CC"/>
      </bottom>
      <diagonal/>
    </border>
  </borders>
  <cellStyleXfs count="4755">
    <xf numFmtId="0" fontId="0" fillId="0" borderId="0"/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2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3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5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8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6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09" fillId="4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8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0" fontId="110" fillId="3" borderId="0" applyNumberFormat="0" applyBorder="0" applyAlignment="0" applyProtection="0">
      <alignment vertical="center"/>
    </xf>
    <xf numFmtId="178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80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1" fillId="0" borderId="0"/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9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0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21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0" fillId="13" borderId="0" applyNumberFormat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2" fillId="14" borderId="88" applyNumberFormat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7" fillId="22" borderId="89" applyNumberFormat="0" applyFont="0" applyAlignment="0" applyProtection="0">
      <alignment vertical="center"/>
    </xf>
    <xf numFmtId="0" fontId="73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79" fillId="22" borderId="89" applyNumberFormat="0" applyFont="0" applyAlignment="0" applyProtection="0">
      <alignment vertical="center"/>
    </xf>
    <xf numFmtId="0" fontId="85" fillId="22" borderId="89" applyNumberFormat="0" applyFont="0" applyAlignment="0" applyProtection="0">
      <alignment vertical="center"/>
    </xf>
    <xf numFmtId="0" fontId="91" fillId="22" borderId="89" applyNumberFormat="0" applyFont="0" applyAlignment="0" applyProtection="0">
      <alignment vertical="center"/>
    </xf>
    <xf numFmtId="0" fontId="97" fillId="22" borderId="89" applyNumberFormat="0" applyFont="0" applyAlignment="0" applyProtection="0">
      <alignment vertical="center"/>
    </xf>
    <xf numFmtId="0" fontId="103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0" fontId="116" fillId="24" borderId="90" applyNumberFormat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80" fillId="0" borderId="1" applyNumberFormat="0" applyFill="0" applyAlignment="0" applyProtection="0">
      <alignment vertical="center"/>
    </xf>
    <xf numFmtId="0" fontId="86" fillId="0" borderId="1" applyNumberFormat="0" applyFill="0" applyAlignment="0" applyProtection="0">
      <alignment vertical="center"/>
    </xf>
    <xf numFmtId="0" fontId="92" fillId="0" borderId="1" applyNumberFormat="0" applyFill="0" applyAlignment="0" applyProtection="0">
      <alignment vertical="center"/>
    </xf>
    <xf numFmtId="0" fontId="98" fillId="0" borderId="1" applyNumberFormat="0" applyFill="0" applyAlignment="0" applyProtection="0">
      <alignment vertical="center"/>
    </xf>
    <xf numFmtId="0" fontId="104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7" fillId="0" borderId="2" applyNumberFormat="0" applyFill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118" fillId="7" borderId="88" applyNumberFormat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81" fillId="0" borderId="3" applyNumberFormat="0" applyFill="0" applyAlignment="0" applyProtection="0">
      <alignment vertical="center"/>
    </xf>
    <xf numFmtId="0" fontId="87" fillId="0" borderId="3" applyNumberFormat="0" applyFill="0" applyAlignment="0" applyProtection="0">
      <alignment vertical="center"/>
    </xf>
    <xf numFmtId="0" fontId="93" fillId="0" borderId="3" applyNumberFormat="0" applyFill="0" applyAlignment="0" applyProtection="0">
      <alignment vertical="center"/>
    </xf>
    <xf numFmtId="0" fontId="99" fillId="0" borderId="3" applyNumberFormat="0" applyFill="0" applyAlignment="0" applyProtection="0">
      <alignment vertical="center"/>
    </xf>
    <xf numFmtId="0" fontId="105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82" fillId="0" borderId="4" applyNumberFormat="0" applyFill="0" applyAlignment="0" applyProtection="0">
      <alignment vertical="center"/>
    </xf>
    <xf numFmtId="0" fontId="88" fillId="0" borderId="4" applyNumberFormat="0" applyFill="0" applyAlignment="0" applyProtection="0">
      <alignment vertical="center"/>
    </xf>
    <xf numFmtId="0" fontId="94" fillId="0" borderId="4" applyNumberFormat="0" applyFill="0" applyAlignment="0" applyProtection="0">
      <alignment vertical="center"/>
    </xf>
    <xf numFmtId="0" fontId="100" fillId="0" borderId="4" applyNumberFormat="0" applyFill="0" applyAlignment="0" applyProtection="0">
      <alignment vertical="center"/>
    </xf>
    <xf numFmtId="0" fontId="106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83" fillId="0" borderId="5" applyNumberFormat="0" applyFill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5" fillId="0" borderId="5" applyNumberFormat="0" applyFill="0" applyAlignment="0" applyProtection="0">
      <alignment vertical="center"/>
    </xf>
    <xf numFmtId="0" fontId="101" fillId="0" borderId="5" applyNumberFormat="0" applyFill="0" applyAlignment="0" applyProtection="0">
      <alignment vertical="center"/>
    </xf>
    <xf numFmtId="0" fontId="107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19" fillId="6" borderId="0" applyNumberFormat="0" applyBorder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20" fillId="14" borderId="91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44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0" fillId="0" borderId="111" applyNumberFormat="0" applyFill="0" applyAlignment="0" applyProtection="0">
      <alignment vertical="center"/>
    </xf>
    <xf numFmtId="0" fontId="131" fillId="0" borderId="112" applyNumberFormat="0" applyFill="0" applyAlignment="0" applyProtection="0">
      <alignment vertical="center"/>
    </xf>
    <xf numFmtId="0" fontId="132" fillId="0" borderId="113" applyNumberFormat="0" applyFill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26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6" fillId="28" borderId="88" applyNumberFormat="0" applyAlignment="0" applyProtection="0">
      <alignment vertical="center"/>
    </xf>
    <xf numFmtId="0" fontId="137" fillId="29" borderId="91" applyNumberFormat="0" applyAlignment="0" applyProtection="0">
      <alignment vertical="center"/>
    </xf>
    <xf numFmtId="0" fontId="138" fillId="29" borderId="88" applyNumberFormat="0" applyAlignment="0" applyProtection="0">
      <alignment vertical="center"/>
    </xf>
    <xf numFmtId="0" fontId="139" fillId="0" borderId="114" applyNumberFormat="0" applyFill="0" applyAlignment="0" applyProtection="0">
      <alignment vertical="center"/>
    </xf>
    <xf numFmtId="0" fontId="140" fillId="24" borderId="90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115" applyNumberFormat="0" applyFill="0" applyAlignment="0" applyProtection="0">
      <alignment vertical="center"/>
    </xf>
    <xf numFmtId="0" fontId="144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4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144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144" fillId="40" borderId="0" applyNumberFormat="0" applyBorder="0" applyAlignment="0" applyProtection="0">
      <alignment vertical="center"/>
    </xf>
    <xf numFmtId="0" fontId="144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21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144" fillId="46" borderId="0" applyNumberFormat="0" applyBorder="0" applyAlignment="0" applyProtection="0">
      <alignment vertical="center"/>
    </xf>
    <xf numFmtId="0" fontId="144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2" borderId="89" applyNumberFormat="0" applyFont="0" applyAlignment="0" applyProtection="0">
      <alignment vertical="center"/>
    </xf>
    <xf numFmtId="0" fontId="38" fillId="0" borderId="0">
      <alignment vertical="center"/>
    </xf>
    <xf numFmtId="0" fontId="38" fillId="22" borderId="89" applyNumberFormat="0" applyFont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165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9" fontId="16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166" fillId="0" borderId="0" applyNumberFormat="0" applyFill="0" applyBorder="0" applyAlignment="0" applyProtection="0">
      <alignment vertical="center"/>
    </xf>
    <xf numFmtId="0" fontId="34" fillId="22" borderId="89" applyNumberFormat="0" applyFont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4" fillId="4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2" borderId="89" applyNumberFormat="0" applyFont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2" borderId="89" applyNumberFormat="0" applyFont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22" borderId="89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22" borderId="89" applyNumberFormat="0" applyFont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2" borderId="89" applyNumberFormat="0" applyFont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184" fillId="23" borderId="0" applyNumberFormat="0" applyBorder="0" applyAlignment="0" applyProtection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2" borderId="89" applyNumberFormat="0" applyFont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44" fillId="0" borderId="0"/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0" fontId="62" fillId="22" borderId="89" applyNumberFormat="0" applyFont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68" fillId="0" borderId="1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0" fillId="0" borderId="3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1" fillId="0" borderId="4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5" applyNumberFormat="0" applyFill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44" fillId="33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144" fillId="40" borderId="0" applyNumberFormat="0" applyBorder="0" applyAlignment="0" applyProtection="0">
      <alignment vertical="center"/>
    </xf>
    <xf numFmtId="0" fontId="144" fillId="44" borderId="0" applyNumberFormat="0" applyBorder="0" applyAlignment="0" applyProtection="0">
      <alignment vertical="center"/>
    </xf>
    <xf numFmtId="0" fontId="144" fillId="46" borderId="0" applyNumberFormat="0" applyBorder="0" applyAlignment="0" applyProtection="0">
      <alignment vertical="center"/>
    </xf>
    <xf numFmtId="0" fontId="144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2" borderId="89" applyNumberFormat="0" applyFon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45" borderId="0" applyNumberFormat="0" applyBorder="0" applyAlignment="0" applyProtection="0">
      <alignment vertical="center"/>
    </xf>
    <xf numFmtId="0" fontId="20" fillId="46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0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4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6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9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7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7" fillId="22" borderId="89" applyNumberFormat="0" applyFont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17" fillId="42" borderId="0" applyNumberFormat="0" applyBorder="0" applyAlignment="0" applyProtection="0">
      <alignment vertical="center"/>
    </xf>
    <xf numFmtId="0" fontId="17" fillId="43" borderId="0" applyNumberFormat="0" applyBorder="0" applyAlignment="0" applyProtection="0">
      <alignment vertical="center"/>
    </xf>
    <xf numFmtId="0" fontId="17" fillId="4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45" borderId="0" applyNumberFormat="0" applyBorder="0" applyAlignment="0" applyProtection="0">
      <alignment vertical="center"/>
    </xf>
    <xf numFmtId="0" fontId="17" fillId="46" borderId="0" applyNumberFormat="0" applyBorder="0" applyAlignment="0" applyProtection="0">
      <alignment vertical="center"/>
    </xf>
    <xf numFmtId="0" fontId="17" fillId="48" borderId="0" applyNumberFormat="0" applyBorder="0" applyAlignment="0" applyProtection="0">
      <alignment vertical="center"/>
    </xf>
    <xf numFmtId="0" fontId="17" fillId="49" borderId="0" applyNumberFormat="0" applyBorder="0" applyAlignment="0" applyProtection="0">
      <alignment vertical="center"/>
    </xf>
    <xf numFmtId="0" fontId="17" fillId="50" borderId="0" applyNumberFormat="0" applyBorder="0" applyAlignment="0" applyProtection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6" fillId="22" borderId="89" applyNumberFormat="0" applyFont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16" fillId="39" borderId="0" applyNumberFormat="0" applyBorder="0" applyAlignment="0" applyProtection="0">
      <alignment vertical="center"/>
    </xf>
    <xf numFmtId="0" fontId="16" fillId="40" borderId="0" applyNumberFormat="0" applyBorder="0" applyAlignment="0" applyProtection="0">
      <alignment vertical="center"/>
    </xf>
    <xf numFmtId="0" fontId="16" fillId="42" borderId="0" applyNumberFormat="0" applyBorder="0" applyAlignment="0" applyProtection="0">
      <alignment vertical="center"/>
    </xf>
    <xf numFmtId="0" fontId="16" fillId="43" borderId="0" applyNumberFormat="0" applyBorder="0" applyAlignment="0" applyProtection="0">
      <alignment vertical="center"/>
    </xf>
    <xf numFmtId="0" fontId="16" fillId="4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45" borderId="0" applyNumberFormat="0" applyBorder="0" applyAlignment="0" applyProtection="0">
      <alignment vertical="center"/>
    </xf>
    <xf numFmtId="0" fontId="16" fillId="46" borderId="0" applyNumberFormat="0" applyBorder="0" applyAlignment="0" applyProtection="0">
      <alignment vertical="center"/>
    </xf>
    <xf numFmtId="0" fontId="16" fillId="48" borderId="0" applyNumberFormat="0" applyBorder="0" applyAlignment="0" applyProtection="0">
      <alignment vertical="center"/>
    </xf>
    <xf numFmtId="0" fontId="16" fillId="49" borderId="0" applyNumberFormat="0" applyBorder="0" applyAlignment="0" applyProtection="0">
      <alignment vertical="center"/>
    </xf>
    <xf numFmtId="0" fontId="16" fillId="50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22" borderId="89" applyNumberFormat="0" applyFon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5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  <xf numFmtId="0" fontId="15" fillId="4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45" borderId="0" applyNumberFormat="0" applyBorder="0" applyAlignment="0" applyProtection="0">
      <alignment vertical="center"/>
    </xf>
    <xf numFmtId="0" fontId="15" fillId="46" borderId="0" applyNumberFormat="0" applyBorder="0" applyAlignment="0" applyProtection="0">
      <alignment vertical="center"/>
    </xf>
    <xf numFmtId="0" fontId="15" fillId="48" borderId="0" applyNumberFormat="0" applyBorder="0" applyAlignment="0" applyProtection="0">
      <alignment vertical="center"/>
    </xf>
    <xf numFmtId="0" fontId="15" fillId="49" borderId="0" applyNumberFormat="0" applyBorder="0" applyAlignment="0" applyProtection="0">
      <alignment vertical="center"/>
    </xf>
    <xf numFmtId="0" fontId="15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2" borderId="89" applyNumberFormat="0" applyFont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  <xf numFmtId="0" fontId="12" fillId="49" borderId="0" applyNumberFormat="0" applyBorder="0" applyAlignment="0" applyProtection="0">
      <alignment vertical="center"/>
    </xf>
    <xf numFmtId="0" fontId="12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  <xf numFmtId="41" fontId="6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16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82">
    <xf numFmtId="0" fontId="0" fillId="0" borderId="0" xfId="0"/>
    <xf numFmtId="0" fontId="47" fillId="0" borderId="0" xfId="0" applyFont="1"/>
    <xf numFmtId="0" fontId="47" fillId="0" borderId="0" xfId="0" applyFont="1" applyAlignment="1">
      <alignment vertical="center"/>
    </xf>
    <xf numFmtId="0" fontId="49" fillId="0" borderId="0" xfId="0" applyFont="1" applyAlignment="1">
      <alignment vertical="center"/>
    </xf>
    <xf numFmtId="0" fontId="49" fillId="17" borderId="11" xfId="0" applyFont="1" applyFill="1" applyBorder="1" applyAlignment="1">
      <alignment horizontal="center" vertical="center"/>
    </xf>
    <xf numFmtId="176" fontId="47" fillId="0" borderId="0" xfId="0" applyNumberFormat="1" applyFont="1" applyBorder="1" applyAlignment="1">
      <alignment vertical="center"/>
    </xf>
    <xf numFmtId="176" fontId="49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184" fontId="47" fillId="0" borderId="0" xfId="0" applyNumberFormat="1" applyFont="1"/>
    <xf numFmtId="0" fontId="47" fillId="0" borderId="0" xfId="0" applyFont="1" applyBorder="1" applyAlignment="1">
      <alignment vertical="center"/>
    </xf>
    <xf numFmtId="186" fontId="47" fillId="17" borderId="15" xfId="0" applyNumberFormat="1" applyFont="1" applyFill="1" applyBorder="1" applyAlignment="1">
      <alignment horizontal="right" vertical="center"/>
    </xf>
    <xf numFmtId="0" fontId="49" fillId="17" borderId="22" xfId="0" applyFont="1" applyFill="1" applyBorder="1" applyAlignment="1">
      <alignment horizontal="centerContinuous" vertical="center"/>
    </xf>
    <xf numFmtId="0" fontId="49" fillId="17" borderId="16" xfId="0" applyFont="1" applyFill="1" applyBorder="1" applyAlignment="1">
      <alignment horizontal="center" vertical="center"/>
    </xf>
    <xf numFmtId="0" fontId="47" fillId="0" borderId="0" xfId="0" applyFont="1" applyFill="1" applyAlignment="1">
      <alignment vertical="center"/>
    </xf>
    <xf numFmtId="0" fontId="49" fillId="0" borderId="0" xfId="0" applyFont="1" applyFill="1" applyAlignment="1">
      <alignment vertical="center"/>
    </xf>
    <xf numFmtId="176" fontId="49" fillId="0" borderId="0" xfId="0" applyNumberFormat="1" applyFont="1" applyFill="1" applyAlignment="1">
      <alignment vertical="center"/>
    </xf>
    <xf numFmtId="0" fontId="45" fillId="0" borderId="0" xfId="0" applyFont="1" applyBorder="1" applyAlignment="1">
      <alignment vertical="center"/>
    </xf>
    <xf numFmtId="0" fontId="45" fillId="0" borderId="0" xfId="0" applyFont="1" applyBorder="1" applyAlignment="1">
      <alignment horizontal="center" vertical="center"/>
    </xf>
    <xf numFmtId="177" fontId="49" fillId="17" borderId="18" xfId="0" applyNumberFormat="1" applyFont="1" applyFill="1" applyBorder="1" applyAlignment="1">
      <alignment vertical="center"/>
    </xf>
    <xf numFmtId="0" fontId="49" fillId="17" borderId="29" xfId="0" applyFont="1" applyFill="1" applyBorder="1" applyAlignment="1">
      <alignment horizontal="centerContinuous" vertical="center"/>
    </xf>
    <xf numFmtId="176" fontId="49" fillId="0" borderId="0" xfId="0" applyNumberFormat="1" applyFont="1" applyBorder="1" applyAlignment="1">
      <alignment horizontal="center" vertical="center"/>
    </xf>
    <xf numFmtId="176" fontId="49" fillId="0" borderId="0" xfId="0" applyNumberFormat="1" applyFont="1" applyBorder="1" applyAlignment="1">
      <alignment vertical="center"/>
    </xf>
    <xf numFmtId="0" fontId="49" fillId="0" borderId="0" xfId="0" applyFont="1" applyBorder="1" applyAlignment="1">
      <alignment horizontal="center" vertical="center"/>
    </xf>
    <xf numFmtId="0" fontId="55" fillId="0" borderId="0" xfId="0" applyFont="1"/>
    <xf numFmtId="0" fontId="57" fillId="0" borderId="0" xfId="0" applyFont="1"/>
    <xf numFmtId="0" fontId="49" fillId="18" borderId="6" xfId="0" applyFont="1" applyFill="1" applyBorder="1" applyAlignment="1">
      <alignment horizontal="center" vertical="center"/>
    </xf>
    <xf numFmtId="177" fontId="49" fillId="18" borderId="36" xfId="0" applyNumberFormat="1" applyFont="1" applyFill="1" applyBorder="1" applyAlignment="1">
      <alignment vertical="center"/>
    </xf>
    <xf numFmtId="185" fontId="47" fillId="0" borderId="0" xfId="0" applyNumberFormat="1" applyFont="1" applyFill="1" applyAlignment="1">
      <alignment vertical="center"/>
    </xf>
    <xf numFmtId="0" fontId="42" fillId="0" borderId="53" xfId="0" applyFont="1" applyBorder="1"/>
    <xf numFmtId="0" fontId="47" fillId="17" borderId="0" xfId="0" applyFont="1" applyFill="1" applyAlignment="1">
      <alignment vertical="center"/>
    </xf>
    <xf numFmtId="177" fontId="47" fillId="0" borderId="0" xfId="0" applyNumberFormat="1" applyFont="1" applyAlignment="1">
      <alignment vertical="center"/>
    </xf>
    <xf numFmtId="189" fontId="58" fillId="0" borderId="51" xfId="1959" applyNumberFormat="1" applyFont="1" applyBorder="1"/>
    <xf numFmtId="0" fontId="58" fillId="0" borderId="49" xfId="2639" applyFont="1" applyBorder="1" applyAlignment="1">
      <alignment horizontal="center" vertical="center"/>
    </xf>
    <xf numFmtId="0" fontId="58" fillId="0" borderId="47" xfId="0" applyFont="1" applyBorder="1" applyAlignment="1">
      <alignment horizontal="center"/>
    </xf>
    <xf numFmtId="0" fontId="58" fillId="0" borderId="56" xfId="2639" applyFont="1" applyBorder="1" applyAlignment="1">
      <alignment horizontal="center" vertical="center"/>
    </xf>
    <xf numFmtId="0" fontId="58" fillId="0" borderId="53" xfId="0" applyFont="1" applyBorder="1" applyAlignment="1">
      <alignment horizontal="center"/>
    </xf>
    <xf numFmtId="0" fontId="58" fillId="0" borderId="57" xfId="2639" applyFont="1" applyBorder="1" applyAlignment="1">
      <alignment horizontal="center" vertical="center"/>
    </xf>
    <xf numFmtId="0" fontId="46" fillId="0" borderId="0" xfId="0" applyFont="1" applyFill="1" applyBorder="1" applyAlignment="1">
      <alignment vertical="center"/>
    </xf>
    <xf numFmtId="0" fontId="45" fillId="0" borderId="0" xfId="0" applyFont="1" applyFill="1" applyBorder="1" applyAlignment="1">
      <alignment vertical="center"/>
    </xf>
    <xf numFmtId="191" fontId="45" fillId="0" borderId="0" xfId="0" applyNumberFormat="1" applyFont="1" applyFill="1" applyBorder="1" applyAlignment="1">
      <alignment horizontal="center" vertical="center"/>
    </xf>
    <xf numFmtId="191" fontId="45" fillId="0" borderId="0" xfId="0" applyNumberFormat="1" applyFont="1" applyFill="1" applyBorder="1" applyAlignment="1">
      <alignment horizontal="right" vertical="center"/>
    </xf>
    <xf numFmtId="0" fontId="45" fillId="0" borderId="0" xfId="0" applyFont="1" applyFill="1" applyBorder="1" applyAlignment="1">
      <alignment vertical="center" textRotation="255"/>
    </xf>
    <xf numFmtId="177" fontId="49" fillId="17" borderId="39" xfId="0" applyNumberFormat="1" applyFont="1" applyFill="1" applyBorder="1" applyAlignment="1">
      <alignment vertical="center"/>
    </xf>
    <xf numFmtId="176" fontId="49" fillId="0" borderId="59" xfId="0" applyNumberFormat="1" applyFont="1" applyBorder="1" applyAlignment="1">
      <alignment horizontal="right" vertical="center"/>
    </xf>
    <xf numFmtId="186" fontId="49" fillId="17" borderId="14" xfId="0" applyNumberFormat="1" applyFont="1" applyFill="1" applyBorder="1" applyAlignment="1">
      <alignment vertical="center"/>
    </xf>
    <xf numFmtId="177" fontId="49" fillId="17" borderId="21" xfId="0" applyNumberFormat="1" applyFont="1" applyFill="1" applyBorder="1" applyAlignment="1">
      <alignment vertical="center"/>
    </xf>
    <xf numFmtId="0" fontId="49" fillId="17" borderId="26" xfId="0" applyFont="1" applyFill="1" applyBorder="1" applyAlignment="1">
      <alignment horizontal="centerContinuous" vertical="center"/>
    </xf>
    <xf numFmtId="0" fontId="49" fillId="17" borderId="27" xfId="0" applyFont="1" applyFill="1" applyBorder="1" applyAlignment="1">
      <alignment horizontal="centerContinuous" vertical="center"/>
    </xf>
    <xf numFmtId="0" fontId="58" fillId="0" borderId="52" xfId="0" applyFont="1" applyBorder="1" applyAlignment="1">
      <alignment horizontal="center"/>
    </xf>
    <xf numFmtId="189" fontId="58" fillId="0" borderId="61" xfId="1959" applyNumberFormat="1" applyFont="1" applyBorder="1"/>
    <xf numFmtId="176" fontId="49" fillId="0" borderId="0" xfId="0" applyNumberFormat="1" applyFont="1" applyBorder="1" applyAlignment="1">
      <alignment horizontal="right" vertical="center"/>
    </xf>
    <xf numFmtId="177" fontId="49" fillId="17" borderId="63" xfId="0" applyNumberFormat="1" applyFont="1" applyFill="1" applyBorder="1" applyAlignment="1">
      <alignment vertical="center"/>
    </xf>
    <xf numFmtId="177" fontId="49" fillId="17" borderId="64" xfId="0" applyNumberFormat="1" applyFont="1" applyFill="1" applyBorder="1" applyAlignment="1">
      <alignment vertical="center"/>
    </xf>
    <xf numFmtId="186" fontId="49" fillId="17" borderId="33" xfId="0" applyNumberFormat="1" applyFont="1" applyFill="1" applyBorder="1" applyAlignment="1">
      <alignment vertical="center"/>
    </xf>
    <xf numFmtId="3" fontId="64" fillId="0" borderId="0" xfId="0" applyNumberFormat="1" applyFont="1" applyFill="1" applyBorder="1" applyAlignment="1">
      <alignment horizontal="right" vertical="center"/>
    </xf>
    <xf numFmtId="177" fontId="49" fillId="17" borderId="19" xfId="0" applyNumberFormat="1" applyFont="1" applyFill="1" applyBorder="1" applyAlignment="1">
      <alignment vertical="center"/>
    </xf>
    <xf numFmtId="177" fontId="49" fillId="18" borderId="6" xfId="0" applyNumberFormat="1" applyFont="1" applyFill="1" applyBorder="1" applyAlignment="1">
      <alignment vertical="center"/>
    </xf>
    <xf numFmtId="176" fontId="49" fillId="0" borderId="68" xfId="0" applyNumberFormat="1" applyFont="1" applyBorder="1" applyAlignment="1">
      <alignment horizontal="right" vertical="center"/>
    </xf>
    <xf numFmtId="0" fontId="49" fillId="17" borderId="32" xfId="0" applyFont="1" applyFill="1" applyBorder="1" applyAlignment="1">
      <alignment horizontal="centerContinuous" vertical="center"/>
    </xf>
    <xf numFmtId="177" fontId="52" fillId="18" borderId="6" xfId="0" applyNumberFormat="1" applyFont="1" applyFill="1" applyBorder="1" applyAlignment="1">
      <alignment vertical="center"/>
    </xf>
    <xf numFmtId="177" fontId="49" fillId="17" borderId="33" xfId="0" applyNumberFormat="1" applyFont="1" applyFill="1" applyBorder="1" applyAlignment="1">
      <alignment vertical="center"/>
    </xf>
    <xf numFmtId="177" fontId="49" fillId="17" borderId="6" xfId="0" applyNumberFormat="1" applyFont="1" applyFill="1" applyBorder="1" applyAlignment="1">
      <alignment vertical="center"/>
    </xf>
    <xf numFmtId="195" fontId="49" fillId="18" borderId="6" xfId="1959" applyNumberFormat="1" applyFont="1" applyFill="1" applyBorder="1" applyAlignment="1">
      <alignment vertical="center"/>
    </xf>
    <xf numFmtId="195" fontId="52" fillId="18" borderId="6" xfId="1959" applyNumberFormat="1" applyFont="1" applyFill="1" applyBorder="1" applyAlignment="1">
      <alignment vertical="center"/>
    </xf>
    <xf numFmtId="195" fontId="49" fillId="0" borderId="15" xfId="1959" applyNumberFormat="1" applyFont="1" applyFill="1" applyBorder="1" applyAlignment="1">
      <alignment vertical="center"/>
    </xf>
    <xf numFmtId="195" fontId="49" fillId="0" borderId="16" xfId="1959" applyNumberFormat="1" applyFont="1" applyFill="1" applyBorder="1" applyAlignment="1">
      <alignment vertical="center"/>
    </xf>
    <xf numFmtId="195" fontId="49" fillId="16" borderId="6" xfId="1959" applyNumberFormat="1" applyFont="1" applyFill="1" applyBorder="1" applyAlignment="1">
      <alignment vertical="center"/>
    </xf>
    <xf numFmtId="195" fontId="49" fillId="17" borderId="33" xfId="1959" applyNumberFormat="1" applyFont="1" applyFill="1" applyBorder="1" applyAlignment="1">
      <alignment vertical="center"/>
    </xf>
    <xf numFmtId="195" fontId="49" fillId="17" borderId="14" xfId="1959" applyNumberFormat="1" applyFont="1" applyFill="1" applyBorder="1" applyAlignment="1">
      <alignment vertical="center"/>
    </xf>
    <xf numFmtId="195" fontId="47" fillId="17" borderId="16" xfId="1959" applyNumberFormat="1" applyFont="1" applyFill="1" applyBorder="1" applyAlignment="1">
      <alignment horizontal="center" vertical="center"/>
    </xf>
    <xf numFmtId="41" fontId="47" fillId="17" borderId="16" xfId="1959" applyNumberFormat="1" applyFont="1" applyFill="1" applyBorder="1" applyAlignment="1">
      <alignment horizontal="center" vertical="center"/>
    </xf>
    <xf numFmtId="195" fontId="47" fillId="17" borderId="15" xfId="1959" applyNumberFormat="1" applyFont="1" applyFill="1" applyBorder="1" applyAlignment="1">
      <alignment horizontal="center" vertical="center"/>
    </xf>
    <xf numFmtId="41" fontId="47" fillId="17" borderId="15" xfId="1959" applyNumberFormat="1" applyFont="1" applyFill="1" applyBorder="1" applyAlignment="1">
      <alignment horizontal="center" vertical="center"/>
    </xf>
    <xf numFmtId="0" fontId="45" fillId="25" borderId="0" xfId="0" applyFont="1" applyFill="1" applyBorder="1" applyAlignment="1">
      <alignment vertical="center"/>
    </xf>
    <xf numFmtId="0" fontId="0" fillId="0" borderId="0" xfId="0"/>
    <xf numFmtId="41" fontId="47" fillId="0" borderId="0" xfId="0" applyNumberFormat="1" applyFont="1"/>
    <xf numFmtId="0" fontId="49" fillId="17" borderId="105" xfId="0" applyFont="1" applyFill="1" applyBorder="1" applyAlignment="1">
      <alignment horizontal="center" vertical="center"/>
    </xf>
    <xf numFmtId="0" fontId="49" fillId="17" borderId="100" xfId="0" applyFont="1" applyFill="1" applyBorder="1" applyAlignment="1">
      <alignment horizontal="center" vertical="center"/>
    </xf>
    <xf numFmtId="195" fontId="49" fillId="0" borderId="100" xfId="1959" applyNumberFormat="1" applyFont="1" applyFill="1" applyBorder="1" applyAlignment="1">
      <alignment vertical="center"/>
    </xf>
    <xf numFmtId="0" fontId="47" fillId="0" borderId="0" xfId="0" applyFont="1" applyBorder="1" applyAlignment="1">
      <alignment horizontal="center" vertical="center" wrapText="1"/>
    </xf>
    <xf numFmtId="183" fontId="47" fillId="0" borderId="0" xfId="0" applyNumberFormat="1" applyFont="1" applyBorder="1" applyAlignment="1">
      <alignment vertical="center"/>
    </xf>
    <xf numFmtId="182" fontId="47" fillId="0" borderId="0" xfId="0" applyNumberFormat="1" applyFont="1" applyBorder="1" applyAlignment="1">
      <alignment vertical="center"/>
    </xf>
    <xf numFmtId="0" fontId="45" fillId="0" borderId="0" xfId="0" applyFont="1" applyBorder="1"/>
    <xf numFmtId="0" fontId="47" fillId="0" borderId="0" xfId="0" applyFont="1" applyBorder="1"/>
    <xf numFmtId="193" fontId="47" fillId="0" borderId="0" xfId="0" applyNumberFormat="1" applyFont="1"/>
    <xf numFmtId="177" fontId="122" fillId="18" borderId="6" xfId="0" applyNumberFormat="1" applyFont="1" applyFill="1" applyBorder="1" applyAlignment="1">
      <alignment vertical="center"/>
    </xf>
    <xf numFmtId="177" fontId="47" fillId="0" borderId="0" xfId="0" applyNumberFormat="1" applyFont="1" applyFill="1" applyAlignment="1">
      <alignment vertical="center"/>
    </xf>
    <xf numFmtId="0" fontId="0" fillId="0" borderId="0" xfId="0"/>
    <xf numFmtId="193" fontId="0" fillId="0" borderId="0" xfId="0" applyNumberFormat="1"/>
    <xf numFmtId="189" fontId="0" fillId="0" borderId="0" xfId="0" applyNumberFormat="1"/>
    <xf numFmtId="195" fontId="123" fillId="17" borderId="15" xfId="1959" applyNumberFormat="1" applyFont="1" applyFill="1" applyBorder="1" applyAlignment="1">
      <alignment horizontal="center" vertical="center"/>
    </xf>
    <xf numFmtId="41" fontId="123" fillId="17" borderId="15" xfId="1959" applyNumberFormat="1" applyFont="1" applyFill="1" applyBorder="1" applyAlignment="1">
      <alignment horizontal="center" vertical="center"/>
    </xf>
    <xf numFmtId="176" fontId="47" fillId="0" borderId="0" xfId="0" applyNumberFormat="1" applyFont="1" applyFill="1" applyBorder="1" applyAlignment="1">
      <alignment vertical="center"/>
    </xf>
    <xf numFmtId="41" fontId="123" fillId="17" borderId="16" xfId="1959" applyNumberFormat="1" applyFont="1" applyFill="1" applyBorder="1" applyAlignment="1">
      <alignment horizontal="center" vertical="center"/>
    </xf>
    <xf numFmtId="176" fontId="121" fillId="0" borderId="0" xfId="0" applyNumberFormat="1" applyFont="1" applyAlignment="1">
      <alignment vertical="center"/>
    </xf>
    <xf numFmtId="9" fontId="47" fillId="0" borderId="0" xfId="2696" applyFont="1" applyBorder="1" applyAlignment="1"/>
    <xf numFmtId="0" fontId="0" fillId="0" borderId="0" xfId="0"/>
    <xf numFmtId="0" fontId="45" fillId="0" borderId="0" xfId="0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147" fillId="0" borderId="0" xfId="2697" applyFont="1">
      <alignment vertical="center"/>
    </xf>
    <xf numFmtId="0" fontId="148" fillId="0" borderId="0" xfId="2697" applyFont="1" applyAlignment="1">
      <alignment horizontal="center" vertical="center"/>
    </xf>
    <xf numFmtId="0" fontId="148" fillId="0" borderId="0" xfId="2697" applyFont="1">
      <alignment vertical="center"/>
    </xf>
    <xf numFmtId="0" fontId="44" fillId="0" borderId="0" xfId="2697">
      <alignment vertical="center"/>
    </xf>
    <xf numFmtId="41" fontId="45" fillId="0" borderId="95" xfId="1959" applyFont="1" applyBorder="1" applyAlignment="1">
      <alignment horizontal="center" vertical="center"/>
    </xf>
    <xf numFmtId="41" fontId="45" fillId="0" borderId="96" xfId="1959" applyFont="1" applyBorder="1" applyAlignment="1">
      <alignment horizontal="center" vertical="center"/>
    </xf>
    <xf numFmtId="41" fontId="45" fillId="0" borderId="96" xfId="0" applyNumberFormat="1" applyFont="1" applyBorder="1" applyAlignment="1">
      <alignment horizontal="center" vertical="center"/>
    </xf>
    <xf numFmtId="41" fontId="45" fillId="0" borderId="97" xfId="0" applyNumberFormat="1" applyFont="1" applyBorder="1" applyAlignment="1">
      <alignment horizontal="center" vertical="center"/>
    </xf>
    <xf numFmtId="0" fontId="61" fillId="0" borderId="0" xfId="0" applyFont="1" applyAlignment="1">
      <alignment vertical="center"/>
    </xf>
    <xf numFmtId="0" fontId="151" fillId="0" borderId="92" xfId="2697" applyFont="1" applyFill="1" applyBorder="1" applyAlignment="1">
      <alignment horizontal="center" vertical="center"/>
    </xf>
    <xf numFmtId="198" fontId="61" fillId="0" borderId="93" xfId="0" applyNumberFormat="1" applyFont="1" applyBorder="1" applyAlignment="1">
      <alignment vertical="center"/>
    </xf>
    <xf numFmtId="198" fontId="61" fillId="0" borderId="94" xfId="0" applyNumberFormat="1" applyFont="1" applyBorder="1" applyAlignment="1">
      <alignment vertical="center"/>
    </xf>
    <xf numFmtId="0" fontId="148" fillId="0" borderId="0" xfId="2697" applyFont="1" applyFill="1">
      <alignment vertical="center"/>
    </xf>
    <xf numFmtId="0" fontId="150" fillId="0" borderId="0" xfId="2697" applyFont="1" applyFill="1" applyBorder="1" applyAlignment="1">
      <alignment horizontal="centerContinuous" vertical="center"/>
    </xf>
    <xf numFmtId="186" fontId="150" fillId="0" borderId="0" xfId="2699" applyNumberFormat="1" applyFont="1" applyFill="1" applyBorder="1">
      <alignment vertical="center"/>
    </xf>
    <xf numFmtId="195" fontId="49" fillId="0" borderId="25" xfId="1959" applyNumberFormat="1" applyFont="1" applyFill="1" applyBorder="1" applyAlignment="1">
      <alignment vertical="center"/>
    </xf>
    <xf numFmtId="41" fontId="49" fillId="16" borderId="10" xfId="1959" applyNumberFormat="1" applyFont="1" applyFill="1" applyBorder="1" applyAlignment="1">
      <alignment vertical="center"/>
    </xf>
    <xf numFmtId="177" fontId="49" fillId="16" borderId="10" xfId="1959" applyNumberFormat="1" applyFont="1" applyFill="1" applyBorder="1" applyAlignment="1">
      <alignment vertical="center"/>
    </xf>
    <xf numFmtId="41" fontId="49" fillId="17" borderId="15" xfId="0" applyNumberFormat="1" applyFont="1" applyFill="1" applyBorder="1" applyAlignment="1">
      <alignment vertical="center"/>
    </xf>
    <xf numFmtId="41" fontId="49" fillId="17" borderId="6" xfId="0" applyNumberFormat="1" applyFont="1" applyFill="1" applyBorder="1" applyAlignment="1">
      <alignment vertical="center"/>
    </xf>
    <xf numFmtId="41" fontId="49" fillId="17" borderId="33" xfId="0" applyNumberFormat="1" applyFont="1" applyFill="1" applyBorder="1" applyAlignment="1">
      <alignment vertical="center"/>
    </xf>
    <xf numFmtId="41" fontId="49" fillId="17" borderId="25" xfId="1959" applyNumberFormat="1" applyFont="1" applyFill="1" applyBorder="1" applyAlignment="1">
      <alignment vertical="center"/>
    </xf>
    <xf numFmtId="41" fontId="121" fillId="0" borderId="16" xfId="1959" applyNumberFormat="1" applyFont="1" applyFill="1" applyBorder="1" applyAlignment="1">
      <alignment vertical="center"/>
    </xf>
    <xf numFmtId="41" fontId="52" fillId="17" borderId="25" xfId="1959" applyNumberFormat="1" applyFont="1" applyFill="1" applyBorder="1" applyAlignment="1">
      <alignment vertical="center"/>
    </xf>
    <xf numFmtId="41" fontId="49" fillId="18" borderId="6" xfId="1959" applyNumberFormat="1" applyFont="1" applyFill="1" applyBorder="1" applyAlignment="1">
      <alignment vertical="center"/>
    </xf>
    <xf numFmtId="41" fontId="121" fillId="0" borderId="15" xfId="1959" applyNumberFormat="1" applyFont="1" applyFill="1" applyBorder="1" applyAlignment="1">
      <alignment vertical="center"/>
    </xf>
    <xf numFmtId="41" fontId="59" fillId="17" borderId="25" xfId="1959" applyNumberFormat="1" applyFont="1" applyFill="1" applyBorder="1" applyAlignment="1">
      <alignment vertical="center"/>
    </xf>
    <xf numFmtId="41" fontId="59" fillId="17" borderId="105" xfId="1959" applyNumberFormat="1" applyFont="1" applyFill="1" applyBorder="1" applyAlignment="1">
      <alignment vertical="center"/>
    </xf>
    <xf numFmtId="41" fontId="52" fillId="17" borderId="16" xfId="1959" applyNumberFormat="1" applyFont="1" applyFill="1" applyBorder="1" applyAlignment="1">
      <alignment vertical="center"/>
    </xf>
    <xf numFmtId="41" fontId="121" fillId="17" borderId="25" xfId="1959" applyNumberFormat="1" applyFont="1" applyFill="1" applyBorder="1" applyAlignment="1">
      <alignment vertical="center"/>
    </xf>
    <xf numFmtId="41" fontId="121" fillId="17" borderId="16" xfId="1959" applyNumberFormat="1" applyFont="1" applyFill="1" applyBorder="1" applyAlignment="1">
      <alignment vertical="center"/>
    </xf>
    <xf numFmtId="41" fontId="121" fillId="0" borderId="55" xfId="1959" applyNumberFormat="1" applyFont="1" applyFill="1" applyBorder="1" applyAlignment="1">
      <alignment vertical="center"/>
    </xf>
    <xf numFmtId="41" fontId="49" fillId="17" borderId="15" xfId="1959" applyNumberFormat="1" applyFont="1" applyFill="1" applyBorder="1" applyAlignment="1">
      <alignment vertical="center"/>
    </xf>
    <xf numFmtId="41" fontId="121" fillId="17" borderId="100" xfId="1959" applyNumberFormat="1" applyFont="1" applyFill="1" applyBorder="1" applyAlignment="1">
      <alignment vertical="center"/>
    </xf>
    <xf numFmtId="41" fontId="49" fillId="17" borderId="100" xfId="1959" applyNumberFormat="1" applyFont="1" applyFill="1" applyBorder="1" applyAlignment="1">
      <alignment vertical="center"/>
    </xf>
    <xf numFmtId="41" fontId="121" fillId="0" borderId="100" xfId="1959" applyNumberFormat="1" applyFont="1" applyFill="1" applyBorder="1" applyAlignment="1">
      <alignment vertical="center"/>
    </xf>
    <xf numFmtId="41" fontId="49" fillId="0" borderId="15" xfId="1959" applyNumberFormat="1" applyFont="1" applyFill="1" applyBorder="1" applyAlignment="1">
      <alignment vertical="center"/>
    </xf>
    <xf numFmtId="41" fontId="49" fillId="0" borderId="55" xfId="1959" applyNumberFormat="1" applyFont="1" applyFill="1" applyBorder="1" applyAlignment="1">
      <alignment vertical="center"/>
    </xf>
    <xf numFmtId="195" fontId="121" fillId="17" borderId="15" xfId="0" applyNumberFormat="1" applyFont="1" applyFill="1" applyBorder="1" applyAlignment="1">
      <alignment vertical="center"/>
    </xf>
    <xf numFmtId="195" fontId="49" fillId="17" borderId="6" xfId="0" applyNumberFormat="1" applyFont="1" applyFill="1" applyBorder="1" applyAlignment="1">
      <alignment vertical="center"/>
    </xf>
    <xf numFmtId="195" fontId="49" fillId="17" borderId="33" xfId="0" applyNumberFormat="1" applyFont="1" applyFill="1" applyBorder="1" applyAlignment="1">
      <alignment vertical="center"/>
    </xf>
    <xf numFmtId="195" fontId="49" fillId="0" borderId="15" xfId="0" applyNumberFormat="1" applyFont="1" applyBorder="1" applyAlignment="1">
      <alignment vertical="center"/>
    </xf>
    <xf numFmtId="195" fontId="49" fillId="18" borderId="6" xfId="0" applyNumberFormat="1" applyFont="1" applyFill="1" applyBorder="1" applyAlignment="1">
      <alignment vertical="center"/>
    </xf>
    <xf numFmtId="195" fontId="49" fillId="0" borderId="15" xfId="0" applyNumberFormat="1" applyFont="1" applyFill="1" applyBorder="1" applyAlignment="1">
      <alignment vertical="center"/>
    </xf>
    <xf numFmtId="199" fontId="49" fillId="0" borderId="0" xfId="0" applyNumberFormat="1" applyFont="1" applyFill="1" applyAlignment="1">
      <alignment vertical="center"/>
    </xf>
    <xf numFmtId="41" fontId="61" fillId="0" borderId="93" xfId="1959" applyFont="1" applyBorder="1" applyAlignment="1">
      <alignment vertical="center"/>
    </xf>
    <xf numFmtId="0" fontId="46" fillId="0" borderId="0" xfId="0" applyFont="1" applyAlignment="1">
      <alignment horizontal="center" vertical="center"/>
    </xf>
    <xf numFmtId="41" fontId="128" fillId="0" borderId="0" xfId="0" applyNumberFormat="1" applyFont="1" applyAlignment="1">
      <alignment vertical="center"/>
    </xf>
    <xf numFmtId="0" fontId="153" fillId="0" borderId="92" xfId="0" applyFont="1" applyBorder="1" applyAlignment="1">
      <alignment horizontal="center" vertical="center"/>
    </xf>
    <xf numFmtId="0" fontId="154" fillId="0" borderId="95" xfId="0" applyFont="1" applyBorder="1" applyAlignment="1">
      <alignment horizontal="center" vertical="center"/>
    </xf>
    <xf numFmtId="0" fontId="153" fillId="0" borderId="92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Continuous"/>
    </xf>
    <xf numFmtId="200" fontId="47" fillId="0" borderId="0" xfId="0" applyNumberFormat="1" applyFont="1" applyAlignment="1">
      <alignment vertical="center"/>
    </xf>
    <xf numFmtId="189" fontId="49" fillId="0" borderId="0" xfId="0" applyNumberFormat="1" applyFont="1" applyAlignment="1">
      <alignment vertical="center"/>
    </xf>
    <xf numFmtId="41" fontId="121" fillId="18" borderId="6" xfId="1959" applyNumberFormat="1" applyFont="1" applyFill="1" applyBorder="1" applyAlignment="1">
      <alignment vertical="center"/>
    </xf>
    <xf numFmtId="41" fontId="45" fillId="0" borderId="0" xfId="0" applyNumberFormat="1" applyFont="1" applyAlignment="1">
      <alignment vertical="center"/>
    </xf>
    <xf numFmtId="0" fontId="49" fillId="17" borderId="9" xfId="0" applyFont="1" applyFill="1" applyBorder="1" applyAlignment="1">
      <alignment horizontal="center" vertical="center"/>
    </xf>
    <xf numFmtId="0" fontId="49" fillId="17" borderId="10" xfId="0" applyFont="1" applyFill="1" applyBorder="1" applyAlignment="1">
      <alignment horizontal="center" vertical="center"/>
    </xf>
    <xf numFmtId="0" fontId="49" fillId="17" borderId="101" xfId="0" applyFont="1" applyFill="1" applyBorder="1" applyAlignment="1">
      <alignment horizontal="centerContinuous" vertical="center"/>
    </xf>
    <xf numFmtId="0" fontId="49" fillId="17" borderId="98" xfId="0" applyFont="1" applyFill="1" applyBorder="1" applyAlignment="1">
      <alignment horizontal="centerContinuous" vertical="center"/>
    </xf>
    <xf numFmtId="41" fontId="49" fillId="17" borderId="100" xfId="0" applyNumberFormat="1" applyFont="1" applyFill="1" applyBorder="1" applyAlignment="1">
      <alignment vertical="center"/>
    </xf>
    <xf numFmtId="195" fontId="121" fillId="17" borderId="105" xfId="0" applyNumberFormat="1" applyFont="1" applyFill="1" applyBorder="1" applyAlignment="1">
      <alignment vertical="center"/>
    </xf>
    <xf numFmtId="41" fontId="49" fillId="17" borderId="105" xfId="0" applyNumberFormat="1" applyFont="1" applyFill="1" applyBorder="1" applyAlignment="1">
      <alignment vertical="center"/>
    </xf>
    <xf numFmtId="0" fontId="49" fillId="17" borderId="104" xfId="0" applyFont="1" applyFill="1" applyBorder="1" applyAlignment="1">
      <alignment horizontal="centerContinuous" vertical="center"/>
    </xf>
    <xf numFmtId="177" fontId="49" fillId="17" borderId="100" xfId="0" applyNumberFormat="1" applyFont="1" applyFill="1" applyBorder="1" applyAlignment="1">
      <alignment vertical="center"/>
    </xf>
    <xf numFmtId="195" fontId="49" fillId="0" borderId="100" xfId="0" applyNumberFormat="1" applyFont="1" applyFill="1" applyBorder="1" applyAlignment="1">
      <alignment vertical="center"/>
    </xf>
    <xf numFmtId="195" fontId="63" fillId="0" borderId="100" xfId="0" applyNumberFormat="1" applyFont="1" applyFill="1" applyBorder="1" applyAlignment="1">
      <alignment vertical="center"/>
    </xf>
    <xf numFmtId="41" fontId="52" fillId="17" borderId="100" xfId="1959" applyNumberFormat="1" applyFont="1" applyFill="1" applyBorder="1" applyAlignment="1">
      <alignment vertical="center"/>
    </xf>
    <xf numFmtId="41" fontId="59" fillId="17" borderId="100" xfId="1959" applyNumberFormat="1" applyFont="1" applyFill="1" applyBorder="1" applyAlignment="1">
      <alignment vertical="center"/>
    </xf>
    <xf numFmtId="41" fontId="121" fillId="17" borderId="105" xfId="1959" applyNumberFormat="1" applyFont="1" applyFill="1" applyBorder="1" applyAlignment="1">
      <alignment vertical="center"/>
    </xf>
    <xf numFmtId="41" fontId="49" fillId="0" borderId="100" xfId="1959" applyNumberFormat="1" applyFont="1" applyFill="1" applyBorder="1" applyAlignment="1">
      <alignment vertical="center"/>
    </xf>
    <xf numFmtId="0" fontId="159" fillId="54" borderId="181" xfId="0" applyFont="1" applyFill="1" applyBorder="1" applyAlignment="1">
      <alignment horizontal="center" vertical="center" wrapText="1"/>
    </xf>
    <xf numFmtId="0" fontId="159" fillId="54" borderId="182" xfId="0" applyFont="1" applyFill="1" applyBorder="1" applyAlignment="1">
      <alignment horizontal="center" vertical="center" wrapText="1"/>
    </xf>
    <xf numFmtId="0" fontId="159" fillId="54" borderId="183" xfId="0" applyFont="1" applyFill="1" applyBorder="1" applyAlignment="1">
      <alignment horizontal="center" vertical="center" wrapText="1"/>
    </xf>
    <xf numFmtId="0" fontId="162" fillId="54" borderId="184" xfId="0" applyFont="1" applyFill="1" applyBorder="1" applyAlignment="1">
      <alignment horizontal="center" vertical="center" wrapText="1"/>
    </xf>
    <xf numFmtId="0" fontId="162" fillId="54" borderId="185" xfId="0" applyFont="1" applyFill="1" applyBorder="1" applyAlignment="1">
      <alignment horizontal="center" vertical="center" wrapText="1"/>
    </xf>
    <xf numFmtId="0" fontId="159" fillId="54" borderId="186" xfId="0" applyFont="1" applyFill="1" applyBorder="1" applyAlignment="1">
      <alignment horizontal="center" vertical="center" wrapText="1"/>
    </xf>
    <xf numFmtId="0" fontId="147" fillId="0" borderId="145" xfId="2697" applyFont="1" applyBorder="1">
      <alignment vertical="center"/>
    </xf>
    <xf numFmtId="176" fontId="163" fillId="0" borderId="94" xfId="0" applyNumberFormat="1" applyFont="1" applyBorder="1" applyAlignment="1">
      <alignment vertical="center"/>
    </xf>
    <xf numFmtId="0" fontId="60" fillId="55" borderId="0" xfId="0" applyFont="1" applyFill="1" applyAlignment="1">
      <alignment horizontal="left" vertical="center"/>
    </xf>
    <xf numFmtId="41" fontId="49" fillId="16" borderId="10" xfId="1959" applyNumberFormat="1" applyFont="1" applyFill="1" applyBorder="1" applyAlignment="1">
      <alignment vertical="center" shrinkToFit="1"/>
    </xf>
    <xf numFmtId="177" fontId="49" fillId="16" borderId="28" xfId="1959" applyNumberFormat="1" applyFont="1" applyFill="1" applyBorder="1" applyAlignment="1">
      <alignment vertical="center" shrinkToFit="1"/>
    </xf>
    <xf numFmtId="0" fontId="159" fillId="51" borderId="181" xfId="0" applyFont="1" applyFill="1" applyBorder="1" applyAlignment="1">
      <alignment horizontal="center" vertical="center" wrapText="1"/>
    </xf>
    <xf numFmtId="0" fontId="45" fillId="51" borderId="0" xfId="0" applyFont="1" applyFill="1" applyAlignment="1">
      <alignment horizontal="center" vertical="center"/>
    </xf>
    <xf numFmtId="195" fontId="121" fillId="0" borderId="100" xfId="0" applyNumberFormat="1" applyFont="1" applyFill="1" applyBorder="1" applyAlignment="1">
      <alignment vertical="center"/>
    </xf>
    <xf numFmtId="3" fontId="160" fillId="0" borderId="184" xfId="0" applyNumberFormat="1" applyFont="1" applyBorder="1" applyAlignment="1">
      <alignment horizontal="right" vertical="center" wrapText="1"/>
    </xf>
    <xf numFmtId="190" fontId="161" fillId="0" borderId="185" xfId="2696" applyNumberFormat="1" applyFont="1" applyBorder="1" applyAlignment="1">
      <alignment horizontal="center" vertical="center" wrapText="1"/>
    </xf>
    <xf numFmtId="3" fontId="160" fillId="0" borderId="188" xfId="0" applyNumberFormat="1" applyFont="1" applyBorder="1" applyAlignment="1">
      <alignment horizontal="right" vertical="center" wrapText="1"/>
    </xf>
    <xf numFmtId="190" fontId="161" fillId="0" borderId="188" xfId="2696" applyNumberFormat="1" applyFont="1" applyBorder="1" applyAlignment="1">
      <alignment horizontal="center" vertical="center" wrapText="1"/>
    </xf>
    <xf numFmtId="195" fontId="123" fillId="17" borderId="16" xfId="1959" applyNumberFormat="1" applyFont="1" applyFill="1" applyBorder="1" applyAlignment="1">
      <alignment horizontal="center" vertical="center"/>
    </xf>
    <xf numFmtId="3" fontId="159" fillId="0" borderId="188" xfId="0" applyNumberFormat="1" applyFont="1" applyFill="1" applyBorder="1" applyAlignment="1">
      <alignment horizontal="right" vertical="center" wrapText="1"/>
    </xf>
    <xf numFmtId="190" fontId="159" fillId="0" borderId="188" xfId="2696" applyNumberFormat="1" applyFont="1" applyFill="1" applyBorder="1" applyAlignment="1">
      <alignment horizontal="right" vertical="center" wrapText="1"/>
    </xf>
    <xf numFmtId="190" fontId="161" fillId="0" borderId="188" xfId="2696" applyNumberFormat="1" applyFont="1" applyFill="1" applyBorder="1" applyAlignment="1">
      <alignment horizontal="center" vertical="center" wrapText="1"/>
    </xf>
    <xf numFmtId="3" fontId="159" fillId="0" borderId="184" xfId="0" applyNumberFormat="1" applyFont="1" applyFill="1" applyBorder="1" applyAlignment="1">
      <alignment horizontal="right" vertical="center" wrapText="1"/>
    </xf>
    <xf numFmtId="190" fontId="159" fillId="0" borderId="185" xfId="0" applyNumberFormat="1" applyFont="1" applyFill="1" applyBorder="1" applyAlignment="1">
      <alignment horizontal="right" vertical="center" wrapText="1"/>
    </xf>
    <xf numFmtId="190" fontId="161" fillId="0" borderId="185" xfId="2696" applyNumberFormat="1" applyFont="1" applyFill="1" applyBorder="1" applyAlignment="1">
      <alignment horizontal="center" vertical="center" wrapText="1"/>
    </xf>
    <xf numFmtId="0" fontId="47" fillId="0" borderId="43" xfId="0" applyFont="1" applyBorder="1" applyAlignment="1">
      <alignment vertical="center"/>
    </xf>
    <xf numFmtId="177" fontId="47" fillId="0" borderId="92" xfId="0" applyNumberFormat="1" applyFont="1" applyFill="1" applyBorder="1" applyAlignment="1">
      <alignment vertical="center"/>
    </xf>
    <xf numFmtId="177" fontId="47" fillId="0" borderId="93" xfId="0" applyNumberFormat="1" applyFont="1" applyFill="1" applyBorder="1" applyAlignment="1">
      <alignment vertical="center"/>
    </xf>
    <xf numFmtId="0" fontId="47" fillId="0" borderId="94" xfId="0" applyFont="1" applyBorder="1" applyAlignment="1">
      <alignment vertical="center"/>
    </xf>
    <xf numFmtId="0" fontId="47" fillId="0" borderId="92" xfId="0" applyFont="1" applyFill="1" applyBorder="1" applyAlignment="1">
      <alignment vertical="center"/>
    </xf>
    <xf numFmtId="41" fontId="47" fillId="0" borderId="93" xfId="0" applyNumberFormat="1" applyFont="1" applyFill="1" applyBorder="1" applyAlignment="1">
      <alignment vertical="center"/>
    </xf>
    <xf numFmtId="0" fontId="47" fillId="0" borderId="95" xfId="0" applyFont="1" applyBorder="1" applyAlignment="1">
      <alignment vertical="center"/>
    </xf>
    <xf numFmtId="177" fontId="47" fillId="0" borderId="96" xfId="0" applyNumberFormat="1" applyFont="1" applyBorder="1" applyAlignment="1">
      <alignment vertical="center"/>
    </xf>
    <xf numFmtId="43" fontId="47" fillId="0" borderId="96" xfId="0" applyNumberFormat="1" applyFont="1" applyBorder="1" applyAlignment="1">
      <alignment vertical="center"/>
    </xf>
    <xf numFmtId="0" fontId="47" fillId="0" borderId="97" xfId="0" applyFont="1" applyBorder="1" applyAlignment="1">
      <alignment vertical="center"/>
    </xf>
    <xf numFmtId="177" fontId="47" fillId="0" borderId="41" xfId="0" applyNumberFormat="1" applyFont="1" applyFill="1" applyBorder="1" applyAlignment="1">
      <alignment horizontal="center" vertical="center"/>
    </xf>
    <xf numFmtId="0" fontId="47" fillId="0" borderId="42" xfId="0" applyFont="1" applyFill="1" applyBorder="1" applyAlignment="1">
      <alignment horizontal="center" vertical="center"/>
    </xf>
    <xf numFmtId="190" fontId="47" fillId="0" borderId="0" xfId="2696" applyNumberFormat="1" applyFont="1" applyAlignment="1">
      <alignment vertical="center"/>
    </xf>
    <xf numFmtId="41" fontId="47" fillId="0" borderId="0" xfId="1959" applyFont="1" applyAlignment="1">
      <alignment vertical="center"/>
    </xf>
    <xf numFmtId="176" fontId="47" fillId="0" borderId="0" xfId="0" applyNumberFormat="1" applyFont="1" applyAlignment="1">
      <alignment vertical="center"/>
    </xf>
    <xf numFmtId="0" fontId="152" fillId="0" borderId="0" xfId="0" applyFont="1" applyAlignment="1">
      <alignment vertical="center"/>
    </xf>
    <xf numFmtId="0" fontId="124" fillId="51" borderId="181" xfId="0" applyFont="1" applyFill="1" applyBorder="1" applyAlignment="1">
      <alignment horizontal="center" vertical="center" wrapText="1"/>
    </xf>
    <xf numFmtId="0" fontId="58" fillId="52" borderId="50" xfId="0" applyFont="1" applyFill="1" applyBorder="1"/>
    <xf numFmtId="0" fontId="58" fillId="52" borderId="48" xfId="0" applyFont="1" applyFill="1" applyBorder="1" applyAlignment="1">
      <alignment horizontal="center"/>
    </xf>
    <xf numFmtId="0" fontId="58" fillId="52" borderId="51" xfId="0" applyFont="1" applyFill="1" applyBorder="1" applyAlignment="1">
      <alignment horizontal="center"/>
    </xf>
    <xf numFmtId="189" fontId="58" fillId="52" borderId="51" xfId="1959" applyNumberFormat="1" applyFont="1" applyFill="1" applyBorder="1"/>
    <xf numFmtId="43" fontId="47" fillId="0" borderId="0" xfId="0" applyNumberFormat="1" applyFont="1" applyAlignment="1">
      <alignment vertical="center"/>
    </xf>
    <xf numFmtId="195" fontId="123" fillId="17" borderId="25" xfId="1959" applyNumberFormat="1" applyFont="1" applyFill="1" applyBorder="1" applyAlignment="1">
      <alignment horizontal="center" vertical="center"/>
    </xf>
    <xf numFmtId="41" fontId="123" fillId="17" borderId="25" xfId="1959" applyNumberFormat="1" applyFont="1" applyFill="1" applyBorder="1" applyAlignment="1">
      <alignment horizontal="center" vertical="center"/>
    </xf>
    <xf numFmtId="208" fontId="45" fillId="0" borderId="0" xfId="0" applyNumberFormat="1" applyFont="1" applyAlignment="1">
      <alignment vertical="center"/>
    </xf>
    <xf numFmtId="41" fontId="128" fillId="0" borderId="188" xfId="1959" applyFont="1" applyFill="1" applyBorder="1" applyAlignment="1">
      <alignment horizontal="center" vertical="center" wrapText="1"/>
    </xf>
    <xf numFmtId="41" fontId="128" fillId="0" borderId="184" xfId="1959" applyFont="1" applyFill="1" applyBorder="1" applyAlignment="1">
      <alignment horizontal="center" vertical="center" wrapText="1"/>
    </xf>
    <xf numFmtId="204" fontId="160" fillId="0" borderId="188" xfId="0" applyNumberFormat="1" applyFont="1" applyBorder="1" applyAlignment="1">
      <alignment horizontal="right" vertical="center" wrapText="1"/>
    </xf>
    <xf numFmtId="204" fontId="159" fillId="0" borderId="188" xfId="0" applyNumberFormat="1" applyFont="1" applyFill="1" applyBorder="1" applyAlignment="1">
      <alignment horizontal="right" vertical="center" wrapText="1"/>
    </xf>
    <xf numFmtId="190" fontId="159" fillId="0" borderId="188" xfId="0" applyNumberFormat="1" applyFont="1" applyFill="1" applyBorder="1" applyAlignment="1">
      <alignment horizontal="right" vertical="center" wrapText="1"/>
    </xf>
    <xf numFmtId="209" fontId="159" fillId="0" borderId="188" xfId="0" applyNumberFormat="1" applyFont="1" applyFill="1" applyBorder="1" applyAlignment="1">
      <alignment horizontal="right" vertical="center" wrapText="1"/>
    </xf>
    <xf numFmtId="204" fontId="160" fillId="0" borderId="199" xfId="0" applyNumberFormat="1" applyFont="1" applyBorder="1" applyAlignment="1">
      <alignment horizontal="right" vertical="center" wrapText="1"/>
    </xf>
    <xf numFmtId="204" fontId="159" fillId="0" borderId="199" xfId="0" applyNumberFormat="1" applyFont="1" applyFill="1" applyBorder="1" applyAlignment="1">
      <alignment horizontal="right" vertical="center" wrapText="1"/>
    </xf>
    <xf numFmtId="190" fontId="159" fillId="0" borderId="199" xfId="0" applyNumberFormat="1" applyFont="1" applyFill="1" applyBorder="1" applyAlignment="1">
      <alignment horizontal="right" vertical="center" wrapText="1"/>
    </xf>
    <xf numFmtId="209" fontId="159" fillId="0" borderId="199" xfId="0" applyNumberFormat="1" applyFont="1" applyFill="1" applyBorder="1" applyAlignment="1">
      <alignment horizontal="right" vertical="center" wrapText="1"/>
    </xf>
    <xf numFmtId="190" fontId="161" fillId="0" borderId="199" xfId="2696" applyNumberFormat="1" applyFont="1" applyFill="1" applyBorder="1" applyAlignment="1">
      <alignment horizontal="center" vertical="center" wrapText="1"/>
    </xf>
    <xf numFmtId="190" fontId="161" fillId="0" borderId="199" xfId="2696" applyNumberFormat="1" applyFont="1" applyBorder="1" applyAlignment="1">
      <alignment horizontal="center" vertical="center" wrapText="1"/>
    </xf>
    <xf numFmtId="0" fontId="49" fillId="52" borderId="7" xfId="0" applyFont="1" applyFill="1" applyBorder="1" applyAlignment="1">
      <alignment horizontal="centerContinuous" vertical="center"/>
    </xf>
    <xf numFmtId="0" fontId="122" fillId="52" borderId="10" xfId="0" applyFont="1" applyFill="1" applyBorder="1" applyAlignment="1">
      <alignment horizontal="center" vertical="center"/>
    </xf>
    <xf numFmtId="182" fontId="47" fillId="52" borderId="6" xfId="0" applyNumberFormat="1" applyFont="1" applyFill="1" applyBorder="1" applyAlignment="1">
      <alignment horizontal="center" vertical="center"/>
    </xf>
    <xf numFmtId="195" fontId="47" fillId="52" borderId="6" xfId="1959" applyNumberFormat="1" applyFont="1" applyFill="1" applyBorder="1" applyAlignment="1">
      <alignment horizontal="center" vertical="center"/>
    </xf>
    <xf numFmtId="41" fontId="47" fillId="52" borderId="6" xfId="1959" applyNumberFormat="1" applyFont="1" applyFill="1" applyBorder="1" applyAlignment="1">
      <alignment horizontal="center" vertical="center"/>
    </xf>
    <xf numFmtId="182" fontId="47" fillId="52" borderId="34" xfId="0" applyNumberFormat="1" applyFont="1" applyFill="1" applyBorder="1" applyAlignment="1">
      <alignment horizontal="center" vertical="center"/>
    </xf>
    <xf numFmtId="195" fontId="164" fillId="52" borderId="34" xfId="1959" applyNumberFormat="1" applyFont="1" applyFill="1" applyBorder="1" applyAlignment="1">
      <alignment horizontal="center" vertical="center"/>
    </xf>
    <xf numFmtId="41" fontId="164" fillId="52" borderId="34" xfId="1959" applyNumberFormat="1" applyFont="1" applyFill="1" applyBorder="1" applyAlignment="1">
      <alignment horizontal="center" vertical="center"/>
    </xf>
    <xf numFmtId="0" fontId="46" fillId="52" borderId="93" xfId="0" applyFont="1" applyFill="1" applyBorder="1" applyAlignment="1">
      <alignment horizontal="center" vertical="center"/>
    </xf>
    <xf numFmtId="0" fontId="46" fillId="52" borderId="94" xfId="0" applyFont="1" applyFill="1" applyBorder="1" applyAlignment="1">
      <alignment horizontal="center" vertical="center"/>
    </xf>
    <xf numFmtId="0" fontId="46" fillId="52" borderId="92" xfId="0" applyFont="1" applyFill="1" applyBorder="1" applyAlignment="1">
      <alignment horizontal="center" vertical="center"/>
    </xf>
    <xf numFmtId="0" fontId="46" fillId="52" borderId="41" xfId="0" applyFont="1" applyFill="1" applyBorder="1" applyAlignment="1">
      <alignment horizontal="center" vertical="center"/>
    </xf>
    <xf numFmtId="0" fontId="46" fillId="52" borderId="42" xfId="0" applyFont="1" applyFill="1" applyBorder="1" applyAlignment="1">
      <alignment horizontal="center" vertical="center"/>
    </xf>
    <xf numFmtId="0" fontId="46" fillId="52" borderId="43" xfId="0" applyFont="1" applyFill="1" applyBorder="1" applyAlignment="1">
      <alignment horizontal="center" vertical="center"/>
    </xf>
    <xf numFmtId="0" fontId="153" fillId="52" borderId="41" xfId="0" applyFont="1" applyFill="1" applyBorder="1" applyAlignment="1">
      <alignment horizontal="center" vertical="center"/>
    </xf>
    <xf numFmtId="176" fontId="153" fillId="52" borderId="43" xfId="0" applyNumberFormat="1" applyFont="1" applyFill="1" applyBorder="1" applyAlignment="1">
      <alignment horizontal="center" vertical="center"/>
    </xf>
    <xf numFmtId="41" fontId="44" fillId="0" borderId="100" xfId="1959" applyNumberFormat="1" applyFont="1" applyBorder="1" applyAlignment="1">
      <alignment horizontal="center" vertical="center"/>
    </xf>
    <xf numFmtId="195" fontId="44" fillId="0" borderId="100" xfId="1959" applyNumberFormat="1" applyFont="1" applyBorder="1" applyAlignment="1">
      <alignment horizontal="center" vertical="center"/>
    </xf>
    <xf numFmtId="195" fontId="44" fillId="0" borderId="16" xfId="1959" applyNumberFormat="1" applyFont="1" applyBorder="1" applyAlignment="1">
      <alignment horizontal="center" vertical="center"/>
    </xf>
    <xf numFmtId="41" fontId="44" fillId="0" borderId="16" xfId="1959" applyNumberFormat="1" applyFont="1" applyBorder="1" applyAlignment="1">
      <alignment horizontal="center" vertical="center"/>
    </xf>
    <xf numFmtId="210" fontId="47" fillId="0" borderId="0" xfId="1959" applyNumberFormat="1" applyFont="1" applyFill="1" applyAlignment="1">
      <alignment vertical="center"/>
    </xf>
    <xf numFmtId="210" fontId="47" fillId="0" borderId="0" xfId="0" applyNumberFormat="1" applyFont="1" applyFill="1" applyAlignment="1">
      <alignment vertical="center"/>
    </xf>
    <xf numFmtId="0" fontId="65" fillId="0" borderId="0" xfId="0" applyFont="1" applyFill="1" applyBorder="1" applyAlignment="1">
      <alignment horizontal="center" vertical="center"/>
    </xf>
    <xf numFmtId="0" fontId="65" fillId="0" borderId="81" xfId="0" applyFont="1" applyFill="1" applyBorder="1" applyAlignment="1">
      <alignment horizontal="center" vertical="center"/>
    </xf>
    <xf numFmtId="0" fontId="45" fillId="56" borderId="26" xfId="0" applyFont="1" applyFill="1" applyBorder="1" applyAlignment="1">
      <alignment horizontal="center" vertical="center"/>
    </xf>
    <xf numFmtId="41" fontId="45" fillId="56" borderId="6" xfId="1959" applyFont="1" applyFill="1" applyBorder="1" applyAlignment="1">
      <alignment horizontal="center" vertical="center"/>
    </xf>
    <xf numFmtId="0" fontId="45" fillId="56" borderId="208" xfId="0" applyFont="1" applyFill="1" applyBorder="1" applyAlignment="1">
      <alignment horizontal="center" vertical="center"/>
    </xf>
    <xf numFmtId="0" fontId="45" fillId="56" borderId="209" xfId="0" applyFont="1" applyFill="1" applyBorder="1" applyAlignment="1">
      <alignment horizontal="center" vertical="center"/>
    </xf>
    <xf numFmtId="41" fontId="45" fillId="56" borderId="26" xfId="1959" applyFont="1" applyFill="1" applyBorder="1" applyAlignment="1">
      <alignment horizontal="center" vertical="center"/>
    </xf>
    <xf numFmtId="211" fontId="45" fillId="0" borderId="6" xfId="0" applyNumberFormat="1" applyFont="1" applyBorder="1" applyAlignment="1">
      <alignment horizontal="right" vertical="center"/>
    </xf>
    <xf numFmtId="0" fontId="45" fillId="0" borderId="0" xfId="0" applyFont="1" applyFill="1" applyBorder="1" applyAlignment="1">
      <alignment horizontal="right" vertical="center"/>
    </xf>
    <xf numFmtId="176" fontId="168" fillId="0" borderId="0" xfId="0" applyNumberFormat="1" applyFont="1" applyFill="1" applyBorder="1" applyAlignment="1">
      <alignment vertical="center"/>
    </xf>
    <xf numFmtId="205" fontId="168" fillId="0" borderId="0" xfId="0" applyNumberFormat="1" applyFont="1" applyFill="1" applyBorder="1" applyAlignment="1">
      <alignment vertical="center"/>
    </xf>
    <xf numFmtId="0" fontId="168" fillId="0" borderId="0" xfId="0" applyFont="1" applyBorder="1" applyAlignment="1">
      <alignment horizontal="center" vertical="center"/>
    </xf>
    <xf numFmtId="41" fontId="125" fillId="56" borderId="208" xfId="1959" applyFont="1" applyFill="1" applyBorder="1" applyAlignment="1">
      <alignment horizontal="center" vertical="center"/>
    </xf>
    <xf numFmtId="41" fontId="125" fillId="56" borderId="6" xfId="1959" applyFont="1" applyFill="1" applyBorder="1" applyAlignment="1">
      <alignment horizontal="center" vertical="center"/>
    </xf>
    <xf numFmtId="0" fontId="45" fillId="57" borderId="6" xfId="0" applyFont="1" applyFill="1" applyBorder="1" applyAlignment="1">
      <alignment horizontal="right" vertical="center"/>
    </xf>
    <xf numFmtId="0" fontId="170" fillId="57" borderId="191" xfId="0" applyFont="1" applyFill="1" applyBorder="1" applyAlignment="1">
      <alignment horizontal="right" vertical="center"/>
    </xf>
    <xf numFmtId="0" fontId="170" fillId="57" borderId="198" xfId="0" applyFont="1" applyFill="1" applyBorder="1" applyAlignment="1">
      <alignment horizontal="right" vertical="center"/>
    </xf>
    <xf numFmtId="205" fontId="170" fillId="57" borderId="210" xfId="1959" applyNumberFormat="1" applyFont="1" applyFill="1" applyBorder="1" applyAlignment="1">
      <alignment horizontal="right" vertical="center"/>
    </xf>
    <xf numFmtId="205" fontId="170" fillId="57" borderId="191" xfId="1959" applyNumberFormat="1" applyFont="1" applyFill="1" applyBorder="1" applyAlignment="1">
      <alignment horizontal="right" vertical="center"/>
    </xf>
    <xf numFmtId="0" fontId="170" fillId="57" borderId="55" xfId="0" applyFont="1" applyFill="1" applyBorder="1" applyAlignment="1">
      <alignment horizontal="right" vertical="center"/>
    </xf>
    <xf numFmtId="0" fontId="170" fillId="57" borderId="24" xfId="0" applyFont="1" applyFill="1" applyBorder="1" applyAlignment="1">
      <alignment horizontal="right" vertical="center"/>
    </xf>
    <xf numFmtId="205" fontId="170" fillId="57" borderId="217" xfId="1959" applyNumberFormat="1" applyFont="1" applyFill="1" applyBorder="1" applyAlignment="1">
      <alignment horizontal="right" vertical="center"/>
    </xf>
    <xf numFmtId="205" fontId="170" fillId="57" borderId="218" xfId="1959" applyNumberFormat="1" applyFont="1" applyFill="1" applyBorder="1" applyAlignment="1">
      <alignment horizontal="right" vertical="center"/>
    </xf>
    <xf numFmtId="0" fontId="170" fillId="57" borderId="6" xfId="0" applyFont="1" applyFill="1" applyBorder="1" applyAlignment="1">
      <alignment horizontal="right" vertical="center"/>
    </xf>
    <xf numFmtId="0" fontId="171" fillId="52" borderId="50" xfId="0" applyFont="1" applyFill="1" applyBorder="1" applyAlignment="1">
      <alignment horizontal="center" vertical="center" wrapText="1"/>
    </xf>
    <xf numFmtId="0" fontId="171" fillId="52" borderId="48" xfId="0" applyFont="1" applyFill="1" applyBorder="1" applyAlignment="1">
      <alignment horizontal="center" vertical="center" wrapText="1"/>
    </xf>
    <xf numFmtId="192" fontId="171" fillId="52" borderId="48" xfId="0" applyNumberFormat="1" applyFont="1" applyFill="1" applyBorder="1" applyAlignment="1">
      <alignment horizontal="center" vertical="center" wrapText="1"/>
    </xf>
    <xf numFmtId="0" fontId="172" fillId="52" borderId="87" xfId="0" applyFont="1" applyFill="1" applyBorder="1" applyAlignment="1">
      <alignment horizontal="center" vertical="center" wrapText="1"/>
    </xf>
    <xf numFmtId="0" fontId="171" fillId="52" borderId="134" xfId="0" applyFont="1" applyFill="1" applyBorder="1" applyAlignment="1">
      <alignment horizontal="center" vertical="center" wrapText="1"/>
    </xf>
    <xf numFmtId="0" fontId="171" fillId="52" borderId="127" xfId="0" applyFont="1" applyFill="1" applyBorder="1" applyAlignment="1">
      <alignment horizontal="center" vertical="center" wrapText="1"/>
    </xf>
    <xf numFmtId="0" fontId="171" fillId="0" borderId="22" xfId="0" applyFont="1" applyFill="1" applyBorder="1" applyAlignment="1">
      <alignment horizontal="center" vertical="center" shrinkToFit="1"/>
    </xf>
    <xf numFmtId="176" fontId="173" fillId="0" borderId="42" xfId="0" applyNumberFormat="1" applyFont="1" applyFill="1" applyBorder="1" applyAlignment="1">
      <alignment vertical="center" shrinkToFit="1"/>
    </xf>
    <xf numFmtId="188" fontId="173" fillId="0" borderId="42" xfId="0" applyNumberFormat="1" applyFont="1" applyFill="1" applyBorder="1" applyAlignment="1">
      <alignment vertical="center" shrinkToFit="1"/>
    </xf>
    <xf numFmtId="187" fontId="173" fillId="0" borderId="42" xfId="0" applyNumberFormat="1" applyFont="1" applyFill="1" applyBorder="1" applyAlignment="1">
      <alignment vertical="center" shrinkToFit="1"/>
    </xf>
    <xf numFmtId="187" fontId="174" fillId="0" borderId="42" xfId="0" applyNumberFormat="1" applyFont="1" applyFill="1" applyBorder="1" applyAlignment="1">
      <alignment vertical="center" shrinkToFit="1"/>
    </xf>
    <xf numFmtId="188" fontId="173" fillId="0" borderId="23" xfId="0" applyNumberFormat="1" applyFont="1" applyFill="1" applyBorder="1" applyAlignment="1">
      <alignment vertical="center" shrinkToFit="1"/>
    </xf>
    <xf numFmtId="188" fontId="174" fillId="0" borderId="129" xfId="0" applyNumberFormat="1" applyFont="1" applyFill="1" applyBorder="1" applyAlignment="1">
      <alignment vertical="center" shrinkToFit="1"/>
    </xf>
    <xf numFmtId="0" fontId="171" fillId="0" borderId="101" xfId="0" applyFont="1" applyFill="1" applyBorder="1" applyAlignment="1">
      <alignment horizontal="center" vertical="center" shrinkToFit="1"/>
    </xf>
    <xf numFmtId="176" fontId="173" fillId="0" borderId="93" xfId="0" applyNumberFormat="1" applyFont="1" applyFill="1" applyBorder="1" applyAlignment="1">
      <alignment vertical="center" shrinkToFit="1"/>
    </xf>
    <xf numFmtId="188" fontId="173" fillId="0" borderId="66" xfId="0" applyNumberFormat="1" applyFont="1" applyFill="1" applyBorder="1" applyAlignment="1">
      <alignment vertical="center" shrinkToFit="1"/>
    </xf>
    <xf numFmtId="187" fontId="173" fillId="0" borderId="93" xfId="0" applyNumberFormat="1" applyFont="1" applyFill="1" applyBorder="1" applyAlignment="1">
      <alignment vertical="center" shrinkToFit="1"/>
    </xf>
    <xf numFmtId="187" fontId="174" fillId="0" borderId="66" xfId="0" applyNumberFormat="1" applyFont="1" applyFill="1" applyBorder="1" applyAlignment="1">
      <alignment vertical="center" shrinkToFit="1"/>
    </xf>
    <xf numFmtId="176" fontId="175" fillId="0" borderId="93" xfId="0" applyNumberFormat="1" applyFont="1" applyFill="1" applyBorder="1" applyAlignment="1">
      <alignment vertical="center" shrinkToFit="1"/>
    </xf>
    <xf numFmtId="188" fontId="173" fillId="0" borderId="98" xfId="0" applyNumberFormat="1" applyFont="1" applyFill="1" applyBorder="1" applyAlignment="1">
      <alignment vertical="center" shrinkToFit="1"/>
    </xf>
    <xf numFmtId="188" fontId="173" fillId="0" borderId="93" xfId="0" applyNumberFormat="1" applyFont="1" applyFill="1" applyBorder="1" applyAlignment="1">
      <alignment vertical="center" shrinkToFit="1"/>
    </xf>
    <xf numFmtId="188" fontId="174" fillId="0" borderId="130" xfId="0" applyNumberFormat="1" applyFont="1" applyFill="1" applyBorder="1" applyAlignment="1">
      <alignment vertical="center" shrinkToFit="1"/>
    </xf>
    <xf numFmtId="0" fontId="171" fillId="0" borderId="102" xfId="0" applyFont="1" applyFill="1" applyBorder="1" applyAlignment="1">
      <alignment horizontal="center" vertical="center" shrinkToFit="1"/>
    </xf>
    <xf numFmtId="176" fontId="173" fillId="0" borderId="96" xfId="0" applyNumberFormat="1" applyFont="1" applyFill="1" applyBorder="1" applyAlignment="1">
      <alignment vertical="center" shrinkToFit="1"/>
    </xf>
    <xf numFmtId="188" fontId="173" fillId="0" borderId="141" xfId="0" applyNumberFormat="1" applyFont="1" applyFill="1" applyBorder="1" applyAlignment="1">
      <alignment vertical="center" shrinkToFit="1"/>
    </xf>
    <xf numFmtId="187" fontId="173" fillId="0" borderId="96" xfId="0" applyNumberFormat="1" applyFont="1" applyFill="1" applyBorder="1" applyAlignment="1">
      <alignment vertical="center" shrinkToFit="1"/>
    </xf>
    <xf numFmtId="187" fontId="174" fillId="0" borderId="141" xfId="0" applyNumberFormat="1" applyFont="1" applyFill="1" applyBorder="1" applyAlignment="1">
      <alignment vertical="center" shrinkToFit="1"/>
    </xf>
    <xf numFmtId="176" fontId="175" fillId="0" borderId="96" xfId="0" applyNumberFormat="1" applyFont="1" applyFill="1" applyBorder="1" applyAlignment="1">
      <alignment vertical="center" shrinkToFit="1"/>
    </xf>
    <xf numFmtId="188" fontId="173" fillId="0" borderId="99" xfId="0" applyNumberFormat="1" applyFont="1" applyFill="1" applyBorder="1" applyAlignment="1">
      <alignment vertical="center" shrinkToFit="1"/>
    </xf>
    <xf numFmtId="188" fontId="173" fillId="0" borderId="96" xfId="0" applyNumberFormat="1" applyFont="1" applyFill="1" applyBorder="1" applyAlignment="1">
      <alignment vertical="center" shrinkToFit="1"/>
    </xf>
    <xf numFmtId="188" fontId="174" fillId="0" borderId="139" xfId="0" applyNumberFormat="1" applyFont="1" applyFill="1" applyBorder="1" applyAlignment="1">
      <alignment vertical="center" shrinkToFit="1"/>
    </xf>
    <xf numFmtId="0" fontId="171" fillId="52" borderId="26" xfId="0" applyFont="1" applyFill="1" applyBorder="1" applyAlignment="1">
      <alignment horizontal="center" vertical="center" shrinkToFit="1"/>
    </xf>
    <xf numFmtId="176" fontId="175" fillId="52" borderId="50" xfId="0" applyNumberFormat="1" applyFont="1" applyFill="1" applyBorder="1" applyAlignment="1">
      <alignment vertical="center" shrinkToFit="1"/>
    </xf>
    <xf numFmtId="176" fontId="175" fillId="52" borderId="48" xfId="0" applyNumberFormat="1" applyFont="1" applyFill="1" applyBorder="1" applyAlignment="1">
      <alignment vertical="center" shrinkToFit="1"/>
    </xf>
    <xf numFmtId="188" fontId="175" fillId="52" borderId="58" xfId="0" applyNumberFormat="1" applyFont="1" applyFill="1" applyBorder="1" applyAlignment="1">
      <alignment vertical="center" shrinkToFit="1"/>
    </xf>
    <xf numFmtId="207" fontId="175" fillId="52" borderId="50" xfId="0" applyNumberFormat="1" applyFont="1" applyFill="1" applyBorder="1" applyAlignment="1">
      <alignment vertical="center" shrinkToFit="1"/>
    </xf>
    <xf numFmtId="187" fontId="173" fillId="52" borderId="48" xfId="0" applyNumberFormat="1" applyFont="1" applyFill="1" applyBorder="1" applyAlignment="1">
      <alignment vertical="center" shrinkToFit="1"/>
    </xf>
    <xf numFmtId="187" fontId="176" fillId="52" borderId="48" xfId="0" applyNumberFormat="1" applyFont="1" applyFill="1" applyBorder="1" applyAlignment="1">
      <alignment vertical="center" shrinkToFit="1"/>
    </xf>
    <xf numFmtId="176" fontId="175" fillId="52" borderId="134" xfId="0" applyNumberFormat="1" applyFont="1" applyFill="1" applyBorder="1" applyAlignment="1">
      <alignment vertical="center" shrinkToFit="1"/>
    </xf>
    <xf numFmtId="176" fontId="173" fillId="52" borderId="48" xfId="0" applyNumberFormat="1" applyFont="1" applyFill="1" applyBorder="1" applyAlignment="1">
      <alignment vertical="center" shrinkToFit="1"/>
    </xf>
    <xf numFmtId="188" fontId="173" fillId="52" borderId="27" xfId="0" applyNumberFormat="1" applyFont="1" applyFill="1" applyBorder="1" applyAlignment="1">
      <alignment vertical="center" shrinkToFit="1"/>
    </xf>
    <xf numFmtId="207" fontId="173" fillId="52" borderId="50" xfId="0" applyNumberFormat="1" applyFont="1" applyFill="1" applyBorder="1" applyAlignment="1">
      <alignment vertical="center" shrinkToFit="1"/>
    </xf>
    <xf numFmtId="188" fontId="173" fillId="52" borderId="48" xfId="0" applyNumberFormat="1" applyFont="1" applyFill="1" applyBorder="1" applyAlignment="1">
      <alignment vertical="center" shrinkToFit="1"/>
    </xf>
    <xf numFmtId="188" fontId="176" fillId="52" borderId="127" xfId="0" applyNumberFormat="1" applyFont="1" applyFill="1" applyBorder="1" applyAlignment="1">
      <alignment vertical="center" shrinkToFit="1"/>
    </xf>
    <xf numFmtId="176" fontId="175" fillId="0" borderId="53" xfId="0" applyNumberFormat="1" applyFont="1" applyFill="1" applyBorder="1" applyAlignment="1">
      <alignment vertical="center" shrinkToFit="1"/>
    </xf>
    <xf numFmtId="188" fontId="173" fillId="0" borderId="140" xfId="0" applyNumberFormat="1" applyFont="1" applyFill="1" applyBorder="1" applyAlignment="1">
      <alignment vertical="center" shrinkToFit="1"/>
    </xf>
    <xf numFmtId="187" fontId="173" fillId="0" borderId="53" xfId="0" applyNumberFormat="1" applyFont="1" applyFill="1" applyBorder="1" applyAlignment="1">
      <alignment vertical="center" shrinkToFit="1"/>
    </xf>
    <xf numFmtId="176" fontId="173" fillId="0" borderId="66" xfId="0" applyNumberFormat="1" applyFont="1" applyFill="1" applyBorder="1" applyAlignment="1">
      <alignment vertical="center" shrinkToFit="1"/>
    </xf>
    <xf numFmtId="188" fontId="173" fillId="0" borderId="53" xfId="0" applyNumberFormat="1" applyFont="1" applyFill="1" applyBorder="1" applyAlignment="1">
      <alignment vertical="center" shrinkToFit="1"/>
    </xf>
    <xf numFmtId="188" fontId="173" fillId="0" borderId="60" xfId="0" applyNumberFormat="1" applyFont="1" applyFill="1" applyBorder="1" applyAlignment="1">
      <alignment vertical="center" shrinkToFit="1"/>
    </xf>
    <xf numFmtId="187" fontId="174" fillId="0" borderId="60" xfId="0" applyNumberFormat="1" applyFont="1" applyFill="1" applyBorder="1" applyAlignment="1">
      <alignment vertical="center" shrinkToFit="1"/>
    </xf>
    <xf numFmtId="187" fontId="173" fillId="0" borderId="66" xfId="0" applyNumberFormat="1" applyFont="1" applyFill="1" applyBorder="1" applyAlignment="1">
      <alignment vertical="center" shrinkToFit="1"/>
    </xf>
    <xf numFmtId="188" fontId="174" fillId="0" borderId="131" xfId="0" applyNumberFormat="1" applyFont="1" applyFill="1" applyBorder="1" applyAlignment="1">
      <alignment vertical="center" shrinkToFit="1"/>
    </xf>
    <xf numFmtId="176" fontId="173" fillId="52" borderId="122" xfId="0" applyNumberFormat="1" applyFont="1" applyFill="1" applyBorder="1" applyAlignment="1">
      <alignment vertical="center" shrinkToFit="1"/>
    </xf>
    <xf numFmtId="188" fontId="173" fillId="52" borderId="122" xfId="0" applyNumberFormat="1" applyFont="1" applyFill="1" applyBorder="1" applyAlignment="1">
      <alignment vertical="center" shrinkToFit="1"/>
    </xf>
    <xf numFmtId="187" fontId="173" fillId="52" borderId="42" xfId="0" applyNumberFormat="1" applyFont="1" applyFill="1" applyBorder="1" applyAlignment="1">
      <alignment vertical="center" shrinkToFit="1"/>
    </xf>
    <xf numFmtId="176" fontId="173" fillId="52" borderId="134" xfId="0" applyNumberFormat="1" applyFont="1" applyFill="1" applyBorder="1" applyAlignment="1">
      <alignment vertical="center" shrinkToFit="1"/>
    </xf>
    <xf numFmtId="188" fontId="173" fillId="52" borderId="71" xfId="0" applyNumberFormat="1" applyFont="1" applyFill="1" applyBorder="1" applyAlignment="1">
      <alignment vertical="center" shrinkToFit="1"/>
    </xf>
    <xf numFmtId="187" fontId="176" fillId="52" borderId="127" xfId="0" applyNumberFormat="1" applyFont="1" applyFill="1" applyBorder="1" applyAlignment="1">
      <alignment vertical="center" shrinkToFit="1"/>
    </xf>
    <xf numFmtId="176" fontId="172" fillId="51" borderId="125" xfId="0" applyNumberFormat="1" applyFont="1" applyFill="1" applyBorder="1" applyAlignment="1">
      <alignment vertical="center" shrinkToFit="1"/>
    </xf>
    <xf numFmtId="187" fontId="174" fillId="52" borderId="48" xfId="0" applyNumberFormat="1" applyFont="1" applyFill="1" applyBorder="1" applyAlignment="1">
      <alignment vertical="center" shrinkToFit="1"/>
    </xf>
    <xf numFmtId="188" fontId="172" fillId="51" borderId="116" xfId="0" applyNumberFormat="1" applyFont="1" applyFill="1" applyBorder="1" applyAlignment="1">
      <alignment vertical="center" shrinkToFit="1"/>
    </xf>
    <xf numFmtId="207" fontId="173" fillId="52" borderId="87" xfId="0" applyNumberFormat="1" applyFont="1" applyFill="1" applyBorder="1" applyAlignment="1">
      <alignment vertical="center" shrinkToFit="1"/>
    </xf>
    <xf numFmtId="188" fontId="174" fillId="52" borderId="127" xfId="0" applyNumberFormat="1" applyFont="1" applyFill="1" applyBorder="1" applyAlignment="1">
      <alignment vertical="center" shrinkToFit="1"/>
    </xf>
    <xf numFmtId="187" fontId="173" fillId="0" borderId="123" xfId="0" applyNumberFormat="1" applyFont="1" applyFill="1" applyBorder="1" applyAlignment="1">
      <alignment vertical="center" shrinkToFit="1"/>
    </xf>
    <xf numFmtId="188" fontId="173" fillId="0" borderId="123" xfId="0" applyNumberFormat="1" applyFont="1" applyFill="1" applyBorder="1" applyAlignment="1">
      <alignment vertical="center" shrinkToFit="1"/>
    </xf>
    <xf numFmtId="188" fontId="173" fillId="0" borderId="117" xfId="0" applyNumberFormat="1" applyFont="1" applyFill="1" applyBorder="1" applyAlignment="1">
      <alignment vertical="center" shrinkToFit="1"/>
    </xf>
    <xf numFmtId="190" fontId="174" fillId="0" borderId="133" xfId="0" applyNumberFormat="1" applyFont="1" applyFill="1" applyBorder="1" applyAlignment="1">
      <alignment vertical="center" shrinkToFit="1"/>
    </xf>
    <xf numFmtId="0" fontId="171" fillId="0" borderId="68" xfId="0" applyFont="1" applyFill="1" applyBorder="1" applyAlignment="1">
      <alignment horizontal="center" vertical="center" shrinkToFit="1"/>
    </xf>
    <xf numFmtId="188" fontId="173" fillId="0" borderId="0" xfId="0" applyNumberFormat="1" applyFont="1" applyFill="1" applyBorder="1" applyAlignment="1">
      <alignment vertical="center" shrinkToFit="1"/>
    </xf>
    <xf numFmtId="187" fontId="173" fillId="0" borderId="0" xfId="0" applyNumberFormat="1" applyFont="1" applyFill="1" applyBorder="1" applyAlignment="1">
      <alignment vertical="center" shrinkToFit="1"/>
    </xf>
    <xf numFmtId="176" fontId="177" fillId="0" borderId="0" xfId="0" applyNumberFormat="1" applyFont="1" applyFill="1" applyBorder="1" applyAlignment="1">
      <alignment vertical="center" shrinkToFit="1"/>
    </xf>
    <xf numFmtId="209" fontId="177" fillId="0" borderId="0" xfId="0" applyNumberFormat="1" applyFont="1" applyFill="1" applyBorder="1" applyAlignment="1">
      <alignment vertical="center" shrinkToFit="1"/>
    </xf>
    <xf numFmtId="176" fontId="173" fillId="0" borderId="0" xfId="0" applyNumberFormat="1" applyFont="1" applyFill="1" applyBorder="1" applyAlignment="1">
      <alignment vertical="center" shrinkToFit="1"/>
    </xf>
    <xf numFmtId="206" fontId="173" fillId="0" borderId="0" xfId="0" applyNumberFormat="1" applyFont="1" applyFill="1" applyBorder="1" applyAlignment="1">
      <alignment vertical="center" shrinkToFit="1"/>
    </xf>
    <xf numFmtId="190" fontId="174" fillId="0" borderId="0" xfId="0" applyNumberFormat="1" applyFont="1" applyFill="1" applyBorder="1" applyAlignment="1">
      <alignment vertical="center" shrinkToFit="1"/>
    </xf>
    <xf numFmtId="0" fontId="173" fillId="0" borderId="0" xfId="0" applyFont="1" applyFill="1" applyBorder="1" applyAlignment="1">
      <alignment horizontal="center" vertical="center"/>
    </xf>
    <xf numFmtId="3" fontId="173" fillId="0" borderId="0" xfId="0" applyNumberFormat="1" applyFont="1" applyFill="1" applyBorder="1" applyAlignment="1">
      <alignment horizontal="right" vertical="center"/>
    </xf>
    <xf numFmtId="3" fontId="178" fillId="0" borderId="0" xfId="0" applyNumberFormat="1" applyFont="1" applyFill="1" applyBorder="1" applyAlignment="1">
      <alignment horizontal="right" vertical="center"/>
    </xf>
    <xf numFmtId="190" fontId="174" fillId="0" borderId="0" xfId="0" applyNumberFormat="1" applyFont="1" applyFill="1" applyBorder="1" applyAlignment="1">
      <alignment horizontal="center" vertical="center"/>
    </xf>
    <xf numFmtId="0" fontId="172" fillId="52" borderId="151" xfId="0" applyFont="1" applyFill="1" applyBorder="1" applyAlignment="1">
      <alignment horizontal="center" vertical="center"/>
    </xf>
    <xf numFmtId="0" fontId="171" fillId="52" borderId="142" xfId="0" applyFont="1" applyFill="1" applyBorder="1" applyAlignment="1">
      <alignment horizontal="center" vertical="center"/>
    </xf>
    <xf numFmtId="0" fontId="171" fillId="52" borderId="226" xfId="0" applyFont="1" applyFill="1" applyBorder="1" applyAlignment="1">
      <alignment horizontal="center" vertical="center" wrapText="1"/>
    </xf>
    <xf numFmtId="3" fontId="172" fillId="52" borderId="227" xfId="0" applyNumberFormat="1" applyFont="1" applyFill="1" applyBorder="1" applyAlignment="1">
      <alignment horizontal="center" vertical="center"/>
    </xf>
    <xf numFmtId="0" fontId="171" fillId="52" borderId="151" xfId="0" applyFont="1" applyFill="1" applyBorder="1" applyAlignment="1">
      <alignment horizontal="center" vertical="center"/>
    </xf>
    <xf numFmtId="0" fontId="171" fillId="52" borderId="51" xfId="0" applyFont="1" applyFill="1" applyBorder="1" applyAlignment="1">
      <alignment horizontal="center" vertical="center" wrapText="1"/>
    </xf>
    <xf numFmtId="0" fontId="171" fillId="52" borderId="227" xfId="0" applyFont="1" applyFill="1" applyBorder="1" applyAlignment="1">
      <alignment horizontal="center" vertical="center"/>
    </xf>
    <xf numFmtId="205" fontId="175" fillId="0" borderId="53" xfId="1959" applyNumberFormat="1" applyFont="1" applyFill="1" applyBorder="1" applyAlignment="1">
      <alignment vertical="center"/>
    </xf>
    <xf numFmtId="192" fontId="175" fillId="0" borderId="61" xfId="0" applyNumberFormat="1" applyFont="1" applyFill="1" applyBorder="1" applyAlignment="1">
      <alignment vertical="center"/>
    </xf>
    <xf numFmtId="192" fontId="173" fillId="0" borderId="53" xfId="0" applyNumberFormat="1" applyFont="1" applyFill="1" applyBorder="1" applyAlignment="1">
      <alignment horizontal="center" vertical="center"/>
    </xf>
    <xf numFmtId="192" fontId="175" fillId="0" borderId="61" xfId="0" applyNumberFormat="1" applyFont="1" applyFill="1" applyBorder="1" applyAlignment="1">
      <alignment horizontal="center" vertical="center"/>
    </xf>
    <xf numFmtId="205" fontId="175" fillId="0" borderId="93" xfId="1959" applyNumberFormat="1" applyFont="1" applyFill="1" applyBorder="1" applyAlignment="1">
      <alignment vertical="center"/>
    </xf>
    <xf numFmtId="192" fontId="175" fillId="0" borderId="94" xfId="0" applyNumberFormat="1" applyFont="1" applyFill="1" applyBorder="1" applyAlignment="1">
      <alignment vertical="center"/>
    </xf>
    <xf numFmtId="192" fontId="173" fillId="0" borderId="93" xfId="0" applyNumberFormat="1" applyFont="1" applyFill="1" applyBorder="1" applyAlignment="1">
      <alignment horizontal="center" vertical="center"/>
    </xf>
    <xf numFmtId="192" fontId="175" fillId="0" borderId="94" xfId="0" applyNumberFormat="1" applyFont="1" applyFill="1" applyBorder="1" applyAlignment="1">
      <alignment horizontal="center" vertical="center"/>
    </xf>
    <xf numFmtId="205" fontId="175" fillId="0" borderId="96" xfId="1959" applyNumberFormat="1" applyFont="1" applyFill="1" applyBorder="1" applyAlignment="1">
      <alignment vertical="center"/>
    </xf>
    <xf numFmtId="192" fontId="175" fillId="0" borderId="97" xfId="0" applyNumberFormat="1" applyFont="1" applyFill="1" applyBorder="1" applyAlignment="1">
      <alignment vertical="center"/>
    </xf>
    <xf numFmtId="192" fontId="173" fillId="0" borderId="96" xfId="0" applyNumberFormat="1" applyFont="1" applyFill="1" applyBorder="1" applyAlignment="1">
      <alignment horizontal="center" vertical="center"/>
    </xf>
    <xf numFmtId="192" fontId="175" fillId="0" borderId="97" xfId="0" applyNumberFormat="1" applyFont="1" applyFill="1" applyBorder="1" applyAlignment="1">
      <alignment horizontal="center" vertical="center"/>
    </xf>
    <xf numFmtId="204" fontId="175" fillId="52" borderId="48" xfId="0" applyNumberFormat="1" applyFont="1" applyFill="1" applyBorder="1" applyAlignment="1">
      <alignment vertical="center"/>
    </xf>
    <xf numFmtId="192" fontId="175" fillId="52" borderId="51" xfId="0" applyNumberFormat="1" applyFont="1" applyFill="1" applyBorder="1" applyAlignment="1">
      <alignment horizontal="center" vertical="center"/>
    </xf>
    <xf numFmtId="192" fontId="173" fillId="52" borderId="48" xfId="0" applyNumberFormat="1" applyFont="1" applyFill="1" applyBorder="1" applyAlignment="1">
      <alignment horizontal="center" vertical="center"/>
    </xf>
    <xf numFmtId="205" fontId="173" fillId="52" borderId="134" xfId="0" applyNumberFormat="1" applyFont="1" applyFill="1" applyBorder="1" applyAlignment="1">
      <alignment vertical="center"/>
    </xf>
    <xf numFmtId="205" fontId="173" fillId="52" borderId="48" xfId="1959" applyNumberFormat="1" applyFont="1" applyFill="1" applyBorder="1" applyAlignment="1">
      <alignment vertical="center"/>
    </xf>
    <xf numFmtId="205" fontId="173" fillId="52" borderId="87" xfId="1959" applyNumberFormat="1" applyFont="1" applyFill="1" applyBorder="1" applyAlignment="1">
      <alignment horizontal="right" vertical="center"/>
    </xf>
    <xf numFmtId="188" fontId="173" fillId="52" borderId="48" xfId="0" applyNumberFormat="1" applyFont="1" applyFill="1" applyBorder="1" applyAlignment="1">
      <alignment horizontal="center" vertical="center"/>
    </xf>
    <xf numFmtId="204" fontId="175" fillId="52" borderId="122" xfId="0" applyNumberFormat="1" applyFont="1" applyFill="1" applyBorder="1" applyAlignment="1">
      <alignment vertical="center"/>
    </xf>
    <xf numFmtId="192" fontId="175" fillId="52" borderId="228" xfId="0" applyNumberFormat="1" applyFont="1" applyFill="1" applyBorder="1" applyAlignment="1">
      <alignment horizontal="center" vertical="center"/>
    </xf>
    <xf numFmtId="205" fontId="177" fillId="52" borderId="134" xfId="0" applyNumberFormat="1" applyFont="1" applyFill="1" applyBorder="1" applyAlignment="1">
      <alignment vertical="center"/>
    </xf>
    <xf numFmtId="205" fontId="173" fillId="52" borderId="122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horizontal="right" vertical="center"/>
    </xf>
    <xf numFmtId="205" fontId="172" fillId="51" borderId="144" xfId="0" applyNumberFormat="1" applyFont="1" applyFill="1" applyBorder="1" applyAlignment="1">
      <alignment vertical="center"/>
    </xf>
    <xf numFmtId="192" fontId="172" fillId="51" borderId="229" xfId="0" applyNumberFormat="1" applyFont="1" applyFill="1" applyBorder="1" applyAlignment="1">
      <alignment horizontal="center" vertical="center"/>
    </xf>
    <xf numFmtId="192" fontId="173" fillId="52" borderId="223" xfId="0" applyNumberFormat="1" applyFont="1" applyFill="1" applyBorder="1" applyAlignment="1">
      <alignment horizontal="center" vertical="center"/>
    </xf>
    <xf numFmtId="205" fontId="175" fillId="52" borderId="82" xfId="0" applyNumberFormat="1" applyFont="1" applyFill="1" applyBorder="1" applyAlignment="1">
      <alignment vertical="center"/>
    </xf>
    <xf numFmtId="205" fontId="173" fillId="52" borderId="167" xfId="0" applyNumberFormat="1" applyFont="1" applyFill="1" applyBorder="1" applyAlignment="1">
      <alignment horizontal="right" vertical="center"/>
    </xf>
    <xf numFmtId="188" fontId="173" fillId="52" borderId="223" xfId="0" applyNumberFormat="1" applyFont="1" applyFill="1" applyBorder="1" applyAlignment="1">
      <alignment horizontal="center" vertical="center"/>
    </xf>
    <xf numFmtId="176" fontId="175" fillId="52" borderId="58" xfId="0" applyNumberFormat="1" applyFont="1" applyFill="1" applyBorder="1" applyAlignment="1">
      <alignment vertical="center" shrinkToFit="1"/>
    </xf>
    <xf numFmtId="207" fontId="175" fillId="52" borderId="87" xfId="0" applyNumberFormat="1" applyFont="1" applyFill="1" applyBorder="1" applyAlignment="1">
      <alignment vertical="center" shrinkToFit="1"/>
    </xf>
    <xf numFmtId="188" fontId="171" fillId="51" borderId="231" xfId="0" applyNumberFormat="1" applyFont="1" applyFill="1" applyBorder="1" applyAlignment="1">
      <alignment vertical="center" shrinkToFit="1"/>
    </xf>
    <xf numFmtId="188" fontId="173" fillId="0" borderId="232" xfId="0" applyNumberFormat="1" applyFont="1" applyFill="1" applyBorder="1" applyAlignment="1">
      <alignment vertical="center" shrinkToFit="1"/>
    </xf>
    <xf numFmtId="0" fontId="48" fillId="0" borderId="0" xfId="0" applyFont="1" applyAlignment="1">
      <alignment vertical="center"/>
    </xf>
    <xf numFmtId="189" fontId="123" fillId="17" borderId="16" xfId="1959" applyNumberFormat="1" applyFont="1" applyFill="1" applyBorder="1" applyAlignment="1">
      <alignment horizontal="right" vertical="center"/>
    </xf>
    <xf numFmtId="41" fontId="125" fillId="58" borderId="209" xfId="1959" applyFont="1" applyFill="1" applyBorder="1" applyAlignment="1">
      <alignment horizontal="center" vertical="center"/>
    </xf>
    <xf numFmtId="205" fontId="170" fillId="57" borderId="211" xfId="1959" applyNumberFormat="1" applyFont="1" applyFill="1" applyBorder="1" applyAlignment="1">
      <alignment horizontal="right" vertical="center"/>
    </xf>
    <xf numFmtId="205" fontId="170" fillId="57" borderId="219" xfId="1959" applyNumberFormat="1" applyFont="1" applyFill="1" applyBorder="1" applyAlignment="1">
      <alignment horizontal="right" vertical="center"/>
    </xf>
    <xf numFmtId="186" fontId="47" fillId="17" borderId="15" xfId="0" applyNumberFormat="1" applyFont="1" applyFill="1" applyBorder="1" applyAlignment="1">
      <alignment vertical="center"/>
    </xf>
    <xf numFmtId="41" fontId="47" fillId="17" borderId="25" xfId="1959" applyNumberFormat="1" applyFont="1" applyFill="1" applyBorder="1" applyAlignment="1">
      <alignment horizontal="center" vertical="center"/>
    </xf>
    <xf numFmtId="186" fontId="47" fillId="17" borderId="34" xfId="0" applyNumberFormat="1" applyFont="1" applyFill="1" applyBorder="1" applyAlignment="1">
      <alignment vertical="center"/>
    </xf>
    <xf numFmtId="195" fontId="47" fillId="17" borderId="100" xfId="1959" applyNumberFormat="1" applyFont="1" applyFill="1" applyBorder="1" applyAlignment="1">
      <alignment horizontal="center" vertical="center"/>
    </xf>
    <xf numFmtId="186" fontId="47" fillId="17" borderId="34" xfId="0" applyNumberFormat="1" applyFont="1" applyFill="1" applyBorder="1" applyAlignment="1">
      <alignment horizontal="right" vertical="center"/>
    </xf>
    <xf numFmtId="41" fontId="47" fillId="17" borderId="100" xfId="1959" applyNumberFormat="1" applyFont="1" applyFill="1" applyBorder="1" applyAlignment="1">
      <alignment horizontal="center" vertical="center"/>
    </xf>
    <xf numFmtId="182" fontId="47" fillId="52" borderId="191" xfId="0" applyNumberFormat="1" applyFont="1" applyFill="1" applyBorder="1" applyAlignment="1">
      <alignment horizontal="center" vertical="center"/>
    </xf>
    <xf numFmtId="195" fontId="47" fillId="52" borderId="191" xfId="1959" applyNumberFormat="1" applyFont="1" applyFill="1" applyBorder="1" applyAlignment="1">
      <alignment horizontal="center" vertical="center"/>
    </xf>
    <xf numFmtId="41" fontId="47" fillId="52" borderId="191" xfId="1959" applyNumberFormat="1" applyFont="1" applyFill="1" applyBorder="1" applyAlignment="1">
      <alignment horizontal="center" vertical="center"/>
    </xf>
    <xf numFmtId="41" fontId="123" fillId="17" borderId="100" xfId="1959" applyNumberFormat="1" applyFont="1" applyFill="1" applyBorder="1" applyAlignment="1">
      <alignment horizontal="center" vertical="center"/>
    </xf>
    <xf numFmtId="41" fontId="47" fillId="0" borderId="100" xfId="1959" applyNumberFormat="1" applyFont="1" applyFill="1" applyBorder="1" applyAlignment="1">
      <alignment horizontal="center" vertical="center"/>
    </xf>
    <xf numFmtId="182" fontId="47" fillId="52" borderId="55" xfId="0" applyNumberFormat="1" applyFont="1" applyFill="1" applyBorder="1" applyAlignment="1">
      <alignment horizontal="center" vertical="center"/>
    </xf>
    <xf numFmtId="195" fontId="47" fillId="52" borderId="55" xfId="1959" applyNumberFormat="1" applyFont="1" applyFill="1" applyBorder="1" applyAlignment="1">
      <alignment horizontal="center" vertical="center"/>
    </xf>
    <xf numFmtId="41" fontId="47" fillId="52" borderId="55" xfId="1959" applyNumberFormat="1" applyFont="1" applyFill="1" applyBorder="1" applyAlignment="1">
      <alignment horizontal="center" vertical="center"/>
    </xf>
    <xf numFmtId="193" fontId="58" fillId="0" borderId="58" xfId="0" applyNumberFormat="1" applyFont="1" applyBorder="1"/>
    <xf numFmtId="193" fontId="58" fillId="0" borderId="60" xfId="0" applyNumberFormat="1" applyFont="1" applyBorder="1"/>
    <xf numFmtId="193" fontId="58" fillId="52" borderId="58" xfId="2639" applyNumberFormat="1" applyFont="1" applyFill="1" applyBorder="1">
      <alignment vertical="center"/>
    </xf>
    <xf numFmtId="41" fontId="178" fillId="0" borderId="0" xfId="1959" applyFont="1" applyFill="1" applyBorder="1" applyAlignment="1">
      <alignment vertical="center" shrinkToFit="1"/>
    </xf>
    <xf numFmtId="209" fontId="178" fillId="0" borderId="0" xfId="1959" applyNumberFormat="1" applyFont="1" applyFill="1" applyBorder="1" applyAlignment="1">
      <alignment vertical="center" shrinkToFit="1"/>
    </xf>
    <xf numFmtId="193" fontId="47" fillId="17" borderId="100" xfId="1959" applyNumberFormat="1" applyFont="1" applyFill="1" applyBorder="1" applyAlignment="1">
      <alignment horizontal="right" vertical="center"/>
    </xf>
    <xf numFmtId="192" fontId="171" fillId="52" borderId="51" xfId="0" applyNumberFormat="1" applyFont="1" applyFill="1" applyBorder="1" applyAlignment="1">
      <alignment horizontal="center" vertical="center" wrapText="1"/>
    </xf>
    <xf numFmtId="0" fontId="170" fillId="0" borderId="6" xfId="0" applyFont="1" applyFill="1" applyBorder="1" applyAlignment="1">
      <alignment horizontal="right" vertical="center"/>
    </xf>
    <xf numFmtId="0" fontId="170" fillId="0" borderId="26" xfId="0" applyFont="1" applyFill="1" applyBorder="1" applyAlignment="1">
      <alignment horizontal="right" vertical="center"/>
    </xf>
    <xf numFmtId="0" fontId="47" fillId="52" borderId="6" xfId="0" applyFont="1" applyFill="1" applyBorder="1" applyAlignment="1">
      <alignment horizontal="center" vertical="center"/>
    </xf>
    <xf numFmtId="182" fontId="47" fillId="17" borderId="33" xfId="0" applyNumberFormat="1" applyFont="1" applyFill="1" applyBorder="1" applyAlignment="1">
      <alignment horizontal="center" vertical="center"/>
    </xf>
    <xf numFmtId="182" fontId="47" fillId="17" borderId="55" xfId="0" applyNumberFormat="1" applyFont="1" applyFill="1" applyBorder="1" applyAlignment="1">
      <alignment horizontal="center" vertical="center"/>
    </xf>
    <xf numFmtId="182" fontId="47" fillId="17" borderId="34" xfId="0" applyNumberFormat="1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77" fontId="49" fillId="0" borderId="0" xfId="0" applyNumberFormat="1" applyFont="1" applyAlignment="1">
      <alignment vertical="center"/>
    </xf>
    <xf numFmtId="177" fontId="49" fillId="52" borderId="8" xfId="0" applyNumberFormat="1" applyFont="1" applyFill="1" applyBorder="1" applyAlignment="1">
      <alignment horizontal="centerContinuous" vertical="center"/>
    </xf>
    <xf numFmtId="177" fontId="49" fillId="52" borderId="10" xfId="0" applyNumberFormat="1" applyFont="1" applyFill="1" applyBorder="1" applyAlignment="1">
      <alignment horizontal="center" vertical="center"/>
    </xf>
    <xf numFmtId="177" fontId="49" fillId="17" borderId="15" xfId="0" applyNumberFormat="1" applyFont="1" applyFill="1" applyBorder="1" applyAlignment="1">
      <alignment vertical="center"/>
    </xf>
    <xf numFmtId="177" fontId="49" fillId="17" borderId="105" xfId="0" applyNumberFormat="1" applyFont="1" applyFill="1" applyBorder="1" applyAlignment="1">
      <alignment vertical="center"/>
    </xf>
    <xf numFmtId="177" fontId="49" fillId="17" borderId="14" xfId="0" applyNumberFormat="1" applyFont="1" applyFill="1" applyBorder="1" applyAlignment="1">
      <alignment vertical="center"/>
    </xf>
    <xf numFmtId="177" fontId="66" fillId="0" borderId="0" xfId="0" applyNumberFormat="1" applyFont="1" applyBorder="1" applyAlignment="1">
      <alignment horizontal="center" vertical="center"/>
    </xf>
    <xf numFmtId="176" fontId="49" fillId="17" borderId="15" xfId="0" applyNumberFormat="1" applyFont="1" applyFill="1" applyBorder="1" applyAlignment="1">
      <alignment vertical="center"/>
    </xf>
    <xf numFmtId="176" fontId="49" fillId="17" borderId="100" xfId="0" applyNumberFormat="1" applyFont="1" applyFill="1" applyBorder="1" applyAlignment="1">
      <alignment vertical="center"/>
    </xf>
    <xf numFmtId="176" fontId="49" fillId="17" borderId="105" xfId="0" applyNumberFormat="1" applyFont="1" applyFill="1" applyBorder="1" applyAlignment="1">
      <alignment vertical="center"/>
    </xf>
    <xf numFmtId="176" fontId="49" fillId="17" borderId="6" xfId="0" applyNumberFormat="1" applyFont="1" applyFill="1" applyBorder="1" applyAlignment="1">
      <alignment vertical="center"/>
    </xf>
    <xf numFmtId="176" fontId="49" fillId="17" borderId="33" xfId="0" applyNumberFormat="1" applyFont="1" applyFill="1" applyBorder="1" applyAlignment="1">
      <alignment vertical="center"/>
    </xf>
    <xf numFmtId="176" fontId="121" fillId="17" borderId="100" xfId="0" applyNumberFormat="1" applyFont="1" applyFill="1" applyBorder="1" applyAlignment="1">
      <alignment vertical="center"/>
    </xf>
    <xf numFmtId="176" fontId="121" fillId="17" borderId="33" xfId="0" applyNumberFormat="1" applyFont="1" applyFill="1" applyBorder="1" applyAlignment="1">
      <alignment vertical="center"/>
    </xf>
    <xf numFmtId="176" fontId="121" fillId="0" borderId="100" xfId="1959" applyNumberFormat="1" applyFont="1" applyFill="1" applyBorder="1" applyAlignment="1">
      <alignment vertical="center"/>
    </xf>
    <xf numFmtId="176" fontId="49" fillId="18" borderId="6" xfId="1959" applyNumberFormat="1" applyFont="1" applyFill="1" applyBorder="1" applyAlignment="1">
      <alignment vertical="center"/>
    </xf>
    <xf numFmtId="176" fontId="121" fillId="0" borderId="15" xfId="1959" applyNumberFormat="1" applyFont="1" applyFill="1" applyBorder="1" applyAlignment="1">
      <alignment vertical="center"/>
    </xf>
    <xf numFmtId="176" fontId="121" fillId="0" borderId="55" xfId="1959" applyNumberFormat="1" applyFont="1" applyFill="1" applyBorder="1" applyAlignment="1">
      <alignment vertical="center"/>
    </xf>
    <xf numFmtId="176" fontId="121" fillId="17" borderId="15" xfId="1959" applyNumberFormat="1" applyFont="1" applyFill="1" applyBorder="1" applyAlignment="1">
      <alignment vertical="center"/>
    </xf>
    <xf numFmtId="176" fontId="122" fillId="18" borderId="6" xfId="1959" applyNumberFormat="1" applyFont="1" applyFill="1" applyBorder="1" applyAlignment="1">
      <alignment vertical="center"/>
    </xf>
    <xf numFmtId="176" fontId="121" fillId="17" borderId="100" xfId="1959" applyNumberFormat="1" applyFont="1" applyFill="1" applyBorder="1" applyAlignment="1">
      <alignment vertical="center"/>
    </xf>
    <xf numFmtId="176" fontId="49" fillId="17" borderId="14" xfId="0" applyNumberFormat="1" applyFont="1" applyFill="1" applyBorder="1" applyAlignment="1">
      <alignment vertical="center"/>
    </xf>
    <xf numFmtId="176" fontId="53" fillId="0" borderId="0" xfId="0" applyNumberFormat="1" applyFont="1" applyBorder="1" applyAlignment="1">
      <alignment horizontal="center" vertical="center"/>
    </xf>
    <xf numFmtId="41" fontId="122" fillId="18" borderId="6" xfId="1959" applyFont="1" applyFill="1" applyBorder="1" applyAlignment="1">
      <alignment vertical="center"/>
    </xf>
    <xf numFmtId="41" fontId="49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47" fillId="17" borderId="100" xfId="1959" applyNumberFormat="1" applyFont="1" applyFill="1" applyBorder="1" applyAlignment="1">
      <alignment horizontal="right" vertical="center"/>
    </xf>
    <xf numFmtId="0" fontId="151" fillId="0" borderId="95" xfId="2697" applyFont="1" applyFill="1" applyBorder="1" applyAlignment="1">
      <alignment horizontal="center" vertical="center"/>
    </xf>
    <xf numFmtId="41" fontId="61" fillId="0" borderId="96" xfId="1959" applyFont="1" applyBorder="1" applyAlignment="1">
      <alignment vertical="center"/>
    </xf>
    <xf numFmtId="0" fontId="148" fillId="0" borderId="0" xfId="2697" applyFont="1" applyBorder="1" applyAlignment="1">
      <alignment horizontal="center" vertical="center"/>
    </xf>
    <xf numFmtId="0" fontId="148" fillId="0" borderId="59" xfId="2697" applyFont="1" applyBorder="1" applyAlignment="1">
      <alignment horizontal="center" vertical="center"/>
    </xf>
    <xf numFmtId="0" fontId="0" fillId="0" borderId="0" xfId="0"/>
    <xf numFmtId="0" fontId="180" fillId="0" borderId="0" xfId="0" applyFont="1" applyAlignment="1">
      <alignment vertical="center"/>
    </xf>
    <xf numFmtId="0" fontId="179" fillId="0" borderId="0" xfId="0" applyFont="1" applyAlignment="1">
      <alignment vertical="center"/>
    </xf>
    <xf numFmtId="0" fontId="181" fillId="52" borderId="181" xfId="0" applyFont="1" applyFill="1" applyBorder="1" applyAlignment="1">
      <alignment horizontal="center" vertical="center" wrapText="1"/>
    </xf>
    <xf numFmtId="0" fontId="181" fillId="54" borderId="182" xfId="0" applyFont="1" applyFill="1" applyBorder="1" applyAlignment="1">
      <alignment horizontal="center" vertical="center" wrapText="1"/>
    </xf>
    <xf numFmtId="0" fontId="181" fillId="54" borderId="184" xfId="0" applyFont="1" applyFill="1" applyBorder="1" applyAlignment="1">
      <alignment horizontal="center" vertical="center" wrapText="1"/>
    </xf>
    <xf numFmtId="190" fontId="183" fillId="0" borderId="184" xfId="2696" applyNumberFormat="1" applyFont="1" applyFill="1" applyBorder="1" applyAlignment="1">
      <alignment horizontal="center" vertical="center" wrapText="1"/>
    </xf>
    <xf numFmtId="190" fontId="181" fillId="0" borderId="185" xfId="2696" applyNumberFormat="1" applyFont="1" applyFill="1" applyBorder="1" applyAlignment="1">
      <alignment horizontal="center" vertical="center" wrapText="1"/>
    </xf>
    <xf numFmtId="0" fontId="181" fillId="54" borderId="185" xfId="0" applyFont="1" applyFill="1" applyBorder="1" applyAlignment="1">
      <alignment horizontal="center" vertical="center" wrapText="1"/>
    </xf>
    <xf numFmtId="0" fontId="179" fillId="0" borderId="0" xfId="0" quotePrefix="1" applyFont="1" applyAlignment="1">
      <alignment horizontal="center" vertical="center"/>
    </xf>
    <xf numFmtId="0" fontId="181" fillId="54" borderId="240" xfId="0" applyFont="1" applyFill="1" applyBorder="1" applyAlignment="1">
      <alignment horizontal="center" vertical="center" wrapText="1"/>
    </xf>
    <xf numFmtId="190" fontId="181" fillId="0" borderId="240" xfId="2696" applyNumberFormat="1" applyFont="1" applyFill="1" applyBorder="1" applyAlignment="1">
      <alignment horizontal="center" vertical="center" wrapText="1"/>
    </xf>
    <xf numFmtId="190" fontId="183" fillId="0" borderId="240" xfId="2696" applyNumberFormat="1" applyFont="1" applyFill="1" applyBorder="1" applyAlignment="1">
      <alignment horizontal="center" vertical="center" wrapText="1"/>
    </xf>
    <xf numFmtId="214" fontId="182" fillId="0" borderId="200" xfId="1959" applyNumberFormat="1" applyFont="1" applyBorder="1" applyAlignment="1">
      <alignment horizontal="right" vertical="center" wrapText="1" indent="1"/>
    </xf>
    <xf numFmtId="190" fontId="181" fillId="0" borderId="200" xfId="2696" applyNumberFormat="1" applyFont="1" applyFill="1" applyBorder="1" applyAlignment="1">
      <alignment horizontal="center" vertical="center" wrapText="1"/>
    </xf>
    <xf numFmtId="214" fontId="182" fillId="0" borderId="240" xfId="1959" applyNumberFormat="1" applyFont="1" applyBorder="1" applyAlignment="1">
      <alignment horizontal="right" vertical="center" wrapText="1" indent="1"/>
    </xf>
    <xf numFmtId="0" fontId="181" fillId="52" borderId="180" xfId="0" applyFont="1" applyFill="1" applyBorder="1" applyAlignment="1">
      <alignment horizontal="center" vertical="center" wrapText="1"/>
    </xf>
    <xf numFmtId="190" fontId="181" fillId="0" borderId="241" xfId="2696" applyNumberFormat="1" applyFont="1" applyFill="1" applyBorder="1" applyAlignment="1">
      <alignment horizontal="center" vertical="center" wrapText="1"/>
    </xf>
    <xf numFmtId="190" fontId="181" fillId="0" borderId="242" xfId="0" applyNumberFormat="1" applyFont="1" applyFill="1" applyBorder="1" applyAlignment="1">
      <alignment horizontal="center" vertical="center" wrapText="1"/>
    </xf>
    <xf numFmtId="190" fontId="181" fillId="0" borderId="241" xfId="0" applyNumberFormat="1" applyFont="1" applyFill="1" applyBorder="1" applyAlignment="1">
      <alignment horizontal="center" vertical="center" wrapText="1"/>
    </xf>
    <xf numFmtId="190" fontId="181" fillId="0" borderId="243" xfId="0" applyNumberFormat="1" applyFont="1" applyFill="1" applyBorder="1" applyAlignment="1">
      <alignment horizontal="center" vertical="center" wrapText="1"/>
    </xf>
    <xf numFmtId="0" fontId="181" fillId="52" borderId="244" xfId="0" applyFont="1" applyFill="1" applyBorder="1" applyAlignment="1">
      <alignment horizontal="center" vertical="center" wrapText="1"/>
    </xf>
    <xf numFmtId="214" fontId="181" fillId="0" borderId="245" xfId="1959" applyNumberFormat="1" applyFont="1" applyBorder="1" applyAlignment="1">
      <alignment horizontal="right" vertical="center" wrapText="1" indent="1"/>
    </xf>
    <xf numFmtId="214" fontId="181" fillId="0" borderId="247" xfId="1959" applyNumberFormat="1" applyFont="1" applyBorder="1" applyAlignment="1">
      <alignment horizontal="right" vertical="center" wrapText="1" indent="1"/>
    </xf>
    <xf numFmtId="0" fontId="180" fillId="0" borderId="0" xfId="0" applyFont="1"/>
    <xf numFmtId="0" fontId="122" fillId="52" borderId="41" xfId="0" applyFont="1" applyFill="1" applyBorder="1" applyAlignment="1">
      <alignment horizontal="center" vertical="center"/>
    </xf>
    <xf numFmtId="0" fontId="122" fillId="52" borderId="42" xfId="0" applyFont="1" applyFill="1" applyBorder="1" applyAlignment="1">
      <alignment horizontal="center" vertical="center"/>
    </xf>
    <xf numFmtId="0" fontId="47" fillId="0" borderId="92" xfId="0" applyFont="1" applyBorder="1" applyAlignment="1">
      <alignment horizontal="center" vertical="center"/>
    </xf>
    <xf numFmtId="188" fontId="47" fillId="0" borderId="93" xfId="0" applyNumberFormat="1" applyFont="1" applyFill="1" applyBorder="1" applyAlignment="1">
      <alignment vertical="center" shrinkToFit="1"/>
    </xf>
    <xf numFmtId="0" fontId="47" fillId="0" borderId="95" xfId="0" applyFont="1" applyBorder="1" applyAlignment="1">
      <alignment horizontal="center" vertical="center"/>
    </xf>
    <xf numFmtId="188" fontId="47" fillId="0" borderId="96" xfId="0" applyNumberFormat="1" applyFont="1" applyFill="1" applyBorder="1" applyAlignment="1">
      <alignment vertical="center" shrinkToFit="1"/>
    </xf>
    <xf numFmtId="189" fontId="47" fillId="0" borderId="96" xfId="0" applyNumberFormat="1" applyFont="1" applyFill="1" applyBorder="1" applyAlignment="1">
      <alignment vertical="center" shrinkToFit="1"/>
    </xf>
    <xf numFmtId="188" fontId="173" fillId="0" borderId="43" xfId="0" applyNumberFormat="1" applyFont="1" applyFill="1" applyBorder="1" applyAlignment="1">
      <alignment vertical="center" shrinkToFit="1"/>
    </xf>
    <xf numFmtId="191" fontId="170" fillId="57" borderId="210" xfId="0" applyNumberFormat="1" applyFont="1" applyFill="1" applyBorder="1" applyAlignment="1">
      <alignment horizontal="right" vertical="center"/>
    </xf>
    <xf numFmtId="191" fontId="170" fillId="57" borderId="191" xfId="0" applyNumberFormat="1" applyFont="1" applyFill="1" applyBorder="1" applyAlignment="1">
      <alignment horizontal="right" vertical="center"/>
    </xf>
    <xf numFmtId="191" fontId="170" fillId="57" borderId="211" xfId="0" applyNumberFormat="1" applyFont="1" applyFill="1" applyBorder="1" applyAlignment="1">
      <alignment horizontal="right" vertical="center"/>
    </xf>
    <xf numFmtId="191" fontId="170" fillId="57" borderId="212" xfId="0" applyNumberFormat="1" applyFont="1" applyFill="1" applyBorder="1" applyAlignment="1">
      <alignment horizontal="right" vertical="center"/>
    </xf>
    <xf numFmtId="191" fontId="170" fillId="57" borderId="55" xfId="0" applyNumberFormat="1" applyFont="1" applyFill="1" applyBorder="1" applyAlignment="1">
      <alignment horizontal="right" vertical="center"/>
    </xf>
    <xf numFmtId="191" fontId="170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5" fontId="181" fillId="0" borderId="240" xfId="1959" applyNumberFormat="1" applyFont="1" applyBorder="1" applyAlignment="1">
      <alignment horizontal="right" vertical="center" wrapText="1" indent="1"/>
    </xf>
    <xf numFmtId="176" fontId="126" fillId="17" borderId="100" xfId="1959" applyNumberFormat="1" applyFont="1" applyFill="1" applyBorder="1" applyAlignment="1">
      <alignment vertical="center"/>
    </xf>
    <xf numFmtId="176" fontId="126" fillId="0" borderId="15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76" fontId="126" fillId="0" borderId="16" xfId="1959" applyNumberFormat="1" applyFont="1" applyFill="1" applyBorder="1" applyAlignment="1">
      <alignment vertical="center"/>
    </xf>
    <xf numFmtId="176" fontId="126" fillId="0" borderId="100" xfId="0" applyNumberFormat="1" applyFont="1" applyFill="1" applyBorder="1" applyAlignment="1">
      <alignment vertical="center"/>
    </xf>
    <xf numFmtId="176" fontId="126" fillId="0" borderId="100" xfId="1959" applyNumberFormat="1" applyFont="1" applyFill="1" applyBorder="1" applyAlignment="1" applyProtection="1">
      <alignment vertical="center"/>
    </xf>
    <xf numFmtId="176" fontId="126" fillId="0" borderId="100" xfId="1959" applyNumberFormat="1" applyFont="1" applyFill="1" applyBorder="1" applyAlignment="1">
      <alignment vertical="center"/>
    </xf>
    <xf numFmtId="41" fontId="126" fillId="0" borderId="100" xfId="1959" applyFont="1" applyFill="1" applyBorder="1" applyAlignment="1">
      <alignment vertical="center"/>
    </xf>
    <xf numFmtId="0" fontId="185" fillId="0" borderId="0" xfId="0" applyFont="1" applyAlignment="1">
      <alignment horizontal="left" vertical="center"/>
    </xf>
    <xf numFmtId="197" fontId="186" fillId="0" borderId="0" xfId="2697" applyNumberFormat="1" applyFont="1" applyAlignment="1">
      <alignment horizontal="centerContinuous" vertical="center"/>
    </xf>
    <xf numFmtId="0" fontId="187" fillId="0" borderId="0" xfId="2697" applyFont="1" applyAlignment="1">
      <alignment horizontal="center" vertical="center"/>
    </xf>
    <xf numFmtId="197" fontId="187" fillId="0" borderId="0" xfId="2697" applyNumberFormat="1" applyFont="1">
      <alignment vertical="center"/>
    </xf>
    <xf numFmtId="197" fontId="188" fillId="0" borderId="0" xfId="2697" applyNumberFormat="1" applyFont="1" applyAlignment="1">
      <alignment horizontal="right" vertical="center"/>
    </xf>
    <xf numFmtId="197" fontId="189" fillId="0" borderId="0" xfId="2697" applyNumberFormat="1" applyFont="1" applyAlignment="1">
      <alignment horizontal="right" vertical="center"/>
    </xf>
    <xf numFmtId="0" fontId="188" fillId="0" borderId="0" xfId="2697" applyFont="1" applyFill="1" applyBorder="1" applyAlignment="1">
      <alignment horizontal="center" vertical="center"/>
    </xf>
    <xf numFmtId="186" fontId="190" fillId="0" borderId="0" xfId="2699" applyNumberFormat="1" applyFont="1" applyFill="1" applyBorder="1" applyAlignment="1">
      <alignment horizontal="center" vertical="center"/>
    </xf>
    <xf numFmtId="186" fontId="190" fillId="0" borderId="0" xfId="1959" applyNumberFormat="1" applyFont="1" applyFill="1" applyBorder="1" applyAlignment="1">
      <alignment vertical="center"/>
    </xf>
    <xf numFmtId="190" fontId="190" fillId="0" borderId="0" xfId="2699" applyNumberFormat="1" applyFont="1" applyFill="1" applyBorder="1" applyAlignment="1">
      <alignment vertical="center"/>
    </xf>
    <xf numFmtId="190" fontId="190" fillId="0" borderId="0" xfId="2699" applyNumberFormat="1" applyFont="1" applyFill="1" applyBorder="1" applyAlignment="1">
      <alignment horizontal="center" vertical="center"/>
    </xf>
    <xf numFmtId="186" fontId="190" fillId="0" borderId="0" xfId="2699" applyNumberFormat="1" applyFont="1" applyFill="1" applyBorder="1" applyAlignment="1">
      <alignment vertical="center"/>
    </xf>
    <xf numFmtId="0" fontId="189" fillId="0" borderId="0" xfId="2697" applyFont="1">
      <alignment vertical="center"/>
    </xf>
    <xf numFmtId="197" fontId="191" fillId="0" borderId="0" xfId="2697" applyNumberFormat="1" applyFont="1" applyAlignment="1">
      <alignment horizontal="centerContinuous" vertical="center"/>
    </xf>
    <xf numFmtId="0" fontId="192" fillId="0" borderId="0" xfId="2697" applyFont="1" applyAlignment="1">
      <alignment horizontal="center" vertical="center"/>
    </xf>
    <xf numFmtId="197" fontId="192" fillId="0" borderId="0" xfId="2697" applyNumberFormat="1" applyFont="1">
      <alignment vertical="center"/>
    </xf>
    <xf numFmtId="0" fontId="192" fillId="0" borderId="0" xfId="2697" applyFont="1">
      <alignment vertical="center"/>
    </xf>
    <xf numFmtId="0" fontId="193" fillId="52" borderId="85" xfId="2697" applyFont="1" applyFill="1" applyBorder="1" applyAlignment="1">
      <alignment horizontal="centerContinuous" vertical="center"/>
    </xf>
    <xf numFmtId="0" fontId="193" fillId="52" borderId="68" xfId="2697" applyFont="1" applyFill="1" applyBorder="1" applyAlignment="1">
      <alignment horizontal="centerContinuous" vertical="center"/>
    </xf>
    <xf numFmtId="0" fontId="193" fillId="52" borderId="170" xfId="2697" applyFont="1" applyFill="1" applyBorder="1" applyAlignment="1">
      <alignment horizontal="centerContinuous" vertical="center"/>
    </xf>
    <xf numFmtId="0" fontId="193" fillId="52" borderId="171" xfId="2697" applyFont="1" applyFill="1" applyBorder="1" applyAlignment="1">
      <alignment horizontal="centerContinuous" vertical="center"/>
    </xf>
    <xf numFmtId="0" fontId="193" fillId="52" borderId="172" xfId="2697" applyFont="1" applyFill="1" applyBorder="1" applyAlignment="1">
      <alignment horizontal="centerContinuous" vertical="center"/>
    </xf>
    <xf numFmtId="0" fontId="193" fillId="52" borderId="187" xfId="2697" applyFont="1" applyFill="1" applyBorder="1" applyAlignment="1">
      <alignment horizontal="centerContinuous" vertical="center"/>
    </xf>
    <xf numFmtId="0" fontId="193" fillId="52" borderId="148" xfId="2697" applyFont="1" applyFill="1" applyBorder="1" applyAlignment="1">
      <alignment horizontal="centerContinuous" vertical="center"/>
    </xf>
    <xf numFmtId="0" fontId="193" fillId="52" borderId="6" xfId="2697" applyFont="1" applyFill="1" applyBorder="1" applyAlignment="1">
      <alignment horizontal="centerContinuous" vertical="center"/>
    </xf>
    <xf numFmtId="0" fontId="193" fillId="52" borderId="24" xfId="2697" applyNumberFormat="1" applyFont="1" applyFill="1" applyBorder="1" applyAlignment="1">
      <alignment horizontal="center" vertical="center"/>
    </xf>
    <xf numFmtId="0" fontId="193" fillId="52" borderId="226" xfId="2697" applyNumberFormat="1" applyFont="1" applyFill="1" applyBorder="1" applyAlignment="1">
      <alignment horizontal="center" vertical="center"/>
    </xf>
    <xf numFmtId="0" fontId="193" fillId="52" borderId="95" xfId="2697" applyNumberFormat="1" applyFont="1" applyFill="1" applyBorder="1" applyAlignment="1">
      <alignment horizontal="center" vertical="center"/>
    </xf>
    <xf numFmtId="0" fontId="193" fillId="52" borderId="10" xfId="2697" applyNumberFormat="1" applyFont="1" applyFill="1" applyBorder="1" applyAlignment="1">
      <alignment horizontal="center" vertical="center"/>
    </xf>
    <xf numFmtId="0" fontId="193" fillId="52" borderId="227" xfId="2697" applyNumberFormat="1" applyFont="1" applyFill="1" applyBorder="1" applyAlignment="1">
      <alignment horizontal="center" vertical="center"/>
    </xf>
    <xf numFmtId="0" fontId="193" fillId="52" borderId="59" xfId="2697" applyNumberFormat="1" applyFont="1" applyFill="1" applyBorder="1" applyAlignment="1">
      <alignment horizontal="center" vertical="center"/>
    </xf>
    <xf numFmtId="201" fontId="193" fillId="52" borderId="6" xfId="2697" applyNumberFormat="1" applyFont="1" applyFill="1" applyBorder="1" applyAlignment="1">
      <alignment horizontal="center" vertical="center"/>
    </xf>
    <xf numFmtId="0" fontId="193" fillId="52" borderId="6" xfId="2697" applyNumberFormat="1" applyFont="1" applyFill="1" applyBorder="1" applyAlignment="1">
      <alignment horizontal="center" vertical="center"/>
    </xf>
    <xf numFmtId="0" fontId="193" fillId="52" borderId="177" xfId="2697" applyNumberFormat="1" applyFont="1" applyFill="1" applyBorder="1" applyAlignment="1">
      <alignment horizontal="center" vertical="center"/>
    </xf>
    <xf numFmtId="0" fontId="193" fillId="0" borderId="109" xfId="2697" applyFont="1" applyFill="1" applyBorder="1" applyAlignment="1">
      <alignment horizontal="center" wrapText="1"/>
    </xf>
    <xf numFmtId="186" fontId="193" fillId="0" borderId="32" xfId="1959" applyNumberFormat="1" applyFont="1" applyBorder="1" applyAlignment="1">
      <alignment horizontal="center" vertical="center"/>
    </xf>
    <xf numFmtId="186" fontId="193" fillId="0" borderId="146" xfId="2699" applyNumberFormat="1" applyFont="1" applyBorder="1" applyAlignment="1">
      <alignment vertical="center"/>
    </xf>
    <xf numFmtId="190" fontId="193" fillId="0" borderId="0" xfId="2699" applyNumberFormat="1" applyFont="1" applyBorder="1" applyAlignment="1">
      <alignment horizontal="center" vertical="center"/>
    </xf>
    <xf numFmtId="41" fontId="193" fillId="0" borderId="0" xfId="1959" applyFont="1" applyBorder="1" applyAlignment="1">
      <alignment vertical="center"/>
    </xf>
    <xf numFmtId="186" fontId="193" fillId="0" borderId="55" xfId="1959" applyNumberFormat="1" applyFont="1" applyBorder="1" applyAlignment="1">
      <alignment vertical="center"/>
    </xf>
    <xf numFmtId="186" fontId="193" fillId="0" borderId="55" xfId="2699" applyNumberFormat="1" applyFont="1" applyBorder="1" applyAlignment="1">
      <alignment vertical="center"/>
    </xf>
    <xf numFmtId="190" fontId="193" fillId="0" borderId="55" xfId="1959" applyNumberFormat="1" applyFont="1" applyBorder="1" applyAlignment="1">
      <alignment vertical="center"/>
    </xf>
    <xf numFmtId="41" fontId="193" fillId="0" borderId="55" xfId="1959" applyFont="1" applyBorder="1" applyAlignment="1">
      <alignment vertical="center"/>
    </xf>
    <xf numFmtId="186" fontId="193" fillId="0" borderId="55" xfId="1959" applyNumberFormat="1" applyFont="1" applyBorder="1" applyAlignment="1">
      <alignment horizontal="center" vertical="center"/>
    </xf>
    <xf numFmtId="190" fontId="193" fillId="0" borderId="32" xfId="1959" applyNumberFormat="1" applyFont="1" applyBorder="1" applyAlignment="1">
      <alignment horizontal="center" vertical="center"/>
    </xf>
    <xf numFmtId="190" fontId="193" fillId="0" borderId="12" xfId="1959" applyNumberFormat="1" applyFont="1" applyBorder="1" applyAlignment="1">
      <alignment vertical="center"/>
    </xf>
    <xf numFmtId="202" fontId="193" fillId="0" borderId="109" xfId="2697" applyNumberFormat="1" applyFont="1" applyFill="1" applyBorder="1" applyAlignment="1">
      <alignment horizontal="center" vertical="center"/>
    </xf>
    <xf numFmtId="186" fontId="193" fillId="0" borderId="168" xfId="1959" applyNumberFormat="1" applyFont="1" applyBorder="1" applyAlignment="1">
      <alignment vertical="center"/>
    </xf>
    <xf numFmtId="190" fontId="193" fillId="0" borderId="69" xfId="2699" applyNumberFormat="1" applyFont="1" applyBorder="1" applyAlignment="1">
      <alignment vertical="center"/>
    </xf>
    <xf numFmtId="216" fontId="193" fillId="0" borderId="6" xfId="2696" applyNumberFormat="1" applyFont="1" applyBorder="1" applyAlignment="1">
      <alignment vertical="center"/>
    </xf>
    <xf numFmtId="216" fontId="193" fillId="0" borderId="6" xfId="2699" applyNumberFormat="1" applyFont="1" applyBorder="1" applyAlignment="1">
      <alignment vertical="center"/>
    </xf>
    <xf numFmtId="41" fontId="193" fillId="0" borderId="6" xfId="1959" applyFont="1" applyBorder="1" applyAlignment="1">
      <alignment vertical="center"/>
    </xf>
    <xf numFmtId="190" fontId="193" fillId="0" borderId="6" xfId="2699" applyNumberFormat="1" applyFont="1" applyBorder="1" applyAlignment="1">
      <alignment vertical="center"/>
    </xf>
    <xf numFmtId="186" fontId="193" fillId="0" borderId="6" xfId="1959" applyNumberFormat="1" applyFont="1" applyBorder="1" applyAlignment="1">
      <alignment vertical="center"/>
    </xf>
    <xf numFmtId="190" fontId="193" fillId="0" borderId="168" xfId="1959" applyNumberFormat="1" applyFont="1" applyBorder="1" applyAlignment="1">
      <alignment vertical="center"/>
    </xf>
    <xf numFmtId="0" fontId="193" fillId="0" borderId="108" xfId="2697" applyFont="1" applyFill="1" applyBorder="1" applyAlignment="1">
      <alignment horizontal="center" wrapText="1"/>
    </xf>
    <xf numFmtId="186" fontId="193" fillId="0" borderId="65" xfId="1959" applyNumberFormat="1" applyFont="1" applyBorder="1" applyAlignment="1">
      <alignment vertical="center"/>
    </xf>
    <xf numFmtId="186" fontId="193" fillId="0" borderId="23" xfId="2699" applyNumberFormat="1" applyFont="1" applyBorder="1" applyAlignment="1">
      <alignment vertical="center"/>
    </xf>
    <xf numFmtId="41" fontId="193" fillId="0" borderId="70" xfId="1959" applyFont="1" applyBorder="1" applyAlignment="1">
      <alignment vertical="center"/>
    </xf>
    <xf numFmtId="186" fontId="193" fillId="0" borderId="6" xfId="2699" applyNumberFormat="1" applyFont="1" applyBorder="1" applyAlignment="1">
      <alignment vertical="center"/>
    </xf>
    <xf numFmtId="190" fontId="193" fillId="0" borderId="6" xfId="1959" applyNumberFormat="1" applyFont="1" applyBorder="1" applyAlignment="1">
      <alignment vertical="center"/>
    </xf>
    <xf numFmtId="190" fontId="193" fillId="0" borderId="65" xfId="1959" applyNumberFormat="1" applyFont="1" applyBorder="1" applyAlignment="1">
      <alignment vertical="center"/>
    </xf>
    <xf numFmtId="190" fontId="193" fillId="0" borderId="71" xfId="1959" applyNumberFormat="1" applyFont="1" applyBorder="1" applyAlignment="1">
      <alignment vertical="center"/>
    </xf>
    <xf numFmtId="216" fontId="193" fillId="0" borderId="6" xfId="1959" applyNumberFormat="1" applyFont="1" applyBorder="1" applyAlignment="1">
      <alignment vertical="center"/>
    </xf>
    <xf numFmtId="202" fontId="193" fillId="0" borderId="107" xfId="2697" applyNumberFormat="1" applyFont="1" applyFill="1" applyBorder="1" applyAlignment="1">
      <alignment horizontal="center" vertical="center"/>
    </xf>
    <xf numFmtId="216" fontId="193" fillId="0" borderId="14" xfId="1959" applyNumberFormat="1" applyFont="1" applyBorder="1" applyAlignment="1">
      <alignment vertical="center"/>
    </xf>
    <xf numFmtId="216" fontId="193" fillId="0" borderId="14" xfId="2699" applyNumberFormat="1" applyFont="1" applyBorder="1" applyAlignment="1">
      <alignment vertical="center"/>
    </xf>
    <xf numFmtId="41" fontId="193" fillId="0" borderId="14" xfId="1959" applyFont="1" applyBorder="1" applyAlignment="1">
      <alignment vertical="center"/>
    </xf>
    <xf numFmtId="190" fontId="193" fillId="0" borderId="14" xfId="2699" applyNumberFormat="1" applyFont="1" applyBorder="1" applyAlignment="1">
      <alignment vertical="center"/>
    </xf>
    <xf numFmtId="186" fontId="193" fillId="0" borderId="14" xfId="1959" applyNumberFormat="1" applyFont="1" applyBorder="1" applyAlignment="1">
      <alignment vertical="center"/>
    </xf>
    <xf numFmtId="0" fontId="193" fillId="52" borderId="106" xfId="2697" applyFont="1" applyFill="1" applyBorder="1" applyAlignment="1">
      <alignment horizontal="center" wrapText="1"/>
    </xf>
    <xf numFmtId="186" fontId="193" fillId="52" borderId="37" xfId="1959" applyNumberFormat="1" applyFont="1" applyFill="1" applyBorder="1" applyAlignment="1">
      <alignment vertical="center"/>
    </xf>
    <xf numFmtId="186" fontId="193" fillId="52" borderId="77" xfId="2699" applyNumberFormat="1" applyFont="1" applyFill="1" applyBorder="1" applyAlignment="1">
      <alignment vertical="center"/>
    </xf>
    <xf numFmtId="41" fontId="193" fillId="52" borderId="68" xfId="1959" applyFont="1" applyFill="1" applyBorder="1" applyAlignment="1">
      <alignment vertical="center"/>
    </xf>
    <xf numFmtId="186" fontId="193" fillId="53" borderId="86" xfId="1959" applyNumberFormat="1" applyFont="1" applyFill="1" applyBorder="1" applyAlignment="1">
      <alignment vertical="center"/>
    </xf>
    <xf numFmtId="186" fontId="193" fillId="53" borderId="86" xfId="2699" applyNumberFormat="1" applyFont="1" applyFill="1" applyBorder="1" applyAlignment="1">
      <alignment vertical="center"/>
    </xf>
    <xf numFmtId="190" fontId="193" fillId="53" borderId="86" xfId="1959" applyNumberFormat="1" applyFont="1" applyFill="1" applyBorder="1" applyAlignment="1">
      <alignment vertical="center"/>
    </xf>
    <xf numFmtId="186" fontId="193" fillId="53" borderId="118" xfId="1959" applyNumberFormat="1" applyFont="1" applyFill="1" applyBorder="1" applyAlignment="1">
      <alignment vertical="center"/>
    </xf>
    <xf numFmtId="190" fontId="193" fillId="52" borderId="37" xfId="1959" applyNumberFormat="1" applyFont="1" applyFill="1" applyBorder="1" applyAlignment="1">
      <alignment vertical="center"/>
    </xf>
    <xf numFmtId="190" fontId="193" fillId="52" borderId="77" xfId="1959" applyNumberFormat="1" applyFont="1" applyFill="1" applyBorder="1" applyAlignment="1">
      <alignment vertical="center"/>
    </xf>
    <xf numFmtId="202" fontId="193" fillId="52" borderId="110" xfId="2697" applyNumberFormat="1" applyFont="1" applyFill="1" applyBorder="1" applyAlignment="1">
      <alignment horizontal="center" vertical="center"/>
    </xf>
    <xf numFmtId="186" fontId="193" fillId="52" borderId="164" xfId="1959" applyNumberFormat="1" applyFont="1" applyFill="1" applyBorder="1" applyAlignment="1">
      <alignment vertical="center"/>
    </xf>
    <xf numFmtId="190" fontId="193" fillId="52" borderId="163" xfId="2699" applyNumberFormat="1" applyFont="1" applyFill="1" applyBorder="1" applyAlignment="1">
      <alignment vertical="center"/>
    </xf>
    <xf numFmtId="190" fontId="193" fillId="52" borderId="166" xfId="2699" applyNumberFormat="1" applyFont="1" applyFill="1" applyBorder="1" applyAlignment="1">
      <alignment vertical="center"/>
    </xf>
    <xf numFmtId="186" fontId="193" fillId="52" borderId="162" xfId="1959" applyNumberFormat="1" applyFont="1" applyFill="1" applyBorder="1" applyAlignment="1">
      <alignment vertical="center"/>
    </xf>
    <xf numFmtId="190" fontId="193" fillId="52" borderId="161" xfId="2699" applyNumberFormat="1" applyFont="1" applyFill="1" applyBorder="1" applyAlignment="1">
      <alignment vertical="center"/>
    </xf>
    <xf numFmtId="216" fontId="193" fillId="53" borderId="191" xfId="1959" applyNumberFormat="1" applyFont="1" applyFill="1" applyBorder="1" applyAlignment="1">
      <alignment vertical="center"/>
    </xf>
    <xf numFmtId="190" fontId="193" fillId="53" borderId="191" xfId="1959" applyNumberFormat="1" applyFont="1" applyFill="1" applyBorder="1" applyAlignment="1">
      <alignment vertical="center"/>
    </xf>
    <xf numFmtId="190" fontId="193" fillId="53" borderId="191" xfId="2699" applyNumberFormat="1" applyFont="1" applyFill="1" applyBorder="1" applyAlignment="1">
      <alignment vertical="center"/>
    </xf>
    <xf numFmtId="186" fontId="193" fillId="53" borderId="14" xfId="1959" applyNumberFormat="1" applyFont="1" applyFill="1" applyBorder="1" applyAlignment="1">
      <alignment vertical="center"/>
    </xf>
    <xf numFmtId="190" fontId="193" fillId="53" borderId="14" xfId="2699" applyNumberFormat="1" applyFont="1" applyFill="1" applyBorder="1" applyAlignment="1">
      <alignment vertical="center"/>
    </xf>
    <xf numFmtId="190" fontId="193" fillId="52" borderId="164" xfId="1959" applyNumberFormat="1" applyFont="1" applyFill="1" applyBorder="1" applyAlignment="1">
      <alignment vertical="center"/>
    </xf>
    <xf numFmtId="216" fontId="193" fillId="0" borderId="14" xfId="2696" applyNumberFormat="1" applyFont="1" applyBorder="1" applyAlignment="1">
      <alignment vertical="center"/>
    </xf>
    <xf numFmtId="216" fontId="193" fillId="53" borderId="14" xfId="2699" applyNumberFormat="1" applyFont="1" applyFill="1" applyBorder="1" applyAlignment="1">
      <alignment vertical="center"/>
    </xf>
    <xf numFmtId="0" fontId="193" fillId="52" borderId="173" xfId="2697" applyFont="1" applyFill="1" applyBorder="1" applyAlignment="1">
      <alignment horizontal="centerContinuous" vertical="center"/>
    </xf>
    <xf numFmtId="208" fontId="193" fillId="53" borderId="86" xfId="2699" applyNumberFormat="1" applyFont="1" applyFill="1" applyBorder="1" applyAlignment="1">
      <alignment vertical="center"/>
    </xf>
    <xf numFmtId="208" fontId="193" fillId="0" borderId="55" xfId="2699" applyNumberFormat="1" applyFont="1" applyBorder="1" applyAlignment="1">
      <alignment vertical="center"/>
    </xf>
    <xf numFmtId="208" fontId="193" fillId="0" borderId="55" xfId="1959" applyNumberFormat="1" applyFont="1" applyBorder="1" applyAlignment="1">
      <alignment vertical="center"/>
    </xf>
    <xf numFmtId="208" fontId="193" fillId="0" borderId="6" xfId="2699" applyNumberFormat="1" applyFont="1" applyBorder="1" applyAlignment="1">
      <alignment vertical="center"/>
    </xf>
    <xf numFmtId="208" fontId="193" fillId="0" borderId="6" xfId="1959" applyNumberFormat="1" applyFont="1" applyBorder="1" applyAlignment="1">
      <alignment vertical="center"/>
    </xf>
    <xf numFmtId="208" fontId="193" fillId="53" borderId="86" xfId="1959" applyNumberFormat="1" applyFont="1" applyFill="1" applyBorder="1" applyAlignment="1">
      <alignment vertical="center"/>
    </xf>
    <xf numFmtId="216" fontId="193" fillId="53" borderId="14" xfId="2696" applyNumberFormat="1" applyFont="1" applyFill="1" applyBorder="1" applyAlignment="1">
      <alignment vertical="center"/>
    </xf>
    <xf numFmtId="216" fontId="193" fillId="53" borderId="14" xfId="1959" applyNumberFormat="1" applyFont="1" applyFill="1" applyBorder="1" applyAlignment="1">
      <alignment vertical="center"/>
    </xf>
    <xf numFmtId="0" fontId="22" fillId="0" borderId="0" xfId="2821">
      <alignment vertical="center"/>
    </xf>
    <xf numFmtId="0" fontId="20" fillId="0" borderId="0" xfId="2842">
      <alignment vertical="center"/>
    </xf>
    <xf numFmtId="14" fontId="20" fillId="0" borderId="0" xfId="2842" applyNumberFormat="1">
      <alignment vertical="center"/>
    </xf>
    <xf numFmtId="4" fontId="20" fillId="0" borderId="0" xfId="2842" applyNumberFormat="1">
      <alignment vertical="center"/>
    </xf>
    <xf numFmtId="3" fontId="20" fillId="0" borderId="0" xfId="2842" applyNumberFormat="1">
      <alignment vertical="center"/>
    </xf>
    <xf numFmtId="22" fontId="20" fillId="0" borderId="0" xfId="2842" applyNumberFormat="1">
      <alignment vertical="center"/>
    </xf>
    <xf numFmtId="189" fontId="20" fillId="0" borderId="0" xfId="2842" applyNumberFormat="1">
      <alignment vertical="center"/>
    </xf>
    <xf numFmtId="17" fontId="20" fillId="0" borderId="0" xfId="2842" applyNumberFormat="1">
      <alignment vertical="center"/>
    </xf>
    <xf numFmtId="41" fontId="121" fillId="0" borderId="105" xfId="1959" applyNumberFormat="1" applyFont="1" applyFill="1" applyBorder="1" applyAlignment="1">
      <alignment vertical="center"/>
    </xf>
    <xf numFmtId="176" fontId="126" fillId="0" borderId="105" xfId="1959" applyNumberFormat="1" applyFont="1" applyFill="1" applyBorder="1" applyAlignment="1">
      <alignment vertical="center"/>
    </xf>
    <xf numFmtId="41" fontId="47" fillId="0" borderId="0" xfId="1959" applyFont="1" applyFill="1" applyAlignment="1">
      <alignment vertical="center"/>
    </xf>
    <xf numFmtId="0" fontId="19" fillId="0" borderId="0" xfId="3071">
      <alignment vertical="center"/>
    </xf>
    <xf numFmtId="14" fontId="19" fillId="0" borderId="0" xfId="3071" applyNumberFormat="1">
      <alignment vertical="center"/>
    </xf>
    <xf numFmtId="4" fontId="19" fillId="0" borderId="0" xfId="3071" applyNumberFormat="1">
      <alignment vertical="center"/>
    </xf>
    <xf numFmtId="3" fontId="19" fillId="0" borderId="0" xfId="3071" applyNumberFormat="1">
      <alignment vertical="center"/>
    </xf>
    <xf numFmtId="22" fontId="19" fillId="0" borderId="0" xfId="3071" applyNumberFormat="1">
      <alignment vertical="center"/>
    </xf>
    <xf numFmtId="189" fontId="19" fillId="0" borderId="0" xfId="3071" applyNumberFormat="1">
      <alignment vertical="center"/>
    </xf>
    <xf numFmtId="195" fontId="126" fillId="0" borderId="16" xfId="0" applyNumberFormat="1" applyFont="1" applyFill="1" applyBorder="1" applyAlignment="1">
      <alignment vertical="center"/>
    </xf>
    <xf numFmtId="195" fontId="126" fillId="0" borderId="100" xfId="1959" applyNumberFormat="1" applyFont="1" applyFill="1" applyBorder="1" applyAlignment="1">
      <alignment vertical="center"/>
    </xf>
    <xf numFmtId="217" fontId="47" fillId="0" borderId="0" xfId="1959" applyNumberFormat="1" applyFont="1" applyBorder="1" applyAlignment="1">
      <alignment vertical="center"/>
    </xf>
    <xf numFmtId="41" fontId="45" fillId="0" borderId="0" xfId="1959" applyFont="1" applyAlignment="1">
      <alignment vertical="center"/>
    </xf>
    <xf numFmtId="0" fontId="49" fillId="59" borderId="10" xfId="0" applyFont="1" applyFill="1" applyBorder="1" applyAlignment="1">
      <alignment horizontal="center" vertical="center"/>
    </xf>
    <xf numFmtId="195" fontId="49" fillId="59" borderId="55" xfId="0" applyNumberFormat="1" applyFont="1" applyFill="1" applyBorder="1" applyAlignment="1">
      <alignment vertical="center"/>
    </xf>
    <xf numFmtId="177" fontId="49" fillId="59" borderId="55" xfId="0" applyNumberFormat="1" applyFont="1" applyFill="1" applyBorder="1" applyAlignment="1">
      <alignment vertical="center"/>
    </xf>
    <xf numFmtId="176" fontId="49" fillId="59" borderId="55" xfId="1959" applyNumberFormat="1" applyFont="1" applyFill="1" applyBorder="1" applyAlignment="1">
      <alignment vertical="center"/>
    </xf>
    <xf numFmtId="41" fontId="49" fillId="59" borderId="55" xfId="1959" applyNumberFormat="1" applyFont="1" applyFill="1" applyBorder="1" applyAlignment="1">
      <alignment vertical="center"/>
    </xf>
    <xf numFmtId="177" fontId="49" fillId="59" borderId="36" xfId="0" applyNumberFormat="1" applyFont="1" applyFill="1" applyBorder="1" applyAlignment="1">
      <alignment vertical="center"/>
    </xf>
    <xf numFmtId="195" fontId="49" fillId="59" borderId="55" xfId="1959" applyNumberFormat="1" applyFont="1" applyFill="1" applyBorder="1" applyAlignment="1">
      <alignment vertical="center"/>
    </xf>
    <xf numFmtId="41" fontId="49" fillId="59" borderId="55" xfId="1959" applyFont="1" applyFill="1" applyBorder="1" applyAlignment="1">
      <alignment vertical="center"/>
    </xf>
    <xf numFmtId="177" fontId="49" fillId="59" borderId="28" xfId="0" applyNumberFormat="1" applyFont="1" applyFill="1" applyBorder="1" applyAlignment="1">
      <alignment vertical="center"/>
    </xf>
    <xf numFmtId="176" fontId="49" fillId="59" borderId="6" xfId="1959" applyNumberFormat="1" applyFont="1" applyFill="1" applyBorder="1" applyAlignment="1">
      <alignment vertical="center"/>
    </xf>
    <xf numFmtId="195" fontId="49" fillId="59" borderId="6" xfId="1959" applyNumberFormat="1" applyFont="1" applyFill="1" applyBorder="1" applyAlignment="1">
      <alignment vertical="center"/>
    </xf>
    <xf numFmtId="177" fontId="49" fillId="59" borderId="6" xfId="0" applyNumberFormat="1" applyFont="1" applyFill="1" applyBorder="1" applyAlignment="1">
      <alignment vertical="center"/>
    </xf>
    <xf numFmtId="176" fontId="49" fillId="59" borderId="6" xfId="0" applyNumberFormat="1" applyFont="1" applyFill="1" applyBorder="1" applyAlignment="1">
      <alignment vertical="center"/>
    </xf>
    <xf numFmtId="41" fontId="49" fillId="59" borderId="6" xfId="1959" applyNumberFormat="1" applyFont="1" applyFill="1" applyBorder="1" applyAlignment="1">
      <alignment vertical="center"/>
    </xf>
    <xf numFmtId="177" fontId="49" fillId="59" borderId="27" xfId="1959" applyNumberFormat="1" applyFont="1" applyFill="1" applyBorder="1" applyAlignment="1">
      <alignment vertical="center"/>
    </xf>
    <xf numFmtId="41" fontId="49" fillId="59" borderId="27" xfId="1959" applyFont="1" applyFill="1" applyBorder="1" applyAlignment="1">
      <alignment vertical="center"/>
    </xf>
    <xf numFmtId="176" fontId="49" fillId="59" borderId="27" xfId="1959" applyNumberFormat="1" applyFont="1" applyFill="1" applyBorder="1" applyAlignment="1">
      <alignment vertical="center"/>
    </xf>
    <xf numFmtId="41" fontId="49" fillId="59" borderId="27" xfId="1959" applyNumberFormat="1" applyFont="1" applyFill="1" applyBorder="1" applyAlignment="1">
      <alignment vertical="center"/>
    </xf>
    <xf numFmtId="177" fontId="49" fillId="59" borderId="36" xfId="1959" applyNumberFormat="1" applyFont="1" applyFill="1" applyBorder="1" applyAlignment="1">
      <alignment vertical="center"/>
    </xf>
    <xf numFmtId="177" fontId="49" fillId="59" borderId="6" xfId="1959" applyNumberFormat="1" applyFont="1" applyFill="1" applyBorder="1" applyAlignment="1">
      <alignment vertical="center"/>
    </xf>
    <xf numFmtId="41" fontId="49" fillId="59" borderId="6" xfId="1959" applyFont="1" applyFill="1" applyBorder="1" applyAlignment="1">
      <alignment vertical="center"/>
    </xf>
    <xf numFmtId="177" fontId="49" fillId="59" borderId="20" xfId="1959" applyNumberFormat="1" applyFont="1" applyFill="1" applyBorder="1" applyAlignment="1">
      <alignment vertical="center"/>
    </xf>
    <xf numFmtId="0" fontId="49" fillId="59" borderId="26" xfId="0" applyFont="1" applyFill="1" applyBorder="1" applyAlignment="1">
      <alignment horizontal="center" vertical="center"/>
    </xf>
    <xf numFmtId="177" fontId="49" fillId="52" borderId="17" xfId="0" applyNumberFormat="1" applyFont="1" applyFill="1" applyBorder="1" applyAlignment="1">
      <alignment vertical="center"/>
    </xf>
    <xf numFmtId="177" fontId="49" fillId="52" borderId="18" xfId="0" applyNumberFormat="1" applyFont="1" applyFill="1" applyBorder="1" applyAlignment="1">
      <alignment vertical="center"/>
    </xf>
    <xf numFmtId="177" fontId="49" fillId="52" borderId="30" xfId="0" applyNumberFormat="1" applyFont="1" applyFill="1" applyBorder="1" applyAlignment="1">
      <alignment vertical="center"/>
    </xf>
    <xf numFmtId="177" fontId="49" fillId="52" borderId="20" xfId="0" applyNumberFormat="1" applyFont="1" applyFill="1" applyBorder="1" applyAlignment="1">
      <alignment vertical="center"/>
    </xf>
    <xf numFmtId="177" fontId="49" fillId="52" borderId="39" xfId="0" applyNumberFormat="1" applyFont="1" applyFill="1" applyBorder="1" applyAlignment="1">
      <alignment vertical="center"/>
    </xf>
    <xf numFmtId="195" fontId="126" fillId="17" borderId="100" xfId="0" applyNumberFormat="1" applyFont="1" applyFill="1" applyBorder="1" applyAlignment="1">
      <alignment vertical="center"/>
    </xf>
    <xf numFmtId="0" fontId="49" fillId="0" borderId="23" xfId="0" applyFont="1" applyFill="1" applyBorder="1" applyAlignment="1">
      <alignment horizontal="centerContinuous" vertical="center"/>
    </xf>
    <xf numFmtId="216" fontId="203" fillId="53" borderId="191" xfId="2699" applyNumberFormat="1" applyFont="1" applyFill="1" applyBorder="1" applyAlignment="1">
      <alignment vertical="center"/>
    </xf>
    <xf numFmtId="216" fontId="203" fillId="53" borderId="14" xfId="2699" applyNumberFormat="1" applyFont="1" applyFill="1" applyBorder="1" applyAlignment="1">
      <alignment vertical="center"/>
    </xf>
    <xf numFmtId="0" fontId="45" fillId="0" borderId="41" xfId="0" applyFont="1" applyBorder="1" applyAlignment="1">
      <alignment vertical="center"/>
    </xf>
    <xf numFmtId="0" fontId="45" fillId="0" borderId="42" xfId="0" applyFont="1" applyBorder="1" applyAlignment="1">
      <alignment vertical="center"/>
    </xf>
    <xf numFmtId="0" fontId="45" fillId="0" borderId="43" xfId="0" applyFont="1" applyBorder="1" applyAlignment="1">
      <alignment vertical="center"/>
    </xf>
    <xf numFmtId="0" fontId="45" fillId="0" borderId="92" xfId="0" applyFont="1" applyBorder="1" applyAlignment="1">
      <alignment horizontal="center" vertical="center"/>
    </xf>
    <xf numFmtId="0" fontId="45" fillId="0" borderId="93" xfId="0" applyFont="1" applyBorder="1" applyAlignment="1">
      <alignment horizontal="center" vertical="center"/>
    </xf>
    <xf numFmtId="0" fontId="45" fillId="0" borderId="94" xfId="0" applyFont="1" applyBorder="1" applyAlignment="1">
      <alignment horizontal="center" vertical="center"/>
    </xf>
    <xf numFmtId="41" fontId="45" fillId="0" borderId="93" xfId="1959" applyFont="1" applyBorder="1" applyAlignment="1">
      <alignment vertical="center"/>
    </xf>
    <xf numFmtId="41" fontId="45" fillId="0" borderId="94" xfId="1959" applyFont="1" applyBorder="1" applyAlignment="1">
      <alignment vertical="center"/>
    </xf>
    <xf numFmtId="0" fontId="45" fillId="0" borderId="95" xfId="0" applyFont="1" applyBorder="1" applyAlignment="1">
      <alignment horizontal="center" vertical="center"/>
    </xf>
    <xf numFmtId="41" fontId="45" fillId="0" borderId="96" xfId="1959" applyFont="1" applyBorder="1" applyAlignment="1">
      <alignment vertical="center"/>
    </xf>
    <xf numFmtId="41" fontId="45" fillId="0" borderId="97" xfId="1959" applyFont="1" applyBorder="1" applyAlignment="1">
      <alignment vertical="center"/>
    </xf>
    <xf numFmtId="41" fontId="45" fillId="0" borderId="41" xfId="1959" applyFont="1" applyBorder="1" applyAlignment="1">
      <alignment horizontal="center" vertical="center"/>
    </xf>
    <xf numFmtId="41" fontId="45" fillId="0" borderId="42" xfId="1959" applyFont="1" applyBorder="1" applyAlignment="1">
      <alignment horizontal="center" vertical="center"/>
    </xf>
    <xf numFmtId="41" fontId="45" fillId="0" borderId="43" xfId="1959" applyFont="1" applyBorder="1" applyAlignment="1">
      <alignment horizontal="center" vertical="center"/>
    </xf>
    <xf numFmtId="41" fontId="45" fillId="0" borderId="49" xfId="1959" applyFont="1" applyBorder="1" applyAlignment="1">
      <alignment horizontal="center" vertical="center"/>
    </xf>
    <xf numFmtId="41" fontId="45" fillId="0" borderId="47" xfId="1959" applyFont="1" applyBorder="1" applyAlignment="1">
      <alignment horizontal="center" vertical="center"/>
    </xf>
    <xf numFmtId="196" fontId="45" fillId="0" borderId="67" xfId="1959" applyNumberFormat="1" applyFont="1" applyBorder="1" applyAlignment="1">
      <alignment horizontal="center" vertical="center"/>
    </xf>
    <xf numFmtId="41" fontId="45" fillId="0" borderId="67" xfId="1959" applyFont="1" applyBorder="1" applyAlignment="1">
      <alignment horizontal="center" vertical="center"/>
    </xf>
    <xf numFmtId="41" fontId="45" fillId="0" borderId="44" xfId="1959" applyFont="1" applyBorder="1" applyAlignment="1">
      <alignment horizontal="center" vertical="center"/>
    </xf>
    <xf numFmtId="41" fontId="45" fillId="0" borderId="45" xfId="1959" applyFont="1" applyBorder="1" applyAlignment="1">
      <alignment horizontal="center" vertical="center"/>
    </xf>
    <xf numFmtId="41" fontId="45" fillId="0" borderId="46" xfId="1959" applyFont="1" applyBorder="1" applyAlignment="1">
      <alignment horizontal="center" vertical="center"/>
    </xf>
    <xf numFmtId="176" fontId="45" fillId="0" borderId="15" xfId="0" applyNumberFormat="1" applyFont="1" applyBorder="1" applyAlignment="1">
      <alignment horizontal="center" vertical="center"/>
    </xf>
    <xf numFmtId="176" fontId="45" fillId="0" borderId="23" xfId="0" applyNumberFormat="1" applyFont="1" applyBorder="1" applyAlignment="1">
      <alignment vertical="center"/>
    </xf>
    <xf numFmtId="176" fontId="45" fillId="0" borderId="15" xfId="0" applyNumberFormat="1" applyFont="1" applyFill="1" applyBorder="1" applyAlignment="1">
      <alignment horizontal="center" vertical="center"/>
    </xf>
    <xf numFmtId="0" fontId="45" fillId="0" borderId="100" xfId="0" applyFont="1" applyBorder="1" applyAlignment="1">
      <alignment horizontal="center" vertical="center"/>
    </xf>
    <xf numFmtId="176" fontId="45" fillId="0" borderId="98" xfId="0" applyNumberFormat="1" applyFont="1" applyBorder="1" applyAlignment="1">
      <alignment vertical="center"/>
    </xf>
    <xf numFmtId="176" fontId="45" fillId="0" borderId="100" xfId="0" applyNumberFormat="1" applyFont="1" applyFill="1" applyBorder="1" applyAlignment="1">
      <alignment horizontal="center" vertical="center"/>
    </xf>
    <xf numFmtId="0" fontId="45" fillId="0" borderId="100" xfId="0" applyFont="1" applyFill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176" fontId="45" fillId="0" borderId="16" xfId="0" applyNumberFormat="1" applyFont="1" applyBorder="1" applyAlignment="1">
      <alignment vertical="center"/>
    </xf>
    <xf numFmtId="0" fontId="45" fillId="0" borderId="16" xfId="0" applyFont="1" applyBorder="1" applyAlignment="1">
      <alignment vertical="center"/>
    </xf>
    <xf numFmtId="0" fontId="45" fillId="0" borderId="99" xfId="0" applyFont="1" applyBorder="1" applyAlignment="1">
      <alignment vertical="center"/>
    </xf>
    <xf numFmtId="176" fontId="49" fillId="16" borderId="10" xfId="1959" applyNumberFormat="1" applyFont="1" applyFill="1" applyBorder="1" applyAlignment="1">
      <alignment vertical="center"/>
    </xf>
    <xf numFmtId="0" fontId="206" fillId="0" borderId="0" xfId="0" applyFont="1" applyAlignment="1">
      <alignment horizontal="centerContinuous" vertical="center"/>
    </xf>
    <xf numFmtId="0" fontId="206" fillId="0" borderId="0" xfId="0" applyFont="1" applyFill="1" applyAlignment="1">
      <alignment horizontal="centerContinuous" vertical="center"/>
    </xf>
    <xf numFmtId="177" fontId="206" fillId="0" borderId="0" xfId="0" applyNumberFormat="1" applyFont="1" applyAlignment="1">
      <alignment horizontal="centerContinuous" vertical="center"/>
    </xf>
    <xf numFmtId="176" fontId="206" fillId="0" borderId="0" xfId="0" applyNumberFormat="1" applyFont="1" applyAlignment="1">
      <alignment horizontal="centerContinuous" vertical="center"/>
    </xf>
    <xf numFmtId="194" fontId="59" fillId="0" borderId="0" xfId="0" applyNumberFormat="1" applyFont="1" applyAlignment="1">
      <alignment vertical="center"/>
    </xf>
    <xf numFmtId="176" fontId="59" fillId="0" borderId="0" xfId="0" applyNumberFormat="1" applyFont="1" applyBorder="1" applyAlignment="1">
      <alignment vertical="center"/>
    </xf>
    <xf numFmtId="176" fontId="59" fillId="0" borderId="0" xfId="0" applyNumberFormat="1" applyFont="1" applyBorder="1" applyAlignment="1">
      <alignment horizontal="center" vertical="center"/>
    </xf>
    <xf numFmtId="177" fontId="59" fillId="0" borderId="0" xfId="0" applyNumberFormat="1" applyFont="1" applyBorder="1" applyAlignment="1">
      <alignment horizontal="center" vertical="center"/>
    </xf>
    <xf numFmtId="177" fontId="59" fillId="0" borderId="0" xfId="0" applyNumberFormat="1" applyFont="1" applyFill="1" applyBorder="1" applyAlignment="1">
      <alignment horizontal="center" vertical="center"/>
    </xf>
    <xf numFmtId="0" fontId="56" fillId="0" borderId="0" xfId="0" applyFont="1" applyBorder="1" applyAlignment="1">
      <alignment vertical="center"/>
    </xf>
    <xf numFmtId="218" fontId="193" fillId="53" borderId="14" xfId="1959" applyNumberFormat="1" applyFont="1" applyFill="1" applyBorder="1" applyAlignment="1">
      <alignment vertical="center"/>
    </xf>
    <xf numFmtId="0" fontId="49" fillId="17" borderId="25" xfId="0" applyFont="1" applyFill="1" applyBorder="1" applyAlignment="1">
      <alignment horizontal="center" vertical="center"/>
    </xf>
    <xf numFmtId="0" fontId="49" fillId="17" borderId="100" xfId="0" applyFont="1" applyFill="1" applyBorder="1" applyAlignment="1">
      <alignment horizontal="center" vertical="center" shrinkToFit="1"/>
    </xf>
    <xf numFmtId="0" fontId="49" fillId="17" borderId="23" xfId="0" applyFont="1" applyFill="1" applyBorder="1" applyAlignment="1">
      <alignment horizontal="center" vertical="center"/>
    </xf>
    <xf numFmtId="0" fontId="49" fillId="17" borderId="104" xfId="0" applyFont="1" applyFill="1" applyBorder="1" applyAlignment="1">
      <alignment horizontal="center" vertical="center"/>
    </xf>
    <xf numFmtId="0" fontId="49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207" fillId="0" borderId="0" xfId="1959" applyFont="1" applyBorder="1" applyAlignment="1">
      <alignment vertical="center"/>
    </xf>
    <xf numFmtId="205" fontId="173" fillId="0" borderId="147" xfId="0" applyNumberFormat="1" applyFont="1" applyFill="1" applyBorder="1" applyAlignment="1">
      <alignment vertical="center"/>
    </xf>
    <xf numFmtId="205" fontId="173" fillId="0" borderId="53" xfId="1959" applyNumberFormat="1" applyFont="1" applyFill="1" applyBorder="1" applyAlignment="1">
      <alignment vertical="center"/>
    </xf>
    <xf numFmtId="205" fontId="173" fillId="0" borderId="225" xfId="1959" applyNumberFormat="1" applyFont="1" applyFill="1" applyBorder="1" applyAlignment="1">
      <alignment horizontal="right" vertical="center"/>
    </xf>
    <xf numFmtId="205" fontId="173" fillId="0" borderId="136" xfId="0" applyNumberFormat="1" applyFont="1" applyFill="1" applyBorder="1" applyAlignment="1">
      <alignment vertical="center"/>
    </xf>
    <xf numFmtId="205" fontId="173" fillId="0" borderId="93" xfId="1959" applyNumberFormat="1" applyFont="1" applyFill="1" applyBorder="1" applyAlignment="1">
      <alignment vertical="center"/>
    </xf>
    <xf numFmtId="205" fontId="175" fillId="0" borderId="93" xfId="1959" applyNumberFormat="1" applyFont="1" applyBorder="1" applyAlignment="1">
      <alignment vertical="center"/>
    </xf>
    <xf numFmtId="205" fontId="173" fillId="0" borderId="137" xfId="0" applyNumberFormat="1" applyFont="1" applyFill="1" applyBorder="1" applyAlignment="1">
      <alignment vertical="center"/>
    </xf>
    <xf numFmtId="205" fontId="175" fillId="0" borderId="96" xfId="1959" applyNumberFormat="1" applyFont="1" applyBorder="1" applyAlignment="1">
      <alignment vertical="center"/>
    </xf>
    <xf numFmtId="205" fontId="173" fillId="0" borderId="96" xfId="1959" applyNumberFormat="1" applyFont="1" applyFill="1" applyBorder="1" applyAlignment="1">
      <alignment vertical="center"/>
    </xf>
    <xf numFmtId="176" fontId="175" fillId="0" borderId="135" xfId="0" applyNumberFormat="1" applyFont="1" applyFill="1" applyBorder="1" applyAlignment="1">
      <alignment vertical="center" shrinkToFit="1"/>
    </xf>
    <xf numFmtId="176" fontId="175" fillId="0" borderId="42" xfId="0" applyNumberFormat="1" applyFont="1" applyFill="1" applyBorder="1" applyAlignment="1">
      <alignment vertical="center" shrinkToFit="1"/>
    </xf>
    <xf numFmtId="207" fontId="173" fillId="0" borderId="41" xfId="0" applyNumberFormat="1" applyFont="1" applyFill="1" applyBorder="1" applyAlignment="1">
      <alignment vertical="center" shrinkToFit="1"/>
    </xf>
    <xf numFmtId="176" fontId="175" fillId="0" borderId="136" xfId="0" applyNumberFormat="1" applyFont="1" applyFill="1" applyBorder="1" applyAlignment="1">
      <alignment vertical="center" shrinkToFit="1"/>
    </xf>
    <xf numFmtId="207" fontId="173" fillId="0" borderId="92" xfId="0" applyNumberFormat="1" applyFont="1" applyFill="1" applyBorder="1" applyAlignment="1">
      <alignment vertical="center" shrinkToFit="1"/>
    </xf>
    <xf numFmtId="176" fontId="175" fillId="0" borderId="137" xfId="0" applyNumberFormat="1" applyFont="1" applyFill="1" applyBorder="1" applyAlignment="1">
      <alignment vertical="center" shrinkToFit="1"/>
    </xf>
    <xf numFmtId="207" fontId="173" fillId="0" borderId="95" xfId="0" applyNumberFormat="1" applyFont="1" applyFill="1" applyBorder="1" applyAlignment="1">
      <alignment vertical="center" shrinkToFit="1"/>
    </xf>
    <xf numFmtId="191" fontId="170" fillId="57" borderId="208" xfId="0" applyNumberFormat="1" applyFont="1" applyFill="1" applyBorder="1" applyAlignment="1">
      <alignment horizontal="right" vertical="center"/>
    </xf>
    <xf numFmtId="191" fontId="170" fillId="57" borderId="6" xfId="0" applyNumberFormat="1" applyFont="1" applyFill="1" applyBorder="1" applyAlignment="1">
      <alignment horizontal="right" vertical="center"/>
    </xf>
    <xf numFmtId="191" fontId="170" fillId="57" borderId="209" xfId="0" applyNumberFormat="1" applyFont="1" applyFill="1" applyBorder="1" applyAlignment="1">
      <alignment horizontal="right" vertical="center"/>
    </xf>
    <xf numFmtId="176" fontId="175" fillId="0" borderId="147" xfId="0" applyNumberFormat="1" applyFont="1" applyFill="1" applyBorder="1" applyAlignment="1">
      <alignment vertical="center" shrinkToFit="1"/>
    </xf>
    <xf numFmtId="207" fontId="173" fillId="0" borderId="56" xfId="0" applyNumberFormat="1" applyFont="1" applyFill="1" applyBorder="1" applyAlignment="1">
      <alignment vertical="center" shrinkToFit="1"/>
    </xf>
    <xf numFmtId="41" fontId="173" fillId="0" borderId="92" xfId="1959" applyFont="1" applyFill="1" applyBorder="1" applyAlignment="1">
      <alignment vertical="center" shrinkToFit="1"/>
    </xf>
    <xf numFmtId="176" fontId="177" fillId="0" borderId="138" xfId="0" applyNumberFormat="1" applyFont="1" applyFill="1" applyBorder="1" applyAlignment="1">
      <alignment vertical="center" shrinkToFit="1"/>
    </xf>
    <xf numFmtId="206" fontId="173" fillId="0" borderId="132" xfId="0" applyNumberFormat="1" applyFont="1" applyFill="1" applyBorder="1" applyAlignment="1">
      <alignment vertical="center" shrinkToFit="1"/>
    </xf>
    <xf numFmtId="176" fontId="49" fillId="0" borderId="98" xfId="0" applyNumberFormat="1" applyFont="1" applyBorder="1" applyAlignment="1">
      <alignment vertical="center"/>
    </xf>
    <xf numFmtId="0" fontId="15" fillId="0" borderId="0" xfId="3153">
      <alignment vertical="center"/>
    </xf>
    <xf numFmtId="195" fontId="15" fillId="0" borderId="0" xfId="3154" applyNumberFormat="1" applyFont="1">
      <alignment vertical="center"/>
    </xf>
    <xf numFmtId="0" fontId="0" fillId="0" borderId="0" xfId="0" applyFont="1"/>
    <xf numFmtId="0" fontId="0" fillId="0" borderId="0" xfId="0" applyFont="1" applyAlignment="1">
      <alignment horizontal="centerContinuous"/>
    </xf>
    <xf numFmtId="0" fontId="0" fillId="0" borderId="0" xfId="0" applyFont="1" applyFill="1"/>
    <xf numFmtId="209" fontId="175" fillId="0" borderId="123" xfId="0" applyNumberFormat="1" applyFont="1" applyFill="1" applyBorder="1" applyAlignment="1">
      <alignment vertical="center" shrinkToFit="1"/>
    </xf>
    <xf numFmtId="176" fontId="175" fillId="0" borderId="126" xfId="0" applyNumberFormat="1" applyFont="1" applyFill="1" applyBorder="1" applyAlignment="1">
      <alignment vertical="center" shrinkToFit="1"/>
    </xf>
    <xf numFmtId="176" fontId="173" fillId="0" borderId="53" xfId="0" applyNumberFormat="1" applyFont="1" applyFill="1" applyBorder="1" applyAlignment="1">
      <alignment vertical="center" shrinkToFit="1"/>
    </xf>
    <xf numFmtId="0" fontId="208" fillId="0" borderId="0" xfId="2697" applyFont="1">
      <alignment vertical="center"/>
    </xf>
    <xf numFmtId="216" fontId="209" fillId="0" borderId="0" xfId="2697" applyNumberFormat="1" applyFont="1">
      <alignment vertical="center"/>
    </xf>
    <xf numFmtId="216" fontId="210" fillId="0" borderId="0" xfId="2697" applyNumberFormat="1" applyFont="1">
      <alignment vertical="center"/>
    </xf>
    <xf numFmtId="0" fontId="45" fillId="0" borderId="0" xfId="0" applyFont="1" applyFill="1" applyBorder="1" applyAlignment="1">
      <alignment horizontal="center" vertical="center" shrinkToFit="1"/>
    </xf>
    <xf numFmtId="0" fontId="0" fillId="0" borderId="0" xfId="0" applyFont="1"/>
    <xf numFmtId="0" fontId="49" fillId="52" borderId="10" xfId="0" applyFont="1" applyFill="1" applyBorder="1" applyAlignment="1">
      <alignment horizontal="center" vertical="center"/>
    </xf>
    <xf numFmtId="204" fontId="173" fillId="52" borderId="134" xfId="0" applyNumberFormat="1" applyFont="1" applyFill="1" applyBorder="1" applyAlignment="1">
      <alignment vertical="center"/>
    </xf>
    <xf numFmtId="205" fontId="173" fillId="52" borderId="87" xfId="0" applyNumberFormat="1" applyFont="1" applyFill="1" applyBorder="1" applyAlignment="1">
      <alignment vertical="center"/>
    </xf>
    <xf numFmtId="176" fontId="0" fillId="0" borderId="97" xfId="0" applyNumberFormat="1" applyFont="1" applyBorder="1" applyAlignment="1">
      <alignment vertical="center"/>
    </xf>
    <xf numFmtId="213" fontId="181" fillId="0" borderId="246" xfId="1959" applyNumberFormat="1" applyFont="1" applyBorder="1" applyAlignment="1">
      <alignment horizontal="right" vertical="center" wrapText="1" indent="1"/>
    </xf>
    <xf numFmtId="215" fontId="182" fillId="0" borderId="182" xfId="1959" applyNumberFormat="1" applyFont="1" applyBorder="1" applyAlignment="1">
      <alignment horizontal="right" vertical="center" wrapText="1" indent="1"/>
    </xf>
    <xf numFmtId="215" fontId="182" fillId="0" borderId="248" xfId="1959" applyNumberFormat="1" applyFont="1" applyBorder="1" applyAlignment="1">
      <alignment horizontal="right" vertical="center" wrapText="1" indent="1"/>
    </xf>
    <xf numFmtId="0" fontId="60" fillId="0" borderId="0" xfId="0" applyFont="1" applyAlignment="1">
      <alignment horizontal="centerContinuous"/>
    </xf>
    <xf numFmtId="0" fontId="211" fillId="0" borderId="0" xfId="0" applyFont="1" applyAlignment="1">
      <alignment vertical="center"/>
    </xf>
    <xf numFmtId="0" fontId="212" fillId="52" borderId="37" xfId="0" applyFont="1" applyFill="1" applyBorder="1" applyAlignment="1">
      <alignment horizontal="center"/>
    </xf>
    <xf numFmtId="0" fontId="212" fillId="52" borderId="40" xfId="0" applyFont="1" applyFill="1" applyBorder="1" applyAlignment="1">
      <alignment horizontal="center"/>
    </xf>
    <xf numFmtId="0" fontId="53" fillId="60" borderId="106" xfId="0" applyFont="1" applyFill="1" applyBorder="1" applyAlignment="1">
      <alignment horizontal="center"/>
    </xf>
    <xf numFmtId="0" fontId="212" fillId="52" borderId="24" xfId="0" applyFont="1" applyFill="1" applyBorder="1" applyAlignment="1">
      <alignment horizontal="center" vertical="top"/>
    </xf>
    <xf numFmtId="0" fontId="212" fillId="52" borderId="38" xfId="0" applyFont="1" applyFill="1" applyBorder="1" applyAlignment="1">
      <alignment horizontal="center" vertical="top"/>
    </xf>
    <xf numFmtId="0" fontId="53" fillId="60" borderId="107" xfId="0" applyFont="1" applyFill="1" applyBorder="1" applyAlignment="1">
      <alignment horizontal="center" vertical="top"/>
    </xf>
    <xf numFmtId="182" fontId="213" fillId="0" borderId="34" xfId="0" applyNumberFormat="1" applyFont="1" applyFill="1" applyBorder="1" applyAlignment="1">
      <alignment vertical="center"/>
    </xf>
    <xf numFmtId="187" fontId="213" fillId="0" borderId="34" xfId="0" applyNumberFormat="1" applyFont="1" applyBorder="1" applyAlignment="1">
      <alignment vertical="center"/>
    </xf>
    <xf numFmtId="182" fontId="213" fillId="0" borderId="32" xfId="1959" applyNumberFormat="1" applyFont="1" applyBorder="1" applyAlignment="1">
      <alignment vertical="center"/>
    </xf>
    <xf numFmtId="41" fontId="213" fillId="0" borderId="34" xfId="0" applyNumberFormat="1" applyFont="1" applyBorder="1" applyAlignment="1">
      <alignment vertical="center"/>
    </xf>
    <xf numFmtId="41" fontId="213" fillId="0" borderId="15" xfId="0" applyNumberFormat="1" applyFont="1" applyBorder="1" applyAlignment="1">
      <alignment vertical="center"/>
    </xf>
    <xf numFmtId="182" fontId="213" fillId="0" borderId="15" xfId="0" applyNumberFormat="1" applyFont="1" applyBorder="1" applyAlignment="1">
      <alignment vertical="center"/>
    </xf>
    <xf numFmtId="219" fontId="213" fillId="0" borderId="17" xfId="0" applyNumberFormat="1" applyFont="1" applyBorder="1" applyAlignment="1">
      <alignment vertical="center"/>
    </xf>
    <xf numFmtId="182" fontId="54" fillId="0" borderId="108" xfId="0" applyNumberFormat="1" applyFont="1" applyBorder="1" applyAlignment="1">
      <alignment vertical="center"/>
    </xf>
    <xf numFmtId="182" fontId="213" fillId="0" borderId="100" xfId="0" applyNumberFormat="1" applyFont="1" applyBorder="1" applyAlignment="1">
      <alignment vertical="center"/>
    </xf>
    <xf numFmtId="187" fontId="213" fillId="0" borderId="100" xfId="0" applyNumberFormat="1" applyFont="1" applyBorder="1" applyAlignment="1">
      <alignment vertical="center"/>
    </xf>
    <xf numFmtId="182" fontId="213" fillId="0" borderId="100" xfId="1959" applyNumberFormat="1" applyFont="1" applyBorder="1" applyAlignment="1">
      <alignment vertical="center"/>
    </xf>
    <xf numFmtId="41" fontId="213" fillId="0" borderId="100" xfId="0" applyNumberFormat="1" applyFont="1" applyBorder="1" applyAlignment="1">
      <alignment vertical="center"/>
    </xf>
    <xf numFmtId="219" fontId="213" fillId="0" borderId="18" xfId="0" applyNumberFormat="1" applyFont="1" applyBorder="1" applyAlignment="1">
      <alignment vertical="center"/>
    </xf>
    <xf numFmtId="182" fontId="54" fillId="0" borderId="249" xfId="0" applyNumberFormat="1" applyFont="1" applyBorder="1" applyAlignment="1">
      <alignment vertical="center"/>
    </xf>
    <xf numFmtId="0" fontId="42" fillId="0" borderId="0" xfId="2639" applyFont="1" applyBorder="1" applyAlignment="1">
      <alignment horizontal="center" vertical="center"/>
    </xf>
    <xf numFmtId="0" fontId="127" fillId="0" borderId="0" xfId="0" applyFont="1" applyAlignment="1">
      <alignment vertical="center"/>
    </xf>
    <xf numFmtId="184" fontId="42" fillId="0" borderId="0" xfId="0" applyNumberFormat="1" applyFont="1" applyBorder="1"/>
    <xf numFmtId="182" fontId="213" fillId="0" borderId="101" xfId="0" applyNumberFormat="1" applyFont="1" applyFill="1" applyBorder="1" applyAlignment="1">
      <alignment vertical="center"/>
    </xf>
    <xf numFmtId="187" fontId="213" fillId="0" borderId="101" xfId="0" applyNumberFormat="1" applyFont="1" applyFill="1" applyBorder="1" applyAlignment="1">
      <alignment vertical="center"/>
    </xf>
    <xf numFmtId="187" fontId="213" fillId="0" borderId="100" xfId="1959" applyNumberFormat="1" applyFont="1" applyBorder="1" applyAlignment="1">
      <alignment vertical="center"/>
    </xf>
    <xf numFmtId="41" fontId="213" fillId="0" borderId="101" xfId="0" applyNumberFormat="1" applyFont="1" applyFill="1" applyBorder="1" applyAlignment="1">
      <alignment vertical="center"/>
    </xf>
    <xf numFmtId="182" fontId="59" fillId="0" borderId="250" xfId="0" applyNumberFormat="1" applyFont="1" applyFill="1" applyBorder="1" applyAlignment="1">
      <alignment vertical="center"/>
    </xf>
    <xf numFmtId="0" fontId="124" fillId="0" borderId="0" xfId="0" applyFont="1" applyAlignment="1">
      <alignment vertical="center"/>
    </xf>
    <xf numFmtId="182" fontId="213" fillId="0" borderId="29" xfId="0" applyNumberFormat="1" applyFont="1" applyFill="1" applyBorder="1" applyAlignment="1">
      <alignment vertical="center"/>
    </xf>
    <xf numFmtId="187" fontId="213" fillId="0" borderId="29" xfId="0" applyNumberFormat="1" applyFont="1" applyFill="1" applyBorder="1" applyAlignment="1">
      <alignment vertical="center"/>
    </xf>
    <xf numFmtId="41" fontId="213" fillId="0" borderId="105" xfId="0" applyNumberFormat="1" applyFont="1" applyBorder="1" applyAlignment="1">
      <alignment vertical="center"/>
    </xf>
    <xf numFmtId="219" fontId="213" fillId="0" borderId="30" xfId="0" applyNumberFormat="1" applyFont="1" applyBorder="1" applyAlignment="1">
      <alignment vertical="center"/>
    </xf>
    <xf numFmtId="182" fontId="59" fillId="0" borderId="249" xfId="0" applyNumberFormat="1" applyFont="1" applyFill="1" applyBorder="1" applyAlignment="1">
      <alignment vertical="center"/>
    </xf>
    <xf numFmtId="182" fontId="212" fillId="52" borderId="16" xfId="0" applyNumberFormat="1" applyFont="1" applyFill="1" applyBorder="1" applyAlignment="1">
      <alignment vertical="center"/>
    </xf>
    <xf numFmtId="41" fontId="212" fillId="52" borderId="16" xfId="1959" applyNumberFormat="1" applyFont="1" applyFill="1" applyBorder="1" applyAlignment="1">
      <alignment vertical="center"/>
    </xf>
    <xf numFmtId="41" fontId="212" fillId="52" borderId="16" xfId="0" applyNumberFormat="1" applyFont="1" applyFill="1" applyBorder="1" applyAlignment="1">
      <alignment vertical="center"/>
    </xf>
    <xf numFmtId="219" fontId="212" fillId="52" borderId="19" xfId="0" applyNumberFormat="1" applyFont="1" applyFill="1" applyBorder="1" applyAlignment="1">
      <alignment horizontal="right" vertical="center"/>
    </xf>
    <xf numFmtId="182" fontId="126" fillId="60" borderId="251" xfId="0" applyNumberFormat="1" applyFont="1" applyFill="1" applyBorder="1" applyAlignment="1">
      <alignment vertical="center"/>
    </xf>
    <xf numFmtId="0" fontId="212" fillId="61" borderId="65" xfId="0" applyFont="1" applyFill="1" applyBorder="1" applyAlignment="1">
      <alignment vertical="center"/>
    </xf>
    <xf numFmtId="0" fontId="212" fillId="61" borderId="71" xfId="0" applyFont="1" applyFill="1" applyBorder="1" applyAlignment="1">
      <alignment vertical="center"/>
    </xf>
    <xf numFmtId="182" fontId="213" fillId="0" borderId="34" xfId="0" applyNumberFormat="1" applyFont="1" applyBorder="1" applyAlignment="1">
      <alignment vertical="center"/>
    </xf>
    <xf numFmtId="195" fontId="49" fillId="0" borderId="108" xfId="1959" applyNumberFormat="1" applyFont="1" applyBorder="1" applyAlignment="1">
      <alignment vertical="center"/>
    </xf>
    <xf numFmtId="219" fontId="47" fillId="0" borderId="0" xfId="0" applyNumberFormat="1" applyFont="1"/>
    <xf numFmtId="0" fontId="212" fillId="61" borderId="29" xfId="0" applyFont="1" applyFill="1" applyBorder="1" applyAlignment="1">
      <alignment horizontal="center" vertical="center"/>
    </xf>
    <xf numFmtId="0" fontId="212" fillId="61" borderId="104" xfId="0" applyFont="1" applyFill="1" applyBorder="1" applyAlignment="1">
      <alignment horizontal="center" vertical="center"/>
    </xf>
    <xf numFmtId="182" fontId="213" fillId="0" borderId="29" xfId="0" applyNumberFormat="1" applyFont="1" applyBorder="1" applyAlignment="1">
      <alignment vertical="center"/>
    </xf>
    <xf numFmtId="41" fontId="213" fillId="0" borderId="29" xfId="0" applyNumberFormat="1" applyFont="1" applyBorder="1" applyAlignment="1">
      <alignment vertical="center"/>
    </xf>
    <xf numFmtId="219" fontId="213" fillId="0" borderId="39" xfId="0" applyNumberFormat="1" applyFont="1" applyBorder="1" applyAlignment="1">
      <alignment vertical="center"/>
    </xf>
    <xf numFmtId="195" fontId="121" fillId="0" borderId="249" xfId="1959" applyNumberFormat="1" applyFont="1" applyBorder="1" applyAlignment="1">
      <alignment vertical="center"/>
    </xf>
    <xf numFmtId="182" fontId="213" fillId="0" borderId="16" xfId="0" applyNumberFormat="1" applyFont="1" applyFill="1" applyBorder="1" applyAlignment="1">
      <alignment vertical="center"/>
    </xf>
    <xf numFmtId="41" fontId="213" fillId="0" borderId="24" xfId="0" applyNumberFormat="1" applyFont="1" applyBorder="1" applyAlignment="1">
      <alignment vertical="center"/>
    </xf>
    <xf numFmtId="41" fontId="213" fillId="0" borderId="16" xfId="0" applyNumberFormat="1" applyFont="1" applyFill="1" applyBorder="1" applyAlignment="1">
      <alignment vertical="center"/>
    </xf>
    <xf numFmtId="219" fontId="213" fillId="0" borderId="19" xfId="0" applyNumberFormat="1" applyFont="1" applyFill="1" applyBorder="1" applyAlignment="1">
      <alignment horizontal="right" vertical="center"/>
    </xf>
    <xf numFmtId="195" fontId="122" fillId="0" borderId="251" xfId="1959" applyNumberFormat="1" applyFont="1" applyFill="1" applyBorder="1" applyAlignment="1">
      <alignment vertical="center"/>
    </xf>
    <xf numFmtId="182" fontId="213" fillId="0" borderId="24" xfId="0" applyNumberFormat="1" applyFont="1" applyBorder="1" applyAlignment="1">
      <alignment vertical="center"/>
    </xf>
    <xf numFmtId="41" fontId="213" fillId="0" borderId="24" xfId="1959" applyNumberFormat="1" applyFont="1" applyBorder="1" applyAlignment="1">
      <alignment vertical="center"/>
    </xf>
    <xf numFmtId="219" fontId="213" fillId="0" borderId="35" xfId="0" applyNumberFormat="1" applyFont="1" applyBorder="1" applyAlignment="1">
      <alignment vertical="center"/>
    </xf>
    <xf numFmtId="195" fontId="122" fillId="0" borderId="107" xfId="1959" applyNumberFormat="1" applyFont="1" applyBorder="1" applyAlignment="1">
      <alignment vertical="center"/>
    </xf>
    <xf numFmtId="4" fontId="42" fillId="0" borderId="0" xfId="2639" applyNumberFormat="1" applyFont="1" applyBorder="1" applyAlignment="1">
      <alignment horizontal="center" vertical="center"/>
    </xf>
    <xf numFmtId="183" fontId="42" fillId="0" borderId="0" xfId="2639" applyNumberFormat="1" applyFont="1" applyBorder="1">
      <alignment vertical="center"/>
    </xf>
    <xf numFmtId="0" fontId="56" fillId="0" borderId="0" xfId="0" applyFont="1"/>
    <xf numFmtId="178" fontId="47" fillId="0" borderId="0" xfId="0" applyNumberFormat="1" applyFont="1"/>
    <xf numFmtId="182" fontId="213" fillId="0" borderId="6" xfId="0" applyNumberFormat="1" applyFont="1" applyFill="1" applyBorder="1" applyAlignment="1">
      <alignment vertical="center"/>
    </xf>
    <xf numFmtId="178" fontId="213" fillId="0" borderId="24" xfId="0" applyNumberFormat="1" applyFont="1" applyFill="1" applyBorder="1" applyAlignment="1">
      <alignment vertical="center"/>
    </xf>
    <xf numFmtId="41" fontId="213" fillId="0" borderId="6" xfId="0" applyNumberFormat="1" applyFont="1" applyFill="1" applyBorder="1" applyAlignment="1">
      <alignment vertical="center"/>
    </xf>
    <xf numFmtId="195" fontId="122" fillId="0" borderId="109" xfId="1959" applyNumberFormat="1" applyFont="1" applyBorder="1"/>
    <xf numFmtId="220" fontId="47" fillId="0" borderId="0" xfId="0" applyNumberFormat="1" applyFont="1"/>
    <xf numFmtId="182" fontId="213" fillId="0" borderId="24" xfId="0" applyNumberFormat="1" applyFont="1" applyFill="1" applyBorder="1" applyAlignment="1">
      <alignment vertical="center"/>
    </xf>
    <xf numFmtId="41" fontId="213" fillId="0" borderId="24" xfId="0" applyNumberFormat="1" applyFont="1" applyFill="1" applyBorder="1" applyAlignment="1">
      <alignment vertical="center"/>
    </xf>
    <xf numFmtId="41" fontId="47" fillId="0" borderId="0" xfId="1959" applyFont="1"/>
    <xf numFmtId="195" fontId="122" fillId="0" borderId="107" xfId="1959" applyNumberFormat="1" applyFont="1" applyFill="1" applyBorder="1" applyAlignment="1">
      <alignment vertical="center"/>
    </xf>
    <xf numFmtId="0" fontId="47" fillId="0" borderId="0" xfId="0" applyFont="1" applyAlignment="1">
      <alignment horizontal="left" vertical="center"/>
    </xf>
    <xf numFmtId="221" fontId="49" fillId="0" borderId="0" xfId="0" applyNumberFormat="1" applyFont="1" applyAlignment="1">
      <alignment vertical="center"/>
    </xf>
    <xf numFmtId="221" fontId="211" fillId="0" borderId="0" xfId="0" applyNumberFormat="1" applyFont="1" applyAlignment="1">
      <alignment vertical="center"/>
    </xf>
    <xf numFmtId="222" fontId="53" fillId="0" borderId="0" xfId="0" applyNumberFormat="1" applyFont="1"/>
    <xf numFmtId="221" fontId="54" fillId="0" borderId="0" xfId="0" applyNumberFormat="1" applyFont="1" applyAlignment="1">
      <alignment vertical="center"/>
    </xf>
    <xf numFmtId="186" fontId="49" fillId="0" borderId="0" xfId="0" applyNumberFormat="1" applyFont="1" applyAlignment="1">
      <alignment vertical="center"/>
    </xf>
    <xf numFmtId="221" fontId="49" fillId="0" borderId="0" xfId="1959" applyNumberFormat="1" applyFont="1" applyAlignment="1">
      <alignment vertical="center"/>
    </xf>
    <xf numFmtId="221" fontId="47" fillId="0" borderId="0" xfId="0" applyNumberFormat="1" applyFont="1"/>
    <xf numFmtId="221" fontId="45" fillId="0" borderId="0" xfId="0" applyNumberFormat="1" applyFont="1" applyAlignment="1">
      <alignment vertical="center"/>
    </xf>
    <xf numFmtId="184" fontId="49" fillId="0" borderId="0" xfId="1959" applyNumberFormat="1" applyFont="1" applyAlignment="1">
      <alignment vertical="center"/>
    </xf>
    <xf numFmtId="182" fontId="47" fillId="0" borderId="0" xfId="0" applyNumberFormat="1" applyFont="1"/>
    <xf numFmtId="0" fontId="53" fillId="0" borderId="0" xfId="0" applyFont="1"/>
    <xf numFmtId="193" fontId="53" fillId="0" borderId="0" xfId="1959" applyNumberFormat="1" applyFont="1" applyAlignment="1">
      <alignment vertical="center"/>
    </xf>
    <xf numFmtId="183" fontId="214" fillId="0" borderId="0" xfId="0" applyNumberFormat="1" applyFont="1" applyAlignment="1">
      <alignment vertical="center"/>
    </xf>
    <xf numFmtId="183" fontId="53" fillId="0" borderId="0" xfId="0" applyNumberFormat="1" applyFont="1" applyAlignment="1">
      <alignment vertical="center"/>
    </xf>
    <xf numFmtId="3" fontId="49" fillId="62" borderId="0" xfId="0" applyNumberFormat="1" applyFont="1" applyFill="1" applyAlignment="1">
      <alignment vertical="center"/>
    </xf>
    <xf numFmtId="189" fontId="47" fillId="0" borderId="0" xfId="0" applyNumberFormat="1" applyFont="1"/>
    <xf numFmtId="193" fontId="53" fillId="0" borderId="0" xfId="1959" applyNumberFormat="1" applyFont="1"/>
    <xf numFmtId="185" fontId="47" fillId="0" borderId="0" xfId="0" applyNumberFormat="1" applyFont="1"/>
    <xf numFmtId="0" fontId="49" fillId="0" borderId="0" xfId="0" applyFont="1"/>
    <xf numFmtId="0" fontId="59" fillId="0" borderId="0" xfId="0" applyFont="1"/>
    <xf numFmtId="193" fontId="215" fillId="0" borderId="0" xfId="1959" applyNumberFormat="1" applyFont="1" applyAlignment="1">
      <alignment vertical="center"/>
    </xf>
    <xf numFmtId="0" fontId="53" fillId="0" borderId="0" xfId="0" applyFont="1" applyAlignment="1">
      <alignment horizontal="center"/>
    </xf>
    <xf numFmtId="0" fontId="145" fillId="0" borderId="0" xfId="0" applyFont="1"/>
    <xf numFmtId="189" fontId="49" fillId="0" borderId="0" xfId="0" applyNumberFormat="1" applyFont="1"/>
    <xf numFmtId="193" fontId="53" fillId="0" borderId="0" xfId="0" applyNumberFormat="1" applyFont="1"/>
    <xf numFmtId="0" fontId="216" fillId="0" borderId="0" xfId="0" applyFont="1"/>
    <xf numFmtId="0" fontId="216" fillId="0" borderId="0" xfId="0" quotePrefix="1" applyFont="1"/>
    <xf numFmtId="195" fontId="45" fillId="0" borderId="0" xfId="1959" applyNumberFormat="1" applyFont="1"/>
    <xf numFmtId="195" fontId="217" fillId="0" borderId="0" xfId="1959" applyNumberFormat="1" applyFont="1"/>
    <xf numFmtId="195" fontId="45" fillId="0" borderId="0" xfId="0" applyNumberFormat="1" applyFont="1"/>
    <xf numFmtId="43" fontId="47" fillId="0" borderId="0" xfId="0" applyNumberFormat="1" applyFont="1"/>
    <xf numFmtId="0" fontId="218" fillId="0" borderId="0" xfId="0" applyFont="1" applyFill="1"/>
    <xf numFmtId="0" fontId="218" fillId="0" borderId="0" xfId="0" applyFont="1"/>
    <xf numFmtId="177" fontId="45" fillId="0" borderId="0" xfId="0" applyNumberFormat="1" applyFont="1" applyAlignment="1">
      <alignment vertical="center"/>
    </xf>
    <xf numFmtId="0" fontId="45" fillId="56" borderId="6" xfId="0" applyFont="1" applyFill="1" applyBorder="1" applyAlignment="1">
      <alignment horizontal="center" vertical="center"/>
    </xf>
    <xf numFmtId="0" fontId="45" fillId="0" borderId="6" xfId="0" applyFont="1" applyBorder="1" applyAlignment="1">
      <alignment horizontal="center" vertical="center" shrinkToFit="1"/>
    </xf>
    <xf numFmtId="0" fontId="171" fillId="52" borderId="142" xfId="0" applyFont="1" applyFill="1" applyBorder="1" applyAlignment="1">
      <alignment horizontal="center" vertical="center" wrapText="1"/>
    </xf>
    <xf numFmtId="0" fontId="45" fillId="0" borderId="0" xfId="0" applyFont="1" applyFill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/>
    </xf>
    <xf numFmtId="0" fontId="170" fillId="57" borderId="6" xfId="0" applyFont="1" applyFill="1" applyBorder="1" applyAlignment="1">
      <alignment horizontal="center" vertical="center" shrinkToFit="1"/>
    </xf>
    <xf numFmtId="0" fontId="51" fillId="0" borderId="0" xfId="0" applyFont="1" applyBorder="1" applyAlignment="1">
      <alignment horizontal="centerContinuous" vertical="center"/>
    </xf>
    <xf numFmtId="0" fontId="46" fillId="0" borderId="0" xfId="0" applyFont="1" applyBorder="1" applyAlignment="1">
      <alignment vertical="center"/>
    </xf>
    <xf numFmtId="0" fontId="51" fillId="0" borderId="0" xfId="0" applyFont="1" applyBorder="1" applyAlignment="1">
      <alignment vertical="center"/>
    </xf>
    <xf numFmtId="0" fontId="45" fillId="0" borderId="0" xfId="0" applyFont="1" applyBorder="1" applyAlignment="1">
      <alignment horizontal="centerContinuous" vertical="center"/>
    </xf>
    <xf numFmtId="0" fontId="48" fillId="0" borderId="0" xfId="0" applyFont="1" applyBorder="1" applyAlignment="1">
      <alignment vertical="center"/>
    </xf>
    <xf numFmtId="0" fontId="152" fillId="0" borderId="0" xfId="0" applyFont="1" applyBorder="1" applyAlignment="1">
      <alignment vertical="center"/>
    </xf>
    <xf numFmtId="0" fontId="146" fillId="0" borderId="0" xfId="0" applyFont="1" applyBorder="1" applyAlignment="1">
      <alignment vertical="center"/>
    </xf>
    <xf numFmtId="0" fontId="145" fillId="0" borderId="0" xfId="0" applyFont="1" applyBorder="1" applyAlignment="1">
      <alignment vertical="center"/>
    </xf>
    <xf numFmtId="0" fontId="168" fillId="0" borderId="0" xfId="0" applyFont="1" applyBorder="1" applyAlignment="1">
      <alignment vertical="center"/>
    </xf>
    <xf numFmtId="0" fontId="173" fillId="0" borderId="0" xfId="0" applyFont="1" applyFill="1" applyBorder="1" applyAlignment="1">
      <alignment vertical="center"/>
    </xf>
    <xf numFmtId="0" fontId="171" fillId="0" borderId="0" xfId="0" applyFont="1" applyFill="1" applyBorder="1" applyAlignment="1">
      <alignment horizontal="right" vertical="center"/>
    </xf>
    <xf numFmtId="0" fontId="64" fillId="0" borderId="0" xfId="0" applyFont="1" applyFill="1" applyBorder="1" applyAlignment="1">
      <alignment vertical="center"/>
    </xf>
    <xf numFmtId="0" fontId="64" fillId="0" borderId="0" xfId="0" applyFont="1" applyFill="1" applyBorder="1" applyAlignment="1">
      <alignment horizontal="right" vertical="center"/>
    </xf>
    <xf numFmtId="176" fontId="45" fillId="0" borderId="0" xfId="0" applyNumberFormat="1" applyFont="1" applyBorder="1" applyAlignment="1">
      <alignment vertical="center"/>
    </xf>
    <xf numFmtId="191" fontId="168" fillId="0" borderId="0" xfId="0" applyNumberFormat="1" applyFont="1" applyFill="1" applyBorder="1" applyAlignment="1">
      <alignment horizontal="right" vertical="center"/>
    </xf>
    <xf numFmtId="0" fontId="220" fillId="0" borderId="0" xfId="0" applyFont="1"/>
    <xf numFmtId="176" fontId="121" fillId="0" borderId="100" xfId="1959" applyNumberFormat="1" applyFont="1" applyFill="1" applyBorder="1" applyAlignment="1" applyProtection="1">
      <alignment vertical="center"/>
    </xf>
    <xf numFmtId="176" fontId="121" fillId="0" borderId="16" xfId="1959" applyNumberFormat="1" applyFont="1" applyFill="1" applyBorder="1" applyAlignment="1">
      <alignment vertical="center"/>
    </xf>
    <xf numFmtId="0" fontId="49" fillId="17" borderId="146" xfId="0" applyFont="1" applyFill="1" applyBorder="1" applyAlignment="1">
      <alignment horizontal="centerContinuous" vertical="center"/>
    </xf>
    <xf numFmtId="195" fontId="49" fillId="17" borderId="15" xfId="0" applyNumberFormat="1" applyFont="1" applyFill="1" applyBorder="1" applyAlignment="1">
      <alignment vertical="center"/>
    </xf>
    <xf numFmtId="195" fontId="49" fillId="17" borderId="25" xfId="0" applyNumberFormat="1" applyFont="1" applyFill="1" applyBorder="1" applyAlignment="1">
      <alignment vertical="center"/>
    </xf>
    <xf numFmtId="0" fontId="49" fillId="0" borderId="23" xfId="0" applyFont="1" applyFill="1" applyBorder="1" applyAlignment="1">
      <alignment horizontal="centerContinuous" vertical="center"/>
    </xf>
    <xf numFmtId="0" fontId="221" fillId="0" borderId="92" xfId="0" applyFont="1" applyBorder="1" applyAlignment="1">
      <alignment horizontal="center" vertical="center"/>
    </xf>
    <xf numFmtId="0" fontId="49" fillId="17" borderId="33" xfId="0" applyFont="1" applyFill="1" applyBorder="1" applyAlignment="1">
      <alignment horizontal="center" vertical="center"/>
    </xf>
    <xf numFmtId="195" fontId="49" fillId="0" borderId="33" xfId="1959" applyNumberFormat="1" applyFont="1" applyFill="1" applyBorder="1" applyAlignment="1">
      <alignment vertical="center"/>
    </xf>
    <xf numFmtId="41" fontId="126" fillId="0" borderId="33" xfId="1959" applyFont="1" applyFill="1" applyBorder="1" applyAlignment="1">
      <alignment vertical="center"/>
    </xf>
    <xf numFmtId="176" fontId="121" fillId="17" borderId="33" xfId="1959" applyNumberFormat="1" applyFont="1" applyFill="1" applyBorder="1" applyAlignment="1">
      <alignment vertical="center"/>
    </xf>
    <xf numFmtId="41" fontId="121" fillId="17" borderId="33" xfId="1959" applyNumberFormat="1" applyFont="1" applyFill="1" applyBorder="1" applyAlignment="1">
      <alignment vertical="center"/>
    </xf>
    <xf numFmtId="41" fontId="49" fillId="17" borderId="33" xfId="1959" applyNumberFormat="1" applyFont="1" applyFill="1" applyBorder="1" applyAlignment="1">
      <alignment vertical="center"/>
    </xf>
    <xf numFmtId="0" fontId="51" fillId="0" borderId="0" xfId="0" applyFont="1" applyBorder="1" applyAlignment="1">
      <alignment horizontal="center" vertical="center"/>
    </xf>
    <xf numFmtId="0" fontId="49" fillId="0" borderId="100" xfId="0" applyFont="1" applyFill="1" applyBorder="1" applyAlignment="1">
      <alignment horizontal="center" vertical="center"/>
    </xf>
    <xf numFmtId="0" fontId="226" fillId="0" borderId="0" xfId="0" applyFont="1" applyBorder="1" applyAlignment="1">
      <alignment horizontal="left" vertical="center"/>
    </xf>
    <xf numFmtId="0" fontId="227" fillId="0" borderId="0" xfId="0" applyFont="1" applyBorder="1" applyAlignment="1">
      <alignment horizontal="centerContinuous" vertical="center"/>
    </xf>
    <xf numFmtId="176" fontId="228" fillId="17" borderId="15" xfId="1959" applyNumberFormat="1" applyFont="1" applyFill="1" applyBorder="1" applyAlignment="1">
      <alignment vertical="center"/>
    </xf>
    <xf numFmtId="41" fontId="228" fillId="17" borderId="15" xfId="1959" applyNumberFormat="1" applyFont="1" applyFill="1" applyBorder="1" applyAlignment="1">
      <alignment vertical="center"/>
    </xf>
    <xf numFmtId="41" fontId="228" fillId="17" borderId="100" xfId="1959" applyNumberFormat="1" applyFont="1" applyFill="1" applyBorder="1" applyAlignment="1">
      <alignment vertical="center"/>
    </xf>
    <xf numFmtId="195" fontId="228" fillId="0" borderId="100" xfId="0" applyNumberFormat="1" applyFont="1" applyFill="1" applyBorder="1" applyAlignment="1">
      <alignment vertical="center"/>
    </xf>
    <xf numFmtId="41" fontId="228" fillId="0" borderId="100" xfId="1959" applyNumberFormat="1" applyFont="1" applyFill="1" applyBorder="1" applyAlignment="1">
      <alignment vertical="center"/>
    </xf>
    <xf numFmtId="41" fontId="228" fillId="0" borderId="16" xfId="1959" applyNumberFormat="1" applyFont="1" applyFill="1" applyBorder="1" applyAlignment="1">
      <alignment vertical="center"/>
    </xf>
    <xf numFmtId="41" fontId="228" fillId="17" borderId="25" xfId="1959" applyNumberFormat="1" applyFont="1" applyFill="1" applyBorder="1" applyAlignment="1">
      <alignment vertical="center"/>
    </xf>
    <xf numFmtId="41" fontId="228" fillId="17" borderId="105" xfId="1959" applyNumberFormat="1" applyFont="1" applyFill="1" applyBorder="1" applyAlignment="1">
      <alignment vertical="center"/>
    </xf>
    <xf numFmtId="176" fontId="228" fillId="0" borderId="100" xfId="1959" applyNumberFormat="1" applyFont="1" applyFill="1" applyBorder="1" applyAlignment="1" applyProtection="1">
      <alignment vertical="center"/>
    </xf>
    <xf numFmtId="195" fontId="228" fillId="0" borderId="16" xfId="1959" applyNumberFormat="1" applyFont="1" applyFill="1" applyBorder="1" applyAlignment="1">
      <alignment vertical="center"/>
    </xf>
    <xf numFmtId="41" fontId="228" fillId="17" borderId="33" xfId="1959" applyNumberFormat="1" applyFont="1" applyFill="1" applyBorder="1" applyAlignment="1">
      <alignment vertical="center"/>
    </xf>
    <xf numFmtId="41" fontId="228" fillId="17" borderId="16" xfId="1959" applyNumberFormat="1" applyFont="1" applyFill="1" applyBorder="1" applyAlignment="1">
      <alignment vertical="center"/>
    </xf>
    <xf numFmtId="41" fontId="228" fillId="17" borderId="55" xfId="1959" applyNumberFormat="1" applyFont="1" applyFill="1" applyBorder="1" applyAlignment="1">
      <alignment vertical="center"/>
    </xf>
    <xf numFmtId="205" fontId="170" fillId="57" borderId="208" xfId="1959" applyNumberFormat="1" applyFont="1" applyFill="1" applyBorder="1" applyAlignment="1">
      <alignment horizontal="right" vertical="center"/>
    </xf>
    <xf numFmtId="205" fontId="170" fillId="57" borderId="27" xfId="1959" applyNumberFormat="1" applyFont="1" applyFill="1" applyBorder="1" applyAlignment="1">
      <alignment horizontal="right" vertical="center"/>
    </xf>
    <xf numFmtId="205" fontId="170" fillId="57" borderId="209" xfId="1959" applyNumberFormat="1" applyFont="1" applyFill="1" applyBorder="1" applyAlignment="1">
      <alignment horizontal="right" vertical="center"/>
    </xf>
    <xf numFmtId="204" fontId="175" fillId="52" borderId="82" xfId="0" applyNumberFormat="1" applyFont="1" applyFill="1" applyBorder="1" applyAlignment="1">
      <alignment vertical="center"/>
    </xf>
    <xf numFmtId="205" fontId="175" fillId="52" borderId="167" xfId="0" applyNumberFormat="1" applyFont="1" applyFill="1" applyBorder="1" applyAlignment="1">
      <alignment vertical="center"/>
    </xf>
    <xf numFmtId="204" fontId="175" fillId="52" borderId="134" xfId="0" applyNumberFormat="1" applyFont="1" applyFill="1" applyBorder="1" applyAlignment="1">
      <alignment vertical="center"/>
    </xf>
    <xf numFmtId="205" fontId="175" fillId="52" borderId="87" xfId="0" applyNumberFormat="1" applyFont="1" applyFill="1" applyBorder="1" applyAlignment="1">
      <alignment vertical="center"/>
    </xf>
    <xf numFmtId="176" fontId="228" fillId="0" borderId="100" xfId="1959" applyNumberFormat="1" applyFont="1" applyFill="1" applyBorder="1" applyAlignment="1">
      <alignment vertical="center"/>
    </xf>
    <xf numFmtId="176" fontId="228" fillId="0" borderId="16" xfId="1959" applyNumberFormat="1" applyFont="1" applyFill="1" applyBorder="1" applyAlignment="1">
      <alignment vertical="center"/>
    </xf>
    <xf numFmtId="41" fontId="167" fillId="0" borderId="15" xfId="1959" applyFont="1" applyFill="1" applyBorder="1" applyAlignment="1">
      <alignment vertical="center"/>
    </xf>
    <xf numFmtId="41" fontId="167" fillId="0" borderId="25" xfId="1959" applyFont="1" applyFill="1" applyBorder="1" applyAlignment="1">
      <alignment vertical="center"/>
    </xf>
    <xf numFmtId="41" fontId="167" fillId="0" borderId="100" xfId="1959" applyFont="1" applyFill="1" applyBorder="1" applyAlignment="1">
      <alignment vertical="center"/>
    </xf>
    <xf numFmtId="176" fontId="167" fillId="0" borderId="100" xfId="1959" applyNumberFormat="1" applyFont="1" applyFill="1" applyBorder="1" applyAlignment="1">
      <alignment vertical="center"/>
    </xf>
    <xf numFmtId="0" fontId="229" fillId="0" borderId="0" xfId="0" applyFont="1" applyBorder="1" applyAlignment="1">
      <alignment vertical="center"/>
    </xf>
    <xf numFmtId="193" fontId="230" fillId="0" borderId="60" xfId="0" applyNumberFormat="1" applyFont="1" applyBorder="1" applyAlignment="1">
      <alignment vertical="center"/>
    </xf>
    <xf numFmtId="189" fontId="230" fillId="0" borderId="43" xfId="1959" applyNumberFormat="1" applyFont="1" applyBorder="1"/>
    <xf numFmtId="176" fontId="167" fillId="0" borderId="100" xfId="0" applyNumberFormat="1" applyFont="1" applyFill="1" applyBorder="1" applyAlignment="1">
      <alignment vertical="center"/>
    </xf>
    <xf numFmtId="176" fontId="167" fillId="17" borderId="100" xfId="1959" applyNumberFormat="1" applyFont="1" applyFill="1" applyBorder="1" applyAlignment="1">
      <alignment vertical="center"/>
    </xf>
    <xf numFmtId="176" fontId="231" fillId="0" borderId="100" xfId="0" applyNumberFormat="1" applyFont="1" applyFill="1" applyBorder="1" applyAlignment="1">
      <alignment vertical="center"/>
    </xf>
    <xf numFmtId="177" fontId="231" fillId="0" borderId="100" xfId="1959" applyNumberFormat="1" applyFont="1" applyFill="1" applyBorder="1" applyAlignment="1" applyProtection="1">
      <alignment vertical="center"/>
    </xf>
    <xf numFmtId="0" fontId="45" fillId="0" borderId="0" xfId="0" applyFont="1" applyFill="1" applyAlignment="1">
      <alignment horizontal="center" vertical="center"/>
    </xf>
    <xf numFmtId="176" fontId="232" fillId="0" borderId="0" xfId="0" applyNumberFormat="1" applyFont="1" applyFill="1" applyAlignment="1">
      <alignment vertical="center"/>
    </xf>
    <xf numFmtId="0" fontId="47" fillId="0" borderId="0" xfId="0" applyFont="1" applyFill="1" applyAlignment="1">
      <alignment horizontal="center" vertical="center"/>
    </xf>
    <xf numFmtId="195" fontId="231" fillId="0" borderId="16" xfId="0" applyNumberFormat="1" applyFont="1" applyFill="1" applyBorder="1" applyAlignment="1">
      <alignment vertical="center"/>
    </xf>
    <xf numFmtId="176" fontId="231" fillId="0" borderId="100" xfId="1959" applyNumberFormat="1" applyFont="1" applyFill="1" applyBorder="1" applyAlignment="1">
      <alignment vertical="center"/>
    </xf>
    <xf numFmtId="176" fontId="231" fillId="0" borderId="25" xfId="0" applyNumberFormat="1" applyFont="1" applyFill="1" applyBorder="1" applyAlignment="1">
      <alignment vertical="center"/>
    </xf>
    <xf numFmtId="189" fontId="49" fillId="0" borderId="104" xfId="1959" applyNumberFormat="1" applyFont="1" applyFill="1" applyBorder="1" applyAlignment="1">
      <alignment vertical="center"/>
    </xf>
    <xf numFmtId="189" fontId="49" fillId="0" borderId="27" xfId="1959" applyNumberFormat="1" applyFont="1" applyFill="1" applyBorder="1" applyAlignment="1">
      <alignment vertical="center" shrinkToFit="1"/>
    </xf>
    <xf numFmtId="189" fontId="121" fillId="0" borderId="104" xfId="1959" applyNumberFormat="1" applyFont="1" applyFill="1" applyBorder="1" applyAlignment="1">
      <alignment vertical="center"/>
    </xf>
    <xf numFmtId="189" fontId="121" fillId="0" borderId="105" xfId="1959" applyNumberFormat="1" applyFont="1" applyFill="1" applyBorder="1" applyAlignment="1">
      <alignment vertical="center"/>
    </xf>
    <xf numFmtId="189" fontId="49" fillId="0" borderId="27" xfId="1959" applyNumberFormat="1" applyFont="1" applyFill="1" applyBorder="1" applyAlignment="1">
      <alignment vertical="center"/>
    </xf>
    <xf numFmtId="189" fontId="49" fillId="0" borderId="6" xfId="1959" applyNumberFormat="1" applyFont="1" applyFill="1" applyBorder="1" applyAlignment="1">
      <alignment vertical="center"/>
    </xf>
    <xf numFmtId="189" fontId="167" fillId="0" borderId="100" xfId="1959" applyNumberFormat="1" applyFont="1" applyFill="1" applyBorder="1" applyAlignment="1" applyProtection="1">
      <alignment vertical="center"/>
    </xf>
    <xf numFmtId="189" fontId="167" fillId="0" borderId="100" xfId="1959" applyNumberFormat="1" applyFont="1" applyFill="1" applyBorder="1" applyAlignment="1">
      <alignment vertical="center"/>
    </xf>
    <xf numFmtId="189" fontId="126" fillId="0" borderId="100" xfId="1959" applyNumberFormat="1" applyFont="1" applyFill="1" applyBorder="1" applyAlignment="1">
      <alignment vertical="center"/>
    </xf>
    <xf numFmtId="189" fontId="49" fillId="18" borderId="27" xfId="1959" applyNumberFormat="1" applyFont="1" applyFill="1" applyBorder="1" applyAlignment="1">
      <alignment vertical="center"/>
    </xf>
    <xf numFmtId="189" fontId="49" fillId="18" borderId="6" xfId="1959" applyNumberFormat="1" applyFont="1" applyFill="1" applyBorder="1" applyAlignment="1">
      <alignment vertical="center"/>
    </xf>
    <xf numFmtId="189" fontId="228" fillId="0" borderId="100" xfId="1959" applyNumberFormat="1" applyFont="1" applyFill="1" applyBorder="1" applyAlignment="1">
      <alignment vertical="center"/>
    </xf>
    <xf numFmtId="189" fontId="231" fillId="0" borderId="100" xfId="1959" applyNumberFormat="1" applyFont="1" applyFill="1" applyBorder="1" applyAlignment="1" applyProtection="1">
      <alignment vertical="center"/>
    </xf>
    <xf numFmtId="189" fontId="121" fillId="0" borderId="100" xfId="1959" applyNumberFormat="1" applyFont="1" applyFill="1" applyBorder="1" applyAlignment="1">
      <alignment vertical="center"/>
    </xf>
    <xf numFmtId="189" fontId="122" fillId="18" borderId="6" xfId="1959" applyNumberFormat="1" applyFont="1" applyFill="1" applyBorder="1" applyAlignment="1">
      <alignment vertical="center"/>
    </xf>
    <xf numFmtId="189" fontId="122" fillId="59" borderId="10" xfId="1959" applyNumberFormat="1" applyFont="1" applyFill="1" applyBorder="1" applyAlignment="1">
      <alignment vertical="center"/>
    </xf>
    <xf numFmtId="189" fontId="122" fillId="59" borderId="55" xfId="1959" applyNumberFormat="1" applyFont="1" applyFill="1" applyBorder="1" applyAlignment="1">
      <alignment vertical="center"/>
    </xf>
    <xf numFmtId="189" fontId="52" fillId="18" borderId="27" xfId="1959" applyNumberFormat="1" applyFont="1" applyFill="1" applyBorder="1" applyAlignment="1">
      <alignment vertical="center"/>
    </xf>
    <xf numFmtId="189" fontId="49" fillId="59" borderId="10" xfId="1959" applyNumberFormat="1" applyFont="1" applyFill="1" applyBorder="1" applyAlignment="1">
      <alignment vertical="center"/>
    </xf>
    <xf numFmtId="189" fontId="49" fillId="59" borderId="55" xfId="1959" applyNumberFormat="1" applyFont="1" applyFill="1" applyBorder="1" applyAlignment="1">
      <alignment vertical="center"/>
    </xf>
    <xf numFmtId="189" fontId="49" fillId="59" borderId="6" xfId="1959" applyNumberFormat="1" applyFont="1" applyFill="1" applyBorder="1" applyAlignment="1">
      <alignment vertical="center"/>
    </xf>
    <xf numFmtId="189" fontId="49" fillId="59" borderId="27" xfId="1959" applyNumberFormat="1" applyFont="1" applyFill="1" applyBorder="1" applyAlignment="1">
      <alignment vertical="center"/>
    </xf>
    <xf numFmtId="189" fontId="126" fillId="0" borderId="98" xfId="1959" applyNumberFormat="1" applyFont="1" applyFill="1" applyBorder="1" applyAlignment="1">
      <alignment vertical="center"/>
    </xf>
    <xf numFmtId="189" fontId="121" fillId="0" borderId="99" xfId="1959" applyNumberFormat="1" applyFont="1" applyFill="1" applyBorder="1" applyAlignment="1">
      <alignment vertical="center"/>
    </xf>
    <xf numFmtId="189" fontId="121" fillId="0" borderId="16" xfId="1959" applyNumberFormat="1" applyFont="1" applyFill="1" applyBorder="1" applyAlignment="1">
      <alignment vertical="center"/>
    </xf>
    <xf numFmtId="189" fontId="121" fillId="0" borderId="98" xfId="1959" applyNumberFormat="1" applyFont="1" applyFill="1" applyBorder="1" applyAlignment="1">
      <alignment vertical="center"/>
    </xf>
    <xf numFmtId="189" fontId="126" fillId="0" borderId="99" xfId="1959" applyNumberFormat="1" applyFont="1" applyFill="1" applyBorder="1" applyAlignment="1">
      <alignment vertical="center"/>
    </xf>
    <xf numFmtId="189" fontId="126" fillId="0" borderId="16" xfId="1959" applyNumberFormat="1" applyFont="1" applyFill="1" applyBorder="1" applyAlignment="1">
      <alignment vertical="center"/>
    </xf>
    <xf numFmtId="189" fontId="49" fillId="16" borderId="10" xfId="1959" applyNumberFormat="1" applyFont="1" applyFill="1" applyBorder="1" applyAlignment="1">
      <alignment vertical="center"/>
    </xf>
    <xf numFmtId="189" fontId="49" fillId="0" borderId="12" xfId="1959" applyNumberFormat="1" applyFont="1" applyFill="1" applyBorder="1" applyAlignment="1">
      <alignment vertical="center"/>
    </xf>
    <xf numFmtId="189" fontId="49" fillId="0" borderId="33" xfId="1959" applyNumberFormat="1" applyFont="1" applyFill="1" applyBorder="1" applyAlignment="1">
      <alignment vertical="center"/>
    </xf>
    <xf numFmtId="189" fontId="49" fillId="0" borderId="14" xfId="1959" applyNumberFormat="1" applyFont="1" applyFill="1" applyBorder="1" applyAlignment="1">
      <alignment vertical="center"/>
    </xf>
    <xf numFmtId="41" fontId="121" fillId="0" borderId="25" xfId="1959" applyFont="1" applyFill="1" applyBorder="1" applyAlignment="1">
      <alignment vertical="center"/>
    </xf>
    <xf numFmtId="176" fontId="126" fillId="0" borderId="33" xfId="0" applyNumberFormat="1" applyFont="1" applyFill="1" applyBorder="1" applyAlignment="1">
      <alignment vertical="center"/>
    </xf>
    <xf numFmtId="41" fontId="49" fillId="0" borderId="33" xfId="1959" applyNumberFormat="1" applyFont="1" applyFill="1" applyBorder="1" applyAlignment="1">
      <alignment vertical="center"/>
    </xf>
    <xf numFmtId="0" fontId="49" fillId="0" borderId="105" xfId="0" applyFont="1" applyFill="1" applyBorder="1" applyAlignment="1">
      <alignment horizontal="center" vertical="center"/>
    </xf>
    <xf numFmtId="0" fontId="49" fillId="59" borderId="6" xfId="0" applyFont="1" applyFill="1" applyBorder="1" applyAlignment="1">
      <alignment horizontal="center" vertical="center"/>
    </xf>
    <xf numFmtId="195" fontId="49" fillId="0" borderId="105" xfId="1959" applyNumberFormat="1" applyFont="1" applyFill="1" applyBorder="1" applyAlignment="1">
      <alignment vertical="center"/>
    </xf>
    <xf numFmtId="195" fontId="122" fillId="59" borderId="6" xfId="1959" applyNumberFormat="1" applyFont="1" applyFill="1" applyBorder="1" applyAlignment="1">
      <alignment vertical="center"/>
    </xf>
    <xf numFmtId="41" fontId="49" fillId="59" borderId="20" xfId="1959" applyFont="1" applyFill="1" applyBorder="1" applyAlignment="1">
      <alignment vertical="center"/>
    </xf>
    <xf numFmtId="0" fontId="236" fillId="0" borderId="0" xfId="0" applyFont="1"/>
    <xf numFmtId="41" fontId="229" fillId="0" borderId="93" xfId="1959" applyFont="1" applyFill="1" applyBorder="1" applyAlignment="1">
      <alignment vertical="center"/>
    </xf>
    <xf numFmtId="0" fontId="1" fillId="0" borderId="0" xfId="4735">
      <alignment vertical="center"/>
    </xf>
    <xf numFmtId="17" fontId="1" fillId="0" borderId="0" xfId="4735" applyNumberFormat="1">
      <alignment vertical="center"/>
    </xf>
    <xf numFmtId="4" fontId="1" fillId="0" borderId="0" xfId="4735" applyNumberFormat="1">
      <alignment vertical="center"/>
    </xf>
    <xf numFmtId="3" fontId="1" fillId="0" borderId="0" xfId="4735" applyNumberFormat="1">
      <alignment vertical="center"/>
    </xf>
    <xf numFmtId="0" fontId="220" fillId="0" borderId="0" xfId="0" applyFont="1" applyAlignment="1">
      <alignment vertical="center"/>
    </xf>
    <xf numFmtId="177" fontId="231" fillId="0" borderId="25" xfId="1959" applyNumberFormat="1" applyFont="1" applyFill="1" applyBorder="1" applyAlignment="1" applyProtection="1">
      <alignment vertical="center"/>
    </xf>
    <xf numFmtId="176" fontId="219" fillId="0" borderId="208" xfId="0" applyNumberFormat="1" applyFont="1" applyFill="1" applyBorder="1" applyAlignment="1">
      <alignment vertical="center"/>
    </xf>
    <xf numFmtId="176" fontId="219" fillId="0" borderId="209" xfId="0" applyNumberFormat="1" applyFont="1" applyFill="1" applyBorder="1" applyAlignment="1">
      <alignment vertical="center"/>
    </xf>
    <xf numFmtId="176" fontId="219" fillId="0" borderId="253" xfId="0" applyNumberFormat="1" applyFont="1" applyFill="1" applyBorder="1" applyAlignment="1">
      <alignment vertical="center"/>
    </xf>
    <xf numFmtId="176" fontId="219" fillId="0" borderId="255" xfId="0" applyNumberFormat="1" applyFont="1" applyFill="1" applyBorder="1" applyAlignment="1">
      <alignment vertical="center"/>
    </xf>
    <xf numFmtId="41" fontId="234" fillId="0" borderId="22" xfId="1959" applyFont="1" applyFill="1" applyBorder="1" applyAlignment="1">
      <alignment vertical="center" shrinkToFit="1"/>
    </xf>
    <xf numFmtId="207" fontId="234" fillId="0" borderId="22" xfId="1959" applyNumberFormat="1" applyFont="1" applyFill="1" applyBorder="1" applyAlignment="1">
      <alignment vertical="center" shrinkToFit="1"/>
    </xf>
    <xf numFmtId="41" fontId="234" fillId="0" borderId="101" xfId="1959" applyFont="1" applyFill="1" applyBorder="1" applyAlignment="1">
      <alignment vertical="center" shrinkToFit="1"/>
    </xf>
    <xf numFmtId="207" fontId="234" fillId="0" borderId="101" xfId="1959" applyNumberFormat="1" applyFont="1" applyFill="1" applyBorder="1" applyAlignment="1">
      <alignment vertical="center" shrinkToFit="1"/>
    </xf>
    <xf numFmtId="41" fontId="234" fillId="0" borderId="102" xfId="1959" applyFont="1" applyFill="1" applyBorder="1" applyAlignment="1">
      <alignment vertical="center" shrinkToFit="1"/>
    </xf>
    <xf numFmtId="207" fontId="234" fillId="0" borderId="102" xfId="1959" applyNumberFormat="1" applyFont="1" applyFill="1" applyBorder="1" applyAlignment="1">
      <alignment vertical="center" shrinkToFit="1"/>
    </xf>
    <xf numFmtId="41" fontId="234" fillId="0" borderId="41" xfId="1959" applyFont="1" applyFill="1" applyBorder="1" applyAlignment="1">
      <alignment vertical="center" shrinkToFit="1"/>
    </xf>
    <xf numFmtId="207" fontId="234" fillId="0" borderId="41" xfId="1959" applyNumberFormat="1" applyFont="1" applyFill="1" applyBorder="1" applyAlignment="1">
      <alignment vertical="center" shrinkToFit="1"/>
    </xf>
    <xf numFmtId="41" fontId="234" fillId="0" borderId="56" xfId="1959" applyFont="1" applyFill="1" applyBorder="1" applyAlignment="1">
      <alignment vertical="center" shrinkToFit="1"/>
    </xf>
    <xf numFmtId="207" fontId="234" fillId="0" borderId="56" xfId="1959" applyNumberFormat="1" applyFont="1" applyFill="1" applyBorder="1" applyAlignment="1">
      <alignment vertical="center" shrinkToFit="1"/>
    </xf>
    <xf numFmtId="41" fontId="234" fillId="0" borderId="192" xfId="1959" applyFont="1" applyFill="1" applyBorder="1" applyAlignment="1">
      <alignment vertical="center" shrinkToFit="1"/>
    </xf>
    <xf numFmtId="207" fontId="235" fillId="0" borderId="132" xfId="1959" applyNumberFormat="1" applyFont="1" applyFill="1" applyBorder="1" applyAlignment="1">
      <alignment vertical="center" shrinkToFit="1"/>
    </xf>
    <xf numFmtId="204" fontId="234" fillId="0" borderId="147" xfId="1959" applyNumberFormat="1" applyFont="1" applyFill="1" applyBorder="1" applyAlignment="1">
      <alignment vertical="center"/>
    </xf>
    <xf numFmtId="205" fontId="234" fillId="0" borderId="53" xfId="4288" applyNumberFormat="1" applyFont="1" applyFill="1" applyBorder="1" applyAlignment="1">
      <alignment vertical="center"/>
    </xf>
    <xf numFmtId="204" fontId="234" fillId="0" borderId="136" xfId="1959" applyNumberFormat="1" applyFont="1" applyFill="1" applyBorder="1" applyAlignment="1">
      <alignment vertical="center"/>
    </xf>
    <xf numFmtId="205" fontId="234" fillId="0" borderId="93" xfId="4288" applyNumberFormat="1" applyFont="1" applyFill="1" applyBorder="1" applyAlignment="1">
      <alignment vertical="center"/>
    </xf>
    <xf numFmtId="205" fontId="234" fillId="0" borderId="96" xfId="4288" applyNumberFormat="1" applyFont="1" applyFill="1" applyBorder="1" applyAlignment="1">
      <alignment vertical="center"/>
    </xf>
    <xf numFmtId="205" fontId="234" fillId="0" borderId="225" xfId="1959" applyNumberFormat="1" applyFont="1" applyFill="1" applyBorder="1" applyAlignment="1">
      <alignment vertical="center"/>
    </xf>
    <xf numFmtId="189" fontId="121" fillId="0" borderId="100" xfId="1959" applyNumberFormat="1" applyFont="1" applyFill="1" applyBorder="1" applyAlignment="1" applyProtection="1">
      <alignment vertical="center"/>
    </xf>
    <xf numFmtId="41" fontId="121" fillId="0" borderId="15" xfId="1959" applyFont="1" applyFill="1" applyBorder="1" applyAlignment="1">
      <alignment vertical="center"/>
    </xf>
    <xf numFmtId="177" fontId="121" fillId="0" borderId="100" xfId="0" applyNumberFormat="1" applyFont="1" applyFill="1" applyBorder="1" applyAlignment="1">
      <alignment vertical="center"/>
    </xf>
    <xf numFmtId="177" fontId="121" fillId="0" borderId="100" xfId="1959" applyNumberFormat="1" applyFont="1" applyFill="1" applyBorder="1" applyAlignment="1" applyProtection="1">
      <alignment vertical="center"/>
    </xf>
    <xf numFmtId="177" fontId="121" fillId="0" borderId="100" xfId="1959" applyNumberFormat="1" applyFont="1" applyFill="1" applyBorder="1" applyAlignment="1">
      <alignment vertical="center"/>
    </xf>
    <xf numFmtId="189" fontId="230" fillId="0" borderId="67" xfId="1959" applyNumberFormat="1" applyFont="1" applyBorder="1"/>
    <xf numFmtId="176" fontId="219" fillId="0" borderId="6" xfId="0" applyNumberFormat="1" applyFont="1" applyFill="1" applyBorder="1" applyAlignment="1">
      <alignment vertical="center"/>
    </xf>
    <xf numFmtId="212" fontId="219" fillId="0" borderId="254" xfId="0" applyNumberFormat="1" applyFont="1" applyFill="1" applyBorder="1" applyAlignment="1">
      <alignment vertical="center"/>
    </xf>
    <xf numFmtId="176" fontId="219" fillId="0" borderId="254" xfId="0" applyNumberFormat="1" applyFont="1" applyFill="1" applyBorder="1" applyAlignment="1">
      <alignment vertical="center"/>
    </xf>
    <xf numFmtId="205" fontId="219" fillId="0" borderId="208" xfId="1959" applyNumberFormat="1" applyFont="1" applyFill="1" applyBorder="1" applyAlignment="1">
      <alignment horizontal="right" vertical="center"/>
    </xf>
    <xf numFmtId="205" fontId="219" fillId="0" borderId="27" xfId="1959" applyNumberFormat="1" applyFont="1" applyFill="1" applyBorder="1" applyAlignment="1">
      <alignment horizontal="right" vertical="center"/>
    </xf>
    <xf numFmtId="205" fontId="219" fillId="0" borderId="209" xfId="0" applyNumberFormat="1" applyFont="1" applyFill="1" applyBorder="1" applyAlignment="1">
      <alignment horizontal="right" vertical="center"/>
    </xf>
    <xf numFmtId="41" fontId="233" fillId="0" borderId="188" xfId="1959" applyFont="1" applyFill="1" applyBorder="1" applyAlignment="1">
      <alignment horizontal="center" vertical="center" wrapText="1"/>
    </xf>
    <xf numFmtId="41" fontId="233" fillId="0" borderId="184" xfId="1959" applyFont="1" applyFill="1" applyBorder="1" applyAlignment="1">
      <alignment horizontal="center" vertical="center" wrapText="1"/>
    </xf>
    <xf numFmtId="205" fontId="233" fillId="0" borderId="188" xfId="1959" applyNumberFormat="1" applyFont="1" applyFill="1" applyBorder="1" applyAlignment="1">
      <alignment horizontal="right" vertical="center" wrapText="1"/>
    </xf>
    <xf numFmtId="205" fontId="233" fillId="0" borderId="200" xfId="1959" applyNumberFormat="1" applyFont="1" applyFill="1" applyBorder="1" applyAlignment="1">
      <alignment horizontal="right" vertical="center" wrapText="1"/>
    </xf>
    <xf numFmtId="193" fontId="237" fillId="0" borderId="60" xfId="0" applyNumberFormat="1" applyFont="1" applyBorder="1" applyAlignment="1">
      <alignment vertical="center"/>
    </xf>
    <xf numFmtId="189" fontId="237" fillId="0" borderId="67" xfId="1959" applyNumberFormat="1" applyFont="1" applyBorder="1"/>
    <xf numFmtId="193" fontId="237" fillId="0" borderId="94" xfId="0" applyNumberFormat="1" applyFont="1" applyBorder="1" applyAlignment="1">
      <alignment vertical="center"/>
    </xf>
    <xf numFmtId="189" fontId="237" fillId="0" borderId="69" xfId="1959" applyNumberFormat="1" applyFont="1" applyBorder="1"/>
    <xf numFmtId="177" fontId="167" fillId="0" borderId="15" xfId="0" applyNumberFormat="1" applyFont="1" applyFill="1" applyBorder="1" applyAlignment="1">
      <alignment vertical="center"/>
    </xf>
    <xf numFmtId="176" fontId="167" fillId="0" borderId="15" xfId="0" applyNumberFormat="1" applyFont="1" applyFill="1" applyBorder="1" applyAlignment="1">
      <alignment vertical="center"/>
    </xf>
    <xf numFmtId="177" fontId="167" fillId="0" borderId="100" xfId="0" applyNumberFormat="1" applyFont="1" applyFill="1" applyBorder="1" applyAlignment="1">
      <alignment vertical="center"/>
    </xf>
    <xf numFmtId="177" fontId="167" fillId="0" borderId="100" xfId="1959" applyNumberFormat="1" applyFont="1" applyFill="1" applyBorder="1" applyAlignment="1" applyProtection="1">
      <alignment vertical="center"/>
    </xf>
    <xf numFmtId="177" fontId="167" fillId="0" borderId="100" xfId="1959" applyNumberFormat="1" applyFont="1" applyFill="1" applyBorder="1" applyAlignment="1">
      <alignment vertical="center"/>
    </xf>
    <xf numFmtId="176" fontId="167" fillId="0" borderId="25" xfId="0" applyNumberFormat="1" applyFont="1" applyFill="1" applyBorder="1" applyAlignment="1">
      <alignment vertical="center"/>
    </xf>
    <xf numFmtId="176" fontId="167" fillId="0" borderId="100" xfId="1959" applyNumberFormat="1" applyFont="1" applyFill="1" applyBorder="1" applyAlignment="1" applyProtection="1">
      <alignment vertical="center"/>
    </xf>
    <xf numFmtId="177" fontId="167" fillId="0" borderId="16" xfId="0" applyNumberFormat="1" applyFont="1" applyFill="1" applyBorder="1" applyAlignment="1">
      <alignment vertical="center"/>
    </xf>
    <xf numFmtId="189" fontId="167" fillId="0" borderId="33" xfId="1959" applyNumberFormat="1" applyFont="1" applyFill="1" applyBorder="1" applyAlignment="1" applyProtection="1">
      <alignment vertical="center"/>
    </xf>
    <xf numFmtId="176" fontId="167" fillId="0" borderId="33" xfId="0" applyNumberFormat="1" applyFont="1" applyFill="1" applyBorder="1" applyAlignment="1">
      <alignment vertical="center"/>
    </xf>
    <xf numFmtId="176" fontId="167" fillId="0" borderId="33" xfId="1959" applyNumberFormat="1" applyFont="1" applyFill="1" applyBorder="1" applyAlignment="1">
      <alignment vertical="center"/>
    </xf>
    <xf numFmtId="177" fontId="167" fillId="0" borderId="33" xfId="1959" applyNumberFormat="1" applyFont="1" applyFill="1" applyBorder="1" applyAlignment="1" applyProtection="1">
      <alignment vertical="center"/>
    </xf>
    <xf numFmtId="189" fontId="167" fillId="0" borderId="12" xfId="3362" applyNumberFormat="1" applyFont="1" applyFill="1" applyBorder="1" applyAlignment="1">
      <alignment vertical="center"/>
    </xf>
    <xf numFmtId="189" fontId="167" fillId="0" borderId="33" xfId="3362" applyNumberFormat="1" applyFont="1" applyFill="1" applyBorder="1" applyAlignment="1">
      <alignment vertical="center"/>
    </xf>
    <xf numFmtId="189" fontId="167" fillId="0" borderId="15" xfId="3362" applyNumberFormat="1" applyFont="1" applyFill="1" applyBorder="1" applyAlignment="1">
      <alignment vertical="center"/>
    </xf>
    <xf numFmtId="189" fontId="167" fillId="0" borderId="98" xfId="1959" applyNumberFormat="1" applyFont="1" applyFill="1" applyBorder="1" applyAlignment="1">
      <alignment vertical="center"/>
    </xf>
    <xf numFmtId="189" fontId="167" fillId="0" borderId="146" xfId="1959" applyNumberFormat="1" applyFont="1" applyFill="1" applyBorder="1" applyAlignment="1">
      <alignment vertical="center"/>
    </xf>
    <xf numFmtId="189" fontId="167" fillId="0" borderId="25" xfId="1959" applyNumberFormat="1" applyFont="1" applyFill="1" applyBorder="1" applyAlignment="1">
      <alignment vertical="center"/>
    </xf>
    <xf numFmtId="205" fontId="234" fillId="0" borderId="124" xfId="1959" applyNumberFormat="1" applyFont="1" applyFill="1" applyBorder="1" applyAlignment="1">
      <alignment vertical="center" shrinkToFit="1"/>
    </xf>
    <xf numFmtId="41" fontId="234" fillId="0" borderId="126" xfId="1959" applyNumberFormat="1" applyFont="1" applyFill="1" applyBorder="1" applyAlignment="1">
      <alignment vertical="center" shrinkToFit="1"/>
    </xf>
    <xf numFmtId="176" fontId="229" fillId="0" borderId="15" xfId="1959" applyNumberFormat="1" applyFont="1" applyFill="1" applyBorder="1" applyAlignment="1" applyProtection="1">
      <alignment vertical="center"/>
    </xf>
    <xf numFmtId="41" fontId="229" fillId="0" borderId="98" xfId="1959" applyFont="1" applyFill="1" applyBorder="1" applyAlignment="1">
      <alignment vertical="center"/>
    </xf>
    <xf numFmtId="41" fontId="219" fillId="0" borderId="47" xfId="1959" applyFont="1" applyFill="1" applyBorder="1" applyAlignment="1">
      <alignment horizontal="center" vertical="center"/>
    </xf>
    <xf numFmtId="176" fontId="238" fillId="0" borderId="94" xfId="0" applyNumberFormat="1" applyFont="1" applyBorder="1" applyAlignment="1">
      <alignment vertical="center"/>
    </xf>
    <xf numFmtId="188" fontId="174" fillId="0" borderId="96" xfId="0" applyNumberFormat="1" applyFont="1" applyFill="1" applyBorder="1" applyAlignment="1">
      <alignment horizontal="right" vertical="center"/>
    </xf>
    <xf numFmtId="188" fontId="174" fillId="0" borderId="131" xfId="0" applyNumberFormat="1" applyFont="1" applyFill="1" applyBorder="1" applyAlignment="1">
      <alignment horizontal="right" vertical="center"/>
    </xf>
    <xf numFmtId="188" fontId="174" fillId="52" borderId="48" xfId="0" applyNumberFormat="1" applyFont="1" applyFill="1" applyBorder="1" applyAlignment="1">
      <alignment horizontal="right" vertical="center"/>
    </xf>
    <xf numFmtId="188" fontId="174" fillId="52" borderId="127" xfId="0" applyNumberFormat="1" applyFont="1" applyFill="1" applyBorder="1" applyAlignment="1">
      <alignment horizontal="right" vertical="center"/>
    </xf>
    <xf numFmtId="188" fontId="174" fillId="52" borderId="223" xfId="0" applyNumberFormat="1" applyFont="1" applyFill="1" applyBorder="1" applyAlignment="1">
      <alignment horizontal="right" vertical="center"/>
    </xf>
    <xf numFmtId="188" fontId="174" fillId="52" borderId="224" xfId="0" applyNumberFormat="1" applyFont="1" applyFill="1" applyBorder="1" applyAlignment="1">
      <alignment horizontal="right" vertical="center"/>
    </xf>
    <xf numFmtId="0" fontId="171" fillId="52" borderId="142" xfId="0" applyFont="1" applyFill="1" applyBorder="1" applyAlignment="1">
      <alignment horizontal="center" vertical="center" wrapText="1"/>
    </xf>
    <xf numFmtId="0" fontId="171" fillId="52" borderId="143" xfId="0" applyFont="1" applyFill="1" applyBorder="1" applyAlignment="1">
      <alignment horizontal="center" vertical="center" wrapText="1"/>
    </xf>
    <xf numFmtId="188" fontId="174" fillId="0" borderId="53" xfId="0" applyNumberFormat="1" applyFont="1" applyFill="1" applyBorder="1" applyAlignment="1">
      <alignment horizontal="right" vertical="center"/>
    </xf>
    <xf numFmtId="188" fontId="174" fillId="0" borderId="222" xfId="0" applyNumberFormat="1" applyFont="1" applyFill="1" applyBorder="1" applyAlignment="1">
      <alignment horizontal="right" vertical="center"/>
    </xf>
    <xf numFmtId="188" fontId="174" fillId="0" borderId="93" xfId="0" applyNumberFormat="1" applyFont="1" applyFill="1" applyBorder="1" applyAlignment="1">
      <alignment horizontal="right" vertical="center"/>
    </xf>
    <xf numFmtId="188" fontId="174" fillId="0" borderId="130" xfId="0" applyNumberFormat="1" applyFont="1" applyFill="1" applyBorder="1" applyAlignment="1">
      <alignment horizontal="right" vertical="center"/>
    </xf>
    <xf numFmtId="0" fontId="170" fillId="57" borderId="55" xfId="0" applyFont="1" applyFill="1" applyBorder="1" applyAlignment="1">
      <alignment horizontal="center" vertical="center"/>
    </xf>
    <xf numFmtId="0" fontId="45" fillId="56" borderId="6" xfId="0" applyFont="1" applyFill="1" applyBorder="1" applyAlignment="1">
      <alignment horizontal="center" vertical="center"/>
    </xf>
    <xf numFmtId="0" fontId="170" fillId="57" borderId="6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 textRotation="255"/>
    </xf>
    <xf numFmtId="0" fontId="170" fillId="57" borderId="55" xfId="0" applyFont="1" applyFill="1" applyBorder="1" applyAlignment="1">
      <alignment horizontal="center" vertical="center" shrinkToFit="1"/>
    </xf>
    <xf numFmtId="0" fontId="170" fillId="57" borderId="191" xfId="0" applyFont="1" applyFill="1" applyBorder="1" applyAlignment="1">
      <alignment horizontal="center" vertical="center" shrinkToFit="1"/>
    </xf>
    <xf numFmtId="0" fontId="45" fillId="0" borderId="6" xfId="0" applyFont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 shrinkToFit="1"/>
    </xf>
    <xf numFmtId="0" fontId="45" fillId="0" borderId="0" xfId="0" applyFont="1" applyFill="1" applyBorder="1" applyAlignment="1">
      <alignment horizontal="center" vertical="center" textRotation="255"/>
    </xf>
    <xf numFmtId="2" fontId="45" fillId="0" borderId="0" xfId="0" applyNumberFormat="1" applyFont="1" applyBorder="1" applyAlignment="1">
      <alignment horizontal="center" vertical="center"/>
    </xf>
    <xf numFmtId="0" fontId="171" fillId="0" borderId="220" xfId="0" applyFont="1" applyFill="1" applyBorder="1" applyAlignment="1">
      <alignment horizontal="center" vertical="center" shrinkToFit="1"/>
    </xf>
    <xf numFmtId="0" fontId="171" fillId="0" borderId="221" xfId="0" applyFont="1" applyFill="1" applyBorder="1" applyAlignment="1">
      <alignment horizontal="center" vertical="center" shrinkToFit="1"/>
    </xf>
    <xf numFmtId="0" fontId="171" fillId="0" borderId="121" xfId="0" applyFont="1" applyFill="1" applyBorder="1" applyAlignment="1">
      <alignment horizontal="center" vertical="center" shrinkToFit="1"/>
    </xf>
    <xf numFmtId="0" fontId="171" fillId="0" borderId="103" xfId="0" applyFont="1" applyFill="1" applyBorder="1" applyAlignment="1">
      <alignment horizontal="center" vertical="center" shrinkToFit="1"/>
    </xf>
    <xf numFmtId="0" fontId="171" fillId="52" borderId="203" xfId="0" applyFont="1" applyFill="1" applyBorder="1" applyAlignment="1">
      <alignment horizontal="center" vertical="center" shrinkToFit="1"/>
    </xf>
    <xf numFmtId="0" fontId="171" fillId="52" borderId="62" xfId="0" applyFont="1" applyFill="1" applyBorder="1" applyAlignment="1">
      <alignment horizontal="center" vertical="center" shrinkToFit="1"/>
    </xf>
    <xf numFmtId="0" fontId="171" fillId="52" borderId="72" xfId="0" applyFont="1" applyFill="1" applyBorder="1" applyAlignment="1">
      <alignment horizontal="center" vertical="center" shrinkToFit="1"/>
    </xf>
    <xf numFmtId="0" fontId="171" fillId="52" borderId="230" xfId="0" applyFont="1" applyFill="1" applyBorder="1" applyAlignment="1">
      <alignment horizontal="center" vertical="center" shrinkToFit="1"/>
    </xf>
    <xf numFmtId="0" fontId="65" fillId="0" borderId="85" xfId="0" applyFont="1" applyFill="1" applyBorder="1" applyAlignment="1">
      <alignment horizontal="center" vertical="center" shrinkToFit="1"/>
    </xf>
    <xf numFmtId="0" fontId="65" fillId="0" borderId="68" xfId="0" applyFont="1" applyFill="1" applyBorder="1" applyAlignment="1">
      <alignment horizontal="center" vertical="center" shrinkToFit="1"/>
    </xf>
    <xf numFmtId="0" fontId="171" fillId="0" borderId="75" xfId="0" applyFont="1" applyFill="1" applyBorder="1" applyAlignment="1">
      <alignment horizontal="center" vertical="center" shrinkToFit="1"/>
    </xf>
    <xf numFmtId="0" fontId="171" fillId="0" borderId="71" xfId="0" applyFont="1" applyFill="1" applyBorder="1" applyAlignment="1">
      <alignment horizontal="center" vertical="center" shrinkToFit="1"/>
    </xf>
    <xf numFmtId="0" fontId="171" fillId="0" borderId="104" xfId="0" applyFont="1" applyFill="1" applyBorder="1" applyAlignment="1">
      <alignment horizontal="center" vertical="center" shrinkToFit="1"/>
    </xf>
    <xf numFmtId="0" fontId="171" fillId="52" borderId="85" xfId="0" applyFont="1" applyFill="1" applyBorder="1" applyAlignment="1">
      <alignment horizontal="center" vertical="center"/>
    </xf>
    <xf numFmtId="0" fontId="171" fillId="52" borderId="68" xfId="0" applyFont="1" applyFill="1" applyBorder="1" applyAlignment="1">
      <alignment horizontal="center" vertical="center"/>
    </xf>
    <xf numFmtId="0" fontId="171" fillId="52" borderId="84" xfId="0" applyFont="1" applyFill="1" applyBorder="1" applyAlignment="1">
      <alignment horizontal="center" vertical="center"/>
    </xf>
    <xf numFmtId="0" fontId="171" fillId="52" borderId="59" xfId="0" applyFont="1" applyFill="1" applyBorder="1" applyAlignment="1">
      <alignment horizontal="center" vertical="center"/>
    </xf>
    <xf numFmtId="0" fontId="171" fillId="0" borderId="31" xfId="0" applyFont="1" applyFill="1" applyBorder="1" applyAlignment="1">
      <alignment horizontal="center" vertical="center" textRotation="255"/>
    </xf>
    <xf numFmtId="0" fontId="171" fillId="0" borderId="11" xfId="0" applyFont="1" applyFill="1" applyBorder="1" applyAlignment="1">
      <alignment horizontal="center" vertical="center" textRotation="255"/>
    </xf>
    <xf numFmtId="0" fontId="171" fillId="0" borderId="9" xfId="0" applyFont="1" applyFill="1" applyBorder="1" applyAlignment="1">
      <alignment horizontal="center" vertical="center" textRotation="255"/>
    </xf>
    <xf numFmtId="0" fontId="171" fillId="0" borderId="99" xfId="0" applyFont="1" applyFill="1" applyBorder="1" applyAlignment="1">
      <alignment horizontal="center" vertical="center" shrinkToFit="1"/>
    </xf>
    <xf numFmtId="0" fontId="171" fillId="0" borderId="203" xfId="0" applyFont="1" applyFill="1" applyBorder="1" applyAlignment="1">
      <alignment horizontal="center" vertical="center" shrinkToFit="1"/>
    </xf>
    <xf numFmtId="0" fontId="171" fillId="0" borderId="23" xfId="0" applyFont="1" applyFill="1" applyBorder="1" applyAlignment="1">
      <alignment horizontal="center" vertical="center" shrinkToFit="1"/>
    </xf>
    <xf numFmtId="0" fontId="171" fillId="25" borderId="72" xfId="0" applyFont="1" applyFill="1" applyBorder="1" applyAlignment="1">
      <alignment horizontal="center" vertical="center" shrinkToFit="1"/>
    </xf>
    <xf numFmtId="0" fontId="171" fillId="25" borderId="74" xfId="0" applyFont="1" applyFill="1" applyBorder="1" applyAlignment="1">
      <alignment horizontal="center" vertical="center" shrinkToFit="1"/>
    </xf>
    <xf numFmtId="0" fontId="171" fillId="52" borderId="77" xfId="0" applyFont="1" applyFill="1" applyBorder="1" applyAlignment="1">
      <alignment horizontal="center" vertical="center"/>
    </xf>
    <xf numFmtId="0" fontId="171" fillId="52" borderId="10" xfId="0" applyFont="1" applyFill="1" applyBorder="1" applyAlignment="1">
      <alignment horizontal="center" vertical="center"/>
    </xf>
    <xf numFmtId="0" fontId="171" fillId="0" borderId="70" xfId="0" applyFont="1" applyFill="1" applyBorder="1" applyAlignment="1">
      <alignment horizontal="center" vertical="center" shrinkToFit="1"/>
    </xf>
    <xf numFmtId="0" fontId="171" fillId="51" borderId="220" xfId="0" applyFont="1" applyFill="1" applyBorder="1" applyAlignment="1">
      <alignment horizontal="center" vertical="center" shrinkToFit="1"/>
    </xf>
    <xf numFmtId="0" fontId="171" fillId="51" borderId="221" xfId="0" applyFont="1" applyFill="1" applyBorder="1" applyAlignment="1">
      <alignment horizontal="center" vertical="center" shrinkToFit="1"/>
    </xf>
    <xf numFmtId="0" fontId="64" fillId="56" borderId="6" xfId="0" applyFont="1" applyFill="1" applyBorder="1" applyAlignment="1">
      <alignment horizontal="center" vertical="center"/>
    </xf>
    <xf numFmtId="0" fontId="64" fillId="56" borderId="26" xfId="0" applyFont="1" applyFill="1" applyBorder="1" applyAlignment="1">
      <alignment horizontal="center" vertical="center"/>
    </xf>
    <xf numFmtId="0" fontId="169" fillId="56" borderId="214" xfId="0" applyFont="1" applyFill="1" applyBorder="1" applyAlignment="1">
      <alignment horizontal="center" vertical="center"/>
    </xf>
    <xf numFmtId="0" fontId="169" fillId="56" borderId="215" xfId="0" applyFont="1" applyFill="1" applyBorder="1" applyAlignment="1">
      <alignment horizontal="center" vertical="center"/>
    </xf>
    <xf numFmtId="0" fontId="169" fillId="56" borderId="216" xfId="0" applyFont="1" applyFill="1" applyBorder="1" applyAlignment="1">
      <alignment horizontal="center" vertical="center"/>
    </xf>
    <xf numFmtId="0" fontId="46" fillId="56" borderId="205" xfId="0" applyFont="1" applyFill="1" applyBorder="1" applyAlignment="1">
      <alignment horizontal="center" vertical="center"/>
    </xf>
    <xf numFmtId="0" fontId="46" fillId="56" borderId="206" xfId="0" applyFont="1" applyFill="1" applyBorder="1" applyAlignment="1">
      <alignment horizontal="center" vertical="center"/>
    </xf>
    <xf numFmtId="0" fontId="46" fillId="56" borderId="207" xfId="0" applyFont="1" applyFill="1" applyBorder="1" applyAlignment="1">
      <alignment horizontal="center" vertical="center"/>
    </xf>
    <xf numFmtId="0" fontId="171" fillId="52" borderId="118" xfId="0" applyFont="1" applyFill="1" applyBorder="1" applyAlignment="1">
      <alignment horizontal="center" vertical="center"/>
    </xf>
    <xf numFmtId="0" fontId="171" fillId="52" borderId="7" xfId="0" applyFont="1" applyFill="1" applyBorder="1" applyAlignment="1">
      <alignment horizontal="center" vertical="center"/>
    </xf>
    <xf numFmtId="0" fontId="171" fillId="52" borderId="204" xfId="0" applyFont="1" applyFill="1" applyBorder="1" applyAlignment="1">
      <alignment horizontal="center" vertical="center"/>
    </xf>
    <xf numFmtId="0" fontId="171" fillId="52" borderId="119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52" borderId="40" xfId="0" applyFont="1" applyFill="1" applyBorder="1" applyAlignment="1">
      <alignment horizontal="center" vertical="center"/>
    </xf>
    <xf numFmtId="0" fontId="47" fillId="52" borderId="38" xfId="0" applyFont="1" applyFill="1" applyBorder="1" applyAlignment="1">
      <alignment horizontal="center" vertical="center"/>
    </xf>
    <xf numFmtId="0" fontId="49" fillId="52" borderId="76" xfId="0" applyFont="1" applyFill="1" applyBorder="1" applyAlignment="1">
      <alignment horizontal="center" vertical="center"/>
    </xf>
    <xf numFmtId="0" fontId="49" fillId="52" borderId="9" xfId="0" applyFont="1" applyFill="1" applyBorder="1" applyAlignment="1">
      <alignment horizontal="center" vertical="center"/>
    </xf>
    <xf numFmtId="0" fontId="49" fillId="52" borderId="37" xfId="0" applyFont="1" applyFill="1" applyBorder="1" applyAlignment="1">
      <alignment horizontal="center" vertical="center"/>
    </xf>
    <xf numFmtId="0" fontId="49" fillId="52" borderId="77" xfId="0" applyFont="1" applyFill="1" applyBorder="1" applyAlignment="1">
      <alignment horizontal="center" vertical="center"/>
    </xf>
    <xf numFmtId="0" fontId="49" fillId="52" borderId="24" xfId="0" applyFont="1" applyFill="1" applyBorder="1" applyAlignment="1">
      <alignment horizontal="center" vertical="center"/>
    </xf>
    <xf numFmtId="0" fontId="49" fillId="52" borderId="10" xfId="0" applyFont="1" applyFill="1" applyBorder="1" applyAlignment="1">
      <alignment horizontal="center" vertical="center"/>
    </xf>
    <xf numFmtId="176" fontId="49" fillId="52" borderId="54" xfId="0" applyNumberFormat="1" applyFont="1" applyFill="1" applyBorder="1" applyAlignment="1">
      <alignment horizontal="center" vertical="center"/>
    </xf>
    <xf numFmtId="176" fontId="47" fillId="52" borderId="55" xfId="0" applyNumberFormat="1" applyFont="1" applyFill="1" applyBorder="1" applyAlignment="1">
      <alignment horizontal="center" vertical="center"/>
    </xf>
    <xf numFmtId="0" fontId="49" fillId="52" borderId="54" xfId="0" applyFont="1" applyFill="1" applyBorder="1" applyAlignment="1">
      <alignment horizontal="center" vertical="center"/>
    </xf>
    <xf numFmtId="0" fontId="47" fillId="52" borderId="55" xfId="0" applyFont="1" applyFill="1" applyBorder="1" applyAlignment="1">
      <alignment horizontal="center" vertical="center"/>
    </xf>
    <xf numFmtId="0" fontId="49" fillId="17" borderId="34" xfId="0" applyFont="1" applyFill="1" applyBorder="1" applyAlignment="1">
      <alignment horizontal="center" vertical="center" wrapText="1"/>
    </xf>
    <xf numFmtId="0" fontId="49" fillId="17" borderId="33" xfId="0" applyFont="1" applyFill="1" applyBorder="1" applyAlignment="1">
      <alignment horizontal="center" vertical="center"/>
    </xf>
    <xf numFmtId="0" fontId="49" fillId="17" borderId="55" xfId="0" applyFont="1" applyFill="1" applyBorder="1" applyAlignment="1">
      <alignment horizontal="center" vertical="center"/>
    </xf>
    <xf numFmtId="194" fontId="228" fillId="0" borderId="0" xfId="0" applyNumberFormat="1" applyFont="1" applyAlignment="1">
      <alignment horizontal="left" vertical="center"/>
    </xf>
    <xf numFmtId="194" fontId="54" fillId="0" borderId="0" xfId="0" applyNumberFormat="1" applyFont="1" applyAlignment="1">
      <alignment horizontal="left" vertical="center"/>
    </xf>
    <xf numFmtId="190" fontId="49" fillId="0" borderId="0" xfId="2696" applyNumberFormat="1" applyFont="1" applyAlignment="1"/>
    <xf numFmtId="0" fontId="49" fillId="17" borderId="33" xfId="0" applyFont="1" applyFill="1" applyBorder="1" applyAlignment="1">
      <alignment horizontal="center" vertical="center" wrapText="1"/>
    </xf>
    <xf numFmtId="0" fontId="49" fillId="17" borderId="55" xfId="0" applyFont="1" applyFill="1" applyBorder="1" applyAlignment="1">
      <alignment horizontal="center" vertical="center" wrapText="1"/>
    </xf>
    <xf numFmtId="0" fontId="49" fillId="17" borderId="33" xfId="0" applyFont="1" applyFill="1" applyBorder="1" applyAlignment="1">
      <alignment horizontal="center" vertical="center" wrapText="1" shrinkToFit="1"/>
    </xf>
    <xf numFmtId="0" fontId="49" fillId="17" borderId="55" xfId="0" applyFont="1" applyFill="1" applyBorder="1" applyAlignment="1">
      <alignment horizontal="center" vertical="center" wrapText="1" shrinkToFit="1"/>
    </xf>
    <xf numFmtId="0" fontId="53" fillId="0" borderId="33" xfId="0" applyFont="1" applyFill="1" applyBorder="1" applyAlignment="1">
      <alignment horizontal="center" vertical="center" wrapText="1"/>
    </xf>
    <xf numFmtId="0" fontId="53" fillId="0" borderId="55" xfId="0" applyFont="1" applyFill="1" applyBorder="1" applyAlignment="1">
      <alignment horizontal="center" vertical="center" wrapText="1"/>
    </xf>
    <xf numFmtId="194" fontId="49" fillId="0" borderId="0" xfId="0" applyNumberFormat="1" applyFont="1" applyFill="1" applyAlignment="1">
      <alignment horizontal="left" vertical="center"/>
    </xf>
    <xf numFmtId="10" fontId="49" fillId="0" borderId="0" xfId="0" applyNumberFormat="1" applyFont="1" applyBorder="1" applyAlignment="1">
      <alignment horizontal="left" vertical="center"/>
    </xf>
    <xf numFmtId="0" fontId="49" fillId="16" borderId="26" xfId="0" applyFont="1" applyFill="1" applyBorder="1" applyAlignment="1">
      <alignment horizontal="center" vertical="center"/>
    </xf>
    <xf numFmtId="0" fontId="49" fillId="16" borderId="27" xfId="0" applyFont="1" applyFill="1" applyBorder="1" applyAlignment="1">
      <alignment horizontal="center" vertical="center"/>
    </xf>
    <xf numFmtId="0" fontId="49" fillId="17" borderId="80" xfId="0" applyFont="1" applyFill="1" applyBorder="1" applyAlignment="1">
      <alignment horizontal="center" vertical="center"/>
    </xf>
    <xf numFmtId="0" fontId="49" fillId="17" borderId="13" xfId="0" applyFont="1" applyFill="1" applyBorder="1" applyAlignment="1">
      <alignment horizontal="center" vertical="center"/>
    </xf>
    <xf numFmtId="0" fontId="49" fillId="17" borderId="27" xfId="0" applyFont="1" applyFill="1" applyBorder="1" applyAlignment="1">
      <alignment horizontal="center" vertical="center"/>
    </xf>
    <xf numFmtId="0" fontId="49" fillId="17" borderId="72" xfId="0" applyFont="1" applyFill="1" applyBorder="1" applyAlignment="1">
      <alignment horizontal="center" vertical="center"/>
    </xf>
    <xf numFmtId="0" fontId="49" fillId="17" borderId="73" xfId="0" applyFont="1" applyFill="1" applyBorder="1" applyAlignment="1">
      <alignment horizontal="center" vertical="center"/>
    </xf>
    <xf numFmtId="0" fontId="49" fillId="17" borderId="74" xfId="0" applyFont="1" applyFill="1" applyBorder="1" applyAlignment="1">
      <alignment horizontal="center" vertical="center"/>
    </xf>
    <xf numFmtId="196" fontId="47" fillId="0" borderId="93" xfId="1960" applyNumberFormat="1" applyFont="1" applyBorder="1" applyAlignment="1">
      <alignment horizontal="left" vertical="center" shrinkToFit="1"/>
    </xf>
    <xf numFmtId="196" fontId="47" fillId="0" borderId="94" xfId="1960" applyNumberFormat="1" applyFont="1" applyBorder="1" applyAlignment="1">
      <alignment horizontal="left" vertical="center" shrinkToFit="1"/>
    </xf>
    <xf numFmtId="196" fontId="47" fillId="0" borderId="66" xfId="1960" applyNumberFormat="1" applyFont="1" applyFill="1" applyBorder="1" applyAlignment="1">
      <alignment horizontal="left" vertical="center" shrinkToFit="1"/>
    </xf>
    <xf numFmtId="196" fontId="47" fillId="0" borderId="98" xfId="1960" applyNumberFormat="1" applyFont="1" applyFill="1" applyBorder="1" applyAlignment="1">
      <alignment horizontal="left" vertical="center" shrinkToFit="1"/>
    </xf>
    <xf numFmtId="196" fontId="47" fillId="0" borderId="96" xfId="1960" applyNumberFormat="1" applyFont="1" applyFill="1" applyBorder="1" applyAlignment="1">
      <alignment horizontal="left" vertical="center" shrinkToFit="1"/>
    </xf>
    <xf numFmtId="196" fontId="47" fillId="0" borderId="97" xfId="1960" applyNumberFormat="1" applyFont="1" applyFill="1" applyBorder="1" applyAlignment="1">
      <alignment horizontal="left" vertical="center" shrinkToFit="1"/>
    </xf>
    <xf numFmtId="177" fontId="49" fillId="52" borderId="42" xfId="0" applyNumberFormat="1" applyFont="1" applyFill="1" applyBorder="1" applyAlignment="1">
      <alignment horizontal="center" vertical="center"/>
    </xf>
    <xf numFmtId="177" fontId="49" fillId="52" borderId="43" xfId="0" applyNumberFormat="1" applyFont="1" applyFill="1" applyBorder="1" applyAlignment="1">
      <alignment horizontal="center" vertical="center"/>
    </xf>
    <xf numFmtId="177" fontId="0" fillId="0" borderId="0" xfId="0" applyNumberFormat="1" applyFont="1"/>
    <xf numFmtId="0" fontId="0" fillId="0" borderId="0" xfId="0" applyFont="1"/>
    <xf numFmtId="182" fontId="212" fillId="52" borderId="34" xfId="0" applyNumberFormat="1" applyFont="1" applyFill="1" applyBorder="1" applyAlignment="1">
      <alignment vertical="center"/>
    </xf>
    <xf numFmtId="182" fontId="212" fillId="52" borderId="33" xfId="0" applyNumberFormat="1" applyFont="1" applyFill="1" applyBorder="1" applyAlignment="1">
      <alignment vertical="center"/>
    </xf>
    <xf numFmtId="182" fontId="212" fillId="52" borderId="78" xfId="0" applyNumberFormat="1" applyFont="1" applyFill="1" applyBorder="1" applyAlignment="1">
      <alignment vertical="center"/>
    </xf>
    <xf numFmtId="189" fontId="212" fillId="52" borderId="35" xfId="0" applyNumberFormat="1" applyFont="1" applyFill="1" applyBorder="1" applyAlignment="1">
      <alignment horizontal="center" vertical="center"/>
    </xf>
    <xf numFmtId="189" fontId="212" fillId="52" borderId="39" xfId="0" applyNumberFormat="1" applyFont="1" applyFill="1" applyBorder="1" applyAlignment="1">
      <alignment horizontal="center" vertical="center"/>
    </xf>
    <xf numFmtId="189" fontId="212" fillId="52" borderId="79" xfId="0" applyNumberFormat="1" applyFont="1" applyFill="1" applyBorder="1" applyAlignment="1">
      <alignment horizontal="center" vertical="center"/>
    </xf>
    <xf numFmtId="193" fontId="122" fillId="60" borderId="108" xfId="0" applyNumberFormat="1" applyFont="1" applyFill="1" applyBorder="1" applyAlignment="1">
      <alignment vertical="center"/>
    </xf>
    <xf numFmtId="193" fontId="122" fillId="60" borderId="109" xfId="0" applyNumberFormat="1" applyFont="1" applyFill="1" applyBorder="1" applyAlignment="1">
      <alignment vertical="center"/>
    </xf>
    <xf numFmtId="193" fontId="122" fillId="60" borderId="110" xfId="0" applyNumberFormat="1" applyFont="1" applyFill="1" applyBorder="1" applyAlignment="1">
      <alignment vertical="center"/>
    </xf>
    <xf numFmtId="0" fontId="47" fillId="0" borderId="0" xfId="0" applyFont="1" applyAlignment="1">
      <alignment horizontal="center"/>
    </xf>
    <xf numFmtId="0" fontId="145" fillId="0" borderId="0" xfId="0" applyFont="1" applyAlignment="1">
      <alignment horizontal="center" vertical="center"/>
    </xf>
    <xf numFmtId="182" fontId="212" fillId="52" borderId="34" xfId="0" applyNumberFormat="1" applyFont="1" applyFill="1" applyBorder="1" applyAlignment="1">
      <alignment horizontal="center" vertical="center"/>
    </xf>
    <xf numFmtId="182" fontId="212" fillId="52" borderId="33" xfId="0" applyNumberFormat="1" applyFont="1" applyFill="1" applyBorder="1" applyAlignment="1">
      <alignment horizontal="center" vertical="center"/>
    </xf>
    <xf numFmtId="182" fontId="212" fillId="52" borderId="78" xfId="0" applyNumberFormat="1" applyFont="1" applyFill="1" applyBorder="1" applyAlignment="1">
      <alignment horizontal="center" vertical="center"/>
    </xf>
    <xf numFmtId="0" fontId="212" fillId="0" borderId="84" xfId="0" applyFont="1" applyBorder="1" applyAlignment="1">
      <alignment horizontal="center" vertical="center"/>
    </xf>
    <xf numFmtId="0" fontId="212" fillId="0" borderId="59" xfId="0" applyFont="1" applyBorder="1" applyAlignment="1">
      <alignment horizontal="center" vertical="center"/>
    </xf>
    <xf numFmtId="0" fontId="212" fillId="0" borderId="10" xfId="0" applyFont="1" applyBorder="1" applyAlignment="1">
      <alignment horizontal="center" vertical="center"/>
    </xf>
    <xf numFmtId="0" fontId="212" fillId="0" borderId="80" xfId="0" applyFont="1" applyBorder="1" applyAlignment="1">
      <alignment horizontal="center" vertical="center" wrapText="1"/>
    </xf>
    <xf numFmtId="0" fontId="212" fillId="0" borderId="13" xfId="0" applyFont="1" applyBorder="1" applyAlignment="1">
      <alignment horizontal="center" vertical="center"/>
    </xf>
    <xf numFmtId="0" fontId="212" fillId="0" borderId="27" xfId="0" applyFont="1" applyBorder="1" applyAlignment="1">
      <alignment horizontal="center" vertical="center"/>
    </xf>
    <xf numFmtId="0" fontId="212" fillId="52" borderId="75" xfId="0" applyFont="1" applyFill="1" applyBorder="1" applyAlignment="1">
      <alignment horizontal="center" vertical="center"/>
    </xf>
    <xf numFmtId="0" fontId="212" fillId="52" borderId="70" xfId="0" applyFont="1" applyFill="1" applyBorder="1" applyAlignment="1">
      <alignment horizontal="center" vertical="center"/>
    </xf>
    <xf numFmtId="0" fontId="212" fillId="52" borderId="71" xfId="0" applyFont="1" applyFill="1" applyBorder="1" applyAlignment="1">
      <alignment horizontal="center" vertical="center"/>
    </xf>
    <xf numFmtId="0" fontId="212" fillId="52" borderId="81" xfId="0" applyFont="1" applyFill="1" applyBorder="1" applyAlignment="1">
      <alignment horizontal="center" vertical="center"/>
    </xf>
    <xf numFmtId="0" fontId="212" fillId="52" borderId="0" xfId="0" applyFont="1" applyFill="1" applyBorder="1" applyAlignment="1">
      <alignment horizontal="center" vertical="center"/>
    </xf>
    <xf numFmtId="0" fontId="212" fillId="52" borderId="12" xfId="0" applyFont="1" applyFill="1" applyBorder="1" applyAlignment="1">
      <alignment horizontal="center" vertical="center"/>
    </xf>
    <xf numFmtId="0" fontId="212" fillId="52" borderId="82" xfId="0" applyFont="1" applyFill="1" applyBorder="1" applyAlignment="1">
      <alignment horizontal="center" vertical="center"/>
    </xf>
    <xf numFmtId="0" fontId="212" fillId="52" borderId="252" xfId="0" applyFont="1" applyFill="1" applyBorder="1" applyAlignment="1">
      <alignment horizontal="center" vertical="center"/>
    </xf>
    <xf numFmtId="0" fontId="212" fillId="52" borderId="83" xfId="0" applyFont="1" applyFill="1" applyBorder="1" applyAlignment="1">
      <alignment horizontal="center" vertical="center"/>
    </xf>
    <xf numFmtId="0" fontId="212" fillId="0" borderId="80" xfId="0" applyFont="1" applyBorder="1" applyAlignment="1">
      <alignment horizontal="center" vertical="center"/>
    </xf>
    <xf numFmtId="0" fontId="45" fillId="0" borderId="0" xfId="0" applyFont="1" applyAlignment="1">
      <alignment horizontal="left" vertical="top" wrapText="1"/>
    </xf>
    <xf numFmtId="0" fontId="212" fillId="52" borderId="85" xfId="0" applyFont="1" applyFill="1" applyBorder="1" applyAlignment="1">
      <alignment horizontal="center" vertical="center"/>
    </xf>
    <xf numFmtId="0" fontId="212" fillId="52" borderId="68" xfId="0" applyFont="1" applyFill="1" applyBorder="1" applyAlignment="1">
      <alignment horizontal="center" vertical="center"/>
    </xf>
    <xf numFmtId="0" fontId="212" fillId="52" borderId="77" xfId="0" applyFont="1" applyFill="1" applyBorder="1" applyAlignment="1">
      <alignment horizontal="center" vertical="center"/>
    </xf>
    <xf numFmtId="0" fontId="212" fillId="52" borderId="84" xfId="0" applyFont="1" applyFill="1" applyBorder="1" applyAlignment="1">
      <alignment horizontal="center" vertical="center"/>
    </xf>
    <xf numFmtId="0" fontId="212" fillId="52" borderId="59" xfId="0" applyFont="1" applyFill="1" applyBorder="1" applyAlignment="1">
      <alignment horizontal="center" vertical="center"/>
    </xf>
    <xf numFmtId="0" fontId="212" fillId="52" borderId="10" xfId="0" applyFont="1" applyFill="1" applyBorder="1" applyAlignment="1">
      <alignment horizontal="center" vertical="center"/>
    </xf>
    <xf numFmtId="0" fontId="212" fillId="0" borderId="31" xfId="0" applyFont="1" applyBorder="1" applyAlignment="1">
      <alignment horizontal="center" vertical="center" textRotation="255"/>
    </xf>
    <xf numFmtId="0" fontId="212" fillId="0" borderId="11" xfId="0" applyFont="1" applyBorder="1"/>
    <xf numFmtId="0" fontId="212" fillId="0" borderId="9" xfId="0" applyFont="1" applyBorder="1"/>
    <xf numFmtId="0" fontId="212" fillId="0" borderId="65" xfId="0" applyFont="1" applyBorder="1" applyAlignment="1">
      <alignment horizontal="center" vertical="center"/>
    </xf>
    <xf numFmtId="0" fontId="212" fillId="0" borderId="71" xfId="0" applyFont="1" applyBorder="1" applyAlignment="1">
      <alignment horizontal="center" vertical="center"/>
    </xf>
    <xf numFmtId="0" fontId="212" fillId="0" borderId="101" xfId="0" applyFont="1" applyBorder="1" applyAlignment="1">
      <alignment horizontal="center" vertical="center"/>
    </xf>
    <xf numFmtId="0" fontId="212" fillId="0" borderId="98" xfId="0" applyFont="1" applyBorder="1" applyAlignment="1">
      <alignment horizontal="center" vertical="center"/>
    </xf>
    <xf numFmtId="0" fontId="212" fillId="52" borderId="102" xfId="0" applyFont="1" applyFill="1" applyBorder="1" applyAlignment="1">
      <alignment horizontal="center" vertical="center"/>
    </xf>
    <xf numFmtId="0" fontId="212" fillId="52" borderId="99" xfId="0" applyFont="1" applyFill="1" applyBorder="1" applyAlignment="1">
      <alignment horizontal="center" vertical="center"/>
    </xf>
    <xf numFmtId="0" fontId="212" fillId="0" borderId="31" xfId="0" applyFont="1" applyBorder="1" applyAlignment="1">
      <alignment horizontal="center" vertical="center" wrapText="1"/>
    </xf>
    <xf numFmtId="0" fontId="212" fillId="0" borderId="9" xfId="0" applyFont="1" applyBorder="1" applyAlignment="1">
      <alignment horizontal="center" vertical="center" wrapText="1"/>
    </xf>
    <xf numFmtId="0" fontId="47" fillId="52" borderId="24" xfId="0" applyFont="1" applyFill="1" applyBorder="1" applyAlignment="1">
      <alignment horizontal="center" vertical="center"/>
    </xf>
    <xf numFmtId="0" fontId="47" fillId="52" borderId="10" xfId="0" applyFont="1" applyFill="1" applyBorder="1" applyAlignment="1">
      <alignment horizontal="center" vertical="center"/>
    </xf>
    <xf numFmtId="0" fontId="47" fillId="17" borderId="71" xfId="0" applyFont="1" applyFill="1" applyBorder="1" applyAlignment="1">
      <alignment horizontal="center" vertical="center" wrapText="1"/>
    </xf>
    <xf numFmtId="0" fontId="47" fillId="17" borderId="12" xfId="0" applyFont="1" applyFill="1" applyBorder="1" applyAlignment="1">
      <alignment horizontal="center" vertical="center"/>
    </xf>
    <xf numFmtId="0" fontId="47" fillId="17" borderId="10" xfId="0" applyFont="1" applyFill="1" applyBorder="1" applyAlignment="1">
      <alignment horizontal="center" vertical="center"/>
    </xf>
    <xf numFmtId="0" fontId="45" fillId="17" borderId="12" xfId="0" applyFont="1" applyFill="1" applyBorder="1" applyAlignment="1">
      <alignment horizontal="center" vertical="center" wrapText="1"/>
    </xf>
    <xf numFmtId="0" fontId="45" fillId="17" borderId="12" xfId="0" applyFont="1" applyFill="1" applyBorder="1" applyAlignment="1">
      <alignment horizontal="center" vertical="center"/>
    </xf>
    <xf numFmtId="0" fontId="45" fillId="17" borderId="10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182" fontId="47" fillId="17" borderId="34" xfId="0" applyNumberFormat="1" applyFont="1" applyFill="1" applyBorder="1" applyAlignment="1">
      <alignment horizontal="center" vertical="center"/>
    </xf>
    <xf numFmtId="182" fontId="47" fillId="17" borderId="33" xfId="0" applyNumberFormat="1" applyFont="1" applyFill="1" applyBorder="1" applyAlignment="1">
      <alignment horizontal="center" vertical="center"/>
    </xf>
    <xf numFmtId="182" fontId="47" fillId="17" borderId="55" xfId="0" applyNumberFormat="1" applyFont="1" applyFill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textRotation="255"/>
    </xf>
    <xf numFmtId="0" fontId="47" fillId="0" borderId="33" xfId="0" applyFont="1" applyBorder="1" applyAlignment="1">
      <alignment horizontal="center" vertical="center" textRotation="255"/>
    </xf>
    <xf numFmtId="0" fontId="47" fillId="0" borderId="55" xfId="0" applyFont="1" applyBorder="1" applyAlignment="1">
      <alignment horizontal="center" vertical="center" textRotation="255"/>
    </xf>
    <xf numFmtId="0" fontId="47" fillId="52" borderId="198" xfId="0" applyFont="1" applyFill="1" applyBorder="1" applyAlignment="1">
      <alignment horizontal="center" vertical="center"/>
    </xf>
    <xf numFmtId="0" fontId="47" fillId="52" borderId="233" xfId="0" applyFont="1" applyFill="1" applyBorder="1" applyAlignment="1">
      <alignment horizontal="center" vertical="center"/>
    </xf>
    <xf numFmtId="0" fontId="47" fillId="0" borderId="65" xfId="0" applyFont="1" applyBorder="1" applyAlignment="1">
      <alignment horizontal="center" vertical="center" wrapText="1"/>
    </xf>
    <xf numFmtId="0" fontId="47" fillId="0" borderId="71" xfId="0" applyFont="1" applyBorder="1" applyAlignment="1">
      <alignment horizontal="center" vertical="center" wrapText="1"/>
    </xf>
    <xf numFmtId="0" fontId="47" fillId="0" borderId="32" xfId="0" applyFont="1" applyBorder="1" applyAlignment="1">
      <alignment horizontal="center" vertical="center" wrapText="1"/>
    </xf>
    <xf numFmtId="0" fontId="47" fillId="0" borderId="12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50" fillId="0" borderId="0" xfId="0" applyFont="1" applyAlignment="1" applyProtection="1">
      <alignment horizontal="center"/>
    </xf>
    <xf numFmtId="0" fontId="47" fillId="52" borderId="34" xfId="0" applyFont="1" applyFill="1" applyBorder="1" applyAlignment="1">
      <alignment horizontal="center" vertical="center"/>
    </xf>
    <xf numFmtId="0" fontId="47" fillId="52" borderId="6" xfId="0" applyFont="1" applyFill="1" applyBorder="1" applyAlignment="1">
      <alignment horizontal="center" vertical="center"/>
    </xf>
    <xf numFmtId="0" fontId="47" fillId="52" borderId="65" xfId="0" applyFont="1" applyFill="1" applyBorder="1" applyAlignment="1">
      <alignment horizontal="center" vertical="center" wrapText="1"/>
    </xf>
    <xf numFmtId="0" fontId="47" fillId="52" borderId="71" xfId="0" applyFont="1" applyFill="1" applyBorder="1" applyAlignment="1">
      <alignment horizontal="center" vertical="center" wrapText="1"/>
    </xf>
    <xf numFmtId="0" fontId="47" fillId="52" borderId="24" xfId="0" applyFont="1" applyFill="1" applyBorder="1" applyAlignment="1">
      <alignment horizontal="center" vertical="center" wrapText="1"/>
    </xf>
    <xf numFmtId="0" fontId="47" fillId="52" borderId="10" xfId="0" applyFont="1" applyFill="1" applyBorder="1" applyAlignment="1">
      <alignment horizontal="center" vertical="center" wrapText="1"/>
    </xf>
    <xf numFmtId="0" fontId="47" fillId="52" borderId="13" xfId="0" applyFont="1" applyFill="1" applyBorder="1" applyAlignment="1">
      <alignment horizontal="center" vertical="center"/>
    </xf>
    <xf numFmtId="0" fontId="47" fillId="0" borderId="34" xfId="0" applyFont="1" applyBorder="1" applyAlignment="1">
      <alignment horizontal="center" vertical="center" wrapText="1"/>
    </xf>
    <xf numFmtId="0" fontId="47" fillId="0" borderId="33" xfId="0" applyFont="1" applyBorder="1" applyAlignment="1">
      <alignment horizontal="center" vertical="center"/>
    </xf>
    <xf numFmtId="0" fontId="47" fillId="0" borderId="55" xfId="0" applyFont="1" applyBorder="1" applyAlignment="1">
      <alignment horizontal="center" vertical="center"/>
    </xf>
    <xf numFmtId="0" fontId="58" fillId="0" borderId="26" xfId="2639" applyFont="1" applyBorder="1" applyAlignment="1">
      <alignment horizontal="center" vertical="center"/>
    </xf>
    <xf numFmtId="0" fontId="58" fillId="0" borderId="87" xfId="2639" applyFont="1" applyBorder="1" applyAlignment="1">
      <alignment horizontal="center" vertical="center"/>
    </xf>
    <xf numFmtId="4" fontId="58" fillId="52" borderId="26" xfId="2639" applyNumberFormat="1" applyFont="1" applyFill="1" applyBorder="1" applyAlignment="1">
      <alignment horizontal="center" vertical="center"/>
    </xf>
    <xf numFmtId="4" fontId="58" fillId="52" borderId="87" xfId="2639" applyNumberFormat="1" applyFont="1" applyFill="1" applyBorder="1" applyAlignment="1">
      <alignment horizontal="center" vertical="center"/>
    </xf>
    <xf numFmtId="198" fontId="193" fillId="0" borderId="149" xfId="2699" applyNumberFormat="1" applyFont="1" applyBorder="1" applyAlignment="1">
      <alignment horizontal="center" vertical="center"/>
    </xf>
    <xf numFmtId="198" fontId="193" fillId="0" borderId="28" xfId="2699" applyNumberFormat="1" applyFont="1" applyBorder="1" applyAlignment="1">
      <alignment horizontal="center" vertical="center"/>
    </xf>
    <xf numFmtId="190" fontId="193" fillId="52" borderId="148" xfId="2699" applyNumberFormat="1" applyFont="1" applyFill="1" applyBorder="1" applyAlignment="1">
      <alignment horizontal="center" vertical="center"/>
    </xf>
    <xf numFmtId="190" fontId="193" fillId="52" borderId="169" xfId="2699" applyNumberFormat="1" applyFont="1" applyFill="1" applyBorder="1" applyAlignment="1">
      <alignment horizontal="center" vertical="center"/>
    </xf>
    <xf numFmtId="186" fontId="193" fillId="0" borderId="6" xfId="2699" applyNumberFormat="1" applyFont="1" applyBorder="1" applyAlignment="1">
      <alignment horizontal="center" vertical="center"/>
    </xf>
    <xf numFmtId="186" fontId="193" fillId="0" borderId="14" xfId="2699" applyNumberFormat="1" applyFont="1" applyBorder="1" applyAlignment="1">
      <alignment horizontal="center" vertical="center"/>
    </xf>
    <xf numFmtId="186" fontId="193" fillId="0" borderId="190" xfId="2699" applyNumberFormat="1" applyFont="1" applyBorder="1" applyAlignment="1">
      <alignment horizontal="center" vertical="center"/>
    </xf>
    <xf numFmtId="186" fontId="193" fillId="0" borderId="189" xfId="2699" applyNumberFormat="1" applyFont="1" applyBorder="1" applyAlignment="1">
      <alignment horizontal="center" vertical="center"/>
    </xf>
    <xf numFmtId="186" fontId="193" fillId="0" borderId="27" xfId="2699" applyNumberFormat="1" applyFont="1" applyBorder="1" applyAlignment="1">
      <alignment horizontal="center" vertical="center"/>
    </xf>
    <xf numFmtId="190" fontId="193" fillId="52" borderId="54" xfId="2699" applyNumberFormat="1" applyFont="1" applyFill="1" applyBorder="1" applyAlignment="1">
      <alignment horizontal="center" vertical="center"/>
    </xf>
    <xf numFmtId="190" fontId="193" fillId="52" borderId="78" xfId="2699" applyNumberFormat="1" applyFont="1" applyFill="1" applyBorder="1" applyAlignment="1">
      <alignment horizontal="center" vertical="center"/>
    </xf>
    <xf numFmtId="190" fontId="193" fillId="0" borderId="6" xfId="2699" applyNumberFormat="1" applyFont="1" applyBorder="1" applyAlignment="1">
      <alignment horizontal="center" vertical="center"/>
    </xf>
    <xf numFmtId="190" fontId="193" fillId="0" borderId="14" xfId="2699" applyNumberFormat="1" applyFont="1" applyBorder="1" applyAlignment="1">
      <alignment horizontal="center" vertical="center"/>
    </xf>
    <xf numFmtId="0" fontId="193" fillId="52" borderId="234" xfId="2697" applyNumberFormat="1" applyFont="1" applyFill="1" applyBorder="1" applyAlignment="1">
      <alignment horizontal="center" vertical="center"/>
    </xf>
    <xf numFmtId="0" fontId="193" fillId="52" borderId="22" xfId="2697" applyFont="1" applyFill="1" applyBorder="1" applyAlignment="1">
      <alignment horizontal="center" vertical="center"/>
    </xf>
    <xf numFmtId="0" fontId="193" fillId="52" borderId="23" xfId="2697" applyFont="1" applyFill="1" applyBorder="1" applyAlignment="1">
      <alignment horizontal="center" vertical="center"/>
    </xf>
    <xf numFmtId="0" fontId="193" fillId="52" borderId="6" xfId="2697" applyFont="1" applyFill="1" applyBorder="1" applyAlignment="1">
      <alignment horizontal="center" vertical="center"/>
    </xf>
    <xf numFmtId="49" fontId="193" fillId="52" borderId="27" xfId="2697" applyNumberFormat="1" applyFont="1" applyFill="1" applyBorder="1" applyAlignment="1">
      <alignment horizontal="center" vertical="center"/>
    </xf>
    <xf numFmtId="0" fontId="193" fillId="52" borderId="149" xfId="2697" applyNumberFormat="1" applyFont="1" applyFill="1" applyBorder="1" applyAlignment="1">
      <alignment horizontal="center" vertical="center"/>
    </xf>
    <xf numFmtId="0" fontId="193" fillId="52" borderId="28" xfId="2697" applyNumberFormat="1" applyFont="1" applyFill="1" applyBorder="1" applyAlignment="1">
      <alignment horizontal="center" vertical="center"/>
    </xf>
    <xf numFmtId="186" fontId="193" fillId="0" borderId="10" xfId="2699" applyNumberFormat="1" applyFont="1" applyBorder="1" applyAlignment="1">
      <alignment horizontal="center" vertical="center"/>
    </xf>
    <xf numFmtId="49" fontId="193" fillId="52" borderId="190" xfId="2697" applyNumberFormat="1" applyFont="1" applyFill="1" applyBorder="1" applyAlignment="1">
      <alignment horizontal="center" vertical="center"/>
    </xf>
    <xf numFmtId="186" fontId="193" fillId="0" borderId="175" xfId="2699" applyNumberFormat="1" applyFont="1" applyBorder="1" applyAlignment="1">
      <alignment horizontal="center" vertical="center"/>
    </xf>
    <xf numFmtId="49" fontId="193" fillId="52" borderId="6" xfId="2697" applyNumberFormat="1" applyFont="1" applyFill="1" applyBorder="1" applyAlignment="1">
      <alignment horizontal="center" vertical="center"/>
    </xf>
    <xf numFmtId="186" fontId="193" fillId="0" borderId="55" xfId="2699" applyNumberFormat="1" applyFont="1" applyBorder="1" applyAlignment="1">
      <alignment horizontal="center" vertical="center"/>
    </xf>
    <xf numFmtId="190" fontId="193" fillId="0" borderId="55" xfId="2699" applyNumberFormat="1" applyFont="1" applyBorder="1" applyAlignment="1">
      <alignment horizontal="center" vertical="center"/>
    </xf>
    <xf numFmtId="198" fontId="193" fillId="0" borderId="174" xfId="2699" applyNumberFormat="1" applyFont="1" applyBorder="1" applyAlignment="1">
      <alignment horizontal="center" vertical="center"/>
    </xf>
    <xf numFmtId="0" fontId="193" fillId="52" borderId="106" xfId="2697" applyFont="1" applyFill="1" applyBorder="1" applyAlignment="1">
      <alignment horizontal="center" vertical="center" wrapText="1"/>
    </xf>
    <xf numFmtId="0" fontId="193" fillId="52" borderId="109" xfId="2697" applyFont="1" applyFill="1" applyBorder="1" applyAlignment="1">
      <alignment horizontal="center" vertical="center"/>
    </xf>
    <xf numFmtId="0" fontId="193" fillId="52" borderId="107" xfId="2697" applyFont="1" applyFill="1" applyBorder="1" applyAlignment="1">
      <alignment horizontal="center" vertical="center"/>
    </xf>
    <xf numFmtId="49" fontId="193" fillId="52" borderId="153" xfId="2697" applyNumberFormat="1" applyFont="1" applyFill="1" applyBorder="1" applyAlignment="1">
      <alignment horizontal="center" vertical="center"/>
    </xf>
    <xf numFmtId="49" fontId="193" fillId="52" borderId="151" xfId="2697" applyNumberFormat="1" applyFont="1" applyFill="1" applyBorder="1" applyAlignment="1">
      <alignment horizontal="center" vertical="center"/>
    </xf>
    <xf numFmtId="0" fontId="193" fillId="52" borderId="34" xfId="2697" applyNumberFormat="1" applyFont="1" applyFill="1" applyBorder="1" applyAlignment="1">
      <alignment horizontal="center" vertical="center"/>
    </xf>
    <xf numFmtId="0" fontId="193" fillId="52" borderId="55" xfId="2697" applyNumberFormat="1" applyFont="1" applyFill="1" applyBorder="1" applyAlignment="1">
      <alignment horizontal="center" vertical="center"/>
    </xf>
    <xf numFmtId="0" fontId="193" fillId="52" borderId="62" xfId="2697" applyFont="1" applyFill="1" applyBorder="1" applyAlignment="1">
      <alignment horizontal="center" vertical="center"/>
    </xf>
    <xf numFmtId="49" fontId="193" fillId="52" borderId="157" xfId="2697" applyNumberFormat="1" applyFont="1" applyFill="1" applyBorder="1" applyAlignment="1">
      <alignment horizontal="center" vertical="center"/>
    </xf>
    <xf numFmtId="49" fontId="193" fillId="52" borderId="159" xfId="2697" applyNumberFormat="1" applyFont="1" applyFill="1" applyBorder="1" applyAlignment="1">
      <alignment horizontal="center" vertical="center"/>
    </xf>
    <xf numFmtId="186" fontId="193" fillId="0" borderId="152" xfId="2699" applyNumberFormat="1" applyFont="1" applyBorder="1" applyAlignment="1">
      <alignment horizontal="center" vertical="center"/>
    </xf>
    <xf numFmtId="190" fontId="193" fillId="0" borderId="33" xfId="2699" applyNumberFormat="1" applyFont="1" applyBorder="1" applyAlignment="1">
      <alignment horizontal="center" vertical="center"/>
    </xf>
    <xf numFmtId="186" fontId="193" fillId="0" borderId="201" xfId="2699" applyNumberFormat="1" applyFont="1" applyBorder="1" applyAlignment="1">
      <alignment horizontal="center" vertical="center"/>
    </xf>
    <xf numFmtId="198" fontId="193" fillId="0" borderId="194" xfId="2699" applyNumberFormat="1" applyFont="1" applyBorder="1" applyAlignment="1">
      <alignment horizontal="center" vertical="center"/>
    </xf>
    <xf numFmtId="198" fontId="193" fillId="0" borderId="234" xfId="2699" applyNumberFormat="1" applyFont="1" applyBorder="1" applyAlignment="1">
      <alignment horizontal="center" vertical="center"/>
    </xf>
    <xf numFmtId="190" fontId="193" fillId="0" borderId="0" xfId="2699" applyNumberFormat="1" applyFont="1" applyBorder="1" applyAlignment="1">
      <alignment horizontal="center" vertical="center"/>
    </xf>
    <xf numFmtId="190" fontId="193" fillId="0" borderId="59" xfId="2699" applyNumberFormat="1" applyFont="1" applyBorder="1" applyAlignment="1">
      <alignment horizontal="center" vertical="center"/>
    </xf>
    <xf numFmtId="186" fontId="193" fillId="0" borderId="168" xfId="1959" applyNumberFormat="1" applyFont="1" applyBorder="1" applyAlignment="1">
      <alignment horizontal="center" vertical="center"/>
    </xf>
    <xf numFmtId="186" fontId="193" fillId="0" borderId="177" xfId="1959" applyNumberFormat="1" applyFont="1" applyBorder="1" applyAlignment="1">
      <alignment horizontal="center" vertical="center"/>
    </xf>
    <xf numFmtId="186" fontId="193" fillId="0" borderId="178" xfId="1959" applyNumberFormat="1" applyFont="1" applyBorder="1" applyAlignment="1">
      <alignment horizontal="center" vertical="center"/>
    </xf>
    <xf numFmtId="190" fontId="193" fillId="0" borderId="71" xfId="2699" applyNumberFormat="1" applyFont="1" applyBorder="1" applyAlignment="1">
      <alignment horizontal="center" vertical="center"/>
    </xf>
    <xf numFmtId="190" fontId="193" fillId="0" borderId="10" xfId="2699" applyNumberFormat="1" applyFont="1" applyBorder="1" applyAlignment="1">
      <alignment horizontal="center" vertical="center"/>
    </xf>
    <xf numFmtId="186" fontId="193" fillId="0" borderId="153" xfId="2699" applyNumberFormat="1" applyFont="1" applyBorder="1" applyAlignment="1">
      <alignment horizontal="center" vertical="center"/>
    </xf>
    <xf numFmtId="186" fontId="193" fillId="0" borderId="151" xfId="2699" applyNumberFormat="1" applyFont="1" applyBorder="1" applyAlignment="1">
      <alignment horizontal="center" vertical="center"/>
    </xf>
    <xf numFmtId="190" fontId="193" fillId="0" borderId="34" xfId="2699" applyNumberFormat="1" applyFont="1" applyBorder="1" applyAlignment="1">
      <alignment horizontal="center" vertical="center"/>
    </xf>
    <xf numFmtId="186" fontId="193" fillId="0" borderId="157" xfId="2699" applyNumberFormat="1" applyFont="1" applyBorder="1" applyAlignment="1">
      <alignment horizontal="center" vertical="center"/>
    </xf>
    <xf numFmtId="186" fontId="193" fillId="0" borderId="159" xfId="2699" applyNumberFormat="1" applyFont="1" applyBorder="1" applyAlignment="1">
      <alignment horizontal="center" vertical="center"/>
    </xf>
    <xf numFmtId="198" fontId="193" fillId="0" borderId="193" xfId="2699" applyNumberFormat="1" applyFont="1" applyBorder="1" applyAlignment="1">
      <alignment horizontal="center" vertical="center"/>
    </xf>
    <xf numFmtId="186" fontId="193" fillId="0" borderId="156" xfId="2699" applyNumberFormat="1" applyFont="1" applyBorder="1" applyAlignment="1">
      <alignment horizontal="center" vertical="center"/>
    </xf>
    <xf numFmtId="186" fontId="193" fillId="0" borderId="74" xfId="2699" applyNumberFormat="1" applyFont="1" applyBorder="1" applyAlignment="1">
      <alignment horizontal="center" vertical="center"/>
    </xf>
    <xf numFmtId="186" fontId="193" fillId="0" borderId="165" xfId="1959" applyNumberFormat="1" applyFont="1" applyBorder="1" applyAlignment="1">
      <alignment horizontal="center" vertical="center"/>
    </xf>
    <xf numFmtId="190" fontId="193" fillId="0" borderId="83" xfId="2699" applyNumberFormat="1" applyFont="1" applyBorder="1" applyAlignment="1">
      <alignment horizontal="center" vertical="center"/>
    </xf>
    <xf numFmtId="186" fontId="193" fillId="52" borderId="150" xfId="2699" applyNumberFormat="1" applyFont="1" applyFill="1" applyBorder="1" applyAlignment="1">
      <alignment horizontal="center" vertical="center"/>
    </xf>
    <xf numFmtId="186" fontId="193" fillId="52" borderId="154" xfId="2699" applyNumberFormat="1" applyFont="1" applyFill="1" applyBorder="1" applyAlignment="1">
      <alignment horizontal="center" vertical="center"/>
    </xf>
    <xf numFmtId="186" fontId="193" fillId="52" borderId="155" xfId="2699" applyNumberFormat="1" applyFont="1" applyFill="1" applyBorder="1" applyAlignment="1">
      <alignment horizontal="center" vertical="center"/>
    </xf>
    <xf numFmtId="186" fontId="193" fillId="52" borderId="160" xfId="2699" applyNumberFormat="1" applyFont="1" applyFill="1" applyBorder="1" applyAlignment="1">
      <alignment horizontal="center" vertical="center"/>
    </xf>
    <xf numFmtId="190" fontId="193" fillId="53" borderId="235" xfId="2699" applyNumberFormat="1" applyFont="1" applyFill="1" applyBorder="1" applyAlignment="1">
      <alignment horizontal="center" vertical="center"/>
    </xf>
    <xf numFmtId="190" fontId="193" fillId="53" borderId="236" xfId="2699" applyNumberFormat="1" applyFont="1" applyFill="1" applyBorder="1" applyAlignment="1">
      <alignment horizontal="center" vertical="center"/>
    </xf>
    <xf numFmtId="186" fontId="193" fillId="53" borderId="8" xfId="2699" applyNumberFormat="1" applyFont="1" applyFill="1" applyBorder="1" applyAlignment="1">
      <alignment horizontal="center" vertical="center"/>
    </xf>
    <xf numFmtId="186" fontId="193" fillId="53" borderId="74" xfId="2699" applyNumberFormat="1" applyFont="1" applyFill="1" applyBorder="1" applyAlignment="1">
      <alignment horizontal="center" vertical="center"/>
    </xf>
    <xf numFmtId="186" fontId="193" fillId="53" borderId="86" xfId="2699" applyNumberFormat="1" applyFont="1" applyFill="1" applyBorder="1" applyAlignment="1">
      <alignment horizontal="center" vertical="center"/>
    </xf>
    <xf numFmtId="186" fontId="193" fillId="53" borderId="14" xfId="2699" applyNumberFormat="1" applyFont="1" applyFill="1" applyBorder="1" applyAlignment="1">
      <alignment horizontal="center" vertical="center"/>
    </xf>
    <xf numFmtId="190" fontId="193" fillId="52" borderId="77" xfId="2699" applyNumberFormat="1" applyFont="1" applyFill="1" applyBorder="1" applyAlignment="1">
      <alignment horizontal="center" vertical="center"/>
    </xf>
    <xf numFmtId="190" fontId="193" fillId="52" borderId="83" xfId="2699" applyNumberFormat="1" applyFont="1" applyFill="1" applyBorder="1" applyAlignment="1">
      <alignment horizontal="center" vertical="center"/>
    </xf>
    <xf numFmtId="186" fontId="193" fillId="52" borderId="176" xfId="1959" applyNumberFormat="1" applyFont="1" applyFill="1" applyBorder="1" applyAlignment="1">
      <alignment horizontal="center" vertical="center"/>
    </xf>
    <xf numFmtId="186" fontId="193" fillId="52" borderId="165" xfId="1959" applyNumberFormat="1" applyFont="1" applyFill="1" applyBorder="1" applyAlignment="1">
      <alignment horizontal="center" vertical="center"/>
    </xf>
    <xf numFmtId="190" fontId="193" fillId="53" borderId="86" xfId="2699" applyNumberFormat="1" applyFont="1" applyFill="1" applyBorder="1" applyAlignment="1">
      <alignment horizontal="center" vertical="center"/>
    </xf>
    <xf numFmtId="190" fontId="193" fillId="53" borderId="191" xfId="2699" applyNumberFormat="1" applyFont="1" applyFill="1" applyBorder="1" applyAlignment="1">
      <alignment horizontal="center" vertical="center"/>
    </xf>
    <xf numFmtId="208" fontId="193" fillId="0" borderId="201" xfId="2699" applyNumberFormat="1" applyFont="1" applyBorder="1" applyAlignment="1">
      <alignment horizontal="center" vertical="center"/>
    </xf>
    <xf numFmtId="208" fontId="193" fillId="0" borderId="175" xfId="2699" applyNumberFormat="1" applyFont="1" applyBorder="1" applyAlignment="1">
      <alignment horizontal="center" vertical="center"/>
    </xf>
    <xf numFmtId="0" fontId="193" fillId="52" borderId="158" xfId="2697" applyNumberFormat="1" applyFont="1" applyFill="1" applyBorder="1" applyAlignment="1">
      <alignment horizontal="center" vertical="center"/>
    </xf>
    <xf numFmtId="0" fontId="193" fillId="52" borderId="239" xfId="2697" applyNumberFormat="1" applyFont="1" applyFill="1" applyBorder="1" applyAlignment="1">
      <alignment horizontal="center" vertical="center"/>
    </xf>
    <xf numFmtId="208" fontId="193" fillId="0" borderId="197" xfId="2699" applyNumberFormat="1" applyFont="1" applyBorder="1" applyAlignment="1">
      <alignment horizontal="center" vertical="center"/>
    </xf>
    <xf numFmtId="208" fontId="193" fillId="53" borderId="8" xfId="2699" applyNumberFormat="1" applyFont="1" applyFill="1" applyBorder="1" applyAlignment="1">
      <alignment horizontal="center" vertical="center"/>
    </xf>
    <xf numFmtId="208" fontId="193" fillId="53" borderId="74" xfId="2699" applyNumberFormat="1" applyFont="1" applyFill="1" applyBorder="1" applyAlignment="1">
      <alignment horizontal="center" vertical="center"/>
    </xf>
    <xf numFmtId="203" fontId="193" fillId="0" borderId="193" xfId="2699" applyNumberFormat="1" applyFont="1" applyBorder="1" applyAlignment="1">
      <alignment horizontal="center" vertical="center"/>
    </xf>
    <xf numFmtId="203" fontId="193" fillId="0" borderId="194" xfId="2699" applyNumberFormat="1" applyFont="1" applyBorder="1" applyAlignment="1">
      <alignment horizontal="center" vertical="center"/>
    </xf>
    <xf numFmtId="190" fontId="193" fillId="53" borderId="238" xfId="2699" applyNumberFormat="1" applyFont="1" applyFill="1" applyBorder="1" applyAlignment="1">
      <alignment horizontal="center" vertical="center"/>
    </xf>
    <xf numFmtId="203" fontId="193" fillId="0" borderId="202" xfId="2699" applyNumberFormat="1" applyFont="1" applyBorder="1" applyAlignment="1">
      <alignment horizontal="center" vertical="center"/>
    </xf>
    <xf numFmtId="203" fontId="193" fillId="0" borderId="195" xfId="2699" applyNumberFormat="1" applyFont="1" applyBorder="1" applyAlignment="1">
      <alignment horizontal="center" vertical="center"/>
    </xf>
    <xf numFmtId="208" fontId="193" fillId="0" borderId="196" xfId="2699" applyNumberFormat="1" applyFont="1" applyBorder="1" applyAlignment="1">
      <alignment horizontal="center" vertical="center"/>
    </xf>
    <xf numFmtId="0" fontId="193" fillId="52" borderId="106" xfId="2697" applyFont="1" applyFill="1" applyBorder="1" applyAlignment="1">
      <alignment horizontal="center" vertical="center"/>
    </xf>
    <xf numFmtId="0" fontId="193" fillId="0" borderId="108" xfId="2697" applyFont="1" applyFill="1" applyBorder="1" applyAlignment="1">
      <alignment horizontal="center" vertical="center"/>
    </xf>
    <xf numFmtId="0" fontId="193" fillId="0" borderId="107" xfId="2697" applyFont="1" applyFill="1" applyBorder="1" applyAlignment="1">
      <alignment horizontal="center" vertical="center"/>
    </xf>
    <xf numFmtId="0" fontId="193" fillId="0" borderId="109" xfId="2697" applyFont="1" applyFill="1" applyBorder="1" applyAlignment="1">
      <alignment horizontal="center" vertical="center"/>
    </xf>
    <xf numFmtId="0" fontId="193" fillId="0" borderId="108" xfId="2697" applyFont="1" applyFill="1" applyBorder="1" applyAlignment="1">
      <alignment horizontal="center" vertical="center" wrapText="1"/>
    </xf>
    <xf numFmtId="0" fontId="193" fillId="0" borderId="107" xfId="2697" applyFont="1" applyFill="1" applyBorder="1" applyAlignment="1">
      <alignment horizontal="center" vertical="center" wrapText="1"/>
    </xf>
    <xf numFmtId="0" fontId="193" fillId="0" borderId="110" xfId="2697" applyFont="1" applyFill="1" applyBorder="1" applyAlignment="1">
      <alignment horizontal="center" vertical="center"/>
    </xf>
    <xf numFmtId="0" fontId="193" fillId="53" borderId="85" xfId="2697" applyFont="1" applyFill="1" applyBorder="1" applyAlignment="1">
      <alignment horizontal="center" vertical="center"/>
    </xf>
    <xf numFmtId="0" fontId="193" fillId="53" borderId="82" xfId="2697" applyFont="1" applyFill="1" applyBorder="1" applyAlignment="1">
      <alignment horizontal="center" vertical="center"/>
    </xf>
    <xf numFmtId="190" fontId="193" fillId="53" borderId="14" xfId="2699" applyNumberFormat="1" applyFont="1" applyFill="1" applyBorder="1" applyAlignment="1">
      <alignment horizontal="center" vertical="center"/>
    </xf>
    <xf numFmtId="190" fontId="193" fillId="0" borderId="78" xfId="2699" applyNumberFormat="1" applyFont="1" applyBorder="1" applyAlignment="1">
      <alignment horizontal="center" vertical="center"/>
    </xf>
    <xf numFmtId="208" fontId="193" fillId="53" borderId="237" xfId="2699" applyNumberFormat="1" applyFont="1" applyFill="1" applyBorder="1" applyAlignment="1">
      <alignment horizontal="center" vertical="center"/>
    </xf>
    <xf numFmtId="208" fontId="193" fillId="53" borderId="189" xfId="2699" applyNumberFormat="1" applyFont="1" applyFill="1" applyBorder="1" applyAlignment="1">
      <alignment horizontal="center" vertical="center"/>
    </xf>
    <xf numFmtId="190" fontId="193" fillId="53" borderId="120" xfId="2699" applyNumberFormat="1" applyFont="1" applyFill="1" applyBorder="1" applyAlignment="1">
      <alignment horizontal="center" vertical="center"/>
    </xf>
    <xf numFmtId="190" fontId="193" fillId="53" borderId="21" xfId="2699" applyNumberFormat="1" applyFont="1" applyFill="1" applyBorder="1" applyAlignment="1">
      <alignment horizontal="center" vertical="center"/>
    </xf>
    <xf numFmtId="203" fontId="193" fillId="0" borderId="35" xfId="2699" applyNumberFormat="1" applyFont="1" applyBorder="1" applyAlignment="1">
      <alignment horizontal="center" vertical="center"/>
    </xf>
    <xf numFmtId="203" fontId="193" fillId="0" borderId="38" xfId="2699" applyNumberFormat="1" applyFont="1" applyBorder="1" applyAlignment="1">
      <alignment horizontal="center" vertical="center"/>
    </xf>
    <xf numFmtId="203" fontId="193" fillId="0" borderId="39" xfId="2699" applyNumberFormat="1" applyFont="1" applyBorder="1" applyAlignment="1">
      <alignment horizontal="center" vertical="center"/>
    </xf>
    <xf numFmtId="203" fontId="193" fillId="0" borderId="79" xfId="2699" applyNumberFormat="1" applyFont="1" applyBorder="1" applyAlignment="1">
      <alignment horizontal="center" vertical="center"/>
    </xf>
    <xf numFmtId="0" fontId="46" fillId="52" borderId="22" xfId="0" applyFont="1" applyFill="1" applyBorder="1" applyAlignment="1">
      <alignment horizontal="center" vertical="center"/>
    </xf>
    <xf numFmtId="0" fontId="0" fillId="52" borderId="128" xfId="0" applyFont="1" applyFill="1" applyBorder="1"/>
    <xf numFmtId="0" fontId="46" fillId="52" borderId="140" xfId="0" applyFont="1" applyFill="1" applyBorder="1" applyAlignment="1">
      <alignment horizontal="center" vertical="center"/>
    </xf>
    <xf numFmtId="0" fontId="46" fillId="52" borderId="23" xfId="0" applyFont="1" applyFill="1" applyBorder="1" applyAlignment="1">
      <alignment horizontal="center" vertical="center"/>
    </xf>
    <xf numFmtId="0" fontId="159" fillId="54" borderId="179" xfId="0" applyFont="1" applyFill="1" applyBorder="1" applyAlignment="1">
      <alignment horizontal="center" vertical="center" wrapText="1"/>
    </xf>
    <xf numFmtId="0" fontId="159" fillId="54" borderId="180" xfId="0" applyFont="1" applyFill="1" applyBorder="1" applyAlignment="1">
      <alignment horizontal="center" vertical="center" wrapText="1"/>
    </xf>
    <xf numFmtId="0" fontId="181" fillId="54" borderId="179" xfId="0" applyFont="1" applyFill="1" applyBorder="1" applyAlignment="1">
      <alignment horizontal="center" vertical="center" wrapText="1"/>
    </xf>
    <xf numFmtId="0" fontId="181" fillId="54" borderId="180" xfId="0" applyFont="1" applyFill="1" applyBorder="1" applyAlignment="1">
      <alignment horizontal="center" vertical="center" wrapText="1"/>
    </xf>
    <xf numFmtId="176" fontId="171" fillId="0" borderId="93" xfId="0" applyNumberFormat="1" applyFont="1" applyFill="1" applyBorder="1" applyAlignment="1">
      <alignment vertical="center" shrinkToFit="1"/>
    </xf>
  </cellXfs>
  <cellStyles count="4755">
    <cellStyle name="20% - 강조색1" xfId="2657" builtinId="30" customBuiltin="1"/>
    <cellStyle name="20% - 강조색1 10" xfId="1"/>
    <cellStyle name="20% - 강조색1 11" xfId="2"/>
    <cellStyle name="20% - 강조색1 12" xfId="3"/>
    <cellStyle name="20% - 강조색1 13" xfId="4"/>
    <cellStyle name="20% - 강조색1 14" xfId="5"/>
    <cellStyle name="20% - 강조색1 15" xfId="6"/>
    <cellStyle name="20% - 강조색1 16" xfId="7"/>
    <cellStyle name="20% - 강조색1 17" xfId="8"/>
    <cellStyle name="20% - 강조색1 18" xfId="9"/>
    <cellStyle name="20% - 강조색1 19" xfId="10"/>
    <cellStyle name="20% - 강조색1 2" xfId="11"/>
    <cellStyle name="20% - 강조색1 20" xfId="12"/>
    <cellStyle name="20% - 강조색1 21" xfId="13"/>
    <cellStyle name="20% - 강조색1 22" xfId="14"/>
    <cellStyle name="20% - 강조색1 23" xfId="15"/>
    <cellStyle name="20% - 강조색1 24" xfId="16"/>
    <cellStyle name="20% - 강조색1 25" xfId="17"/>
    <cellStyle name="20% - 강조색1 26" xfId="18"/>
    <cellStyle name="20% - 강조색1 27" xfId="19"/>
    <cellStyle name="20% - 강조색1 28" xfId="20"/>
    <cellStyle name="20% - 강조색1 29" xfId="21"/>
    <cellStyle name="20% - 강조색1 3" xfId="22"/>
    <cellStyle name="20% - 강조색1 30" xfId="23"/>
    <cellStyle name="20% - 강조색1 31" xfId="24"/>
    <cellStyle name="20% - 강조색1 32" xfId="25"/>
    <cellStyle name="20% - 강조색1 33" xfId="26"/>
    <cellStyle name="20% - 강조색1 34" xfId="27"/>
    <cellStyle name="20% - 강조색1 35" xfId="28"/>
    <cellStyle name="20% - 강조색1 36" xfId="29"/>
    <cellStyle name="20% - 강조색1 37" xfId="30"/>
    <cellStyle name="20% - 강조색1 38" xfId="31"/>
    <cellStyle name="20% - 강조색1 39" xfId="32"/>
    <cellStyle name="20% - 강조색1 4" xfId="33"/>
    <cellStyle name="20% - 강조색1 40" xfId="34"/>
    <cellStyle name="20% - 강조색1 41" xfId="35"/>
    <cellStyle name="20% - 강조색1 42" xfId="36"/>
    <cellStyle name="20% - 강조색1 43" xfId="37"/>
    <cellStyle name="20% - 강조색1 44" xfId="38"/>
    <cellStyle name="20% - 강조색1 45" xfId="39"/>
    <cellStyle name="20% - 강조색1 46" xfId="40"/>
    <cellStyle name="20% - 강조색1 47" xfId="41"/>
    <cellStyle name="20% - 강조색1 48" xfId="42"/>
    <cellStyle name="20% - 강조색1 49" xfId="43"/>
    <cellStyle name="20% - 강조색1 5" xfId="44"/>
    <cellStyle name="20% - 강조색1 50" xfId="45"/>
    <cellStyle name="20% - 강조색1 51" xfId="46"/>
    <cellStyle name="20% - 강조색1 52" xfId="47"/>
    <cellStyle name="20% - 강조색1 53" xfId="48"/>
    <cellStyle name="20% - 강조색1 54" xfId="49"/>
    <cellStyle name="20% - 강조색1 55" xfId="50"/>
    <cellStyle name="20% - 강조색1 56" xfId="51"/>
    <cellStyle name="20% - 강조색1 57" xfId="52"/>
    <cellStyle name="20% - 강조색1 58" xfId="53"/>
    <cellStyle name="20% - 강조색1 59" xfId="54"/>
    <cellStyle name="20% - 강조색1 6" xfId="55"/>
    <cellStyle name="20% - 강조색1 60" xfId="56"/>
    <cellStyle name="20% - 강조색1 61" xfId="57"/>
    <cellStyle name="20% - 강조색1 62" xfId="58"/>
    <cellStyle name="20% - 강조색1 63" xfId="59"/>
    <cellStyle name="20% - 강조색1 64" xfId="60"/>
    <cellStyle name="20% - 강조색1 65" xfId="2684"/>
    <cellStyle name="20% - 강조색1 65 2" xfId="2921"/>
    <cellStyle name="20% - 강조색1 65 2 2" xfId="3369"/>
    <cellStyle name="20% - 강조색1 65 2 3" xfId="3996"/>
    <cellStyle name="20% - 강조색1 65 2 4" xfId="4483"/>
    <cellStyle name="20% - 강조색1 65 3" xfId="3193"/>
    <cellStyle name="20% - 강조색1 65 4" xfId="3820"/>
    <cellStyle name="20% - 강조색1 65 5" xfId="4307"/>
    <cellStyle name="20% - 강조색1 66" xfId="2713"/>
    <cellStyle name="20% - 강조색1 66 2" xfId="2943"/>
    <cellStyle name="20% - 강조색1 66 2 2" xfId="3390"/>
    <cellStyle name="20% - 강조색1 66 2 3" xfId="4017"/>
    <cellStyle name="20% - 강조색1 66 2 4" xfId="4504"/>
    <cellStyle name="20% - 강조색1 66 3" xfId="3214"/>
    <cellStyle name="20% - 강조색1 66 4" xfId="3841"/>
    <cellStyle name="20% - 강조색1 66 5" xfId="4328"/>
    <cellStyle name="20% - 강조색1 67" xfId="2727"/>
    <cellStyle name="20% - 강조색1 67 2" xfId="2957"/>
    <cellStyle name="20% - 강조색1 67 2 2" xfId="3404"/>
    <cellStyle name="20% - 강조색1 67 2 3" xfId="4031"/>
    <cellStyle name="20% - 강조색1 67 2 4" xfId="4518"/>
    <cellStyle name="20% - 강조색1 67 3" xfId="3228"/>
    <cellStyle name="20% - 강조색1 67 4" xfId="3855"/>
    <cellStyle name="20% - 강조색1 67 5" xfId="4342"/>
    <cellStyle name="20% - 강조색1 68" xfId="2741"/>
    <cellStyle name="20% - 강조색1 68 2" xfId="2971"/>
    <cellStyle name="20% - 강조색1 68 2 2" xfId="3418"/>
    <cellStyle name="20% - 강조색1 68 2 3" xfId="4045"/>
    <cellStyle name="20% - 강조색1 68 2 4" xfId="4532"/>
    <cellStyle name="20% - 강조색1 68 3" xfId="3242"/>
    <cellStyle name="20% - 강조색1 68 4" xfId="3869"/>
    <cellStyle name="20% - 강조색1 68 5" xfId="4356"/>
    <cellStyle name="20% - 강조색1 69" xfId="2756"/>
    <cellStyle name="20% - 강조색1 69 2" xfId="2986"/>
    <cellStyle name="20% - 강조색1 69 2 2" xfId="3433"/>
    <cellStyle name="20% - 강조색1 69 2 3" xfId="4060"/>
    <cellStyle name="20% - 강조색1 69 2 4" xfId="4547"/>
    <cellStyle name="20% - 강조색1 69 3" xfId="3257"/>
    <cellStyle name="20% - 강조색1 69 4" xfId="3884"/>
    <cellStyle name="20% - 강조색1 69 5" xfId="4371"/>
    <cellStyle name="20% - 강조색1 7" xfId="61"/>
    <cellStyle name="20% - 강조색1 70" xfId="2771"/>
    <cellStyle name="20% - 강조색1 70 2" xfId="3001"/>
    <cellStyle name="20% - 강조색1 70 2 2" xfId="3448"/>
    <cellStyle name="20% - 강조색1 70 2 3" xfId="4075"/>
    <cellStyle name="20% - 강조색1 70 2 4" xfId="4562"/>
    <cellStyle name="20% - 강조색1 70 3" xfId="3272"/>
    <cellStyle name="20% - 강조색1 70 4" xfId="3899"/>
    <cellStyle name="20% - 강조색1 70 5" xfId="4386"/>
    <cellStyle name="20% - 강조색1 71" xfId="2785"/>
    <cellStyle name="20% - 강조색1 71 2" xfId="3015"/>
    <cellStyle name="20% - 강조색1 71 2 2" xfId="3462"/>
    <cellStyle name="20% - 강조색1 71 2 3" xfId="4089"/>
    <cellStyle name="20% - 강조색1 71 2 4" xfId="4576"/>
    <cellStyle name="20% - 강조색1 71 3" xfId="3286"/>
    <cellStyle name="20% - 강조색1 71 4" xfId="3913"/>
    <cellStyle name="20% - 강조색1 71 5" xfId="4400"/>
    <cellStyle name="20% - 강조색1 72" xfId="2803"/>
    <cellStyle name="20% - 강조색1 72 2" xfId="3032"/>
    <cellStyle name="20% - 강조색1 72 2 2" xfId="3479"/>
    <cellStyle name="20% - 강조색1 72 2 3" xfId="4106"/>
    <cellStyle name="20% - 강조색1 72 2 4" xfId="4593"/>
    <cellStyle name="20% - 강조색1 72 3" xfId="3303"/>
    <cellStyle name="20% - 강조색1 72 4" xfId="3930"/>
    <cellStyle name="20% - 강조색1 72 5" xfId="4417"/>
    <cellStyle name="20% - 강조색1 73" xfId="2823"/>
    <cellStyle name="20% - 강조색1 73 2" xfId="3052"/>
    <cellStyle name="20% - 강조색1 73 2 2" xfId="3499"/>
    <cellStyle name="20% - 강조색1 73 2 3" xfId="4126"/>
    <cellStyle name="20% - 강조색1 73 2 4" xfId="4613"/>
    <cellStyle name="20% - 강조색1 73 3" xfId="3323"/>
    <cellStyle name="20% - 강조색1 73 4" xfId="3950"/>
    <cellStyle name="20% - 강조색1 73 5" xfId="4437"/>
    <cellStyle name="20% - 강조색1 74" xfId="2844"/>
    <cellStyle name="20% - 강조색1 74 2" xfId="3344"/>
    <cellStyle name="20% - 강조색1 74 3" xfId="3971"/>
    <cellStyle name="20% - 강조색1 74 4" xfId="4458"/>
    <cellStyle name="20% - 강조색1 75" xfId="3073"/>
    <cellStyle name="20% - 강조색1 75 2" xfId="3520"/>
    <cellStyle name="20% - 강조색1 75 3" xfId="4147"/>
    <cellStyle name="20% - 강조색1 75 4" xfId="4634"/>
    <cellStyle name="20% - 강조색1 76" xfId="3093"/>
    <cellStyle name="20% - 강조색1 76 2" xfId="3540"/>
    <cellStyle name="20% - 강조색1 76 3" xfId="4167"/>
    <cellStyle name="20% - 강조색1 76 4" xfId="4654"/>
    <cellStyle name="20% - 강조색1 77" xfId="3114"/>
    <cellStyle name="20% - 강조색1 77 2" xfId="3561"/>
    <cellStyle name="20% - 강조색1 77 3" xfId="4188"/>
    <cellStyle name="20% - 강조색1 77 4" xfId="4675"/>
    <cellStyle name="20% - 강조색1 78" xfId="3135"/>
    <cellStyle name="20% - 강조색1 78 2" xfId="3582"/>
    <cellStyle name="20% - 강조색1 78 3" xfId="4209"/>
    <cellStyle name="20% - 강조색1 78 4" xfId="4696"/>
    <cellStyle name="20% - 강조색1 79" xfId="3156"/>
    <cellStyle name="20% - 강조색1 79 2" xfId="3603"/>
    <cellStyle name="20% - 강조색1 79 3" xfId="4230"/>
    <cellStyle name="20% - 강조색1 79 4" xfId="4717"/>
    <cellStyle name="20% - 강조색1 8" xfId="62"/>
    <cellStyle name="20% - 강조색1 80" xfId="3177"/>
    <cellStyle name="20% - 강조색1 80 2" xfId="4250"/>
    <cellStyle name="20% - 강조색1 81" xfId="3623"/>
    <cellStyle name="20% - 강조색1 82" xfId="3643"/>
    <cellStyle name="20% - 강조색1 83" xfId="3663"/>
    <cellStyle name="20% - 강조색1 84" xfId="3683"/>
    <cellStyle name="20% - 강조색1 85" xfId="3703"/>
    <cellStyle name="20% - 강조색1 86" xfId="3723"/>
    <cellStyle name="20% - 강조색1 87" xfId="3743"/>
    <cellStyle name="20% - 강조색1 88" xfId="3763"/>
    <cellStyle name="20% - 강조색1 89" xfId="3783"/>
    <cellStyle name="20% - 강조색1 9" xfId="63"/>
    <cellStyle name="20% - 강조색1 90" xfId="3804"/>
    <cellStyle name="20% - 강조색1 91" xfId="4270"/>
    <cellStyle name="20% - 강조색1 92" xfId="4291"/>
    <cellStyle name="20% - 강조색1 93" xfId="4737"/>
    <cellStyle name="20% - 강조색2" xfId="2661" builtinId="34" customBuiltin="1"/>
    <cellStyle name="20% - 강조색2 10" xfId="64"/>
    <cellStyle name="20% - 강조색2 11" xfId="65"/>
    <cellStyle name="20% - 강조색2 12" xfId="66"/>
    <cellStyle name="20% - 강조색2 13" xfId="67"/>
    <cellStyle name="20% - 강조색2 14" xfId="68"/>
    <cellStyle name="20% - 강조색2 15" xfId="69"/>
    <cellStyle name="20% - 강조색2 16" xfId="70"/>
    <cellStyle name="20% - 강조색2 17" xfId="71"/>
    <cellStyle name="20% - 강조색2 18" xfId="72"/>
    <cellStyle name="20% - 강조색2 19" xfId="73"/>
    <cellStyle name="20% - 강조색2 2" xfId="74"/>
    <cellStyle name="20% - 강조색2 20" xfId="75"/>
    <cellStyle name="20% - 강조색2 21" xfId="76"/>
    <cellStyle name="20% - 강조색2 22" xfId="77"/>
    <cellStyle name="20% - 강조색2 23" xfId="78"/>
    <cellStyle name="20% - 강조색2 24" xfId="79"/>
    <cellStyle name="20% - 강조색2 25" xfId="80"/>
    <cellStyle name="20% - 강조색2 26" xfId="81"/>
    <cellStyle name="20% - 강조색2 27" xfId="82"/>
    <cellStyle name="20% - 강조색2 28" xfId="83"/>
    <cellStyle name="20% - 강조색2 29" xfId="84"/>
    <cellStyle name="20% - 강조색2 3" xfId="85"/>
    <cellStyle name="20% - 강조색2 30" xfId="86"/>
    <cellStyle name="20% - 강조색2 31" xfId="87"/>
    <cellStyle name="20% - 강조색2 32" xfId="88"/>
    <cellStyle name="20% - 강조색2 33" xfId="89"/>
    <cellStyle name="20% - 강조색2 34" xfId="90"/>
    <cellStyle name="20% - 강조색2 35" xfId="91"/>
    <cellStyle name="20% - 강조색2 36" xfId="92"/>
    <cellStyle name="20% - 강조색2 37" xfId="93"/>
    <cellStyle name="20% - 강조색2 38" xfId="94"/>
    <cellStyle name="20% - 강조색2 39" xfId="95"/>
    <cellStyle name="20% - 강조색2 4" xfId="96"/>
    <cellStyle name="20% - 강조색2 40" xfId="97"/>
    <cellStyle name="20% - 강조색2 41" xfId="98"/>
    <cellStyle name="20% - 강조색2 42" xfId="99"/>
    <cellStyle name="20% - 강조색2 43" xfId="100"/>
    <cellStyle name="20% - 강조색2 44" xfId="101"/>
    <cellStyle name="20% - 강조색2 45" xfId="102"/>
    <cellStyle name="20% - 강조색2 46" xfId="103"/>
    <cellStyle name="20% - 강조색2 47" xfId="104"/>
    <cellStyle name="20% - 강조색2 48" xfId="105"/>
    <cellStyle name="20% - 강조색2 49" xfId="106"/>
    <cellStyle name="20% - 강조색2 5" xfId="107"/>
    <cellStyle name="20% - 강조색2 50" xfId="108"/>
    <cellStyle name="20% - 강조색2 51" xfId="109"/>
    <cellStyle name="20% - 강조색2 52" xfId="110"/>
    <cellStyle name="20% - 강조색2 53" xfId="111"/>
    <cellStyle name="20% - 강조색2 54" xfId="112"/>
    <cellStyle name="20% - 강조색2 55" xfId="113"/>
    <cellStyle name="20% - 강조색2 56" xfId="114"/>
    <cellStyle name="20% - 강조색2 57" xfId="115"/>
    <cellStyle name="20% - 강조색2 58" xfId="116"/>
    <cellStyle name="20% - 강조색2 59" xfId="117"/>
    <cellStyle name="20% - 강조색2 6" xfId="118"/>
    <cellStyle name="20% - 강조색2 60" xfId="119"/>
    <cellStyle name="20% - 강조색2 61" xfId="120"/>
    <cellStyle name="20% - 강조색2 62" xfId="121"/>
    <cellStyle name="20% - 강조색2 63" xfId="122"/>
    <cellStyle name="20% - 강조색2 64" xfId="123"/>
    <cellStyle name="20% - 강조색2 65" xfId="2686"/>
    <cellStyle name="20% - 강조색2 65 2" xfId="2923"/>
    <cellStyle name="20% - 강조색2 65 2 2" xfId="3371"/>
    <cellStyle name="20% - 강조색2 65 2 3" xfId="3998"/>
    <cellStyle name="20% - 강조색2 65 2 4" xfId="4485"/>
    <cellStyle name="20% - 강조색2 65 3" xfId="3195"/>
    <cellStyle name="20% - 강조색2 65 4" xfId="3822"/>
    <cellStyle name="20% - 강조색2 65 5" xfId="4309"/>
    <cellStyle name="20% - 강조색2 66" xfId="2715"/>
    <cellStyle name="20% - 강조색2 66 2" xfId="2945"/>
    <cellStyle name="20% - 강조색2 66 2 2" xfId="3392"/>
    <cellStyle name="20% - 강조색2 66 2 3" xfId="4019"/>
    <cellStyle name="20% - 강조색2 66 2 4" xfId="4506"/>
    <cellStyle name="20% - 강조색2 66 3" xfId="3216"/>
    <cellStyle name="20% - 강조색2 66 4" xfId="3843"/>
    <cellStyle name="20% - 강조색2 66 5" xfId="4330"/>
    <cellStyle name="20% - 강조색2 67" xfId="2729"/>
    <cellStyle name="20% - 강조색2 67 2" xfId="2959"/>
    <cellStyle name="20% - 강조색2 67 2 2" xfId="3406"/>
    <cellStyle name="20% - 강조색2 67 2 3" xfId="4033"/>
    <cellStyle name="20% - 강조색2 67 2 4" xfId="4520"/>
    <cellStyle name="20% - 강조색2 67 3" xfId="3230"/>
    <cellStyle name="20% - 강조색2 67 4" xfId="3857"/>
    <cellStyle name="20% - 강조색2 67 5" xfId="4344"/>
    <cellStyle name="20% - 강조색2 68" xfId="2743"/>
    <cellStyle name="20% - 강조색2 68 2" xfId="2973"/>
    <cellStyle name="20% - 강조색2 68 2 2" xfId="3420"/>
    <cellStyle name="20% - 강조색2 68 2 3" xfId="4047"/>
    <cellStyle name="20% - 강조색2 68 2 4" xfId="4534"/>
    <cellStyle name="20% - 강조색2 68 3" xfId="3244"/>
    <cellStyle name="20% - 강조색2 68 4" xfId="3871"/>
    <cellStyle name="20% - 강조색2 68 5" xfId="4358"/>
    <cellStyle name="20% - 강조색2 69" xfId="2758"/>
    <cellStyle name="20% - 강조색2 69 2" xfId="2988"/>
    <cellStyle name="20% - 강조색2 69 2 2" xfId="3435"/>
    <cellStyle name="20% - 강조색2 69 2 3" xfId="4062"/>
    <cellStyle name="20% - 강조색2 69 2 4" xfId="4549"/>
    <cellStyle name="20% - 강조색2 69 3" xfId="3259"/>
    <cellStyle name="20% - 강조색2 69 4" xfId="3886"/>
    <cellStyle name="20% - 강조색2 69 5" xfId="4373"/>
    <cellStyle name="20% - 강조색2 7" xfId="124"/>
    <cellStyle name="20% - 강조색2 70" xfId="2773"/>
    <cellStyle name="20% - 강조색2 70 2" xfId="3003"/>
    <cellStyle name="20% - 강조색2 70 2 2" xfId="3450"/>
    <cellStyle name="20% - 강조색2 70 2 3" xfId="4077"/>
    <cellStyle name="20% - 강조색2 70 2 4" xfId="4564"/>
    <cellStyle name="20% - 강조색2 70 3" xfId="3274"/>
    <cellStyle name="20% - 강조색2 70 4" xfId="3901"/>
    <cellStyle name="20% - 강조색2 70 5" xfId="4388"/>
    <cellStyle name="20% - 강조색2 71" xfId="2787"/>
    <cellStyle name="20% - 강조색2 71 2" xfId="3017"/>
    <cellStyle name="20% - 강조색2 71 2 2" xfId="3464"/>
    <cellStyle name="20% - 강조색2 71 2 3" xfId="4091"/>
    <cellStyle name="20% - 강조색2 71 2 4" xfId="4578"/>
    <cellStyle name="20% - 강조색2 71 3" xfId="3288"/>
    <cellStyle name="20% - 강조색2 71 4" xfId="3915"/>
    <cellStyle name="20% - 강조색2 71 5" xfId="4402"/>
    <cellStyle name="20% - 강조색2 72" xfId="2806"/>
    <cellStyle name="20% - 강조색2 72 2" xfId="3035"/>
    <cellStyle name="20% - 강조색2 72 2 2" xfId="3482"/>
    <cellStyle name="20% - 강조색2 72 2 3" xfId="4109"/>
    <cellStyle name="20% - 강조색2 72 2 4" xfId="4596"/>
    <cellStyle name="20% - 강조색2 72 3" xfId="3306"/>
    <cellStyle name="20% - 강조색2 72 4" xfId="3933"/>
    <cellStyle name="20% - 강조색2 72 5" xfId="4420"/>
    <cellStyle name="20% - 강조색2 73" xfId="2826"/>
    <cellStyle name="20% - 강조색2 73 2" xfId="3055"/>
    <cellStyle name="20% - 강조색2 73 2 2" xfId="3502"/>
    <cellStyle name="20% - 강조색2 73 2 3" xfId="4129"/>
    <cellStyle name="20% - 강조색2 73 2 4" xfId="4616"/>
    <cellStyle name="20% - 강조색2 73 3" xfId="3326"/>
    <cellStyle name="20% - 강조색2 73 4" xfId="3953"/>
    <cellStyle name="20% - 강조색2 73 5" xfId="4440"/>
    <cellStyle name="20% - 강조색2 74" xfId="2847"/>
    <cellStyle name="20% - 강조색2 74 2" xfId="3347"/>
    <cellStyle name="20% - 강조색2 74 3" xfId="3974"/>
    <cellStyle name="20% - 강조색2 74 4" xfId="4461"/>
    <cellStyle name="20% - 강조색2 75" xfId="3076"/>
    <cellStyle name="20% - 강조색2 75 2" xfId="3523"/>
    <cellStyle name="20% - 강조색2 75 3" xfId="4150"/>
    <cellStyle name="20% - 강조색2 75 4" xfId="4637"/>
    <cellStyle name="20% - 강조색2 76" xfId="3096"/>
    <cellStyle name="20% - 강조색2 76 2" xfId="3543"/>
    <cellStyle name="20% - 강조색2 76 3" xfId="4170"/>
    <cellStyle name="20% - 강조색2 76 4" xfId="4657"/>
    <cellStyle name="20% - 강조색2 77" xfId="3117"/>
    <cellStyle name="20% - 강조색2 77 2" xfId="3564"/>
    <cellStyle name="20% - 강조색2 77 3" xfId="4191"/>
    <cellStyle name="20% - 강조색2 77 4" xfId="4678"/>
    <cellStyle name="20% - 강조색2 78" xfId="3138"/>
    <cellStyle name="20% - 강조색2 78 2" xfId="3585"/>
    <cellStyle name="20% - 강조색2 78 3" xfId="4212"/>
    <cellStyle name="20% - 강조색2 78 4" xfId="4699"/>
    <cellStyle name="20% - 강조색2 79" xfId="3159"/>
    <cellStyle name="20% - 강조색2 79 2" xfId="3606"/>
    <cellStyle name="20% - 강조색2 79 3" xfId="4233"/>
    <cellStyle name="20% - 강조색2 79 4" xfId="4720"/>
    <cellStyle name="20% - 강조색2 8" xfId="125"/>
    <cellStyle name="20% - 강조색2 80" xfId="3179"/>
    <cellStyle name="20% - 강조색2 80 2" xfId="4253"/>
    <cellStyle name="20% - 강조색2 81" xfId="3626"/>
    <cellStyle name="20% - 강조색2 82" xfId="3646"/>
    <cellStyle name="20% - 강조색2 83" xfId="3666"/>
    <cellStyle name="20% - 강조색2 84" xfId="3686"/>
    <cellStyle name="20% - 강조색2 85" xfId="3706"/>
    <cellStyle name="20% - 강조색2 86" xfId="3726"/>
    <cellStyle name="20% - 강조색2 87" xfId="3746"/>
    <cellStyle name="20% - 강조색2 88" xfId="3766"/>
    <cellStyle name="20% - 강조색2 89" xfId="3786"/>
    <cellStyle name="20% - 강조색2 9" xfId="126"/>
    <cellStyle name="20% - 강조색2 90" xfId="3806"/>
    <cellStyle name="20% - 강조색2 91" xfId="4273"/>
    <cellStyle name="20% - 강조색2 92" xfId="4293"/>
    <cellStyle name="20% - 강조색2 93" xfId="4740"/>
    <cellStyle name="20% - 강조색3" xfId="2665" builtinId="38" customBuiltin="1"/>
    <cellStyle name="20% - 강조색3 10" xfId="127"/>
    <cellStyle name="20% - 강조색3 11" xfId="128"/>
    <cellStyle name="20% - 강조색3 12" xfId="129"/>
    <cellStyle name="20% - 강조색3 13" xfId="130"/>
    <cellStyle name="20% - 강조색3 14" xfId="131"/>
    <cellStyle name="20% - 강조색3 15" xfId="132"/>
    <cellStyle name="20% - 강조색3 16" xfId="133"/>
    <cellStyle name="20% - 강조색3 17" xfId="134"/>
    <cellStyle name="20% - 강조색3 18" xfId="135"/>
    <cellStyle name="20% - 강조색3 19" xfId="136"/>
    <cellStyle name="20% - 강조색3 2" xfId="137"/>
    <cellStyle name="20% - 강조색3 20" xfId="138"/>
    <cellStyle name="20% - 강조색3 21" xfId="139"/>
    <cellStyle name="20% - 강조색3 22" xfId="140"/>
    <cellStyle name="20% - 강조색3 23" xfId="141"/>
    <cellStyle name="20% - 강조색3 24" xfId="142"/>
    <cellStyle name="20% - 강조색3 25" xfId="143"/>
    <cellStyle name="20% - 강조색3 26" xfId="144"/>
    <cellStyle name="20% - 강조색3 27" xfId="145"/>
    <cellStyle name="20% - 강조색3 28" xfId="146"/>
    <cellStyle name="20% - 강조색3 29" xfId="147"/>
    <cellStyle name="20% - 강조색3 3" xfId="148"/>
    <cellStyle name="20% - 강조색3 30" xfId="149"/>
    <cellStyle name="20% - 강조색3 31" xfId="150"/>
    <cellStyle name="20% - 강조색3 32" xfId="151"/>
    <cellStyle name="20% - 강조색3 33" xfId="152"/>
    <cellStyle name="20% - 강조색3 34" xfId="153"/>
    <cellStyle name="20% - 강조색3 35" xfId="154"/>
    <cellStyle name="20% - 강조색3 36" xfId="155"/>
    <cellStyle name="20% - 강조색3 37" xfId="156"/>
    <cellStyle name="20% - 강조색3 38" xfId="157"/>
    <cellStyle name="20% - 강조색3 39" xfId="158"/>
    <cellStyle name="20% - 강조색3 4" xfId="159"/>
    <cellStyle name="20% - 강조색3 40" xfId="160"/>
    <cellStyle name="20% - 강조색3 41" xfId="161"/>
    <cellStyle name="20% - 강조색3 42" xfId="162"/>
    <cellStyle name="20% - 강조색3 43" xfId="163"/>
    <cellStyle name="20% - 강조색3 44" xfId="164"/>
    <cellStyle name="20% - 강조색3 45" xfId="165"/>
    <cellStyle name="20% - 강조색3 46" xfId="166"/>
    <cellStyle name="20% - 강조색3 47" xfId="167"/>
    <cellStyle name="20% - 강조색3 48" xfId="168"/>
    <cellStyle name="20% - 강조색3 49" xfId="169"/>
    <cellStyle name="20% - 강조색3 5" xfId="170"/>
    <cellStyle name="20% - 강조색3 50" xfId="171"/>
    <cellStyle name="20% - 강조색3 51" xfId="172"/>
    <cellStyle name="20% - 강조색3 52" xfId="173"/>
    <cellStyle name="20% - 강조색3 53" xfId="174"/>
    <cellStyle name="20% - 강조색3 54" xfId="175"/>
    <cellStyle name="20% - 강조색3 55" xfId="176"/>
    <cellStyle name="20% - 강조색3 56" xfId="177"/>
    <cellStyle name="20% - 강조색3 57" xfId="178"/>
    <cellStyle name="20% - 강조색3 58" xfId="179"/>
    <cellStyle name="20% - 강조색3 59" xfId="180"/>
    <cellStyle name="20% - 강조색3 6" xfId="181"/>
    <cellStyle name="20% - 강조색3 60" xfId="182"/>
    <cellStyle name="20% - 강조색3 61" xfId="183"/>
    <cellStyle name="20% - 강조색3 62" xfId="184"/>
    <cellStyle name="20% - 강조색3 63" xfId="185"/>
    <cellStyle name="20% - 강조색3 64" xfId="186"/>
    <cellStyle name="20% - 강조색3 65" xfId="2688"/>
    <cellStyle name="20% - 강조색3 65 2" xfId="2925"/>
    <cellStyle name="20% - 강조색3 65 2 2" xfId="3373"/>
    <cellStyle name="20% - 강조색3 65 2 3" xfId="4000"/>
    <cellStyle name="20% - 강조색3 65 2 4" xfId="4487"/>
    <cellStyle name="20% - 강조색3 65 3" xfId="3197"/>
    <cellStyle name="20% - 강조색3 65 4" xfId="3824"/>
    <cellStyle name="20% - 강조색3 65 5" xfId="4311"/>
    <cellStyle name="20% - 강조색3 66" xfId="2717"/>
    <cellStyle name="20% - 강조색3 66 2" xfId="2947"/>
    <cellStyle name="20% - 강조색3 66 2 2" xfId="3394"/>
    <cellStyle name="20% - 강조색3 66 2 3" xfId="4021"/>
    <cellStyle name="20% - 강조색3 66 2 4" xfId="4508"/>
    <cellStyle name="20% - 강조색3 66 3" xfId="3218"/>
    <cellStyle name="20% - 강조색3 66 4" xfId="3845"/>
    <cellStyle name="20% - 강조색3 66 5" xfId="4332"/>
    <cellStyle name="20% - 강조색3 67" xfId="2731"/>
    <cellStyle name="20% - 강조색3 67 2" xfId="2961"/>
    <cellStyle name="20% - 강조색3 67 2 2" xfId="3408"/>
    <cellStyle name="20% - 강조색3 67 2 3" xfId="4035"/>
    <cellStyle name="20% - 강조색3 67 2 4" xfId="4522"/>
    <cellStyle name="20% - 강조색3 67 3" xfId="3232"/>
    <cellStyle name="20% - 강조색3 67 4" xfId="3859"/>
    <cellStyle name="20% - 강조색3 67 5" xfId="4346"/>
    <cellStyle name="20% - 강조색3 68" xfId="2745"/>
    <cellStyle name="20% - 강조색3 68 2" xfId="2975"/>
    <cellStyle name="20% - 강조색3 68 2 2" xfId="3422"/>
    <cellStyle name="20% - 강조색3 68 2 3" xfId="4049"/>
    <cellStyle name="20% - 강조색3 68 2 4" xfId="4536"/>
    <cellStyle name="20% - 강조색3 68 3" xfId="3246"/>
    <cellStyle name="20% - 강조색3 68 4" xfId="3873"/>
    <cellStyle name="20% - 강조색3 68 5" xfId="4360"/>
    <cellStyle name="20% - 강조색3 69" xfId="2760"/>
    <cellStyle name="20% - 강조색3 69 2" xfId="2990"/>
    <cellStyle name="20% - 강조색3 69 2 2" xfId="3437"/>
    <cellStyle name="20% - 강조색3 69 2 3" xfId="4064"/>
    <cellStyle name="20% - 강조색3 69 2 4" xfId="4551"/>
    <cellStyle name="20% - 강조색3 69 3" xfId="3261"/>
    <cellStyle name="20% - 강조색3 69 4" xfId="3888"/>
    <cellStyle name="20% - 강조색3 69 5" xfId="4375"/>
    <cellStyle name="20% - 강조색3 7" xfId="187"/>
    <cellStyle name="20% - 강조색3 70" xfId="2775"/>
    <cellStyle name="20% - 강조색3 70 2" xfId="3005"/>
    <cellStyle name="20% - 강조색3 70 2 2" xfId="3452"/>
    <cellStyle name="20% - 강조색3 70 2 3" xfId="4079"/>
    <cellStyle name="20% - 강조색3 70 2 4" xfId="4566"/>
    <cellStyle name="20% - 강조색3 70 3" xfId="3276"/>
    <cellStyle name="20% - 강조색3 70 4" xfId="3903"/>
    <cellStyle name="20% - 강조색3 70 5" xfId="4390"/>
    <cellStyle name="20% - 강조색3 71" xfId="2789"/>
    <cellStyle name="20% - 강조색3 71 2" xfId="3019"/>
    <cellStyle name="20% - 강조색3 71 2 2" xfId="3466"/>
    <cellStyle name="20% - 강조색3 71 2 3" xfId="4093"/>
    <cellStyle name="20% - 강조색3 71 2 4" xfId="4580"/>
    <cellStyle name="20% - 강조색3 71 3" xfId="3290"/>
    <cellStyle name="20% - 강조색3 71 4" xfId="3917"/>
    <cellStyle name="20% - 강조색3 71 5" xfId="4404"/>
    <cellStyle name="20% - 강조색3 72" xfId="2809"/>
    <cellStyle name="20% - 강조색3 72 2" xfId="3038"/>
    <cellStyle name="20% - 강조색3 72 2 2" xfId="3485"/>
    <cellStyle name="20% - 강조색3 72 2 3" xfId="4112"/>
    <cellStyle name="20% - 강조색3 72 2 4" xfId="4599"/>
    <cellStyle name="20% - 강조색3 72 3" xfId="3309"/>
    <cellStyle name="20% - 강조색3 72 4" xfId="3936"/>
    <cellStyle name="20% - 강조색3 72 5" xfId="4423"/>
    <cellStyle name="20% - 강조색3 73" xfId="2829"/>
    <cellStyle name="20% - 강조색3 73 2" xfId="3058"/>
    <cellStyle name="20% - 강조색3 73 2 2" xfId="3505"/>
    <cellStyle name="20% - 강조색3 73 2 3" xfId="4132"/>
    <cellStyle name="20% - 강조색3 73 2 4" xfId="4619"/>
    <cellStyle name="20% - 강조색3 73 3" xfId="3329"/>
    <cellStyle name="20% - 강조색3 73 4" xfId="3956"/>
    <cellStyle name="20% - 강조색3 73 5" xfId="4443"/>
    <cellStyle name="20% - 강조색3 74" xfId="2850"/>
    <cellStyle name="20% - 강조색3 74 2" xfId="3350"/>
    <cellStyle name="20% - 강조색3 74 3" xfId="3977"/>
    <cellStyle name="20% - 강조색3 74 4" xfId="4464"/>
    <cellStyle name="20% - 강조색3 75" xfId="3079"/>
    <cellStyle name="20% - 강조색3 75 2" xfId="3526"/>
    <cellStyle name="20% - 강조색3 75 3" xfId="4153"/>
    <cellStyle name="20% - 강조색3 75 4" xfId="4640"/>
    <cellStyle name="20% - 강조색3 76" xfId="3099"/>
    <cellStyle name="20% - 강조색3 76 2" xfId="3546"/>
    <cellStyle name="20% - 강조색3 76 3" xfId="4173"/>
    <cellStyle name="20% - 강조색3 76 4" xfId="4660"/>
    <cellStyle name="20% - 강조색3 77" xfId="3120"/>
    <cellStyle name="20% - 강조색3 77 2" xfId="3567"/>
    <cellStyle name="20% - 강조색3 77 3" xfId="4194"/>
    <cellStyle name="20% - 강조색3 77 4" xfId="4681"/>
    <cellStyle name="20% - 강조색3 78" xfId="3141"/>
    <cellStyle name="20% - 강조색3 78 2" xfId="3588"/>
    <cellStyle name="20% - 강조색3 78 3" xfId="4215"/>
    <cellStyle name="20% - 강조색3 78 4" xfId="4702"/>
    <cellStyle name="20% - 강조색3 79" xfId="3162"/>
    <cellStyle name="20% - 강조색3 79 2" xfId="3609"/>
    <cellStyle name="20% - 강조색3 79 3" xfId="4236"/>
    <cellStyle name="20% - 강조색3 79 4" xfId="4723"/>
    <cellStyle name="20% - 강조색3 8" xfId="188"/>
    <cellStyle name="20% - 강조색3 80" xfId="3181"/>
    <cellStyle name="20% - 강조색3 80 2" xfId="4256"/>
    <cellStyle name="20% - 강조색3 81" xfId="3629"/>
    <cellStyle name="20% - 강조색3 82" xfId="3649"/>
    <cellStyle name="20% - 강조색3 83" xfId="3669"/>
    <cellStyle name="20% - 강조색3 84" xfId="3689"/>
    <cellStyle name="20% - 강조색3 85" xfId="3709"/>
    <cellStyle name="20% - 강조색3 86" xfId="3729"/>
    <cellStyle name="20% - 강조색3 87" xfId="3749"/>
    <cellStyle name="20% - 강조색3 88" xfId="3769"/>
    <cellStyle name="20% - 강조색3 89" xfId="3789"/>
    <cellStyle name="20% - 강조색3 9" xfId="189"/>
    <cellStyle name="20% - 강조색3 90" xfId="3808"/>
    <cellStyle name="20% - 강조색3 91" xfId="4276"/>
    <cellStyle name="20% - 강조색3 92" xfId="4295"/>
    <cellStyle name="20% - 강조색3 93" xfId="4743"/>
    <cellStyle name="20% - 강조색4" xfId="2669" builtinId="42" customBuiltin="1"/>
    <cellStyle name="20% - 강조색4 10" xfId="190"/>
    <cellStyle name="20% - 강조색4 11" xfId="191"/>
    <cellStyle name="20% - 강조색4 12" xfId="192"/>
    <cellStyle name="20% - 강조색4 13" xfId="193"/>
    <cellStyle name="20% - 강조색4 14" xfId="194"/>
    <cellStyle name="20% - 강조색4 15" xfId="195"/>
    <cellStyle name="20% - 강조색4 16" xfId="196"/>
    <cellStyle name="20% - 강조색4 17" xfId="197"/>
    <cellStyle name="20% - 강조색4 18" xfId="198"/>
    <cellStyle name="20% - 강조색4 19" xfId="199"/>
    <cellStyle name="20% - 강조색4 2" xfId="200"/>
    <cellStyle name="20% - 강조색4 20" xfId="201"/>
    <cellStyle name="20% - 강조색4 21" xfId="202"/>
    <cellStyle name="20% - 강조색4 22" xfId="203"/>
    <cellStyle name="20% - 강조색4 23" xfId="204"/>
    <cellStyle name="20% - 강조색4 24" xfId="205"/>
    <cellStyle name="20% - 강조색4 25" xfId="206"/>
    <cellStyle name="20% - 강조색4 26" xfId="207"/>
    <cellStyle name="20% - 강조색4 27" xfId="208"/>
    <cellStyle name="20% - 강조색4 28" xfId="209"/>
    <cellStyle name="20% - 강조색4 29" xfId="210"/>
    <cellStyle name="20% - 강조색4 3" xfId="211"/>
    <cellStyle name="20% - 강조색4 30" xfId="212"/>
    <cellStyle name="20% - 강조색4 31" xfId="213"/>
    <cellStyle name="20% - 강조색4 32" xfId="214"/>
    <cellStyle name="20% - 강조색4 33" xfId="215"/>
    <cellStyle name="20% - 강조색4 34" xfId="216"/>
    <cellStyle name="20% - 강조색4 35" xfId="217"/>
    <cellStyle name="20% - 강조색4 36" xfId="218"/>
    <cellStyle name="20% - 강조색4 37" xfId="219"/>
    <cellStyle name="20% - 강조색4 38" xfId="220"/>
    <cellStyle name="20% - 강조색4 39" xfId="221"/>
    <cellStyle name="20% - 강조색4 4" xfId="222"/>
    <cellStyle name="20% - 강조색4 40" xfId="223"/>
    <cellStyle name="20% - 강조색4 41" xfId="224"/>
    <cellStyle name="20% - 강조색4 42" xfId="225"/>
    <cellStyle name="20% - 강조색4 43" xfId="226"/>
    <cellStyle name="20% - 강조색4 44" xfId="227"/>
    <cellStyle name="20% - 강조색4 45" xfId="228"/>
    <cellStyle name="20% - 강조색4 46" xfId="229"/>
    <cellStyle name="20% - 강조색4 47" xfId="230"/>
    <cellStyle name="20% - 강조색4 48" xfId="231"/>
    <cellStyle name="20% - 강조색4 49" xfId="232"/>
    <cellStyle name="20% - 강조색4 5" xfId="233"/>
    <cellStyle name="20% - 강조색4 50" xfId="234"/>
    <cellStyle name="20% - 강조색4 51" xfId="235"/>
    <cellStyle name="20% - 강조색4 52" xfId="236"/>
    <cellStyle name="20% - 강조색4 53" xfId="237"/>
    <cellStyle name="20% - 강조색4 54" xfId="238"/>
    <cellStyle name="20% - 강조색4 55" xfId="239"/>
    <cellStyle name="20% - 강조색4 56" xfId="240"/>
    <cellStyle name="20% - 강조색4 57" xfId="241"/>
    <cellStyle name="20% - 강조색4 58" xfId="242"/>
    <cellStyle name="20% - 강조색4 59" xfId="243"/>
    <cellStyle name="20% - 강조색4 6" xfId="244"/>
    <cellStyle name="20% - 강조색4 60" xfId="245"/>
    <cellStyle name="20% - 강조색4 61" xfId="246"/>
    <cellStyle name="20% - 강조색4 62" xfId="247"/>
    <cellStyle name="20% - 강조색4 63" xfId="248"/>
    <cellStyle name="20% - 강조색4 64" xfId="249"/>
    <cellStyle name="20% - 강조색4 65" xfId="2690"/>
    <cellStyle name="20% - 강조색4 65 2" xfId="2927"/>
    <cellStyle name="20% - 강조색4 65 2 2" xfId="3375"/>
    <cellStyle name="20% - 강조색4 65 2 3" xfId="4002"/>
    <cellStyle name="20% - 강조색4 65 2 4" xfId="4489"/>
    <cellStyle name="20% - 강조색4 65 3" xfId="3199"/>
    <cellStyle name="20% - 강조색4 65 4" xfId="3826"/>
    <cellStyle name="20% - 강조색4 65 5" xfId="4313"/>
    <cellStyle name="20% - 강조색4 66" xfId="2719"/>
    <cellStyle name="20% - 강조색4 66 2" xfId="2949"/>
    <cellStyle name="20% - 강조색4 66 2 2" xfId="3396"/>
    <cellStyle name="20% - 강조색4 66 2 3" xfId="4023"/>
    <cellStyle name="20% - 강조색4 66 2 4" xfId="4510"/>
    <cellStyle name="20% - 강조색4 66 3" xfId="3220"/>
    <cellStyle name="20% - 강조색4 66 4" xfId="3847"/>
    <cellStyle name="20% - 강조색4 66 5" xfId="4334"/>
    <cellStyle name="20% - 강조색4 67" xfId="2733"/>
    <cellStyle name="20% - 강조색4 67 2" xfId="2963"/>
    <cellStyle name="20% - 강조색4 67 2 2" xfId="3410"/>
    <cellStyle name="20% - 강조색4 67 2 3" xfId="4037"/>
    <cellStyle name="20% - 강조색4 67 2 4" xfId="4524"/>
    <cellStyle name="20% - 강조색4 67 3" xfId="3234"/>
    <cellStyle name="20% - 강조색4 67 4" xfId="3861"/>
    <cellStyle name="20% - 강조색4 67 5" xfId="4348"/>
    <cellStyle name="20% - 강조색4 68" xfId="2747"/>
    <cellStyle name="20% - 강조색4 68 2" xfId="2977"/>
    <cellStyle name="20% - 강조색4 68 2 2" xfId="3424"/>
    <cellStyle name="20% - 강조색4 68 2 3" xfId="4051"/>
    <cellStyle name="20% - 강조색4 68 2 4" xfId="4538"/>
    <cellStyle name="20% - 강조색4 68 3" xfId="3248"/>
    <cellStyle name="20% - 강조색4 68 4" xfId="3875"/>
    <cellStyle name="20% - 강조색4 68 5" xfId="4362"/>
    <cellStyle name="20% - 강조색4 69" xfId="2762"/>
    <cellStyle name="20% - 강조색4 69 2" xfId="2992"/>
    <cellStyle name="20% - 강조색4 69 2 2" xfId="3439"/>
    <cellStyle name="20% - 강조색4 69 2 3" xfId="4066"/>
    <cellStyle name="20% - 강조색4 69 2 4" xfId="4553"/>
    <cellStyle name="20% - 강조색4 69 3" xfId="3263"/>
    <cellStyle name="20% - 강조색4 69 4" xfId="3890"/>
    <cellStyle name="20% - 강조색4 69 5" xfId="4377"/>
    <cellStyle name="20% - 강조색4 7" xfId="250"/>
    <cellStyle name="20% - 강조색4 70" xfId="2777"/>
    <cellStyle name="20% - 강조색4 70 2" xfId="3007"/>
    <cellStyle name="20% - 강조색4 70 2 2" xfId="3454"/>
    <cellStyle name="20% - 강조색4 70 2 3" xfId="4081"/>
    <cellStyle name="20% - 강조색4 70 2 4" xfId="4568"/>
    <cellStyle name="20% - 강조색4 70 3" xfId="3278"/>
    <cellStyle name="20% - 강조색4 70 4" xfId="3905"/>
    <cellStyle name="20% - 강조색4 70 5" xfId="4392"/>
    <cellStyle name="20% - 강조색4 71" xfId="2791"/>
    <cellStyle name="20% - 강조색4 71 2" xfId="3021"/>
    <cellStyle name="20% - 강조색4 71 2 2" xfId="3468"/>
    <cellStyle name="20% - 강조색4 71 2 3" xfId="4095"/>
    <cellStyle name="20% - 강조색4 71 2 4" xfId="4582"/>
    <cellStyle name="20% - 강조색4 71 3" xfId="3292"/>
    <cellStyle name="20% - 강조색4 71 4" xfId="3919"/>
    <cellStyle name="20% - 강조색4 71 5" xfId="4406"/>
    <cellStyle name="20% - 강조색4 72" xfId="2812"/>
    <cellStyle name="20% - 강조색4 72 2" xfId="3041"/>
    <cellStyle name="20% - 강조색4 72 2 2" xfId="3488"/>
    <cellStyle name="20% - 강조색4 72 2 3" xfId="4115"/>
    <cellStyle name="20% - 강조색4 72 2 4" xfId="4602"/>
    <cellStyle name="20% - 강조색4 72 3" xfId="3312"/>
    <cellStyle name="20% - 강조색4 72 4" xfId="3939"/>
    <cellStyle name="20% - 강조색4 72 5" xfId="4426"/>
    <cellStyle name="20% - 강조색4 73" xfId="2832"/>
    <cellStyle name="20% - 강조색4 73 2" xfId="3061"/>
    <cellStyle name="20% - 강조색4 73 2 2" xfId="3508"/>
    <cellStyle name="20% - 강조색4 73 2 3" xfId="4135"/>
    <cellStyle name="20% - 강조색4 73 2 4" xfId="4622"/>
    <cellStyle name="20% - 강조색4 73 3" xfId="3332"/>
    <cellStyle name="20% - 강조색4 73 4" xfId="3959"/>
    <cellStyle name="20% - 강조색4 73 5" xfId="4446"/>
    <cellStyle name="20% - 강조색4 74" xfId="2853"/>
    <cellStyle name="20% - 강조색4 74 2" xfId="3353"/>
    <cellStyle name="20% - 강조색4 74 3" xfId="3980"/>
    <cellStyle name="20% - 강조색4 74 4" xfId="4467"/>
    <cellStyle name="20% - 강조색4 75" xfId="3082"/>
    <cellStyle name="20% - 강조색4 75 2" xfId="3529"/>
    <cellStyle name="20% - 강조색4 75 3" xfId="4156"/>
    <cellStyle name="20% - 강조색4 75 4" xfId="4643"/>
    <cellStyle name="20% - 강조색4 76" xfId="3102"/>
    <cellStyle name="20% - 강조색4 76 2" xfId="3549"/>
    <cellStyle name="20% - 강조색4 76 3" xfId="4176"/>
    <cellStyle name="20% - 강조색4 76 4" xfId="4663"/>
    <cellStyle name="20% - 강조색4 77" xfId="3123"/>
    <cellStyle name="20% - 강조색4 77 2" xfId="3570"/>
    <cellStyle name="20% - 강조색4 77 3" xfId="4197"/>
    <cellStyle name="20% - 강조색4 77 4" xfId="4684"/>
    <cellStyle name="20% - 강조색4 78" xfId="3144"/>
    <cellStyle name="20% - 강조색4 78 2" xfId="3591"/>
    <cellStyle name="20% - 강조색4 78 3" xfId="4218"/>
    <cellStyle name="20% - 강조색4 78 4" xfId="4705"/>
    <cellStyle name="20% - 강조색4 79" xfId="3165"/>
    <cellStyle name="20% - 강조색4 79 2" xfId="3612"/>
    <cellStyle name="20% - 강조색4 79 3" xfId="4239"/>
    <cellStyle name="20% - 강조색4 79 4" xfId="4726"/>
    <cellStyle name="20% - 강조색4 8" xfId="251"/>
    <cellStyle name="20% - 강조색4 80" xfId="3183"/>
    <cellStyle name="20% - 강조색4 80 2" xfId="4259"/>
    <cellStyle name="20% - 강조색4 81" xfId="3632"/>
    <cellStyle name="20% - 강조색4 82" xfId="3652"/>
    <cellStyle name="20% - 강조색4 83" xfId="3672"/>
    <cellStyle name="20% - 강조색4 84" xfId="3692"/>
    <cellStyle name="20% - 강조색4 85" xfId="3712"/>
    <cellStyle name="20% - 강조색4 86" xfId="3732"/>
    <cellStyle name="20% - 강조색4 87" xfId="3752"/>
    <cellStyle name="20% - 강조색4 88" xfId="3772"/>
    <cellStyle name="20% - 강조색4 89" xfId="3792"/>
    <cellStyle name="20% - 강조색4 9" xfId="252"/>
    <cellStyle name="20% - 강조색4 90" xfId="3810"/>
    <cellStyle name="20% - 강조색4 91" xfId="4279"/>
    <cellStyle name="20% - 강조색4 92" xfId="4297"/>
    <cellStyle name="20% - 강조색4 93" xfId="4746"/>
    <cellStyle name="20% - 강조색5" xfId="2673" builtinId="46" customBuiltin="1"/>
    <cellStyle name="20% - 강조색5 10" xfId="253"/>
    <cellStyle name="20% - 강조색5 11" xfId="254"/>
    <cellStyle name="20% - 강조색5 12" xfId="255"/>
    <cellStyle name="20% - 강조색5 13" xfId="256"/>
    <cellStyle name="20% - 강조색5 14" xfId="257"/>
    <cellStyle name="20% - 강조색5 15" xfId="258"/>
    <cellStyle name="20% - 강조색5 16" xfId="259"/>
    <cellStyle name="20% - 강조색5 17" xfId="260"/>
    <cellStyle name="20% - 강조색5 18" xfId="261"/>
    <cellStyle name="20% - 강조색5 19" xfId="262"/>
    <cellStyle name="20% - 강조색5 2" xfId="263"/>
    <cellStyle name="20% - 강조색5 20" xfId="264"/>
    <cellStyle name="20% - 강조색5 21" xfId="265"/>
    <cellStyle name="20% - 강조색5 22" xfId="266"/>
    <cellStyle name="20% - 강조색5 23" xfId="267"/>
    <cellStyle name="20% - 강조색5 24" xfId="268"/>
    <cellStyle name="20% - 강조색5 25" xfId="269"/>
    <cellStyle name="20% - 강조색5 26" xfId="270"/>
    <cellStyle name="20% - 강조색5 27" xfId="271"/>
    <cellStyle name="20% - 강조색5 28" xfId="272"/>
    <cellStyle name="20% - 강조색5 29" xfId="273"/>
    <cellStyle name="20% - 강조색5 3" xfId="274"/>
    <cellStyle name="20% - 강조색5 30" xfId="275"/>
    <cellStyle name="20% - 강조색5 31" xfId="276"/>
    <cellStyle name="20% - 강조색5 32" xfId="277"/>
    <cellStyle name="20% - 강조색5 33" xfId="278"/>
    <cellStyle name="20% - 강조색5 34" xfId="279"/>
    <cellStyle name="20% - 강조색5 35" xfId="280"/>
    <cellStyle name="20% - 강조색5 36" xfId="281"/>
    <cellStyle name="20% - 강조색5 37" xfId="282"/>
    <cellStyle name="20% - 강조색5 38" xfId="283"/>
    <cellStyle name="20% - 강조색5 39" xfId="284"/>
    <cellStyle name="20% - 강조색5 4" xfId="285"/>
    <cellStyle name="20% - 강조색5 40" xfId="286"/>
    <cellStyle name="20% - 강조색5 41" xfId="287"/>
    <cellStyle name="20% - 강조색5 42" xfId="288"/>
    <cellStyle name="20% - 강조색5 43" xfId="289"/>
    <cellStyle name="20% - 강조색5 44" xfId="290"/>
    <cellStyle name="20% - 강조색5 45" xfId="291"/>
    <cellStyle name="20% - 강조색5 46" xfId="292"/>
    <cellStyle name="20% - 강조색5 47" xfId="293"/>
    <cellStyle name="20% - 강조색5 48" xfId="294"/>
    <cellStyle name="20% - 강조색5 49" xfId="295"/>
    <cellStyle name="20% - 강조색5 5" xfId="296"/>
    <cellStyle name="20% - 강조색5 50" xfId="297"/>
    <cellStyle name="20% - 강조색5 51" xfId="298"/>
    <cellStyle name="20% - 강조색5 52" xfId="299"/>
    <cellStyle name="20% - 강조색5 53" xfId="300"/>
    <cellStyle name="20% - 강조색5 54" xfId="301"/>
    <cellStyle name="20% - 강조색5 55" xfId="302"/>
    <cellStyle name="20% - 강조색5 56" xfId="303"/>
    <cellStyle name="20% - 강조색5 57" xfId="304"/>
    <cellStyle name="20% - 강조색5 58" xfId="305"/>
    <cellStyle name="20% - 강조색5 59" xfId="306"/>
    <cellStyle name="20% - 강조색5 6" xfId="307"/>
    <cellStyle name="20% - 강조색5 60" xfId="308"/>
    <cellStyle name="20% - 강조색5 61" xfId="309"/>
    <cellStyle name="20% - 강조색5 62" xfId="310"/>
    <cellStyle name="20% - 강조색5 63" xfId="311"/>
    <cellStyle name="20% - 강조색5 64" xfId="312"/>
    <cellStyle name="20% - 강조색5 65" xfId="2692"/>
    <cellStyle name="20% - 강조색5 65 2" xfId="2929"/>
    <cellStyle name="20% - 강조색5 65 2 2" xfId="3377"/>
    <cellStyle name="20% - 강조색5 65 2 3" xfId="4004"/>
    <cellStyle name="20% - 강조색5 65 2 4" xfId="4491"/>
    <cellStyle name="20% - 강조색5 65 3" xfId="3201"/>
    <cellStyle name="20% - 강조색5 65 4" xfId="3828"/>
    <cellStyle name="20% - 강조색5 65 5" xfId="4315"/>
    <cellStyle name="20% - 강조색5 66" xfId="2721"/>
    <cellStyle name="20% - 강조색5 66 2" xfId="2951"/>
    <cellStyle name="20% - 강조색5 66 2 2" xfId="3398"/>
    <cellStyle name="20% - 강조색5 66 2 3" xfId="4025"/>
    <cellStyle name="20% - 강조색5 66 2 4" xfId="4512"/>
    <cellStyle name="20% - 강조색5 66 3" xfId="3222"/>
    <cellStyle name="20% - 강조색5 66 4" xfId="3849"/>
    <cellStyle name="20% - 강조색5 66 5" xfId="4336"/>
    <cellStyle name="20% - 강조색5 67" xfId="2735"/>
    <cellStyle name="20% - 강조색5 67 2" xfId="2965"/>
    <cellStyle name="20% - 강조색5 67 2 2" xfId="3412"/>
    <cellStyle name="20% - 강조색5 67 2 3" xfId="4039"/>
    <cellStyle name="20% - 강조색5 67 2 4" xfId="4526"/>
    <cellStyle name="20% - 강조색5 67 3" xfId="3236"/>
    <cellStyle name="20% - 강조색5 67 4" xfId="3863"/>
    <cellStyle name="20% - 강조색5 67 5" xfId="4350"/>
    <cellStyle name="20% - 강조색5 68" xfId="2749"/>
    <cellStyle name="20% - 강조색5 68 2" xfId="2979"/>
    <cellStyle name="20% - 강조색5 68 2 2" xfId="3426"/>
    <cellStyle name="20% - 강조색5 68 2 3" xfId="4053"/>
    <cellStyle name="20% - 강조색5 68 2 4" xfId="4540"/>
    <cellStyle name="20% - 강조색5 68 3" xfId="3250"/>
    <cellStyle name="20% - 강조색5 68 4" xfId="3877"/>
    <cellStyle name="20% - 강조색5 68 5" xfId="4364"/>
    <cellStyle name="20% - 강조색5 69" xfId="2764"/>
    <cellStyle name="20% - 강조색5 69 2" xfId="2994"/>
    <cellStyle name="20% - 강조색5 69 2 2" xfId="3441"/>
    <cellStyle name="20% - 강조색5 69 2 3" xfId="4068"/>
    <cellStyle name="20% - 강조색5 69 2 4" xfId="4555"/>
    <cellStyle name="20% - 강조색5 69 3" xfId="3265"/>
    <cellStyle name="20% - 강조색5 69 4" xfId="3892"/>
    <cellStyle name="20% - 강조색5 69 5" xfId="4379"/>
    <cellStyle name="20% - 강조색5 7" xfId="313"/>
    <cellStyle name="20% - 강조색5 70" xfId="2779"/>
    <cellStyle name="20% - 강조색5 70 2" xfId="3009"/>
    <cellStyle name="20% - 강조색5 70 2 2" xfId="3456"/>
    <cellStyle name="20% - 강조색5 70 2 3" xfId="4083"/>
    <cellStyle name="20% - 강조색5 70 2 4" xfId="4570"/>
    <cellStyle name="20% - 강조색5 70 3" xfId="3280"/>
    <cellStyle name="20% - 강조색5 70 4" xfId="3907"/>
    <cellStyle name="20% - 강조색5 70 5" xfId="4394"/>
    <cellStyle name="20% - 강조색5 71" xfId="2793"/>
    <cellStyle name="20% - 강조색5 71 2" xfId="3023"/>
    <cellStyle name="20% - 강조색5 71 2 2" xfId="3470"/>
    <cellStyle name="20% - 강조색5 71 2 3" xfId="4097"/>
    <cellStyle name="20% - 강조색5 71 2 4" xfId="4584"/>
    <cellStyle name="20% - 강조색5 71 3" xfId="3294"/>
    <cellStyle name="20% - 강조색5 71 4" xfId="3921"/>
    <cellStyle name="20% - 강조색5 71 5" xfId="4408"/>
    <cellStyle name="20% - 강조색5 72" xfId="2815"/>
    <cellStyle name="20% - 강조색5 72 2" xfId="3044"/>
    <cellStyle name="20% - 강조색5 72 2 2" xfId="3491"/>
    <cellStyle name="20% - 강조색5 72 2 3" xfId="4118"/>
    <cellStyle name="20% - 강조색5 72 2 4" xfId="4605"/>
    <cellStyle name="20% - 강조색5 72 3" xfId="3315"/>
    <cellStyle name="20% - 강조색5 72 4" xfId="3942"/>
    <cellStyle name="20% - 강조색5 72 5" xfId="4429"/>
    <cellStyle name="20% - 강조색5 73" xfId="2835"/>
    <cellStyle name="20% - 강조색5 73 2" xfId="3064"/>
    <cellStyle name="20% - 강조색5 73 2 2" xfId="3511"/>
    <cellStyle name="20% - 강조색5 73 2 3" xfId="4138"/>
    <cellStyle name="20% - 강조색5 73 2 4" xfId="4625"/>
    <cellStyle name="20% - 강조색5 73 3" xfId="3335"/>
    <cellStyle name="20% - 강조색5 73 4" xfId="3962"/>
    <cellStyle name="20% - 강조색5 73 5" xfId="4449"/>
    <cellStyle name="20% - 강조색5 74" xfId="2856"/>
    <cellStyle name="20% - 강조색5 74 2" xfId="3356"/>
    <cellStyle name="20% - 강조색5 74 3" xfId="3983"/>
    <cellStyle name="20% - 강조색5 74 4" xfId="4470"/>
    <cellStyle name="20% - 강조색5 75" xfId="3085"/>
    <cellStyle name="20% - 강조색5 75 2" xfId="3532"/>
    <cellStyle name="20% - 강조색5 75 3" xfId="4159"/>
    <cellStyle name="20% - 강조색5 75 4" xfId="4646"/>
    <cellStyle name="20% - 강조색5 76" xfId="3105"/>
    <cellStyle name="20% - 강조색5 76 2" xfId="3552"/>
    <cellStyle name="20% - 강조색5 76 3" xfId="4179"/>
    <cellStyle name="20% - 강조색5 76 4" xfId="4666"/>
    <cellStyle name="20% - 강조색5 77" xfId="3126"/>
    <cellStyle name="20% - 강조색5 77 2" xfId="3573"/>
    <cellStyle name="20% - 강조색5 77 3" xfId="4200"/>
    <cellStyle name="20% - 강조색5 77 4" xfId="4687"/>
    <cellStyle name="20% - 강조색5 78" xfId="3147"/>
    <cellStyle name="20% - 강조색5 78 2" xfId="3594"/>
    <cellStyle name="20% - 강조색5 78 3" xfId="4221"/>
    <cellStyle name="20% - 강조색5 78 4" xfId="4708"/>
    <cellStyle name="20% - 강조색5 79" xfId="3168"/>
    <cellStyle name="20% - 강조색5 79 2" xfId="3615"/>
    <cellStyle name="20% - 강조색5 79 3" xfId="4242"/>
    <cellStyle name="20% - 강조색5 79 4" xfId="4729"/>
    <cellStyle name="20% - 강조색5 8" xfId="314"/>
    <cellStyle name="20% - 강조색5 80" xfId="3185"/>
    <cellStyle name="20% - 강조색5 80 2" xfId="4262"/>
    <cellStyle name="20% - 강조색5 81" xfId="3635"/>
    <cellStyle name="20% - 강조색5 82" xfId="3655"/>
    <cellStyle name="20% - 강조색5 83" xfId="3675"/>
    <cellStyle name="20% - 강조색5 84" xfId="3695"/>
    <cellStyle name="20% - 강조색5 85" xfId="3715"/>
    <cellStyle name="20% - 강조색5 86" xfId="3735"/>
    <cellStyle name="20% - 강조색5 87" xfId="3755"/>
    <cellStyle name="20% - 강조색5 88" xfId="3775"/>
    <cellStyle name="20% - 강조색5 89" xfId="3795"/>
    <cellStyle name="20% - 강조색5 9" xfId="315"/>
    <cellStyle name="20% - 강조색5 90" xfId="3812"/>
    <cellStyle name="20% - 강조색5 91" xfId="4282"/>
    <cellStyle name="20% - 강조색5 92" xfId="4299"/>
    <cellStyle name="20% - 강조색5 93" xfId="4749"/>
    <cellStyle name="20% - 강조색6" xfId="2677" builtinId="50" customBuiltin="1"/>
    <cellStyle name="20% - 강조색6 10" xfId="316"/>
    <cellStyle name="20% - 강조색6 11" xfId="317"/>
    <cellStyle name="20% - 강조색6 12" xfId="318"/>
    <cellStyle name="20% - 강조색6 13" xfId="319"/>
    <cellStyle name="20% - 강조색6 14" xfId="320"/>
    <cellStyle name="20% - 강조색6 15" xfId="321"/>
    <cellStyle name="20% - 강조색6 16" xfId="322"/>
    <cellStyle name="20% - 강조색6 17" xfId="323"/>
    <cellStyle name="20% - 강조색6 18" xfId="324"/>
    <cellStyle name="20% - 강조색6 19" xfId="325"/>
    <cellStyle name="20% - 강조색6 2" xfId="326"/>
    <cellStyle name="20% - 강조색6 20" xfId="327"/>
    <cellStyle name="20% - 강조색6 21" xfId="328"/>
    <cellStyle name="20% - 강조색6 22" xfId="329"/>
    <cellStyle name="20% - 강조색6 23" xfId="330"/>
    <cellStyle name="20% - 강조색6 24" xfId="331"/>
    <cellStyle name="20% - 강조색6 25" xfId="332"/>
    <cellStyle name="20% - 강조색6 26" xfId="333"/>
    <cellStyle name="20% - 강조색6 27" xfId="334"/>
    <cellStyle name="20% - 강조색6 28" xfId="335"/>
    <cellStyle name="20% - 강조색6 29" xfId="336"/>
    <cellStyle name="20% - 강조색6 3" xfId="337"/>
    <cellStyle name="20% - 강조색6 30" xfId="338"/>
    <cellStyle name="20% - 강조색6 31" xfId="339"/>
    <cellStyle name="20% - 강조색6 32" xfId="340"/>
    <cellStyle name="20% - 강조색6 33" xfId="341"/>
    <cellStyle name="20% - 강조색6 34" xfId="342"/>
    <cellStyle name="20% - 강조색6 35" xfId="343"/>
    <cellStyle name="20% - 강조색6 36" xfId="344"/>
    <cellStyle name="20% - 강조색6 37" xfId="345"/>
    <cellStyle name="20% - 강조색6 38" xfId="346"/>
    <cellStyle name="20% - 강조색6 39" xfId="347"/>
    <cellStyle name="20% - 강조색6 4" xfId="348"/>
    <cellStyle name="20% - 강조색6 40" xfId="349"/>
    <cellStyle name="20% - 강조색6 41" xfId="350"/>
    <cellStyle name="20% - 강조색6 42" xfId="351"/>
    <cellStyle name="20% - 강조색6 43" xfId="352"/>
    <cellStyle name="20% - 강조색6 44" xfId="353"/>
    <cellStyle name="20% - 강조색6 45" xfId="354"/>
    <cellStyle name="20% - 강조색6 46" xfId="355"/>
    <cellStyle name="20% - 강조색6 47" xfId="356"/>
    <cellStyle name="20% - 강조색6 48" xfId="357"/>
    <cellStyle name="20% - 강조색6 49" xfId="358"/>
    <cellStyle name="20% - 강조색6 5" xfId="359"/>
    <cellStyle name="20% - 강조색6 50" xfId="360"/>
    <cellStyle name="20% - 강조색6 51" xfId="361"/>
    <cellStyle name="20% - 강조색6 52" xfId="362"/>
    <cellStyle name="20% - 강조색6 53" xfId="363"/>
    <cellStyle name="20% - 강조색6 54" xfId="364"/>
    <cellStyle name="20% - 강조색6 55" xfId="365"/>
    <cellStyle name="20% - 강조색6 56" xfId="366"/>
    <cellStyle name="20% - 강조색6 57" xfId="367"/>
    <cellStyle name="20% - 강조색6 58" xfId="368"/>
    <cellStyle name="20% - 강조색6 59" xfId="369"/>
    <cellStyle name="20% - 강조색6 6" xfId="370"/>
    <cellStyle name="20% - 강조색6 60" xfId="371"/>
    <cellStyle name="20% - 강조색6 61" xfId="372"/>
    <cellStyle name="20% - 강조색6 62" xfId="373"/>
    <cellStyle name="20% - 강조색6 63" xfId="374"/>
    <cellStyle name="20% - 강조색6 64" xfId="375"/>
    <cellStyle name="20% - 강조색6 65" xfId="2694"/>
    <cellStyle name="20% - 강조색6 65 2" xfId="2931"/>
    <cellStyle name="20% - 강조색6 65 2 2" xfId="3379"/>
    <cellStyle name="20% - 강조색6 65 2 3" xfId="4006"/>
    <cellStyle name="20% - 강조색6 65 2 4" xfId="4493"/>
    <cellStyle name="20% - 강조색6 65 3" xfId="3203"/>
    <cellStyle name="20% - 강조색6 65 4" xfId="3830"/>
    <cellStyle name="20% - 강조색6 65 5" xfId="4317"/>
    <cellStyle name="20% - 강조색6 66" xfId="2723"/>
    <cellStyle name="20% - 강조색6 66 2" xfId="2953"/>
    <cellStyle name="20% - 강조색6 66 2 2" xfId="3400"/>
    <cellStyle name="20% - 강조색6 66 2 3" xfId="4027"/>
    <cellStyle name="20% - 강조색6 66 2 4" xfId="4514"/>
    <cellStyle name="20% - 강조색6 66 3" xfId="3224"/>
    <cellStyle name="20% - 강조색6 66 4" xfId="3851"/>
    <cellStyle name="20% - 강조색6 66 5" xfId="4338"/>
    <cellStyle name="20% - 강조색6 67" xfId="2737"/>
    <cellStyle name="20% - 강조색6 67 2" xfId="2967"/>
    <cellStyle name="20% - 강조색6 67 2 2" xfId="3414"/>
    <cellStyle name="20% - 강조색6 67 2 3" xfId="4041"/>
    <cellStyle name="20% - 강조색6 67 2 4" xfId="4528"/>
    <cellStyle name="20% - 강조색6 67 3" xfId="3238"/>
    <cellStyle name="20% - 강조색6 67 4" xfId="3865"/>
    <cellStyle name="20% - 강조색6 67 5" xfId="4352"/>
    <cellStyle name="20% - 강조색6 68" xfId="2751"/>
    <cellStyle name="20% - 강조색6 68 2" xfId="2981"/>
    <cellStyle name="20% - 강조색6 68 2 2" xfId="3428"/>
    <cellStyle name="20% - 강조색6 68 2 3" xfId="4055"/>
    <cellStyle name="20% - 강조색6 68 2 4" xfId="4542"/>
    <cellStyle name="20% - 강조색6 68 3" xfId="3252"/>
    <cellStyle name="20% - 강조색6 68 4" xfId="3879"/>
    <cellStyle name="20% - 강조색6 68 5" xfId="4366"/>
    <cellStyle name="20% - 강조색6 69" xfId="2766"/>
    <cellStyle name="20% - 강조색6 69 2" xfId="2996"/>
    <cellStyle name="20% - 강조색6 69 2 2" xfId="3443"/>
    <cellStyle name="20% - 강조색6 69 2 3" xfId="4070"/>
    <cellStyle name="20% - 강조색6 69 2 4" xfId="4557"/>
    <cellStyle name="20% - 강조색6 69 3" xfId="3267"/>
    <cellStyle name="20% - 강조색6 69 4" xfId="3894"/>
    <cellStyle name="20% - 강조색6 69 5" xfId="4381"/>
    <cellStyle name="20% - 강조색6 7" xfId="376"/>
    <cellStyle name="20% - 강조색6 70" xfId="2781"/>
    <cellStyle name="20% - 강조색6 70 2" xfId="3011"/>
    <cellStyle name="20% - 강조색6 70 2 2" xfId="3458"/>
    <cellStyle name="20% - 강조색6 70 2 3" xfId="4085"/>
    <cellStyle name="20% - 강조색6 70 2 4" xfId="4572"/>
    <cellStyle name="20% - 강조색6 70 3" xfId="3282"/>
    <cellStyle name="20% - 강조색6 70 4" xfId="3909"/>
    <cellStyle name="20% - 강조색6 70 5" xfId="4396"/>
    <cellStyle name="20% - 강조색6 71" xfId="2795"/>
    <cellStyle name="20% - 강조색6 71 2" xfId="3025"/>
    <cellStyle name="20% - 강조색6 71 2 2" xfId="3472"/>
    <cellStyle name="20% - 강조색6 71 2 3" xfId="4099"/>
    <cellStyle name="20% - 강조색6 71 2 4" xfId="4586"/>
    <cellStyle name="20% - 강조색6 71 3" xfId="3296"/>
    <cellStyle name="20% - 강조색6 71 4" xfId="3923"/>
    <cellStyle name="20% - 강조색6 71 5" xfId="4410"/>
    <cellStyle name="20% - 강조색6 72" xfId="2818"/>
    <cellStyle name="20% - 강조색6 72 2" xfId="3047"/>
    <cellStyle name="20% - 강조색6 72 2 2" xfId="3494"/>
    <cellStyle name="20% - 강조색6 72 2 3" xfId="4121"/>
    <cellStyle name="20% - 강조색6 72 2 4" xfId="4608"/>
    <cellStyle name="20% - 강조색6 72 3" xfId="3318"/>
    <cellStyle name="20% - 강조색6 72 4" xfId="3945"/>
    <cellStyle name="20% - 강조색6 72 5" xfId="4432"/>
    <cellStyle name="20% - 강조색6 73" xfId="2838"/>
    <cellStyle name="20% - 강조색6 73 2" xfId="3067"/>
    <cellStyle name="20% - 강조색6 73 2 2" xfId="3514"/>
    <cellStyle name="20% - 강조색6 73 2 3" xfId="4141"/>
    <cellStyle name="20% - 강조색6 73 2 4" xfId="4628"/>
    <cellStyle name="20% - 강조색6 73 3" xfId="3338"/>
    <cellStyle name="20% - 강조색6 73 4" xfId="3965"/>
    <cellStyle name="20% - 강조색6 73 5" xfId="4452"/>
    <cellStyle name="20% - 강조색6 74" xfId="2859"/>
    <cellStyle name="20% - 강조색6 74 2" xfId="3359"/>
    <cellStyle name="20% - 강조색6 74 3" xfId="3986"/>
    <cellStyle name="20% - 강조색6 74 4" xfId="4473"/>
    <cellStyle name="20% - 강조색6 75" xfId="3088"/>
    <cellStyle name="20% - 강조색6 75 2" xfId="3535"/>
    <cellStyle name="20% - 강조색6 75 3" xfId="4162"/>
    <cellStyle name="20% - 강조색6 75 4" xfId="4649"/>
    <cellStyle name="20% - 강조색6 76" xfId="3108"/>
    <cellStyle name="20% - 강조색6 76 2" xfId="3555"/>
    <cellStyle name="20% - 강조색6 76 3" xfId="4182"/>
    <cellStyle name="20% - 강조색6 76 4" xfId="4669"/>
    <cellStyle name="20% - 강조색6 77" xfId="3129"/>
    <cellStyle name="20% - 강조색6 77 2" xfId="3576"/>
    <cellStyle name="20% - 강조색6 77 3" xfId="4203"/>
    <cellStyle name="20% - 강조색6 77 4" xfId="4690"/>
    <cellStyle name="20% - 강조색6 78" xfId="3150"/>
    <cellStyle name="20% - 강조색6 78 2" xfId="3597"/>
    <cellStyle name="20% - 강조색6 78 3" xfId="4224"/>
    <cellStyle name="20% - 강조색6 78 4" xfId="4711"/>
    <cellStyle name="20% - 강조색6 79" xfId="3171"/>
    <cellStyle name="20% - 강조색6 79 2" xfId="3618"/>
    <cellStyle name="20% - 강조색6 79 3" xfId="4245"/>
    <cellStyle name="20% - 강조색6 79 4" xfId="4732"/>
    <cellStyle name="20% - 강조색6 8" xfId="377"/>
    <cellStyle name="20% - 강조색6 80" xfId="3187"/>
    <cellStyle name="20% - 강조색6 80 2" xfId="4265"/>
    <cellStyle name="20% - 강조색6 81" xfId="3638"/>
    <cellStyle name="20% - 강조색6 82" xfId="3658"/>
    <cellStyle name="20% - 강조색6 83" xfId="3678"/>
    <cellStyle name="20% - 강조색6 84" xfId="3698"/>
    <cellStyle name="20% - 강조색6 85" xfId="3718"/>
    <cellStyle name="20% - 강조색6 86" xfId="3738"/>
    <cellStyle name="20% - 강조색6 87" xfId="3758"/>
    <cellStyle name="20% - 강조색6 88" xfId="3778"/>
    <cellStyle name="20% - 강조색6 89" xfId="3798"/>
    <cellStyle name="20% - 강조색6 9" xfId="378"/>
    <cellStyle name="20% - 강조색6 90" xfId="3814"/>
    <cellStyle name="20% - 강조색6 91" xfId="4285"/>
    <cellStyle name="20% - 강조색6 92" xfId="4301"/>
    <cellStyle name="20% - 강조색6 93" xfId="4752"/>
    <cellStyle name="40% - 강조색1" xfId="2658" builtinId="31" customBuiltin="1"/>
    <cellStyle name="40% - 강조색1 10" xfId="379"/>
    <cellStyle name="40% - 강조색1 11" xfId="380"/>
    <cellStyle name="40% - 강조색1 12" xfId="381"/>
    <cellStyle name="40% - 강조색1 13" xfId="382"/>
    <cellStyle name="40% - 강조색1 14" xfId="383"/>
    <cellStyle name="40% - 강조색1 15" xfId="384"/>
    <cellStyle name="40% - 강조색1 16" xfId="385"/>
    <cellStyle name="40% - 강조색1 17" xfId="386"/>
    <cellStyle name="40% - 강조색1 18" xfId="387"/>
    <cellStyle name="40% - 강조색1 19" xfId="388"/>
    <cellStyle name="40% - 강조색1 2" xfId="389"/>
    <cellStyle name="40% - 강조색1 20" xfId="390"/>
    <cellStyle name="40% - 강조색1 21" xfId="391"/>
    <cellStyle name="40% - 강조색1 22" xfId="392"/>
    <cellStyle name="40% - 강조색1 23" xfId="393"/>
    <cellStyle name="40% - 강조색1 24" xfId="394"/>
    <cellStyle name="40% - 강조색1 25" xfId="395"/>
    <cellStyle name="40% - 강조색1 26" xfId="396"/>
    <cellStyle name="40% - 강조색1 27" xfId="397"/>
    <cellStyle name="40% - 강조색1 28" xfId="398"/>
    <cellStyle name="40% - 강조색1 29" xfId="399"/>
    <cellStyle name="40% - 강조색1 3" xfId="400"/>
    <cellStyle name="40% - 강조색1 30" xfId="401"/>
    <cellStyle name="40% - 강조색1 31" xfId="402"/>
    <cellStyle name="40% - 강조색1 32" xfId="403"/>
    <cellStyle name="40% - 강조색1 33" xfId="404"/>
    <cellStyle name="40% - 강조색1 34" xfId="405"/>
    <cellStyle name="40% - 강조색1 35" xfId="406"/>
    <cellStyle name="40% - 강조색1 36" xfId="407"/>
    <cellStyle name="40% - 강조색1 37" xfId="408"/>
    <cellStyle name="40% - 강조색1 38" xfId="409"/>
    <cellStyle name="40% - 강조색1 39" xfId="410"/>
    <cellStyle name="40% - 강조색1 4" xfId="411"/>
    <cellStyle name="40% - 강조색1 40" xfId="412"/>
    <cellStyle name="40% - 강조색1 41" xfId="413"/>
    <cellStyle name="40% - 강조색1 42" xfId="414"/>
    <cellStyle name="40% - 강조색1 43" xfId="415"/>
    <cellStyle name="40% - 강조색1 44" xfId="416"/>
    <cellStyle name="40% - 강조색1 45" xfId="417"/>
    <cellStyle name="40% - 강조색1 46" xfId="418"/>
    <cellStyle name="40% - 강조색1 47" xfId="419"/>
    <cellStyle name="40% - 강조색1 48" xfId="420"/>
    <cellStyle name="40% - 강조색1 49" xfId="421"/>
    <cellStyle name="40% - 강조색1 5" xfId="422"/>
    <cellStyle name="40% - 강조색1 50" xfId="423"/>
    <cellStyle name="40% - 강조색1 51" xfId="424"/>
    <cellStyle name="40% - 강조색1 52" xfId="425"/>
    <cellStyle name="40% - 강조색1 53" xfId="426"/>
    <cellStyle name="40% - 강조색1 54" xfId="427"/>
    <cellStyle name="40% - 강조색1 55" xfId="428"/>
    <cellStyle name="40% - 강조색1 56" xfId="429"/>
    <cellStyle name="40% - 강조색1 57" xfId="430"/>
    <cellStyle name="40% - 강조색1 58" xfId="431"/>
    <cellStyle name="40% - 강조색1 59" xfId="432"/>
    <cellStyle name="40% - 강조색1 6" xfId="433"/>
    <cellStyle name="40% - 강조색1 60" xfId="434"/>
    <cellStyle name="40% - 강조색1 61" xfId="435"/>
    <cellStyle name="40% - 강조색1 62" xfId="436"/>
    <cellStyle name="40% - 강조색1 63" xfId="437"/>
    <cellStyle name="40% - 강조색1 64" xfId="438"/>
    <cellStyle name="40% - 강조색1 65" xfId="2685"/>
    <cellStyle name="40% - 강조색1 65 2" xfId="2922"/>
    <cellStyle name="40% - 강조색1 65 2 2" xfId="3370"/>
    <cellStyle name="40% - 강조색1 65 2 3" xfId="3997"/>
    <cellStyle name="40% - 강조색1 65 2 4" xfId="4484"/>
    <cellStyle name="40% - 강조색1 65 3" xfId="3194"/>
    <cellStyle name="40% - 강조색1 65 4" xfId="3821"/>
    <cellStyle name="40% - 강조색1 65 5" xfId="4308"/>
    <cellStyle name="40% - 강조색1 66" xfId="2714"/>
    <cellStyle name="40% - 강조색1 66 2" xfId="2944"/>
    <cellStyle name="40% - 강조색1 66 2 2" xfId="3391"/>
    <cellStyle name="40% - 강조색1 66 2 3" xfId="4018"/>
    <cellStyle name="40% - 강조색1 66 2 4" xfId="4505"/>
    <cellStyle name="40% - 강조색1 66 3" xfId="3215"/>
    <cellStyle name="40% - 강조색1 66 4" xfId="3842"/>
    <cellStyle name="40% - 강조색1 66 5" xfId="4329"/>
    <cellStyle name="40% - 강조색1 67" xfId="2728"/>
    <cellStyle name="40% - 강조색1 67 2" xfId="2958"/>
    <cellStyle name="40% - 강조색1 67 2 2" xfId="3405"/>
    <cellStyle name="40% - 강조색1 67 2 3" xfId="4032"/>
    <cellStyle name="40% - 강조색1 67 2 4" xfId="4519"/>
    <cellStyle name="40% - 강조색1 67 3" xfId="3229"/>
    <cellStyle name="40% - 강조색1 67 4" xfId="3856"/>
    <cellStyle name="40% - 강조색1 67 5" xfId="4343"/>
    <cellStyle name="40% - 강조색1 68" xfId="2742"/>
    <cellStyle name="40% - 강조색1 68 2" xfId="2972"/>
    <cellStyle name="40% - 강조색1 68 2 2" xfId="3419"/>
    <cellStyle name="40% - 강조색1 68 2 3" xfId="4046"/>
    <cellStyle name="40% - 강조색1 68 2 4" xfId="4533"/>
    <cellStyle name="40% - 강조색1 68 3" xfId="3243"/>
    <cellStyle name="40% - 강조색1 68 4" xfId="3870"/>
    <cellStyle name="40% - 강조색1 68 5" xfId="4357"/>
    <cellStyle name="40% - 강조색1 69" xfId="2757"/>
    <cellStyle name="40% - 강조색1 69 2" xfId="2987"/>
    <cellStyle name="40% - 강조색1 69 2 2" xfId="3434"/>
    <cellStyle name="40% - 강조색1 69 2 3" xfId="4061"/>
    <cellStyle name="40% - 강조색1 69 2 4" xfId="4548"/>
    <cellStyle name="40% - 강조색1 69 3" xfId="3258"/>
    <cellStyle name="40% - 강조색1 69 4" xfId="3885"/>
    <cellStyle name="40% - 강조색1 69 5" xfId="4372"/>
    <cellStyle name="40% - 강조색1 7" xfId="439"/>
    <cellStyle name="40% - 강조색1 70" xfId="2772"/>
    <cellStyle name="40% - 강조색1 70 2" xfId="3002"/>
    <cellStyle name="40% - 강조색1 70 2 2" xfId="3449"/>
    <cellStyle name="40% - 강조색1 70 2 3" xfId="4076"/>
    <cellStyle name="40% - 강조색1 70 2 4" xfId="4563"/>
    <cellStyle name="40% - 강조색1 70 3" xfId="3273"/>
    <cellStyle name="40% - 강조색1 70 4" xfId="3900"/>
    <cellStyle name="40% - 강조색1 70 5" xfId="4387"/>
    <cellStyle name="40% - 강조색1 71" xfId="2786"/>
    <cellStyle name="40% - 강조색1 71 2" xfId="3016"/>
    <cellStyle name="40% - 강조색1 71 2 2" xfId="3463"/>
    <cellStyle name="40% - 강조색1 71 2 3" xfId="4090"/>
    <cellStyle name="40% - 강조색1 71 2 4" xfId="4577"/>
    <cellStyle name="40% - 강조색1 71 3" xfId="3287"/>
    <cellStyle name="40% - 강조색1 71 4" xfId="3914"/>
    <cellStyle name="40% - 강조색1 71 5" xfId="4401"/>
    <cellStyle name="40% - 강조색1 72" xfId="2804"/>
    <cellStyle name="40% - 강조색1 72 2" xfId="3033"/>
    <cellStyle name="40% - 강조색1 72 2 2" xfId="3480"/>
    <cellStyle name="40% - 강조색1 72 2 3" xfId="4107"/>
    <cellStyle name="40% - 강조색1 72 2 4" xfId="4594"/>
    <cellStyle name="40% - 강조색1 72 3" xfId="3304"/>
    <cellStyle name="40% - 강조색1 72 4" xfId="3931"/>
    <cellStyle name="40% - 강조색1 72 5" xfId="4418"/>
    <cellStyle name="40% - 강조색1 73" xfId="2824"/>
    <cellStyle name="40% - 강조색1 73 2" xfId="3053"/>
    <cellStyle name="40% - 강조색1 73 2 2" xfId="3500"/>
    <cellStyle name="40% - 강조색1 73 2 3" xfId="4127"/>
    <cellStyle name="40% - 강조색1 73 2 4" xfId="4614"/>
    <cellStyle name="40% - 강조색1 73 3" xfId="3324"/>
    <cellStyle name="40% - 강조색1 73 4" xfId="3951"/>
    <cellStyle name="40% - 강조색1 73 5" xfId="4438"/>
    <cellStyle name="40% - 강조색1 74" xfId="2845"/>
    <cellStyle name="40% - 강조색1 74 2" xfId="3345"/>
    <cellStyle name="40% - 강조색1 74 3" xfId="3972"/>
    <cellStyle name="40% - 강조색1 74 4" xfId="4459"/>
    <cellStyle name="40% - 강조색1 75" xfId="3074"/>
    <cellStyle name="40% - 강조색1 75 2" xfId="3521"/>
    <cellStyle name="40% - 강조색1 75 3" xfId="4148"/>
    <cellStyle name="40% - 강조색1 75 4" xfId="4635"/>
    <cellStyle name="40% - 강조색1 76" xfId="3094"/>
    <cellStyle name="40% - 강조색1 76 2" xfId="3541"/>
    <cellStyle name="40% - 강조색1 76 3" xfId="4168"/>
    <cellStyle name="40% - 강조색1 76 4" xfId="4655"/>
    <cellStyle name="40% - 강조색1 77" xfId="3115"/>
    <cellStyle name="40% - 강조색1 77 2" xfId="3562"/>
    <cellStyle name="40% - 강조색1 77 3" xfId="4189"/>
    <cellStyle name="40% - 강조색1 77 4" xfId="4676"/>
    <cellStyle name="40% - 강조색1 78" xfId="3136"/>
    <cellStyle name="40% - 강조색1 78 2" xfId="3583"/>
    <cellStyle name="40% - 강조색1 78 3" xfId="4210"/>
    <cellStyle name="40% - 강조색1 78 4" xfId="4697"/>
    <cellStyle name="40% - 강조색1 79" xfId="3157"/>
    <cellStyle name="40% - 강조색1 79 2" xfId="3604"/>
    <cellStyle name="40% - 강조색1 79 3" xfId="4231"/>
    <cellStyle name="40% - 강조색1 79 4" xfId="4718"/>
    <cellStyle name="40% - 강조색1 8" xfId="440"/>
    <cellStyle name="40% - 강조색1 80" xfId="3178"/>
    <cellStyle name="40% - 강조색1 80 2" xfId="4251"/>
    <cellStyle name="40% - 강조색1 81" xfId="3624"/>
    <cellStyle name="40% - 강조색1 82" xfId="3644"/>
    <cellStyle name="40% - 강조색1 83" xfId="3664"/>
    <cellStyle name="40% - 강조색1 84" xfId="3684"/>
    <cellStyle name="40% - 강조색1 85" xfId="3704"/>
    <cellStyle name="40% - 강조색1 86" xfId="3724"/>
    <cellStyle name="40% - 강조색1 87" xfId="3744"/>
    <cellStyle name="40% - 강조색1 88" xfId="3764"/>
    <cellStyle name="40% - 강조색1 89" xfId="3784"/>
    <cellStyle name="40% - 강조색1 9" xfId="441"/>
    <cellStyle name="40% - 강조색1 90" xfId="3805"/>
    <cellStyle name="40% - 강조색1 91" xfId="4271"/>
    <cellStyle name="40% - 강조색1 92" xfId="4292"/>
    <cellStyle name="40% - 강조색1 93" xfId="4738"/>
    <cellStyle name="40% - 강조색2" xfId="2662" builtinId="35" customBuiltin="1"/>
    <cellStyle name="40% - 강조색2 10" xfId="442"/>
    <cellStyle name="40% - 강조색2 11" xfId="443"/>
    <cellStyle name="40% - 강조색2 12" xfId="444"/>
    <cellStyle name="40% - 강조색2 13" xfId="445"/>
    <cellStyle name="40% - 강조색2 14" xfId="446"/>
    <cellStyle name="40% - 강조색2 15" xfId="447"/>
    <cellStyle name="40% - 강조색2 16" xfId="448"/>
    <cellStyle name="40% - 강조색2 17" xfId="449"/>
    <cellStyle name="40% - 강조색2 18" xfId="450"/>
    <cellStyle name="40% - 강조색2 19" xfId="451"/>
    <cellStyle name="40% - 강조색2 2" xfId="452"/>
    <cellStyle name="40% - 강조색2 20" xfId="453"/>
    <cellStyle name="40% - 강조색2 21" xfId="454"/>
    <cellStyle name="40% - 강조색2 22" xfId="455"/>
    <cellStyle name="40% - 강조색2 23" xfId="456"/>
    <cellStyle name="40% - 강조색2 24" xfId="457"/>
    <cellStyle name="40% - 강조색2 25" xfId="458"/>
    <cellStyle name="40% - 강조색2 26" xfId="459"/>
    <cellStyle name="40% - 강조색2 27" xfId="460"/>
    <cellStyle name="40% - 강조색2 28" xfId="461"/>
    <cellStyle name="40% - 강조색2 29" xfId="462"/>
    <cellStyle name="40% - 강조색2 3" xfId="463"/>
    <cellStyle name="40% - 강조색2 30" xfId="464"/>
    <cellStyle name="40% - 강조색2 31" xfId="465"/>
    <cellStyle name="40% - 강조색2 32" xfId="466"/>
    <cellStyle name="40% - 강조색2 33" xfId="467"/>
    <cellStyle name="40% - 강조색2 34" xfId="468"/>
    <cellStyle name="40% - 강조색2 35" xfId="469"/>
    <cellStyle name="40% - 강조색2 36" xfId="470"/>
    <cellStyle name="40% - 강조색2 37" xfId="471"/>
    <cellStyle name="40% - 강조색2 38" xfId="472"/>
    <cellStyle name="40% - 강조색2 39" xfId="473"/>
    <cellStyle name="40% - 강조색2 4" xfId="474"/>
    <cellStyle name="40% - 강조색2 40" xfId="475"/>
    <cellStyle name="40% - 강조색2 41" xfId="476"/>
    <cellStyle name="40% - 강조색2 42" xfId="477"/>
    <cellStyle name="40% - 강조색2 43" xfId="478"/>
    <cellStyle name="40% - 강조색2 44" xfId="479"/>
    <cellStyle name="40% - 강조색2 45" xfId="480"/>
    <cellStyle name="40% - 강조색2 46" xfId="481"/>
    <cellStyle name="40% - 강조색2 47" xfId="482"/>
    <cellStyle name="40% - 강조색2 48" xfId="483"/>
    <cellStyle name="40% - 강조색2 49" xfId="484"/>
    <cellStyle name="40% - 강조색2 5" xfId="485"/>
    <cellStyle name="40% - 강조색2 50" xfId="486"/>
    <cellStyle name="40% - 강조색2 51" xfId="487"/>
    <cellStyle name="40% - 강조색2 52" xfId="488"/>
    <cellStyle name="40% - 강조색2 53" xfId="489"/>
    <cellStyle name="40% - 강조색2 54" xfId="490"/>
    <cellStyle name="40% - 강조색2 55" xfId="491"/>
    <cellStyle name="40% - 강조색2 56" xfId="492"/>
    <cellStyle name="40% - 강조색2 57" xfId="493"/>
    <cellStyle name="40% - 강조색2 58" xfId="494"/>
    <cellStyle name="40% - 강조색2 59" xfId="495"/>
    <cellStyle name="40% - 강조색2 6" xfId="496"/>
    <cellStyle name="40% - 강조색2 60" xfId="497"/>
    <cellStyle name="40% - 강조색2 61" xfId="498"/>
    <cellStyle name="40% - 강조색2 62" xfId="499"/>
    <cellStyle name="40% - 강조색2 63" xfId="500"/>
    <cellStyle name="40% - 강조색2 64" xfId="501"/>
    <cellStyle name="40% - 강조색2 65" xfId="2687"/>
    <cellStyle name="40% - 강조색2 65 2" xfId="2924"/>
    <cellStyle name="40% - 강조색2 65 2 2" xfId="3372"/>
    <cellStyle name="40% - 강조색2 65 2 3" xfId="3999"/>
    <cellStyle name="40% - 강조색2 65 2 4" xfId="4486"/>
    <cellStyle name="40% - 강조색2 65 3" xfId="3196"/>
    <cellStyle name="40% - 강조색2 65 4" xfId="3823"/>
    <cellStyle name="40% - 강조색2 65 5" xfId="4310"/>
    <cellStyle name="40% - 강조색2 66" xfId="2716"/>
    <cellStyle name="40% - 강조색2 66 2" xfId="2946"/>
    <cellStyle name="40% - 강조색2 66 2 2" xfId="3393"/>
    <cellStyle name="40% - 강조색2 66 2 3" xfId="4020"/>
    <cellStyle name="40% - 강조색2 66 2 4" xfId="4507"/>
    <cellStyle name="40% - 강조색2 66 3" xfId="3217"/>
    <cellStyle name="40% - 강조색2 66 4" xfId="3844"/>
    <cellStyle name="40% - 강조색2 66 5" xfId="4331"/>
    <cellStyle name="40% - 강조색2 67" xfId="2730"/>
    <cellStyle name="40% - 강조색2 67 2" xfId="2960"/>
    <cellStyle name="40% - 강조색2 67 2 2" xfId="3407"/>
    <cellStyle name="40% - 강조색2 67 2 3" xfId="4034"/>
    <cellStyle name="40% - 강조색2 67 2 4" xfId="4521"/>
    <cellStyle name="40% - 강조색2 67 3" xfId="3231"/>
    <cellStyle name="40% - 강조색2 67 4" xfId="3858"/>
    <cellStyle name="40% - 강조색2 67 5" xfId="4345"/>
    <cellStyle name="40% - 강조색2 68" xfId="2744"/>
    <cellStyle name="40% - 강조색2 68 2" xfId="2974"/>
    <cellStyle name="40% - 강조색2 68 2 2" xfId="3421"/>
    <cellStyle name="40% - 강조색2 68 2 3" xfId="4048"/>
    <cellStyle name="40% - 강조색2 68 2 4" xfId="4535"/>
    <cellStyle name="40% - 강조색2 68 3" xfId="3245"/>
    <cellStyle name="40% - 강조색2 68 4" xfId="3872"/>
    <cellStyle name="40% - 강조색2 68 5" xfId="4359"/>
    <cellStyle name="40% - 강조색2 69" xfId="2759"/>
    <cellStyle name="40% - 강조색2 69 2" xfId="2989"/>
    <cellStyle name="40% - 강조색2 69 2 2" xfId="3436"/>
    <cellStyle name="40% - 강조색2 69 2 3" xfId="4063"/>
    <cellStyle name="40% - 강조색2 69 2 4" xfId="4550"/>
    <cellStyle name="40% - 강조색2 69 3" xfId="3260"/>
    <cellStyle name="40% - 강조색2 69 4" xfId="3887"/>
    <cellStyle name="40% - 강조색2 69 5" xfId="4374"/>
    <cellStyle name="40% - 강조색2 7" xfId="502"/>
    <cellStyle name="40% - 강조색2 70" xfId="2774"/>
    <cellStyle name="40% - 강조색2 70 2" xfId="3004"/>
    <cellStyle name="40% - 강조색2 70 2 2" xfId="3451"/>
    <cellStyle name="40% - 강조색2 70 2 3" xfId="4078"/>
    <cellStyle name="40% - 강조색2 70 2 4" xfId="4565"/>
    <cellStyle name="40% - 강조색2 70 3" xfId="3275"/>
    <cellStyle name="40% - 강조색2 70 4" xfId="3902"/>
    <cellStyle name="40% - 강조색2 70 5" xfId="4389"/>
    <cellStyle name="40% - 강조색2 71" xfId="2788"/>
    <cellStyle name="40% - 강조색2 71 2" xfId="3018"/>
    <cellStyle name="40% - 강조색2 71 2 2" xfId="3465"/>
    <cellStyle name="40% - 강조색2 71 2 3" xfId="4092"/>
    <cellStyle name="40% - 강조색2 71 2 4" xfId="4579"/>
    <cellStyle name="40% - 강조색2 71 3" xfId="3289"/>
    <cellStyle name="40% - 강조색2 71 4" xfId="3916"/>
    <cellStyle name="40% - 강조색2 71 5" xfId="4403"/>
    <cellStyle name="40% - 강조색2 72" xfId="2807"/>
    <cellStyle name="40% - 강조색2 72 2" xfId="3036"/>
    <cellStyle name="40% - 강조색2 72 2 2" xfId="3483"/>
    <cellStyle name="40% - 강조색2 72 2 3" xfId="4110"/>
    <cellStyle name="40% - 강조색2 72 2 4" xfId="4597"/>
    <cellStyle name="40% - 강조색2 72 3" xfId="3307"/>
    <cellStyle name="40% - 강조색2 72 4" xfId="3934"/>
    <cellStyle name="40% - 강조색2 72 5" xfId="4421"/>
    <cellStyle name="40% - 강조색2 73" xfId="2827"/>
    <cellStyle name="40% - 강조색2 73 2" xfId="3056"/>
    <cellStyle name="40% - 강조색2 73 2 2" xfId="3503"/>
    <cellStyle name="40% - 강조색2 73 2 3" xfId="4130"/>
    <cellStyle name="40% - 강조색2 73 2 4" xfId="4617"/>
    <cellStyle name="40% - 강조색2 73 3" xfId="3327"/>
    <cellStyle name="40% - 강조색2 73 4" xfId="3954"/>
    <cellStyle name="40% - 강조색2 73 5" xfId="4441"/>
    <cellStyle name="40% - 강조색2 74" xfId="2848"/>
    <cellStyle name="40% - 강조색2 74 2" xfId="3348"/>
    <cellStyle name="40% - 강조색2 74 3" xfId="3975"/>
    <cellStyle name="40% - 강조색2 74 4" xfId="4462"/>
    <cellStyle name="40% - 강조색2 75" xfId="3077"/>
    <cellStyle name="40% - 강조색2 75 2" xfId="3524"/>
    <cellStyle name="40% - 강조색2 75 3" xfId="4151"/>
    <cellStyle name="40% - 강조색2 75 4" xfId="4638"/>
    <cellStyle name="40% - 강조색2 76" xfId="3097"/>
    <cellStyle name="40% - 강조색2 76 2" xfId="3544"/>
    <cellStyle name="40% - 강조색2 76 3" xfId="4171"/>
    <cellStyle name="40% - 강조색2 76 4" xfId="4658"/>
    <cellStyle name="40% - 강조색2 77" xfId="3118"/>
    <cellStyle name="40% - 강조색2 77 2" xfId="3565"/>
    <cellStyle name="40% - 강조색2 77 3" xfId="4192"/>
    <cellStyle name="40% - 강조색2 77 4" xfId="4679"/>
    <cellStyle name="40% - 강조색2 78" xfId="3139"/>
    <cellStyle name="40% - 강조색2 78 2" xfId="3586"/>
    <cellStyle name="40% - 강조색2 78 3" xfId="4213"/>
    <cellStyle name="40% - 강조색2 78 4" xfId="4700"/>
    <cellStyle name="40% - 강조색2 79" xfId="3160"/>
    <cellStyle name="40% - 강조색2 79 2" xfId="3607"/>
    <cellStyle name="40% - 강조색2 79 3" xfId="4234"/>
    <cellStyle name="40% - 강조색2 79 4" xfId="4721"/>
    <cellStyle name="40% - 강조색2 8" xfId="503"/>
    <cellStyle name="40% - 강조색2 80" xfId="3180"/>
    <cellStyle name="40% - 강조색2 80 2" xfId="4254"/>
    <cellStyle name="40% - 강조색2 81" xfId="3627"/>
    <cellStyle name="40% - 강조색2 82" xfId="3647"/>
    <cellStyle name="40% - 강조색2 83" xfId="3667"/>
    <cellStyle name="40% - 강조색2 84" xfId="3687"/>
    <cellStyle name="40% - 강조색2 85" xfId="3707"/>
    <cellStyle name="40% - 강조색2 86" xfId="3727"/>
    <cellStyle name="40% - 강조색2 87" xfId="3747"/>
    <cellStyle name="40% - 강조색2 88" xfId="3767"/>
    <cellStyle name="40% - 강조색2 89" xfId="3787"/>
    <cellStyle name="40% - 강조색2 9" xfId="504"/>
    <cellStyle name="40% - 강조색2 90" xfId="3807"/>
    <cellStyle name="40% - 강조색2 91" xfId="4274"/>
    <cellStyle name="40% - 강조색2 92" xfId="4294"/>
    <cellStyle name="40% - 강조색2 93" xfId="4741"/>
    <cellStyle name="40% - 강조색3" xfId="2666" builtinId="39" customBuiltin="1"/>
    <cellStyle name="40% - 강조색3 10" xfId="505"/>
    <cellStyle name="40% - 강조색3 11" xfId="506"/>
    <cellStyle name="40% - 강조색3 12" xfId="507"/>
    <cellStyle name="40% - 강조색3 13" xfId="508"/>
    <cellStyle name="40% - 강조색3 14" xfId="509"/>
    <cellStyle name="40% - 강조색3 15" xfId="510"/>
    <cellStyle name="40% - 강조색3 16" xfId="511"/>
    <cellStyle name="40% - 강조색3 17" xfId="512"/>
    <cellStyle name="40% - 강조색3 18" xfId="513"/>
    <cellStyle name="40% - 강조색3 19" xfId="514"/>
    <cellStyle name="40% - 강조색3 2" xfId="515"/>
    <cellStyle name="40% - 강조색3 20" xfId="516"/>
    <cellStyle name="40% - 강조색3 21" xfId="517"/>
    <cellStyle name="40% - 강조색3 22" xfId="518"/>
    <cellStyle name="40% - 강조색3 23" xfId="519"/>
    <cellStyle name="40% - 강조색3 24" xfId="520"/>
    <cellStyle name="40% - 강조색3 25" xfId="521"/>
    <cellStyle name="40% - 강조색3 26" xfId="522"/>
    <cellStyle name="40% - 강조색3 27" xfId="523"/>
    <cellStyle name="40% - 강조색3 28" xfId="524"/>
    <cellStyle name="40% - 강조색3 29" xfId="525"/>
    <cellStyle name="40% - 강조색3 3" xfId="526"/>
    <cellStyle name="40% - 강조색3 30" xfId="527"/>
    <cellStyle name="40% - 강조색3 31" xfId="528"/>
    <cellStyle name="40% - 강조색3 32" xfId="529"/>
    <cellStyle name="40% - 강조색3 33" xfId="530"/>
    <cellStyle name="40% - 강조색3 34" xfId="531"/>
    <cellStyle name="40% - 강조색3 35" xfId="532"/>
    <cellStyle name="40% - 강조색3 36" xfId="533"/>
    <cellStyle name="40% - 강조색3 37" xfId="534"/>
    <cellStyle name="40% - 강조색3 38" xfId="535"/>
    <cellStyle name="40% - 강조색3 39" xfId="536"/>
    <cellStyle name="40% - 강조색3 4" xfId="537"/>
    <cellStyle name="40% - 강조색3 40" xfId="538"/>
    <cellStyle name="40% - 강조색3 41" xfId="539"/>
    <cellStyle name="40% - 강조색3 42" xfId="540"/>
    <cellStyle name="40% - 강조색3 43" xfId="541"/>
    <cellStyle name="40% - 강조색3 44" xfId="542"/>
    <cellStyle name="40% - 강조색3 45" xfId="543"/>
    <cellStyle name="40% - 강조색3 46" xfId="544"/>
    <cellStyle name="40% - 강조색3 47" xfId="545"/>
    <cellStyle name="40% - 강조색3 48" xfId="546"/>
    <cellStyle name="40% - 강조색3 49" xfId="547"/>
    <cellStyle name="40% - 강조색3 5" xfId="548"/>
    <cellStyle name="40% - 강조색3 50" xfId="549"/>
    <cellStyle name="40% - 강조색3 51" xfId="550"/>
    <cellStyle name="40% - 강조색3 52" xfId="551"/>
    <cellStyle name="40% - 강조색3 53" xfId="552"/>
    <cellStyle name="40% - 강조색3 54" xfId="553"/>
    <cellStyle name="40% - 강조색3 55" xfId="554"/>
    <cellStyle name="40% - 강조색3 56" xfId="555"/>
    <cellStyle name="40% - 강조색3 57" xfId="556"/>
    <cellStyle name="40% - 강조색3 58" xfId="557"/>
    <cellStyle name="40% - 강조색3 59" xfId="558"/>
    <cellStyle name="40% - 강조색3 6" xfId="559"/>
    <cellStyle name="40% - 강조색3 60" xfId="560"/>
    <cellStyle name="40% - 강조색3 61" xfId="561"/>
    <cellStyle name="40% - 강조색3 62" xfId="562"/>
    <cellStyle name="40% - 강조색3 63" xfId="563"/>
    <cellStyle name="40% - 강조색3 64" xfId="564"/>
    <cellStyle name="40% - 강조색3 65" xfId="2689"/>
    <cellStyle name="40% - 강조색3 65 2" xfId="2926"/>
    <cellStyle name="40% - 강조색3 65 2 2" xfId="3374"/>
    <cellStyle name="40% - 강조색3 65 2 3" xfId="4001"/>
    <cellStyle name="40% - 강조색3 65 2 4" xfId="4488"/>
    <cellStyle name="40% - 강조색3 65 3" xfId="3198"/>
    <cellStyle name="40% - 강조색3 65 4" xfId="3825"/>
    <cellStyle name="40% - 강조색3 65 5" xfId="4312"/>
    <cellStyle name="40% - 강조색3 66" xfId="2718"/>
    <cellStyle name="40% - 강조색3 66 2" xfId="2948"/>
    <cellStyle name="40% - 강조색3 66 2 2" xfId="3395"/>
    <cellStyle name="40% - 강조색3 66 2 3" xfId="4022"/>
    <cellStyle name="40% - 강조색3 66 2 4" xfId="4509"/>
    <cellStyle name="40% - 강조색3 66 3" xfId="3219"/>
    <cellStyle name="40% - 강조색3 66 4" xfId="3846"/>
    <cellStyle name="40% - 강조색3 66 5" xfId="4333"/>
    <cellStyle name="40% - 강조색3 67" xfId="2732"/>
    <cellStyle name="40% - 강조색3 67 2" xfId="2962"/>
    <cellStyle name="40% - 강조색3 67 2 2" xfId="3409"/>
    <cellStyle name="40% - 강조색3 67 2 3" xfId="4036"/>
    <cellStyle name="40% - 강조색3 67 2 4" xfId="4523"/>
    <cellStyle name="40% - 강조색3 67 3" xfId="3233"/>
    <cellStyle name="40% - 강조색3 67 4" xfId="3860"/>
    <cellStyle name="40% - 강조색3 67 5" xfId="4347"/>
    <cellStyle name="40% - 강조색3 68" xfId="2746"/>
    <cellStyle name="40% - 강조색3 68 2" xfId="2976"/>
    <cellStyle name="40% - 강조색3 68 2 2" xfId="3423"/>
    <cellStyle name="40% - 강조색3 68 2 3" xfId="4050"/>
    <cellStyle name="40% - 강조색3 68 2 4" xfId="4537"/>
    <cellStyle name="40% - 강조색3 68 3" xfId="3247"/>
    <cellStyle name="40% - 강조색3 68 4" xfId="3874"/>
    <cellStyle name="40% - 강조색3 68 5" xfId="4361"/>
    <cellStyle name="40% - 강조색3 69" xfId="2761"/>
    <cellStyle name="40% - 강조색3 69 2" xfId="2991"/>
    <cellStyle name="40% - 강조색3 69 2 2" xfId="3438"/>
    <cellStyle name="40% - 강조색3 69 2 3" xfId="4065"/>
    <cellStyle name="40% - 강조색3 69 2 4" xfId="4552"/>
    <cellStyle name="40% - 강조색3 69 3" xfId="3262"/>
    <cellStyle name="40% - 강조색3 69 4" xfId="3889"/>
    <cellStyle name="40% - 강조색3 69 5" xfId="4376"/>
    <cellStyle name="40% - 강조색3 7" xfId="565"/>
    <cellStyle name="40% - 강조색3 70" xfId="2776"/>
    <cellStyle name="40% - 강조색3 70 2" xfId="3006"/>
    <cellStyle name="40% - 강조색3 70 2 2" xfId="3453"/>
    <cellStyle name="40% - 강조색3 70 2 3" xfId="4080"/>
    <cellStyle name="40% - 강조색3 70 2 4" xfId="4567"/>
    <cellStyle name="40% - 강조색3 70 3" xfId="3277"/>
    <cellStyle name="40% - 강조색3 70 4" xfId="3904"/>
    <cellStyle name="40% - 강조색3 70 5" xfId="4391"/>
    <cellStyle name="40% - 강조색3 71" xfId="2790"/>
    <cellStyle name="40% - 강조색3 71 2" xfId="3020"/>
    <cellStyle name="40% - 강조색3 71 2 2" xfId="3467"/>
    <cellStyle name="40% - 강조색3 71 2 3" xfId="4094"/>
    <cellStyle name="40% - 강조색3 71 2 4" xfId="4581"/>
    <cellStyle name="40% - 강조색3 71 3" xfId="3291"/>
    <cellStyle name="40% - 강조색3 71 4" xfId="3918"/>
    <cellStyle name="40% - 강조색3 71 5" xfId="4405"/>
    <cellStyle name="40% - 강조색3 72" xfId="2810"/>
    <cellStyle name="40% - 강조색3 72 2" xfId="3039"/>
    <cellStyle name="40% - 강조색3 72 2 2" xfId="3486"/>
    <cellStyle name="40% - 강조색3 72 2 3" xfId="4113"/>
    <cellStyle name="40% - 강조색3 72 2 4" xfId="4600"/>
    <cellStyle name="40% - 강조색3 72 3" xfId="3310"/>
    <cellStyle name="40% - 강조색3 72 4" xfId="3937"/>
    <cellStyle name="40% - 강조색3 72 5" xfId="4424"/>
    <cellStyle name="40% - 강조색3 73" xfId="2830"/>
    <cellStyle name="40% - 강조색3 73 2" xfId="3059"/>
    <cellStyle name="40% - 강조색3 73 2 2" xfId="3506"/>
    <cellStyle name="40% - 강조색3 73 2 3" xfId="4133"/>
    <cellStyle name="40% - 강조색3 73 2 4" xfId="4620"/>
    <cellStyle name="40% - 강조색3 73 3" xfId="3330"/>
    <cellStyle name="40% - 강조색3 73 4" xfId="3957"/>
    <cellStyle name="40% - 강조색3 73 5" xfId="4444"/>
    <cellStyle name="40% - 강조색3 74" xfId="2851"/>
    <cellStyle name="40% - 강조색3 74 2" xfId="3351"/>
    <cellStyle name="40% - 강조색3 74 3" xfId="3978"/>
    <cellStyle name="40% - 강조색3 74 4" xfId="4465"/>
    <cellStyle name="40% - 강조색3 75" xfId="3080"/>
    <cellStyle name="40% - 강조색3 75 2" xfId="3527"/>
    <cellStyle name="40% - 강조색3 75 3" xfId="4154"/>
    <cellStyle name="40% - 강조색3 75 4" xfId="4641"/>
    <cellStyle name="40% - 강조색3 76" xfId="3100"/>
    <cellStyle name="40% - 강조색3 76 2" xfId="3547"/>
    <cellStyle name="40% - 강조색3 76 3" xfId="4174"/>
    <cellStyle name="40% - 강조색3 76 4" xfId="4661"/>
    <cellStyle name="40% - 강조색3 77" xfId="3121"/>
    <cellStyle name="40% - 강조색3 77 2" xfId="3568"/>
    <cellStyle name="40% - 강조색3 77 3" xfId="4195"/>
    <cellStyle name="40% - 강조색3 77 4" xfId="4682"/>
    <cellStyle name="40% - 강조색3 78" xfId="3142"/>
    <cellStyle name="40% - 강조색3 78 2" xfId="3589"/>
    <cellStyle name="40% - 강조색3 78 3" xfId="4216"/>
    <cellStyle name="40% - 강조색3 78 4" xfId="4703"/>
    <cellStyle name="40% - 강조색3 79" xfId="3163"/>
    <cellStyle name="40% - 강조색3 79 2" xfId="3610"/>
    <cellStyle name="40% - 강조색3 79 3" xfId="4237"/>
    <cellStyle name="40% - 강조색3 79 4" xfId="4724"/>
    <cellStyle name="40% - 강조색3 8" xfId="566"/>
    <cellStyle name="40% - 강조색3 80" xfId="3182"/>
    <cellStyle name="40% - 강조색3 80 2" xfId="4257"/>
    <cellStyle name="40% - 강조색3 81" xfId="3630"/>
    <cellStyle name="40% - 강조색3 82" xfId="3650"/>
    <cellStyle name="40% - 강조색3 83" xfId="3670"/>
    <cellStyle name="40% - 강조색3 84" xfId="3690"/>
    <cellStyle name="40% - 강조색3 85" xfId="3710"/>
    <cellStyle name="40% - 강조색3 86" xfId="3730"/>
    <cellStyle name="40% - 강조색3 87" xfId="3750"/>
    <cellStyle name="40% - 강조색3 88" xfId="3770"/>
    <cellStyle name="40% - 강조색3 89" xfId="3790"/>
    <cellStyle name="40% - 강조색3 9" xfId="567"/>
    <cellStyle name="40% - 강조색3 90" xfId="3809"/>
    <cellStyle name="40% - 강조색3 91" xfId="4277"/>
    <cellStyle name="40% - 강조색3 92" xfId="4296"/>
    <cellStyle name="40% - 강조색3 93" xfId="4744"/>
    <cellStyle name="40% - 강조색4" xfId="2670" builtinId="43" customBuiltin="1"/>
    <cellStyle name="40% - 강조색4 10" xfId="568"/>
    <cellStyle name="40% - 강조색4 11" xfId="569"/>
    <cellStyle name="40% - 강조색4 12" xfId="570"/>
    <cellStyle name="40% - 강조색4 13" xfId="571"/>
    <cellStyle name="40% - 강조색4 14" xfId="572"/>
    <cellStyle name="40% - 강조색4 15" xfId="573"/>
    <cellStyle name="40% - 강조색4 16" xfId="574"/>
    <cellStyle name="40% - 강조색4 17" xfId="575"/>
    <cellStyle name="40% - 강조색4 18" xfId="576"/>
    <cellStyle name="40% - 강조색4 19" xfId="577"/>
    <cellStyle name="40% - 강조색4 2" xfId="578"/>
    <cellStyle name="40% - 강조색4 20" xfId="579"/>
    <cellStyle name="40% - 강조색4 21" xfId="580"/>
    <cellStyle name="40% - 강조색4 22" xfId="581"/>
    <cellStyle name="40% - 강조색4 23" xfId="582"/>
    <cellStyle name="40% - 강조색4 24" xfId="583"/>
    <cellStyle name="40% - 강조색4 25" xfId="584"/>
    <cellStyle name="40% - 강조색4 26" xfId="585"/>
    <cellStyle name="40% - 강조색4 27" xfId="586"/>
    <cellStyle name="40% - 강조색4 28" xfId="587"/>
    <cellStyle name="40% - 강조색4 29" xfId="588"/>
    <cellStyle name="40% - 강조색4 3" xfId="589"/>
    <cellStyle name="40% - 강조색4 30" xfId="590"/>
    <cellStyle name="40% - 강조색4 31" xfId="591"/>
    <cellStyle name="40% - 강조색4 32" xfId="592"/>
    <cellStyle name="40% - 강조색4 33" xfId="593"/>
    <cellStyle name="40% - 강조색4 34" xfId="594"/>
    <cellStyle name="40% - 강조색4 35" xfId="595"/>
    <cellStyle name="40% - 강조색4 36" xfId="596"/>
    <cellStyle name="40% - 강조색4 37" xfId="597"/>
    <cellStyle name="40% - 강조색4 38" xfId="598"/>
    <cellStyle name="40% - 강조색4 39" xfId="599"/>
    <cellStyle name="40% - 강조색4 4" xfId="600"/>
    <cellStyle name="40% - 강조색4 40" xfId="601"/>
    <cellStyle name="40% - 강조색4 41" xfId="602"/>
    <cellStyle name="40% - 강조색4 42" xfId="603"/>
    <cellStyle name="40% - 강조색4 43" xfId="604"/>
    <cellStyle name="40% - 강조색4 44" xfId="605"/>
    <cellStyle name="40% - 강조색4 45" xfId="606"/>
    <cellStyle name="40% - 강조색4 46" xfId="607"/>
    <cellStyle name="40% - 강조색4 47" xfId="608"/>
    <cellStyle name="40% - 강조색4 48" xfId="609"/>
    <cellStyle name="40% - 강조색4 49" xfId="610"/>
    <cellStyle name="40% - 강조색4 5" xfId="611"/>
    <cellStyle name="40% - 강조색4 50" xfId="612"/>
    <cellStyle name="40% - 강조색4 51" xfId="613"/>
    <cellStyle name="40% - 강조색4 52" xfId="614"/>
    <cellStyle name="40% - 강조색4 53" xfId="615"/>
    <cellStyle name="40% - 강조색4 54" xfId="616"/>
    <cellStyle name="40% - 강조색4 55" xfId="617"/>
    <cellStyle name="40% - 강조색4 56" xfId="618"/>
    <cellStyle name="40% - 강조색4 57" xfId="619"/>
    <cellStyle name="40% - 강조색4 58" xfId="620"/>
    <cellStyle name="40% - 강조색4 59" xfId="621"/>
    <cellStyle name="40% - 강조색4 6" xfId="622"/>
    <cellStyle name="40% - 강조색4 60" xfId="623"/>
    <cellStyle name="40% - 강조색4 61" xfId="624"/>
    <cellStyle name="40% - 강조색4 62" xfId="625"/>
    <cellStyle name="40% - 강조색4 63" xfId="626"/>
    <cellStyle name="40% - 강조색4 64" xfId="627"/>
    <cellStyle name="40% - 강조색4 65" xfId="2691"/>
    <cellStyle name="40% - 강조색4 65 2" xfId="2928"/>
    <cellStyle name="40% - 강조색4 65 2 2" xfId="3376"/>
    <cellStyle name="40% - 강조색4 65 2 3" xfId="4003"/>
    <cellStyle name="40% - 강조색4 65 2 4" xfId="4490"/>
    <cellStyle name="40% - 강조색4 65 3" xfId="3200"/>
    <cellStyle name="40% - 강조색4 65 4" xfId="3827"/>
    <cellStyle name="40% - 강조색4 65 5" xfId="4314"/>
    <cellStyle name="40% - 강조색4 66" xfId="2720"/>
    <cellStyle name="40% - 강조색4 66 2" xfId="2950"/>
    <cellStyle name="40% - 강조색4 66 2 2" xfId="3397"/>
    <cellStyle name="40% - 강조색4 66 2 3" xfId="4024"/>
    <cellStyle name="40% - 강조색4 66 2 4" xfId="4511"/>
    <cellStyle name="40% - 강조색4 66 3" xfId="3221"/>
    <cellStyle name="40% - 강조색4 66 4" xfId="3848"/>
    <cellStyle name="40% - 강조색4 66 5" xfId="4335"/>
    <cellStyle name="40% - 강조색4 67" xfId="2734"/>
    <cellStyle name="40% - 강조색4 67 2" xfId="2964"/>
    <cellStyle name="40% - 강조색4 67 2 2" xfId="3411"/>
    <cellStyle name="40% - 강조색4 67 2 3" xfId="4038"/>
    <cellStyle name="40% - 강조색4 67 2 4" xfId="4525"/>
    <cellStyle name="40% - 강조색4 67 3" xfId="3235"/>
    <cellStyle name="40% - 강조색4 67 4" xfId="3862"/>
    <cellStyle name="40% - 강조색4 67 5" xfId="4349"/>
    <cellStyle name="40% - 강조색4 68" xfId="2748"/>
    <cellStyle name="40% - 강조색4 68 2" xfId="2978"/>
    <cellStyle name="40% - 강조색4 68 2 2" xfId="3425"/>
    <cellStyle name="40% - 강조색4 68 2 3" xfId="4052"/>
    <cellStyle name="40% - 강조색4 68 2 4" xfId="4539"/>
    <cellStyle name="40% - 강조색4 68 3" xfId="3249"/>
    <cellStyle name="40% - 강조색4 68 4" xfId="3876"/>
    <cellStyle name="40% - 강조색4 68 5" xfId="4363"/>
    <cellStyle name="40% - 강조색4 69" xfId="2763"/>
    <cellStyle name="40% - 강조색4 69 2" xfId="2993"/>
    <cellStyle name="40% - 강조색4 69 2 2" xfId="3440"/>
    <cellStyle name="40% - 강조색4 69 2 3" xfId="4067"/>
    <cellStyle name="40% - 강조색4 69 2 4" xfId="4554"/>
    <cellStyle name="40% - 강조색4 69 3" xfId="3264"/>
    <cellStyle name="40% - 강조색4 69 4" xfId="3891"/>
    <cellStyle name="40% - 강조색4 69 5" xfId="4378"/>
    <cellStyle name="40% - 강조색4 7" xfId="628"/>
    <cellStyle name="40% - 강조색4 70" xfId="2778"/>
    <cellStyle name="40% - 강조색4 70 2" xfId="3008"/>
    <cellStyle name="40% - 강조색4 70 2 2" xfId="3455"/>
    <cellStyle name="40% - 강조색4 70 2 3" xfId="4082"/>
    <cellStyle name="40% - 강조색4 70 2 4" xfId="4569"/>
    <cellStyle name="40% - 강조색4 70 3" xfId="3279"/>
    <cellStyle name="40% - 강조색4 70 4" xfId="3906"/>
    <cellStyle name="40% - 강조색4 70 5" xfId="4393"/>
    <cellStyle name="40% - 강조색4 71" xfId="2792"/>
    <cellStyle name="40% - 강조색4 71 2" xfId="3022"/>
    <cellStyle name="40% - 강조색4 71 2 2" xfId="3469"/>
    <cellStyle name="40% - 강조색4 71 2 3" xfId="4096"/>
    <cellStyle name="40% - 강조색4 71 2 4" xfId="4583"/>
    <cellStyle name="40% - 강조색4 71 3" xfId="3293"/>
    <cellStyle name="40% - 강조색4 71 4" xfId="3920"/>
    <cellStyle name="40% - 강조색4 71 5" xfId="4407"/>
    <cellStyle name="40% - 강조색4 72" xfId="2813"/>
    <cellStyle name="40% - 강조색4 72 2" xfId="3042"/>
    <cellStyle name="40% - 강조색4 72 2 2" xfId="3489"/>
    <cellStyle name="40% - 강조색4 72 2 3" xfId="4116"/>
    <cellStyle name="40% - 강조색4 72 2 4" xfId="4603"/>
    <cellStyle name="40% - 강조색4 72 3" xfId="3313"/>
    <cellStyle name="40% - 강조색4 72 4" xfId="3940"/>
    <cellStyle name="40% - 강조색4 72 5" xfId="4427"/>
    <cellStyle name="40% - 강조색4 73" xfId="2833"/>
    <cellStyle name="40% - 강조색4 73 2" xfId="3062"/>
    <cellStyle name="40% - 강조색4 73 2 2" xfId="3509"/>
    <cellStyle name="40% - 강조색4 73 2 3" xfId="4136"/>
    <cellStyle name="40% - 강조색4 73 2 4" xfId="4623"/>
    <cellStyle name="40% - 강조색4 73 3" xfId="3333"/>
    <cellStyle name="40% - 강조색4 73 4" xfId="3960"/>
    <cellStyle name="40% - 강조색4 73 5" xfId="4447"/>
    <cellStyle name="40% - 강조색4 74" xfId="2854"/>
    <cellStyle name="40% - 강조색4 74 2" xfId="3354"/>
    <cellStyle name="40% - 강조색4 74 3" xfId="3981"/>
    <cellStyle name="40% - 강조색4 74 4" xfId="4468"/>
    <cellStyle name="40% - 강조색4 75" xfId="3083"/>
    <cellStyle name="40% - 강조색4 75 2" xfId="3530"/>
    <cellStyle name="40% - 강조색4 75 3" xfId="4157"/>
    <cellStyle name="40% - 강조색4 75 4" xfId="4644"/>
    <cellStyle name="40% - 강조색4 76" xfId="3103"/>
    <cellStyle name="40% - 강조색4 76 2" xfId="3550"/>
    <cellStyle name="40% - 강조색4 76 3" xfId="4177"/>
    <cellStyle name="40% - 강조색4 76 4" xfId="4664"/>
    <cellStyle name="40% - 강조색4 77" xfId="3124"/>
    <cellStyle name="40% - 강조색4 77 2" xfId="3571"/>
    <cellStyle name="40% - 강조색4 77 3" xfId="4198"/>
    <cellStyle name="40% - 강조색4 77 4" xfId="4685"/>
    <cellStyle name="40% - 강조색4 78" xfId="3145"/>
    <cellStyle name="40% - 강조색4 78 2" xfId="3592"/>
    <cellStyle name="40% - 강조색4 78 3" xfId="4219"/>
    <cellStyle name="40% - 강조색4 78 4" xfId="4706"/>
    <cellStyle name="40% - 강조색4 79" xfId="3166"/>
    <cellStyle name="40% - 강조색4 79 2" xfId="3613"/>
    <cellStyle name="40% - 강조색4 79 3" xfId="4240"/>
    <cellStyle name="40% - 강조색4 79 4" xfId="4727"/>
    <cellStyle name="40% - 강조색4 8" xfId="629"/>
    <cellStyle name="40% - 강조색4 80" xfId="3184"/>
    <cellStyle name="40% - 강조색4 80 2" xfId="4260"/>
    <cellStyle name="40% - 강조색4 81" xfId="3633"/>
    <cellStyle name="40% - 강조색4 82" xfId="3653"/>
    <cellStyle name="40% - 강조색4 83" xfId="3673"/>
    <cellStyle name="40% - 강조색4 84" xfId="3693"/>
    <cellStyle name="40% - 강조색4 85" xfId="3713"/>
    <cellStyle name="40% - 강조색4 86" xfId="3733"/>
    <cellStyle name="40% - 강조색4 87" xfId="3753"/>
    <cellStyle name="40% - 강조색4 88" xfId="3773"/>
    <cellStyle name="40% - 강조색4 89" xfId="3793"/>
    <cellStyle name="40% - 강조색4 9" xfId="630"/>
    <cellStyle name="40% - 강조색4 90" xfId="3811"/>
    <cellStyle name="40% - 강조색4 91" xfId="4280"/>
    <cellStyle name="40% - 강조색4 92" xfId="4298"/>
    <cellStyle name="40% - 강조색4 93" xfId="4747"/>
    <cellStyle name="40% - 강조색5" xfId="2674" builtinId="47" customBuiltin="1"/>
    <cellStyle name="40% - 강조색5 10" xfId="631"/>
    <cellStyle name="40% - 강조색5 11" xfId="632"/>
    <cellStyle name="40% - 강조색5 12" xfId="633"/>
    <cellStyle name="40% - 강조색5 13" xfId="634"/>
    <cellStyle name="40% - 강조색5 14" xfId="635"/>
    <cellStyle name="40% - 강조색5 15" xfId="636"/>
    <cellStyle name="40% - 강조색5 16" xfId="637"/>
    <cellStyle name="40% - 강조색5 17" xfId="638"/>
    <cellStyle name="40% - 강조색5 18" xfId="639"/>
    <cellStyle name="40% - 강조색5 19" xfId="640"/>
    <cellStyle name="40% - 강조색5 2" xfId="641"/>
    <cellStyle name="40% - 강조색5 20" xfId="642"/>
    <cellStyle name="40% - 강조색5 21" xfId="643"/>
    <cellStyle name="40% - 강조색5 22" xfId="644"/>
    <cellStyle name="40% - 강조색5 23" xfId="645"/>
    <cellStyle name="40% - 강조색5 24" xfId="646"/>
    <cellStyle name="40% - 강조색5 25" xfId="647"/>
    <cellStyle name="40% - 강조색5 26" xfId="648"/>
    <cellStyle name="40% - 강조색5 27" xfId="649"/>
    <cellStyle name="40% - 강조색5 28" xfId="650"/>
    <cellStyle name="40% - 강조색5 29" xfId="651"/>
    <cellStyle name="40% - 강조색5 3" xfId="652"/>
    <cellStyle name="40% - 강조색5 30" xfId="653"/>
    <cellStyle name="40% - 강조색5 31" xfId="654"/>
    <cellStyle name="40% - 강조색5 32" xfId="655"/>
    <cellStyle name="40% - 강조색5 33" xfId="656"/>
    <cellStyle name="40% - 강조색5 34" xfId="657"/>
    <cellStyle name="40% - 강조색5 35" xfId="658"/>
    <cellStyle name="40% - 강조색5 36" xfId="659"/>
    <cellStyle name="40% - 강조색5 37" xfId="660"/>
    <cellStyle name="40% - 강조색5 38" xfId="661"/>
    <cellStyle name="40% - 강조색5 39" xfId="662"/>
    <cellStyle name="40% - 강조색5 4" xfId="663"/>
    <cellStyle name="40% - 강조색5 40" xfId="664"/>
    <cellStyle name="40% - 강조색5 41" xfId="665"/>
    <cellStyle name="40% - 강조색5 42" xfId="666"/>
    <cellStyle name="40% - 강조색5 43" xfId="667"/>
    <cellStyle name="40% - 강조색5 44" xfId="668"/>
    <cellStyle name="40% - 강조색5 45" xfId="669"/>
    <cellStyle name="40% - 강조색5 46" xfId="670"/>
    <cellStyle name="40% - 강조색5 47" xfId="671"/>
    <cellStyle name="40% - 강조색5 48" xfId="672"/>
    <cellStyle name="40% - 강조색5 49" xfId="673"/>
    <cellStyle name="40% - 강조색5 5" xfId="674"/>
    <cellStyle name="40% - 강조색5 50" xfId="675"/>
    <cellStyle name="40% - 강조색5 51" xfId="676"/>
    <cellStyle name="40% - 강조색5 52" xfId="677"/>
    <cellStyle name="40% - 강조색5 53" xfId="678"/>
    <cellStyle name="40% - 강조색5 54" xfId="679"/>
    <cellStyle name="40% - 강조색5 55" xfId="680"/>
    <cellStyle name="40% - 강조색5 56" xfId="681"/>
    <cellStyle name="40% - 강조색5 57" xfId="682"/>
    <cellStyle name="40% - 강조색5 58" xfId="683"/>
    <cellStyle name="40% - 강조색5 59" xfId="684"/>
    <cellStyle name="40% - 강조색5 6" xfId="685"/>
    <cellStyle name="40% - 강조색5 60" xfId="686"/>
    <cellStyle name="40% - 강조색5 61" xfId="687"/>
    <cellStyle name="40% - 강조색5 62" xfId="688"/>
    <cellStyle name="40% - 강조색5 63" xfId="689"/>
    <cellStyle name="40% - 강조색5 64" xfId="690"/>
    <cellStyle name="40% - 강조색5 65" xfId="2693"/>
    <cellStyle name="40% - 강조색5 65 2" xfId="2930"/>
    <cellStyle name="40% - 강조색5 65 2 2" xfId="3378"/>
    <cellStyle name="40% - 강조색5 65 2 3" xfId="4005"/>
    <cellStyle name="40% - 강조색5 65 2 4" xfId="4492"/>
    <cellStyle name="40% - 강조색5 65 3" xfId="3202"/>
    <cellStyle name="40% - 강조색5 65 4" xfId="3829"/>
    <cellStyle name="40% - 강조색5 65 5" xfId="4316"/>
    <cellStyle name="40% - 강조색5 66" xfId="2722"/>
    <cellStyle name="40% - 강조색5 66 2" xfId="2952"/>
    <cellStyle name="40% - 강조색5 66 2 2" xfId="3399"/>
    <cellStyle name="40% - 강조색5 66 2 3" xfId="4026"/>
    <cellStyle name="40% - 강조색5 66 2 4" xfId="4513"/>
    <cellStyle name="40% - 강조색5 66 3" xfId="3223"/>
    <cellStyle name="40% - 강조색5 66 4" xfId="3850"/>
    <cellStyle name="40% - 강조색5 66 5" xfId="4337"/>
    <cellStyle name="40% - 강조색5 67" xfId="2736"/>
    <cellStyle name="40% - 강조색5 67 2" xfId="2966"/>
    <cellStyle name="40% - 강조색5 67 2 2" xfId="3413"/>
    <cellStyle name="40% - 강조색5 67 2 3" xfId="4040"/>
    <cellStyle name="40% - 강조색5 67 2 4" xfId="4527"/>
    <cellStyle name="40% - 강조색5 67 3" xfId="3237"/>
    <cellStyle name="40% - 강조색5 67 4" xfId="3864"/>
    <cellStyle name="40% - 강조색5 67 5" xfId="4351"/>
    <cellStyle name="40% - 강조색5 68" xfId="2750"/>
    <cellStyle name="40% - 강조색5 68 2" xfId="2980"/>
    <cellStyle name="40% - 강조색5 68 2 2" xfId="3427"/>
    <cellStyle name="40% - 강조색5 68 2 3" xfId="4054"/>
    <cellStyle name="40% - 강조색5 68 2 4" xfId="4541"/>
    <cellStyle name="40% - 강조색5 68 3" xfId="3251"/>
    <cellStyle name="40% - 강조색5 68 4" xfId="3878"/>
    <cellStyle name="40% - 강조색5 68 5" xfId="4365"/>
    <cellStyle name="40% - 강조색5 69" xfId="2765"/>
    <cellStyle name="40% - 강조색5 69 2" xfId="2995"/>
    <cellStyle name="40% - 강조색5 69 2 2" xfId="3442"/>
    <cellStyle name="40% - 강조색5 69 2 3" xfId="4069"/>
    <cellStyle name="40% - 강조색5 69 2 4" xfId="4556"/>
    <cellStyle name="40% - 강조색5 69 3" xfId="3266"/>
    <cellStyle name="40% - 강조색5 69 4" xfId="3893"/>
    <cellStyle name="40% - 강조색5 69 5" xfId="4380"/>
    <cellStyle name="40% - 강조색5 7" xfId="691"/>
    <cellStyle name="40% - 강조색5 70" xfId="2780"/>
    <cellStyle name="40% - 강조색5 70 2" xfId="3010"/>
    <cellStyle name="40% - 강조색5 70 2 2" xfId="3457"/>
    <cellStyle name="40% - 강조색5 70 2 3" xfId="4084"/>
    <cellStyle name="40% - 강조색5 70 2 4" xfId="4571"/>
    <cellStyle name="40% - 강조색5 70 3" xfId="3281"/>
    <cellStyle name="40% - 강조색5 70 4" xfId="3908"/>
    <cellStyle name="40% - 강조색5 70 5" xfId="4395"/>
    <cellStyle name="40% - 강조색5 71" xfId="2794"/>
    <cellStyle name="40% - 강조색5 71 2" xfId="3024"/>
    <cellStyle name="40% - 강조색5 71 2 2" xfId="3471"/>
    <cellStyle name="40% - 강조색5 71 2 3" xfId="4098"/>
    <cellStyle name="40% - 강조색5 71 2 4" xfId="4585"/>
    <cellStyle name="40% - 강조색5 71 3" xfId="3295"/>
    <cellStyle name="40% - 강조색5 71 4" xfId="3922"/>
    <cellStyle name="40% - 강조색5 71 5" xfId="4409"/>
    <cellStyle name="40% - 강조색5 72" xfId="2816"/>
    <cellStyle name="40% - 강조색5 72 2" xfId="3045"/>
    <cellStyle name="40% - 강조색5 72 2 2" xfId="3492"/>
    <cellStyle name="40% - 강조색5 72 2 3" xfId="4119"/>
    <cellStyle name="40% - 강조색5 72 2 4" xfId="4606"/>
    <cellStyle name="40% - 강조색5 72 3" xfId="3316"/>
    <cellStyle name="40% - 강조색5 72 4" xfId="3943"/>
    <cellStyle name="40% - 강조색5 72 5" xfId="4430"/>
    <cellStyle name="40% - 강조색5 73" xfId="2836"/>
    <cellStyle name="40% - 강조색5 73 2" xfId="3065"/>
    <cellStyle name="40% - 강조색5 73 2 2" xfId="3512"/>
    <cellStyle name="40% - 강조색5 73 2 3" xfId="4139"/>
    <cellStyle name="40% - 강조색5 73 2 4" xfId="4626"/>
    <cellStyle name="40% - 강조색5 73 3" xfId="3336"/>
    <cellStyle name="40% - 강조색5 73 4" xfId="3963"/>
    <cellStyle name="40% - 강조색5 73 5" xfId="4450"/>
    <cellStyle name="40% - 강조색5 74" xfId="2857"/>
    <cellStyle name="40% - 강조색5 74 2" xfId="3357"/>
    <cellStyle name="40% - 강조색5 74 3" xfId="3984"/>
    <cellStyle name="40% - 강조색5 74 4" xfId="4471"/>
    <cellStyle name="40% - 강조색5 75" xfId="3086"/>
    <cellStyle name="40% - 강조색5 75 2" xfId="3533"/>
    <cellStyle name="40% - 강조색5 75 3" xfId="4160"/>
    <cellStyle name="40% - 강조색5 75 4" xfId="4647"/>
    <cellStyle name="40% - 강조색5 76" xfId="3106"/>
    <cellStyle name="40% - 강조색5 76 2" xfId="3553"/>
    <cellStyle name="40% - 강조색5 76 3" xfId="4180"/>
    <cellStyle name="40% - 강조색5 76 4" xfId="4667"/>
    <cellStyle name="40% - 강조색5 77" xfId="3127"/>
    <cellStyle name="40% - 강조색5 77 2" xfId="3574"/>
    <cellStyle name="40% - 강조색5 77 3" xfId="4201"/>
    <cellStyle name="40% - 강조색5 77 4" xfId="4688"/>
    <cellStyle name="40% - 강조색5 78" xfId="3148"/>
    <cellStyle name="40% - 강조색5 78 2" xfId="3595"/>
    <cellStyle name="40% - 강조색5 78 3" xfId="4222"/>
    <cellStyle name="40% - 강조색5 78 4" xfId="4709"/>
    <cellStyle name="40% - 강조색5 79" xfId="3169"/>
    <cellStyle name="40% - 강조색5 79 2" xfId="3616"/>
    <cellStyle name="40% - 강조색5 79 3" xfId="4243"/>
    <cellStyle name="40% - 강조색5 79 4" xfId="4730"/>
    <cellStyle name="40% - 강조색5 8" xfId="692"/>
    <cellStyle name="40% - 강조색5 80" xfId="3186"/>
    <cellStyle name="40% - 강조색5 80 2" xfId="4263"/>
    <cellStyle name="40% - 강조색5 81" xfId="3636"/>
    <cellStyle name="40% - 강조색5 82" xfId="3656"/>
    <cellStyle name="40% - 강조색5 83" xfId="3676"/>
    <cellStyle name="40% - 강조색5 84" xfId="3696"/>
    <cellStyle name="40% - 강조색5 85" xfId="3716"/>
    <cellStyle name="40% - 강조색5 86" xfId="3736"/>
    <cellStyle name="40% - 강조색5 87" xfId="3756"/>
    <cellStyle name="40% - 강조색5 88" xfId="3776"/>
    <cellStyle name="40% - 강조색5 89" xfId="3796"/>
    <cellStyle name="40% - 강조색5 9" xfId="693"/>
    <cellStyle name="40% - 강조색5 90" xfId="3813"/>
    <cellStyle name="40% - 강조색5 91" xfId="4283"/>
    <cellStyle name="40% - 강조색5 92" xfId="4300"/>
    <cellStyle name="40% - 강조색5 93" xfId="4750"/>
    <cellStyle name="40% - 강조색6" xfId="2678" builtinId="51" customBuiltin="1"/>
    <cellStyle name="40% - 강조색6 10" xfId="694"/>
    <cellStyle name="40% - 강조색6 11" xfId="695"/>
    <cellStyle name="40% - 강조색6 12" xfId="696"/>
    <cellStyle name="40% - 강조색6 13" xfId="697"/>
    <cellStyle name="40% - 강조색6 14" xfId="698"/>
    <cellStyle name="40% - 강조색6 15" xfId="699"/>
    <cellStyle name="40% - 강조색6 16" xfId="700"/>
    <cellStyle name="40% - 강조색6 17" xfId="701"/>
    <cellStyle name="40% - 강조색6 18" xfId="702"/>
    <cellStyle name="40% - 강조색6 19" xfId="703"/>
    <cellStyle name="40% - 강조색6 2" xfId="704"/>
    <cellStyle name="40% - 강조색6 20" xfId="705"/>
    <cellStyle name="40% - 강조색6 21" xfId="706"/>
    <cellStyle name="40% - 강조색6 22" xfId="707"/>
    <cellStyle name="40% - 강조색6 23" xfId="708"/>
    <cellStyle name="40% - 강조색6 24" xfId="709"/>
    <cellStyle name="40% - 강조색6 25" xfId="710"/>
    <cellStyle name="40% - 강조색6 26" xfId="711"/>
    <cellStyle name="40% - 강조색6 27" xfId="712"/>
    <cellStyle name="40% - 강조색6 28" xfId="713"/>
    <cellStyle name="40% - 강조색6 29" xfId="714"/>
    <cellStyle name="40% - 강조색6 3" xfId="715"/>
    <cellStyle name="40% - 강조색6 30" xfId="716"/>
    <cellStyle name="40% - 강조색6 31" xfId="717"/>
    <cellStyle name="40% - 강조색6 32" xfId="718"/>
    <cellStyle name="40% - 강조색6 33" xfId="719"/>
    <cellStyle name="40% - 강조색6 34" xfId="720"/>
    <cellStyle name="40% - 강조색6 35" xfId="721"/>
    <cellStyle name="40% - 강조색6 36" xfId="722"/>
    <cellStyle name="40% - 강조색6 37" xfId="723"/>
    <cellStyle name="40% - 강조색6 38" xfId="724"/>
    <cellStyle name="40% - 강조색6 39" xfId="725"/>
    <cellStyle name="40% - 강조색6 4" xfId="726"/>
    <cellStyle name="40% - 강조색6 40" xfId="727"/>
    <cellStyle name="40% - 강조색6 41" xfId="728"/>
    <cellStyle name="40% - 강조색6 42" xfId="729"/>
    <cellStyle name="40% - 강조색6 43" xfId="730"/>
    <cellStyle name="40% - 강조색6 44" xfId="731"/>
    <cellStyle name="40% - 강조색6 45" xfId="732"/>
    <cellStyle name="40% - 강조색6 46" xfId="733"/>
    <cellStyle name="40% - 강조색6 47" xfId="734"/>
    <cellStyle name="40% - 강조색6 48" xfId="735"/>
    <cellStyle name="40% - 강조색6 49" xfId="736"/>
    <cellStyle name="40% - 강조색6 5" xfId="737"/>
    <cellStyle name="40% - 강조색6 50" xfId="738"/>
    <cellStyle name="40% - 강조색6 51" xfId="739"/>
    <cellStyle name="40% - 강조색6 52" xfId="740"/>
    <cellStyle name="40% - 강조색6 53" xfId="741"/>
    <cellStyle name="40% - 강조색6 54" xfId="742"/>
    <cellStyle name="40% - 강조색6 55" xfId="743"/>
    <cellStyle name="40% - 강조색6 56" xfId="744"/>
    <cellStyle name="40% - 강조색6 57" xfId="745"/>
    <cellStyle name="40% - 강조색6 58" xfId="746"/>
    <cellStyle name="40% - 강조색6 59" xfId="747"/>
    <cellStyle name="40% - 강조색6 6" xfId="748"/>
    <cellStyle name="40% - 강조색6 60" xfId="749"/>
    <cellStyle name="40% - 강조색6 61" xfId="750"/>
    <cellStyle name="40% - 강조색6 62" xfId="751"/>
    <cellStyle name="40% - 강조색6 63" xfId="752"/>
    <cellStyle name="40% - 강조색6 64" xfId="753"/>
    <cellStyle name="40% - 강조색6 65" xfId="2695"/>
    <cellStyle name="40% - 강조색6 65 2" xfId="2932"/>
    <cellStyle name="40% - 강조색6 65 2 2" xfId="3380"/>
    <cellStyle name="40% - 강조색6 65 2 3" xfId="4007"/>
    <cellStyle name="40% - 강조색6 65 2 4" xfId="4494"/>
    <cellStyle name="40% - 강조색6 65 3" xfId="3204"/>
    <cellStyle name="40% - 강조색6 65 4" xfId="3831"/>
    <cellStyle name="40% - 강조색6 65 5" xfId="4318"/>
    <cellStyle name="40% - 강조색6 66" xfId="2724"/>
    <cellStyle name="40% - 강조색6 66 2" xfId="2954"/>
    <cellStyle name="40% - 강조색6 66 2 2" xfId="3401"/>
    <cellStyle name="40% - 강조색6 66 2 3" xfId="4028"/>
    <cellStyle name="40% - 강조색6 66 2 4" xfId="4515"/>
    <cellStyle name="40% - 강조색6 66 3" xfId="3225"/>
    <cellStyle name="40% - 강조색6 66 4" xfId="3852"/>
    <cellStyle name="40% - 강조색6 66 5" xfId="4339"/>
    <cellStyle name="40% - 강조색6 67" xfId="2738"/>
    <cellStyle name="40% - 강조색6 67 2" xfId="2968"/>
    <cellStyle name="40% - 강조색6 67 2 2" xfId="3415"/>
    <cellStyle name="40% - 강조색6 67 2 3" xfId="4042"/>
    <cellStyle name="40% - 강조색6 67 2 4" xfId="4529"/>
    <cellStyle name="40% - 강조색6 67 3" xfId="3239"/>
    <cellStyle name="40% - 강조색6 67 4" xfId="3866"/>
    <cellStyle name="40% - 강조색6 67 5" xfId="4353"/>
    <cellStyle name="40% - 강조색6 68" xfId="2752"/>
    <cellStyle name="40% - 강조색6 68 2" xfId="2982"/>
    <cellStyle name="40% - 강조색6 68 2 2" xfId="3429"/>
    <cellStyle name="40% - 강조색6 68 2 3" xfId="4056"/>
    <cellStyle name="40% - 강조색6 68 2 4" xfId="4543"/>
    <cellStyle name="40% - 강조색6 68 3" xfId="3253"/>
    <cellStyle name="40% - 강조색6 68 4" xfId="3880"/>
    <cellStyle name="40% - 강조색6 68 5" xfId="4367"/>
    <cellStyle name="40% - 강조색6 69" xfId="2767"/>
    <cellStyle name="40% - 강조색6 69 2" xfId="2997"/>
    <cellStyle name="40% - 강조색6 69 2 2" xfId="3444"/>
    <cellStyle name="40% - 강조색6 69 2 3" xfId="4071"/>
    <cellStyle name="40% - 강조색6 69 2 4" xfId="4558"/>
    <cellStyle name="40% - 강조색6 69 3" xfId="3268"/>
    <cellStyle name="40% - 강조색6 69 4" xfId="3895"/>
    <cellStyle name="40% - 강조색6 69 5" xfId="4382"/>
    <cellStyle name="40% - 강조색6 7" xfId="754"/>
    <cellStyle name="40% - 강조색6 70" xfId="2782"/>
    <cellStyle name="40% - 강조색6 70 2" xfId="3012"/>
    <cellStyle name="40% - 강조색6 70 2 2" xfId="3459"/>
    <cellStyle name="40% - 강조색6 70 2 3" xfId="4086"/>
    <cellStyle name="40% - 강조색6 70 2 4" xfId="4573"/>
    <cellStyle name="40% - 강조색6 70 3" xfId="3283"/>
    <cellStyle name="40% - 강조색6 70 4" xfId="3910"/>
    <cellStyle name="40% - 강조색6 70 5" xfId="4397"/>
    <cellStyle name="40% - 강조색6 71" xfId="2796"/>
    <cellStyle name="40% - 강조색6 71 2" xfId="3026"/>
    <cellStyle name="40% - 강조색6 71 2 2" xfId="3473"/>
    <cellStyle name="40% - 강조색6 71 2 3" xfId="4100"/>
    <cellStyle name="40% - 강조색6 71 2 4" xfId="4587"/>
    <cellStyle name="40% - 강조색6 71 3" xfId="3297"/>
    <cellStyle name="40% - 강조색6 71 4" xfId="3924"/>
    <cellStyle name="40% - 강조색6 71 5" xfId="4411"/>
    <cellStyle name="40% - 강조색6 72" xfId="2819"/>
    <cellStyle name="40% - 강조색6 72 2" xfId="3048"/>
    <cellStyle name="40% - 강조색6 72 2 2" xfId="3495"/>
    <cellStyle name="40% - 강조색6 72 2 3" xfId="4122"/>
    <cellStyle name="40% - 강조색6 72 2 4" xfId="4609"/>
    <cellStyle name="40% - 강조색6 72 3" xfId="3319"/>
    <cellStyle name="40% - 강조색6 72 4" xfId="3946"/>
    <cellStyle name="40% - 강조색6 72 5" xfId="4433"/>
    <cellStyle name="40% - 강조색6 73" xfId="2839"/>
    <cellStyle name="40% - 강조색6 73 2" xfId="3068"/>
    <cellStyle name="40% - 강조색6 73 2 2" xfId="3515"/>
    <cellStyle name="40% - 강조색6 73 2 3" xfId="4142"/>
    <cellStyle name="40% - 강조색6 73 2 4" xfId="4629"/>
    <cellStyle name="40% - 강조색6 73 3" xfId="3339"/>
    <cellStyle name="40% - 강조색6 73 4" xfId="3966"/>
    <cellStyle name="40% - 강조색6 73 5" xfId="4453"/>
    <cellStyle name="40% - 강조색6 74" xfId="2860"/>
    <cellStyle name="40% - 강조색6 74 2" xfId="3360"/>
    <cellStyle name="40% - 강조색6 74 3" xfId="3987"/>
    <cellStyle name="40% - 강조색6 74 4" xfId="4474"/>
    <cellStyle name="40% - 강조색6 75" xfId="3089"/>
    <cellStyle name="40% - 강조색6 75 2" xfId="3536"/>
    <cellStyle name="40% - 강조색6 75 3" xfId="4163"/>
    <cellStyle name="40% - 강조색6 75 4" xfId="4650"/>
    <cellStyle name="40% - 강조색6 76" xfId="3109"/>
    <cellStyle name="40% - 강조색6 76 2" xfId="3556"/>
    <cellStyle name="40% - 강조색6 76 3" xfId="4183"/>
    <cellStyle name="40% - 강조색6 76 4" xfId="4670"/>
    <cellStyle name="40% - 강조색6 77" xfId="3130"/>
    <cellStyle name="40% - 강조색6 77 2" xfId="3577"/>
    <cellStyle name="40% - 강조색6 77 3" xfId="4204"/>
    <cellStyle name="40% - 강조색6 77 4" xfId="4691"/>
    <cellStyle name="40% - 강조색6 78" xfId="3151"/>
    <cellStyle name="40% - 강조색6 78 2" xfId="3598"/>
    <cellStyle name="40% - 강조색6 78 3" xfId="4225"/>
    <cellStyle name="40% - 강조색6 78 4" xfId="4712"/>
    <cellStyle name="40% - 강조색6 79" xfId="3172"/>
    <cellStyle name="40% - 강조색6 79 2" xfId="3619"/>
    <cellStyle name="40% - 강조색6 79 3" xfId="4246"/>
    <cellStyle name="40% - 강조색6 79 4" xfId="4733"/>
    <cellStyle name="40% - 강조색6 8" xfId="755"/>
    <cellStyle name="40% - 강조색6 80" xfId="3188"/>
    <cellStyle name="40% - 강조색6 80 2" xfId="4266"/>
    <cellStyle name="40% - 강조색6 81" xfId="3639"/>
    <cellStyle name="40% - 강조색6 82" xfId="3659"/>
    <cellStyle name="40% - 강조색6 83" xfId="3679"/>
    <cellStyle name="40% - 강조색6 84" xfId="3699"/>
    <cellStyle name="40% - 강조색6 85" xfId="3719"/>
    <cellStyle name="40% - 강조색6 86" xfId="3739"/>
    <cellStyle name="40% - 강조색6 87" xfId="3759"/>
    <cellStyle name="40% - 강조색6 88" xfId="3779"/>
    <cellStyle name="40% - 강조색6 89" xfId="3799"/>
    <cellStyle name="40% - 강조색6 9" xfId="756"/>
    <cellStyle name="40% - 강조색6 90" xfId="3815"/>
    <cellStyle name="40% - 강조색6 91" xfId="4286"/>
    <cellStyle name="40% - 강조색6 92" xfId="4302"/>
    <cellStyle name="40% - 강조색6 93" xfId="4753"/>
    <cellStyle name="60% - 강조색1" xfId="2659" builtinId="32" customBuiltin="1"/>
    <cellStyle name="60% - 강조색1 10" xfId="757"/>
    <cellStyle name="60% - 강조색1 11" xfId="758"/>
    <cellStyle name="60% - 강조색1 12" xfId="759"/>
    <cellStyle name="60% - 강조색1 13" xfId="760"/>
    <cellStyle name="60% - 강조색1 14" xfId="761"/>
    <cellStyle name="60% - 강조색1 15" xfId="762"/>
    <cellStyle name="60% - 강조색1 16" xfId="763"/>
    <cellStyle name="60% - 강조색1 17" xfId="764"/>
    <cellStyle name="60% - 강조색1 18" xfId="765"/>
    <cellStyle name="60% - 강조색1 19" xfId="766"/>
    <cellStyle name="60% - 강조색1 2" xfId="767"/>
    <cellStyle name="60% - 강조색1 20" xfId="768"/>
    <cellStyle name="60% - 강조색1 21" xfId="769"/>
    <cellStyle name="60% - 강조색1 22" xfId="770"/>
    <cellStyle name="60% - 강조색1 23" xfId="771"/>
    <cellStyle name="60% - 강조색1 24" xfId="772"/>
    <cellStyle name="60% - 강조색1 25" xfId="773"/>
    <cellStyle name="60% - 강조색1 26" xfId="774"/>
    <cellStyle name="60% - 강조색1 27" xfId="775"/>
    <cellStyle name="60% - 강조색1 28" xfId="776"/>
    <cellStyle name="60% - 강조색1 29" xfId="777"/>
    <cellStyle name="60% - 강조색1 3" xfId="778"/>
    <cellStyle name="60% - 강조색1 30" xfId="779"/>
    <cellStyle name="60% - 강조색1 31" xfId="780"/>
    <cellStyle name="60% - 강조색1 32" xfId="781"/>
    <cellStyle name="60% - 강조색1 33" xfId="782"/>
    <cellStyle name="60% - 강조색1 34" xfId="783"/>
    <cellStyle name="60% - 강조색1 35" xfId="784"/>
    <cellStyle name="60% - 강조색1 36" xfId="785"/>
    <cellStyle name="60% - 강조색1 37" xfId="786"/>
    <cellStyle name="60% - 강조색1 38" xfId="787"/>
    <cellStyle name="60% - 강조색1 39" xfId="788"/>
    <cellStyle name="60% - 강조색1 4" xfId="789"/>
    <cellStyle name="60% - 강조색1 40" xfId="790"/>
    <cellStyle name="60% - 강조색1 41" xfId="791"/>
    <cellStyle name="60% - 강조색1 42" xfId="792"/>
    <cellStyle name="60% - 강조색1 43" xfId="793"/>
    <cellStyle name="60% - 강조색1 44" xfId="794"/>
    <cellStyle name="60% - 강조색1 45" xfId="795"/>
    <cellStyle name="60% - 강조색1 46" xfId="796"/>
    <cellStyle name="60% - 강조색1 47" xfId="797"/>
    <cellStyle name="60% - 강조색1 48" xfId="798"/>
    <cellStyle name="60% - 강조색1 49" xfId="799"/>
    <cellStyle name="60% - 강조색1 5" xfId="800"/>
    <cellStyle name="60% - 강조색1 50" xfId="801"/>
    <cellStyle name="60% - 강조색1 51" xfId="802"/>
    <cellStyle name="60% - 강조색1 52" xfId="803"/>
    <cellStyle name="60% - 강조색1 53" xfId="804"/>
    <cellStyle name="60% - 강조색1 54" xfId="805"/>
    <cellStyle name="60% - 강조색1 55" xfId="806"/>
    <cellStyle name="60% - 강조색1 56" xfId="807"/>
    <cellStyle name="60% - 강조색1 57" xfId="808"/>
    <cellStyle name="60% - 강조색1 58" xfId="809"/>
    <cellStyle name="60% - 강조색1 59" xfId="810"/>
    <cellStyle name="60% - 강조색1 6" xfId="811"/>
    <cellStyle name="60% - 강조색1 60" xfId="812"/>
    <cellStyle name="60% - 강조색1 61" xfId="813"/>
    <cellStyle name="60% - 강조색1 62" xfId="814"/>
    <cellStyle name="60% - 강조색1 63" xfId="815"/>
    <cellStyle name="60% - 강조색1 64" xfId="816"/>
    <cellStyle name="60% - 강조색1 65" xfId="2805"/>
    <cellStyle name="60% - 강조색1 65 2" xfId="3034"/>
    <cellStyle name="60% - 강조색1 65 2 2" xfId="3481"/>
    <cellStyle name="60% - 강조색1 65 2 3" xfId="4108"/>
    <cellStyle name="60% - 강조색1 65 2 4" xfId="4595"/>
    <cellStyle name="60% - 강조색1 65 3" xfId="3305"/>
    <cellStyle name="60% - 강조색1 65 4" xfId="3932"/>
    <cellStyle name="60% - 강조색1 65 5" xfId="4419"/>
    <cellStyle name="60% - 강조색1 66" xfId="2825"/>
    <cellStyle name="60% - 강조색1 66 2" xfId="3054"/>
    <cellStyle name="60% - 강조색1 66 2 2" xfId="3501"/>
    <cellStyle name="60% - 강조색1 66 2 3" xfId="4128"/>
    <cellStyle name="60% - 강조색1 66 2 4" xfId="4615"/>
    <cellStyle name="60% - 강조색1 66 3" xfId="3325"/>
    <cellStyle name="60% - 강조색1 66 4" xfId="3952"/>
    <cellStyle name="60% - 강조색1 66 5" xfId="4439"/>
    <cellStyle name="60% - 강조색1 67" xfId="2846"/>
    <cellStyle name="60% - 강조색1 67 2" xfId="3346"/>
    <cellStyle name="60% - 강조색1 67 3" xfId="3973"/>
    <cellStyle name="60% - 강조색1 67 4" xfId="4460"/>
    <cellStyle name="60% - 강조색1 68" xfId="2911"/>
    <cellStyle name="60% - 강조색1 69" xfId="3075"/>
    <cellStyle name="60% - 강조색1 69 2" xfId="3522"/>
    <cellStyle name="60% - 강조색1 69 3" xfId="4149"/>
    <cellStyle name="60% - 강조색1 69 4" xfId="4636"/>
    <cellStyle name="60% - 강조색1 7" xfId="817"/>
    <cellStyle name="60% - 강조색1 70" xfId="3095"/>
    <cellStyle name="60% - 강조색1 70 2" xfId="3542"/>
    <cellStyle name="60% - 강조색1 70 3" xfId="4169"/>
    <cellStyle name="60% - 강조색1 70 4" xfId="4656"/>
    <cellStyle name="60% - 강조색1 71" xfId="3116"/>
    <cellStyle name="60% - 강조색1 71 2" xfId="3563"/>
    <cellStyle name="60% - 강조색1 71 3" xfId="4190"/>
    <cellStyle name="60% - 강조색1 71 4" xfId="4677"/>
    <cellStyle name="60% - 강조색1 72" xfId="3137"/>
    <cellStyle name="60% - 강조색1 72 2" xfId="3584"/>
    <cellStyle name="60% - 강조색1 72 3" xfId="4211"/>
    <cellStyle name="60% - 강조색1 72 4" xfId="4698"/>
    <cellStyle name="60% - 강조색1 73" xfId="3158"/>
    <cellStyle name="60% - 강조색1 73 2" xfId="3605"/>
    <cellStyle name="60% - 강조색1 73 3" xfId="4232"/>
    <cellStyle name="60% - 강조색1 73 4" xfId="4719"/>
    <cellStyle name="60% - 강조색1 74" xfId="3625"/>
    <cellStyle name="60% - 강조색1 74 2" xfId="4252"/>
    <cellStyle name="60% - 강조색1 75" xfId="3645"/>
    <cellStyle name="60% - 강조색1 76" xfId="3665"/>
    <cellStyle name="60% - 강조색1 77" xfId="3685"/>
    <cellStyle name="60% - 강조색1 78" xfId="3705"/>
    <cellStyle name="60% - 강조색1 79" xfId="3725"/>
    <cellStyle name="60% - 강조색1 8" xfId="818"/>
    <cellStyle name="60% - 강조색1 80" xfId="3745"/>
    <cellStyle name="60% - 강조색1 81" xfId="3765"/>
    <cellStyle name="60% - 강조색1 82" xfId="3785"/>
    <cellStyle name="60% - 강조색1 83" xfId="4272"/>
    <cellStyle name="60% - 강조색1 84" xfId="4739"/>
    <cellStyle name="60% - 강조색1 9" xfId="819"/>
    <cellStyle name="60% - 강조색2" xfId="2663" builtinId="36" customBuiltin="1"/>
    <cellStyle name="60% - 강조색2 10" xfId="820"/>
    <cellStyle name="60% - 강조색2 11" xfId="821"/>
    <cellStyle name="60% - 강조색2 12" xfId="822"/>
    <cellStyle name="60% - 강조색2 13" xfId="823"/>
    <cellStyle name="60% - 강조색2 14" xfId="824"/>
    <cellStyle name="60% - 강조색2 15" xfId="825"/>
    <cellStyle name="60% - 강조색2 16" xfId="826"/>
    <cellStyle name="60% - 강조색2 17" xfId="827"/>
    <cellStyle name="60% - 강조색2 18" xfId="828"/>
    <cellStyle name="60% - 강조색2 19" xfId="829"/>
    <cellStyle name="60% - 강조색2 2" xfId="830"/>
    <cellStyle name="60% - 강조색2 20" xfId="831"/>
    <cellStyle name="60% - 강조색2 21" xfId="832"/>
    <cellStyle name="60% - 강조색2 22" xfId="833"/>
    <cellStyle name="60% - 강조색2 23" xfId="834"/>
    <cellStyle name="60% - 강조색2 24" xfId="835"/>
    <cellStyle name="60% - 강조색2 25" xfId="836"/>
    <cellStyle name="60% - 강조색2 26" xfId="837"/>
    <cellStyle name="60% - 강조색2 27" xfId="838"/>
    <cellStyle name="60% - 강조색2 28" xfId="839"/>
    <cellStyle name="60% - 강조색2 29" xfId="840"/>
    <cellStyle name="60% - 강조색2 3" xfId="841"/>
    <cellStyle name="60% - 강조색2 30" xfId="842"/>
    <cellStyle name="60% - 강조색2 31" xfId="843"/>
    <cellStyle name="60% - 강조색2 32" xfId="844"/>
    <cellStyle name="60% - 강조색2 33" xfId="845"/>
    <cellStyle name="60% - 강조색2 34" xfId="846"/>
    <cellStyle name="60% - 강조색2 35" xfId="847"/>
    <cellStyle name="60% - 강조색2 36" xfId="848"/>
    <cellStyle name="60% - 강조색2 37" xfId="849"/>
    <cellStyle name="60% - 강조색2 38" xfId="850"/>
    <cellStyle name="60% - 강조색2 39" xfId="851"/>
    <cellStyle name="60% - 강조색2 4" xfId="852"/>
    <cellStyle name="60% - 강조색2 40" xfId="853"/>
    <cellStyle name="60% - 강조색2 41" xfId="854"/>
    <cellStyle name="60% - 강조색2 42" xfId="855"/>
    <cellStyle name="60% - 강조색2 43" xfId="856"/>
    <cellStyle name="60% - 강조색2 44" xfId="857"/>
    <cellStyle name="60% - 강조색2 45" xfId="858"/>
    <cellStyle name="60% - 강조색2 46" xfId="859"/>
    <cellStyle name="60% - 강조색2 47" xfId="860"/>
    <cellStyle name="60% - 강조색2 48" xfId="861"/>
    <cellStyle name="60% - 강조색2 49" xfId="862"/>
    <cellStyle name="60% - 강조색2 5" xfId="863"/>
    <cellStyle name="60% - 강조색2 50" xfId="864"/>
    <cellStyle name="60% - 강조색2 51" xfId="865"/>
    <cellStyle name="60% - 강조색2 52" xfId="866"/>
    <cellStyle name="60% - 강조색2 53" xfId="867"/>
    <cellStyle name="60% - 강조색2 54" xfId="868"/>
    <cellStyle name="60% - 강조색2 55" xfId="869"/>
    <cellStyle name="60% - 강조색2 56" xfId="870"/>
    <cellStyle name="60% - 강조색2 57" xfId="871"/>
    <cellStyle name="60% - 강조색2 58" xfId="872"/>
    <cellStyle name="60% - 강조색2 59" xfId="873"/>
    <cellStyle name="60% - 강조색2 6" xfId="874"/>
    <cellStyle name="60% - 강조색2 60" xfId="875"/>
    <cellStyle name="60% - 강조색2 61" xfId="876"/>
    <cellStyle name="60% - 강조색2 62" xfId="877"/>
    <cellStyle name="60% - 강조색2 63" xfId="878"/>
    <cellStyle name="60% - 강조색2 64" xfId="879"/>
    <cellStyle name="60% - 강조색2 65" xfId="2808"/>
    <cellStyle name="60% - 강조색2 65 2" xfId="3037"/>
    <cellStyle name="60% - 강조색2 65 2 2" xfId="3484"/>
    <cellStyle name="60% - 강조색2 65 2 3" xfId="4111"/>
    <cellStyle name="60% - 강조색2 65 2 4" xfId="4598"/>
    <cellStyle name="60% - 강조색2 65 3" xfId="3308"/>
    <cellStyle name="60% - 강조색2 65 4" xfId="3935"/>
    <cellStyle name="60% - 강조색2 65 5" xfId="4422"/>
    <cellStyle name="60% - 강조색2 66" xfId="2828"/>
    <cellStyle name="60% - 강조색2 66 2" xfId="3057"/>
    <cellStyle name="60% - 강조색2 66 2 2" xfId="3504"/>
    <cellStyle name="60% - 강조색2 66 2 3" xfId="4131"/>
    <cellStyle name="60% - 강조색2 66 2 4" xfId="4618"/>
    <cellStyle name="60% - 강조색2 66 3" xfId="3328"/>
    <cellStyle name="60% - 강조색2 66 4" xfId="3955"/>
    <cellStyle name="60% - 강조색2 66 5" xfId="4442"/>
    <cellStyle name="60% - 강조색2 67" xfId="2849"/>
    <cellStyle name="60% - 강조색2 67 2" xfId="3349"/>
    <cellStyle name="60% - 강조색2 67 3" xfId="3976"/>
    <cellStyle name="60% - 강조색2 67 4" xfId="4463"/>
    <cellStyle name="60% - 강조색2 68" xfId="2912"/>
    <cellStyle name="60% - 강조색2 69" xfId="3078"/>
    <cellStyle name="60% - 강조색2 69 2" xfId="3525"/>
    <cellStyle name="60% - 강조색2 69 3" xfId="4152"/>
    <cellStyle name="60% - 강조색2 69 4" xfId="4639"/>
    <cellStyle name="60% - 강조색2 7" xfId="880"/>
    <cellStyle name="60% - 강조색2 70" xfId="3098"/>
    <cellStyle name="60% - 강조색2 70 2" xfId="3545"/>
    <cellStyle name="60% - 강조색2 70 3" xfId="4172"/>
    <cellStyle name="60% - 강조색2 70 4" xfId="4659"/>
    <cellStyle name="60% - 강조색2 71" xfId="3119"/>
    <cellStyle name="60% - 강조색2 71 2" xfId="3566"/>
    <cellStyle name="60% - 강조색2 71 3" xfId="4193"/>
    <cellStyle name="60% - 강조색2 71 4" xfId="4680"/>
    <cellStyle name="60% - 강조색2 72" xfId="3140"/>
    <cellStyle name="60% - 강조색2 72 2" xfId="3587"/>
    <cellStyle name="60% - 강조색2 72 3" xfId="4214"/>
    <cellStyle name="60% - 강조색2 72 4" xfId="4701"/>
    <cellStyle name="60% - 강조색2 73" xfId="3161"/>
    <cellStyle name="60% - 강조색2 73 2" xfId="3608"/>
    <cellStyle name="60% - 강조색2 73 3" xfId="4235"/>
    <cellStyle name="60% - 강조색2 73 4" xfId="4722"/>
    <cellStyle name="60% - 강조색2 74" xfId="3628"/>
    <cellStyle name="60% - 강조색2 74 2" xfId="4255"/>
    <cellStyle name="60% - 강조색2 75" xfId="3648"/>
    <cellStyle name="60% - 강조색2 76" xfId="3668"/>
    <cellStyle name="60% - 강조색2 77" xfId="3688"/>
    <cellStyle name="60% - 강조색2 78" xfId="3708"/>
    <cellStyle name="60% - 강조색2 79" xfId="3728"/>
    <cellStyle name="60% - 강조색2 8" xfId="881"/>
    <cellStyle name="60% - 강조색2 80" xfId="3748"/>
    <cellStyle name="60% - 강조색2 81" xfId="3768"/>
    <cellStyle name="60% - 강조색2 82" xfId="3788"/>
    <cellStyle name="60% - 강조색2 83" xfId="4275"/>
    <cellStyle name="60% - 강조색2 84" xfId="4742"/>
    <cellStyle name="60% - 강조색2 9" xfId="882"/>
    <cellStyle name="60% - 강조색3" xfId="2667" builtinId="40" customBuiltin="1"/>
    <cellStyle name="60% - 강조색3 10" xfId="883"/>
    <cellStyle name="60% - 강조색3 11" xfId="884"/>
    <cellStyle name="60% - 강조색3 12" xfId="885"/>
    <cellStyle name="60% - 강조색3 13" xfId="886"/>
    <cellStyle name="60% - 강조색3 14" xfId="887"/>
    <cellStyle name="60% - 강조색3 15" xfId="888"/>
    <cellStyle name="60% - 강조색3 16" xfId="889"/>
    <cellStyle name="60% - 강조색3 17" xfId="890"/>
    <cellStyle name="60% - 강조색3 18" xfId="891"/>
    <cellStyle name="60% - 강조색3 19" xfId="892"/>
    <cellStyle name="60% - 강조색3 2" xfId="893"/>
    <cellStyle name="60% - 강조색3 20" xfId="894"/>
    <cellStyle name="60% - 강조색3 21" xfId="895"/>
    <cellStyle name="60% - 강조색3 22" xfId="896"/>
    <cellStyle name="60% - 강조색3 23" xfId="897"/>
    <cellStyle name="60% - 강조색3 24" xfId="898"/>
    <cellStyle name="60% - 강조색3 25" xfId="899"/>
    <cellStyle name="60% - 강조색3 26" xfId="900"/>
    <cellStyle name="60% - 강조색3 27" xfId="901"/>
    <cellStyle name="60% - 강조색3 28" xfId="902"/>
    <cellStyle name="60% - 강조색3 29" xfId="903"/>
    <cellStyle name="60% - 강조색3 3" xfId="904"/>
    <cellStyle name="60% - 강조색3 30" xfId="905"/>
    <cellStyle name="60% - 강조색3 31" xfId="906"/>
    <cellStyle name="60% - 강조색3 32" xfId="907"/>
    <cellStyle name="60% - 강조색3 33" xfId="908"/>
    <cellStyle name="60% - 강조색3 34" xfId="909"/>
    <cellStyle name="60% - 강조색3 35" xfId="910"/>
    <cellStyle name="60% - 강조색3 36" xfId="911"/>
    <cellStyle name="60% - 강조색3 37" xfId="912"/>
    <cellStyle name="60% - 강조색3 38" xfId="913"/>
    <cellStyle name="60% - 강조색3 39" xfId="914"/>
    <cellStyle name="60% - 강조색3 4" xfId="915"/>
    <cellStyle name="60% - 강조색3 40" xfId="916"/>
    <cellStyle name="60% - 강조색3 41" xfId="917"/>
    <cellStyle name="60% - 강조색3 42" xfId="918"/>
    <cellStyle name="60% - 강조색3 43" xfId="919"/>
    <cellStyle name="60% - 강조색3 44" xfId="920"/>
    <cellStyle name="60% - 강조색3 45" xfId="921"/>
    <cellStyle name="60% - 강조색3 46" xfId="922"/>
    <cellStyle name="60% - 강조색3 47" xfId="923"/>
    <cellStyle name="60% - 강조색3 48" xfId="924"/>
    <cellStyle name="60% - 강조색3 49" xfId="925"/>
    <cellStyle name="60% - 강조색3 5" xfId="926"/>
    <cellStyle name="60% - 강조색3 50" xfId="927"/>
    <cellStyle name="60% - 강조색3 51" xfId="928"/>
    <cellStyle name="60% - 강조색3 52" xfId="929"/>
    <cellStyle name="60% - 강조색3 53" xfId="930"/>
    <cellStyle name="60% - 강조색3 54" xfId="931"/>
    <cellStyle name="60% - 강조색3 55" xfId="932"/>
    <cellStyle name="60% - 강조색3 56" xfId="933"/>
    <cellStyle name="60% - 강조색3 57" xfId="934"/>
    <cellStyle name="60% - 강조색3 58" xfId="935"/>
    <cellStyle name="60% - 강조색3 59" xfId="936"/>
    <cellStyle name="60% - 강조색3 6" xfId="937"/>
    <cellStyle name="60% - 강조색3 60" xfId="938"/>
    <cellStyle name="60% - 강조색3 61" xfId="939"/>
    <cellStyle name="60% - 강조색3 62" xfId="940"/>
    <cellStyle name="60% - 강조색3 63" xfId="941"/>
    <cellStyle name="60% - 강조색3 64" xfId="942"/>
    <cellStyle name="60% - 강조색3 65" xfId="2811"/>
    <cellStyle name="60% - 강조색3 65 2" xfId="3040"/>
    <cellStyle name="60% - 강조색3 65 2 2" xfId="3487"/>
    <cellStyle name="60% - 강조색3 65 2 3" xfId="4114"/>
    <cellStyle name="60% - 강조색3 65 2 4" xfId="4601"/>
    <cellStyle name="60% - 강조색3 65 3" xfId="3311"/>
    <cellStyle name="60% - 강조색3 65 4" xfId="3938"/>
    <cellStyle name="60% - 강조색3 65 5" xfId="4425"/>
    <cellStyle name="60% - 강조색3 66" xfId="2831"/>
    <cellStyle name="60% - 강조색3 66 2" xfId="3060"/>
    <cellStyle name="60% - 강조색3 66 2 2" xfId="3507"/>
    <cellStyle name="60% - 강조색3 66 2 3" xfId="4134"/>
    <cellStyle name="60% - 강조색3 66 2 4" xfId="4621"/>
    <cellStyle name="60% - 강조색3 66 3" xfId="3331"/>
    <cellStyle name="60% - 강조색3 66 4" xfId="3958"/>
    <cellStyle name="60% - 강조색3 66 5" xfId="4445"/>
    <cellStyle name="60% - 강조색3 67" xfId="2852"/>
    <cellStyle name="60% - 강조색3 67 2" xfId="3352"/>
    <cellStyle name="60% - 강조색3 67 3" xfId="3979"/>
    <cellStyle name="60% - 강조색3 67 4" xfId="4466"/>
    <cellStyle name="60% - 강조색3 68" xfId="2913"/>
    <cellStyle name="60% - 강조색3 69" xfId="3081"/>
    <cellStyle name="60% - 강조색3 69 2" xfId="3528"/>
    <cellStyle name="60% - 강조색3 69 3" xfId="4155"/>
    <cellStyle name="60% - 강조색3 69 4" xfId="4642"/>
    <cellStyle name="60% - 강조색3 7" xfId="943"/>
    <cellStyle name="60% - 강조색3 70" xfId="3101"/>
    <cellStyle name="60% - 강조색3 70 2" xfId="3548"/>
    <cellStyle name="60% - 강조색3 70 3" xfId="4175"/>
    <cellStyle name="60% - 강조색3 70 4" xfId="4662"/>
    <cellStyle name="60% - 강조색3 71" xfId="3122"/>
    <cellStyle name="60% - 강조색3 71 2" xfId="3569"/>
    <cellStyle name="60% - 강조색3 71 3" xfId="4196"/>
    <cellStyle name="60% - 강조색3 71 4" xfId="4683"/>
    <cellStyle name="60% - 강조색3 72" xfId="3143"/>
    <cellStyle name="60% - 강조색3 72 2" xfId="3590"/>
    <cellStyle name="60% - 강조색3 72 3" xfId="4217"/>
    <cellStyle name="60% - 강조색3 72 4" xfId="4704"/>
    <cellStyle name="60% - 강조색3 73" xfId="3164"/>
    <cellStyle name="60% - 강조색3 73 2" xfId="3611"/>
    <cellStyle name="60% - 강조색3 73 3" xfId="4238"/>
    <cellStyle name="60% - 강조색3 73 4" xfId="4725"/>
    <cellStyle name="60% - 강조색3 74" xfId="3631"/>
    <cellStyle name="60% - 강조색3 74 2" xfId="4258"/>
    <cellStyle name="60% - 강조색3 75" xfId="3651"/>
    <cellStyle name="60% - 강조색3 76" xfId="3671"/>
    <cellStyle name="60% - 강조색3 77" xfId="3691"/>
    <cellStyle name="60% - 강조색3 78" xfId="3711"/>
    <cellStyle name="60% - 강조색3 79" xfId="3731"/>
    <cellStyle name="60% - 강조색3 8" xfId="944"/>
    <cellStyle name="60% - 강조색3 80" xfId="3751"/>
    <cellStyle name="60% - 강조색3 81" xfId="3771"/>
    <cellStyle name="60% - 강조색3 82" xfId="3791"/>
    <cellStyle name="60% - 강조색3 83" xfId="4278"/>
    <cellStyle name="60% - 강조색3 84" xfId="4745"/>
    <cellStyle name="60% - 강조색3 9" xfId="945"/>
    <cellStyle name="60% - 강조색4" xfId="2671" builtinId="44" customBuiltin="1"/>
    <cellStyle name="60% - 강조색4 10" xfId="946"/>
    <cellStyle name="60% - 강조색4 11" xfId="947"/>
    <cellStyle name="60% - 강조색4 12" xfId="948"/>
    <cellStyle name="60% - 강조색4 13" xfId="949"/>
    <cellStyle name="60% - 강조색4 14" xfId="950"/>
    <cellStyle name="60% - 강조색4 15" xfId="951"/>
    <cellStyle name="60% - 강조색4 16" xfId="952"/>
    <cellStyle name="60% - 강조색4 17" xfId="953"/>
    <cellStyle name="60% - 강조색4 18" xfId="954"/>
    <cellStyle name="60% - 강조색4 19" xfId="955"/>
    <cellStyle name="60% - 강조색4 2" xfId="956"/>
    <cellStyle name="60% - 강조색4 20" xfId="957"/>
    <cellStyle name="60% - 강조색4 21" xfId="958"/>
    <cellStyle name="60% - 강조색4 22" xfId="959"/>
    <cellStyle name="60% - 강조색4 23" xfId="960"/>
    <cellStyle name="60% - 강조색4 24" xfId="961"/>
    <cellStyle name="60% - 강조색4 25" xfId="962"/>
    <cellStyle name="60% - 강조색4 26" xfId="963"/>
    <cellStyle name="60% - 강조색4 27" xfId="964"/>
    <cellStyle name="60% - 강조색4 28" xfId="965"/>
    <cellStyle name="60% - 강조색4 29" xfId="966"/>
    <cellStyle name="60% - 강조색4 3" xfId="967"/>
    <cellStyle name="60% - 강조색4 30" xfId="968"/>
    <cellStyle name="60% - 강조색4 31" xfId="969"/>
    <cellStyle name="60% - 강조색4 32" xfId="970"/>
    <cellStyle name="60% - 강조색4 33" xfId="971"/>
    <cellStyle name="60% - 강조색4 34" xfId="972"/>
    <cellStyle name="60% - 강조색4 35" xfId="973"/>
    <cellStyle name="60% - 강조색4 36" xfId="974"/>
    <cellStyle name="60% - 강조색4 37" xfId="975"/>
    <cellStyle name="60% - 강조색4 38" xfId="976"/>
    <cellStyle name="60% - 강조색4 39" xfId="977"/>
    <cellStyle name="60% - 강조색4 4" xfId="978"/>
    <cellStyle name="60% - 강조색4 40" xfId="979"/>
    <cellStyle name="60% - 강조색4 41" xfId="980"/>
    <cellStyle name="60% - 강조색4 42" xfId="981"/>
    <cellStyle name="60% - 강조색4 43" xfId="982"/>
    <cellStyle name="60% - 강조색4 44" xfId="983"/>
    <cellStyle name="60% - 강조색4 45" xfId="984"/>
    <cellStyle name="60% - 강조색4 46" xfId="985"/>
    <cellStyle name="60% - 강조색4 47" xfId="986"/>
    <cellStyle name="60% - 강조색4 48" xfId="987"/>
    <cellStyle name="60% - 강조색4 49" xfId="988"/>
    <cellStyle name="60% - 강조색4 5" xfId="989"/>
    <cellStyle name="60% - 강조색4 50" xfId="990"/>
    <cellStyle name="60% - 강조색4 51" xfId="991"/>
    <cellStyle name="60% - 강조색4 52" xfId="992"/>
    <cellStyle name="60% - 강조색4 53" xfId="993"/>
    <cellStyle name="60% - 강조색4 54" xfId="994"/>
    <cellStyle name="60% - 강조색4 55" xfId="995"/>
    <cellStyle name="60% - 강조색4 56" xfId="996"/>
    <cellStyle name="60% - 강조색4 57" xfId="997"/>
    <cellStyle name="60% - 강조색4 58" xfId="998"/>
    <cellStyle name="60% - 강조색4 59" xfId="999"/>
    <cellStyle name="60% - 강조색4 6" xfId="1000"/>
    <cellStyle name="60% - 강조색4 60" xfId="1001"/>
    <cellStyle name="60% - 강조색4 61" xfId="1002"/>
    <cellStyle name="60% - 강조색4 62" xfId="1003"/>
    <cellStyle name="60% - 강조색4 63" xfId="1004"/>
    <cellStyle name="60% - 강조색4 64" xfId="1005"/>
    <cellStyle name="60% - 강조색4 65" xfId="2814"/>
    <cellStyle name="60% - 강조색4 65 2" xfId="3043"/>
    <cellStyle name="60% - 강조색4 65 2 2" xfId="3490"/>
    <cellStyle name="60% - 강조색4 65 2 3" xfId="4117"/>
    <cellStyle name="60% - 강조색4 65 2 4" xfId="4604"/>
    <cellStyle name="60% - 강조색4 65 3" xfId="3314"/>
    <cellStyle name="60% - 강조색4 65 4" xfId="3941"/>
    <cellStyle name="60% - 강조색4 65 5" xfId="4428"/>
    <cellStyle name="60% - 강조색4 66" xfId="2834"/>
    <cellStyle name="60% - 강조색4 66 2" xfId="3063"/>
    <cellStyle name="60% - 강조색4 66 2 2" xfId="3510"/>
    <cellStyle name="60% - 강조색4 66 2 3" xfId="4137"/>
    <cellStyle name="60% - 강조색4 66 2 4" xfId="4624"/>
    <cellStyle name="60% - 강조색4 66 3" xfId="3334"/>
    <cellStyle name="60% - 강조색4 66 4" xfId="3961"/>
    <cellStyle name="60% - 강조색4 66 5" xfId="4448"/>
    <cellStyle name="60% - 강조색4 67" xfId="2855"/>
    <cellStyle name="60% - 강조색4 67 2" xfId="3355"/>
    <cellStyle name="60% - 강조색4 67 3" xfId="3982"/>
    <cellStyle name="60% - 강조색4 67 4" xfId="4469"/>
    <cellStyle name="60% - 강조색4 68" xfId="2914"/>
    <cellStyle name="60% - 강조색4 69" xfId="3084"/>
    <cellStyle name="60% - 강조색4 69 2" xfId="3531"/>
    <cellStyle name="60% - 강조색4 69 3" xfId="4158"/>
    <cellStyle name="60% - 강조색4 69 4" xfId="4645"/>
    <cellStyle name="60% - 강조색4 7" xfId="1006"/>
    <cellStyle name="60% - 강조색4 70" xfId="3104"/>
    <cellStyle name="60% - 강조색4 70 2" xfId="3551"/>
    <cellStyle name="60% - 강조색4 70 3" xfId="4178"/>
    <cellStyle name="60% - 강조색4 70 4" xfId="4665"/>
    <cellStyle name="60% - 강조색4 71" xfId="3125"/>
    <cellStyle name="60% - 강조색4 71 2" xfId="3572"/>
    <cellStyle name="60% - 강조색4 71 3" xfId="4199"/>
    <cellStyle name="60% - 강조색4 71 4" xfId="4686"/>
    <cellStyle name="60% - 강조색4 72" xfId="3146"/>
    <cellStyle name="60% - 강조색4 72 2" xfId="3593"/>
    <cellStyle name="60% - 강조색4 72 3" xfId="4220"/>
    <cellStyle name="60% - 강조색4 72 4" xfId="4707"/>
    <cellStyle name="60% - 강조색4 73" xfId="3167"/>
    <cellStyle name="60% - 강조색4 73 2" xfId="3614"/>
    <cellStyle name="60% - 강조색4 73 3" xfId="4241"/>
    <cellStyle name="60% - 강조색4 73 4" xfId="4728"/>
    <cellStyle name="60% - 강조색4 74" xfId="3634"/>
    <cellStyle name="60% - 강조색4 74 2" xfId="4261"/>
    <cellStyle name="60% - 강조색4 75" xfId="3654"/>
    <cellStyle name="60% - 강조색4 76" xfId="3674"/>
    <cellStyle name="60% - 강조색4 77" xfId="3694"/>
    <cellStyle name="60% - 강조색4 78" xfId="3714"/>
    <cellStyle name="60% - 강조색4 79" xfId="3734"/>
    <cellStyle name="60% - 강조색4 8" xfId="1007"/>
    <cellStyle name="60% - 강조색4 80" xfId="3754"/>
    <cellStyle name="60% - 강조색4 81" xfId="3774"/>
    <cellStyle name="60% - 강조색4 82" xfId="3794"/>
    <cellStyle name="60% - 강조색4 83" xfId="4281"/>
    <cellStyle name="60% - 강조색4 84" xfId="4748"/>
    <cellStyle name="60% - 강조색4 9" xfId="1008"/>
    <cellStyle name="60% - 강조색5" xfId="2675" builtinId="48" customBuiltin="1"/>
    <cellStyle name="60% - 강조색5 10" xfId="1009"/>
    <cellStyle name="60% - 강조색5 11" xfId="1010"/>
    <cellStyle name="60% - 강조색5 12" xfId="1011"/>
    <cellStyle name="60% - 강조색5 13" xfId="1012"/>
    <cellStyle name="60% - 강조색5 14" xfId="1013"/>
    <cellStyle name="60% - 강조색5 15" xfId="1014"/>
    <cellStyle name="60% - 강조색5 16" xfId="1015"/>
    <cellStyle name="60% - 강조색5 17" xfId="1016"/>
    <cellStyle name="60% - 강조색5 18" xfId="1017"/>
    <cellStyle name="60% - 강조색5 19" xfId="1018"/>
    <cellStyle name="60% - 강조색5 2" xfId="1019"/>
    <cellStyle name="60% - 강조색5 20" xfId="1020"/>
    <cellStyle name="60% - 강조색5 21" xfId="1021"/>
    <cellStyle name="60% - 강조색5 22" xfId="1022"/>
    <cellStyle name="60% - 강조색5 23" xfId="1023"/>
    <cellStyle name="60% - 강조색5 24" xfId="1024"/>
    <cellStyle name="60% - 강조색5 25" xfId="1025"/>
    <cellStyle name="60% - 강조색5 26" xfId="1026"/>
    <cellStyle name="60% - 강조색5 27" xfId="1027"/>
    <cellStyle name="60% - 강조색5 28" xfId="1028"/>
    <cellStyle name="60% - 강조색5 29" xfId="1029"/>
    <cellStyle name="60% - 강조색5 3" xfId="1030"/>
    <cellStyle name="60% - 강조색5 30" xfId="1031"/>
    <cellStyle name="60% - 강조색5 31" xfId="1032"/>
    <cellStyle name="60% - 강조색5 32" xfId="1033"/>
    <cellStyle name="60% - 강조색5 33" xfId="1034"/>
    <cellStyle name="60% - 강조색5 34" xfId="1035"/>
    <cellStyle name="60% - 강조색5 35" xfId="1036"/>
    <cellStyle name="60% - 강조색5 36" xfId="1037"/>
    <cellStyle name="60% - 강조색5 37" xfId="1038"/>
    <cellStyle name="60% - 강조색5 38" xfId="1039"/>
    <cellStyle name="60% - 강조색5 39" xfId="1040"/>
    <cellStyle name="60% - 강조색5 4" xfId="1041"/>
    <cellStyle name="60% - 강조색5 40" xfId="1042"/>
    <cellStyle name="60% - 강조색5 41" xfId="1043"/>
    <cellStyle name="60% - 강조색5 42" xfId="1044"/>
    <cellStyle name="60% - 강조색5 43" xfId="1045"/>
    <cellStyle name="60% - 강조색5 44" xfId="1046"/>
    <cellStyle name="60% - 강조색5 45" xfId="1047"/>
    <cellStyle name="60% - 강조색5 46" xfId="1048"/>
    <cellStyle name="60% - 강조색5 47" xfId="1049"/>
    <cellStyle name="60% - 강조색5 48" xfId="1050"/>
    <cellStyle name="60% - 강조색5 49" xfId="1051"/>
    <cellStyle name="60% - 강조색5 5" xfId="1052"/>
    <cellStyle name="60% - 강조색5 50" xfId="1053"/>
    <cellStyle name="60% - 강조색5 51" xfId="1054"/>
    <cellStyle name="60% - 강조색5 52" xfId="1055"/>
    <cellStyle name="60% - 강조색5 53" xfId="1056"/>
    <cellStyle name="60% - 강조색5 54" xfId="1057"/>
    <cellStyle name="60% - 강조색5 55" xfId="1058"/>
    <cellStyle name="60% - 강조색5 56" xfId="1059"/>
    <cellStyle name="60% - 강조색5 57" xfId="1060"/>
    <cellStyle name="60% - 강조색5 58" xfId="1061"/>
    <cellStyle name="60% - 강조색5 59" xfId="1062"/>
    <cellStyle name="60% - 강조색5 6" xfId="1063"/>
    <cellStyle name="60% - 강조색5 60" xfId="1064"/>
    <cellStyle name="60% - 강조색5 61" xfId="1065"/>
    <cellStyle name="60% - 강조색5 62" xfId="1066"/>
    <cellStyle name="60% - 강조색5 63" xfId="1067"/>
    <cellStyle name="60% - 강조색5 64" xfId="1068"/>
    <cellStyle name="60% - 강조색5 65" xfId="2817"/>
    <cellStyle name="60% - 강조색5 65 2" xfId="3046"/>
    <cellStyle name="60% - 강조색5 65 2 2" xfId="3493"/>
    <cellStyle name="60% - 강조색5 65 2 3" xfId="4120"/>
    <cellStyle name="60% - 강조색5 65 2 4" xfId="4607"/>
    <cellStyle name="60% - 강조색5 65 3" xfId="3317"/>
    <cellStyle name="60% - 강조색5 65 4" xfId="3944"/>
    <cellStyle name="60% - 강조색5 65 5" xfId="4431"/>
    <cellStyle name="60% - 강조색5 66" xfId="2837"/>
    <cellStyle name="60% - 강조색5 66 2" xfId="3066"/>
    <cellStyle name="60% - 강조색5 66 2 2" xfId="3513"/>
    <cellStyle name="60% - 강조색5 66 2 3" xfId="4140"/>
    <cellStyle name="60% - 강조색5 66 2 4" xfId="4627"/>
    <cellStyle name="60% - 강조색5 66 3" xfId="3337"/>
    <cellStyle name="60% - 강조색5 66 4" xfId="3964"/>
    <cellStyle name="60% - 강조색5 66 5" xfId="4451"/>
    <cellStyle name="60% - 강조색5 67" xfId="2858"/>
    <cellStyle name="60% - 강조색5 67 2" xfId="3358"/>
    <cellStyle name="60% - 강조색5 67 3" xfId="3985"/>
    <cellStyle name="60% - 강조색5 67 4" xfId="4472"/>
    <cellStyle name="60% - 강조색5 68" xfId="2915"/>
    <cellStyle name="60% - 강조색5 69" xfId="3087"/>
    <cellStyle name="60% - 강조색5 69 2" xfId="3534"/>
    <cellStyle name="60% - 강조색5 69 3" xfId="4161"/>
    <cellStyle name="60% - 강조색5 69 4" xfId="4648"/>
    <cellStyle name="60% - 강조색5 7" xfId="1069"/>
    <cellStyle name="60% - 강조색5 70" xfId="3107"/>
    <cellStyle name="60% - 강조색5 70 2" xfId="3554"/>
    <cellStyle name="60% - 강조색5 70 3" xfId="4181"/>
    <cellStyle name="60% - 강조색5 70 4" xfId="4668"/>
    <cellStyle name="60% - 강조색5 71" xfId="3128"/>
    <cellStyle name="60% - 강조색5 71 2" xfId="3575"/>
    <cellStyle name="60% - 강조색5 71 3" xfId="4202"/>
    <cellStyle name="60% - 강조색5 71 4" xfId="4689"/>
    <cellStyle name="60% - 강조색5 72" xfId="3149"/>
    <cellStyle name="60% - 강조색5 72 2" xfId="3596"/>
    <cellStyle name="60% - 강조색5 72 3" xfId="4223"/>
    <cellStyle name="60% - 강조색5 72 4" xfId="4710"/>
    <cellStyle name="60% - 강조색5 73" xfId="3170"/>
    <cellStyle name="60% - 강조색5 73 2" xfId="3617"/>
    <cellStyle name="60% - 강조색5 73 3" xfId="4244"/>
    <cellStyle name="60% - 강조색5 73 4" xfId="4731"/>
    <cellStyle name="60% - 강조색5 74" xfId="3637"/>
    <cellStyle name="60% - 강조색5 74 2" xfId="4264"/>
    <cellStyle name="60% - 강조색5 75" xfId="3657"/>
    <cellStyle name="60% - 강조색5 76" xfId="3677"/>
    <cellStyle name="60% - 강조색5 77" xfId="3697"/>
    <cellStyle name="60% - 강조색5 78" xfId="3717"/>
    <cellStyle name="60% - 강조색5 79" xfId="3737"/>
    <cellStyle name="60% - 강조색5 8" xfId="1070"/>
    <cellStyle name="60% - 강조색5 80" xfId="3757"/>
    <cellStyle name="60% - 강조색5 81" xfId="3777"/>
    <cellStyle name="60% - 강조색5 82" xfId="3797"/>
    <cellStyle name="60% - 강조색5 83" xfId="4284"/>
    <cellStyle name="60% - 강조색5 84" xfId="4751"/>
    <cellStyle name="60% - 강조색5 9" xfId="1071"/>
    <cellStyle name="60% - 강조색6" xfId="2679" builtinId="52" customBuiltin="1"/>
    <cellStyle name="60% - 강조색6 10" xfId="1072"/>
    <cellStyle name="60% - 강조색6 11" xfId="1073"/>
    <cellStyle name="60% - 강조색6 12" xfId="1074"/>
    <cellStyle name="60% - 강조색6 13" xfId="1075"/>
    <cellStyle name="60% - 강조색6 14" xfId="1076"/>
    <cellStyle name="60% - 강조색6 15" xfId="1077"/>
    <cellStyle name="60% - 강조색6 16" xfId="1078"/>
    <cellStyle name="60% - 강조색6 17" xfId="1079"/>
    <cellStyle name="60% - 강조색6 18" xfId="1080"/>
    <cellStyle name="60% - 강조색6 19" xfId="1081"/>
    <cellStyle name="60% - 강조색6 2" xfId="1082"/>
    <cellStyle name="60% - 강조색6 20" xfId="1083"/>
    <cellStyle name="60% - 강조색6 21" xfId="1084"/>
    <cellStyle name="60% - 강조색6 22" xfId="1085"/>
    <cellStyle name="60% - 강조색6 23" xfId="1086"/>
    <cellStyle name="60% - 강조색6 24" xfId="1087"/>
    <cellStyle name="60% - 강조색6 25" xfId="1088"/>
    <cellStyle name="60% - 강조색6 26" xfId="1089"/>
    <cellStyle name="60% - 강조색6 27" xfId="1090"/>
    <cellStyle name="60% - 강조색6 28" xfId="1091"/>
    <cellStyle name="60% - 강조색6 29" xfId="1092"/>
    <cellStyle name="60% - 강조색6 3" xfId="1093"/>
    <cellStyle name="60% - 강조색6 30" xfId="1094"/>
    <cellStyle name="60% - 강조색6 31" xfId="1095"/>
    <cellStyle name="60% - 강조색6 32" xfId="1096"/>
    <cellStyle name="60% - 강조색6 33" xfId="1097"/>
    <cellStyle name="60% - 강조색6 34" xfId="1098"/>
    <cellStyle name="60% - 강조색6 35" xfId="1099"/>
    <cellStyle name="60% - 강조색6 36" xfId="1100"/>
    <cellStyle name="60% - 강조색6 37" xfId="1101"/>
    <cellStyle name="60% - 강조색6 38" xfId="1102"/>
    <cellStyle name="60% - 강조색6 39" xfId="1103"/>
    <cellStyle name="60% - 강조색6 4" xfId="1104"/>
    <cellStyle name="60% - 강조색6 40" xfId="1105"/>
    <cellStyle name="60% - 강조색6 41" xfId="1106"/>
    <cellStyle name="60% - 강조색6 42" xfId="1107"/>
    <cellStyle name="60% - 강조색6 43" xfId="1108"/>
    <cellStyle name="60% - 강조색6 44" xfId="1109"/>
    <cellStyle name="60% - 강조색6 45" xfId="1110"/>
    <cellStyle name="60% - 강조색6 46" xfId="1111"/>
    <cellStyle name="60% - 강조색6 47" xfId="1112"/>
    <cellStyle name="60% - 강조색6 48" xfId="1113"/>
    <cellStyle name="60% - 강조색6 49" xfId="1114"/>
    <cellStyle name="60% - 강조색6 5" xfId="1115"/>
    <cellStyle name="60% - 강조색6 50" xfId="1116"/>
    <cellStyle name="60% - 강조색6 51" xfId="1117"/>
    <cellStyle name="60% - 강조색6 52" xfId="1118"/>
    <cellStyle name="60% - 강조색6 53" xfId="1119"/>
    <cellStyle name="60% - 강조색6 54" xfId="1120"/>
    <cellStyle name="60% - 강조색6 55" xfId="1121"/>
    <cellStyle name="60% - 강조색6 56" xfId="1122"/>
    <cellStyle name="60% - 강조색6 57" xfId="1123"/>
    <cellStyle name="60% - 강조색6 58" xfId="1124"/>
    <cellStyle name="60% - 강조색6 59" xfId="1125"/>
    <cellStyle name="60% - 강조색6 6" xfId="1126"/>
    <cellStyle name="60% - 강조색6 60" xfId="1127"/>
    <cellStyle name="60% - 강조색6 61" xfId="1128"/>
    <cellStyle name="60% - 강조색6 62" xfId="1129"/>
    <cellStyle name="60% - 강조색6 63" xfId="1130"/>
    <cellStyle name="60% - 강조색6 64" xfId="1131"/>
    <cellStyle name="60% - 강조색6 65" xfId="2820"/>
    <cellStyle name="60% - 강조색6 65 2" xfId="3049"/>
    <cellStyle name="60% - 강조색6 65 2 2" xfId="3496"/>
    <cellStyle name="60% - 강조색6 65 2 3" xfId="4123"/>
    <cellStyle name="60% - 강조색6 65 2 4" xfId="4610"/>
    <cellStyle name="60% - 강조색6 65 3" xfId="3320"/>
    <cellStyle name="60% - 강조색6 65 4" xfId="3947"/>
    <cellStyle name="60% - 강조색6 65 5" xfId="4434"/>
    <cellStyle name="60% - 강조색6 66" xfId="2840"/>
    <cellStyle name="60% - 강조색6 66 2" xfId="3069"/>
    <cellStyle name="60% - 강조색6 66 2 2" xfId="3516"/>
    <cellStyle name="60% - 강조색6 66 2 3" xfId="4143"/>
    <cellStyle name="60% - 강조색6 66 2 4" xfId="4630"/>
    <cellStyle name="60% - 강조색6 66 3" xfId="3340"/>
    <cellStyle name="60% - 강조색6 66 4" xfId="3967"/>
    <cellStyle name="60% - 강조색6 66 5" xfId="4454"/>
    <cellStyle name="60% - 강조색6 67" xfId="2861"/>
    <cellStyle name="60% - 강조색6 67 2" xfId="3361"/>
    <cellStyle name="60% - 강조색6 67 3" xfId="3988"/>
    <cellStyle name="60% - 강조색6 67 4" xfId="4475"/>
    <cellStyle name="60% - 강조색6 68" xfId="2916"/>
    <cellStyle name="60% - 강조색6 69" xfId="3090"/>
    <cellStyle name="60% - 강조색6 69 2" xfId="3537"/>
    <cellStyle name="60% - 강조색6 69 3" xfId="4164"/>
    <cellStyle name="60% - 강조색6 69 4" xfId="4651"/>
    <cellStyle name="60% - 강조색6 7" xfId="1132"/>
    <cellStyle name="60% - 강조색6 70" xfId="3110"/>
    <cellStyle name="60% - 강조색6 70 2" xfId="3557"/>
    <cellStyle name="60% - 강조색6 70 3" xfId="4184"/>
    <cellStyle name="60% - 강조색6 70 4" xfId="4671"/>
    <cellStyle name="60% - 강조색6 71" xfId="3131"/>
    <cellStyle name="60% - 강조색6 71 2" xfId="3578"/>
    <cellStyle name="60% - 강조색6 71 3" xfId="4205"/>
    <cellStyle name="60% - 강조색6 71 4" xfId="4692"/>
    <cellStyle name="60% - 강조색6 72" xfId="3152"/>
    <cellStyle name="60% - 강조색6 72 2" xfId="3599"/>
    <cellStyle name="60% - 강조색6 72 3" xfId="4226"/>
    <cellStyle name="60% - 강조색6 72 4" xfId="4713"/>
    <cellStyle name="60% - 강조색6 73" xfId="3173"/>
    <cellStyle name="60% - 강조색6 73 2" xfId="3620"/>
    <cellStyle name="60% - 강조색6 73 3" xfId="4247"/>
    <cellStyle name="60% - 강조색6 73 4" xfId="4734"/>
    <cellStyle name="60% - 강조색6 74" xfId="3640"/>
    <cellStyle name="60% - 강조색6 74 2" xfId="4267"/>
    <cellStyle name="60% - 강조색6 75" xfId="3660"/>
    <cellStyle name="60% - 강조색6 76" xfId="3680"/>
    <cellStyle name="60% - 강조색6 77" xfId="3700"/>
    <cellStyle name="60% - 강조색6 78" xfId="3720"/>
    <cellStyle name="60% - 강조색6 79" xfId="3740"/>
    <cellStyle name="60% - 강조색6 8" xfId="1133"/>
    <cellStyle name="60% - 강조색6 80" xfId="3760"/>
    <cellStyle name="60% - 강조색6 81" xfId="3780"/>
    <cellStyle name="60% - 강조색6 82" xfId="3800"/>
    <cellStyle name="60% - 강조색6 83" xfId="4287"/>
    <cellStyle name="60% - 강조색6 84" xfId="4754"/>
    <cellStyle name="60% - 강조색6 9" xfId="1134"/>
    <cellStyle name="Comma [0]_ SG&amp;A Bridge " xfId="1135"/>
    <cellStyle name="Comma_ SG&amp;A Bridge " xfId="1136"/>
    <cellStyle name="Currency [0]_ SG&amp;A Bridge " xfId="1137"/>
    <cellStyle name="Currency_ SG&amp;A Bridge " xfId="1138"/>
    <cellStyle name="Normal_ SG&amp;A Bridge " xfId="1139"/>
    <cellStyle name="강조색1" xfId="2656" builtinId="29" customBuiltin="1"/>
    <cellStyle name="강조색1 10" xfId="1140"/>
    <cellStyle name="강조색1 11" xfId="1141"/>
    <cellStyle name="강조색1 12" xfId="1142"/>
    <cellStyle name="강조색1 13" xfId="1143"/>
    <cellStyle name="강조색1 14" xfId="1144"/>
    <cellStyle name="강조색1 15" xfId="1145"/>
    <cellStyle name="강조색1 16" xfId="1146"/>
    <cellStyle name="강조색1 17" xfId="1147"/>
    <cellStyle name="강조색1 18" xfId="1148"/>
    <cellStyle name="강조색1 19" xfId="1149"/>
    <cellStyle name="강조색1 2" xfId="1150"/>
    <cellStyle name="강조색1 20" xfId="1151"/>
    <cellStyle name="강조색1 21" xfId="1152"/>
    <cellStyle name="강조색1 22" xfId="1153"/>
    <cellStyle name="강조색1 23" xfId="1154"/>
    <cellStyle name="강조색1 24" xfId="1155"/>
    <cellStyle name="강조색1 25" xfId="1156"/>
    <cellStyle name="강조색1 26" xfId="1157"/>
    <cellStyle name="강조색1 27" xfId="1158"/>
    <cellStyle name="강조색1 28" xfId="1159"/>
    <cellStyle name="강조색1 29" xfId="1160"/>
    <cellStyle name="강조색1 3" xfId="1161"/>
    <cellStyle name="강조색1 30" xfId="1162"/>
    <cellStyle name="강조색1 31" xfId="1163"/>
    <cellStyle name="강조색1 32" xfId="1164"/>
    <cellStyle name="강조색1 33" xfId="1165"/>
    <cellStyle name="강조색1 34" xfId="1166"/>
    <cellStyle name="강조색1 35" xfId="1167"/>
    <cellStyle name="강조색1 36" xfId="1168"/>
    <cellStyle name="강조색1 37" xfId="1169"/>
    <cellStyle name="강조색1 38" xfId="1170"/>
    <cellStyle name="강조색1 39" xfId="1171"/>
    <cellStyle name="강조색1 4" xfId="1172"/>
    <cellStyle name="강조색1 40" xfId="1173"/>
    <cellStyle name="강조색1 41" xfId="1174"/>
    <cellStyle name="강조색1 42" xfId="1175"/>
    <cellStyle name="강조색1 43" xfId="1176"/>
    <cellStyle name="강조색1 44" xfId="1177"/>
    <cellStyle name="강조색1 45" xfId="1178"/>
    <cellStyle name="강조색1 46" xfId="1179"/>
    <cellStyle name="강조색1 47" xfId="1180"/>
    <cellStyle name="강조색1 48" xfId="1181"/>
    <cellStyle name="강조색1 49" xfId="1182"/>
    <cellStyle name="강조색1 5" xfId="1183"/>
    <cellStyle name="강조색1 50" xfId="1184"/>
    <cellStyle name="강조색1 51" xfId="1185"/>
    <cellStyle name="강조색1 52" xfId="1186"/>
    <cellStyle name="강조색1 53" xfId="1187"/>
    <cellStyle name="강조색1 54" xfId="1188"/>
    <cellStyle name="강조색1 55" xfId="1189"/>
    <cellStyle name="강조색1 56" xfId="1190"/>
    <cellStyle name="강조색1 57" xfId="1191"/>
    <cellStyle name="강조색1 58" xfId="1192"/>
    <cellStyle name="강조색1 59" xfId="1193"/>
    <cellStyle name="강조색1 6" xfId="1194"/>
    <cellStyle name="강조색1 60" xfId="1195"/>
    <cellStyle name="강조색1 61" xfId="1196"/>
    <cellStyle name="강조색1 62" xfId="1197"/>
    <cellStyle name="강조색1 63" xfId="1198"/>
    <cellStyle name="강조색1 64" xfId="1199"/>
    <cellStyle name="강조색1 7" xfId="1200"/>
    <cellStyle name="강조색1 8" xfId="1201"/>
    <cellStyle name="강조색1 9" xfId="1202"/>
    <cellStyle name="강조색2" xfId="2660" builtinId="33" customBuiltin="1"/>
    <cellStyle name="강조색2 10" xfId="1203"/>
    <cellStyle name="강조색2 11" xfId="1204"/>
    <cellStyle name="강조색2 12" xfId="1205"/>
    <cellStyle name="강조색2 13" xfId="1206"/>
    <cellStyle name="강조색2 14" xfId="1207"/>
    <cellStyle name="강조색2 15" xfId="1208"/>
    <cellStyle name="강조색2 16" xfId="1209"/>
    <cellStyle name="강조색2 17" xfId="1210"/>
    <cellStyle name="강조색2 18" xfId="1211"/>
    <cellStyle name="강조색2 19" xfId="1212"/>
    <cellStyle name="강조색2 2" xfId="1213"/>
    <cellStyle name="강조색2 20" xfId="1214"/>
    <cellStyle name="강조색2 21" xfId="1215"/>
    <cellStyle name="강조색2 22" xfId="1216"/>
    <cellStyle name="강조색2 23" xfId="1217"/>
    <cellStyle name="강조색2 24" xfId="1218"/>
    <cellStyle name="강조색2 25" xfId="1219"/>
    <cellStyle name="강조색2 26" xfId="1220"/>
    <cellStyle name="강조색2 27" xfId="1221"/>
    <cellStyle name="강조색2 28" xfId="1222"/>
    <cellStyle name="강조색2 29" xfId="1223"/>
    <cellStyle name="강조색2 3" xfId="1224"/>
    <cellStyle name="강조색2 30" xfId="1225"/>
    <cellStyle name="강조색2 31" xfId="1226"/>
    <cellStyle name="강조색2 32" xfId="1227"/>
    <cellStyle name="강조색2 33" xfId="1228"/>
    <cellStyle name="강조색2 34" xfId="1229"/>
    <cellStyle name="강조색2 35" xfId="1230"/>
    <cellStyle name="강조색2 36" xfId="1231"/>
    <cellStyle name="강조색2 37" xfId="1232"/>
    <cellStyle name="강조색2 38" xfId="1233"/>
    <cellStyle name="강조색2 39" xfId="1234"/>
    <cellStyle name="강조색2 4" xfId="1235"/>
    <cellStyle name="강조색2 40" xfId="1236"/>
    <cellStyle name="강조색2 41" xfId="1237"/>
    <cellStyle name="강조색2 42" xfId="1238"/>
    <cellStyle name="강조색2 43" xfId="1239"/>
    <cellStyle name="강조색2 44" xfId="1240"/>
    <cellStyle name="강조색2 45" xfId="1241"/>
    <cellStyle name="강조색2 46" xfId="1242"/>
    <cellStyle name="강조색2 47" xfId="1243"/>
    <cellStyle name="강조색2 48" xfId="1244"/>
    <cellStyle name="강조색2 49" xfId="1245"/>
    <cellStyle name="강조색2 5" xfId="1246"/>
    <cellStyle name="강조색2 50" xfId="1247"/>
    <cellStyle name="강조색2 51" xfId="1248"/>
    <cellStyle name="강조색2 52" xfId="1249"/>
    <cellStyle name="강조색2 53" xfId="1250"/>
    <cellStyle name="강조색2 54" xfId="1251"/>
    <cellStyle name="강조색2 55" xfId="1252"/>
    <cellStyle name="강조색2 56" xfId="1253"/>
    <cellStyle name="강조색2 57" xfId="1254"/>
    <cellStyle name="강조색2 58" xfId="1255"/>
    <cellStyle name="강조색2 59" xfId="1256"/>
    <cellStyle name="강조색2 6" xfId="1257"/>
    <cellStyle name="강조색2 60" xfId="1258"/>
    <cellStyle name="강조색2 61" xfId="1259"/>
    <cellStyle name="강조색2 62" xfId="1260"/>
    <cellStyle name="강조색2 63" xfId="1261"/>
    <cellStyle name="강조색2 64" xfId="1262"/>
    <cellStyle name="강조색2 7" xfId="1263"/>
    <cellStyle name="강조색2 8" xfId="1264"/>
    <cellStyle name="강조색2 9" xfId="1265"/>
    <cellStyle name="강조색3" xfId="2664" builtinId="37" customBuiltin="1"/>
    <cellStyle name="강조색3 10" xfId="1266"/>
    <cellStyle name="강조색3 11" xfId="1267"/>
    <cellStyle name="강조색3 12" xfId="1268"/>
    <cellStyle name="강조색3 13" xfId="1269"/>
    <cellStyle name="강조색3 14" xfId="1270"/>
    <cellStyle name="강조색3 15" xfId="1271"/>
    <cellStyle name="강조색3 16" xfId="1272"/>
    <cellStyle name="강조색3 17" xfId="1273"/>
    <cellStyle name="강조색3 18" xfId="1274"/>
    <cellStyle name="강조색3 19" xfId="1275"/>
    <cellStyle name="강조색3 2" xfId="1276"/>
    <cellStyle name="강조색3 20" xfId="1277"/>
    <cellStyle name="강조색3 21" xfId="1278"/>
    <cellStyle name="강조색3 22" xfId="1279"/>
    <cellStyle name="강조색3 23" xfId="1280"/>
    <cellStyle name="강조색3 24" xfId="1281"/>
    <cellStyle name="강조색3 25" xfId="1282"/>
    <cellStyle name="강조색3 26" xfId="1283"/>
    <cellStyle name="강조색3 27" xfId="1284"/>
    <cellStyle name="강조색3 28" xfId="1285"/>
    <cellStyle name="강조색3 29" xfId="1286"/>
    <cellStyle name="강조색3 3" xfId="1287"/>
    <cellStyle name="강조색3 30" xfId="1288"/>
    <cellStyle name="강조색3 31" xfId="1289"/>
    <cellStyle name="강조색3 32" xfId="1290"/>
    <cellStyle name="강조색3 33" xfId="1291"/>
    <cellStyle name="강조색3 34" xfId="1292"/>
    <cellStyle name="강조색3 35" xfId="1293"/>
    <cellStyle name="강조색3 36" xfId="1294"/>
    <cellStyle name="강조색3 37" xfId="1295"/>
    <cellStyle name="강조색3 38" xfId="1296"/>
    <cellStyle name="강조색3 39" xfId="1297"/>
    <cellStyle name="강조색3 4" xfId="1298"/>
    <cellStyle name="강조색3 40" xfId="1299"/>
    <cellStyle name="강조색3 41" xfId="1300"/>
    <cellStyle name="강조색3 42" xfId="1301"/>
    <cellStyle name="강조색3 43" xfId="1302"/>
    <cellStyle name="강조색3 44" xfId="1303"/>
    <cellStyle name="강조색3 45" xfId="1304"/>
    <cellStyle name="강조색3 46" xfId="1305"/>
    <cellStyle name="강조색3 47" xfId="1306"/>
    <cellStyle name="강조색3 48" xfId="1307"/>
    <cellStyle name="강조색3 49" xfId="1308"/>
    <cellStyle name="강조색3 5" xfId="1309"/>
    <cellStyle name="강조색3 50" xfId="1310"/>
    <cellStyle name="강조색3 51" xfId="1311"/>
    <cellStyle name="강조색3 52" xfId="1312"/>
    <cellStyle name="강조색3 53" xfId="1313"/>
    <cellStyle name="강조색3 54" xfId="1314"/>
    <cellStyle name="강조색3 55" xfId="1315"/>
    <cellStyle name="강조색3 56" xfId="1316"/>
    <cellStyle name="강조색3 57" xfId="1317"/>
    <cellStyle name="강조색3 58" xfId="1318"/>
    <cellStyle name="강조색3 59" xfId="1319"/>
    <cellStyle name="강조색3 6" xfId="1320"/>
    <cellStyle name="강조색3 60" xfId="1321"/>
    <cellStyle name="강조색3 61" xfId="1322"/>
    <cellStyle name="강조색3 62" xfId="1323"/>
    <cellStyle name="강조색3 63" xfId="1324"/>
    <cellStyle name="강조색3 64" xfId="1325"/>
    <cellStyle name="강조색3 7" xfId="1326"/>
    <cellStyle name="강조색3 8" xfId="1327"/>
    <cellStyle name="강조색3 9" xfId="1328"/>
    <cellStyle name="강조색4" xfId="2668" builtinId="41" customBuiltin="1"/>
    <cellStyle name="강조색4 10" xfId="1329"/>
    <cellStyle name="강조색4 11" xfId="1330"/>
    <cellStyle name="강조색4 12" xfId="1331"/>
    <cellStyle name="강조색4 13" xfId="1332"/>
    <cellStyle name="강조색4 14" xfId="1333"/>
    <cellStyle name="강조색4 15" xfId="1334"/>
    <cellStyle name="강조색4 16" xfId="1335"/>
    <cellStyle name="강조색4 17" xfId="1336"/>
    <cellStyle name="강조색4 18" xfId="1337"/>
    <cellStyle name="강조색4 19" xfId="1338"/>
    <cellStyle name="강조색4 2" xfId="1339"/>
    <cellStyle name="강조색4 20" xfId="1340"/>
    <cellStyle name="강조색4 21" xfId="1341"/>
    <cellStyle name="강조색4 22" xfId="1342"/>
    <cellStyle name="강조색4 23" xfId="1343"/>
    <cellStyle name="강조색4 24" xfId="1344"/>
    <cellStyle name="강조색4 25" xfId="1345"/>
    <cellStyle name="강조색4 26" xfId="1346"/>
    <cellStyle name="강조색4 27" xfId="1347"/>
    <cellStyle name="강조색4 28" xfId="1348"/>
    <cellStyle name="강조색4 29" xfId="1349"/>
    <cellStyle name="강조색4 3" xfId="1350"/>
    <cellStyle name="강조색4 30" xfId="1351"/>
    <cellStyle name="강조색4 31" xfId="1352"/>
    <cellStyle name="강조색4 32" xfId="1353"/>
    <cellStyle name="강조색4 33" xfId="1354"/>
    <cellStyle name="강조색4 34" xfId="1355"/>
    <cellStyle name="강조색4 35" xfId="1356"/>
    <cellStyle name="강조색4 36" xfId="1357"/>
    <cellStyle name="강조색4 37" xfId="1358"/>
    <cellStyle name="강조색4 38" xfId="1359"/>
    <cellStyle name="강조색4 39" xfId="1360"/>
    <cellStyle name="강조색4 4" xfId="1361"/>
    <cellStyle name="강조색4 40" xfId="1362"/>
    <cellStyle name="강조색4 41" xfId="1363"/>
    <cellStyle name="강조색4 42" xfId="1364"/>
    <cellStyle name="강조색4 43" xfId="1365"/>
    <cellStyle name="강조색4 44" xfId="1366"/>
    <cellStyle name="강조색4 45" xfId="1367"/>
    <cellStyle name="강조색4 46" xfId="1368"/>
    <cellStyle name="강조색4 47" xfId="1369"/>
    <cellStyle name="강조색4 48" xfId="1370"/>
    <cellStyle name="강조색4 49" xfId="1371"/>
    <cellStyle name="강조색4 5" xfId="1372"/>
    <cellStyle name="강조색4 50" xfId="1373"/>
    <cellStyle name="강조색4 51" xfId="1374"/>
    <cellStyle name="강조색4 52" xfId="1375"/>
    <cellStyle name="강조색4 53" xfId="1376"/>
    <cellStyle name="강조색4 54" xfId="1377"/>
    <cellStyle name="강조색4 55" xfId="1378"/>
    <cellStyle name="강조색4 56" xfId="1379"/>
    <cellStyle name="강조색4 57" xfId="1380"/>
    <cellStyle name="강조색4 58" xfId="1381"/>
    <cellStyle name="강조색4 59" xfId="1382"/>
    <cellStyle name="강조색4 6" xfId="1383"/>
    <cellStyle name="강조색4 60" xfId="1384"/>
    <cellStyle name="강조색4 61" xfId="1385"/>
    <cellStyle name="강조색4 62" xfId="1386"/>
    <cellStyle name="강조색4 63" xfId="1387"/>
    <cellStyle name="강조색4 64" xfId="1388"/>
    <cellStyle name="강조색4 7" xfId="1389"/>
    <cellStyle name="강조색4 8" xfId="1390"/>
    <cellStyle name="강조색4 9" xfId="1391"/>
    <cellStyle name="강조색5" xfId="2672" builtinId="45" customBuiltin="1"/>
    <cellStyle name="강조색5 10" xfId="1392"/>
    <cellStyle name="강조색5 11" xfId="1393"/>
    <cellStyle name="강조색5 12" xfId="1394"/>
    <cellStyle name="강조색5 13" xfId="1395"/>
    <cellStyle name="강조색5 14" xfId="1396"/>
    <cellStyle name="강조색5 15" xfId="1397"/>
    <cellStyle name="강조색5 16" xfId="1398"/>
    <cellStyle name="강조색5 17" xfId="1399"/>
    <cellStyle name="강조색5 18" xfId="1400"/>
    <cellStyle name="강조색5 19" xfId="1401"/>
    <cellStyle name="강조색5 2" xfId="1402"/>
    <cellStyle name="강조색5 20" xfId="1403"/>
    <cellStyle name="강조색5 21" xfId="1404"/>
    <cellStyle name="강조색5 22" xfId="1405"/>
    <cellStyle name="강조색5 23" xfId="1406"/>
    <cellStyle name="강조색5 24" xfId="1407"/>
    <cellStyle name="강조색5 25" xfId="1408"/>
    <cellStyle name="강조색5 26" xfId="1409"/>
    <cellStyle name="강조색5 27" xfId="1410"/>
    <cellStyle name="강조색5 28" xfId="1411"/>
    <cellStyle name="강조색5 29" xfId="1412"/>
    <cellStyle name="강조색5 3" xfId="1413"/>
    <cellStyle name="강조색5 30" xfId="1414"/>
    <cellStyle name="강조색5 31" xfId="1415"/>
    <cellStyle name="강조색5 32" xfId="1416"/>
    <cellStyle name="강조색5 33" xfId="1417"/>
    <cellStyle name="강조색5 34" xfId="1418"/>
    <cellStyle name="강조색5 35" xfId="1419"/>
    <cellStyle name="강조색5 36" xfId="1420"/>
    <cellStyle name="강조색5 37" xfId="1421"/>
    <cellStyle name="강조색5 38" xfId="1422"/>
    <cellStyle name="강조색5 39" xfId="1423"/>
    <cellStyle name="강조색5 4" xfId="1424"/>
    <cellStyle name="강조색5 40" xfId="1425"/>
    <cellStyle name="강조색5 41" xfId="1426"/>
    <cellStyle name="강조색5 42" xfId="1427"/>
    <cellStyle name="강조색5 43" xfId="1428"/>
    <cellStyle name="강조색5 44" xfId="1429"/>
    <cellStyle name="강조색5 45" xfId="1430"/>
    <cellStyle name="강조색5 46" xfId="1431"/>
    <cellStyle name="강조색5 47" xfId="1432"/>
    <cellStyle name="강조색5 48" xfId="1433"/>
    <cellStyle name="강조색5 49" xfId="1434"/>
    <cellStyle name="강조색5 5" xfId="1435"/>
    <cellStyle name="강조색5 50" xfId="1436"/>
    <cellStyle name="강조색5 51" xfId="1437"/>
    <cellStyle name="강조색5 52" xfId="1438"/>
    <cellStyle name="강조색5 53" xfId="1439"/>
    <cellStyle name="강조색5 54" xfId="1440"/>
    <cellStyle name="강조색5 55" xfId="1441"/>
    <cellStyle name="강조색5 56" xfId="1442"/>
    <cellStyle name="강조색5 57" xfId="1443"/>
    <cellStyle name="강조색5 58" xfId="1444"/>
    <cellStyle name="강조색5 59" xfId="1445"/>
    <cellStyle name="강조색5 6" xfId="1446"/>
    <cellStyle name="강조색5 60" xfId="1447"/>
    <cellStyle name="강조색5 61" xfId="1448"/>
    <cellStyle name="강조색5 62" xfId="1449"/>
    <cellStyle name="강조색5 63" xfId="1450"/>
    <cellStyle name="강조색5 64" xfId="1451"/>
    <cellStyle name="강조색5 7" xfId="1452"/>
    <cellStyle name="강조색5 8" xfId="1453"/>
    <cellStyle name="강조색5 9" xfId="1454"/>
    <cellStyle name="강조색6" xfId="2676" builtinId="49" customBuiltin="1"/>
    <cellStyle name="강조색6 10" xfId="1455"/>
    <cellStyle name="강조색6 11" xfId="1456"/>
    <cellStyle name="강조색6 12" xfId="1457"/>
    <cellStyle name="강조색6 13" xfId="1458"/>
    <cellStyle name="강조색6 14" xfId="1459"/>
    <cellStyle name="강조색6 15" xfId="1460"/>
    <cellStyle name="강조색6 16" xfId="1461"/>
    <cellStyle name="강조색6 17" xfId="1462"/>
    <cellStyle name="강조색6 18" xfId="1463"/>
    <cellStyle name="강조색6 19" xfId="1464"/>
    <cellStyle name="강조색6 2" xfId="1465"/>
    <cellStyle name="강조색6 20" xfId="1466"/>
    <cellStyle name="강조색6 21" xfId="1467"/>
    <cellStyle name="강조색6 22" xfId="1468"/>
    <cellStyle name="강조색6 23" xfId="1469"/>
    <cellStyle name="강조색6 24" xfId="1470"/>
    <cellStyle name="강조색6 25" xfId="1471"/>
    <cellStyle name="강조색6 26" xfId="1472"/>
    <cellStyle name="강조색6 27" xfId="1473"/>
    <cellStyle name="강조색6 28" xfId="1474"/>
    <cellStyle name="강조색6 29" xfId="1475"/>
    <cellStyle name="강조색6 3" xfId="1476"/>
    <cellStyle name="강조색6 30" xfId="1477"/>
    <cellStyle name="강조색6 31" xfId="1478"/>
    <cellStyle name="강조색6 32" xfId="1479"/>
    <cellStyle name="강조색6 33" xfId="1480"/>
    <cellStyle name="강조색6 34" xfId="1481"/>
    <cellStyle name="강조색6 35" xfId="1482"/>
    <cellStyle name="강조색6 36" xfId="1483"/>
    <cellStyle name="강조색6 37" xfId="1484"/>
    <cellStyle name="강조색6 38" xfId="1485"/>
    <cellStyle name="강조색6 39" xfId="1486"/>
    <cellStyle name="강조색6 4" xfId="1487"/>
    <cellStyle name="강조색6 40" xfId="1488"/>
    <cellStyle name="강조색6 41" xfId="1489"/>
    <cellStyle name="강조색6 42" xfId="1490"/>
    <cellStyle name="강조색6 43" xfId="1491"/>
    <cellStyle name="강조색6 44" xfId="1492"/>
    <cellStyle name="강조색6 45" xfId="1493"/>
    <cellStyle name="강조색6 46" xfId="1494"/>
    <cellStyle name="강조색6 47" xfId="1495"/>
    <cellStyle name="강조색6 48" xfId="1496"/>
    <cellStyle name="강조색6 49" xfId="1497"/>
    <cellStyle name="강조색6 5" xfId="1498"/>
    <cellStyle name="강조색6 50" xfId="1499"/>
    <cellStyle name="강조색6 51" xfId="1500"/>
    <cellStyle name="강조색6 52" xfId="1501"/>
    <cellStyle name="강조색6 53" xfId="1502"/>
    <cellStyle name="강조색6 54" xfId="1503"/>
    <cellStyle name="강조색6 55" xfId="1504"/>
    <cellStyle name="강조색6 56" xfId="1505"/>
    <cellStyle name="강조색6 57" xfId="1506"/>
    <cellStyle name="강조색6 58" xfId="1507"/>
    <cellStyle name="강조색6 59" xfId="1508"/>
    <cellStyle name="강조색6 6" xfId="1509"/>
    <cellStyle name="강조색6 60" xfId="1510"/>
    <cellStyle name="강조색6 61" xfId="1511"/>
    <cellStyle name="강조색6 62" xfId="1512"/>
    <cellStyle name="강조색6 63" xfId="1513"/>
    <cellStyle name="강조색6 64" xfId="1514"/>
    <cellStyle name="강조색6 7" xfId="1515"/>
    <cellStyle name="강조색6 8" xfId="1516"/>
    <cellStyle name="강조색6 9" xfId="1517"/>
    <cellStyle name="경고문" xfId="2653" builtinId="11" customBuiltin="1"/>
    <cellStyle name="경고문 10" xfId="1518"/>
    <cellStyle name="경고문 11" xfId="1519"/>
    <cellStyle name="경고문 12" xfId="1520"/>
    <cellStyle name="경고문 13" xfId="1521"/>
    <cellStyle name="경고문 14" xfId="1522"/>
    <cellStyle name="경고문 15" xfId="1523"/>
    <cellStyle name="경고문 16" xfId="1524"/>
    <cellStyle name="경고문 17" xfId="1525"/>
    <cellStyle name="경고문 18" xfId="1526"/>
    <cellStyle name="경고문 19" xfId="1527"/>
    <cellStyle name="경고문 2" xfId="1528"/>
    <cellStyle name="경고문 20" xfId="1529"/>
    <cellStyle name="경고문 21" xfId="1530"/>
    <cellStyle name="경고문 22" xfId="1531"/>
    <cellStyle name="경고문 23" xfId="1532"/>
    <cellStyle name="경고문 24" xfId="1533"/>
    <cellStyle name="경고문 25" xfId="1534"/>
    <cellStyle name="경고문 26" xfId="1535"/>
    <cellStyle name="경고문 27" xfId="1536"/>
    <cellStyle name="경고문 28" xfId="1537"/>
    <cellStyle name="경고문 29" xfId="1538"/>
    <cellStyle name="경고문 3" xfId="1539"/>
    <cellStyle name="경고문 30" xfId="1540"/>
    <cellStyle name="경고문 31" xfId="1541"/>
    <cellStyle name="경고문 32" xfId="1542"/>
    <cellStyle name="경고문 33" xfId="1543"/>
    <cellStyle name="경고문 34" xfId="1544"/>
    <cellStyle name="경고문 35" xfId="1545"/>
    <cellStyle name="경고문 36" xfId="1546"/>
    <cellStyle name="경고문 37" xfId="1547"/>
    <cellStyle name="경고문 38" xfId="1548"/>
    <cellStyle name="경고문 39" xfId="1549"/>
    <cellStyle name="경고문 4" xfId="1550"/>
    <cellStyle name="경고문 40" xfId="1551"/>
    <cellStyle name="경고문 41" xfId="1552"/>
    <cellStyle name="경고문 42" xfId="1553"/>
    <cellStyle name="경고문 43" xfId="1554"/>
    <cellStyle name="경고문 44" xfId="1555"/>
    <cellStyle name="경고문 45" xfId="1556"/>
    <cellStyle name="경고문 46" xfId="1557"/>
    <cellStyle name="경고문 47" xfId="1558"/>
    <cellStyle name="경고문 48" xfId="1559"/>
    <cellStyle name="경고문 49" xfId="1560"/>
    <cellStyle name="경고문 5" xfId="1561"/>
    <cellStyle name="경고문 50" xfId="1562"/>
    <cellStyle name="경고문 51" xfId="1563"/>
    <cellStyle name="경고문 52" xfId="1564"/>
    <cellStyle name="경고문 53" xfId="1565"/>
    <cellStyle name="경고문 54" xfId="1566"/>
    <cellStyle name="경고문 55" xfId="1567"/>
    <cellStyle name="경고문 56" xfId="1568"/>
    <cellStyle name="경고문 57" xfId="1569"/>
    <cellStyle name="경고문 58" xfId="1570"/>
    <cellStyle name="경고문 59" xfId="1571"/>
    <cellStyle name="경고문 6" xfId="1572"/>
    <cellStyle name="경고문 60" xfId="1573"/>
    <cellStyle name="경고문 61" xfId="1574"/>
    <cellStyle name="경고문 62" xfId="1575"/>
    <cellStyle name="경고문 63" xfId="1576"/>
    <cellStyle name="경고문 64" xfId="1577"/>
    <cellStyle name="경고문 7" xfId="1578"/>
    <cellStyle name="경고문 8" xfId="1579"/>
    <cellStyle name="경고문 9" xfId="1580"/>
    <cellStyle name="계산" xfId="2650" builtinId="22" customBuiltin="1"/>
    <cellStyle name="계산 10" xfId="1581"/>
    <cellStyle name="계산 11" xfId="1582"/>
    <cellStyle name="계산 12" xfId="1583"/>
    <cellStyle name="계산 13" xfId="1584"/>
    <cellStyle name="계산 14" xfId="1585"/>
    <cellStyle name="계산 15" xfId="1586"/>
    <cellStyle name="계산 16" xfId="1587"/>
    <cellStyle name="계산 17" xfId="1588"/>
    <cellStyle name="계산 18" xfId="1589"/>
    <cellStyle name="계산 19" xfId="1590"/>
    <cellStyle name="계산 2" xfId="1591"/>
    <cellStyle name="계산 20" xfId="1592"/>
    <cellStyle name="계산 21" xfId="1593"/>
    <cellStyle name="계산 22" xfId="1594"/>
    <cellStyle name="계산 23" xfId="1595"/>
    <cellStyle name="계산 24" xfId="1596"/>
    <cellStyle name="계산 25" xfId="1597"/>
    <cellStyle name="계산 26" xfId="1598"/>
    <cellStyle name="계산 27" xfId="1599"/>
    <cellStyle name="계산 28" xfId="1600"/>
    <cellStyle name="계산 29" xfId="1601"/>
    <cellStyle name="계산 3" xfId="1602"/>
    <cellStyle name="계산 30" xfId="1603"/>
    <cellStyle name="계산 31" xfId="1604"/>
    <cellStyle name="계산 32" xfId="1605"/>
    <cellStyle name="계산 33" xfId="1606"/>
    <cellStyle name="계산 34" xfId="1607"/>
    <cellStyle name="계산 35" xfId="1608"/>
    <cellStyle name="계산 36" xfId="1609"/>
    <cellStyle name="계산 37" xfId="1610"/>
    <cellStyle name="계산 38" xfId="1611"/>
    <cellStyle name="계산 39" xfId="1612"/>
    <cellStyle name="계산 4" xfId="1613"/>
    <cellStyle name="계산 40" xfId="1614"/>
    <cellStyle name="계산 41" xfId="1615"/>
    <cellStyle name="계산 42" xfId="1616"/>
    <cellStyle name="계산 43" xfId="1617"/>
    <cellStyle name="계산 44" xfId="1618"/>
    <cellStyle name="계산 45" xfId="1619"/>
    <cellStyle name="계산 46" xfId="1620"/>
    <cellStyle name="계산 47" xfId="1621"/>
    <cellStyle name="계산 48" xfId="1622"/>
    <cellStyle name="계산 49" xfId="1623"/>
    <cellStyle name="계산 5" xfId="1624"/>
    <cellStyle name="계산 50" xfId="1625"/>
    <cellStyle name="계산 51" xfId="1626"/>
    <cellStyle name="계산 52" xfId="1627"/>
    <cellStyle name="계산 53" xfId="1628"/>
    <cellStyle name="계산 54" xfId="1629"/>
    <cellStyle name="계산 55" xfId="1630"/>
    <cellStyle name="계산 56" xfId="1631"/>
    <cellStyle name="계산 57" xfId="1632"/>
    <cellStyle name="계산 58" xfId="1633"/>
    <cellStyle name="계산 59" xfId="1634"/>
    <cellStyle name="계산 6" xfId="1635"/>
    <cellStyle name="계산 60" xfId="1636"/>
    <cellStyle name="계산 61" xfId="1637"/>
    <cellStyle name="계산 62" xfId="1638"/>
    <cellStyle name="계산 63" xfId="1639"/>
    <cellStyle name="계산 64" xfId="1640"/>
    <cellStyle name="계산 7" xfId="1641"/>
    <cellStyle name="계산 8" xfId="1642"/>
    <cellStyle name="계산 9" xfId="1643"/>
    <cellStyle name="나쁨" xfId="2646" builtinId="27" customBuiltin="1"/>
    <cellStyle name="나쁨 10" xfId="1644"/>
    <cellStyle name="나쁨 11" xfId="1645"/>
    <cellStyle name="나쁨 12" xfId="1646"/>
    <cellStyle name="나쁨 13" xfId="1647"/>
    <cellStyle name="나쁨 14" xfId="1648"/>
    <cellStyle name="나쁨 15" xfId="1649"/>
    <cellStyle name="나쁨 16" xfId="1650"/>
    <cellStyle name="나쁨 17" xfId="1651"/>
    <cellStyle name="나쁨 18" xfId="1652"/>
    <cellStyle name="나쁨 19" xfId="1653"/>
    <cellStyle name="나쁨 2" xfId="1654"/>
    <cellStyle name="나쁨 20" xfId="1655"/>
    <cellStyle name="나쁨 21" xfId="1656"/>
    <cellStyle name="나쁨 22" xfId="1657"/>
    <cellStyle name="나쁨 23" xfId="1658"/>
    <cellStyle name="나쁨 24" xfId="1659"/>
    <cellStyle name="나쁨 25" xfId="1660"/>
    <cellStyle name="나쁨 26" xfId="1661"/>
    <cellStyle name="나쁨 27" xfId="1662"/>
    <cellStyle name="나쁨 28" xfId="1663"/>
    <cellStyle name="나쁨 29" xfId="1664"/>
    <cellStyle name="나쁨 3" xfId="1665"/>
    <cellStyle name="나쁨 30" xfId="1666"/>
    <cellStyle name="나쁨 31" xfId="1667"/>
    <cellStyle name="나쁨 32" xfId="1668"/>
    <cellStyle name="나쁨 33" xfId="1669"/>
    <cellStyle name="나쁨 34" xfId="1670"/>
    <cellStyle name="나쁨 35" xfId="1671"/>
    <cellStyle name="나쁨 36" xfId="1672"/>
    <cellStyle name="나쁨 37" xfId="1673"/>
    <cellStyle name="나쁨 38" xfId="1674"/>
    <cellStyle name="나쁨 39" xfId="1675"/>
    <cellStyle name="나쁨 4" xfId="1676"/>
    <cellStyle name="나쁨 40" xfId="1677"/>
    <cellStyle name="나쁨 41" xfId="1678"/>
    <cellStyle name="나쁨 42" xfId="1679"/>
    <cellStyle name="나쁨 43" xfId="1680"/>
    <cellStyle name="나쁨 44" xfId="1681"/>
    <cellStyle name="나쁨 45" xfId="1682"/>
    <cellStyle name="나쁨 46" xfId="1683"/>
    <cellStyle name="나쁨 47" xfId="1684"/>
    <cellStyle name="나쁨 48" xfId="1685"/>
    <cellStyle name="나쁨 49" xfId="1686"/>
    <cellStyle name="나쁨 5" xfId="1687"/>
    <cellStyle name="나쁨 50" xfId="1688"/>
    <cellStyle name="나쁨 51" xfId="1689"/>
    <cellStyle name="나쁨 52" xfId="1690"/>
    <cellStyle name="나쁨 53" xfId="1691"/>
    <cellStyle name="나쁨 54" xfId="1692"/>
    <cellStyle name="나쁨 55" xfId="1693"/>
    <cellStyle name="나쁨 56" xfId="1694"/>
    <cellStyle name="나쁨 57" xfId="1695"/>
    <cellStyle name="나쁨 58" xfId="1696"/>
    <cellStyle name="나쁨 59" xfId="1697"/>
    <cellStyle name="나쁨 6" xfId="1698"/>
    <cellStyle name="나쁨 60" xfId="1699"/>
    <cellStyle name="나쁨 61" xfId="1700"/>
    <cellStyle name="나쁨 62" xfId="1701"/>
    <cellStyle name="나쁨 63" xfId="1702"/>
    <cellStyle name="나쁨 64" xfId="1703"/>
    <cellStyle name="나쁨 7" xfId="1704"/>
    <cellStyle name="나쁨 8" xfId="1705"/>
    <cellStyle name="나쁨 9" xfId="1706"/>
    <cellStyle name="메모 10" xfId="1707"/>
    <cellStyle name="메모 11" xfId="1708"/>
    <cellStyle name="메모 12" xfId="1709"/>
    <cellStyle name="메모 13" xfId="1710"/>
    <cellStyle name="메모 14" xfId="1711"/>
    <cellStyle name="메모 15" xfId="1712"/>
    <cellStyle name="메모 16" xfId="1713"/>
    <cellStyle name="메모 17" xfId="1714"/>
    <cellStyle name="메모 18" xfId="1715"/>
    <cellStyle name="메모 19" xfId="1716"/>
    <cellStyle name="메모 2" xfId="1717"/>
    <cellStyle name="메모 20" xfId="1718"/>
    <cellStyle name="메모 21" xfId="1719"/>
    <cellStyle name="메모 22" xfId="1720"/>
    <cellStyle name="메모 23" xfId="1721"/>
    <cellStyle name="메모 24" xfId="1722"/>
    <cellStyle name="메모 25" xfId="1723"/>
    <cellStyle name="메모 26" xfId="1724"/>
    <cellStyle name="메모 27" xfId="1725"/>
    <cellStyle name="메모 28" xfId="1726"/>
    <cellStyle name="메모 29" xfId="1727"/>
    <cellStyle name="메모 3" xfId="1728"/>
    <cellStyle name="메모 30" xfId="1729"/>
    <cellStyle name="메모 31" xfId="1730"/>
    <cellStyle name="메모 32" xfId="1731"/>
    <cellStyle name="메모 33" xfId="1732"/>
    <cellStyle name="메모 34" xfId="1733"/>
    <cellStyle name="메모 35" xfId="1734"/>
    <cellStyle name="메모 36" xfId="1735"/>
    <cellStyle name="메모 37" xfId="1736"/>
    <cellStyle name="메모 38" xfId="1737"/>
    <cellStyle name="메모 39" xfId="1738"/>
    <cellStyle name="메모 4" xfId="1739"/>
    <cellStyle name="메모 40" xfId="1740"/>
    <cellStyle name="메모 41" xfId="1741"/>
    <cellStyle name="메모 42" xfId="1742"/>
    <cellStyle name="메모 43" xfId="1743"/>
    <cellStyle name="메모 44" xfId="1744"/>
    <cellStyle name="메모 45" xfId="1745"/>
    <cellStyle name="메모 46" xfId="1746"/>
    <cellStyle name="메모 47" xfId="1747"/>
    <cellStyle name="메모 48" xfId="1748"/>
    <cellStyle name="메모 49" xfId="1749"/>
    <cellStyle name="메모 5" xfId="1750"/>
    <cellStyle name="메모 50" xfId="1751"/>
    <cellStyle name="메모 51" xfId="1752"/>
    <cellStyle name="메모 52" xfId="1753"/>
    <cellStyle name="메모 53" xfId="1754"/>
    <cellStyle name="메모 54" xfId="1755"/>
    <cellStyle name="메모 55" xfId="1756"/>
    <cellStyle name="메모 56" xfId="1757"/>
    <cellStyle name="메모 57" xfId="1758"/>
    <cellStyle name="메모 58" xfId="1759"/>
    <cellStyle name="메모 58 2" xfId="2863"/>
    <cellStyle name="메모 59" xfId="1760"/>
    <cellStyle name="메모 59 2" xfId="2864"/>
    <cellStyle name="메모 6" xfId="1761"/>
    <cellStyle name="메모 60" xfId="1762"/>
    <cellStyle name="메모 60 2" xfId="2865"/>
    <cellStyle name="메모 61" xfId="1763"/>
    <cellStyle name="메모 61 2" xfId="2866"/>
    <cellStyle name="메모 62" xfId="1764"/>
    <cellStyle name="메모 62 2" xfId="2867"/>
    <cellStyle name="메모 63" xfId="1765"/>
    <cellStyle name="메모 63 2" xfId="2868"/>
    <cellStyle name="메모 64" xfId="1766"/>
    <cellStyle name="메모 64 2" xfId="2869"/>
    <cellStyle name="메모 65" xfId="2681"/>
    <cellStyle name="메모 65 2" xfId="2918"/>
    <cellStyle name="메모 65 2 2" xfId="3366"/>
    <cellStyle name="메모 65 2 3" xfId="3993"/>
    <cellStyle name="메모 65 2 4" xfId="4480"/>
    <cellStyle name="메모 65 3" xfId="3190"/>
    <cellStyle name="메모 65 4" xfId="3817"/>
    <cellStyle name="메모 65 5" xfId="4304"/>
    <cellStyle name="메모 66" xfId="2683"/>
    <cellStyle name="메모 66 2" xfId="2920"/>
    <cellStyle name="메모 66 2 2" xfId="3368"/>
    <cellStyle name="메모 66 2 3" xfId="3995"/>
    <cellStyle name="메모 66 2 4" xfId="4482"/>
    <cellStyle name="메모 66 3" xfId="3192"/>
    <cellStyle name="메모 66 4" xfId="3819"/>
    <cellStyle name="메모 66 5" xfId="4306"/>
    <cellStyle name="메모 67" xfId="2712"/>
    <cellStyle name="메모 67 2" xfId="2942"/>
    <cellStyle name="메모 67 2 2" xfId="3389"/>
    <cellStyle name="메모 67 2 3" xfId="4016"/>
    <cellStyle name="메모 67 2 4" xfId="4503"/>
    <cellStyle name="메모 67 3" xfId="3213"/>
    <cellStyle name="메모 67 4" xfId="3840"/>
    <cellStyle name="메모 67 5" xfId="4327"/>
    <cellStyle name="메모 68" xfId="2726"/>
    <cellStyle name="메모 68 2" xfId="2956"/>
    <cellStyle name="메모 68 2 2" xfId="3403"/>
    <cellStyle name="메모 68 2 3" xfId="4030"/>
    <cellStyle name="메모 68 2 4" xfId="4517"/>
    <cellStyle name="메모 68 3" xfId="3227"/>
    <cellStyle name="메모 68 4" xfId="3854"/>
    <cellStyle name="메모 68 5" xfId="4341"/>
    <cellStyle name="메모 69" xfId="2740"/>
    <cellStyle name="메모 69 2" xfId="2970"/>
    <cellStyle name="메모 69 2 2" xfId="3417"/>
    <cellStyle name="메모 69 2 3" xfId="4044"/>
    <cellStyle name="메모 69 2 4" xfId="4531"/>
    <cellStyle name="메모 69 3" xfId="3241"/>
    <cellStyle name="메모 69 4" xfId="3868"/>
    <cellStyle name="메모 69 5" xfId="4355"/>
    <cellStyle name="메모 7" xfId="1767"/>
    <cellStyle name="메모 70" xfId="2755"/>
    <cellStyle name="메모 70 2" xfId="2985"/>
    <cellStyle name="메모 70 2 2" xfId="3432"/>
    <cellStyle name="메모 70 2 3" xfId="4059"/>
    <cellStyle name="메모 70 2 4" xfId="4546"/>
    <cellStyle name="메모 70 3" xfId="3256"/>
    <cellStyle name="메모 70 4" xfId="3883"/>
    <cellStyle name="메모 70 5" xfId="4370"/>
    <cellStyle name="메모 71" xfId="2770"/>
    <cellStyle name="메모 71 2" xfId="3000"/>
    <cellStyle name="메모 71 2 2" xfId="3447"/>
    <cellStyle name="메모 71 2 3" xfId="4074"/>
    <cellStyle name="메모 71 2 4" xfId="4561"/>
    <cellStyle name="메모 71 3" xfId="3271"/>
    <cellStyle name="메모 71 4" xfId="3898"/>
    <cellStyle name="메모 71 5" xfId="4385"/>
    <cellStyle name="메모 72" xfId="2784"/>
    <cellStyle name="메모 72 2" xfId="3014"/>
    <cellStyle name="메모 72 2 2" xfId="3461"/>
    <cellStyle name="메모 72 2 3" xfId="4088"/>
    <cellStyle name="메모 72 2 4" xfId="4575"/>
    <cellStyle name="메모 72 3" xfId="3285"/>
    <cellStyle name="메모 72 4" xfId="3912"/>
    <cellStyle name="메모 72 5" xfId="4399"/>
    <cellStyle name="메모 73" xfId="2802"/>
    <cellStyle name="메모 73 2" xfId="3031"/>
    <cellStyle name="메모 73 2 2" xfId="3478"/>
    <cellStyle name="메모 73 2 3" xfId="4105"/>
    <cellStyle name="메모 73 2 4" xfId="4592"/>
    <cellStyle name="메모 73 3" xfId="3302"/>
    <cellStyle name="메모 73 4" xfId="3929"/>
    <cellStyle name="메모 73 5" xfId="4416"/>
    <cellStyle name="메모 74" xfId="2822"/>
    <cellStyle name="메모 74 2" xfId="3051"/>
    <cellStyle name="메모 74 2 2" xfId="3498"/>
    <cellStyle name="메모 74 2 3" xfId="4125"/>
    <cellStyle name="메모 74 2 4" xfId="4612"/>
    <cellStyle name="메모 74 3" xfId="3322"/>
    <cellStyle name="메모 74 4" xfId="3949"/>
    <cellStyle name="메모 74 5" xfId="4436"/>
    <cellStyle name="메모 75" xfId="2843"/>
    <cellStyle name="메모 75 2" xfId="3343"/>
    <cellStyle name="메모 75 3" xfId="3970"/>
    <cellStyle name="메모 75 4" xfId="4457"/>
    <cellStyle name="메모 76" xfId="3072"/>
    <cellStyle name="메모 76 2" xfId="3519"/>
    <cellStyle name="메모 76 3" xfId="4146"/>
    <cellStyle name="메모 76 4" xfId="4633"/>
    <cellStyle name="메모 77" xfId="3092"/>
    <cellStyle name="메모 77 2" xfId="3539"/>
    <cellStyle name="메모 77 3" xfId="4166"/>
    <cellStyle name="메모 77 4" xfId="4653"/>
    <cellStyle name="메모 78" xfId="3113"/>
    <cellStyle name="메모 78 2" xfId="3560"/>
    <cellStyle name="메모 78 3" xfId="4187"/>
    <cellStyle name="메모 78 4" xfId="4674"/>
    <cellStyle name="메모 79" xfId="3134"/>
    <cellStyle name="메모 79 2" xfId="3581"/>
    <cellStyle name="메모 79 3" xfId="4208"/>
    <cellStyle name="메모 79 4" xfId="4695"/>
    <cellStyle name="메모 8" xfId="1768"/>
    <cellStyle name="메모 80" xfId="3155"/>
    <cellStyle name="메모 80 2" xfId="3602"/>
    <cellStyle name="메모 80 3" xfId="4229"/>
    <cellStyle name="메모 80 4" xfId="4716"/>
    <cellStyle name="메모 81" xfId="3622"/>
    <cellStyle name="메모 81 2" xfId="4249"/>
    <cellStyle name="메모 82" xfId="3642"/>
    <cellStyle name="메모 83" xfId="3662"/>
    <cellStyle name="메모 84" xfId="3682"/>
    <cellStyle name="메모 85" xfId="3702"/>
    <cellStyle name="메모 86" xfId="3722"/>
    <cellStyle name="메모 87" xfId="3742"/>
    <cellStyle name="메모 88" xfId="3762"/>
    <cellStyle name="메모 89" xfId="3782"/>
    <cellStyle name="메모 9" xfId="1769"/>
    <cellStyle name="메모 90" xfId="4269"/>
    <cellStyle name="메모 91" xfId="4736"/>
    <cellStyle name="백분율" xfId="2696" builtinId="5"/>
    <cellStyle name="백분율 2" xfId="2700"/>
    <cellStyle name="백분율 3" xfId="2709"/>
    <cellStyle name="백분율 4" xfId="2933"/>
    <cellStyle name="보통" xfId="2647" builtinId="28" customBuiltin="1"/>
    <cellStyle name="보통 10" xfId="1770"/>
    <cellStyle name="보통 11" xfId="1771"/>
    <cellStyle name="보통 12" xfId="1772"/>
    <cellStyle name="보통 13" xfId="1773"/>
    <cellStyle name="보통 14" xfId="1774"/>
    <cellStyle name="보통 15" xfId="1775"/>
    <cellStyle name="보통 16" xfId="1776"/>
    <cellStyle name="보통 17" xfId="1777"/>
    <cellStyle name="보통 18" xfId="1778"/>
    <cellStyle name="보통 19" xfId="1779"/>
    <cellStyle name="보통 2" xfId="1780"/>
    <cellStyle name="보통 20" xfId="1781"/>
    <cellStyle name="보통 21" xfId="1782"/>
    <cellStyle name="보통 22" xfId="1783"/>
    <cellStyle name="보통 23" xfId="1784"/>
    <cellStyle name="보통 24" xfId="1785"/>
    <cellStyle name="보통 25" xfId="1786"/>
    <cellStyle name="보통 26" xfId="1787"/>
    <cellStyle name="보통 27" xfId="1788"/>
    <cellStyle name="보통 28" xfId="1789"/>
    <cellStyle name="보통 29" xfId="1790"/>
    <cellStyle name="보통 3" xfId="1791"/>
    <cellStyle name="보통 30" xfId="1792"/>
    <cellStyle name="보통 31" xfId="1793"/>
    <cellStyle name="보통 32" xfId="1794"/>
    <cellStyle name="보통 33" xfId="1795"/>
    <cellStyle name="보통 34" xfId="1796"/>
    <cellStyle name="보통 35" xfId="1797"/>
    <cellStyle name="보통 36" xfId="1798"/>
    <cellStyle name="보통 37" xfId="1799"/>
    <cellStyle name="보통 38" xfId="1800"/>
    <cellStyle name="보통 39" xfId="1801"/>
    <cellStyle name="보통 4" xfId="1802"/>
    <cellStyle name="보통 40" xfId="1803"/>
    <cellStyle name="보통 41" xfId="1804"/>
    <cellStyle name="보통 42" xfId="1805"/>
    <cellStyle name="보통 43" xfId="1806"/>
    <cellStyle name="보통 44" xfId="1807"/>
    <cellStyle name="보통 45" xfId="1808"/>
    <cellStyle name="보통 46" xfId="1809"/>
    <cellStyle name="보통 47" xfId="1810"/>
    <cellStyle name="보통 48" xfId="1811"/>
    <cellStyle name="보통 49" xfId="1812"/>
    <cellStyle name="보통 5" xfId="1813"/>
    <cellStyle name="보통 50" xfId="1814"/>
    <cellStyle name="보통 51" xfId="1815"/>
    <cellStyle name="보통 52" xfId="1816"/>
    <cellStyle name="보통 53" xfId="1817"/>
    <cellStyle name="보통 54" xfId="1818"/>
    <cellStyle name="보통 55" xfId="1819"/>
    <cellStyle name="보통 56" xfId="1820"/>
    <cellStyle name="보통 57" xfId="1821"/>
    <cellStyle name="보통 58" xfId="1822"/>
    <cellStyle name="보통 59" xfId="1823"/>
    <cellStyle name="보통 6" xfId="1824"/>
    <cellStyle name="보통 60" xfId="1825"/>
    <cellStyle name="보통 61" xfId="1826"/>
    <cellStyle name="보통 62" xfId="1827"/>
    <cellStyle name="보통 63" xfId="1828"/>
    <cellStyle name="보통 64" xfId="1829"/>
    <cellStyle name="보통 65" xfId="2801"/>
    <cellStyle name="보통 66" xfId="2910"/>
    <cellStyle name="보통 7" xfId="1830"/>
    <cellStyle name="보통 8" xfId="1831"/>
    <cellStyle name="보통 9" xfId="1832"/>
    <cellStyle name="설명 텍스트" xfId="2654" builtinId="53" customBuiltin="1"/>
    <cellStyle name="설명 텍스트 10" xfId="1833"/>
    <cellStyle name="설명 텍스트 11" xfId="1834"/>
    <cellStyle name="설명 텍스트 12" xfId="1835"/>
    <cellStyle name="설명 텍스트 13" xfId="1836"/>
    <cellStyle name="설명 텍스트 14" xfId="1837"/>
    <cellStyle name="설명 텍스트 15" xfId="1838"/>
    <cellStyle name="설명 텍스트 16" xfId="1839"/>
    <cellStyle name="설명 텍스트 17" xfId="1840"/>
    <cellStyle name="설명 텍스트 18" xfId="1841"/>
    <cellStyle name="설명 텍스트 19" xfId="1842"/>
    <cellStyle name="설명 텍스트 2" xfId="1843"/>
    <cellStyle name="설명 텍스트 20" xfId="1844"/>
    <cellStyle name="설명 텍스트 21" xfId="1845"/>
    <cellStyle name="설명 텍스트 22" xfId="1846"/>
    <cellStyle name="설명 텍스트 23" xfId="1847"/>
    <cellStyle name="설명 텍스트 24" xfId="1848"/>
    <cellStyle name="설명 텍스트 25" xfId="1849"/>
    <cellStyle name="설명 텍스트 26" xfId="1850"/>
    <cellStyle name="설명 텍스트 27" xfId="1851"/>
    <cellStyle name="설명 텍스트 28" xfId="1852"/>
    <cellStyle name="설명 텍스트 29" xfId="1853"/>
    <cellStyle name="설명 텍스트 3" xfId="1854"/>
    <cellStyle name="설명 텍스트 30" xfId="1855"/>
    <cellStyle name="설명 텍스트 31" xfId="1856"/>
    <cellStyle name="설명 텍스트 32" xfId="1857"/>
    <cellStyle name="설명 텍스트 33" xfId="1858"/>
    <cellStyle name="설명 텍스트 34" xfId="1859"/>
    <cellStyle name="설명 텍스트 35" xfId="1860"/>
    <cellStyle name="설명 텍스트 36" xfId="1861"/>
    <cellStyle name="설명 텍스트 37" xfId="1862"/>
    <cellStyle name="설명 텍스트 38" xfId="1863"/>
    <cellStyle name="설명 텍스트 39" xfId="1864"/>
    <cellStyle name="설명 텍스트 4" xfId="1865"/>
    <cellStyle name="설명 텍스트 40" xfId="1866"/>
    <cellStyle name="설명 텍스트 41" xfId="1867"/>
    <cellStyle name="설명 텍스트 42" xfId="1868"/>
    <cellStyle name="설명 텍스트 43" xfId="1869"/>
    <cellStyle name="설명 텍스트 44" xfId="1870"/>
    <cellStyle name="설명 텍스트 45" xfId="1871"/>
    <cellStyle name="설명 텍스트 46" xfId="1872"/>
    <cellStyle name="설명 텍스트 47" xfId="1873"/>
    <cellStyle name="설명 텍스트 48" xfId="1874"/>
    <cellStyle name="설명 텍스트 49" xfId="1875"/>
    <cellStyle name="설명 텍스트 5" xfId="1876"/>
    <cellStyle name="설명 텍스트 50" xfId="1877"/>
    <cellStyle name="설명 텍스트 51" xfId="1878"/>
    <cellStyle name="설명 텍스트 52" xfId="1879"/>
    <cellStyle name="설명 텍스트 53" xfId="1880"/>
    <cellStyle name="설명 텍스트 54" xfId="1881"/>
    <cellStyle name="설명 텍스트 55" xfId="1882"/>
    <cellStyle name="설명 텍스트 56" xfId="1883"/>
    <cellStyle name="설명 텍스트 57" xfId="1884"/>
    <cellStyle name="설명 텍스트 58" xfId="1885"/>
    <cellStyle name="설명 텍스트 59" xfId="1886"/>
    <cellStyle name="설명 텍스트 6" xfId="1887"/>
    <cellStyle name="설명 텍스트 60" xfId="1888"/>
    <cellStyle name="설명 텍스트 61" xfId="1889"/>
    <cellStyle name="설명 텍스트 62" xfId="1890"/>
    <cellStyle name="설명 텍스트 63" xfId="1891"/>
    <cellStyle name="설명 텍스트 64" xfId="1892"/>
    <cellStyle name="설명 텍스트 7" xfId="1893"/>
    <cellStyle name="설명 텍스트 8" xfId="1894"/>
    <cellStyle name="설명 텍스트 9" xfId="1895"/>
    <cellStyle name="셀 확인" xfId="2652" builtinId="23" customBuiltin="1"/>
    <cellStyle name="셀 확인 10" xfId="1896"/>
    <cellStyle name="셀 확인 11" xfId="1897"/>
    <cellStyle name="셀 확인 12" xfId="1898"/>
    <cellStyle name="셀 확인 13" xfId="1899"/>
    <cellStyle name="셀 확인 14" xfId="1900"/>
    <cellStyle name="셀 확인 15" xfId="1901"/>
    <cellStyle name="셀 확인 16" xfId="1902"/>
    <cellStyle name="셀 확인 17" xfId="1903"/>
    <cellStyle name="셀 확인 18" xfId="1904"/>
    <cellStyle name="셀 확인 19" xfId="1905"/>
    <cellStyle name="셀 확인 2" xfId="1906"/>
    <cellStyle name="셀 확인 20" xfId="1907"/>
    <cellStyle name="셀 확인 21" xfId="1908"/>
    <cellStyle name="셀 확인 22" xfId="1909"/>
    <cellStyle name="셀 확인 23" xfId="1910"/>
    <cellStyle name="셀 확인 24" xfId="1911"/>
    <cellStyle name="셀 확인 25" xfId="1912"/>
    <cellStyle name="셀 확인 26" xfId="1913"/>
    <cellStyle name="셀 확인 27" xfId="1914"/>
    <cellStyle name="셀 확인 28" xfId="1915"/>
    <cellStyle name="셀 확인 29" xfId="1916"/>
    <cellStyle name="셀 확인 3" xfId="1917"/>
    <cellStyle name="셀 확인 30" xfId="1918"/>
    <cellStyle name="셀 확인 31" xfId="1919"/>
    <cellStyle name="셀 확인 32" xfId="1920"/>
    <cellStyle name="셀 확인 33" xfId="1921"/>
    <cellStyle name="셀 확인 34" xfId="1922"/>
    <cellStyle name="셀 확인 35" xfId="1923"/>
    <cellStyle name="셀 확인 36" xfId="1924"/>
    <cellStyle name="셀 확인 37" xfId="1925"/>
    <cellStyle name="셀 확인 38" xfId="1926"/>
    <cellStyle name="셀 확인 39" xfId="1927"/>
    <cellStyle name="셀 확인 4" xfId="1928"/>
    <cellStyle name="셀 확인 40" xfId="1929"/>
    <cellStyle name="셀 확인 41" xfId="1930"/>
    <cellStyle name="셀 확인 42" xfId="1931"/>
    <cellStyle name="셀 확인 43" xfId="1932"/>
    <cellStyle name="셀 확인 44" xfId="1933"/>
    <cellStyle name="셀 확인 45" xfId="1934"/>
    <cellStyle name="셀 확인 46" xfId="1935"/>
    <cellStyle name="셀 확인 47" xfId="1936"/>
    <cellStyle name="셀 확인 48" xfId="1937"/>
    <cellStyle name="셀 확인 49" xfId="1938"/>
    <cellStyle name="셀 확인 5" xfId="1939"/>
    <cellStyle name="셀 확인 50" xfId="1940"/>
    <cellStyle name="셀 확인 51" xfId="1941"/>
    <cellStyle name="셀 확인 52" xfId="1942"/>
    <cellStyle name="셀 확인 53" xfId="1943"/>
    <cellStyle name="셀 확인 54" xfId="1944"/>
    <cellStyle name="셀 확인 55" xfId="1945"/>
    <cellStyle name="셀 확인 56" xfId="1946"/>
    <cellStyle name="셀 확인 57" xfId="1947"/>
    <cellStyle name="셀 확인 58" xfId="1948"/>
    <cellStyle name="셀 확인 59" xfId="1949"/>
    <cellStyle name="셀 확인 6" xfId="1950"/>
    <cellStyle name="셀 확인 60" xfId="1951"/>
    <cellStyle name="셀 확인 61" xfId="1952"/>
    <cellStyle name="셀 확인 62" xfId="1953"/>
    <cellStyle name="셀 확인 63" xfId="1954"/>
    <cellStyle name="셀 확인 64" xfId="1955"/>
    <cellStyle name="셀 확인 7" xfId="1956"/>
    <cellStyle name="셀 확인 8" xfId="1957"/>
    <cellStyle name="셀 확인 9" xfId="1958"/>
    <cellStyle name="쉼표 [0]" xfId="1959" builtinId="6"/>
    <cellStyle name="쉼표 [0] 10" xfId="3801"/>
    <cellStyle name="쉼표 [0] 11" xfId="4288"/>
    <cellStyle name="쉼표 [0] 2" xfId="1960"/>
    <cellStyle name="쉼표 [0] 2 2" xfId="2698"/>
    <cellStyle name="쉼표 [0] 2 2 2" xfId="2934"/>
    <cellStyle name="쉼표 [0] 2 2 2 2" xfId="3381"/>
    <cellStyle name="쉼표 [0] 2 2 2 3" xfId="4008"/>
    <cellStyle name="쉼표 [0] 2 2 2 4" xfId="4495"/>
    <cellStyle name="쉼표 [0] 2 2 3" xfId="3205"/>
    <cellStyle name="쉼표 [0] 2 2 4" xfId="3832"/>
    <cellStyle name="쉼표 [0] 2 2 5" xfId="4319"/>
    <cellStyle name="쉼표 [0] 2 3" xfId="2871"/>
    <cellStyle name="쉼표 [0] 2 3 2" xfId="3363"/>
    <cellStyle name="쉼표 [0] 2 3 3" xfId="3990"/>
    <cellStyle name="쉼표 [0] 2 3 4" xfId="4477"/>
    <cellStyle name="쉼표 [0] 2 4" xfId="3175"/>
    <cellStyle name="쉼표 [0] 2 5" xfId="3802"/>
    <cellStyle name="쉼표 [0] 2 6" xfId="4289"/>
    <cellStyle name="쉼표 [0] 3" xfId="1961"/>
    <cellStyle name="쉼표 [0] 3 2" xfId="2872"/>
    <cellStyle name="쉼표 [0] 3 2 2" xfId="3364"/>
    <cellStyle name="쉼표 [0] 3 2 3" xfId="3991"/>
    <cellStyle name="쉼표 [0] 3 2 4" xfId="4478"/>
    <cellStyle name="쉼표 [0] 3 3" xfId="3176"/>
    <cellStyle name="쉼표 [0] 3 4" xfId="3803"/>
    <cellStyle name="쉼표 [0] 3 5" xfId="4290"/>
    <cellStyle name="쉼표 [0] 4" xfId="2708"/>
    <cellStyle name="쉼표 [0] 4 2" xfId="2940"/>
    <cellStyle name="쉼표 [0] 4 2 2" xfId="3387"/>
    <cellStyle name="쉼표 [0] 4 2 3" xfId="4014"/>
    <cellStyle name="쉼표 [0] 4 2 4" xfId="4501"/>
    <cellStyle name="쉼표 [0] 4 3" xfId="3211"/>
    <cellStyle name="쉼표 [0] 4 4" xfId="3838"/>
    <cellStyle name="쉼표 [0] 4 5" xfId="4325"/>
    <cellStyle name="쉼표 [0] 5" xfId="2870"/>
    <cellStyle name="쉼표 [0] 5 2" xfId="3362"/>
    <cellStyle name="쉼표 [0] 5 3" xfId="3989"/>
    <cellStyle name="쉼표 [0] 5 4" xfId="4476"/>
    <cellStyle name="쉼표 [0] 6" xfId="3112"/>
    <cellStyle name="쉼표 [0] 6 2" xfId="3559"/>
    <cellStyle name="쉼표 [0] 6 3" xfId="4186"/>
    <cellStyle name="쉼표 [0] 6 4" xfId="4673"/>
    <cellStyle name="쉼표 [0] 7" xfId="3133"/>
    <cellStyle name="쉼표 [0] 7 2" xfId="3580"/>
    <cellStyle name="쉼표 [0] 7 3" xfId="4207"/>
    <cellStyle name="쉼표 [0] 7 4" xfId="4694"/>
    <cellStyle name="쉼표 [0] 8" xfId="3154"/>
    <cellStyle name="쉼표 [0] 8 2" xfId="3601"/>
    <cellStyle name="쉼표 [0] 8 3" xfId="4228"/>
    <cellStyle name="쉼표 [0] 8 4" xfId="4715"/>
    <cellStyle name="쉼표 [0] 9" xfId="3174"/>
    <cellStyle name="쉼표 2" xfId="2699"/>
    <cellStyle name="쉼표 2 2" xfId="2701"/>
    <cellStyle name="쉼표 2 2 2" xfId="2936"/>
    <cellStyle name="쉼표 2 2 2 2" xfId="3383"/>
    <cellStyle name="쉼표 2 2 2 3" xfId="4010"/>
    <cellStyle name="쉼표 2 2 2 4" xfId="4497"/>
    <cellStyle name="쉼표 2 2 3" xfId="3207"/>
    <cellStyle name="쉼표 2 2 4" xfId="3834"/>
    <cellStyle name="쉼표 2 2 5" xfId="4321"/>
    <cellStyle name="쉼표 2 3" xfId="2935"/>
    <cellStyle name="쉼표 2 3 2" xfId="3382"/>
    <cellStyle name="쉼표 2 3 3" xfId="4009"/>
    <cellStyle name="쉼표 2 3 4" xfId="4496"/>
    <cellStyle name="쉼표 2 4" xfId="3206"/>
    <cellStyle name="쉼표 2 5" xfId="3833"/>
    <cellStyle name="쉼표 2 6" xfId="4320"/>
    <cellStyle name="연결된 셀" xfId="2651" builtinId="24" customBuiltin="1"/>
    <cellStyle name="연결된 셀 10" xfId="1962"/>
    <cellStyle name="연결된 셀 11" xfId="1963"/>
    <cellStyle name="연결된 셀 12" xfId="1964"/>
    <cellStyle name="연결된 셀 13" xfId="1965"/>
    <cellStyle name="연결된 셀 14" xfId="1966"/>
    <cellStyle name="연결된 셀 15" xfId="1967"/>
    <cellStyle name="연결된 셀 16" xfId="1968"/>
    <cellStyle name="연결된 셀 17" xfId="1969"/>
    <cellStyle name="연결된 셀 18" xfId="1970"/>
    <cellStyle name="연결된 셀 19" xfId="1971"/>
    <cellStyle name="연결된 셀 2" xfId="1972"/>
    <cellStyle name="연결된 셀 20" xfId="1973"/>
    <cellStyle name="연결된 셀 21" xfId="1974"/>
    <cellStyle name="연결된 셀 22" xfId="1975"/>
    <cellStyle name="연결된 셀 23" xfId="1976"/>
    <cellStyle name="연결된 셀 24" xfId="1977"/>
    <cellStyle name="연결된 셀 25" xfId="1978"/>
    <cellStyle name="연결된 셀 26" xfId="1979"/>
    <cellStyle name="연결된 셀 27" xfId="1980"/>
    <cellStyle name="연결된 셀 28" xfId="1981"/>
    <cellStyle name="연결된 셀 29" xfId="1982"/>
    <cellStyle name="연결된 셀 3" xfId="1983"/>
    <cellStyle name="연결된 셀 30" xfId="1984"/>
    <cellStyle name="연결된 셀 31" xfId="1985"/>
    <cellStyle name="연결된 셀 32" xfId="1986"/>
    <cellStyle name="연결된 셀 33" xfId="1987"/>
    <cellStyle name="연결된 셀 34" xfId="1988"/>
    <cellStyle name="연결된 셀 35" xfId="1989"/>
    <cellStyle name="연결된 셀 36" xfId="1990"/>
    <cellStyle name="연결된 셀 37" xfId="1991"/>
    <cellStyle name="연결된 셀 38" xfId="1992"/>
    <cellStyle name="연결된 셀 39" xfId="1993"/>
    <cellStyle name="연결된 셀 4" xfId="1994"/>
    <cellStyle name="연결된 셀 40" xfId="1995"/>
    <cellStyle name="연결된 셀 41" xfId="1996"/>
    <cellStyle name="연결된 셀 42" xfId="1997"/>
    <cellStyle name="연결된 셀 43" xfId="1998"/>
    <cellStyle name="연결된 셀 44" xfId="1999"/>
    <cellStyle name="연결된 셀 45" xfId="2000"/>
    <cellStyle name="연결된 셀 46" xfId="2001"/>
    <cellStyle name="연결된 셀 47" xfId="2002"/>
    <cellStyle name="연결된 셀 48" xfId="2003"/>
    <cellStyle name="연결된 셀 49" xfId="2004"/>
    <cellStyle name="연결된 셀 5" xfId="2005"/>
    <cellStyle name="연결된 셀 50" xfId="2006"/>
    <cellStyle name="연결된 셀 51" xfId="2007"/>
    <cellStyle name="연결된 셀 52" xfId="2008"/>
    <cellStyle name="연결된 셀 53" xfId="2009"/>
    <cellStyle name="연결된 셀 54" xfId="2010"/>
    <cellStyle name="연결된 셀 55" xfId="2011"/>
    <cellStyle name="연결된 셀 56" xfId="2012"/>
    <cellStyle name="연결된 셀 57" xfId="2013"/>
    <cellStyle name="연결된 셀 58" xfId="2014"/>
    <cellStyle name="연결된 셀 59" xfId="2015"/>
    <cellStyle name="연결된 셀 59 2" xfId="2873"/>
    <cellStyle name="연결된 셀 6" xfId="2016"/>
    <cellStyle name="연결된 셀 60" xfId="2017"/>
    <cellStyle name="연결된 셀 60 2" xfId="2874"/>
    <cellStyle name="연결된 셀 61" xfId="2018"/>
    <cellStyle name="연결된 셀 61 2" xfId="2875"/>
    <cellStyle name="연결된 셀 62" xfId="2019"/>
    <cellStyle name="연결된 셀 62 2" xfId="2876"/>
    <cellStyle name="연결된 셀 63" xfId="2020"/>
    <cellStyle name="연결된 셀 63 2" xfId="2877"/>
    <cellStyle name="연결된 셀 64" xfId="2021"/>
    <cellStyle name="연결된 셀 64 2" xfId="2878"/>
    <cellStyle name="연결된 셀 7" xfId="2022"/>
    <cellStyle name="연결된 셀 8" xfId="2023"/>
    <cellStyle name="연결된 셀 9" xfId="2024"/>
    <cellStyle name="요약" xfId="2655" builtinId="25" customBuiltin="1"/>
    <cellStyle name="요약 10" xfId="2025"/>
    <cellStyle name="요약 11" xfId="2026"/>
    <cellStyle name="요약 12" xfId="2027"/>
    <cellStyle name="요약 13" xfId="2028"/>
    <cellStyle name="요약 14" xfId="2029"/>
    <cellStyle name="요약 15" xfId="2030"/>
    <cellStyle name="요약 16" xfId="2031"/>
    <cellStyle name="요약 17" xfId="2032"/>
    <cellStyle name="요약 18" xfId="2033"/>
    <cellStyle name="요약 19" xfId="2034"/>
    <cellStyle name="요약 2" xfId="2035"/>
    <cellStyle name="요약 20" xfId="2036"/>
    <cellStyle name="요약 21" xfId="2037"/>
    <cellStyle name="요약 22" xfId="2038"/>
    <cellStyle name="요약 23" xfId="2039"/>
    <cellStyle name="요약 24" xfId="2040"/>
    <cellStyle name="요약 25" xfId="2041"/>
    <cellStyle name="요약 26" xfId="2042"/>
    <cellStyle name="요약 27" xfId="2043"/>
    <cellStyle name="요약 28" xfId="2044"/>
    <cellStyle name="요약 29" xfId="2045"/>
    <cellStyle name="요약 3" xfId="2046"/>
    <cellStyle name="요약 30" xfId="2047"/>
    <cellStyle name="요약 31" xfId="2048"/>
    <cellStyle name="요약 32" xfId="2049"/>
    <cellStyle name="요약 33" xfId="2050"/>
    <cellStyle name="요약 34" xfId="2051"/>
    <cellStyle name="요약 35" xfId="2052"/>
    <cellStyle name="요약 36" xfId="2053"/>
    <cellStyle name="요약 37" xfId="2054"/>
    <cellStyle name="요약 38" xfId="2055"/>
    <cellStyle name="요약 39" xfId="2056"/>
    <cellStyle name="요약 4" xfId="2057"/>
    <cellStyle name="요약 40" xfId="2058"/>
    <cellStyle name="요약 41" xfId="2059"/>
    <cellStyle name="요약 42" xfId="2060"/>
    <cellStyle name="요약 43" xfId="2061"/>
    <cellStyle name="요약 44" xfId="2062"/>
    <cellStyle name="요약 45" xfId="2063"/>
    <cellStyle name="요약 46" xfId="2064"/>
    <cellStyle name="요약 47" xfId="2065"/>
    <cellStyle name="요약 48" xfId="2066"/>
    <cellStyle name="요약 49" xfId="2067"/>
    <cellStyle name="요약 5" xfId="2068"/>
    <cellStyle name="요약 50" xfId="2069"/>
    <cellStyle name="요약 51" xfId="2070"/>
    <cellStyle name="요약 52" xfId="2071"/>
    <cellStyle name="요약 53" xfId="2072"/>
    <cellStyle name="요약 54" xfId="2073"/>
    <cellStyle name="요약 55" xfId="2074"/>
    <cellStyle name="요약 56" xfId="2075"/>
    <cellStyle name="요약 57" xfId="2076"/>
    <cellStyle name="요약 58" xfId="2077"/>
    <cellStyle name="요약 59" xfId="2078"/>
    <cellStyle name="요약 6" xfId="2079"/>
    <cellStyle name="요약 60" xfId="2080"/>
    <cellStyle name="요약 61" xfId="2081"/>
    <cellStyle name="요약 62" xfId="2082"/>
    <cellStyle name="요약 63" xfId="2083"/>
    <cellStyle name="요약 64" xfId="2084"/>
    <cellStyle name="요약 7" xfId="2085"/>
    <cellStyle name="요약 8" xfId="2086"/>
    <cellStyle name="요약 9" xfId="2087"/>
    <cellStyle name="입력" xfId="2648" builtinId="20" customBuiltin="1"/>
    <cellStyle name="입력 10" xfId="2088"/>
    <cellStyle name="입력 11" xfId="2089"/>
    <cellStyle name="입력 12" xfId="2090"/>
    <cellStyle name="입력 13" xfId="2091"/>
    <cellStyle name="입력 14" xfId="2092"/>
    <cellStyle name="입력 15" xfId="2093"/>
    <cellStyle name="입력 16" xfId="2094"/>
    <cellStyle name="입력 17" xfId="2095"/>
    <cellStyle name="입력 18" xfId="2096"/>
    <cellStyle name="입력 19" xfId="2097"/>
    <cellStyle name="입력 2" xfId="2098"/>
    <cellStyle name="입력 20" xfId="2099"/>
    <cellStyle name="입력 21" xfId="2100"/>
    <cellStyle name="입력 22" xfId="2101"/>
    <cellStyle name="입력 23" xfId="2102"/>
    <cellStyle name="입력 24" xfId="2103"/>
    <cellStyle name="입력 25" xfId="2104"/>
    <cellStyle name="입력 26" xfId="2105"/>
    <cellStyle name="입력 27" xfId="2106"/>
    <cellStyle name="입력 28" xfId="2107"/>
    <cellStyle name="입력 29" xfId="2108"/>
    <cellStyle name="입력 3" xfId="2109"/>
    <cellStyle name="입력 30" xfId="2110"/>
    <cellStyle name="입력 31" xfId="2111"/>
    <cellStyle name="입력 32" xfId="2112"/>
    <cellStyle name="입력 33" xfId="2113"/>
    <cellStyle name="입력 34" xfId="2114"/>
    <cellStyle name="입력 35" xfId="2115"/>
    <cellStyle name="입력 36" xfId="2116"/>
    <cellStyle name="입력 37" xfId="2117"/>
    <cellStyle name="입력 38" xfId="2118"/>
    <cellStyle name="입력 39" xfId="2119"/>
    <cellStyle name="입력 4" xfId="2120"/>
    <cellStyle name="입력 40" xfId="2121"/>
    <cellStyle name="입력 41" xfId="2122"/>
    <cellStyle name="입력 42" xfId="2123"/>
    <cellStyle name="입력 43" xfId="2124"/>
    <cellStyle name="입력 44" xfId="2125"/>
    <cellStyle name="입력 45" xfId="2126"/>
    <cellStyle name="입력 46" xfId="2127"/>
    <cellStyle name="입력 47" xfId="2128"/>
    <cellStyle name="입력 48" xfId="2129"/>
    <cellStyle name="입력 49" xfId="2130"/>
    <cellStyle name="입력 5" xfId="2131"/>
    <cellStyle name="입력 50" xfId="2132"/>
    <cellStyle name="입력 51" xfId="2133"/>
    <cellStyle name="입력 52" xfId="2134"/>
    <cellStyle name="입력 53" xfId="2135"/>
    <cellStyle name="입력 54" xfId="2136"/>
    <cellStyle name="입력 55" xfId="2137"/>
    <cellStyle name="입력 56" xfId="2138"/>
    <cellStyle name="입력 57" xfId="2139"/>
    <cellStyle name="입력 58" xfId="2140"/>
    <cellStyle name="입력 59" xfId="2141"/>
    <cellStyle name="입력 6" xfId="2142"/>
    <cellStyle name="입력 60" xfId="2143"/>
    <cellStyle name="입력 61" xfId="2144"/>
    <cellStyle name="입력 62" xfId="2145"/>
    <cellStyle name="입력 63" xfId="2146"/>
    <cellStyle name="입력 64" xfId="2147"/>
    <cellStyle name="입력 7" xfId="2148"/>
    <cellStyle name="입력 8" xfId="2149"/>
    <cellStyle name="입력 9" xfId="2150"/>
    <cellStyle name="제목" xfId="2640" builtinId="15" customBuiltin="1"/>
    <cellStyle name="제목 1" xfId="2641" builtinId="16" customBuiltin="1"/>
    <cellStyle name="제목 1 10" xfId="2151"/>
    <cellStyle name="제목 1 11" xfId="2152"/>
    <cellStyle name="제목 1 12" xfId="2153"/>
    <cellStyle name="제목 1 13" xfId="2154"/>
    <cellStyle name="제목 1 14" xfId="2155"/>
    <cellStyle name="제목 1 15" xfId="2156"/>
    <cellStyle name="제목 1 16" xfId="2157"/>
    <cellStyle name="제목 1 17" xfId="2158"/>
    <cellStyle name="제목 1 18" xfId="2159"/>
    <cellStyle name="제목 1 19" xfId="2160"/>
    <cellStyle name="제목 1 2" xfId="2161"/>
    <cellStyle name="제목 1 20" xfId="2162"/>
    <cellStyle name="제목 1 21" xfId="2163"/>
    <cellStyle name="제목 1 22" xfId="2164"/>
    <cellStyle name="제목 1 23" xfId="2165"/>
    <cellStyle name="제목 1 24" xfId="2166"/>
    <cellStyle name="제목 1 25" xfId="2167"/>
    <cellStyle name="제목 1 26" xfId="2168"/>
    <cellStyle name="제목 1 27" xfId="2169"/>
    <cellStyle name="제목 1 28" xfId="2170"/>
    <cellStyle name="제목 1 29" xfId="2171"/>
    <cellStyle name="제목 1 3" xfId="2172"/>
    <cellStyle name="제목 1 30" xfId="2173"/>
    <cellStyle name="제목 1 31" xfId="2174"/>
    <cellStyle name="제목 1 32" xfId="2175"/>
    <cellStyle name="제목 1 33" xfId="2176"/>
    <cellStyle name="제목 1 34" xfId="2177"/>
    <cellStyle name="제목 1 35" xfId="2178"/>
    <cellStyle name="제목 1 36" xfId="2179"/>
    <cellStyle name="제목 1 37" xfId="2180"/>
    <cellStyle name="제목 1 38" xfId="2181"/>
    <cellStyle name="제목 1 39" xfId="2182"/>
    <cellStyle name="제목 1 4" xfId="2183"/>
    <cellStyle name="제목 1 40" xfId="2184"/>
    <cellStyle name="제목 1 41" xfId="2185"/>
    <cellStyle name="제목 1 42" xfId="2186"/>
    <cellStyle name="제목 1 43" xfId="2187"/>
    <cellStyle name="제목 1 44" xfId="2188"/>
    <cellStyle name="제목 1 45" xfId="2189"/>
    <cellStyle name="제목 1 46" xfId="2190"/>
    <cellStyle name="제목 1 47" xfId="2191"/>
    <cellStyle name="제목 1 48" xfId="2192"/>
    <cellStyle name="제목 1 49" xfId="2193"/>
    <cellStyle name="제목 1 5" xfId="2194"/>
    <cellStyle name="제목 1 50" xfId="2195"/>
    <cellStyle name="제목 1 51" xfId="2196"/>
    <cellStyle name="제목 1 52" xfId="2197"/>
    <cellStyle name="제목 1 53" xfId="2198"/>
    <cellStyle name="제목 1 54" xfId="2199"/>
    <cellStyle name="제목 1 55" xfId="2200"/>
    <cellStyle name="제목 1 56" xfId="2201"/>
    <cellStyle name="제목 1 57" xfId="2202"/>
    <cellStyle name="제목 1 58" xfId="2203"/>
    <cellStyle name="제목 1 59" xfId="2204"/>
    <cellStyle name="제목 1 59 2" xfId="2879"/>
    <cellStyle name="제목 1 6" xfId="2205"/>
    <cellStyle name="제목 1 60" xfId="2206"/>
    <cellStyle name="제목 1 60 2" xfId="2880"/>
    <cellStyle name="제목 1 61" xfId="2207"/>
    <cellStyle name="제목 1 61 2" xfId="2881"/>
    <cellStyle name="제목 1 62" xfId="2208"/>
    <cellStyle name="제목 1 62 2" xfId="2882"/>
    <cellStyle name="제목 1 63" xfId="2209"/>
    <cellStyle name="제목 1 63 2" xfId="2883"/>
    <cellStyle name="제목 1 64" xfId="2210"/>
    <cellStyle name="제목 1 64 2" xfId="2884"/>
    <cellStyle name="제목 1 7" xfId="2211"/>
    <cellStyle name="제목 1 8" xfId="2212"/>
    <cellStyle name="제목 1 9" xfId="2213"/>
    <cellStyle name="제목 10" xfId="2214"/>
    <cellStyle name="제목 11" xfId="2215"/>
    <cellStyle name="제목 12" xfId="2216"/>
    <cellStyle name="제목 13" xfId="2217"/>
    <cellStyle name="제목 14" xfId="2218"/>
    <cellStyle name="제목 15" xfId="2219"/>
    <cellStyle name="제목 16" xfId="2220"/>
    <cellStyle name="제목 17" xfId="2221"/>
    <cellStyle name="제목 18" xfId="2222"/>
    <cellStyle name="제목 19" xfId="2223"/>
    <cellStyle name="제목 2" xfId="2642" builtinId="17" customBuiltin="1"/>
    <cellStyle name="제목 2 10" xfId="2224"/>
    <cellStyle name="제목 2 11" xfId="2225"/>
    <cellStyle name="제목 2 12" xfId="2226"/>
    <cellStyle name="제목 2 13" xfId="2227"/>
    <cellStyle name="제목 2 14" xfId="2228"/>
    <cellStyle name="제목 2 15" xfId="2229"/>
    <cellStyle name="제목 2 16" xfId="2230"/>
    <cellStyle name="제목 2 17" xfId="2231"/>
    <cellStyle name="제목 2 18" xfId="2232"/>
    <cellStyle name="제목 2 19" xfId="2233"/>
    <cellStyle name="제목 2 2" xfId="2234"/>
    <cellStyle name="제목 2 20" xfId="2235"/>
    <cellStyle name="제목 2 21" xfId="2236"/>
    <cellStyle name="제목 2 22" xfId="2237"/>
    <cellStyle name="제목 2 23" xfId="2238"/>
    <cellStyle name="제목 2 24" xfId="2239"/>
    <cellStyle name="제목 2 25" xfId="2240"/>
    <cellStyle name="제목 2 26" xfId="2241"/>
    <cellStyle name="제목 2 27" xfId="2242"/>
    <cellStyle name="제목 2 28" xfId="2243"/>
    <cellStyle name="제목 2 29" xfId="2244"/>
    <cellStyle name="제목 2 3" xfId="2245"/>
    <cellStyle name="제목 2 30" xfId="2246"/>
    <cellStyle name="제목 2 31" xfId="2247"/>
    <cellStyle name="제목 2 32" xfId="2248"/>
    <cellStyle name="제목 2 33" xfId="2249"/>
    <cellStyle name="제목 2 34" xfId="2250"/>
    <cellStyle name="제목 2 35" xfId="2251"/>
    <cellStyle name="제목 2 36" xfId="2252"/>
    <cellStyle name="제목 2 37" xfId="2253"/>
    <cellStyle name="제목 2 38" xfId="2254"/>
    <cellStyle name="제목 2 39" xfId="2255"/>
    <cellStyle name="제목 2 4" xfId="2256"/>
    <cellStyle name="제목 2 40" xfId="2257"/>
    <cellStyle name="제목 2 41" xfId="2258"/>
    <cellStyle name="제목 2 42" xfId="2259"/>
    <cellStyle name="제목 2 43" xfId="2260"/>
    <cellStyle name="제목 2 44" xfId="2261"/>
    <cellStyle name="제목 2 45" xfId="2262"/>
    <cellStyle name="제목 2 46" xfId="2263"/>
    <cellStyle name="제목 2 47" xfId="2264"/>
    <cellStyle name="제목 2 48" xfId="2265"/>
    <cellStyle name="제목 2 49" xfId="2266"/>
    <cellStyle name="제목 2 5" xfId="2267"/>
    <cellStyle name="제목 2 50" xfId="2268"/>
    <cellStyle name="제목 2 51" xfId="2269"/>
    <cellStyle name="제목 2 52" xfId="2270"/>
    <cellStyle name="제목 2 53" xfId="2271"/>
    <cellStyle name="제목 2 54" xfId="2272"/>
    <cellStyle name="제목 2 55" xfId="2273"/>
    <cellStyle name="제목 2 56" xfId="2274"/>
    <cellStyle name="제목 2 57" xfId="2275"/>
    <cellStyle name="제목 2 58" xfId="2276"/>
    <cellStyle name="제목 2 59" xfId="2277"/>
    <cellStyle name="제목 2 59 2" xfId="2885"/>
    <cellStyle name="제목 2 6" xfId="2278"/>
    <cellStyle name="제목 2 60" xfId="2279"/>
    <cellStyle name="제목 2 60 2" xfId="2886"/>
    <cellStyle name="제목 2 61" xfId="2280"/>
    <cellStyle name="제목 2 61 2" xfId="2887"/>
    <cellStyle name="제목 2 62" xfId="2281"/>
    <cellStyle name="제목 2 62 2" xfId="2888"/>
    <cellStyle name="제목 2 63" xfId="2282"/>
    <cellStyle name="제목 2 63 2" xfId="2889"/>
    <cellStyle name="제목 2 64" xfId="2283"/>
    <cellStyle name="제목 2 64 2" xfId="2890"/>
    <cellStyle name="제목 2 7" xfId="2284"/>
    <cellStyle name="제목 2 8" xfId="2285"/>
    <cellStyle name="제목 2 9" xfId="2286"/>
    <cellStyle name="제목 20" xfId="2287"/>
    <cellStyle name="제목 21" xfId="2288"/>
    <cellStyle name="제목 22" xfId="2289"/>
    <cellStyle name="제목 23" xfId="2290"/>
    <cellStyle name="제목 24" xfId="2291"/>
    <cellStyle name="제목 25" xfId="2292"/>
    <cellStyle name="제목 26" xfId="2293"/>
    <cellStyle name="제목 27" xfId="2294"/>
    <cellStyle name="제목 28" xfId="2295"/>
    <cellStyle name="제목 29" xfId="2296"/>
    <cellStyle name="제목 3" xfId="2643" builtinId="18" customBuiltin="1"/>
    <cellStyle name="제목 3 10" xfId="2297"/>
    <cellStyle name="제목 3 11" xfId="2298"/>
    <cellStyle name="제목 3 12" xfId="2299"/>
    <cellStyle name="제목 3 13" xfId="2300"/>
    <cellStyle name="제목 3 14" xfId="2301"/>
    <cellStyle name="제목 3 15" xfId="2302"/>
    <cellStyle name="제목 3 16" xfId="2303"/>
    <cellStyle name="제목 3 17" xfId="2304"/>
    <cellStyle name="제목 3 18" xfId="2305"/>
    <cellStyle name="제목 3 19" xfId="2306"/>
    <cellStyle name="제목 3 2" xfId="2307"/>
    <cellStyle name="제목 3 20" xfId="2308"/>
    <cellStyle name="제목 3 21" xfId="2309"/>
    <cellStyle name="제목 3 22" xfId="2310"/>
    <cellStyle name="제목 3 23" xfId="2311"/>
    <cellStyle name="제목 3 24" xfId="2312"/>
    <cellStyle name="제목 3 25" xfId="2313"/>
    <cellStyle name="제목 3 26" xfId="2314"/>
    <cellStyle name="제목 3 27" xfId="2315"/>
    <cellStyle name="제목 3 28" xfId="2316"/>
    <cellStyle name="제목 3 29" xfId="2317"/>
    <cellStyle name="제목 3 3" xfId="2318"/>
    <cellStyle name="제목 3 30" xfId="2319"/>
    <cellStyle name="제목 3 31" xfId="2320"/>
    <cellStyle name="제목 3 32" xfId="2321"/>
    <cellStyle name="제목 3 33" xfId="2322"/>
    <cellStyle name="제목 3 34" xfId="2323"/>
    <cellStyle name="제목 3 35" xfId="2324"/>
    <cellStyle name="제목 3 36" xfId="2325"/>
    <cellStyle name="제목 3 37" xfId="2326"/>
    <cellStyle name="제목 3 38" xfId="2327"/>
    <cellStyle name="제목 3 39" xfId="2328"/>
    <cellStyle name="제목 3 4" xfId="2329"/>
    <cellStyle name="제목 3 40" xfId="2330"/>
    <cellStyle name="제목 3 41" xfId="2331"/>
    <cellStyle name="제목 3 42" xfId="2332"/>
    <cellStyle name="제목 3 43" xfId="2333"/>
    <cellStyle name="제목 3 44" xfId="2334"/>
    <cellStyle name="제목 3 45" xfId="2335"/>
    <cellStyle name="제목 3 46" xfId="2336"/>
    <cellStyle name="제목 3 47" xfId="2337"/>
    <cellStyle name="제목 3 48" xfId="2338"/>
    <cellStyle name="제목 3 49" xfId="2339"/>
    <cellStyle name="제목 3 5" xfId="2340"/>
    <cellStyle name="제목 3 50" xfId="2341"/>
    <cellStyle name="제목 3 51" xfId="2342"/>
    <cellStyle name="제목 3 52" xfId="2343"/>
    <cellStyle name="제목 3 53" xfId="2344"/>
    <cellStyle name="제목 3 54" xfId="2345"/>
    <cellStyle name="제목 3 55" xfId="2346"/>
    <cellStyle name="제목 3 56" xfId="2347"/>
    <cellStyle name="제목 3 57" xfId="2348"/>
    <cellStyle name="제목 3 58" xfId="2349"/>
    <cellStyle name="제목 3 59" xfId="2350"/>
    <cellStyle name="제목 3 59 2" xfId="2891"/>
    <cellStyle name="제목 3 6" xfId="2351"/>
    <cellStyle name="제목 3 60" xfId="2352"/>
    <cellStyle name="제목 3 60 2" xfId="2892"/>
    <cellStyle name="제목 3 61" xfId="2353"/>
    <cellStyle name="제목 3 61 2" xfId="2893"/>
    <cellStyle name="제목 3 62" xfId="2354"/>
    <cellStyle name="제목 3 62 2" xfId="2894"/>
    <cellStyle name="제목 3 63" xfId="2355"/>
    <cellStyle name="제목 3 63 2" xfId="2895"/>
    <cellStyle name="제목 3 64" xfId="2356"/>
    <cellStyle name="제목 3 64 2" xfId="2896"/>
    <cellStyle name="제목 3 7" xfId="2357"/>
    <cellStyle name="제목 3 8" xfId="2358"/>
    <cellStyle name="제목 3 9" xfId="2359"/>
    <cellStyle name="제목 30" xfId="2360"/>
    <cellStyle name="제목 31" xfId="2361"/>
    <cellStyle name="제목 32" xfId="2362"/>
    <cellStyle name="제목 33" xfId="2363"/>
    <cellStyle name="제목 34" xfId="2364"/>
    <cellStyle name="제목 35" xfId="2365"/>
    <cellStyle name="제목 36" xfId="2366"/>
    <cellStyle name="제목 37" xfId="2367"/>
    <cellStyle name="제목 38" xfId="2368"/>
    <cellStyle name="제목 39" xfId="2369"/>
    <cellStyle name="제목 4" xfId="2644" builtinId="19" customBuiltin="1"/>
    <cellStyle name="제목 4 10" xfId="2370"/>
    <cellStyle name="제목 4 11" xfId="2371"/>
    <cellStyle name="제목 4 12" xfId="2372"/>
    <cellStyle name="제목 4 13" xfId="2373"/>
    <cellStyle name="제목 4 14" xfId="2374"/>
    <cellStyle name="제목 4 15" xfId="2375"/>
    <cellStyle name="제목 4 16" xfId="2376"/>
    <cellStyle name="제목 4 17" xfId="2377"/>
    <cellStyle name="제목 4 18" xfId="2378"/>
    <cellStyle name="제목 4 19" xfId="2379"/>
    <cellStyle name="제목 4 2" xfId="2380"/>
    <cellStyle name="제목 4 20" xfId="2381"/>
    <cellStyle name="제목 4 21" xfId="2382"/>
    <cellStyle name="제목 4 22" xfId="2383"/>
    <cellStyle name="제목 4 23" xfId="2384"/>
    <cellStyle name="제목 4 24" xfId="2385"/>
    <cellStyle name="제목 4 25" xfId="2386"/>
    <cellStyle name="제목 4 26" xfId="2387"/>
    <cellStyle name="제목 4 27" xfId="2388"/>
    <cellStyle name="제목 4 28" xfId="2389"/>
    <cellStyle name="제목 4 29" xfId="2390"/>
    <cellStyle name="제목 4 3" xfId="2391"/>
    <cellStyle name="제목 4 30" xfId="2392"/>
    <cellStyle name="제목 4 31" xfId="2393"/>
    <cellStyle name="제목 4 32" xfId="2394"/>
    <cellStyle name="제목 4 33" xfId="2395"/>
    <cellStyle name="제목 4 34" xfId="2396"/>
    <cellStyle name="제목 4 35" xfId="2397"/>
    <cellStyle name="제목 4 36" xfId="2398"/>
    <cellStyle name="제목 4 37" xfId="2399"/>
    <cellStyle name="제목 4 38" xfId="2400"/>
    <cellStyle name="제목 4 39" xfId="2401"/>
    <cellStyle name="제목 4 4" xfId="2402"/>
    <cellStyle name="제목 4 40" xfId="2403"/>
    <cellStyle name="제목 4 41" xfId="2404"/>
    <cellStyle name="제목 4 42" xfId="2405"/>
    <cellStyle name="제목 4 43" xfId="2406"/>
    <cellStyle name="제목 4 44" xfId="2407"/>
    <cellStyle name="제목 4 45" xfId="2408"/>
    <cellStyle name="제목 4 46" xfId="2409"/>
    <cellStyle name="제목 4 47" xfId="2410"/>
    <cellStyle name="제목 4 48" xfId="2411"/>
    <cellStyle name="제목 4 49" xfId="2412"/>
    <cellStyle name="제목 4 5" xfId="2413"/>
    <cellStyle name="제목 4 50" xfId="2414"/>
    <cellStyle name="제목 4 51" xfId="2415"/>
    <cellStyle name="제목 4 52" xfId="2416"/>
    <cellStyle name="제목 4 53" xfId="2417"/>
    <cellStyle name="제목 4 54" xfId="2418"/>
    <cellStyle name="제목 4 55" xfId="2419"/>
    <cellStyle name="제목 4 56" xfId="2420"/>
    <cellStyle name="제목 4 57" xfId="2421"/>
    <cellStyle name="제목 4 58" xfId="2422"/>
    <cellStyle name="제목 4 59" xfId="2423"/>
    <cellStyle name="제목 4 59 2" xfId="2897"/>
    <cellStyle name="제목 4 6" xfId="2424"/>
    <cellStyle name="제목 4 60" xfId="2425"/>
    <cellStyle name="제목 4 60 2" xfId="2898"/>
    <cellStyle name="제목 4 61" xfId="2426"/>
    <cellStyle name="제목 4 61 2" xfId="2899"/>
    <cellStyle name="제목 4 62" xfId="2427"/>
    <cellStyle name="제목 4 62 2" xfId="2900"/>
    <cellStyle name="제목 4 63" xfId="2428"/>
    <cellStyle name="제목 4 63 2" xfId="2901"/>
    <cellStyle name="제목 4 64" xfId="2429"/>
    <cellStyle name="제목 4 64 2" xfId="2902"/>
    <cellStyle name="제목 4 7" xfId="2430"/>
    <cellStyle name="제목 4 8" xfId="2431"/>
    <cellStyle name="제목 4 9" xfId="2432"/>
    <cellStyle name="제목 40" xfId="2433"/>
    <cellStyle name="제목 41" xfId="2434"/>
    <cellStyle name="제목 42" xfId="2435"/>
    <cellStyle name="제목 43" xfId="2436"/>
    <cellStyle name="제목 44" xfId="2437"/>
    <cellStyle name="제목 45" xfId="2438"/>
    <cellStyle name="제목 46" xfId="2439"/>
    <cellStyle name="제목 47" xfId="2440"/>
    <cellStyle name="제목 48" xfId="2441"/>
    <cellStyle name="제목 49" xfId="2442"/>
    <cellStyle name="제목 5" xfId="2443"/>
    <cellStyle name="제목 50" xfId="2444"/>
    <cellStyle name="제목 51" xfId="2445"/>
    <cellStyle name="제목 52" xfId="2446"/>
    <cellStyle name="제목 53" xfId="2447"/>
    <cellStyle name="제목 54" xfId="2448"/>
    <cellStyle name="제목 55" xfId="2449"/>
    <cellStyle name="제목 56" xfId="2450"/>
    <cellStyle name="제목 57" xfId="2451"/>
    <cellStyle name="제목 58" xfId="2452"/>
    <cellStyle name="제목 59" xfId="2453"/>
    <cellStyle name="제목 6" xfId="2454"/>
    <cellStyle name="제목 60" xfId="2455"/>
    <cellStyle name="제목 61" xfId="2456"/>
    <cellStyle name="제목 62" xfId="2457"/>
    <cellStyle name="제목 62 2" xfId="2903"/>
    <cellStyle name="제목 63" xfId="2458"/>
    <cellStyle name="제목 63 2" xfId="2904"/>
    <cellStyle name="제목 64" xfId="2459"/>
    <cellStyle name="제목 64 2" xfId="2905"/>
    <cellStyle name="제목 65" xfId="2460"/>
    <cellStyle name="제목 65 2" xfId="2906"/>
    <cellStyle name="제목 66" xfId="2461"/>
    <cellStyle name="제목 66 2" xfId="2907"/>
    <cellStyle name="제목 67" xfId="2462"/>
    <cellStyle name="제목 67 2" xfId="2908"/>
    <cellStyle name="제목 68" xfId="2711"/>
    <cellStyle name="제목 69" xfId="2909"/>
    <cellStyle name="제목 7" xfId="2463"/>
    <cellStyle name="제목 8" xfId="2464"/>
    <cellStyle name="제목 9" xfId="2465"/>
    <cellStyle name="좋음" xfId="2645" builtinId="26" customBuiltin="1"/>
    <cellStyle name="좋음 10" xfId="2466"/>
    <cellStyle name="좋음 11" xfId="2467"/>
    <cellStyle name="좋음 12" xfId="2468"/>
    <cellStyle name="좋음 13" xfId="2469"/>
    <cellStyle name="좋음 14" xfId="2470"/>
    <cellStyle name="좋음 15" xfId="2471"/>
    <cellStyle name="좋음 16" xfId="2472"/>
    <cellStyle name="좋음 17" xfId="2473"/>
    <cellStyle name="좋음 18" xfId="2474"/>
    <cellStyle name="좋음 19" xfId="2475"/>
    <cellStyle name="좋음 2" xfId="2476"/>
    <cellStyle name="좋음 20" xfId="2477"/>
    <cellStyle name="좋음 21" xfId="2478"/>
    <cellStyle name="좋음 22" xfId="2479"/>
    <cellStyle name="좋음 23" xfId="2480"/>
    <cellStyle name="좋음 24" xfId="2481"/>
    <cellStyle name="좋음 25" xfId="2482"/>
    <cellStyle name="좋음 26" xfId="2483"/>
    <cellStyle name="좋음 27" xfId="2484"/>
    <cellStyle name="좋음 28" xfId="2485"/>
    <cellStyle name="좋음 29" xfId="2486"/>
    <cellStyle name="좋음 3" xfId="2487"/>
    <cellStyle name="좋음 30" xfId="2488"/>
    <cellStyle name="좋음 31" xfId="2489"/>
    <cellStyle name="좋음 32" xfId="2490"/>
    <cellStyle name="좋음 33" xfId="2491"/>
    <cellStyle name="좋음 34" xfId="2492"/>
    <cellStyle name="좋음 35" xfId="2493"/>
    <cellStyle name="좋음 36" xfId="2494"/>
    <cellStyle name="좋음 37" xfId="2495"/>
    <cellStyle name="좋음 38" xfId="2496"/>
    <cellStyle name="좋음 39" xfId="2497"/>
    <cellStyle name="좋음 4" xfId="2498"/>
    <cellStyle name="좋음 40" xfId="2499"/>
    <cellStyle name="좋음 41" xfId="2500"/>
    <cellStyle name="좋음 42" xfId="2501"/>
    <cellStyle name="좋음 43" xfId="2502"/>
    <cellStyle name="좋음 44" xfId="2503"/>
    <cellStyle name="좋음 45" xfId="2504"/>
    <cellStyle name="좋음 46" xfId="2505"/>
    <cellStyle name="좋음 47" xfId="2506"/>
    <cellStyle name="좋음 48" xfId="2507"/>
    <cellStyle name="좋음 49" xfId="2508"/>
    <cellStyle name="좋음 5" xfId="2509"/>
    <cellStyle name="좋음 50" xfId="2510"/>
    <cellStyle name="좋음 51" xfId="2511"/>
    <cellStyle name="좋음 52" xfId="2512"/>
    <cellStyle name="좋음 53" xfId="2513"/>
    <cellStyle name="좋음 54" xfId="2514"/>
    <cellStyle name="좋음 55" xfId="2515"/>
    <cellStyle name="좋음 56" xfId="2516"/>
    <cellStyle name="좋음 57" xfId="2517"/>
    <cellStyle name="좋음 58" xfId="2518"/>
    <cellStyle name="좋음 59" xfId="2519"/>
    <cellStyle name="좋음 6" xfId="2520"/>
    <cellStyle name="좋음 60" xfId="2521"/>
    <cellStyle name="좋음 61" xfId="2522"/>
    <cellStyle name="좋음 62" xfId="2523"/>
    <cellStyle name="좋음 63" xfId="2524"/>
    <cellStyle name="좋음 64" xfId="2525"/>
    <cellStyle name="좋음 7" xfId="2526"/>
    <cellStyle name="좋음 8" xfId="2527"/>
    <cellStyle name="좋음 9" xfId="2528"/>
    <cellStyle name="출력" xfId="2649" builtinId="21" customBuiltin="1"/>
    <cellStyle name="출력 10" xfId="2529"/>
    <cellStyle name="출력 11" xfId="2530"/>
    <cellStyle name="출력 12" xfId="2531"/>
    <cellStyle name="출력 13" xfId="2532"/>
    <cellStyle name="출력 14" xfId="2533"/>
    <cellStyle name="출력 15" xfId="2534"/>
    <cellStyle name="출력 16" xfId="2535"/>
    <cellStyle name="출력 17" xfId="2536"/>
    <cellStyle name="출력 18" xfId="2537"/>
    <cellStyle name="출력 19" xfId="2538"/>
    <cellStyle name="출력 2" xfId="2539"/>
    <cellStyle name="출력 20" xfId="2540"/>
    <cellStyle name="출력 21" xfId="2541"/>
    <cellStyle name="출력 22" xfId="2542"/>
    <cellStyle name="출력 23" xfId="2543"/>
    <cellStyle name="출력 24" xfId="2544"/>
    <cellStyle name="출력 25" xfId="2545"/>
    <cellStyle name="출력 26" xfId="2546"/>
    <cellStyle name="출력 27" xfId="2547"/>
    <cellStyle name="출력 28" xfId="2548"/>
    <cellStyle name="출력 29" xfId="2549"/>
    <cellStyle name="출력 3" xfId="2550"/>
    <cellStyle name="출력 30" xfId="2551"/>
    <cellStyle name="출력 31" xfId="2552"/>
    <cellStyle name="출력 32" xfId="2553"/>
    <cellStyle name="출력 33" xfId="2554"/>
    <cellStyle name="출력 34" xfId="2555"/>
    <cellStyle name="출력 35" xfId="2556"/>
    <cellStyle name="출력 36" xfId="2557"/>
    <cellStyle name="출력 37" xfId="2558"/>
    <cellStyle name="출력 38" xfId="2559"/>
    <cellStyle name="출력 39" xfId="2560"/>
    <cellStyle name="출력 4" xfId="2561"/>
    <cellStyle name="출력 40" xfId="2562"/>
    <cellStyle name="출력 41" xfId="2563"/>
    <cellStyle name="출력 42" xfId="2564"/>
    <cellStyle name="출력 43" xfId="2565"/>
    <cellStyle name="출력 44" xfId="2566"/>
    <cellStyle name="출력 45" xfId="2567"/>
    <cellStyle name="출력 46" xfId="2568"/>
    <cellStyle name="출력 47" xfId="2569"/>
    <cellStyle name="출력 48" xfId="2570"/>
    <cellStyle name="출력 49" xfId="2571"/>
    <cellStyle name="출력 5" xfId="2572"/>
    <cellStyle name="출력 50" xfId="2573"/>
    <cellStyle name="출력 51" xfId="2574"/>
    <cellStyle name="출력 52" xfId="2575"/>
    <cellStyle name="출력 53" xfId="2576"/>
    <cellStyle name="출력 54" xfId="2577"/>
    <cellStyle name="출력 55" xfId="2578"/>
    <cellStyle name="출력 56" xfId="2579"/>
    <cellStyle name="출력 57" xfId="2580"/>
    <cellStyle name="출력 58" xfId="2581"/>
    <cellStyle name="출력 59" xfId="2582"/>
    <cellStyle name="출력 6" xfId="2583"/>
    <cellStyle name="출력 60" xfId="2584"/>
    <cellStyle name="출력 61" xfId="2585"/>
    <cellStyle name="출력 62" xfId="2586"/>
    <cellStyle name="출력 63" xfId="2587"/>
    <cellStyle name="출력 64" xfId="2588"/>
    <cellStyle name="출력 7" xfId="2589"/>
    <cellStyle name="출력 8" xfId="2590"/>
    <cellStyle name="출력 9" xfId="2591"/>
    <cellStyle name="표준" xfId="0" builtinId="0"/>
    <cellStyle name="표준 10" xfId="2592"/>
    <cellStyle name="표준 11" xfId="2707"/>
    <cellStyle name="표준 12" xfId="2710"/>
    <cellStyle name="표준 12 2" xfId="2941"/>
    <cellStyle name="표준 12 2 2" xfId="3388"/>
    <cellStyle name="표준 12 2 3" xfId="4015"/>
    <cellStyle name="표준 12 2 4" xfId="4502"/>
    <cellStyle name="표준 12 3" xfId="3212"/>
    <cellStyle name="표준 12 4" xfId="3839"/>
    <cellStyle name="표준 12 5" xfId="4326"/>
    <cellStyle name="표준 13" xfId="2725"/>
    <cellStyle name="표준 13 2" xfId="2955"/>
    <cellStyle name="표준 13 2 2" xfId="3402"/>
    <cellStyle name="표준 13 2 3" xfId="4029"/>
    <cellStyle name="표준 13 2 4" xfId="4516"/>
    <cellStyle name="표준 13 3" xfId="3226"/>
    <cellStyle name="표준 13 4" xfId="3853"/>
    <cellStyle name="표준 13 5" xfId="4340"/>
    <cellStyle name="표준 14" xfId="2739"/>
    <cellStyle name="표준 14 2" xfId="2969"/>
    <cellStyle name="표준 14 2 2" xfId="3416"/>
    <cellStyle name="표준 14 2 3" xfId="4043"/>
    <cellStyle name="표준 14 2 4" xfId="4530"/>
    <cellStyle name="표준 14 3" xfId="3240"/>
    <cellStyle name="표준 14 4" xfId="3867"/>
    <cellStyle name="표준 14 5" xfId="4354"/>
    <cellStyle name="표준 15" xfId="2753"/>
    <cellStyle name="표준 15 2" xfId="2983"/>
    <cellStyle name="표준 15 2 2" xfId="3430"/>
    <cellStyle name="표준 15 2 3" xfId="4057"/>
    <cellStyle name="표준 15 2 4" xfId="4544"/>
    <cellStyle name="표준 15 3" xfId="3254"/>
    <cellStyle name="표준 15 4" xfId="3881"/>
    <cellStyle name="표준 15 5" xfId="4368"/>
    <cellStyle name="표준 16" xfId="2754"/>
    <cellStyle name="표준 16 2" xfId="2984"/>
    <cellStyle name="표준 16 2 2" xfId="3431"/>
    <cellStyle name="표준 16 2 3" xfId="4058"/>
    <cellStyle name="표준 16 2 4" xfId="4545"/>
    <cellStyle name="표준 16 3" xfId="3255"/>
    <cellStyle name="표준 16 4" xfId="3882"/>
    <cellStyle name="표준 16 5" xfId="4369"/>
    <cellStyle name="표준 17" xfId="2768"/>
    <cellStyle name="표준 17 2" xfId="2998"/>
    <cellStyle name="표준 17 2 2" xfId="3445"/>
    <cellStyle name="표준 17 2 3" xfId="4072"/>
    <cellStyle name="표준 17 2 4" xfId="4559"/>
    <cellStyle name="표준 17 3" xfId="3269"/>
    <cellStyle name="표준 17 4" xfId="3896"/>
    <cellStyle name="표준 17 5" xfId="4383"/>
    <cellStyle name="표준 18" xfId="2769"/>
    <cellStyle name="표준 18 2" xfId="2999"/>
    <cellStyle name="표준 18 2 2" xfId="3446"/>
    <cellStyle name="표준 18 2 3" xfId="4073"/>
    <cellStyle name="표준 18 2 4" xfId="4560"/>
    <cellStyle name="표준 18 3" xfId="3270"/>
    <cellStyle name="표준 18 4" xfId="3897"/>
    <cellStyle name="표준 18 5" xfId="4384"/>
    <cellStyle name="표준 19" xfId="2783"/>
    <cellStyle name="표준 19 2" xfId="3013"/>
    <cellStyle name="표준 19 2 2" xfId="3460"/>
    <cellStyle name="표준 19 2 3" xfId="4087"/>
    <cellStyle name="표준 19 2 4" xfId="4574"/>
    <cellStyle name="표준 19 3" xfId="3284"/>
    <cellStyle name="표준 19 4" xfId="3911"/>
    <cellStyle name="표준 19 5" xfId="4398"/>
    <cellStyle name="표준 2" xfId="2593"/>
    <cellStyle name="표준 2 2" xfId="2697"/>
    <cellStyle name="표준 20" xfId="2594"/>
    <cellStyle name="표준 21" xfId="2595"/>
    <cellStyle name="표준 22" xfId="2596"/>
    <cellStyle name="표준 23" xfId="2597"/>
    <cellStyle name="표준 24" xfId="2598"/>
    <cellStyle name="표준 25" xfId="2599"/>
    <cellStyle name="표준 26" xfId="2600"/>
    <cellStyle name="표준 27" xfId="2601"/>
    <cellStyle name="표준 28" xfId="2602"/>
    <cellStyle name="표준 29" xfId="2603"/>
    <cellStyle name="표준 3" xfId="2680"/>
    <cellStyle name="표준 3 2" xfId="2917"/>
    <cellStyle name="표준 3 2 2" xfId="3365"/>
    <cellStyle name="표준 3 2 3" xfId="3992"/>
    <cellStyle name="표준 3 2 4" xfId="4479"/>
    <cellStyle name="표준 3 3" xfId="3189"/>
    <cellStyle name="표준 3 4" xfId="3816"/>
    <cellStyle name="표준 3 5" xfId="4303"/>
    <cellStyle name="표준 30" xfId="2604"/>
    <cellStyle name="표준 31" xfId="2605"/>
    <cellStyle name="표준 32" xfId="2606"/>
    <cellStyle name="표준 33" xfId="2607"/>
    <cellStyle name="표준 34" xfId="2608"/>
    <cellStyle name="표준 35" xfId="2609"/>
    <cellStyle name="표준 36" xfId="2610"/>
    <cellStyle name="표준 37" xfId="2611"/>
    <cellStyle name="표준 38" xfId="2612"/>
    <cellStyle name="표준 39" xfId="2613"/>
    <cellStyle name="표준 4" xfId="2682"/>
    <cellStyle name="표준 4 2" xfId="2919"/>
    <cellStyle name="표준 4 2 2" xfId="3367"/>
    <cellStyle name="표준 4 2 3" xfId="3994"/>
    <cellStyle name="표준 4 2 4" xfId="4481"/>
    <cellStyle name="표준 4 3" xfId="3191"/>
    <cellStyle name="표준 4 4" xfId="3818"/>
    <cellStyle name="표준 4 5" xfId="4305"/>
    <cellStyle name="표준 40" xfId="2614"/>
    <cellStyle name="표준 41" xfId="2615"/>
    <cellStyle name="표준 42" xfId="2616"/>
    <cellStyle name="표준 43" xfId="2617"/>
    <cellStyle name="표준 44" xfId="2618"/>
    <cellStyle name="표준 45" xfId="2619"/>
    <cellStyle name="표준 46" xfId="2620"/>
    <cellStyle name="표준 47" xfId="2621"/>
    <cellStyle name="표준 48" xfId="2622"/>
    <cellStyle name="표준 49" xfId="2623"/>
    <cellStyle name="표준 5" xfId="2702"/>
    <cellStyle name="표준 50" xfId="2624"/>
    <cellStyle name="표준 51" xfId="2625"/>
    <cellStyle name="표준 52" xfId="2626"/>
    <cellStyle name="표준 53" xfId="2627"/>
    <cellStyle name="표준 54" xfId="2628"/>
    <cellStyle name="표준 55" xfId="2629"/>
    <cellStyle name="표준 56" xfId="2630"/>
    <cellStyle name="표준 57" xfId="2631"/>
    <cellStyle name="표준 58" xfId="2632"/>
    <cellStyle name="표준 59" xfId="2633"/>
    <cellStyle name="표준 6" xfId="2704"/>
    <cellStyle name="표준 6 2" xfId="2937"/>
    <cellStyle name="표준 6 2 2" xfId="3384"/>
    <cellStyle name="표준 6 2 3" xfId="4011"/>
    <cellStyle name="표준 6 2 4" xfId="4498"/>
    <cellStyle name="표준 6 3" xfId="3208"/>
    <cellStyle name="표준 6 4" xfId="3835"/>
    <cellStyle name="표준 6 5" xfId="4322"/>
    <cellStyle name="표준 60" xfId="2634"/>
    <cellStyle name="표준 61" xfId="2635"/>
    <cellStyle name="표준 62" xfId="2636"/>
    <cellStyle name="표준 63" xfId="2637"/>
    <cellStyle name="표준 64" xfId="2638"/>
    <cellStyle name="표준 65" xfId="2797"/>
    <cellStyle name="표준 65 2" xfId="3027"/>
    <cellStyle name="표준 65 2 2" xfId="3474"/>
    <cellStyle name="표준 65 2 3" xfId="4101"/>
    <cellStyle name="표준 65 2 4" xfId="4588"/>
    <cellStyle name="표준 65 3" xfId="3298"/>
    <cellStyle name="표준 65 4" xfId="3925"/>
    <cellStyle name="표준 65 5" xfId="4412"/>
    <cellStyle name="표준 66" xfId="2798"/>
    <cellStyle name="표준 66 2" xfId="3028"/>
    <cellStyle name="표준 66 2 2" xfId="3475"/>
    <cellStyle name="표준 66 2 3" xfId="4102"/>
    <cellStyle name="표준 66 2 4" xfId="4589"/>
    <cellStyle name="표준 66 3" xfId="3299"/>
    <cellStyle name="표준 66 4" xfId="3926"/>
    <cellStyle name="표준 66 5" xfId="4413"/>
    <cellStyle name="표준 67" xfId="2799"/>
    <cellStyle name="표준 67 2" xfId="3029"/>
    <cellStyle name="표준 67 2 2" xfId="3476"/>
    <cellStyle name="표준 67 2 3" xfId="4103"/>
    <cellStyle name="표준 67 2 4" xfId="4590"/>
    <cellStyle name="표준 67 3" xfId="3300"/>
    <cellStyle name="표준 67 4" xfId="3927"/>
    <cellStyle name="표준 67 5" xfId="4414"/>
    <cellStyle name="표준 68" xfId="2800"/>
    <cellStyle name="표준 68 2" xfId="3030"/>
    <cellStyle name="표준 68 2 2" xfId="3477"/>
    <cellStyle name="표준 68 2 3" xfId="4104"/>
    <cellStyle name="표준 68 2 4" xfId="4591"/>
    <cellStyle name="표준 68 3" xfId="3301"/>
    <cellStyle name="표준 68 4" xfId="3928"/>
    <cellStyle name="표준 68 5" xfId="4415"/>
    <cellStyle name="표준 69" xfId="2821"/>
    <cellStyle name="표준 69 2" xfId="3050"/>
    <cellStyle name="표준 69 2 2" xfId="3497"/>
    <cellStyle name="표준 69 2 3" xfId="4124"/>
    <cellStyle name="표준 69 2 4" xfId="4611"/>
    <cellStyle name="표준 69 3" xfId="3321"/>
    <cellStyle name="표준 69 4" xfId="3948"/>
    <cellStyle name="표준 69 5" xfId="4435"/>
    <cellStyle name="표준 7" xfId="2703"/>
    <cellStyle name="표준 70" xfId="2841"/>
    <cellStyle name="표준 70 2" xfId="3070"/>
    <cellStyle name="표준 70 2 2" xfId="3517"/>
    <cellStyle name="표준 70 2 3" xfId="4144"/>
    <cellStyle name="표준 70 2 4" xfId="4631"/>
    <cellStyle name="표준 70 3" xfId="3341"/>
    <cellStyle name="표준 70 4" xfId="3968"/>
    <cellStyle name="표준 70 5" xfId="4455"/>
    <cellStyle name="표준 71" xfId="2842"/>
    <cellStyle name="표준 71 2" xfId="3342"/>
    <cellStyle name="표준 71 3" xfId="3969"/>
    <cellStyle name="표준 71 4" xfId="4456"/>
    <cellStyle name="표준 72" xfId="2862"/>
    <cellStyle name="표준 73" xfId="3071"/>
    <cellStyle name="표준 73 2" xfId="3518"/>
    <cellStyle name="표준 73 3" xfId="4145"/>
    <cellStyle name="표준 73 4" xfId="4632"/>
    <cellStyle name="표준 74" xfId="3091"/>
    <cellStyle name="표준 74 2" xfId="3538"/>
    <cellStyle name="표준 74 3" xfId="4165"/>
    <cellStyle name="표준 74 4" xfId="4652"/>
    <cellStyle name="표준 75" xfId="3111"/>
    <cellStyle name="표준 75 2" xfId="3558"/>
    <cellStyle name="표준 75 3" xfId="4185"/>
    <cellStyle name="표준 75 4" xfId="4672"/>
    <cellStyle name="표준 76" xfId="3132"/>
    <cellStyle name="표준 76 2" xfId="3579"/>
    <cellStyle name="표준 76 3" xfId="4206"/>
    <cellStyle name="표준 76 4" xfId="4693"/>
    <cellStyle name="표준 77" xfId="3153"/>
    <cellStyle name="표준 77 2" xfId="3600"/>
    <cellStyle name="표준 77 3" xfId="4227"/>
    <cellStyle name="표준 77 4" xfId="4714"/>
    <cellStyle name="표준 78" xfId="3621"/>
    <cellStyle name="표준 78 2" xfId="4248"/>
    <cellStyle name="표준 79" xfId="3641"/>
    <cellStyle name="표준 8" xfId="2705"/>
    <cellStyle name="표준 8 2" xfId="2938"/>
    <cellStyle name="표준 8 2 2" xfId="3385"/>
    <cellStyle name="표준 8 2 3" xfId="4012"/>
    <cellStyle name="표준 8 2 4" xfId="4499"/>
    <cellStyle name="표준 8 3" xfId="3209"/>
    <cellStyle name="표준 8 4" xfId="3836"/>
    <cellStyle name="표준 8 5" xfId="4323"/>
    <cellStyle name="표준 80" xfId="3661"/>
    <cellStyle name="표준 81" xfId="3681"/>
    <cellStyle name="표준 82" xfId="3701"/>
    <cellStyle name="표준 83" xfId="3721"/>
    <cellStyle name="표준 84" xfId="3741"/>
    <cellStyle name="표준 85" xfId="3761"/>
    <cellStyle name="표준 86" xfId="3781"/>
    <cellStyle name="표준 87" xfId="4268"/>
    <cellStyle name="표준 88" xfId="4735"/>
    <cellStyle name="표준 9" xfId="2706"/>
    <cellStyle name="표준 9 2" xfId="2939"/>
    <cellStyle name="표준 9 2 2" xfId="3386"/>
    <cellStyle name="표준 9 2 3" xfId="4013"/>
    <cellStyle name="표준 9 2 4" xfId="4500"/>
    <cellStyle name="표준 9 3" xfId="3210"/>
    <cellStyle name="표준 9 4" xfId="3837"/>
    <cellStyle name="표준 9 5" xfId="4324"/>
    <cellStyle name="표준_Sheet1" xfId="2639"/>
  </cellStyles>
  <dxfs count="1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0066"/>
      <color rgb="FF0000CC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20593469482186758"/>
                  <c:y val="6.973346562320595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6427809744738933"/>
                  <c:y val="0.2527439773395953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6236611276542354"/>
                      <c:h val="9.05777024958569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9665997498865112"/>
                  <c:y val="5.355088408010243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4664024003475004"/>
                  <c:y val="-6.82222767025596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368228476147243"/>
                  <c:y val="-0.1317261548401211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65.8</c:v>
                </c:pt>
                <c:pt idx="1">
                  <c:v>7.3</c:v>
                </c:pt>
                <c:pt idx="2">
                  <c:v>2.6</c:v>
                </c:pt>
                <c:pt idx="3">
                  <c:v>17.600000000000001</c:v>
                </c:pt>
                <c:pt idx="4">
                  <c:v>5.8</c:v>
                </c:pt>
                <c:pt idx="5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21335056164462413"/>
                  <c:y val="-1.407774598708362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246281881707568"/>
                  <c:y val="0.1693430231667888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815144165263369"/>
                  <c:y val="5.20575210304716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2826382344088263"/>
                  <c:y val="-7.25559830140342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7.2608848160002307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71.599999999999994</c:v>
                </c:pt>
                <c:pt idx="1">
                  <c:v>5.9</c:v>
                </c:pt>
                <c:pt idx="2">
                  <c:v>3.9</c:v>
                </c:pt>
                <c:pt idx="3">
                  <c:v>13.6</c:v>
                </c:pt>
                <c:pt idx="4">
                  <c:v>4.2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paperSize="8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24270239</c:v>
                </c:pt>
                <c:pt idx="1">
                  <c:v>24339442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4621183</c:v>
                </c:pt>
                <c:pt idx="1">
                  <c:v>4496393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25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5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67.300000000000011</c:v>
                </c:pt>
                <c:pt idx="1">
                  <c:v>7.9</c:v>
                </c:pt>
                <c:pt idx="2">
                  <c:v>2.7</c:v>
                </c:pt>
                <c:pt idx="3">
                  <c:v>15.4</c:v>
                </c:pt>
                <c:pt idx="4">
                  <c:v>5.8999999999999995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73.599999999999994</c:v>
                </c:pt>
                <c:pt idx="1">
                  <c:v>6.3</c:v>
                </c:pt>
                <c:pt idx="2">
                  <c:v>3.9</c:v>
                </c:pt>
                <c:pt idx="3">
                  <c:v>11.5</c:v>
                </c:pt>
                <c:pt idx="4">
                  <c:v>4.0999999999999996</c:v>
                </c:pt>
                <c:pt idx="5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512897619</c:v>
                </c:pt>
                <c:pt idx="1">
                  <c:v>517530958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95701781</c:v>
                </c:pt>
                <c:pt idx="1">
                  <c:v>94104144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24270239</c:v>
                </c:pt>
                <c:pt idx="1">
                  <c:v>24339442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4621183</c:v>
                </c:pt>
                <c:pt idx="1">
                  <c:v>4496393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emf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3.emf"/><Relationship Id="rId4" Type="http://schemas.openxmlformats.org/officeDocument/2006/relationships/image" Target="../media/image22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1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25.emf"/><Relationship Id="rId1" Type="http://schemas.openxmlformats.org/officeDocument/2006/relationships/image" Target="../media/image24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871193</xdr:colOff>
          <xdr:row>97</xdr:row>
          <xdr:rowOff>19050</xdr:rowOff>
        </xdr:from>
        <xdr:to>
          <xdr:col>8</xdr:col>
          <xdr:colOff>756479</xdr:colOff>
          <xdr:row>101</xdr:row>
          <xdr:rowOff>152401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11:$S$115" spid="_x0000_s31351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66493" y="15840075"/>
              <a:ext cx="7543386" cy="10477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9531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5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30556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237634</xdr:colOff>
      <xdr:row>17</xdr:row>
      <xdr:rowOff>85396</xdr:rowOff>
    </xdr:from>
    <xdr:to>
      <xdr:col>15</xdr:col>
      <xdr:colOff>709447</xdr:colOff>
      <xdr:row>31</xdr:row>
      <xdr:rowOff>19707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1C93F107-AE69-40DE-BC02-246741029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341" y="2469930"/>
          <a:ext cx="8091813" cy="2325415"/>
        </a:xfrm>
        <a:prstGeom prst="rect">
          <a:avLst/>
        </a:prstGeom>
      </xdr:spPr>
    </xdr:pic>
    <xdr:clientData/>
  </xdr:twoCellAnchor>
  <xdr:twoCellAnchor editAs="oneCell">
    <xdr:from>
      <xdr:col>5</xdr:col>
      <xdr:colOff>223345</xdr:colOff>
      <xdr:row>17</xdr:row>
      <xdr:rowOff>83144</xdr:rowOff>
    </xdr:from>
    <xdr:to>
      <xdr:col>16</xdr:col>
      <xdr:colOff>0</xdr:colOff>
      <xdr:row>32</xdr:row>
      <xdr:rowOff>124776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5C6985C-16AF-436F-8368-CEE25696E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15052" y="2467678"/>
          <a:ext cx="8158655" cy="2603529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84496</xdr:rowOff>
    </xdr:from>
    <xdr:to>
      <xdr:col>16</xdr:col>
      <xdr:colOff>7681</xdr:colOff>
      <xdr:row>32</xdr:row>
      <xdr:rowOff>133244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69FD4E4-29DF-42DC-9467-5FC6CB2B3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08589" y="2481109"/>
          <a:ext cx="8134657" cy="2583627"/>
        </a:xfrm>
        <a:prstGeom prst="rect">
          <a:avLst/>
        </a:prstGeom>
      </xdr:spPr>
    </xdr:pic>
    <xdr:clientData/>
  </xdr:twoCellAnchor>
  <xdr:twoCellAnchor editAs="oneCell">
    <xdr:from>
      <xdr:col>5</xdr:col>
      <xdr:colOff>729739</xdr:colOff>
      <xdr:row>30</xdr:row>
      <xdr:rowOff>23046</xdr:rowOff>
    </xdr:from>
    <xdr:to>
      <xdr:col>9</xdr:col>
      <xdr:colOff>27837</xdr:colOff>
      <xdr:row>35</xdr:row>
      <xdr:rowOff>84496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3FBEC67A-E665-4FBB-9A25-6545511F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00203" y="4616554"/>
          <a:ext cx="2339953" cy="906410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138267</xdr:colOff>
      <xdr:row>17</xdr:row>
      <xdr:rowOff>76814</xdr:rowOff>
    </xdr:from>
    <xdr:to>
      <xdr:col>5</xdr:col>
      <xdr:colOff>69134</xdr:colOff>
      <xdr:row>37</xdr:row>
      <xdr:rowOff>69132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2D34F3C-85BB-4F5C-9D26-9811B1C7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267" y="2473427"/>
          <a:ext cx="4501331" cy="337215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99859</xdr:rowOff>
    </xdr:from>
    <xdr:to>
      <xdr:col>16</xdr:col>
      <xdr:colOff>28150</xdr:colOff>
      <xdr:row>36</xdr:row>
      <xdr:rowOff>138265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F082214-13AD-40BF-B1E1-9F78BD4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08589" y="2496472"/>
          <a:ext cx="8155126" cy="3249253"/>
        </a:xfrm>
        <a:prstGeom prst="rect">
          <a:avLst/>
        </a:prstGeom>
      </xdr:spPr>
    </xdr:pic>
    <xdr:clientData/>
  </xdr:twoCellAnchor>
  <xdr:twoCellAnchor editAs="oneCell">
    <xdr:from>
      <xdr:col>5</xdr:col>
      <xdr:colOff>222762</xdr:colOff>
      <xdr:row>17</xdr:row>
      <xdr:rowOff>84496</xdr:rowOff>
    </xdr:from>
    <xdr:to>
      <xdr:col>16</xdr:col>
      <xdr:colOff>37819</xdr:colOff>
      <xdr:row>36</xdr:row>
      <xdr:rowOff>69132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1E243-2409-4D2D-AE15-0112C81B9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93226" y="2481109"/>
          <a:ext cx="8180158" cy="3195483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69133</xdr:rowOff>
    </xdr:from>
    <xdr:to>
      <xdr:col>5</xdr:col>
      <xdr:colOff>61452</xdr:colOff>
      <xdr:row>37</xdr:row>
      <xdr:rowOff>90158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0F1F59F-6812-4BC2-8907-C894E92CC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268" y="2465746"/>
          <a:ext cx="4493648" cy="340086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17</xdr:row>
      <xdr:rowOff>76814</xdr:rowOff>
    </xdr:from>
    <xdr:to>
      <xdr:col>16</xdr:col>
      <xdr:colOff>61451</xdr:colOff>
      <xdr:row>37</xdr:row>
      <xdr:rowOff>15363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8D87E60-5FE8-4DB1-9636-AA7EA015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808589" y="2473427"/>
          <a:ext cx="8188427" cy="3318388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138266</xdr:colOff>
      <xdr:row>17</xdr:row>
      <xdr:rowOff>69133</xdr:rowOff>
    </xdr:from>
    <xdr:to>
      <xdr:col>5</xdr:col>
      <xdr:colOff>53770</xdr:colOff>
      <xdr:row>37</xdr:row>
      <xdr:rowOff>106868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BD714ACB-53BF-4880-A6AC-0A6C6B517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266" y="2465746"/>
          <a:ext cx="4485968" cy="3417574"/>
        </a:xfrm>
        <a:prstGeom prst="rect">
          <a:avLst/>
        </a:prstGeom>
      </xdr:spPr>
    </xdr:pic>
    <xdr:clientData/>
  </xdr:twoCellAnchor>
  <xdr:twoCellAnchor editAs="oneCell">
    <xdr:from>
      <xdr:col>5</xdr:col>
      <xdr:colOff>215081</xdr:colOff>
      <xdr:row>17</xdr:row>
      <xdr:rowOff>69134</xdr:rowOff>
    </xdr:from>
    <xdr:to>
      <xdr:col>16</xdr:col>
      <xdr:colOff>23044</xdr:colOff>
      <xdr:row>36</xdr:row>
      <xdr:rowOff>99859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A147BF0D-FB55-4DB4-B9E2-7FB5806F4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85545" y="2465747"/>
          <a:ext cx="8173064" cy="3241572"/>
        </a:xfrm>
        <a:prstGeom prst="rect">
          <a:avLst/>
        </a:prstGeom>
      </xdr:spPr>
    </xdr:pic>
    <xdr:clientData/>
  </xdr:twoCellAnchor>
  <xdr:twoCellAnchor editAs="oneCell">
    <xdr:from>
      <xdr:col>0</xdr:col>
      <xdr:colOff>138268</xdr:colOff>
      <xdr:row>17</xdr:row>
      <xdr:rowOff>69132</xdr:rowOff>
    </xdr:from>
    <xdr:to>
      <xdr:col>5</xdr:col>
      <xdr:colOff>69133</xdr:colOff>
      <xdr:row>37</xdr:row>
      <xdr:rowOff>107540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B8855EB6-08CF-4839-B02A-6576B6C2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8268" y="2465745"/>
          <a:ext cx="4501329" cy="341824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192037</xdr:colOff>
      <xdr:row>17</xdr:row>
      <xdr:rowOff>69133</xdr:rowOff>
    </xdr:from>
    <xdr:to>
      <xdr:col>16</xdr:col>
      <xdr:colOff>68680</xdr:colOff>
      <xdr:row>35</xdr:row>
      <xdr:rowOff>138265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7AE5EB47-FAB4-4659-8740-B80DB4218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01" y="2465746"/>
          <a:ext cx="8241744" cy="3110987"/>
        </a:xfrm>
        <a:prstGeom prst="rect">
          <a:avLst/>
        </a:prstGeom>
      </xdr:spPr>
    </xdr:pic>
    <xdr:clientData/>
  </xdr:twoCellAnchor>
  <xdr:twoCellAnchor editAs="oneCell">
    <xdr:from>
      <xdr:col>5</xdr:col>
      <xdr:colOff>192036</xdr:colOff>
      <xdr:row>17</xdr:row>
      <xdr:rowOff>61450</xdr:rowOff>
    </xdr:from>
    <xdr:to>
      <xdr:col>16</xdr:col>
      <xdr:colOff>53770</xdr:colOff>
      <xdr:row>37</xdr:row>
      <xdr:rowOff>7681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29C3A27-016B-427F-95D1-46EA9041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62500" y="2458063"/>
          <a:ext cx="8226835" cy="3326070"/>
        </a:xfrm>
        <a:prstGeom prst="rect">
          <a:avLst/>
        </a:prstGeom>
      </xdr:spPr>
    </xdr:pic>
    <xdr:clientData/>
  </xdr:twoCellAnchor>
  <xdr:twoCellAnchor editAs="oneCell">
    <xdr:from>
      <xdr:col>0</xdr:col>
      <xdr:colOff>130585</xdr:colOff>
      <xdr:row>17</xdr:row>
      <xdr:rowOff>69134</xdr:rowOff>
    </xdr:from>
    <xdr:to>
      <xdr:col>5</xdr:col>
      <xdr:colOff>84496</xdr:colOff>
      <xdr:row>37</xdr:row>
      <xdr:rowOff>122903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70553C8B-C7F5-428E-9EE8-6D2EF46ED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0585" y="2465747"/>
          <a:ext cx="4524375" cy="34336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1023938</xdr:colOff>
          <xdr:row>27</xdr:row>
          <xdr:rowOff>195269</xdr:rowOff>
        </xdr:from>
        <xdr:to>
          <xdr:col>19</xdr:col>
          <xdr:colOff>71438</xdr:colOff>
          <xdr:row>28</xdr:row>
          <xdr:rowOff>195270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8871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715376" y="22888582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1000129</xdr:colOff>
          <xdr:row>41</xdr:row>
          <xdr:rowOff>171443</xdr:rowOff>
        </xdr:from>
        <xdr:to>
          <xdr:col>19</xdr:col>
          <xdr:colOff>47629</xdr:colOff>
          <xdr:row>42</xdr:row>
          <xdr:rowOff>171444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8871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91567" y="29198881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276225</xdr:colOff>
      <xdr:row>8</xdr:row>
      <xdr:rowOff>95250</xdr:rowOff>
    </xdr:from>
    <xdr:to>
      <xdr:col>5</xdr:col>
      <xdr:colOff>952500</xdr:colOff>
      <xdr:row>8</xdr:row>
      <xdr:rowOff>333375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552825" y="301942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76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95251</xdr:colOff>
      <xdr:row>3</xdr:row>
      <xdr:rowOff>190500</xdr:rowOff>
    </xdr:from>
    <xdr:to>
      <xdr:col>20</xdr:col>
      <xdr:colOff>658581</xdr:colOff>
      <xdr:row>37</xdr:row>
      <xdr:rowOff>48463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65657" y="833438"/>
          <a:ext cx="9707330" cy="6001588"/>
        </a:xfrm>
        <a:prstGeom prst="rect">
          <a:avLst/>
        </a:prstGeom>
      </xdr:spPr>
    </xdr:pic>
    <xdr:clientData/>
  </xdr:twoCellAnchor>
  <xdr:twoCellAnchor>
    <xdr:from>
      <xdr:col>6</xdr:col>
      <xdr:colOff>828676</xdr:colOff>
      <xdr:row>17</xdr:row>
      <xdr:rowOff>76201</xdr:rowOff>
    </xdr:from>
    <xdr:to>
      <xdr:col>6</xdr:col>
      <xdr:colOff>1624013</xdr:colOff>
      <xdr:row>26</xdr:row>
      <xdr:rowOff>19050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F75A0024-7B4C-4174-A389-63324357BE6A}"/>
            </a:ext>
          </a:extLst>
        </xdr:cNvPr>
        <xdr:cNvCxnSpPr>
          <a:stCxn id="6" idx="0"/>
        </xdr:cNvCxnSpPr>
      </xdr:nvCxnSpPr>
      <xdr:spPr>
        <a:xfrm flipH="1" flipV="1">
          <a:off x="9248776" y="3371851"/>
          <a:ext cx="795337" cy="14858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22</xdr:row>
      <xdr:rowOff>76200</xdr:rowOff>
    </xdr:from>
    <xdr:to>
      <xdr:col>20</xdr:col>
      <xdr:colOff>485775</xdr:colOff>
      <xdr:row>38</xdr:row>
      <xdr:rowOff>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65F51C76-5DF0-46C3-8D03-F361B9D90C2D}"/>
            </a:ext>
          </a:extLst>
        </xdr:cNvPr>
        <xdr:cNvSpPr/>
      </xdr:nvSpPr>
      <xdr:spPr>
        <a:xfrm>
          <a:off x="11029950" y="4229100"/>
          <a:ext cx="9486900" cy="2667000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723900</xdr:colOff>
      <xdr:row>26</xdr:row>
      <xdr:rowOff>19050</xdr:rowOff>
    </xdr:from>
    <xdr:to>
      <xdr:col>8</xdr:col>
      <xdr:colOff>57150</xdr:colOff>
      <xdr:row>28</xdr:row>
      <xdr:rowOff>123825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43776A0A-6F69-44D6-9403-600E271F0465}"/>
            </a:ext>
          </a:extLst>
        </xdr:cNvPr>
        <xdr:cNvSpPr/>
      </xdr:nvSpPr>
      <xdr:spPr>
        <a:xfrm>
          <a:off x="9144000" y="4857750"/>
          <a:ext cx="1800225" cy="44767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200" b="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파일로다운받아 적용</a:t>
          </a:r>
          <a:endParaRPr lang="ko-KR" altLang="en-US" sz="1200" b="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00FF"/>
    <pageSetUpPr fitToPage="1"/>
  </sheetPr>
  <dimension ref="A1:BA94"/>
  <sheetViews>
    <sheetView showGridLines="0" tabSelected="1" zoomScale="80" zoomScaleNormal="80" workbookViewId="0">
      <selection activeCell="L10" sqref="L10"/>
    </sheetView>
  </sheetViews>
  <sheetFormatPr defaultColWidth="8.88671875" defaultRowHeight="12" outlineLevelCol="1"/>
  <cols>
    <col min="1" max="1" width="4" style="16" customWidth="1"/>
    <col min="2" max="2" width="11.44140625" style="16" customWidth="1"/>
    <col min="3" max="3" width="11.33203125" style="16" customWidth="1"/>
    <col min="4" max="4" width="10.88671875" style="16" customWidth="1"/>
    <col min="5" max="5" width="11.33203125" style="16" customWidth="1"/>
    <col min="6" max="6" width="10.77734375" style="16" customWidth="1"/>
    <col min="7" max="7" width="9.77734375" style="16" customWidth="1"/>
    <col min="8" max="8" width="6.77734375" style="16" customWidth="1"/>
    <col min="9" max="9" width="8.109375" style="16" customWidth="1"/>
    <col min="10" max="10" width="12.21875" style="16" customWidth="1"/>
    <col min="11" max="11" width="12" style="16" customWidth="1"/>
    <col min="12" max="12" width="12.5546875" style="16" customWidth="1"/>
    <col min="13" max="13" width="11.44140625" style="16" customWidth="1"/>
    <col min="14" max="14" width="11.21875" style="16" customWidth="1"/>
    <col min="15" max="15" width="6.44140625" style="16" customWidth="1"/>
    <col min="16" max="16" width="7.33203125" style="16" customWidth="1"/>
    <col min="17" max="17" width="1.6640625" style="16" customWidth="1"/>
    <col min="18" max="18" width="7.6640625" style="16" customWidth="1" outlineLevel="1"/>
    <col min="19" max="21" width="9.5546875" style="16" customWidth="1" outlineLevel="1"/>
    <col min="22" max="22" width="11.44140625" style="16" customWidth="1" outlineLevel="1"/>
    <col min="23" max="23" width="10.33203125" style="16" customWidth="1" outlineLevel="1"/>
    <col min="24" max="24" width="11.77734375" style="16" customWidth="1" outlineLevel="1"/>
    <col min="25" max="25" width="10.77734375" style="16" customWidth="1" outlineLevel="1"/>
    <col min="26" max="30" width="10.44140625" style="16" customWidth="1" outlineLevel="1"/>
    <col min="31" max="46" width="10.44140625" style="16" customWidth="1"/>
    <col min="47" max="16384" width="8.88671875" style="16"/>
  </cols>
  <sheetData>
    <row r="1" spans="1:29" ht="7.5" customHeight="1"/>
    <row r="2" spans="1:29" ht="58.5" customHeight="1">
      <c r="A2" s="914" t="s">
        <v>470</v>
      </c>
      <c r="B2" s="912"/>
      <c r="C2" s="915"/>
      <c r="D2" s="915"/>
      <c r="E2" s="915"/>
      <c r="F2" s="883"/>
      <c r="G2" s="883"/>
      <c r="H2" s="883"/>
      <c r="I2" s="883"/>
      <c r="J2" s="883"/>
      <c r="K2" s="883"/>
      <c r="L2" s="883"/>
      <c r="M2" s="883"/>
      <c r="N2" s="883"/>
      <c r="O2" s="883"/>
      <c r="P2" s="883"/>
      <c r="Q2" s="883"/>
      <c r="R2" s="884" t="s">
        <v>252</v>
      </c>
      <c r="S2" s="883"/>
      <c r="T2" s="883"/>
      <c r="U2" s="883"/>
      <c r="V2" s="885"/>
      <c r="W2" s="886"/>
      <c r="AA2" s="942" t="s">
        <v>453</v>
      </c>
    </row>
    <row r="3" spans="1:29" ht="36" customHeight="1">
      <c r="A3" s="887" t="s">
        <v>56</v>
      </c>
      <c r="I3" s="883"/>
      <c r="R3" s="884" t="s">
        <v>63</v>
      </c>
      <c r="V3" s="890" t="s">
        <v>449</v>
      </c>
    </row>
    <row r="4" spans="1:29" ht="4.5" customHeight="1" thickBot="1">
      <c r="A4" s="889"/>
    </row>
    <row r="5" spans="1:29" ht="26.25" customHeight="1">
      <c r="A5" s="1106" t="s">
        <v>118</v>
      </c>
      <c r="B5" s="1118"/>
      <c r="C5" s="1131" t="s">
        <v>20</v>
      </c>
      <c r="D5" s="1132"/>
      <c r="E5" s="1132"/>
      <c r="F5" s="1132"/>
      <c r="G5" s="1132"/>
      <c r="H5" s="1132"/>
      <c r="I5" s="1132"/>
      <c r="J5" s="1133" t="s">
        <v>242</v>
      </c>
      <c r="K5" s="1132"/>
      <c r="L5" s="1132"/>
      <c r="M5" s="1132"/>
      <c r="N5" s="1132"/>
      <c r="O5" s="1132"/>
      <c r="P5" s="1134"/>
      <c r="Q5" s="255"/>
      <c r="R5" s="1082" t="s">
        <v>244</v>
      </c>
      <c r="S5" s="1082"/>
      <c r="T5" s="1123" t="s">
        <v>245</v>
      </c>
      <c r="U5" s="1124"/>
      <c r="V5" s="1128" t="s">
        <v>251</v>
      </c>
      <c r="W5" s="1129"/>
      <c r="X5" s="1129"/>
      <c r="Y5" s="1130"/>
      <c r="AA5"/>
      <c r="AB5"/>
      <c r="AC5"/>
    </row>
    <row r="6" spans="1:29" ht="26.25" customHeight="1">
      <c r="A6" s="1108"/>
      <c r="B6" s="1119"/>
      <c r="C6" s="278" t="s">
        <v>253</v>
      </c>
      <c r="D6" s="279" t="s">
        <v>254</v>
      </c>
      <c r="E6" s="279" t="s">
        <v>255</v>
      </c>
      <c r="F6" s="424" t="s">
        <v>256</v>
      </c>
      <c r="G6" s="281" t="s">
        <v>257</v>
      </c>
      <c r="H6" s="280" t="s">
        <v>256</v>
      </c>
      <c r="I6" s="279" t="s">
        <v>258</v>
      </c>
      <c r="J6" s="282" t="s">
        <v>253</v>
      </c>
      <c r="K6" s="279" t="s">
        <v>254</v>
      </c>
      <c r="L6" s="279" t="s">
        <v>255</v>
      </c>
      <c r="M6" s="280" t="s">
        <v>256</v>
      </c>
      <c r="N6" s="281" t="s">
        <v>257</v>
      </c>
      <c r="O6" s="280" t="s">
        <v>256</v>
      </c>
      <c r="P6" s="283" t="s">
        <v>258</v>
      </c>
      <c r="Q6" s="17"/>
      <c r="R6" s="1082"/>
      <c r="S6" s="1082"/>
      <c r="T6" s="877" t="s">
        <v>246</v>
      </c>
      <c r="U6" s="256" t="s">
        <v>247</v>
      </c>
      <c r="V6" s="258" t="s">
        <v>64</v>
      </c>
      <c r="W6" s="877" t="s">
        <v>100</v>
      </c>
      <c r="X6" s="877" t="s">
        <v>65</v>
      </c>
      <c r="Y6" s="259" t="s">
        <v>66</v>
      </c>
      <c r="AA6"/>
      <c r="AB6"/>
      <c r="AC6"/>
    </row>
    <row r="7" spans="1:29" ht="26.25" customHeight="1">
      <c r="A7" s="1110" t="s">
        <v>366</v>
      </c>
      <c r="B7" s="284" t="s">
        <v>28</v>
      </c>
      <c r="C7" s="1007">
        <v>22557</v>
      </c>
      <c r="D7" s="285">
        <f>(매출액표!D23)/1000</f>
        <v>448.3878378</v>
      </c>
      <c r="E7" s="285">
        <f>ROUND((매출액표!E23)/1000,0)</f>
        <v>19147</v>
      </c>
      <c r="F7" s="286">
        <f>ROUND(E7/C7*100,1)</f>
        <v>84.9</v>
      </c>
      <c r="G7" s="1008">
        <v>20458</v>
      </c>
      <c r="H7" s="287">
        <f t="shared" ref="H7:H16" si="0">E7/G7*100</f>
        <v>93.591748949066371</v>
      </c>
      <c r="I7" s="288">
        <f>IF(E7=MAX($E$7:$E$10,$E$12:$E$21),MAX($T$7:$T$21)+(100-SUM($T$7:$T$21)),T7)</f>
        <v>0.4</v>
      </c>
      <c r="J7" s="732">
        <f t="shared" ref="J7:L10" si="1">C7+V7</f>
        <v>90674</v>
      </c>
      <c r="K7" s="733">
        <f t="shared" si="1"/>
        <v>1920.1583756999999</v>
      </c>
      <c r="L7" s="285">
        <f t="shared" si="1"/>
        <v>81777</v>
      </c>
      <c r="M7" s="289">
        <f t="shared" ref="M7:M24" si="2">L7/J7*100</f>
        <v>90.187925976575428</v>
      </c>
      <c r="N7" s="734">
        <f>G7+Y7</f>
        <v>89065</v>
      </c>
      <c r="O7" s="286">
        <f t="shared" ref="O7:O16" si="3">L7/N7*100</f>
        <v>91.817212148430926</v>
      </c>
      <c r="P7" s="290">
        <f>IF(L7=MAX($L$7:$L$10,$L$12:$L$21),MAX($U$7:$U$21)+(100-SUM($U$7:$U$21)),U7)</f>
        <v>0.3</v>
      </c>
      <c r="R7" s="1085" t="s">
        <v>25</v>
      </c>
      <c r="S7" s="878" t="s">
        <v>37</v>
      </c>
      <c r="T7" s="261">
        <f>ROUND(E7/$E$23*100,1)</f>
        <v>0.4</v>
      </c>
      <c r="U7" s="261">
        <f>ROUND(L7/$L$23*100,1)</f>
        <v>0.3</v>
      </c>
      <c r="V7" s="1003">
        <v>68117</v>
      </c>
      <c r="W7" s="1031">
        <v>1471.7705378999999</v>
      </c>
      <c r="X7" s="1031">
        <v>62630</v>
      </c>
      <c r="Y7" s="1004">
        <v>68607</v>
      </c>
      <c r="AA7"/>
      <c r="AB7"/>
      <c r="AC7"/>
    </row>
    <row r="8" spans="1:29" ht="26.25" customHeight="1">
      <c r="A8" s="1111"/>
      <c r="B8" s="291" t="s">
        <v>156</v>
      </c>
      <c r="C8" s="1009">
        <v>2977526</v>
      </c>
      <c r="D8" s="1381">
        <f>((매출액표!D31+매출액표!D36)/1000)-1</f>
        <v>67397.668002699997</v>
      </c>
      <c r="E8" s="292">
        <f>ROUND((매출액표!E31+매출액표!E36)/1000,0)</f>
        <v>2877534</v>
      </c>
      <c r="F8" s="293">
        <f>ROUND(E8/C8*100,1)</f>
        <v>96.6</v>
      </c>
      <c r="G8" s="1010">
        <v>2927253</v>
      </c>
      <c r="H8" s="294">
        <f t="shared" si="0"/>
        <v>98.301513398397745</v>
      </c>
      <c r="I8" s="295">
        <f>IF(E8=MAX($E$7:$E$10,$E$12:$E$21),MAX($T$7:$T$21)+(100-SUM($T$7:$T$21)),T8)</f>
        <v>63.999999999999986</v>
      </c>
      <c r="J8" s="735">
        <f>C8+V8</f>
        <v>16803565</v>
      </c>
      <c r="K8" s="296">
        <f t="shared" si="1"/>
        <v>396015.07755659998</v>
      </c>
      <c r="L8" s="292">
        <f t="shared" si="1"/>
        <v>16868443</v>
      </c>
      <c r="M8" s="297">
        <f t="shared" si="2"/>
        <v>100.38609664080211</v>
      </c>
      <c r="N8" s="736">
        <f>G8+Y8</f>
        <v>17407801</v>
      </c>
      <c r="O8" s="298">
        <f t="shared" si="3"/>
        <v>96.901630481644403</v>
      </c>
      <c r="P8" s="299">
        <f>IF(L8=MAX($L$7:$L$10,$L$12:$L$21),MAX($U$7:$U$21)+(100-SUM($U$7:$U$21)),U8)</f>
        <v>69.3</v>
      </c>
      <c r="R8" s="1085"/>
      <c r="S8" s="878" t="s">
        <v>185</v>
      </c>
      <c r="T8" s="261">
        <f>ROUND(E8/$E$23*100,1)</f>
        <v>64</v>
      </c>
      <c r="U8" s="261">
        <f>ROUND(L8/$L$23*100,1)</f>
        <v>69.3</v>
      </c>
      <c r="V8" s="1003">
        <v>13826039</v>
      </c>
      <c r="W8" s="1031">
        <v>328617.40955390001</v>
      </c>
      <c r="X8" s="1031">
        <v>13990909</v>
      </c>
      <c r="Y8" s="1004">
        <v>14480548</v>
      </c>
      <c r="AA8"/>
      <c r="AB8"/>
      <c r="AC8"/>
    </row>
    <row r="9" spans="1:29" ht="26.25" customHeight="1">
      <c r="A9" s="1111"/>
      <c r="B9" s="291" t="s">
        <v>188</v>
      </c>
      <c r="C9" s="1009">
        <v>46563</v>
      </c>
      <c r="D9" s="292">
        <f>매출액표!D40/1000</f>
        <v>1025.4338680000001</v>
      </c>
      <c r="E9" s="292">
        <f>ROUND(매출액표!E40/1000,0)</f>
        <v>43732</v>
      </c>
      <c r="F9" s="293">
        <f>ROUND(E9/C9*100,1)</f>
        <v>93.9</v>
      </c>
      <c r="G9" s="1010">
        <v>52880</v>
      </c>
      <c r="H9" s="294">
        <f t="shared" si="0"/>
        <v>82.700453857791217</v>
      </c>
      <c r="I9" s="295">
        <f>IF(E9=MAX($E$7:$E$10,$E$12:$E$21),MAX($T$7:$T$21)+(100-SUM($T$7:$T$21)),T9)</f>
        <v>1</v>
      </c>
      <c r="J9" s="735">
        <f t="shared" si="1"/>
        <v>295685</v>
      </c>
      <c r="K9" s="296">
        <f t="shared" si="1"/>
        <v>6984.9769784</v>
      </c>
      <c r="L9" s="292">
        <f t="shared" si="1"/>
        <v>297661</v>
      </c>
      <c r="M9" s="297">
        <f t="shared" si="2"/>
        <v>100.6682787425808</v>
      </c>
      <c r="N9" s="736">
        <f>G9+Y9</f>
        <v>346753</v>
      </c>
      <c r="O9" s="298">
        <f t="shared" si="3"/>
        <v>85.842371947755311</v>
      </c>
      <c r="P9" s="299">
        <f>IF(L9=MAX($L$7:$L$10,$L$12:$L$21),MAX($U$7:$U$21)+(100-SUM($U$7:$U$21)),U9)</f>
        <v>1.2</v>
      </c>
      <c r="R9" s="1085"/>
      <c r="S9" s="878" t="s">
        <v>186</v>
      </c>
      <c r="T9" s="261">
        <f>ROUND(E9/$E$23*100,1)</f>
        <v>1</v>
      </c>
      <c r="U9" s="261">
        <f>ROUND(L9/$L$23*100,1)</f>
        <v>1.2</v>
      </c>
      <c r="V9" s="1003">
        <v>249122</v>
      </c>
      <c r="W9" s="1031">
        <v>5959.5431103999999</v>
      </c>
      <c r="X9" s="1031">
        <v>253929</v>
      </c>
      <c r="Y9" s="1004">
        <v>293873</v>
      </c>
      <c r="AA9"/>
      <c r="AB9"/>
      <c r="AC9"/>
    </row>
    <row r="10" spans="1:29" ht="26.25" customHeight="1">
      <c r="A10" s="1111"/>
      <c r="B10" s="300" t="s">
        <v>157</v>
      </c>
      <c r="C10" s="1011">
        <v>21888</v>
      </c>
      <c r="D10" s="301">
        <f>(매출액표!D44)/1000</f>
        <v>426.05200000000002</v>
      </c>
      <c r="E10" s="301">
        <f>ROUND((매출액표!E44)/1000,0)</f>
        <v>18180</v>
      </c>
      <c r="F10" s="302">
        <f>ROUND(E10/C10*100,1)</f>
        <v>83.1</v>
      </c>
      <c r="G10" s="1012">
        <v>19757</v>
      </c>
      <c r="H10" s="303">
        <f t="shared" si="0"/>
        <v>92.018018929999485</v>
      </c>
      <c r="I10" s="304">
        <f>IF(E10=MAX($E$7:$E$10,$E$12:$E$21),MAX($T$7:$T$21)+(100-SUM($T$7:$T$21)),T10)</f>
        <v>0.4</v>
      </c>
      <c r="J10" s="737">
        <f t="shared" si="1"/>
        <v>205494</v>
      </c>
      <c r="K10" s="305">
        <f t="shared" si="1"/>
        <v>4580.8759999999993</v>
      </c>
      <c r="L10" s="301">
        <f t="shared" si="1"/>
        <v>195191</v>
      </c>
      <c r="M10" s="306">
        <f t="shared" si="2"/>
        <v>94.986228308369107</v>
      </c>
      <c r="N10" s="738">
        <f>G10+Y10</f>
        <v>206909</v>
      </c>
      <c r="O10" s="307">
        <f t="shared" si="3"/>
        <v>94.336640745448491</v>
      </c>
      <c r="P10" s="308">
        <f>IF(L10=MAX($L$7:$L$10,$L$12:$L$21),MAX($U$7:$U$21)+(100-SUM($U$7:$U$21)),U10)</f>
        <v>0.8</v>
      </c>
      <c r="R10" s="1085"/>
      <c r="S10" s="878" t="s">
        <v>187</v>
      </c>
      <c r="T10" s="261">
        <f>ROUND(E10/$E$23*100,1)</f>
        <v>0.4</v>
      </c>
      <c r="U10" s="261">
        <f>ROUND(L10/$L$23*100,1)</f>
        <v>0.8</v>
      </c>
      <c r="V10" s="1003">
        <v>183606</v>
      </c>
      <c r="W10" s="1031">
        <v>4154.8239999999996</v>
      </c>
      <c r="X10" s="1031">
        <v>177011</v>
      </c>
      <c r="Y10" s="1004">
        <v>187152</v>
      </c>
      <c r="AA10"/>
      <c r="AB10"/>
      <c r="AC10"/>
    </row>
    <row r="11" spans="1:29" ht="26.25" customHeight="1">
      <c r="A11" s="1112"/>
      <c r="B11" s="309" t="s">
        <v>41</v>
      </c>
      <c r="C11" s="310">
        <f>ROUND(SUM(C7:C10),0)</f>
        <v>3068534</v>
      </c>
      <c r="D11" s="311">
        <f>SUM(D7:D10)</f>
        <v>69297.541708499979</v>
      </c>
      <c r="E11" s="311">
        <f>SUM(E7:E10)</f>
        <v>2958593</v>
      </c>
      <c r="F11" s="312">
        <f>E11/C11*100</f>
        <v>96.417149035989169</v>
      </c>
      <c r="G11" s="313">
        <f>SUM(G7:G10)</f>
        <v>3020348</v>
      </c>
      <c r="H11" s="314">
        <f t="shared" si="0"/>
        <v>97.955368056925892</v>
      </c>
      <c r="I11" s="315">
        <f>SUM(I7:I10)</f>
        <v>65.8</v>
      </c>
      <c r="J11" s="316">
        <f>ROUNDUP(SUM(J7:J10),0)</f>
        <v>17395418</v>
      </c>
      <c r="K11" s="311">
        <f>SUM(K7:K10)</f>
        <v>409501.0889107</v>
      </c>
      <c r="L11" s="317">
        <f>SUM(L7:L10)</f>
        <v>17443072</v>
      </c>
      <c r="M11" s="318">
        <f t="shared" si="2"/>
        <v>100.27394570225331</v>
      </c>
      <c r="N11" s="319">
        <f>SUM(N7:N10)</f>
        <v>18050528</v>
      </c>
      <c r="O11" s="320">
        <f t="shared" si="3"/>
        <v>96.634691240056796</v>
      </c>
      <c r="P11" s="321">
        <f>SUM(P7:P10)</f>
        <v>71.599999999999994</v>
      </c>
      <c r="R11" s="1085"/>
      <c r="S11" s="882" t="s">
        <v>17</v>
      </c>
      <c r="T11" s="277"/>
      <c r="U11" s="277"/>
      <c r="V11" s="739">
        <f>ROUNDUP(SUM(V7:V10),0)</f>
        <v>14326884</v>
      </c>
      <c r="W11" s="740">
        <f t="shared" ref="W11:Y11" si="4">SUM(W7:W10)</f>
        <v>340203.54720219999</v>
      </c>
      <c r="X11" s="740">
        <f t="shared" si="4"/>
        <v>14484479</v>
      </c>
      <c r="Y11" s="741">
        <f t="shared" si="4"/>
        <v>15030180</v>
      </c>
      <c r="AA11"/>
      <c r="AB11"/>
      <c r="AC11"/>
    </row>
    <row r="12" spans="1:29" ht="26.25" customHeight="1">
      <c r="A12" s="1103" t="s">
        <v>235</v>
      </c>
      <c r="B12" s="1104"/>
      <c r="C12" s="1013">
        <v>331181</v>
      </c>
      <c r="D12" s="322">
        <f>매출액표!D56/1000</f>
        <v>7666.9325200999992</v>
      </c>
      <c r="E12" s="755">
        <f>ROUND(매출액표!E56/1000,0)</f>
        <v>327092</v>
      </c>
      <c r="F12" s="323">
        <f t="shared" ref="F12:F21" si="5">ROUND(E12/C12*100,1)</f>
        <v>98.8</v>
      </c>
      <c r="G12" s="1014">
        <v>329149</v>
      </c>
      <c r="H12" s="324">
        <f t="shared" si="0"/>
        <v>99.375055066246603</v>
      </c>
      <c r="I12" s="288">
        <f t="shared" ref="I12:I21" si="6">IF(E12=MAX($E$7:$E$10,$E$12:$E$21),MAX($T$7:$T$21)+(100-SUM($T$7:$T$21)),T12)</f>
        <v>7.3</v>
      </c>
      <c r="J12" s="742">
        <f t="shared" ref="J12:J21" si="7">C12+V12</f>
        <v>1450288</v>
      </c>
      <c r="K12" s="322">
        <f t="shared" ref="K12:K21" si="8">D12+W12</f>
        <v>33456.649130599995</v>
      </c>
      <c r="L12" s="325">
        <f t="shared" ref="L12:L21" si="9">E12+X12</f>
        <v>1425500</v>
      </c>
      <c r="M12" s="499">
        <f t="shared" si="2"/>
        <v>98.290822236686779</v>
      </c>
      <c r="N12" s="743">
        <f t="shared" ref="N12:N21" si="10">G12+Y12</f>
        <v>1441833</v>
      </c>
      <c r="O12" s="326">
        <f t="shared" si="3"/>
        <v>98.867205841453213</v>
      </c>
      <c r="P12" s="290">
        <f t="shared" ref="P12:P21" si="11">IF(L12=MAX($L$7:$L$10,$L$12:$L$21),MAX($U$7:$U$21)+(100-SUM($U$7:$U$21)),U12)</f>
        <v>5.9</v>
      </c>
      <c r="R12" s="1084" t="s">
        <v>39</v>
      </c>
      <c r="S12" s="1084"/>
      <c r="T12" s="261">
        <f t="shared" ref="T12:T21" si="12">ROUND(E12/$E$23*100,1)</f>
        <v>7.3</v>
      </c>
      <c r="U12" s="261">
        <f t="shared" ref="U12:U21" si="13">ROUND(L12/$L$23*100,1)</f>
        <v>5.9</v>
      </c>
      <c r="V12" s="1003">
        <v>1119107</v>
      </c>
      <c r="W12" s="1031">
        <v>25789.7166105</v>
      </c>
      <c r="X12" s="1031">
        <v>1098408</v>
      </c>
      <c r="Y12" s="1004">
        <v>1112684</v>
      </c>
      <c r="AA12"/>
      <c r="AB12"/>
      <c r="AC12"/>
    </row>
    <row r="13" spans="1:29" ht="26.25" customHeight="1">
      <c r="A13" s="1093" t="s">
        <v>42</v>
      </c>
      <c r="B13" s="1105"/>
      <c r="C13" s="1015">
        <v>77263</v>
      </c>
      <c r="D13" s="296">
        <f>매출액표!D65/1000</f>
        <v>1643.8408836999999</v>
      </c>
      <c r="E13" s="292">
        <f>ROUND(매출액표!E65/1000,0)</f>
        <v>70133</v>
      </c>
      <c r="F13" s="327">
        <f t="shared" si="5"/>
        <v>90.8</v>
      </c>
      <c r="G13" s="1016">
        <v>70529</v>
      </c>
      <c r="H13" s="294">
        <f t="shared" si="0"/>
        <v>99.438528832111615</v>
      </c>
      <c r="I13" s="328">
        <f t="shared" si="6"/>
        <v>1.6</v>
      </c>
      <c r="J13" s="735">
        <f t="shared" si="7"/>
        <v>454418</v>
      </c>
      <c r="K13" s="296">
        <f t="shared" si="8"/>
        <v>10751.156621300001</v>
      </c>
      <c r="L13" s="292">
        <f t="shared" si="9"/>
        <v>457959</v>
      </c>
      <c r="M13" s="297">
        <f t="shared" si="2"/>
        <v>100.77923849847497</v>
      </c>
      <c r="N13" s="736">
        <f t="shared" si="10"/>
        <v>466623</v>
      </c>
      <c r="O13" s="298">
        <f t="shared" si="3"/>
        <v>98.143254833130811</v>
      </c>
      <c r="P13" s="299">
        <f t="shared" si="11"/>
        <v>1.9</v>
      </c>
      <c r="R13" s="1084" t="s">
        <v>42</v>
      </c>
      <c r="S13" s="1084"/>
      <c r="T13" s="261">
        <f t="shared" si="12"/>
        <v>1.6</v>
      </c>
      <c r="U13" s="261">
        <f t="shared" si="13"/>
        <v>1.9</v>
      </c>
      <c r="V13" s="1003">
        <v>377155</v>
      </c>
      <c r="W13" s="1031">
        <v>9107.3157375999999</v>
      </c>
      <c r="X13" s="1031">
        <v>387826</v>
      </c>
      <c r="Y13" s="1004">
        <v>396094</v>
      </c>
      <c r="AA13"/>
      <c r="AB13"/>
      <c r="AC13"/>
    </row>
    <row r="14" spans="1:29" ht="26.25" customHeight="1">
      <c r="A14" s="1093" t="s">
        <v>234</v>
      </c>
      <c r="B14" s="1105"/>
      <c r="C14" s="1009">
        <v>67578</v>
      </c>
      <c r="D14" s="296">
        <f>매출액표!D73/1000</f>
        <v>1081.9660890000002</v>
      </c>
      <c r="E14" s="292">
        <f>ROUND(매출액표!E73/1000,0)</f>
        <v>46145</v>
      </c>
      <c r="F14" s="293">
        <f t="shared" si="5"/>
        <v>68.3</v>
      </c>
      <c r="G14" s="1010">
        <v>51962</v>
      </c>
      <c r="H14" s="294">
        <f t="shared" si="0"/>
        <v>88.805280782110003</v>
      </c>
      <c r="I14" s="295">
        <f t="shared" si="6"/>
        <v>1</v>
      </c>
      <c r="J14" s="735">
        <f t="shared" si="7"/>
        <v>500002</v>
      </c>
      <c r="K14" s="296">
        <f t="shared" si="8"/>
        <v>11308.131454799999</v>
      </c>
      <c r="L14" s="292">
        <f t="shared" si="9"/>
        <v>481602</v>
      </c>
      <c r="M14" s="297">
        <f t="shared" si="2"/>
        <v>96.320014719941113</v>
      </c>
      <c r="N14" s="736">
        <f t="shared" si="10"/>
        <v>509204</v>
      </c>
      <c r="O14" s="298">
        <f t="shared" si="3"/>
        <v>94.579382722838005</v>
      </c>
      <c r="P14" s="299">
        <f t="shared" si="11"/>
        <v>2</v>
      </c>
      <c r="R14" s="1084" t="s">
        <v>234</v>
      </c>
      <c r="S14" s="1084"/>
      <c r="T14" s="261">
        <f t="shared" si="12"/>
        <v>1</v>
      </c>
      <c r="U14" s="261">
        <f t="shared" si="13"/>
        <v>2</v>
      </c>
      <c r="V14" s="1003">
        <v>432424</v>
      </c>
      <c r="W14" s="1031">
        <v>10226.1653658</v>
      </c>
      <c r="X14" s="1031">
        <v>435457</v>
      </c>
      <c r="Y14" s="1004">
        <v>457242</v>
      </c>
      <c r="AA14"/>
      <c r="AB14"/>
      <c r="AC14"/>
    </row>
    <row r="15" spans="1:29" ht="26.25" customHeight="1">
      <c r="A15" s="1093" t="s">
        <v>239</v>
      </c>
      <c r="B15" s="1105"/>
      <c r="C15" s="1009">
        <v>786084</v>
      </c>
      <c r="D15" s="296">
        <f>매출액표!D77/1000</f>
        <v>18609.036172799995</v>
      </c>
      <c r="E15" s="292">
        <f>ROUND(매출액표!E77/1000,0)+1</f>
        <v>793601</v>
      </c>
      <c r="F15" s="293">
        <f t="shared" si="5"/>
        <v>101</v>
      </c>
      <c r="G15" s="1010">
        <v>811060</v>
      </c>
      <c r="H15" s="294">
        <f t="shared" si="0"/>
        <v>97.847384903706256</v>
      </c>
      <c r="I15" s="295">
        <f t="shared" si="6"/>
        <v>17.600000000000001</v>
      </c>
      <c r="J15" s="735">
        <f>C15+V15</f>
        <v>3291908</v>
      </c>
      <c r="K15" s="296">
        <f t="shared" si="8"/>
        <v>77552.808624199999</v>
      </c>
      <c r="L15" s="292">
        <f t="shared" si="9"/>
        <v>3304859</v>
      </c>
      <c r="M15" s="297">
        <f t="shared" si="2"/>
        <v>100.39341925716028</v>
      </c>
      <c r="N15" s="736">
        <f t="shared" si="10"/>
        <v>3383198</v>
      </c>
      <c r="O15" s="298">
        <f t="shared" si="3"/>
        <v>97.684468955112877</v>
      </c>
      <c r="P15" s="299">
        <f t="shared" si="11"/>
        <v>13.6</v>
      </c>
      <c r="R15" s="1084" t="s">
        <v>239</v>
      </c>
      <c r="S15" s="1084"/>
      <c r="T15" s="261">
        <f t="shared" si="12"/>
        <v>17.600000000000001</v>
      </c>
      <c r="U15" s="261">
        <f t="shared" si="13"/>
        <v>13.6</v>
      </c>
      <c r="V15" s="1003">
        <v>2505824</v>
      </c>
      <c r="W15" s="1031">
        <v>58943.7724514</v>
      </c>
      <c r="X15" s="1031">
        <v>2511258</v>
      </c>
      <c r="Y15" s="1004">
        <v>2572138</v>
      </c>
      <c r="AA15"/>
      <c r="AB15"/>
      <c r="AC15"/>
    </row>
    <row r="16" spans="1:29" ht="26.25" customHeight="1">
      <c r="A16" s="1093" t="s">
        <v>240</v>
      </c>
      <c r="B16" s="1105"/>
      <c r="C16" s="1009">
        <v>239599</v>
      </c>
      <c r="D16" s="296">
        <f>ROUND((매출액표!D57+매출액표!D59)/1000,0)</f>
        <v>5747</v>
      </c>
      <c r="E16" s="325">
        <f>ROUND((매출액표!E57+매출액표!E59)/1000,0)</f>
        <v>247986</v>
      </c>
      <c r="F16" s="293">
        <f>ROUND(E16/C16*100,1)</f>
        <v>103.5</v>
      </c>
      <c r="G16" s="1010">
        <v>251298</v>
      </c>
      <c r="H16" s="294">
        <f t="shared" si="0"/>
        <v>98.682042833607909</v>
      </c>
      <c r="I16" s="328">
        <f t="shared" si="6"/>
        <v>5.5</v>
      </c>
      <c r="J16" s="735">
        <f t="shared" si="7"/>
        <v>938948</v>
      </c>
      <c r="K16" s="296">
        <f t="shared" si="8"/>
        <v>22664</v>
      </c>
      <c r="L16" s="292">
        <f t="shared" si="9"/>
        <v>977986</v>
      </c>
      <c r="M16" s="297">
        <f t="shared" si="2"/>
        <v>104.15763173253471</v>
      </c>
      <c r="N16" s="736">
        <f t="shared" si="10"/>
        <v>984501</v>
      </c>
      <c r="O16" s="298">
        <f t="shared" si="3"/>
        <v>99.338243434999058</v>
      </c>
      <c r="P16" s="299">
        <f t="shared" si="11"/>
        <v>4</v>
      </c>
      <c r="R16" s="1084" t="s">
        <v>240</v>
      </c>
      <c r="S16" s="1084"/>
      <c r="T16" s="261">
        <f t="shared" si="12"/>
        <v>5.5</v>
      </c>
      <c r="U16" s="261">
        <f t="shared" si="13"/>
        <v>4</v>
      </c>
      <c r="V16" s="1003">
        <v>699349</v>
      </c>
      <c r="W16" s="1031">
        <v>16917</v>
      </c>
      <c r="X16" s="1031">
        <v>730000</v>
      </c>
      <c r="Y16" s="1004">
        <v>733203</v>
      </c>
      <c r="AA16"/>
      <c r="AB16"/>
      <c r="AC16"/>
    </row>
    <row r="17" spans="1:39" ht="26.25" customHeight="1">
      <c r="A17" s="1093" t="s">
        <v>241</v>
      </c>
      <c r="B17" s="1105"/>
      <c r="C17" s="1009">
        <v>11669</v>
      </c>
      <c r="D17" s="296">
        <f>ROUND((매출액표!D58)/1000,0)</f>
        <v>297</v>
      </c>
      <c r="E17" s="325">
        <f>ROUND((매출액표!E58)/1000,0)</f>
        <v>12554</v>
      </c>
      <c r="F17" s="293">
        <f t="shared" si="5"/>
        <v>107.6</v>
      </c>
      <c r="G17" s="1009">
        <v>11815</v>
      </c>
      <c r="H17" s="294">
        <f>IFERROR(E17/G17*100,0)</f>
        <v>106.25476089716462</v>
      </c>
      <c r="I17" s="295">
        <f t="shared" si="6"/>
        <v>0.3</v>
      </c>
      <c r="J17" s="735">
        <f t="shared" si="7"/>
        <v>44426</v>
      </c>
      <c r="K17" s="296">
        <f t="shared" si="8"/>
        <v>1172</v>
      </c>
      <c r="L17" s="292">
        <f t="shared" si="9"/>
        <v>49533</v>
      </c>
      <c r="M17" s="297">
        <f t="shared" si="2"/>
        <v>111.49552064106605</v>
      </c>
      <c r="N17" s="744">
        <f t="shared" si="10"/>
        <v>44975</v>
      </c>
      <c r="O17" s="298">
        <f>IFERROR(L17/N17*100,0)</f>
        <v>110.13451917732073</v>
      </c>
      <c r="P17" s="299">
        <f t="shared" si="11"/>
        <v>0.2</v>
      </c>
      <c r="R17" s="1084" t="s">
        <v>241</v>
      </c>
      <c r="S17" s="1084"/>
      <c r="T17" s="261">
        <f t="shared" si="12"/>
        <v>0.3</v>
      </c>
      <c r="U17" s="261">
        <f t="shared" si="13"/>
        <v>0.2</v>
      </c>
      <c r="V17" s="1003">
        <v>32757</v>
      </c>
      <c r="W17" s="1031">
        <v>875</v>
      </c>
      <c r="X17" s="1031">
        <v>36979</v>
      </c>
      <c r="Y17" s="1004">
        <v>33160</v>
      </c>
      <c r="AA17"/>
      <c r="AB17"/>
      <c r="AC17"/>
    </row>
    <row r="18" spans="1:39" ht="26.25" customHeight="1">
      <c r="A18" s="1093" t="s">
        <v>180</v>
      </c>
      <c r="B18" s="1105"/>
      <c r="C18" s="1009">
        <v>19528</v>
      </c>
      <c r="D18" s="296">
        <f>매출액표!D82/1000</f>
        <v>436.22300000000001</v>
      </c>
      <c r="E18" s="325">
        <f>ROUND(매출액표!E82/1000,0)</f>
        <v>18612</v>
      </c>
      <c r="F18" s="293">
        <f t="shared" si="5"/>
        <v>95.3</v>
      </c>
      <c r="G18" s="1010">
        <v>22898</v>
      </c>
      <c r="H18" s="329">
        <f t="shared" ref="H18:H23" si="14">E18/G18*100</f>
        <v>81.28220805310508</v>
      </c>
      <c r="I18" s="295">
        <f t="shared" si="6"/>
        <v>0.4</v>
      </c>
      <c r="J18" s="735">
        <f t="shared" si="7"/>
        <v>92084</v>
      </c>
      <c r="K18" s="296">
        <f t="shared" si="8"/>
        <v>2166.712</v>
      </c>
      <c r="L18" s="292">
        <f t="shared" si="9"/>
        <v>92370</v>
      </c>
      <c r="M18" s="297">
        <f t="shared" si="2"/>
        <v>100.31058598670779</v>
      </c>
      <c r="N18" s="736">
        <f t="shared" si="10"/>
        <v>100141</v>
      </c>
      <c r="O18" s="298">
        <f t="shared" ref="O18:O24" si="15">L18/N18*100</f>
        <v>92.23994168222805</v>
      </c>
      <c r="P18" s="299">
        <f t="shared" si="11"/>
        <v>0.4</v>
      </c>
      <c r="R18" s="1084" t="s">
        <v>180</v>
      </c>
      <c r="S18" s="1084"/>
      <c r="T18" s="261">
        <f t="shared" si="12"/>
        <v>0.4</v>
      </c>
      <c r="U18" s="261">
        <f t="shared" si="13"/>
        <v>0.4</v>
      </c>
      <c r="V18" s="1003">
        <v>72556</v>
      </c>
      <c r="W18" s="1031">
        <v>1730.489</v>
      </c>
      <c r="X18" s="1031">
        <v>73758</v>
      </c>
      <c r="Y18" s="1004">
        <v>77243</v>
      </c>
      <c r="AA18"/>
      <c r="AB18"/>
      <c r="AC18"/>
    </row>
    <row r="19" spans="1:39" ht="26.25" customHeight="1">
      <c r="A19" s="1093" t="s">
        <v>181</v>
      </c>
      <c r="B19" s="1105"/>
      <c r="C19" s="1009">
        <v>16627</v>
      </c>
      <c r="D19" s="296">
        <f>매출액표!D87/1000</f>
        <v>419.11853079999997</v>
      </c>
      <c r="E19" s="292">
        <f>ROUND(매출액표!E87/1000,0)</f>
        <v>17879</v>
      </c>
      <c r="F19" s="293">
        <f t="shared" si="5"/>
        <v>107.5</v>
      </c>
      <c r="G19" s="1010">
        <v>16604</v>
      </c>
      <c r="H19" s="294">
        <f t="shared" si="14"/>
        <v>107.67887256082871</v>
      </c>
      <c r="I19" s="295">
        <f t="shared" si="6"/>
        <v>0.4</v>
      </c>
      <c r="J19" s="735">
        <f t="shared" si="7"/>
        <v>68239</v>
      </c>
      <c r="K19" s="296">
        <f t="shared" si="8"/>
        <v>1676.5931499999999</v>
      </c>
      <c r="L19" s="292">
        <f t="shared" si="9"/>
        <v>71486</v>
      </c>
      <c r="M19" s="297">
        <f t="shared" si="2"/>
        <v>104.75827605914508</v>
      </c>
      <c r="N19" s="736">
        <f t="shared" si="10"/>
        <v>69243</v>
      </c>
      <c r="O19" s="298">
        <f t="shared" si="15"/>
        <v>103.23931660962118</v>
      </c>
      <c r="P19" s="299">
        <f t="shared" si="11"/>
        <v>0.3</v>
      </c>
      <c r="R19" s="1084" t="s">
        <v>181</v>
      </c>
      <c r="S19" s="1084"/>
      <c r="T19" s="261">
        <f t="shared" si="12"/>
        <v>0.4</v>
      </c>
      <c r="U19" s="261">
        <f t="shared" si="13"/>
        <v>0.3</v>
      </c>
      <c r="V19" s="1003">
        <v>51612</v>
      </c>
      <c r="W19" s="1031">
        <v>1257.4746192</v>
      </c>
      <c r="X19" s="1031">
        <v>53607</v>
      </c>
      <c r="Y19" s="1004">
        <v>52639</v>
      </c>
      <c r="AA19"/>
      <c r="AB19"/>
      <c r="AC19"/>
    </row>
    <row r="20" spans="1:39" ht="26.25" customHeight="1">
      <c r="A20" s="1093" t="s">
        <v>182</v>
      </c>
      <c r="B20" s="1105"/>
      <c r="C20" s="1009">
        <v>598</v>
      </c>
      <c r="D20" s="296">
        <f>매출액표!D89/1000</f>
        <v>15.920999999999999</v>
      </c>
      <c r="E20" s="292">
        <f>ROUND(매출액표!E89/1000,0)</f>
        <v>679</v>
      </c>
      <c r="F20" s="293">
        <f t="shared" si="5"/>
        <v>113.5</v>
      </c>
      <c r="G20" s="1010">
        <v>1199</v>
      </c>
      <c r="H20" s="294">
        <f t="shared" si="14"/>
        <v>56.63052543786489</v>
      </c>
      <c r="I20" s="295">
        <f t="shared" si="6"/>
        <v>0</v>
      </c>
      <c r="J20" s="735">
        <f t="shared" si="7"/>
        <v>2836</v>
      </c>
      <c r="K20" s="296">
        <f t="shared" si="8"/>
        <v>85.891999999999996</v>
      </c>
      <c r="L20" s="292">
        <f t="shared" si="9"/>
        <v>3661</v>
      </c>
      <c r="M20" s="297">
        <f t="shared" si="2"/>
        <v>129.09026798307474</v>
      </c>
      <c r="N20" s="736">
        <f t="shared" si="10"/>
        <v>3473</v>
      </c>
      <c r="O20" s="298">
        <f t="shared" si="15"/>
        <v>105.41318744601209</v>
      </c>
      <c r="P20" s="299">
        <f t="shared" si="11"/>
        <v>0</v>
      </c>
      <c r="R20" s="1084" t="s">
        <v>182</v>
      </c>
      <c r="S20" s="1084"/>
      <c r="T20" s="261">
        <f t="shared" si="12"/>
        <v>0</v>
      </c>
      <c r="U20" s="261">
        <f t="shared" si="13"/>
        <v>0</v>
      </c>
      <c r="V20" s="1003">
        <v>2238</v>
      </c>
      <c r="W20" s="1031">
        <v>69.971000000000004</v>
      </c>
      <c r="X20" s="1031">
        <v>2982</v>
      </c>
      <c r="Y20" s="1004">
        <v>2274</v>
      </c>
      <c r="AA20"/>
      <c r="AB20"/>
      <c r="AC20"/>
    </row>
    <row r="21" spans="1:39" ht="26.25" customHeight="1">
      <c r="A21" s="1095" t="s">
        <v>59</v>
      </c>
      <c r="B21" s="1113"/>
      <c r="C21" s="1011">
        <v>2522</v>
      </c>
      <c r="D21" s="305">
        <f>매출액표!D92/1000</f>
        <v>73.101049199999991</v>
      </c>
      <c r="E21" s="301">
        <f>ROUND(매출액표!E92/1000,0)</f>
        <v>3119</v>
      </c>
      <c r="F21" s="293">
        <f t="shared" si="5"/>
        <v>123.7</v>
      </c>
      <c r="G21" s="1012">
        <v>2521</v>
      </c>
      <c r="H21" s="303">
        <f t="shared" si="14"/>
        <v>123.72074573581912</v>
      </c>
      <c r="I21" s="304">
        <f t="shared" si="6"/>
        <v>0.1</v>
      </c>
      <c r="J21" s="737">
        <f t="shared" si="7"/>
        <v>31672</v>
      </c>
      <c r="K21" s="305">
        <f t="shared" si="8"/>
        <v>737.01729940000007</v>
      </c>
      <c r="L21" s="301">
        <f t="shared" si="9"/>
        <v>31414</v>
      </c>
      <c r="M21" s="306">
        <f t="shared" si="2"/>
        <v>99.185400353624658</v>
      </c>
      <c r="N21" s="738">
        <f t="shared" si="10"/>
        <v>32235</v>
      </c>
      <c r="O21" s="307">
        <f t="shared" si="15"/>
        <v>97.453078951450294</v>
      </c>
      <c r="P21" s="330">
        <f t="shared" si="11"/>
        <v>0.1</v>
      </c>
      <c r="R21" s="1084" t="s">
        <v>59</v>
      </c>
      <c r="S21" s="1084"/>
      <c r="T21" s="261">
        <f t="shared" si="12"/>
        <v>0.1</v>
      </c>
      <c r="U21" s="261">
        <f t="shared" si="13"/>
        <v>0.1</v>
      </c>
      <c r="V21" s="1003">
        <v>29150</v>
      </c>
      <c r="W21" s="1031">
        <v>663.91625020000004</v>
      </c>
      <c r="X21" s="1031">
        <v>28295</v>
      </c>
      <c r="Y21" s="1004">
        <v>29714</v>
      </c>
      <c r="AA21"/>
      <c r="AB21"/>
      <c r="AC21"/>
    </row>
    <row r="22" spans="1:39" ht="26.25" customHeight="1" thickBot="1">
      <c r="A22" s="1114" t="s">
        <v>41</v>
      </c>
      <c r="B22" s="1115"/>
      <c r="C22" s="310">
        <f>SUM(C12:C21)</f>
        <v>1552649</v>
      </c>
      <c r="D22" s="311">
        <f>SUM(D12:D21)</f>
        <v>35990.139245599996</v>
      </c>
      <c r="E22" s="331">
        <f>SUM(E12:E21)</f>
        <v>1537800</v>
      </c>
      <c r="F22" s="332">
        <f>E22/C22*100</f>
        <v>99.043634459559115</v>
      </c>
      <c r="G22" s="313">
        <f>SUM(G12:G21)</f>
        <v>1569035</v>
      </c>
      <c r="H22" s="333">
        <f t="shared" si="14"/>
        <v>98.009285962390905</v>
      </c>
      <c r="I22" s="315">
        <f>SUM(I12:I21)</f>
        <v>34.199999999999996</v>
      </c>
      <c r="J22" s="334">
        <f>SUM(J12:J21)</f>
        <v>6874821</v>
      </c>
      <c r="K22" s="317">
        <f>SUM(K12:K21)</f>
        <v>161570.9602803</v>
      </c>
      <c r="L22" s="331">
        <f>SUM(L12:L21)</f>
        <v>6896370</v>
      </c>
      <c r="M22" s="335">
        <f t="shared" si="2"/>
        <v>100.3134481610503</v>
      </c>
      <c r="N22" s="319">
        <f>SUM(N12:N21)</f>
        <v>7035426</v>
      </c>
      <c r="O22" s="320">
        <f t="shared" si="15"/>
        <v>98.023488556343281</v>
      </c>
      <c r="P22" s="336">
        <f>P23-P11</f>
        <v>28.400000000000006</v>
      </c>
      <c r="R22" s="1087" t="s">
        <v>46</v>
      </c>
      <c r="S22" s="1087"/>
      <c r="T22" s="269"/>
      <c r="U22" s="270"/>
      <c r="V22" s="500">
        <f>SUM(V12:V21)</f>
        <v>5322172</v>
      </c>
      <c r="W22" s="501">
        <f>SUM(W12:W21)</f>
        <v>125580.82103470001</v>
      </c>
      <c r="X22" s="501">
        <f>SUM(X12:X21)</f>
        <v>5358570</v>
      </c>
      <c r="Y22" s="502">
        <f>SUM(Y12:Y21)</f>
        <v>5466391</v>
      </c>
      <c r="AA22"/>
      <c r="AB22"/>
      <c r="AC22"/>
    </row>
    <row r="23" spans="1:39" ht="26.25" customHeight="1" thickTop="1">
      <c r="A23" s="1114" t="s">
        <v>114</v>
      </c>
      <c r="B23" s="1115"/>
      <c r="C23" s="310">
        <f>C11+C22</f>
        <v>4621183</v>
      </c>
      <c r="D23" s="395">
        <f>D11+D22</f>
        <v>105287.68095409998</v>
      </c>
      <c r="E23" s="337">
        <f>E22+E11</f>
        <v>4496393</v>
      </c>
      <c r="F23" s="397">
        <f>E23/C23*100</f>
        <v>97.299609212619359</v>
      </c>
      <c r="G23" s="396">
        <f>G22+G11</f>
        <v>4589383</v>
      </c>
      <c r="H23" s="333">
        <f t="shared" si="14"/>
        <v>97.973801707114006</v>
      </c>
      <c r="I23" s="338">
        <f>I11+I22</f>
        <v>100</v>
      </c>
      <c r="J23" s="334">
        <f>J11+J22</f>
        <v>24270239</v>
      </c>
      <c r="K23" s="317">
        <f>K22+K11</f>
        <v>571072.04919099994</v>
      </c>
      <c r="L23" s="337">
        <f>L11+L22</f>
        <v>24339442</v>
      </c>
      <c r="M23" s="339">
        <f t="shared" si="2"/>
        <v>100.28513522260741</v>
      </c>
      <c r="N23" s="340">
        <f>N11+N22</f>
        <v>25085954</v>
      </c>
      <c r="O23" s="320">
        <f t="shared" si="15"/>
        <v>97.024183333828958</v>
      </c>
      <c r="P23" s="341">
        <v>100</v>
      </c>
      <c r="Q23" s="38"/>
      <c r="R23" s="1086" t="s">
        <v>243</v>
      </c>
      <c r="S23" s="1086"/>
      <c r="T23" s="273"/>
      <c r="U23" s="274"/>
      <c r="V23" s="503">
        <f>V11+V22</f>
        <v>19649056</v>
      </c>
      <c r="W23" s="504">
        <f>W11+W22</f>
        <v>465784.36823690002</v>
      </c>
      <c r="X23" s="504">
        <f>X11+X22</f>
        <v>19843049</v>
      </c>
      <c r="Y23" s="505">
        <f>Y11+Y22</f>
        <v>20496571</v>
      </c>
      <c r="AA23"/>
      <c r="AB23"/>
      <c r="AC23"/>
    </row>
    <row r="24" spans="1:39" ht="26.25" customHeight="1" thickBot="1">
      <c r="A24" s="1116" t="s">
        <v>43</v>
      </c>
      <c r="B24" s="1117"/>
      <c r="C24" s="1017">
        <v>3035368</v>
      </c>
      <c r="D24" s="1063">
        <v>65894831</v>
      </c>
      <c r="E24" s="1064">
        <v>2811637.8939999999</v>
      </c>
      <c r="F24" s="398">
        <f>E24/C24*100</f>
        <v>92.629226307979778</v>
      </c>
      <c r="G24" s="1018">
        <v>3033061</v>
      </c>
      <c r="H24" s="342">
        <f>$E$24/G24*100</f>
        <v>92.699681740657368</v>
      </c>
      <c r="I24" s="343"/>
      <c r="J24" s="745">
        <f>C24+V24</f>
        <v>20942066</v>
      </c>
      <c r="K24" s="753">
        <f>D24+W24</f>
        <v>490006346</v>
      </c>
      <c r="L24" s="754">
        <f>E24+X24</f>
        <v>20885652.289000001</v>
      </c>
      <c r="M24" s="344">
        <f t="shared" si="2"/>
        <v>99.730620126018138</v>
      </c>
      <c r="N24" s="746">
        <f>G24+Y24</f>
        <v>21798392</v>
      </c>
      <c r="O24" s="343">
        <f t="shared" si="15"/>
        <v>95.812811738590625</v>
      </c>
      <c r="P24" s="345"/>
      <c r="R24" s="1083" t="s">
        <v>43</v>
      </c>
      <c r="S24" s="1083"/>
      <c r="T24" s="425"/>
      <c r="U24" s="426"/>
      <c r="V24" s="1005">
        <v>17906698</v>
      </c>
      <c r="W24" s="1032">
        <v>424111515</v>
      </c>
      <c r="X24" s="1033">
        <v>18074014.395</v>
      </c>
      <c r="Y24" s="1006">
        <v>18765331</v>
      </c>
      <c r="AA24"/>
      <c r="AB24"/>
      <c r="AC24"/>
    </row>
    <row r="25" spans="1:39" ht="26.25" customHeight="1">
      <c r="A25" s="346"/>
      <c r="B25" s="346"/>
      <c r="C25" s="421"/>
      <c r="D25" s="422"/>
      <c r="E25" s="421"/>
      <c r="F25" s="347"/>
      <c r="G25" s="421"/>
      <c r="H25" s="348"/>
      <c r="I25" s="347"/>
      <c r="J25" s="349"/>
      <c r="K25" s="350"/>
      <c r="L25" s="351"/>
      <c r="M25" s="347"/>
      <c r="N25" s="352"/>
      <c r="O25" s="347"/>
      <c r="P25" s="353"/>
      <c r="R25" s="880"/>
      <c r="S25" s="880"/>
      <c r="T25" s="262"/>
      <c r="U25" s="262"/>
      <c r="V25" s="263"/>
      <c r="W25" s="264"/>
      <c r="X25" s="263"/>
      <c r="Y25" s="263"/>
      <c r="AA25"/>
      <c r="AB25"/>
      <c r="AC25"/>
    </row>
    <row r="26" spans="1:39" ht="26.25" customHeight="1">
      <c r="A26" s="354"/>
      <c r="B26" s="354"/>
      <c r="C26" s="355"/>
      <c r="D26" s="356"/>
      <c r="E26" s="356"/>
      <c r="F26" s="355"/>
      <c r="G26" s="355"/>
      <c r="H26" s="355"/>
      <c r="I26" s="355"/>
      <c r="J26" s="357"/>
      <c r="K26" s="357"/>
      <c r="L26" s="357"/>
      <c r="M26" s="357"/>
      <c r="N26" s="355"/>
      <c r="O26" s="355"/>
      <c r="P26" s="355"/>
      <c r="Q26" s="54"/>
      <c r="R26" s="54"/>
      <c r="S26" s="54"/>
      <c r="T26" s="54"/>
      <c r="U26" s="54"/>
      <c r="V26" s="891"/>
      <c r="W26" s="891"/>
      <c r="X26" s="891"/>
      <c r="Y26" s="891"/>
      <c r="AA26"/>
      <c r="AB26"/>
      <c r="AC26"/>
    </row>
    <row r="27" spans="1:39" ht="26.25" customHeight="1">
      <c r="A27" s="889"/>
      <c r="B27" s="892"/>
      <c r="C27" s="892"/>
      <c r="D27" s="892"/>
      <c r="E27" s="892"/>
      <c r="F27" s="892"/>
      <c r="G27" s="892"/>
      <c r="H27" s="892"/>
      <c r="I27" s="892"/>
      <c r="J27" s="892"/>
      <c r="K27" s="892"/>
      <c r="L27" s="892"/>
      <c r="M27" s="892"/>
      <c r="N27" s="892"/>
      <c r="O27" s="892"/>
      <c r="P27" s="893"/>
      <c r="Q27" s="894"/>
      <c r="R27" s="884" t="s">
        <v>19</v>
      </c>
      <c r="S27" s="894"/>
      <c r="T27" s="895"/>
      <c r="U27" s="895"/>
      <c r="V27" s="265"/>
      <c r="W27" s="265"/>
      <c r="X27" s="891"/>
      <c r="Y27" s="891"/>
      <c r="Z27" s="890"/>
      <c r="AA27" s="890"/>
      <c r="AB27" s="890"/>
      <c r="AC27" s="890"/>
      <c r="AD27" s="890"/>
      <c r="AE27" s="890"/>
      <c r="AF27" s="890"/>
      <c r="AG27" s="890"/>
      <c r="AH27" s="890"/>
      <c r="AI27" s="890"/>
      <c r="AJ27" s="890"/>
      <c r="AK27" s="890"/>
      <c r="AL27" s="890"/>
      <c r="AM27" s="890"/>
    </row>
    <row r="28" spans="1:39" ht="26.25" customHeight="1" thickBot="1">
      <c r="A28" s="887" t="s">
        <v>116</v>
      </c>
      <c r="B28" s="892"/>
      <c r="C28" s="892"/>
      <c r="D28" s="892"/>
      <c r="E28" s="892"/>
      <c r="F28" s="892"/>
      <c r="G28" s="892"/>
      <c r="H28" s="892"/>
      <c r="I28" s="892"/>
      <c r="J28" s="892"/>
      <c r="K28" s="892"/>
      <c r="L28" s="892"/>
      <c r="M28" s="892"/>
      <c r="N28" s="892"/>
      <c r="O28" s="892"/>
      <c r="P28" s="893" t="s">
        <v>117</v>
      </c>
      <c r="Q28" s="894"/>
      <c r="R28" s="894"/>
      <c r="S28" s="894"/>
      <c r="T28" s="895"/>
      <c r="U28" s="895"/>
      <c r="V28" s="888" t="s">
        <v>264</v>
      </c>
      <c r="W28" s="891"/>
      <c r="X28" s="891"/>
      <c r="Y28" s="891"/>
      <c r="Z28"/>
      <c r="AA28"/>
      <c r="AB28"/>
      <c r="AC28"/>
      <c r="AD28" s="890"/>
      <c r="AE28" s="890"/>
      <c r="AF28" s="890"/>
      <c r="AG28" s="890"/>
      <c r="AH28" s="890"/>
      <c r="AI28" s="890"/>
      <c r="AJ28" s="890"/>
      <c r="AK28" s="890"/>
      <c r="AL28" s="890"/>
      <c r="AM28" s="890"/>
    </row>
    <row r="29" spans="1:39" ht="29.25" customHeight="1">
      <c r="A29" s="1106" t="s">
        <v>118</v>
      </c>
      <c r="B29" s="1107"/>
      <c r="C29" s="1133" t="s">
        <v>20</v>
      </c>
      <c r="D29" s="1132"/>
      <c r="E29" s="1132"/>
      <c r="F29" s="1132"/>
      <c r="G29" s="1132"/>
      <c r="H29" s="1132"/>
      <c r="I29" s="1134"/>
      <c r="J29" s="1133" t="s">
        <v>21</v>
      </c>
      <c r="K29" s="1132"/>
      <c r="L29" s="1132"/>
      <c r="M29" s="1132"/>
      <c r="N29" s="1132"/>
      <c r="O29" s="1132"/>
      <c r="P29" s="1134"/>
      <c r="Q29" s="254"/>
      <c r="R29" s="1082" t="s">
        <v>45</v>
      </c>
      <c r="S29" s="1082"/>
      <c r="T29" s="1123" t="s">
        <v>245</v>
      </c>
      <c r="U29" s="1124"/>
      <c r="V29" s="1125" t="s">
        <v>250</v>
      </c>
      <c r="W29" s="1126"/>
      <c r="X29" s="1127"/>
      <c r="Y29" s="891"/>
      <c r="Z29"/>
      <c r="AA29"/>
      <c r="AB29"/>
      <c r="AC29"/>
      <c r="AD29" s="890"/>
      <c r="AE29" s="890"/>
      <c r="AF29" s="890"/>
      <c r="AG29" s="890"/>
      <c r="AH29" s="890"/>
      <c r="AI29" s="890"/>
      <c r="AJ29" s="890"/>
      <c r="AK29" s="890"/>
      <c r="AL29" s="890"/>
      <c r="AM29" s="890"/>
    </row>
    <row r="30" spans="1:39" ht="29.25" customHeight="1">
      <c r="A30" s="1108"/>
      <c r="B30" s="1109"/>
      <c r="C30" s="358" t="s">
        <v>22</v>
      </c>
      <c r="D30" s="359" t="s">
        <v>109</v>
      </c>
      <c r="E30" s="360" t="s">
        <v>256</v>
      </c>
      <c r="F30" s="361" t="s">
        <v>24</v>
      </c>
      <c r="G30" s="879" t="s">
        <v>259</v>
      </c>
      <c r="H30" s="1075" t="s">
        <v>258</v>
      </c>
      <c r="I30" s="1076"/>
      <c r="J30" s="362" t="s">
        <v>22</v>
      </c>
      <c r="K30" s="359" t="s">
        <v>23</v>
      </c>
      <c r="L30" s="363" t="s">
        <v>256</v>
      </c>
      <c r="M30" s="364" t="s">
        <v>24</v>
      </c>
      <c r="N30" s="879" t="s">
        <v>259</v>
      </c>
      <c r="O30" s="1075" t="s">
        <v>258</v>
      </c>
      <c r="P30" s="1076"/>
      <c r="Q30" s="17"/>
      <c r="R30" s="1082"/>
      <c r="S30" s="1082"/>
      <c r="T30" s="257" t="s">
        <v>248</v>
      </c>
      <c r="U30" s="260" t="s">
        <v>249</v>
      </c>
      <c r="V30" s="266" t="s">
        <v>108</v>
      </c>
      <c r="W30" s="267" t="s">
        <v>109</v>
      </c>
      <c r="X30" s="401" t="s">
        <v>263</v>
      </c>
      <c r="Y30" s="891"/>
      <c r="Z30"/>
      <c r="AA30"/>
      <c r="AB30"/>
      <c r="AC30"/>
    </row>
    <row r="31" spans="1:39" ht="29.25" customHeight="1">
      <c r="A31" s="1110" t="s">
        <v>366</v>
      </c>
      <c r="B31" s="284" t="s">
        <v>28</v>
      </c>
      <c r="C31" s="1019">
        <v>691263.05</v>
      </c>
      <c r="D31" s="365">
        <f>ROUND((매출액표!G23+매출액표!H23)/1000,0)</f>
        <v>523662</v>
      </c>
      <c r="E31" s="366"/>
      <c r="F31" s="1020">
        <v>555743</v>
      </c>
      <c r="G31" s="367"/>
      <c r="H31" s="1077">
        <f>IF(D31=MAX($D$31:$D$34,$D$36:$D$45),MAX($T$31:$T$45)+(100-SUM($T$31:$T$45)),T31)</f>
        <v>0.6</v>
      </c>
      <c r="I31" s="1078"/>
      <c r="J31" s="723">
        <f t="shared" ref="J31:K34" si="16">C31+V31</f>
        <v>2775029.6</v>
      </c>
      <c r="K31" s="724">
        <f t="shared" si="16"/>
        <v>2224622</v>
      </c>
      <c r="L31" s="368"/>
      <c r="M31" s="725">
        <f>X31+F31-1</f>
        <v>2397489</v>
      </c>
      <c r="N31" s="367"/>
      <c r="O31" s="1077">
        <f>IF(K31=MAX($K$31:$K$34,$K$36:$K$45),MAX($U$31:$U$45)+(100-SUM($U$31:$U$45)),U31)</f>
        <v>0.4</v>
      </c>
      <c r="P31" s="1078"/>
      <c r="R31" s="1085" t="s">
        <v>25</v>
      </c>
      <c r="S31" s="878" t="s">
        <v>37</v>
      </c>
      <c r="T31" s="261">
        <f>ROUND(D31/$D$47*100,1)</f>
        <v>0.6</v>
      </c>
      <c r="U31" s="261">
        <f>ROUND(K31/$K$47*100,1)</f>
        <v>0.4</v>
      </c>
      <c r="V31" s="1034">
        <v>2083766.55</v>
      </c>
      <c r="W31" s="1035">
        <v>1700960</v>
      </c>
      <c r="X31" s="1036">
        <v>1841747</v>
      </c>
      <c r="Y31" s="891"/>
      <c r="Z31"/>
      <c r="AA31"/>
      <c r="AB31"/>
      <c r="AC31"/>
    </row>
    <row r="32" spans="1:39" ht="29.25" customHeight="1">
      <c r="A32" s="1111"/>
      <c r="B32" s="291" t="s">
        <v>156</v>
      </c>
      <c r="C32" s="1021">
        <v>63870113.950000003</v>
      </c>
      <c r="D32" s="369">
        <f>ROUND((매출액표!G31+매출액표!H31+매출액표!G36+매출액표!H36)/1000,0)</f>
        <v>61573915</v>
      </c>
      <c r="E32" s="370"/>
      <c r="F32" s="1022">
        <v>62823355</v>
      </c>
      <c r="G32" s="371"/>
      <c r="H32" s="1079">
        <f>IF(D32=MAX($D$31:$D$34,$D$36:$D$45),MAX($T$31:$T$45)+(100-SUM($T$31:$T$45)),T32)</f>
        <v>65.200000000000017</v>
      </c>
      <c r="I32" s="1080"/>
      <c r="J32" s="726">
        <f t="shared" si="16"/>
        <v>364664479.39999998</v>
      </c>
      <c r="K32" s="727">
        <f t="shared" si="16"/>
        <v>367135746</v>
      </c>
      <c r="L32" s="372"/>
      <c r="M32" s="725">
        <f t="shared" ref="M32:M34" si="17">X32+F32</f>
        <v>379548726</v>
      </c>
      <c r="N32" s="371"/>
      <c r="O32" s="1079">
        <f>IF(K32=MAX($K$31:$K$34,$K$36:$K$45),MAX($U$31:$U$45)+(100-SUM($U$31:$U$45)),U32)</f>
        <v>71.09999999999998</v>
      </c>
      <c r="P32" s="1080"/>
      <c r="R32" s="1085"/>
      <c r="S32" s="878" t="s">
        <v>185</v>
      </c>
      <c r="T32" s="261">
        <f>ROUND(D32/$D$47*100,1)</f>
        <v>65.400000000000006</v>
      </c>
      <c r="U32" s="261">
        <f>ROUND(K32/$K$47*100,1)</f>
        <v>70.900000000000006</v>
      </c>
      <c r="V32" s="1034">
        <v>300794365.44999999</v>
      </c>
      <c r="W32" s="1035">
        <v>305561831</v>
      </c>
      <c r="X32" s="1036">
        <v>316725371</v>
      </c>
      <c r="Y32" s="891"/>
      <c r="Z32"/>
      <c r="AA32"/>
      <c r="AB32"/>
      <c r="AC32"/>
    </row>
    <row r="33" spans="1:29" ht="29.25" customHeight="1">
      <c r="A33" s="1111"/>
      <c r="B33" s="291" t="s">
        <v>186</v>
      </c>
      <c r="C33" s="1021">
        <v>1098798</v>
      </c>
      <c r="D33" s="369">
        <f>ROUND((매출액표!G40+매출액표!H40)/1000,0)</f>
        <v>989595</v>
      </c>
      <c r="E33" s="370"/>
      <c r="F33" s="1022">
        <v>1198960</v>
      </c>
      <c r="G33" s="371"/>
      <c r="H33" s="1079">
        <f>IF(D33=MAX($D$31:$D$34,$D$36:$D$45),MAX($T$31:$T$45)+(100-SUM($T$31:$T$45)),T33)</f>
        <v>1.1000000000000001</v>
      </c>
      <c r="I33" s="1080"/>
      <c r="J33" s="726">
        <f t="shared" si="16"/>
        <v>6977603</v>
      </c>
      <c r="K33" s="728">
        <f t="shared" si="16"/>
        <v>6246561</v>
      </c>
      <c r="L33" s="372"/>
      <c r="M33" s="725">
        <f t="shared" si="17"/>
        <v>7334089.5099999998</v>
      </c>
      <c r="N33" s="371"/>
      <c r="O33" s="1079">
        <f>IF(K33=MAX($K$31:$K$34,$K$36:$K$45),MAX($U$31:$U$45)+(100-SUM($U$31:$U$45)),U33)</f>
        <v>1.2</v>
      </c>
      <c r="P33" s="1080"/>
      <c r="R33" s="1085"/>
      <c r="S33" s="878" t="s">
        <v>186</v>
      </c>
      <c r="T33" s="261">
        <f>ROUND(D33/$D$47*100,1)</f>
        <v>1.1000000000000001</v>
      </c>
      <c r="U33" s="261">
        <f>ROUND(K33/$K$47*100,1)</f>
        <v>1.2</v>
      </c>
      <c r="V33" s="1034">
        <v>5878805</v>
      </c>
      <c r="W33" s="1035">
        <v>5256966</v>
      </c>
      <c r="X33" s="1036">
        <v>6135129.5099999998</v>
      </c>
      <c r="Y33" s="891"/>
      <c r="Z33"/>
      <c r="AA33"/>
      <c r="AB33"/>
      <c r="AC33"/>
    </row>
    <row r="34" spans="1:29" ht="29.25" customHeight="1">
      <c r="A34" s="1111"/>
      <c r="B34" s="300" t="s">
        <v>157</v>
      </c>
      <c r="C34" s="1021">
        <v>516515</v>
      </c>
      <c r="D34" s="373">
        <f>ROUND((매출액표!G44+매출액표!H44)/1000,0)</f>
        <v>419387</v>
      </c>
      <c r="E34" s="374"/>
      <c r="F34" s="1023">
        <v>454769</v>
      </c>
      <c r="G34" s="375"/>
      <c r="H34" s="1069">
        <f>IF(D34=MAX($D$31:$D$34,$D$36:$D$45),MAX($T$31:$T$45)+(100-SUM($T$31:$T$45)),T34)</f>
        <v>0.4</v>
      </c>
      <c r="I34" s="1070"/>
      <c r="J34" s="729">
        <f t="shared" si="16"/>
        <v>4849267</v>
      </c>
      <c r="K34" s="730">
        <f t="shared" si="16"/>
        <v>4467837</v>
      </c>
      <c r="L34" s="376"/>
      <c r="M34" s="725">
        <f t="shared" si="17"/>
        <v>4727378.2350000003</v>
      </c>
      <c r="N34" s="375"/>
      <c r="O34" s="1069">
        <f>IF(K34=MAX($K$31:$K$34,$K$36:$K$45),MAX($U$31:$U$45)+(100-SUM($U$31:$U$45)),U34)</f>
        <v>0.9</v>
      </c>
      <c r="P34" s="1070"/>
      <c r="R34" s="1085"/>
      <c r="S34" s="878" t="s">
        <v>187</v>
      </c>
      <c r="T34" s="261">
        <f>ROUND(D34/$D$47*100,1)</f>
        <v>0.4</v>
      </c>
      <c r="U34" s="261">
        <f>ROUND(K34/$K$47*100,1)</f>
        <v>0.9</v>
      </c>
      <c r="V34" s="1034">
        <v>4332752</v>
      </c>
      <c r="W34" s="1035">
        <v>4048450</v>
      </c>
      <c r="X34" s="1036">
        <v>4272609.2350000003</v>
      </c>
      <c r="Y34" s="891"/>
      <c r="Z34"/>
      <c r="AA34"/>
      <c r="AB34"/>
      <c r="AC34"/>
    </row>
    <row r="35" spans="1:29" ht="29.25" customHeight="1">
      <c r="A35" s="1112"/>
      <c r="B35" s="309" t="s">
        <v>41</v>
      </c>
      <c r="C35" s="934">
        <f>SUM(C31:C34)</f>
        <v>66176690</v>
      </c>
      <c r="D35" s="377">
        <f>SUM(D31:D34)</f>
        <v>63506559</v>
      </c>
      <c r="E35" s="378">
        <f>D35/C35*100</f>
        <v>95.965148755551226</v>
      </c>
      <c r="F35" s="935">
        <f>SUM(F31:F34)</f>
        <v>65032827</v>
      </c>
      <c r="G35" s="379">
        <f>D35/F35*100</f>
        <v>97.653080651099472</v>
      </c>
      <c r="H35" s="1071">
        <f>SUM(H31:I34)</f>
        <v>67.300000000000011</v>
      </c>
      <c r="I35" s="1072"/>
      <c r="J35" s="380">
        <f t="shared" ref="J35:J45" si="18">C35+V35</f>
        <v>379266379</v>
      </c>
      <c r="K35" s="381">
        <f>SUM(K31:K34)</f>
        <v>380074766</v>
      </c>
      <c r="L35" s="378">
        <f>K35/J35*100</f>
        <v>100.21314491469859</v>
      </c>
      <c r="M35" s="382">
        <f>SUM(M31:M34)</f>
        <v>394007682.745</v>
      </c>
      <c r="N35" s="383">
        <f>K35/M35*100</f>
        <v>96.463795668162817</v>
      </c>
      <c r="O35" s="1071">
        <f>SUM(O31:P34)</f>
        <v>73.599999999999994</v>
      </c>
      <c r="P35" s="1072"/>
      <c r="R35" s="1085"/>
      <c r="S35" s="882" t="s">
        <v>237</v>
      </c>
      <c r="T35" s="268"/>
      <c r="U35" s="268"/>
      <c r="V35" s="929">
        <f>SUM(V31:V34)</f>
        <v>313089689</v>
      </c>
      <c r="W35" s="930">
        <f>SUM(W31:W34)</f>
        <v>316568207</v>
      </c>
      <c r="X35" s="931">
        <f>SUM(X31:X34)</f>
        <v>328974856.745</v>
      </c>
      <c r="Y35" s="891"/>
      <c r="Z35"/>
      <c r="AA35"/>
      <c r="AB35"/>
      <c r="AC35"/>
    </row>
    <row r="36" spans="1:29" ht="29.25" customHeight="1">
      <c r="A36" s="1103" t="s">
        <v>235</v>
      </c>
      <c r="B36" s="1120"/>
      <c r="C36" s="1019">
        <v>7545660</v>
      </c>
      <c r="D36" s="365">
        <f>ROUNDDOWN((매출액표!G50+매출액표!G55)/1000,-3)+1000</f>
        <v>7426000</v>
      </c>
      <c r="E36" s="368"/>
      <c r="F36" s="1024">
        <v>7431000</v>
      </c>
      <c r="G36" s="367"/>
      <c r="H36" s="1077">
        <f t="shared" ref="H36:H45" si="19">IF(D36=MAX($D$31:$D$34,$D$36:$D$45),MAX($T$31:$T$45)+(100-SUM($T$31:$T$45)),T36)</f>
        <v>7.9</v>
      </c>
      <c r="I36" s="1078"/>
      <c r="J36" s="723">
        <f t="shared" si="18"/>
        <v>33043503</v>
      </c>
      <c r="K36" s="724">
        <f t="shared" ref="K36:K45" si="20">D36+W36</f>
        <v>32355000</v>
      </c>
      <c r="L36" s="368"/>
      <c r="M36" s="725">
        <f>X36+F36</f>
        <v>32557204.862</v>
      </c>
      <c r="N36" s="367"/>
      <c r="O36" s="1077">
        <f t="shared" ref="O36:O45" si="21">IF(K36=MAX($K$31:$K$34,$K$36:$K$45),MAX($U$31:$U$45)+(100-SUM($U$31:$U$45)),U36)</f>
        <v>6.3</v>
      </c>
      <c r="P36" s="1078"/>
      <c r="R36" s="1088" t="s">
        <v>39</v>
      </c>
      <c r="S36" s="1088"/>
      <c r="T36" s="261">
        <f t="shared" ref="T36:T45" si="22">ROUND(D36/$D$47*100,1)</f>
        <v>7.9</v>
      </c>
      <c r="U36" s="261">
        <f t="shared" ref="U36:U45" si="23">ROUND(K36/$K$47*100,1)</f>
        <v>6.3</v>
      </c>
      <c r="V36" s="1034">
        <v>25497843</v>
      </c>
      <c r="W36" s="1035">
        <v>24929000</v>
      </c>
      <c r="X36" s="1036">
        <v>25126204.862</v>
      </c>
      <c r="Y36" s="891"/>
      <c r="Z36"/>
      <c r="AA36"/>
      <c r="AB36"/>
      <c r="AC36"/>
    </row>
    <row r="37" spans="1:29" ht="29.25" customHeight="1">
      <c r="A37" s="1093" t="s">
        <v>42</v>
      </c>
      <c r="B37" s="1094"/>
      <c r="C37" s="1019">
        <v>1698928</v>
      </c>
      <c r="D37" s="369">
        <f>ROUND((매출액표!G65+매출액표!H65)/1000,0)</f>
        <v>1498332</v>
      </c>
      <c r="E37" s="372"/>
      <c r="F37" s="1024">
        <v>1701322</v>
      </c>
      <c r="G37" s="371"/>
      <c r="H37" s="1079">
        <f t="shared" si="19"/>
        <v>1.6</v>
      </c>
      <c r="I37" s="1080"/>
      <c r="J37" s="726">
        <f t="shared" si="18"/>
        <v>9992150</v>
      </c>
      <c r="K37" s="727">
        <f t="shared" si="20"/>
        <v>9881982</v>
      </c>
      <c r="L37" s="372"/>
      <c r="M37" s="725">
        <f t="shared" ref="M37:M45" si="24">X37+F37</f>
        <v>11526765.223999999</v>
      </c>
      <c r="N37" s="371"/>
      <c r="O37" s="1079">
        <f t="shared" si="21"/>
        <v>1.9</v>
      </c>
      <c r="P37" s="1080"/>
      <c r="R37" s="1088" t="s">
        <v>35</v>
      </c>
      <c r="S37" s="1088"/>
      <c r="T37" s="261">
        <f t="shared" si="22"/>
        <v>1.6</v>
      </c>
      <c r="U37" s="261">
        <f t="shared" si="23"/>
        <v>1.9</v>
      </c>
      <c r="V37" s="1034">
        <v>8293222</v>
      </c>
      <c r="W37" s="1035">
        <v>8383650</v>
      </c>
      <c r="X37" s="1036">
        <v>9825443.2239999995</v>
      </c>
      <c r="Y37" s="891"/>
      <c r="Z37"/>
      <c r="AA37"/>
      <c r="AB37"/>
      <c r="AC37"/>
    </row>
    <row r="38" spans="1:29" ht="29.25" customHeight="1">
      <c r="A38" s="1093" t="s">
        <v>234</v>
      </c>
      <c r="B38" s="1094"/>
      <c r="C38" s="1019">
        <v>880629</v>
      </c>
      <c r="D38" s="369">
        <f>ROUND((매출액표!G73+매출액표!H73)/1000,0)</f>
        <v>994569</v>
      </c>
      <c r="E38" s="372"/>
      <c r="F38" s="1024">
        <v>1267048</v>
      </c>
      <c r="G38" s="371"/>
      <c r="H38" s="1079">
        <f t="shared" si="19"/>
        <v>1.1000000000000001</v>
      </c>
      <c r="I38" s="1080"/>
      <c r="J38" s="726">
        <f t="shared" si="18"/>
        <v>10110372</v>
      </c>
      <c r="K38" s="727">
        <f t="shared" si="20"/>
        <v>10554988</v>
      </c>
      <c r="L38" s="372"/>
      <c r="M38" s="725">
        <f t="shared" si="24"/>
        <v>12768583.585000001</v>
      </c>
      <c r="N38" s="371"/>
      <c r="O38" s="1079">
        <f t="shared" si="21"/>
        <v>2</v>
      </c>
      <c r="P38" s="1080"/>
      <c r="R38" s="1088" t="s">
        <v>236</v>
      </c>
      <c r="S38" s="1088"/>
      <c r="T38" s="261">
        <f t="shared" si="22"/>
        <v>1.1000000000000001</v>
      </c>
      <c r="U38" s="261">
        <f t="shared" si="23"/>
        <v>2</v>
      </c>
      <c r="V38" s="1034">
        <v>9229743</v>
      </c>
      <c r="W38" s="1035">
        <v>9560419</v>
      </c>
      <c r="X38" s="1036">
        <v>11501535.585000001</v>
      </c>
      <c r="Y38" s="891"/>
      <c r="Z38"/>
      <c r="AA38"/>
      <c r="AB38"/>
      <c r="AC38"/>
    </row>
    <row r="39" spans="1:29" ht="29.25" customHeight="1">
      <c r="A39" s="1093" t="s">
        <v>239</v>
      </c>
      <c r="B39" s="1094"/>
      <c r="C39" s="1019">
        <v>13643902</v>
      </c>
      <c r="D39" s="369">
        <f>ROUND((매출액표!G77+매출액표!H77)/1000,0)</f>
        <v>14465043</v>
      </c>
      <c r="E39" s="372"/>
      <c r="F39" s="1024">
        <v>17251205</v>
      </c>
      <c r="G39" s="371"/>
      <c r="H39" s="1079">
        <f t="shared" si="19"/>
        <v>15.4</v>
      </c>
      <c r="I39" s="1080"/>
      <c r="J39" s="726">
        <f t="shared" si="18"/>
        <v>57136987</v>
      </c>
      <c r="K39" s="727">
        <f t="shared" si="20"/>
        <v>59737670</v>
      </c>
      <c r="L39" s="372"/>
      <c r="M39" s="725">
        <f>X39+F39+1</f>
        <v>71886716.083999991</v>
      </c>
      <c r="N39" s="371" t="s">
        <v>110</v>
      </c>
      <c r="O39" s="1079">
        <f t="shared" si="21"/>
        <v>11.5</v>
      </c>
      <c r="P39" s="1080"/>
      <c r="R39" s="1088" t="s">
        <v>175</v>
      </c>
      <c r="S39" s="1088"/>
      <c r="T39" s="261">
        <f t="shared" si="22"/>
        <v>15.4</v>
      </c>
      <c r="U39" s="261">
        <f t="shared" si="23"/>
        <v>11.5</v>
      </c>
      <c r="V39" s="1034">
        <v>43493085</v>
      </c>
      <c r="W39" s="1035">
        <v>45272627</v>
      </c>
      <c r="X39" s="1036">
        <v>54635510.083999999</v>
      </c>
      <c r="Y39" s="891"/>
      <c r="Z39"/>
      <c r="AA39"/>
      <c r="AB39"/>
      <c r="AC39"/>
    </row>
    <row r="40" spans="1:29" ht="29.25" customHeight="1">
      <c r="A40" s="1121" t="s">
        <v>240</v>
      </c>
      <c r="B40" s="1122"/>
      <c r="C40" s="1019">
        <v>4855785</v>
      </c>
      <c r="D40" s="369">
        <f>ROUND((매출액표!G57+매출액표!G59)/1000,0)</f>
        <v>5231777</v>
      </c>
      <c r="E40" s="372"/>
      <c r="F40" s="1024">
        <v>6125700</v>
      </c>
      <c r="G40" s="371"/>
      <c r="H40" s="1079">
        <f t="shared" si="19"/>
        <v>5.6</v>
      </c>
      <c r="I40" s="1080"/>
      <c r="J40" s="726">
        <f t="shared" si="18"/>
        <v>19029000</v>
      </c>
      <c r="K40" s="727">
        <f t="shared" si="20"/>
        <v>20340809</v>
      </c>
      <c r="L40" s="372"/>
      <c r="M40" s="725">
        <f t="shared" si="24"/>
        <v>23593634.789999999</v>
      </c>
      <c r="N40" s="371" t="s">
        <v>110</v>
      </c>
      <c r="O40" s="1079">
        <f t="shared" si="21"/>
        <v>3.9</v>
      </c>
      <c r="P40" s="1080"/>
      <c r="R40" s="1088" t="s">
        <v>26</v>
      </c>
      <c r="S40" s="1088"/>
      <c r="T40" s="261">
        <f t="shared" si="22"/>
        <v>5.6</v>
      </c>
      <c r="U40" s="261">
        <f t="shared" si="23"/>
        <v>3.9</v>
      </c>
      <c r="V40" s="1034">
        <v>14173215</v>
      </c>
      <c r="W40" s="1035">
        <v>15109032</v>
      </c>
      <c r="X40" s="1036">
        <v>17467934.789999999</v>
      </c>
      <c r="Y40" s="891"/>
      <c r="Z40"/>
      <c r="AA40"/>
      <c r="AB40"/>
      <c r="AC40"/>
    </row>
    <row r="41" spans="1:29" ht="29.25" customHeight="1">
      <c r="A41" s="1093" t="s">
        <v>241</v>
      </c>
      <c r="B41" s="1094"/>
      <c r="C41" s="1019">
        <v>236487</v>
      </c>
      <c r="D41" s="369">
        <f>ROUND(매출액표!G58/1000,0)</f>
        <v>268300</v>
      </c>
      <c r="E41" s="372"/>
      <c r="F41" s="1024">
        <v>288002</v>
      </c>
      <c r="G41" s="371"/>
      <c r="H41" s="1079">
        <f t="shared" si="19"/>
        <v>0.3</v>
      </c>
      <c r="I41" s="1080"/>
      <c r="J41" s="726">
        <f t="shared" si="18"/>
        <v>900349</v>
      </c>
      <c r="K41" s="727">
        <f t="shared" si="20"/>
        <v>1043811</v>
      </c>
      <c r="L41" s="372"/>
      <c r="M41" s="725">
        <f t="shared" si="24"/>
        <v>1077869.0009999999</v>
      </c>
      <c r="N41" s="371"/>
      <c r="O41" s="1079">
        <f t="shared" si="21"/>
        <v>0.2</v>
      </c>
      <c r="P41" s="1080"/>
      <c r="R41" s="1088" t="s">
        <v>73</v>
      </c>
      <c r="S41" s="1088"/>
      <c r="T41" s="261">
        <f t="shared" si="22"/>
        <v>0.3</v>
      </c>
      <c r="U41" s="261">
        <f t="shared" si="23"/>
        <v>0.2</v>
      </c>
      <c r="V41" s="1034">
        <v>663862</v>
      </c>
      <c r="W41" s="1035">
        <v>775511</v>
      </c>
      <c r="X41" s="1036">
        <v>789867.00099999993</v>
      </c>
      <c r="Y41" s="891"/>
      <c r="Z41"/>
      <c r="AA41"/>
      <c r="AB41"/>
      <c r="AC41"/>
    </row>
    <row r="42" spans="1:29" ht="29.25" customHeight="1">
      <c r="A42" s="1093" t="s">
        <v>180</v>
      </c>
      <c r="B42" s="1094"/>
      <c r="C42" s="1019">
        <v>351730</v>
      </c>
      <c r="D42" s="369">
        <f>ROUND((매출액표!G82)/1000,0)</f>
        <v>350254</v>
      </c>
      <c r="E42" s="372"/>
      <c r="F42" s="1024">
        <v>486631</v>
      </c>
      <c r="G42" s="371"/>
      <c r="H42" s="1079">
        <f t="shared" si="19"/>
        <v>0.4</v>
      </c>
      <c r="I42" s="1080"/>
      <c r="J42" s="726">
        <f t="shared" si="18"/>
        <v>1658577</v>
      </c>
      <c r="K42" s="727">
        <f t="shared" si="20"/>
        <v>1715592</v>
      </c>
      <c r="L42" s="372"/>
      <c r="M42" s="725">
        <f t="shared" si="24"/>
        <v>2155039.6839999999</v>
      </c>
      <c r="N42" s="371"/>
      <c r="O42" s="1079">
        <f t="shared" si="21"/>
        <v>0.3</v>
      </c>
      <c r="P42" s="1080"/>
      <c r="R42" s="1088" t="s">
        <v>180</v>
      </c>
      <c r="S42" s="1088"/>
      <c r="T42" s="261">
        <f t="shared" si="22"/>
        <v>0.4</v>
      </c>
      <c r="U42" s="261">
        <f t="shared" si="23"/>
        <v>0.3</v>
      </c>
      <c r="V42" s="1034">
        <v>1306847</v>
      </c>
      <c r="W42" s="1035">
        <v>1365338</v>
      </c>
      <c r="X42" s="1036">
        <v>1668408.6839999999</v>
      </c>
      <c r="Y42" s="891"/>
      <c r="Z42"/>
      <c r="AA42"/>
      <c r="AB42"/>
      <c r="AC42"/>
    </row>
    <row r="43" spans="1:29" ht="29.25" customHeight="1">
      <c r="A43" s="1093" t="s">
        <v>181</v>
      </c>
      <c r="B43" s="1094"/>
      <c r="C43" s="1019">
        <v>243686</v>
      </c>
      <c r="D43" s="369">
        <f>ROUND((매출액표!G87+매출액표!H87)/1000,0)</f>
        <v>275670</v>
      </c>
      <c r="E43" s="372"/>
      <c r="F43" s="1024">
        <v>299201</v>
      </c>
      <c r="G43" s="371"/>
      <c r="H43" s="1079">
        <f t="shared" si="19"/>
        <v>0.3</v>
      </c>
      <c r="I43" s="1080"/>
      <c r="J43" s="726">
        <f t="shared" si="18"/>
        <v>1000115</v>
      </c>
      <c r="K43" s="727">
        <f t="shared" si="20"/>
        <v>1087659</v>
      </c>
      <c r="L43" s="372"/>
      <c r="M43" s="725">
        <f t="shared" si="24"/>
        <v>1277690.4099999999</v>
      </c>
      <c r="N43" s="371"/>
      <c r="O43" s="1079">
        <f t="shared" si="21"/>
        <v>0.2</v>
      </c>
      <c r="P43" s="1080"/>
      <c r="R43" s="1088" t="s">
        <v>181</v>
      </c>
      <c r="S43" s="1088"/>
      <c r="T43" s="261">
        <f t="shared" si="22"/>
        <v>0.3</v>
      </c>
      <c r="U43" s="261">
        <f t="shared" si="23"/>
        <v>0.2</v>
      </c>
      <c r="V43" s="1034">
        <v>756429</v>
      </c>
      <c r="W43" s="1035">
        <v>811989</v>
      </c>
      <c r="X43" s="1036">
        <v>978489.40999999992</v>
      </c>
      <c r="Y43" s="891"/>
      <c r="Z43"/>
      <c r="AA43"/>
      <c r="AB43"/>
      <c r="AC43"/>
    </row>
    <row r="44" spans="1:29" ht="29.25" customHeight="1">
      <c r="A44" s="1093" t="s">
        <v>182</v>
      </c>
      <c r="B44" s="1094"/>
      <c r="C44" s="1019">
        <v>12455</v>
      </c>
      <c r="D44" s="369">
        <f>ROUND((매출액표!G89+매출액표!H89)/1000,0)</f>
        <v>14901</v>
      </c>
      <c r="E44" s="372"/>
      <c r="F44" s="1024">
        <v>29003</v>
      </c>
      <c r="G44" s="371"/>
      <c r="H44" s="1079">
        <f t="shared" si="19"/>
        <v>0</v>
      </c>
      <c r="I44" s="1080"/>
      <c r="J44" s="726">
        <f t="shared" si="18"/>
        <v>59069</v>
      </c>
      <c r="K44" s="727">
        <f t="shared" si="20"/>
        <v>79199</v>
      </c>
      <c r="L44" s="372"/>
      <c r="M44" s="725">
        <f t="shared" si="24"/>
        <v>84517.559000000008</v>
      </c>
      <c r="N44" s="371"/>
      <c r="O44" s="1079">
        <f t="shared" si="21"/>
        <v>0</v>
      </c>
      <c r="P44" s="1080"/>
      <c r="R44" s="1088" t="s">
        <v>158</v>
      </c>
      <c r="S44" s="1088"/>
      <c r="T44" s="261">
        <f t="shared" si="22"/>
        <v>0</v>
      </c>
      <c r="U44" s="261">
        <f t="shared" si="23"/>
        <v>0</v>
      </c>
      <c r="V44" s="1034">
        <v>46614</v>
      </c>
      <c r="W44" s="1035">
        <v>64298</v>
      </c>
      <c r="X44" s="1036">
        <v>55514.559000000001</v>
      </c>
      <c r="Y44" s="891"/>
      <c r="Z44"/>
      <c r="AA44"/>
      <c r="AB44"/>
      <c r="AC44"/>
    </row>
    <row r="45" spans="1:29" ht="29.25" customHeight="1">
      <c r="A45" s="1095" t="s">
        <v>59</v>
      </c>
      <c r="B45" s="1096"/>
      <c r="C45" s="1019">
        <v>55829</v>
      </c>
      <c r="D45" s="373">
        <f>ROUND(매출액표!G92/1000,0)</f>
        <v>72739</v>
      </c>
      <c r="E45" s="376"/>
      <c r="F45" s="1024">
        <v>50494</v>
      </c>
      <c r="G45" s="375"/>
      <c r="H45" s="1069">
        <f t="shared" si="19"/>
        <v>0.1</v>
      </c>
      <c r="I45" s="1070"/>
      <c r="J45" s="729">
        <f t="shared" si="18"/>
        <v>701118</v>
      </c>
      <c r="K45" s="731">
        <f t="shared" si="20"/>
        <v>659482</v>
      </c>
      <c r="L45" s="376"/>
      <c r="M45" s="725">
        <f t="shared" si="24"/>
        <v>738953.73499999999</v>
      </c>
      <c r="N45" s="375"/>
      <c r="O45" s="1069">
        <f t="shared" si="21"/>
        <v>0.1</v>
      </c>
      <c r="P45" s="1070"/>
      <c r="R45" s="1088" t="s">
        <v>59</v>
      </c>
      <c r="S45" s="1088"/>
      <c r="T45" s="261">
        <f t="shared" si="22"/>
        <v>0.1</v>
      </c>
      <c r="U45" s="261">
        <f t="shared" si="23"/>
        <v>0.1</v>
      </c>
      <c r="V45" s="1034">
        <v>645289</v>
      </c>
      <c r="W45" s="1035">
        <v>586743</v>
      </c>
      <c r="X45" s="1036">
        <v>688459.73499999999</v>
      </c>
      <c r="Y45" s="891"/>
      <c r="Z45"/>
      <c r="AA45"/>
      <c r="AB45"/>
      <c r="AC45"/>
    </row>
    <row r="46" spans="1:29" ht="29.25" customHeight="1" thickBot="1">
      <c r="A46" s="1097" t="s">
        <v>41</v>
      </c>
      <c r="B46" s="1098"/>
      <c r="C46" s="762">
        <f>SUM(C36:C45)</f>
        <v>29525091</v>
      </c>
      <c r="D46" s="384">
        <f>SUM(D36:D45)</f>
        <v>30597585</v>
      </c>
      <c r="E46" s="385">
        <f>D46/C46*100</f>
        <v>103.63248330039016</v>
      </c>
      <c r="F46" s="763">
        <f>SUM(F36:F45)</f>
        <v>34929606</v>
      </c>
      <c r="G46" s="379">
        <f>D46/F46*100</f>
        <v>87.597853236592485</v>
      </c>
      <c r="H46" s="1071">
        <f>SUM(H36:I45)</f>
        <v>32.700000000000003</v>
      </c>
      <c r="I46" s="1072"/>
      <c r="J46" s="386">
        <f>SUM(J36:J45)</f>
        <v>133631240</v>
      </c>
      <c r="K46" s="387">
        <f>SUM(K36:K45)</f>
        <v>137456192</v>
      </c>
      <c r="L46" s="385">
        <f>K46/J46*100</f>
        <v>102.86231872128104</v>
      </c>
      <c r="M46" s="388">
        <f>SUM(M36:M45)</f>
        <v>157666974.93399996</v>
      </c>
      <c r="N46" s="383">
        <f>K46/M46*100</f>
        <v>87.181346669167553</v>
      </c>
      <c r="O46" s="1071">
        <f>SUM(O36:P45)</f>
        <v>26.4</v>
      </c>
      <c r="P46" s="1072"/>
      <c r="R46" s="1087" t="s">
        <v>46</v>
      </c>
      <c r="S46" s="1087"/>
      <c r="T46" s="269"/>
      <c r="U46" s="270"/>
      <c r="V46" s="271">
        <f>SUM(V36:V45)</f>
        <v>104106149</v>
      </c>
      <c r="W46" s="272">
        <f>SUM(W36:W45)</f>
        <v>106858607</v>
      </c>
      <c r="X46" s="402">
        <f>SUM(X36:X45)</f>
        <v>122737367.93399999</v>
      </c>
      <c r="Y46" s="891"/>
      <c r="Z46"/>
      <c r="AA46"/>
      <c r="AB46"/>
      <c r="AC46"/>
    </row>
    <row r="47" spans="1:29" ht="29.25" customHeight="1" thickTop="1" thickBot="1">
      <c r="A47" s="1099" t="s">
        <v>114</v>
      </c>
      <c r="B47" s="1100"/>
      <c r="C47" s="932">
        <f>C35+C46</f>
        <v>95701781</v>
      </c>
      <c r="D47" s="389">
        <f>D35+D46</f>
        <v>94104144</v>
      </c>
      <c r="E47" s="390">
        <f>D47/C47*100</f>
        <v>98.330608915209211</v>
      </c>
      <c r="F47" s="933">
        <f>F35+F46</f>
        <v>99962433</v>
      </c>
      <c r="G47" s="391">
        <f>D47/F47*100</f>
        <v>94.139509389492346</v>
      </c>
      <c r="H47" s="1073">
        <f>H35+H46</f>
        <v>100.00000000000001</v>
      </c>
      <c r="I47" s="1074"/>
      <c r="J47" s="392">
        <f>J35+J46</f>
        <v>512897619</v>
      </c>
      <c r="K47" s="389">
        <f>K35+K46</f>
        <v>517530958</v>
      </c>
      <c r="L47" s="390">
        <f>K47/J47*100</f>
        <v>100.90336527766178</v>
      </c>
      <c r="M47" s="393">
        <f>M35+M46</f>
        <v>551674657.6789999</v>
      </c>
      <c r="N47" s="394">
        <f>K47/M47*100</f>
        <v>93.810899376337332</v>
      </c>
      <c r="O47" s="1073">
        <f>O35+O46</f>
        <v>100</v>
      </c>
      <c r="P47" s="1074"/>
      <c r="Q47" s="73"/>
      <c r="R47" s="1081" t="s">
        <v>36</v>
      </c>
      <c r="S47" s="1081"/>
      <c r="T47" s="273"/>
      <c r="U47" s="274"/>
      <c r="V47" s="275">
        <f>V35+V46</f>
        <v>417195838</v>
      </c>
      <c r="W47" s="276">
        <f>W35+W46</f>
        <v>423426814</v>
      </c>
      <c r="X47" s="403">
        <f>X35+X46</f>
        <v>451712224.67900002</v>
      </c>
      <c r="Y47" s="891"/>
      <c r="Z47"/>
      <c r="AA47"/>
      <c r="AB47"/>
      <c r="AC47"/>
    </row>
    <row r="48" spans="1:29" ht="13.5">
      <c r="A48" s="1101"/>
      <c r="B48" s="1102"/>
      <c r="E48" s="17"/>
      <c r="Z48"/>
      <c r="AA48"/>
      <c r="AB48"/>
      <c r="AC48"/>
    </row>
    <row r="49" spans="1:53" ht="13.5">
      <c r="D49" s="1092"/>
      <c r="E49" s="1092"/>
      <c r="F49" s="1092"/>
      <c r="G49" s="1092"/>
      <c r="Z49"/>
      <c r="AA49"/>
      <c r="AB49"/>
      <c r="AC49"/>
    </row>
    <row r="50" spans="1:53" ht="13.5">
      <c r="A50" s="37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Z50"/>
      <c r="AA50"/>
      <c r="AB50"/>
      <c r="AC50"/>
    </row>
    <row r="51" spans="1:53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</row>
    <row r="52" spans="1:53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</row>
    <row r="53" spans="1:53" ht="18" customHeight="1">
      <c r="A53" s="881"/>
      <c r="B53" s="881"/>
      <c r="C53" s="881"/>
      <c r="D53" s="881"/>
      <c r="E53" s="881"/>
      <c r="F53" s="881"/>
      <c r="G53" s="881"/>
      <c r="H53" s="881"/>
      <c r="I53" s="881"/>
      <c r="J53" s="881"/>
      <c r="K53" s="881"/>
      <c r="L53" s="881"/>
      <c r="M53" s="881"/>
      <c r="N53" s="881"/>
      <c r="O53" s="881"/>
      <c r="P53" s="881"/>
      <c r="Q53" s="881"/>
      <c r="R53" s="881"/>
      <c r="S53" s="881"/>
      <c r="T53" s="881"/>
      <c r="U53" s="881"/>
      <c r="V53" s="881"/>
    </row>
    <row r="54" spans="1:53" ht="18" customHeight="1">
      <c r="A54" s="1091"/>
      <c r="B54" s="880"/>
      <c r="C54" s="897"/>
      <c r="D54" s="897"/>
      <c r="E54" s="897"/>
      <c r="F54" s="897"/>
      <c r="G54" s="897"/>
      <c r="H54" s="897"/>
      <c r="I54" s="897"/>
      <c r="J54" s="897"/>
      <c r="K54" s="897"/>
      <c r="L54" s="897"/>
      <c r="M54" s="897"/>
      <c r="N54" s="897"/>
      <c r="O54" s="897"/>
      <c r="P54" s="897"/>
      <c r="Q54" s="897"/>
      <c r="R54" s="897"/>
      <c r="S54" s="897"/>
      <c r="T54" s="897"/>
      <c r="U54" s="897"/>
      <c r="V54" s="897"/>
    </row>
    <row r="55" spans="1:53" ht="18" customHeight="1">
      <c r="A55" s="1091"/>
      <c r="B55" s="880"/>
      <c r="C55" s="897"/>
      <c r="D55" s="897"/>
      <c r="E55" s="897"/>
      <c r="F55" s="897"/>
      <c r="G55" s="897"/>
      <c r="H55" s="897"/>
      <c r="I55" s="897"/>
      <c r="J55" s="897"/>
      <c r="K55" s="897"/>
      <c r="L55" s="897"/>
      <c r="M55" s="897"/>
      <c r="N55" s="897"/>
      <c r="O55" s="897"/>
      <c r="P55" s="897"/>
      <c r="Q55" s="897"/>
      <c r="R55" s="897"/>
      <c r="S55" s="897"/>
      <c r="T55" s="897"/>
      <c r="U55" s="897"/>
      <c r="V55" s="897"/>
    </row>
    <row r="56" spans="1:53" ht="18" customHeight="1">
      <c r="A56" s="1091"/>
      <c r="B56" s="880"/>
      <c r="C56" s="897"/>
      <c r="D56" s="897"/>
      <c r="E56" s="897"/>
      <c r="F56" s="897"/>
      <c r="G56" s="897"/>
      <c r="H56" s="897"/>
      <c r="I56" s="897"/>
      <c r="J56" s="897"/>
      <c r="K56" s="897"/>
      <c r="L56" s="897"/>
      <c r="M56" s="897"/>
      <c r="N56" s="897"/>
      <c r="O56" s="897"/>
      <c r="P56" s="897"/>
      <c r="Q56" s="897"/>
      <c r="R56" s="897"/>
      <c r="S56" s="897"/>
      <c r="T56" s="897"/>
      <c r="U56" s="897"/>
      <c r="V56" s="897"/>
    </row>
    <row r="57" spans="1:53" ht="18" customHeight="1">
      <c r="A57" s="1091"/>
      <c r="B57" s="880"/>
      <c r="C57" s="897"/>
      <c r="D57" s="897"/>
      <c r="E57" s="897"/>
      <c r="F57" s="897"/>
      <c r="G57" s="897"/>
      <c r="H57" s="897"/>
      <c r="I57" s="897"/>
      <c r="J57" s="897"/>
      <c r="K57" s="897"/>
      <c r="L57" s="897"/>
      <c r="M57" s="897"/>
      <c r="N57" s="897"/>
      <c r="O57" s="897"/>
      <c r="P57" s="897"/>
      <c r="Q57" s="897"/>
      <c r="R57" s="897"/>
      <c r="S57" s="897"/>
      <c r="T57" s="897"/>
      <c r="U57" s="897"/>
      <c r="V57" s="897"/>
    </row>
    <row r="58" spans="1:53" ht="19.5" customHeight="1">
      <c r="A58" s="1091"/>
      <c r="B58" s="880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AW58" s="896"/>
      <c r="AX58" s="896"/>
      <c r="AY58" s="896"/>
      <c r="AZ58" s="896"/>
      <c r="BA58" s="896"/>
    </row>
    <row r="59" spans="1:53" ht="18" customHeight="1">
      <c r="A59" s="1089"/>
      <c r="B59" s="1089"/>
      <c r="C59" s="897"/>
      <c r="D59" s="897"/>
      <c r="E59" s="897"/>
      <c r="F59" s="897"/>
      <c r="G59" s="897"/>
      <c r="H59" s="897"/>
      <c r="I59" s="897"/>
      <c r="J59" s="897"/>
      <c r="K59" s="897"/>
      <c r="L59" s="897"/>
      <c r="M59" s="897"/>
      <c r="N59" s="897"/>
      <c r="O59" s="897"/>
      <c r="P59" s="897"/>
      <c r="Q59" s="897"/>
      <c r="R59" s="897"/>
      <c r="S59" s="897"/>
      <c r="T59" s="897"/>
      <c r="U59" s="897"/>
      <c r="V59" s="897"/>
      <c r="AW59" s="896"/>
      <c r="AX59" s="896"/>
      <c r="AY59" s="896"/>
      <c r="AZ59" s="896"/>
      <c r="BA59" s="896"/>
    </row>
    <row r="60" spans="1:53" ht="18" customHeight="1">
      <c r="A60" s="1089"/>
      <c r="B60" s="1089"/>
      <c r="C60" s="897"/>
      <c r="D60" s="897"/>
      <c r="E60" s="897"/>
      <c r="F60" s="897"/>
      <c r="G60" s="897"/>
      <c r="H60" s="897"/>
      <c r="I60" s="897"/>
      <c r="J60" s="897"/>
      <c r="K60" s="897"/>
      <c r="L60" s="897"/>
      <c r="M60" s="897"/>
      <c r="N60" s="897"/>
      <c r="O60" s="897"/>
      <c r="P60" s="897"/>
      <c r="Q60" s="897"/>
      <c r="R60" s="897"/>
      <c r="S60" s="897"/>
      <c r="T60" s="897"/>
      <c r="U60" s="897"/>
      <c r="V60" s="897"/>
      <c r="AW60" s="896"/>
      <c r="AX60" s="896"/>
      <c r="AY60" s="896"/>
      <c r="AZ60" s="896"/>
      <c r="BA60" s="896"/>
    </row>
    <row r="61" spans="1:53" ht="18" customHeight="1">
      <c r="A61" s="1089"/>
      <c r="B61" s="1089"/>
      <c r="C61" s="897"/>
      <c r="D61" s="897"/>
      <c r="E61" s="897"/>
      <c r="F61" s="897"/>
      <c r="G61" s="897"/>
      <c r="H61" s="897"/>
      <c r="I61" s="897"/>
      <c r="J61" s="897"/>
      <c r="K61" s="897"/>
      <c r="L61" s="897"/>
      <c r="M61" s="897"/>
      <c r="N61" s="897"/>
      <c r="O61" s="897"/>
      <c r="P61" s="897"/>
      <c r="Q61" s="897"/>
      <c r="R61" s="897"/>
      <c r="S61" s="897"/>
      <c r="T61" s="897"/>
      <c r="U61" s="897"/>
      <c r="V61" s="897"/>
      <c r="AW61" s="896"/>
      <c r="AX61" s="896"/>
      <c r="AY61" s="896"/>
      <c r="AZ61" s="896"/>
      <c r="BA61" s="896"/>
    </row>
    <row r="62" spans="1:53" ht="18" customHeight="1">
      <c r="A62" s="881"/>
      <c r="B62" s="881"/>
      <c r="C62" s="897"/>
      <c r="D62" s="897"/>
      <c r="E62" s="897"/>
      <c r="F62" s="897"/>
      <c r="G62" s="897"/>
      <c r="H62" s="897"/>
      <c r="I62" s="897"/>
      <c r="J62" s="897"/>
      <c r="K62" s="897"/>
      <c r="L62" s="897"/>
      <c r="M62" s="897"/>
      <c r="N62" s="897"/>
      <c r="O62" s="897"/>
      <c r="P62" s="897"/>
      <c r="Q62" s="897"/>
      <c r="R62" s="897"/>
      <c r="S62" s="897"/>
      <c r="T62" s="897"/>
      <c r="U62" s="897"/>
      <c r="V62" s="897"/>
      <c r="AW62" s="896"/>
      <c r="AX62" s="896"/>
      <c r="AY62" s="896"/>
      <c r="AZ62" s="896"/>
      <c r="BA62" s="896"/>
    </row>
    <row r="63" spans="1:53" ht="18" customHeight="1">
      <c r="A63" s="881"/>
      <c r="B63" s="880"/>
      <c r="C63" s="897"/>
      <c r="D63" s="897"/>
      <c r="E63" s="897"/>
      <c r="F63" s="897"/>
      <c r="G63" s="897"/>
      <c r="H63" s="897"/>
      <c r="I63" s="897"/>
      <c r="J63" s="897"/>
      <c r="K63" s="897"/>
      <c r="L63" s="897"/>
      <c r="M63" s="897"/>
      <c r="N63" s="897"/>
      <c r="O63" s="897"/>
      <c r="P63" s="897"/>
      <c r="Q63" s="897"/>
      <c r="R63" s="897"/>
      <c r="S63" s="897"/>
      <c r="T63" s="897"/>
      <c r="U63" s="897"/>
      <c r="V63" s="897"/>
      <c r="AW63" s="896"/>
      <c r="AX63" s="896"/>
      <c r="AY63" s="896"/>
      <c r="AZ63" s="896"/>
      <c r="BA63" s="896"/>
    </row>
    <row r="64" spans="1:53" ht="18" customHeight="1">
      <c r="A64" s="881"/>
      <c r="B64" s="880"/>
      <c r="C64" s="897"/>
      <c r="D64" s="897"/>
      <c r="E64" s="897"/>
      <c r="F64" s="897"/>
      <c r="G64" s="897"/>
      <c r="H64" s="897"/>
      <c r="I64" s="897"/>
      <c r="J64" s="897"/>
      <c r="K64" s="897"/>
      <c r="L64" s="897"/>
      <c r="M64" s="897"/>
      <c r="N64" s="897"/>
      <c r="O64" s="897"/>
      <c r="P64" s="897"/>
      <c r="Q64" s="897"/>
      <c r="R64" s="897"/>
      <c r="S64" s="897"/>
      <c r="T64" s="897"/>
      <c r="U64" s="897"/>
      <c r="V64" s="897"/>
      <c r="AW64" s="896"/>
      <c r="AX64" s="896"/>
      <c r="AY64" s="896"/>
      <c r="AZ64" s="896"/>
      <c r="BA64" s="896"/>
    </row>
    <row r="65" spans="1:53" ht="16.5" customHeight="1">
      <c r="A65" s="1090"/>
      <c r="B65" s="1090"/>
      <c r="C65" s="897"/>
      <c r="D65" s="897"/>
      <c r="E65" s="897"/>
      <c r="F65" s="897"/>
      <c r="G65" s="897"/>
      <c r="H65" s="897"/>
      <c r="I65" s="897"/>
      <c r="J65" s="897"/>
      <c r="K65" s="897"/>
      <c r="L65" s="897"/>
      <c r="M65" s="897"/>
      <c r="N65" s="897"/>
      <c r="O65" s="897"/>
      <c r="P65" s="897"/>
      <c r="Q65" s="897"/>
      <c r="R65" s="897"/>
      <c r="S65" s="897"/>
      <c r="T65" s="897"/>
      <c r="U65" s="897"/>
      <c r="V65" s="897"/>
      <c r="AW65" s="896"/>
      <c r="AX65" s="896"/>
      <c r="AY65" s="896"/>
      <c r="AZ65" s="896"/>
      <c r="BA65" s="896"/>
    </row>
    <row r="66" spans="1:53" ht="18" customHeight="1">
      <c r="A66" s="1090"/>
      <c r="B66" s="1090"/>
      <c r="C66" s="897"/>
      <c r="D66" s="897"/>
      <c r="E66" s="897"/>
      <c r="F66" s="897"/>
      <c r="G66" s="897"/>
      <c r="H66" s="897"/>
      <c r="I66" s="897"/>
      <c r="J66" s="897"/>
      <c r="K66" s="897"/>
      <c r="L66" s="897"/>
      <c r="M66" s="897"/>
      <c r="N66" s="897"/>
      <c r="O66" s="897"/>
      <c r="P66" s="897"/>
      <c r="Q66" s="897"/>
      <c r="R66" s="897"/>
      <c r="S66" s="897"/>
      <c r="T66" s="897"/>
      <c r="U66" s="897"/>
      <c r="V66" s="897"/>
      <c r="AW66" s="896"/>
      <c r="AX66" s="896"/>
      <c r="AY66" s="896"/>
      <c r="AZ66" s="896"/>
      <c r="BA66" s="896"/>
    </row>
    <row r="67" spans="1:53" ht="18" customHeight="1">
      <c r="A67" s="1090"/>
      <c r="B67" s="1090"/>
      <c r="C67" s="897"/>
      <c r="D67" s="897"/>
      <c r="E67" s="897"/>
      <c r="F67" s="897"/>
      <c r="G67" s="897"/>
      <c r="H67" s="897"/>
      <c r="I67" s="897"/>
      <c r="J67" s="897"/>
      <c r="K67" s="897"/>
      <c r="L67" s="897"/>
      <c r="M67" s="897"/>
      <c r="N67" s="897"/>
      <c r="O67" s="897"/>
      <c r="P67" s="897"/>
      <c r="Q67" s="897"/>
      <c r="R67" s="897"/>
      <c r="S67" s="897"/>
      <c r="T67" s="897"/>
      <c r="U67" s="897"/>
      <c r="V67" s="897"/>
      <c r="AW67" s="896"/>
      <c r="AX67" s="896"/>
      <c r="AY67" s="896"/>
      <c r="AZ67" s="896"/>
      <c r="BA67" s="896"/>
    </row>
    <row r="68" spans="1:53" ht="18" customHeight="1">
      <c r="A68" s="880"/>
      <c r="B68" s="880"/>
      <c r="C68" s="897"/>
      <c r="D68" s="897"/>
      <c r="E68" s="897"/>
      <c r="F68" s="897"/>
      <c r="G68" s="897"/>
      <c r="H68" s="897"/>
      <c r="I68" s="897"/>
      <c r="J68" s="897"/>
      <c r="K68" s="897"/>
      <c r="L68" s="897"/>
      <c r="M68" s="897"/>
      <c r="N68" s="897"/>
      <c r="O68" s="897"/>
      <c r="P68" s="897"/>
      <c r="Q68" s="897"/>
      <c r="R68" s="897"/>
      <c r="S68" s="897"/>
      <c r="T68" s="897"/>
      <c r="U68" s="897"/>
      <c r="V68" s="897"/>
    </row>
    <row r="69" spans="1:53" ht="18" customHeight="1">
      <c r="A69" s="1090"/>
      <c r="B69" s="1090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</row>
    <row r="70" spans="1:53" ht="18" customHeight="1">
      <c r="A70" s="1089"/>
      <c r="B70" s="1089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</row>
    <row r="71" spans="1:53" ht="18" customHeight="1">
      <c r="A71" s="38"/>
      <c r="B71" s="38"/>
      <c r="C71" s="897"/>
      <c r="D71" s="897"/>
      <c r="E71" s="897"/>
      <c r="F71" s="897"/>
      <c r="G71" s="897"/>
      <c r="H71" s="897"/>
      <c r="I71" s="897"/>
      <c r="J71" s="897"/>
      <c r="K71" s="897"/>
      <c r="L71" s="897"/>
      <c r="M71" s="897"/>
      <c r="N71" s="897"/>
      <c r="O71" s="897"/>
      <c r="P71" s="897"/>
      <c r="Q71" s="897"/>
      <c r="R71" s="897"/>
      <c r="S71" s="897"/>
      <c r="T71" s="897"/>
      <c r="U71" s="897"/>
      <c r="V71" s="897"/>
    </row>
    <row r="72" spans="1:53" ht="18" customHeight="1">
      <c r="A72" s="881"/>
      <c r="B72" s="881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:53" ht="18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:53" ht="18" customHeight="1">
      <c r="A74" s="37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:53" ht="18" customHeight="1">
      <c r="A75" s="1089"/>
      <c r="B75" s="1089"/>
      <c r="C75" s="881"/>
      <c r="D75" s="881"/>
      <c r="E75" s="881"/>
      <c r="F75" s="881"/>
      <c r="G75" s="881"/>
      <c r="H75" s="881"/>
      <c r="I75" s="881"/>
      <c r="J75" s="881"/>
      <c r="K75" s="881"/>
      <c r="L75" s="881"/>
      <c r="M75" s="881"/>
      <c r="N75" s="881"/>
      <c r="O75" s="881"/>
      <c r="P75" s="881"/>
      <c r="Q75" s="881"/>
      <c r="R75" s="881"/>
      <c r="S75" s="881"/>
      <c r="T75" s="881"/>
      <c r="U75" s="881"/>
      <c r="V75" s="881"/>
      <c r="X75" s="891"/>
      <c r="Y75" s="891"/>
    </row>
    <row r="76" spans="1:53" ht="18" customHeight="1">
      <c r="A76" s="1091"/>
      <c r="B76" s="880"/>
      <c r="C76" s="897"/>
      <c r="D76" s="897"/>
      <c r="E76" s="897"/>
      <c r="F76" s="897"/>
      <c r="G76" s="897"/>
      <c r="H76" s="897"/>
      <c r="I76" s="897"/>
      <c r="J76" s="897"/>
      <c r="K76" s="897"/>
      <c r="L76" s="897"/>
      <c r="M76" s="897"/>
      <c r="N76" s="897"/>
      <c r="O76" s="897"/>
      <c r="P76" s="897"/>
      <c r="Q76" s="897"/>
      <c r="R76" s="897"/>
      <c r="S76" s="897"/>
      <c r="T76" s="897"/>
      <c r="U76" s="897"/>
      <c r="V76" s="897"/>
    </row>
    <row r="77" spans="1:53" ht="18" customHeight="1">
      <c r="A77" s="1091"/>
      <c r="B77" s="880"/>
      <c r="C77" s="897"/>
      <c r="D77" s="897"/>
      <c r="E77" s="897"/>
      <c r="F77" s="897"/>
      <c r="G77" s="897"/>
      <c r="H77" s="897"/>
      <c r="I77" s="897"/>
      <c r="J77" s="897"/>
      <c r="K77" s="897"/>
      <c r="L77" s="897"/>
      <c r="M77" s="897"/>
      <c r="N77" s="897"/>
      <c r="O77" s="897"/>
      <c r="P77" s="897"/>
      <c r="Q77" s="897"/>
      <c r="R77" s="897"/>
      <c r="S77" s="897"/>
      <c r="T77" s="897"/>
      <c r="U77" s="897"/>
      <c r="V77" s="897"/>
    </row>
    <row r="78" spans="1:53" ht="18" customHeight="1">
      <c r="A78" s="1091"/>
      <c r="B78" s="880"/>
      <c r="C78" s="897"/>
      <c r="D78" s="897"/>
      <c r="E78" s="897"/>
      <c r="F78" s="897"/>
      <c r="G78" s="897"/>
      <c r="H78" s="897"/>
      <c r="I78" s="897"/>
      <c r="J78" s="897"/>
      <c r="K78" s="897"/>
      <c r="L78" s="897"/>
      <c r="M78" s="897"/>
      <c r="N78" s="897"/>
      <c r="O78" s="897"/>
      <c r="P78" s="897"/>
      <c r="Q78" s="897"/>
      <c r="R78" s="897"/>
      <c r="S78" s="897"/>
      <c r="T78" s="897"/>
      <c r="U78" s="897"/>
      <c r="V78" s="897"/>
    </row>
    <row r="79" spans="1:53" ht="18" customHeight="1">
      <c r="A79" s="1091"/>
      <c r="B79" s="880"/>
      <c r="C79" s="897"/>
      <c r="D79" s="897"/>
      <c r="E79" s="897"/>
      <c r="F79" s="897"/>
      <c r="G79" s="897"/>
      <c r="H79" s="897"/>
      <c r="I79" s="897"/>
      <c r="J79" s="897"/>
      <c r="K79" s="897"/>
      <c r="L79" s="897"/>
      <c r="M79" s="897"/>
      <c r="N79" s="897"/>
      <c r="O79" s="897"/>
      <c r="P79" s="897"/>
      <c r="Q79" s="897"/>
      <c r="R79" s="897"/>
      <c r="S79" s="897"/>
      <c r="T79" s="897"/>
      <c r="U79" s="897"/>
      <c r="V79" s="897"/>
    </row>
    <row r="80" spans="1:53" ht="18" customHeight="1">
      <c r="A80" s="41"/>
      <c r="B80" s="88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</row>
    <row r="81" spans="1:22" ht="18" customHeight="1">
      <c r="A81" s="1090"/>
      <c r="B81" s="1090"/>
      <c r="C81" s="897"/>
      <c r="D81" s="897"/>
      <c r="E81" s="897"/>
      <c r="F81" s="897"/>
      <c r="G81" s="897"/>
      <c r="H81" s="897"/>
      <c r="I81" s="897"/>
      <c r="J81" s="897"/>
      <c r="K81" s="897"/>
      <c r="L81" s="897"/>
      <c r="M81" s="897"/>
      <c r="N81" s="897"/>
      <c r="O81" s="897"/>
      <c r="P81" s="897"/>
      <c r="Q81" s="897"/>
      <c r="R81" s="897"/>
      <c r="S81" s="897"/>
      <c r="T81" s="897"/>
      <c r="U81" s="897"/>
      <c r="V81" s="897"/>
    </row>
    <row r="82" spans="1:22" ht="18" customHeight="1">
      <c r="A82" s="1090"/>
      <c r="B82" s="1090"/>
      <c r="C82" s="897"/>
      <c r="D82" s="897"/>
      <c r="E82" s="897"/>
      <c r="F82" s="897"/>
      <c r="G82" s="897"/>
      <c r="H82" s="897"/>
      <c r="I82" s="897"/>
      <c r="J82" s="897"/>
      <c r="K82" s="897"/>
      <c r="L82" s="897"/>
      <c r="M82" s="897"/>
      <c r="N82" s="897"/>
      <c r="O82" s="897"/>
      <c r="P82" s="897"/>
      <c r="Q82" s="897"/>
      <c r="R82" s="897"/>
      <c r="S82" s="897"/>
      <c r="T82" s="897"/>
      <c r="U82" s="897"/>
      <c r="V82" s="897"/>
    </row>
    <row r="83" spans="1:22" ht="18" customHeight="1">
      <c r="A83" s="1090"/>
      <c r="B83" s="1090"/>
      <c r="C83" s="897"/>
      <c r="D83" s="897"/>
      <c r="E83" s="897"/>
      <c r="F83" s="897"/>
      <c r="G83" s="897"/>
      <c r="H83" s="897"/>
      <c r="I83" s="897"/>
      <c r="J83" s="897"/>
      <c r="K83" s="897"/>
      <c r="L83" s="897"/>
      <c r="M83" s="897"/>
      <c r="N83" s="897"/>
      <c r="O83" s="897"/>
      <c r="P83" s="897"/>
      <c r="Q83" s="897"/>
      <c r="R83" s="897"/>
      <c r="S83" s="897"/>
      <c r="T83" s="897"/>
      <c r="U83" s="897"/>
      <c r="V83" s="897"/>
    </row>
    <row r="84" spans="1:22" ht="18" customHeight="1">
      <c r="A84" s="881"/>
      <c r="B84" s="881"/>
      <c r="C84" s="897"/>
      <c r="D84" s="897"/>
      <c r="E84" s="897"/>
      <c r="F84" s="897"/>
      <c r="G84" s="897"/>
      <c r="H84" s="897"/>
      <c r="I84" s="897"/>
      <c r="J84" s="897"/>
      <c r="K84" s="897"/>
      <c r="L84" s="897"/>
      <c r="M84" s="897"/>
      <c r="N84" s="897"/>
      <c r="O84" s="897"/>
      <c r="P84" s="897"/>
      <c r="Q84" s="897"/>
      <c r="R84" s="897"/>
      <c r="S84" s="897"/>
      <c r="T84" s="897"/>
      <c r="U84" s="897"/>
      <c r="V84" s="897"/>
    </row>
    <row r="85" spans="1:22" ht="18" customHeight="1">
      <c r="A85" s="881"/>
      <c r="B85" s="880"/>
      <c r="C85" s="897"/>
      <c r="D85" s="897"/>
      <c r="E85" s="897"/>
      <c r="F85" s="897"/>
      <c r="G85" s="897"/>
      <c r="H85" s="897"/>
      <c r="I85" s="897"/>
      <c r="J85" s="897"/>
      <c r="K85" s="897"/>
      <c r="L85" s="897"/>
      <c r="M85" s="897"/>
      <c r="N85" s="897"/>
      <c r="O85" s="897"/>
      <c r="P85" s="897"/>
      <c r="Q85" s="897"/>
      <c r="R85" s="897"/>
      <c r="S85" s="897"/>
      <c r="T85" s="897"/>
      <c r="U85" s="897"/>
      <c r="V85" s="897"/>
    </row>
    <row r="86" spans="1:22" ht="18" customHeight="1">
      <c r="A86" s="881"/>
      <c r="B86" s="880"/>
      <c r="C86" s="897"/>
      <c r="D86" s="897"/>
      <c r="E86" s="897"/>
      <c r="F86" s="897"/>
      <c r="G86" s="897"/>
      <c r="H86" s="897"/>
      <c r="I86" s="897"/>
      <c r="J86" s="897"/>
      <c r="K86" s="897"/>
      <c r="L86" s="897"/>
      <c r="M86" s="897"/>
      <c r="N86" s="897"/>
      <c r="O86" s="897"/>
      <c r="P86" s="897"/>
      <c r="Q86" s="897"/>
      <c r="R86" s="897"/>
      <c r="S86" s="897"/>
      <c r="T86" s="897"/>
      <c r="U86" s="897"/>
      <c r="V86" s="897"/>
    </row>
    <row r="87" spans="1:22" ht="18" customHeight="1">
      <c r="A87" s="1090"/>
      <c r="B87" s="1090"/>
      <c r="C87" s="897"/>
      <c r="D87" s="897"/>
      <c r="E87" s="897"/>
      <c r="F87" s="897"/>
      <c r="G87" s="897"/>
      <c r="H87" s="897"/>
      <c r="I87" s="897"/>
      <c r="J87" s="897"/>
      <c r="K87" s="897"/>
      <c r="L87" s="897"/>
      <c r="M87" s="897"/>
      <c r="N87" s="897"/>
      <c r="O87" s="897"/>
      <c r="P87" s="897"/>
      <c r="Q87" s="897"/>
      <c r="R87" s="897"/>
      <c r="S87" s="897"/>
      <c r="T87" s="897"/>
      <c r="U87" s="897"/>
      <c r="V87" s="897"/>
    </row>
    <row r="88" spans="1:22" ht="18" customHeight="1">
      <c r="A88" s="1090"/>
      <c r="B88" s="1090"/>
      <c r="C88" s="897"/>
      <c r="D88" s="897"/>
      <c r="E88" s="897"/>
      <c r="F88" s="897"/>
      <c r="G88" s="897"/>
      <c r="H88" s="897"/>
      <c r="I88" s="897"/>
      <c r="J88" s="897"/>
      <c r="K88" s="897"/>
      <c r="L88" s="897"/>
      <c r="M88" s="897"/>
      <c r="N88" s="897"/>
      <c r="O88" s="897"/>
      <c r="P88" s="897"/>
      <c r="Q88" s="897"/>
      <c r="R88" s="897"/>
      <c r="S88" s="897"/>
      <c r="T88" s="897"/>
      <c r="U88" s="897"/>
      <c r="V88" s="897"/>
    </row>
    <row r="89" spans="1:22" ht="18" customHeight="1">
      <c r="A89" s="1090"/>
      <c r="B89" s="1090"/>
      <c r="C89" s="897"/>
      <c r="D89" s="897"/>
      <c r="E89" s="897"/>
      <c r="F89" s="897"/>
      <c r="G89" s="897"/>
      <c r="H89" s="897"/>
      <c r="I89" s="897"/>
      <c r="J89" s="897"/>
      <c r="K89" s="897"/>
      <c r="L89" s="897"/>
      <c r="M89" s="897"/>
      <c r="N89" s="897"/>
      <c r="O89" s="897"/>
      <c r="P89" s="897"/>
      <c r="Q89" s="897"/>
      <c r="R89" s="897"/>
      <c r="S89" s="897"/>
      <c r="T89" s="897"/>
      <c r="U89" s="897"/>
      <c r="V89" s="897"/>
    </row>
    <row r="90" spans="1:22" ht="18" customHeight="1">
      <c r="A90" s="880"/>
      <c r="B90" s="880"/>
      <c r="C90" s="897"/>
      <c r="D90" s="897"/>
      <c r="E90" s="897"/>
      <c r="F90" s="897"/>
      <c r="G90" s="897"/>
      <c r="H90" s="897"/>
      <c r="I90" s="897"/>
      <c r="J90" s="897"/>
      <c r="K90" s="897"/>
      <c r="L90" s="897"/>
      <c r="M90" s="897"/>
      <c r="N90" s="897"/>
      <c r="O90" s="897"/>
      <c r="P90" s="897"/>
      <c r="Q90" s="897"/>
      <c r="R90" s="897"/>
      <c r="S90" s="897"/>
      <c r="T90" s="897"/>
      <c r="U90" s="897"/>
      <c r="V90" s="897"/>
    </row>
    <row r="91" spans="1:22" ht="18" customHeight="1">
      <c r="A91" s="1090"/>
      <c r="B91" s="1090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</row>
    <row r="92" spans="1:22" ht="18" customHeight="1">
      <c r="A92" s="1089"/>
      <c r="B92" s="1089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</row>
    <row r="93" spans="1:22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:22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43" type="noConversion"/>
  <conditionalFormatting sqref="P7:P10 P12:P21">
    <cfRule type="top10" dxfId="11" priority="21" rank="3"/>
  </conditionalFormatting>
  <conditionalFormatting sqref="E7:E10 E12:E21">
    <cfRule type="top10" dxfId="10" priority="25" rank="3"/>
  </conditionalFormatting>
  <conditionalFormatting sqref="I7:I10 I12:I21">
    <cfRule type="top10" dxfId="9" priority="28" rank="3"/>
  </conditionalFormatting>
  <conditionalFormatting sqref="L7:L10 L12:L21">
    <cfRule type="top10" dxfId="8" priority="32" rank="3"/>
  </conditionalFormatting>
  <conditionalFormatting sqref="O31:O34 O36:O45">
    <cfRule type="top10" dxfId="7" priority="33" rank="3"/>
  </conditionalFormatting>
  <conditionalFormatting sqref="K31:K34 K36:K45">
    <cfRule type="top10" dxfId="6" priority="36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S118"/>
  <sheetViews>
    <sheetView showGridLines="0" zoomScaleNormal="100" zoomScaleSheetLayoutView="70" workbookViewId="0">
      <pane ySplit="8" topLeftCell="A47" activePane="bottomLeft" state="frozen"/>
      <selection activeCell="H14" sqref="H14"/>
      <selection pane="bottomLeft" activeCell="M5" sqref="M5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13" customWidth="1"/>
    <col min="5" max="5" width="15.44140625" style="13" customWidth="1"/>
    <col min="6" max="6" width="12.44140625" style="2" bestFit="1" customWidth="1"/>
    <col min="7" max="7" width="14.44140625" style="30" customWidth="1"/>
    <col min="8" max="8" width="11.44140625" style="209" customWidth="1"/>
    <col min="9" max="9" width="12" style="209" customWidth="1"/>
    <col min="10" max="10" width="10.88671875" style="209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8" ht="15" customHeight="1">
      <c r="G1" s="876"/>
      <c r="H1" s="6"/>
    </row>
    <row r="2" spans="1:18" ht="13.5">
      <c r="G2" s="876"/>
      <c r="H2" s="6"/>
    </row>
    <row r="3" spans="1:18" ht="13.5">
      <c r="G3" s="876"/>
      <c r="H3" s="6"/>
    </row>
    <row r="4" spans="1:18" ht="25.5">
      <c r="A4" s="1135" t="str">
        <f>LEFT(총괄표!A2,9)&amp;" 매출액집계표"</f>
        <v>2026년 4월  매출액집계표</v>
      </c>
      <c r="B4" s="1135"/>
      <c r="C4" s="1135"/>
      <c r="D4" s="1135"/>
      <c r="E4" s="1135"/>
      <c r="F4" s="1135"/>
      <c r="G4" s="1135"/>
      <c r="H4" s="1135"/>
      <c r="I4" s="1135"/>
      <c r="J4" s="1135"/>
      <c r="K4" s="1135"/>
      <c r="L4" s="1135"/>
      <c r="M4" s="1135"/>
      <c r="N4" s="1135"/>
    </row>
    <row r="5" spans="1:18" ht="13.5" customHeight="1">
      <c r="A5" s="399"/>
      <c r="B5" s="705"/>
      <c r="C5" s="705"/>
      <c r="D5" s="706"/>
      <c r="E5" s="706"/>
      <c r="F5" s="705"/>
      <c r="G5" s="707"/>
      <c r="H5" s="708"/>
      <c r="I5" s="708"/>
      <c r="J5" s="708"/>
      <c r="K5" s="705"/>
      <c r="L5" s="705"/>
      <c r="M5" s="705"/>
      <c r="N5" s="705"/>
    </row>
    <row r="6" spans="1:18" ht="9" customHeight="1" thickBot="1">
      <c r="A6" s="3"/>
      <c r="B6" s="3"/>
      <c r="C6" s="3"/>
      <c r="D6" s="14"/>
      <c r="E6" s="14"/>
      <c r="F6" s="3"/>
      <c r="G6" s="432"/>
      <c r="H6" s="6"/>
      <c r="I6" s="6"/>
      <c r="J6" s="6"/>
      <c r="K6" s="3"/>
      <c r="L6" s="3"/>
      <c r="M6" s="3"/>
      <c r="N6" s="3"/>
    </row>
    <row r="7" spans="1:18" ht="13.5" customHeight="1">
      <c r="A7" s="1138" t="s">
        <v>5</v>
      </c>
      <c r="B7" s="1140" t="s">
        <v>105</v>
      </c>
      <c r="C7" s="1141"/>
      <c r="D7" s="232" t="s">
        <v>4</v>
      </c>
      <c r="E7" s="232"/>
      <c r="F7" s="232"/>
      <c r="G7" s="433"/>
      <c r="H7" s="1144" t="s">
        <v>12</v>
      </c>
      <c r="I7" s="1144" t="s">
        <v>81</v>
      </c>
      <c r="J7" s="1144" t="s">
        <v>82</v>
      </c>
      <c r="K7" s="1146" t="s">
        <v>6</v>
      </c>
      <c r="L7" s="1146" t="s">
        <v>84</v>
      </c>
      <c r="M7" s="1146" t="s">
        <v>83</v>
      </c>
      <c r="N7" s="1136" t="s">
        <v>2</v>
      </c>
    </row>
    <row r="8" spans="1:18" ht="13.5" customHeight="1">
      <c r="A8" s="1139"/>
      <c r="B8" s="1142"/>
      <c r="C8" s="1143"/>
      <c r="D8" s="233" t="s">
        <v>111</v>
      </c>
      <c r="E8" s="233" t="s">
        <v>112</v>
      </c>
      <c r="F8" s="761" t="s">
        <v>0</v>
      </c>
      <c r="G8" s="434" t="s">
        <v>3</v>
      </c>
      <c r="H8" s="1145"/>
      <c r="I8" s="1145"/>
      <c r="J8" s="1145"/>
      <c r="K8" s="1147"/>
      <c r="L8" s="1147"/>
      <c r="M8" s="1147"/>
      <c r="N8" s="1137"/>
    </row>
    <row r="9" spans="1:18" ht="13.5" customHeight="1">
      <c r="A9" s="4"/>
      <c r="B9" s="11" t="s">
        <v>103</v>
      </c>
      <c r="C9" s="669"/>
      <c r="D9" s="1057">
        <v>77024439.289099917</v>
      </c>
      <c r="E9" s="1058">
        <v>3281582819.9384012</v>
      </c>
      <c r="F9" s="137"/>
      <c r="G9" s="435"/>
      <c r="H9" s="439"/>
      <c r="I9" s="439"/>
      <c r="J9" s="439"/>
      <c r="K9" s="117"/>
      <c r="L9" s="117"/>
      <c r="M9" s="117"/>
      <c r="N9" s="663"/>
    </row>
    <row r="10" spans="1:18" ht="13.5" customHeight="1">
      <c r="A10" s="4" t="s">
        <v>7</v>
      </c>
      <c r="B10" s="157" t="s">
        <v>67</v>
      </c>
      <c r="C10" s="158"/>
      <c r="D10" s="1060">
        <v>65825251.936999999</v>
      </c>
      <c r="E10" s="962">
        <v>2808668606</v>
      </c>
      <c r="F10" s="668"/>
      <c r="G10" s="163"/>
      <c r="H10" s="440"/>
      <c r="I10" s="440"/>
      <c r="J10" s="440"/>
      <c r="K10" s="159"/>
      <c r="L10" s="159"/>
      <c r="M10" s="159"/>
      <c r="N10" s="664"/>
    </row>
    <row r="11" spans="1:18" ht="13.5" customHeight="1">
      <c r="A11" s="4"/>
      <c r="B11" s="157" t="s">
        <v>76</v>
      </c>
      <c r="C11" s="158"/>
      <c r="D11" s="955">
        <f>ROUND(-자가소모!D12-D12,4)</f>
        <v>-2239.15</v>
      </c>
      <c r="E11" s="955">
        <f>ROUND(-자가소모!E12-E12,4)</f>
        <v>-95542.291400000002</v>
      </c>
      <c r="F11" s="160"/>
      <c r="G11" s="436"/>
      <c r="H11" s="441"/>
      <c r="I11" s="441"/>
      <c r="J11" s="441"/>
      <c r="K11" s="161"/>
      <c r="L11" s="161"/>
      <c r="M11" s="161"/>
      <c r="N11" s="665"/>
    </row>
    <row r="12" spans="1:18" ht="13.5" customHeight="1">
      <c r="A12" s="4"/>
      <c r="B12" s="19" t="s">
        <v>77</v>
      </c>
      <c r="C12" s="162"/>
      <c r="D12" s="955">
        <f>ROUND(-SUM(자가소모!D6:D7),4)</f>
        <v>-217900</v>
      </c>
      <c r="E12" s="955">
        <f>ROUND(-SUM(자가소모!E6:E7),4)</f>
        <v>-9297575.0999999996</v>
      </c>
      <c r="F12" s="160"/>
      <c r="G12" s="436"/>
      <c r="H12" s="441"/>
      <c r="I12" s="441"/>
      <c r="J12" s="441"/>
      <c r="K12" s="161"/>
      <c r="L12" s="161"/>
      <c r="M12" s="161"/>
      <c r="N12" s="665"/>
    </row>
    <row r="13" spans="1:18" ht="13.5" customHeight="1">
      <c r="A13" s="4"/>
      <c r="B13" s="46" t="s">
        <v>1</v>
      </c>
      <c r="C13" s="47"/>
      <c r="D13" s="956">
        <f>D9+D10+D12+D11</f>
        <v>142629552.0760999</v>
      </c>
      <c r="E13" s="956">
        <f>E9+E10+E11+E12</f>
        <v>6080858308.5470009</v>
      </c>
      <c r="F13" s="138"/>
      <c r="G13" s="61"/>
      <c r="H13" s="442"/>
      <c r="I13" s="442"/>
      <c r="J13" s="442"/>
      <c r="K13" s="118"/>
      <c r="L13" s="118"/>
      <c r="M13" s="118"/>
      <c r="N13" s="666"/>
      <c r="O13" s="13"/>
      <c r="P13" s="13"/>
      <c r="Q13" s="13"/>
      <c r="R13" s="13"/>
    </row>
    <row r="14" spans="1:18" ht="13.5" customHeight="1">
      <c r="A14" s="4"/>
      <c r="B14" s="58" t="s">
        <v>102</v>
      </c>
      <c r="C14" s="904"/>
      <c r="D14" s="1059">
        <v>-21241.330000000016</v>
      </c>
      <c r="E14" s="1059">
        <v>-964518.09310000204</v>
      </c>
      <c r="F14" s="902"/>
      <c r="G14" s="60"/>
      <c r="H14" s="443"/>
      <c r="I14" s="443"/>
      <c r="J14" s="443"/>
      <c r="K14" s="119"/>
      <c r="L14" s="119"/>
      <c r="M14" s="119"/>
      <c r="N14" s="667"/>
      <c r="O14" s="13"/>
      <c r="P14" s="252"/>
      <c r="Q14" s="13"/>
      <c r="R14" s="13"/>
    </row>
    <row r="15" spans="1:18" ht="13.5" customHeight="1">
      <c r="A15" s="4" t="s">
        <v>8</v>
      </c>
      <c r="B15" s="19" t="s">
        <v>75</v>
      </c>
      <c r="C15" s="901"/>
      <c r="D15" s="1061">
        <v>293130</v>
      </c>
      <c r="E15" s="1062">
        <v>12372645.711999999</v>
      </c>
      <c r="F15" s="903"/>
      <c r="G15" s="163"/>
      <c r="H15" s="440"/>
      <c r="I15" s="440"/>
      <c r="J15" s="444"/>
      <c r="K15" s="159"/>
      <c r="L15" s="159"/>
      <c r="M15" s="159"/>
      <c r="N15" s="664"/>
      <c r="O15" s="13"/>
      <c r="P15" s="252"/>
      <c r="Q15" s="13"/>
      <c r="R15" s="13"/>
    </row>
    <row r="16" spans="1:18" ht="13.5" hidden="1" customHeight="1">
      <c r="A16" s="4"/>
      <c r="B16" s="19" t="s">
        <v>74</v>
      </c>
      <c r="C16" s="162"/>
      <c r="D16" s="957"/>
      <c r="E16" s="958"/>
      <c r="F16" s="139"/>
      <c r="G16" s="60"/>
      <c r="H16" s="443"/>
      <c r="I16" s="443"/>
      <c r="J16" s="445"/>
      <c r="K16" s="119"/>
      <c r="L16" s="119"/>
      <c r="M16" s="119"/>
      <c r="N16" s="667"/>
      <c r="O16" s="13"/>
      <c r="P16" s="253"/>
      <c r="Q16" s="13"/>
      <c r="R16" s="13"/>
    </row>
    <row r="17" spans="1:18" ht="13.5" customHeight="1">
      <c r="A17" s="155"/>
      <c r="B17" s="46" t="s">
        <v>1</v>
      </c>
      <c r="C17" s="47"/>
      <c r="D17" s="959">
        <f>D14+D15+D16</f>
        <v>271888.67</v>
      </c>
      <c r="E17" s="960">
        <f>E14+E15+E16</f>
        <v>11408127.618899997</v>
      </c>
      <c r="F17" s="138"/>
      <c r="G17" s="61"/>
      <c r="H17" s="442"/>
      <c r="I17" s="442"/>
      <c r="J17" s="442"/>
      <c r="K17" s="118"/>
      <c r="L17" s="118"/>
      <c r="M17" s="118"/>
      <c r="N17" s="666"/>
      <c r="O17" s="13"/>
      <c r="P17" s="253"/>
      <c r="Q17" s="13"/>
      <c r="R17" s="13"/>
    </row>
    <row r="18" spans="1:18" ht="13.5" customHeight="1">
      <c r="A18" s="4"/>
      <c r="B18" s="1148" t="s">
        <v>367</v>
      </c>
      <c r="C18" s="716" t="s">
        <v>220</v>
      </c>
      <c r="D18" s="961">
        <v>18.490099999999998</v>
      </c>
      <c r="E18" s="961">
        <v>789.15690000000006</v>
      </c>
      <c r="F18" s="140">
        <f>G18/E18</f>
        <v>23.21571287027966</v>
      </c>
      <c r="G18" s="1045">
        <v>18320.84</v>
      </c>
      <c r="H18" s="1046">
        <v>12230</v>
      </c>
      <c r="I18" s="938">
        <v>1360</v>
      </c>
      <c r="J18" s="916"/>
      <c r="K18" s="917"/>
      <c r="L18" s="120"/>
      <c r="M18" s="120"/>
      <c r="N18" s="18">
        <f>SUM(G18:M18)</f>
        <v>31910.84</v>
      </c>
      <c r="O18" s="86"/>
      <c r="P18" s="86"/>
      <c r="Q18" s="13"/>
      <c r="R18" s="13"/>
    </row>
    <row r="19" spans="1:18" ht="13.5" customHeight="1">
      <c r="A19" s="4"/>
      <c r="B19" s="1149"/>
      <c r="C19" s="716" t="s">
        <v>134</v>
      </c>
      <c r="D19" s="962">
        <v>450167.01149999996</v>
      </c>
      <c r="E19" s="962">
        <v>19223016.846799999</v>
      </c>
      <c r="F19" s="164">
        <f>G19/E19</f>
        <v>23.634436612150719</v>
      </c>
      <c r="G19" s="1047">
        <v>454325173.15999997</v>
      </c>
      <c r="H19" s="945">
        <v>87251130</v>
      </c>
      <c r="I19" s="945">
        <v>14406820</v>
      </c>
      <c r="J19" s="508"/>
      <c r="K19" s="918"/>
      <c r="L19" s="120"/>
      <c r="M19" s="133"/>
      <c r="N19" s="18">
        <f t="shared" ref="N19:N22" si="0">SUM(G19:M19)</f>
        <v>555983123.15999997</v>
      </c>
      <c r="O19" s="13"/>
      <c r="P19" s="86"/>
      <c r="Q19" s="13"/>
      <c r="R19" s="13"/>
    </row>
    <row r="20" spans="1:18" ht="13.5" customHeight="1">
      <c r="A20" s="4"/>
      <c r="B20" s="1149"/>
      <c r="C20" s="77" t="s">
        <v>49</v>
      </c>
      <c r="D20" s="963"/>
      <c r="E20" s="963"/>
      <c r="F20" s="919"/>
      <c r="G20" s="1047">
        <v>-71560</v>
      </c>
      <c r="H20" s="953"/>
      <c r="I20" s="953"/>
      <c r="J20" s="446"/>
      <c r="K20" s="920"/>
      <c r="L20" s="120"/>
      <c r="M20" s="120"/>
      <c r="N20" s="18">
        <f t="shared" si="0"/>
        <v>-71560</v>
      </c>
      <c r="O20" s="13"/>
      <c r="P20" s="86"/>
      <c r="Q20" s="13"/>
      <c r="R20" s="13"/>
    </row>
    <row r="21" spans="1:18" ht="13.5" customHeight="1">
      <c r="A21" s="4"/>
      <c r="B21" s="1149"/>
      <c r="C21" s="77" t="s">
        <v>32</v>
      </c>
      <c r="D21" s="962"/>
      <c r="E21" s="962"/>
      <c r="F21" s="165"/>
      <c r="G21" s="1047">
        <v>-16069881</v>
      </c>
      <c r="H21" s="936"/>
      <c r="I21" s="936"/>
      <c r="J21" s="514"/>
      <c r="K21" s="920"/>
      <c r="L21" s="120"/>
      <c r="M21" s="120"/>
      <c r="N21" s="18">
        <f t="shared" si="0"/>
        <v>-16069881</v>
      </c>
      <c r="O21" s="13"/>
      <c r="P21" s="86"/>
      <c r="Q21" s="13"/>
      <c r="R21" s="13"/>
    </row>
    <row r="22" spans="1:18" ht="13.5" customHeight="1">
      <c r="A22" s="4"/>
      <c r="B22" s="1149"/>
      <c r="C22" s="77" t="s">
        <v>33</v>
      </c>
      <c r="D22" s="961">
        <v>-1797.6638</v>
      </c>
      <c r="E22" s="961">
        <v>-76506.056599999996</v>
      </c>
      <c r="F22" s="952"/>
      <c r="G22" s="1052">
        <v>-1803720</v>
      </c>
      <c r="H22" s="937"/>
      <c r="I22" s="937"/>
      <c r="J22" s="511"/>
      <c r="K22" s="921"/>
      <c r="L22" s="166"/>
      <c r="M22" s="122"/>
      <c r="N22" s="18">
        <f t="shared" si="0"/>
        <v>-1803720</v>
      </c>
      <c r="O22" s="13"/>
      <c r="P22" s="86"/>
      <c r="Q22" s="13"/>
      <c r="R22" s="13"/>
    </row>
    <row r="23" spans="1:18" ht="13.5" customHeight="1">
      <c r="A23" s="4"/>
      <c r="B23" s="1149"/>
      <c r="C23" s="25" t="s">
        <v>17</v>
      </c>
      <c r="D23" s="964">
        <f>SUM(D18:D22)</f>
        <v>448387.83779999998</v>
      </c>
      <c r="E23" s="965">
        <f>SUM(E18:E22)</f>
        <v>19147299.947099999</v>
      </c>
      <c r="F23" s="141">
        <f>G23/E23</f>
        <v>22.791638205160918</v>
      </c>
      <c r="G23" s="56">
        <f t="shared" ref="G23:L23" si="1">SUM(G18:G22)</f>
        <v>436398332.99999994</v>
      </c>
      <c r="H23" s="447">
        <f t="shared" si="1"/>
        <v>87263360</v>
      </c>
      <c r="I23" s="447">
        <f t="shared" si="1"/>
        <v>14408180</v>
      </c>
      <c r="J23" s="456">
        <f t="shared" si="1"/>
        <v>0</v>
      </c>
      <c r="K23" s="123">
        <f t="shared" si="1"/>
        <v>0</v>
      </c>
      <c r="L23" s="123">
        <f t="shared" si="1"/>
        <v>0</v>
      </c>
      <c r="M23" s="123">
        <v>0</v>
      </c>
      <c r="N23" s="26">
        <f>SUM(N18:N22)</f>
        <v>538069873</v>
      </c>
      <c r="O23" s="27"/>
      <c r="P23" s="86"/>
      <c r="Q23" s="13"/>
      <c r="R23" s="13"/>
    </row>
    <row r="24" spans="1:18" ht="13.5" customHeight="1">
      <c r="A24" s="4"/>
      <c r="B24" s="1149"/>
      <c r="C24" s="77" t="s">
        <v>383</v>
      </c>
      <c r="D24" s="961">
        <v>58.984700000000004</v>
      </c>
      <c r="E24" s="961">
        <v>2517.1279</v>
      </c>
      <c r="F24" s="142">
        <f>G24/E24</f>
        <v>22.904894900255169</v>
      </c>
      <c r="G24" s="1048">
        <v>57654.55</v>
      </c>
      <c r="H24" s="1046">
        <v>14400</v>
      </c>
      <c r="I24" s="1026"/>
      <c r="J24" s="448"/>
      <c r="K24" s="124"/>
      <c r="L24" s="125"/>
      <c r="M24" s="922"/>
      <c r="N24" s="18">
        <f>SUM(G24:M24)</f>
        <v>72054.55</v>
      </c>
      <c r="O24" s="27"/>
      <c r="P24" s="86"/>
      <c r="Q24" s="13"/>
      <c r="R24" s="13"/>
    </row>
    <row r="25" spans="1:18" ht="13.5" customHeight="1">
      <c r="A25" s="4"/>
      <c r="B25" s="1149"/>
      <c r="C25" s="77" t="s">
        <v>384</v>
      </c>
      <c r="D25" s="962">
        <v>4728786.0443000002</v>
      </c>
      <c r="E25" s="962">
        <v>201885404.5244</v>
      </c>
      <c r="F25" s="164">
        <f>G25/E25</f>
        <v>23.636012715289091</v>
      </c>
      <c r="G25" s="1049">
        <v>4771765988.3699999</v>
      </c>
      <c r="H25" s="945">
        <v>372820500</v>
      </c>
      <c r="I25" s="945">
        <v>29852940</v>
      </c>
      <c r="J25" s="514"/>
      <c r="K25" s="134"/>
      <c r="L25" s="125"/>
      <c r="M25" s="922"/>
      <c r="N25" s="51">
        <f t="shared" ref="N25:N30" si="2">SUM(G25:M25)</f>
        <v>5174439428.3699999</v>
      </c>
      <c r="O25" s="27"/>
      <c r="P25" s="86"/>
      <c r="Q25" s="13"/>
      <c r="R25" s="13"/>
    </row>
    <row r="26" spans="1:18" ht="13.5" customHeight="1">
      <c r="A26" s="4"/>
      <c r="B26" s="1149"/>
      <c r="C26" s="77" t="s">
        <v>385</v>
      </c>
      <c r="D26" s="961">
        <v>62.615000000000002</v>
      </c>
      <c r="E26" s="961">
        <v>2672.1559999999999</v>
      </c>
      <c r="F26" s="164">
        <f>G26/E26</f>
        <v>22.879936650405138</v>
      </c>
      <c r="G26" s="1048">
        <v>61138.759999999995</v>
      </c>
      <c r="H26" s="936"/>
      <c r="I26" s="936"/>
      <c r="J26" s="514"/>
      <c r="K26" s="134"/>
      <c r="L26" s="125"/>
      <c r="M26" s="922"/>
      <c r="N26" s="51">
        <f t="shared" si="2"/>
        <v>61138.759999999995</v>
      </c>
      <c r="O26" s="27"/>
      <c r="P26" s="86"/>
      <c r="Q26" s="13"/>
      <c r="R26" s="13"/>
    </row>
    <row r="27" spans="1:18" ht="13.5" customHeight="1">
      <c r="A27" s="4"/>
      <c r="B27" s="1149"/>
      <c r="C27" s="77" t="s">
        <v>386</v>
      </c>
      <c r="D27" s="961">
        <v>24630350.6972</v>
      </c>
      <c r="E27" s="961">
        <v>1051554506.0927</v>
      </c>
      <c r="F27" s="164">
        <f>G27/E27</f>
        <v>23.635922965774395</v>
      </c>
      <c r="G27" s="1048">
        <v>24854461300.32</v>
      </c>
      <c r="H27" s="936"/>
      <c r="I27" s="936"/>
      <c r="J27" s="514"/>
      <c r="K27" s="134"/>
      <c r="L27" s="125"/>
      <c r="M27" s="922"/>
      <c r="N27" s="51">
        <f t="shared" si="2"/>
        <v>24854461300.32</v>
      </c>
      <c r="O27" s="27"/>
      <c r="P27" s="86"/>
      <c r="Q27" s="13"/>
      <c r="R27" s="13"/>
    </row>
    <row r="28" spans="1:18" ht="13.5" customHeight="1">
      <c r="A28" s="4"/>
      <c r="B28" s="1149"/>
      <c r="C28" s="76" t="s">
        <v>49</v>
      </c>
      <c r="D28" s="966"/>
      <c r="E28" s="966"/>
      <c r="F28" s="164"/>
      <c r="G28" s="1047">
        <v>-10498163</v>
      </c>
      <c r="H28" s="936"/>
      <c r="I28" s="936"/>
      <c r="J28" s="446"/>
      <c r="K28" s="134"/>
      <c r="L28" s="167"/>
      <c r="M28" s="918"/>
      <c r="N28" s="51">
        <f t="shared" si="2"/>
        <v>-10498163</v>
      </c>
      <c r="O28" s="27"/>
      <c r="P28" s="86"/>
      <c r="Q28" s="13"/>
      <c r="R28" s="13"/>
    </row>
    <row r="29" spans="1:18" ht="13.5" customHeight="1">
      <c r="A29" s="4"/>
      <c r="B29" s="1149"/>
      <c r="C29" s="76" t="s">
        <v>32</v>
      </c>
      <c r="D29" s="966"/>
      <c r="E29" s="966"/>
      <c r="F29" s="183"/>
      <c r="G29" s="1047">
        <v>-7403757541</v>
      </c>
      <c r="H29" s="936"/>
      <c r="I29" s="936"/>
      <c r="J29" s="514"/>
      <c r="K29" s="134"/>
      <c r="L29" s="126"/>
      <c r="M29" s="923"/>
      <c r="N29" s="51">
        <f t="shared" si="2"/>
        <v>-7403757541</v>
      </c>
      <c r="O29" s="27"/>
      <c r="P29" s="86"/>
      <c r="Q29" s="13"/>
      <c r="R29" s="13"/>
    </row>
    <row r="30" spans="1:18" ht="13.5" customHeight="1">
      <c r="A30" s="4"/>
      <c r="B30" s="1149"/>
      <c r="C30" s="12" t="s">
        <v>33</v>
      </c>
      <c r="D30" s="961">
        <v>-54762.567999999999</v>
      </c>
      <c r="E30" s="961">
        <v>-2337335.4608</v>
      </c>
      <c r="F30" s="636"/>
      <c r="G30" s="1052">
        <v>-55127937</v>
      </c>
      <c r="H30" s="937"/>
      <c r="I30" s="937"/>
      <c r="J30" s="511"/>
      <c r="K30" s="121"/>
      <c r="L30" s="127"/>
      <c r="M30" s="127"/>
      <c r="N30" s="55">
        <f t="shared" si="2"/>
        <v>-55127937</v>
      </c>
      <c r="O30" s="27"/>
      <c r="P30" s="86"/>
      <c r="Q30" s="13"/>
      <c r="R30" s="13"/>
    </row>
    <row r="31" spans="1:18" ht="13.5" customHeight="1">
      <c r="A31" s="4" t="s">
        <v>9</v>
      </c>
      <c r="B31" s="1149"/>
      <c r="C31" s="25" t="s">
        <v>17</v>
      </c>
      <c r="D31" s="964">
        <f>SUM(D24:D30)</f>
        <v>29304495.773200002</v>
      </c>
      <c r="E31" s="965">
        <f>SUM(E24:E30)</f>
        <v>1251107764.4402001</v>
      </c>
      <c r="F31" s="141">
        <f>G31/E31</f>
        <v>17.709875256760146</v>
      </c>
      <c r="G31" s="56">
        <f t="shared" ref="G31:N31" si="3">SUM(G24:G30)</f>
        <v>22156962441</v>
      </c>
      <c r="H31" s="447">
        <f t="shared" si="3"/>
        <v>372834900</v>
      </c>
      <c r="I31" s="447">
        <f t="shared" si="3"/>
        <v>29852940</v>
      </c>
      <c r="J31" s="456">
        <f t="shared" si="3"/>
        <v>0</v>
      </c>
      <c r="K31" s="123">
        <f t="shared" si="3"/>
        <v>0</v>
      </c>
      <c r="L31" s="123">
        <f t="shared" si="3"/>
        <v>0</v>
      </c>
      <c r="M31" s="123">
        <f t="shared" si="3"/>
        <v>0</v>
      </c>
      <c r="N31" s="26">
        <f t="shared" si="3"/>
        <v>22559650281</v>
      </c>
      <c r="O31" s="27"/>
      <c r="P31" s="86"/>
      <c r="Q31" s="13"/>
      <c r="R31" s="13"/>
    </row>
    <row r="32" spans="1:18" ht="13.5" customHeight="1">
      <c r="A32" s="4"/>
      <c r="B32" s="1149"/>
      <c r="C32" s="77" t="s">
        <v>211</v>
      </c>
      <c r="D32" s="961">
        <v>84.281400000000005</v>
      </c>
      <c r="E32" s="961">
        <v>3597.4967999999999</v>
      </c>
      <c r="F32" s="142">
        <f>G32/E32</f>
        <v>23.151050474874641</v>
      </c>
      <c r="G32" s="1048">
        <v>83285.83</v>
      </c>
      <c r="H32" s="1046">
        <v>6300</v>
      </c>
      <c r="I32" s="938">
        <v>420</v>
      </c>
      <c r="J32" s="448"/>
      <c r="K32" s="124"/>
      <c r="L32" s="922"/>
      <c r="M32" s="922"/>
      <c r="N32" s="18">
        <f>SUM(G32:M32)</f>
        <v>90005.83</v>
      </c>
      <c r="O32" s="27"/>
      <c r="P32" s="86"/>
      <c r="Q32" s="13"/>
      <c r="R32" s="13"/>
    </row>
    <row r="33" spans="1:18" ht="13.5" customHeight="1">
      <c r="A33" s="4"/>
      <c r="B33" s="1149"/>
      <c r="C33" s="77" t="s">
        <v>91</v>
      </c>
      <c r="D33" s="961">
        <v>38158170.382700004</v>
      </c>
      <c r="E33" s="961">
        <v>1629158219.8370998</v>
      </c>
      <c r="F33" s="164">
        <f>G33/E33</f>
        <v>23.635901082106255</v>
      </c>
      <c r="G33" s="1048">
        <v>38506622531.170006</v>
      </c>
      <c r="H33" s="945">
        <v>605933100</v>
      </c>
      <c r="I33" s="945">
        <v>138296220</v>
      </c>
      <c r="J33" s="514"/>
      <c r="K33" s="134"/>
      <c r="L33" s="922"/>
      <c r="M33" s="922"/>
      <c r="N33" s="18">
        <f>SUM(G33:M33)</f>
        <v>39250851851.170006</v>
      </c>
      <c r="O33" s="27"/>
      <c r="P33" s="86"/>
      <c r="Q33" s="13"/>
      <c r="R33" s="13"/>
    </row>
    <row r="34" spans="1:18" ht="13.5" customHeight="1">
      <c r="A34" s="4"/>
      <c r="B34" s="1149"/>
      <c r="C34" s="77" t="s">
        <v>49</v>
      </c>
      <c r="D34" s="966" t="s">
        <v>106</v>
      </c>
      <c r="E34" s="966"/>
      <c r="F34" s="164"/>
      <c r="G34" s="1047">
        <v>-3879105</v>
      </c>
      <c r="H34" s="936"/>
      <c r="I34" s="936"/>
      <c r="J34" s="446"/>
      <c r="K34" s="134"/>
      <c r="L34" s="918"/>
      <c r="M34" s="918"/>
      <c r="N34" s="18">
        <f>SUM(G34:M34)</f>
        <v>-3879105</v>
      </c>
      <c r="O34" s="27"/>
      <c r="P34" s="86"/>
      <c r="Q34" s="13"/>
      <c r="R34" s="13"/>
    </row>
    <row r="35" spans="1:18" ht="13.5" customHeight="1">
      <c r="A35" s="4"/>
      <c r="B35" s="1149"/>
      <c r="C35" s="76" t="s">
        <v>33</v>
      </c>
      <c r="D35" s="961">
        <v>-64082.434600000001</v>
      </c>
      <c r="E35" s="961">
        <v>-2735867.5410000002</v>
      </c>
      <c r="F35" s="636"/>
      <c r="G35" s="1052">
        <v>-64648444</v>
      </c>
      <c r="H35" s="937"/>
      <c r="I35" s="937"/>
      <c r="J35" s="511"/>
      <c r="K35" s="121"/>
      <c r="L35" s="923"/>
      <c r="M35" s="923"/>
      <c r="N35" s="18">
        <f>SUM(G35:M35)</f>
        <v>-64648444</v>
      </c>
      <c r="O35" s="27"/>
      <c r="P35" s="86"/>
      <c r="Q35" s="13"/>
      <c r="R35" s="13"/>
    </row>
    <row r="36" spans="1:18" ht="13.5" customHeight="1">
      <c r="A36" s="4"/>
      <c r="B36" s="1149"/>
      <c r="C36" s="25" t="s">
        <v>17</v>
      </c>
      <c r="D36" s="964">
        <f>SUM(D32:D35)</f>
        <v>38094172.229500003</v>
      </c>
      <c r="E36" s="965">
        <f>SUM(E32:E35)</f>
        <v>1626425949.7928998</v>
      </c>
      <c r="F36" s="141">
        <f>G36/E36</f>
        <v>23.633524952608212</v>
      </c>
      <c r="G36" s="56">
        <f>SUM(G32:G35)</f>
        <v>38438178268.000008</v>
      </c>
      <c r="H36" s="447">
        <f>SUM(H32:H35)</f>
        <v>605939400</v>
      </c>
      <c r="I36" s="447">
        <f>SUM(I32:I35)</f>
        <v>138296640</v>
      </c>
      <c r="J36" s="456">
        <v>0</v>
      </c>
      <c r="K36" s="123">
        <f>SUM(K32:K35)</f>
        <v>0</v>
      </c>
      <c r="L36" s="123">
        <f>SUM(L32:L35)</f>
        <v>0</v>
      </c>
      <c r="M36" s="123">
        <v>0</v>
      </c>
      <c r="N36" s="26">
        <f>SUM(N32:N35)</f>
        <v>39182414308.000008</v>
      </c>
      <c r="O36" s="27"/>
      <c r="P36" s="86"/>
      <c r="Q36" s="13"/>
      <c r="R36" s="13"/>
    </row>
    <row r="37" spans="1:18" ht="14.25" customHeight="1">
      <c r="A37" s="4"/>
      <c r="B37" s="1149"/>
      <c r="C37" s="717" t="s">
        <v>456</v>
      </c>
      <c r="D37" s="961">
        <v>960251.34640000004</v>
      </c>
      <c r="E37" s="961">
        <v>40953314.078599997</v>
      </c>
      <c r="F37" s="164">
        <f>G37/E37</f>
        <v>23.598098951044339</v>
      </c>
      <c r="G37" s="1048">
        <v>966420358</v>
      </c>
      <c r="H37" s="938"/>
      <c r="I37" s="1046">
        <v>1748800</v>
      </c>
      <c r="J37" s="1046">
        <v>960800</v>
      </c>
      <c r="K37" s="134"/>
      <c r="L37" s="922"/>
      <c r="M37" s="922"/>
      <c r="N37" s="51">
        <f>L37+K37+I37+H37+G37+J37</f>
        <v>969129958</v>
      </c>
      <c r="O37" s="27"/>
      <c r="P37" s="86"/>
      <c r="Q37" s="13"/>
      <c r="R37" s="13"/>
    </row>
    <row r="38" spans="1:18" ht="14.25" customHeight="1">
      <c r="A38" s="4"/>
      <c r="B38" s="1149"/>
      <c r="C38" s="717" t="s">
        <v>459</v>
      </c>
      <c r="D38" s="961">
        <v>65182.5216</v>
      </c>
      <c r="E38" s="961">
        <v>2779114.6878</v>
      </c>
      <c r="F38" s="164">
        <f>G38/E38</f>
        <v>23.598095209203407</v>
      </c>
      <c r="G38" s="1048">
        <v>65581813</v>
      </c>
      <c r="H38" s="939"/>
      <c r="I38" s="1050">
        <v>270690</v>
      </c>
      <c r="J38" s="1050">
        <v>98200</v>
      </c>
      <c r="K38" s="134"/>
      <c r="L38" s="922"/>
      <c r="M38" s="922"/>
      <c r="N38" s="51">
        <f>L38+K38+I38+H38+G38+J38</f>
        <v>65950703</v>
      </c>
      <c r="O38" s="27"/>
      <c r="P38" s="86"/>
      <c r="Q38" s="13"/>
      <c r="R38" s="13"/>
    </row>
    <row r="39" spans="1:18" ht="13.5" customHeight="1">
      <c r="A39" s="4"/>
      <c r="B39" s="1149"/>
      <c r="C39" s="77" t="s">
        <v>219</v>
      </c>
      <c r="D39" s="968"/>
      <c r="E39" s="968"/>
      <c r="F39" s="164"/>
      <c r="G39" s="1047">
        <v>-42407621</v>
      </c>
      <c r="H39" s="514"/>
      <c r="I39" s="446"/>
      <c r="J39" s="446"/>
      <c r="K39" s="134"/>
      <c r="L39" s="132"/>
      <c r="M39" s="918"/>
      <c r="N39" s="18">
        <f t="shared" ref="N39" si="4">SUM(G39:M39)</f>
        <v>-42407621</v>
      </c>
      <c r="O39" s="27"/>
      <c r="P39" s="86"/>
      <c r="Q39" s="13"/>
      <c r="R39" s="13"/>
    </row>
    <row r="40" spans="1:18" ht="13.5" customHeight="1">
      <c r="A40" s="4"/>
      <c r="B40" s="1149"/>
      <c r="C40" s="25" t="s">
        <v>17</v>
      </c>
      <c r="D40" s="969">
        <f>SUM(D37:D39)</f>
        <v>1025433.868</v>
      </c>
      <c r="E40" s="969">
        <f>SUM(E37:E39)</f>
        <v>43732428.766399994</v>
      </c>
      <c r="F40" s="141">
        <f>G40/E40</f>
        <v>22.628392200350742</v>
      </c>
      <c r="G40" s="56">
        <f>SUM(G37:G39)</f>
        <v>989594550</v>
      </c>
      <c r="H40" s="456">
        <f>SUM(H39:H39)</f>
        <v>0</v>
      </c>
      <c r="I40" s="447">
        <f>SUM(I37:I39)</f>
        <v>2019490</v>
      </c>
      <c r="J40" s="447">
        <f>SUM(J37:J39)</f>
        <v>1059000</v>
      </c>
      <c r="K40" s="123">
        <f>SUM(K37:K39)</f>
        <v>0</v>
      </c>
      <c r="L40" s="123">
        <f>SUM(L37:L39)</f>
        <v>0</v>
      </c>
      <c r="M40" s="123">
        <v>0</v>
      </c>
      <c r="N40" s="26">
        <f>SUM(N37:N39)</f>
        <v>992673040</v>
      </c>
      <c r="O40" s="27"/>
      <c r="P40" s="86"/>
      <c r="Q40" s="13"/>
      <c r="R40" s="13"/>
    </row>
    <row r="41" spans="1:18" ht="13.5" customHeight="1">
      <c r="A41" s="4"/>
      <c r="B41" s="1149"/>
      <c r="C41" s="716" t="s">
        <v>157</v>
      </c>
      <c r="D41" s="961">
        <v>426052</v>
      </c>
      <c r="E41" s="961">
        <v>18179827.432</v>
      </c>
      <c r="F41" s="164">
        <f>G41/E41</f>
        <v>23.598099575184129</v>
      </c>
      <c r="G41" s="1048">
        <v>429009378</v>
      </c>
      <c r="H41" s="940"/>
      <c r="I41" s="945">
        <v>712570</v>
      </c>
      <c r="J41" s="941">
        <v>735000</v>
      </c>
      <c r="K41" s="134"/>
      <c r="L41" s="128"/>
      <c r="M41" s="922"/>
      <c r="N41" s="18">
        <f>SUM(G41:M41)</f>
        <v>430456948</v>
      </c>
      <c r="O41" s="27"/>
      <c r="P41" s="86"/>
      <c r="Q41" s="13"/>
      <c r="R41" s="13"/>
    </row>
    <row r="42" spans="1:18" ht="13.5" hidden="1" customHeight="1">
      <c r="A42" s="4"/>
      <c r="B42" s="1149"/>
      <c r="C42" s="716" t="s">
        <v>455</v>
      </c>
      <c r="D42" s="961"/>
      <c r="E42" s="961"/>
      <c r="F42" s="164"/>
      <c r="G42" s="1028"/>
      <c r="H42" s="940"/>
      <c r="I42" s="945"/>
      <c r="J42" s="941"/>
      <c r="K42" s="134"/>
      <c r="L42" s="128"/>
      <c r="M42" s="922"/>
      <c r="N42" s="18">
        <f>SUM(G42:M42)</f>
        <v>0</v>
      </c>
      <c r="O42" s="27"/>
      <c r="P42" s="86"/>
      <c r="Q42" s="13"/>
      <c r="R42" s="13"/>
    </row>
    <row r="43" spans="1:18" ht="13.5" customHeight="1">
      <c r="A43" s="4"/>
      <c r="B43" s="1149"/>
      <c r="C43" s="77" t="s">
        <v>32</v>
      </c>
      <c r="D43" s="968"/>
      <c r="E43" s="968"/>
      <c r="F43" s="164"/>
      <c r="G43" s="1047">
        <v>-9622281</v>
      </c>
      <c r="H43" s="514"/>
      <c r="I43" s="446"/>
      <c r="J43" s="446"/>
      <c r="K43" s="134"/>
      <c r="L43" s="134"/>
      <c r="M43" s="920"/>
      <c r="N43" s="18">
        <f>SUM(G43:M43)</f>
        <v>-9622281</v>
      </c>
      <c r="O43" s="27"/>
      <c r="P43" s="86"/>
      <c r="Q43" s="13"/>
      <c r="R43" s="13"/>
    </row>
    <row r="44" spans="1:18" ht="13.5" customHeight="1">
      <c r="A44" s="4"/>
      <c r="B44" s="1149"/>
      <c r="C44" s="25" t="s">
        <v>31</v>
      </c>
      <c r="D44" s="965">
        <f>SUM(D41:D43)</f>
        <v>426052</v>
      </c>
      <c r="E44" s="965">
        <f>SUM(E41:E43)</f>
        <v>18179827.432</v>
      </c>
      <c r="F44" s="141">
        <f t="shared" ref="F44:F47" si="5">G44/E44</f>
        <v>23.068816168287597</v>
      </c>
      <c r="G44" s="56">
        <f t="shared" ref="G44:L44" si="6">SUM(G41:G43)</f>
        <v>419387097</v>
      </c>
      <c r="H44" s="456">
        <f t="shared" si="6"/>
        <v>0</v>
      </c>
      <c r="I44" s="447">
        <f t="shared" si="6"/>
        <v>712570</v>
      </c>
      <c r="J44" s="447">
        <f t="shared" si="6"/>
        <v>735000</v>
      </c>
      <c r="K44" s="123">
        <f t="shared" si="6"/>
        <v>0</v>
      </c>
      <c r="L44" s="123">
        <f t="shared" si="6"/>
        <v>0</v>
      </c>
      <c r="M44" s="123">
        <v>0</v>
      </c>
      <c r="N44" s="26">
        <f>SUM(N41:N43)</f>
        <v>420834667</v>
      </c>
      <c r="O44" s="27"/>
      <c r="P44" s="86"/>
      <c r="Q44" s="13"/>
      <c r="R44" s="13"/>
    </row>
    <row r="45" spans="1:18" ht="13.5" customHeight="1">
      <c r="A45" s="4"/>
      <c r="B45" s="1150"/>
      <c r="C45" s="640" t="s">
        <v>27</v>
      </c>
      <c r="D45" s="970">
        <f>D23+D31+D36+D44+D40</f>
        <v>69298541.708499998</v>
      </c>
      <c r="E45" s="971">
        <f>E23+E31+E36+E44+E40</f>
        <v>2958593270.3785996</v>
      </c>
      <c r="F45" s="641">
        <f t="shared" si="5"/>
        <v>21.104800485471845</v>
      </c>
      <c r="G45" s="642">
        <f t="shared" ref="G45:L45" si="7">G23+G31+G36+G44+G40</f>
        <v>62440520689.000008</v>
      </c>
      <c r="H45" s="643">
        <f t="shared" si="7"/>
        <v>1066037660</v>
      </c>
      <c r="I45" s="643">
        <f t="shared" si="7"/>
        <v>185289820</v>
      </c>
      <c r="J45" s="643">
        <f t="shared" si="7"/>
        <v>1794000</v>
      </c>
      <c r="K45" s="644">
        <f t="shared" si="7"/>
        <v>0</v>
      </c>
      <c r="L45" s="644">
        <f t="shared" si="7"/>
        <v>0</v>
      </c>
      <c r="M45" s="644">
        <v>0</v>
      </c>
      <c r="N45" s="645">
        <f>N23+N31+N36+N44+N40</f>
        <v>63693642169.000008</v>
      </c>
      <c r="O45" s="27"/>
      <c r="P45" s="86"/>
      <c r="Q45" s="13"/>
      <c r="R45" s="13"/>
    </row>
    <row r="46" spans="1:18" ht="13.5" hidden="1" customHeight="1">
      <c r="A46" s="4"/>
      <c r="B46" s="1154" t="s">
        <v>394</v>
      </c>
      <c r="C46" s="77" t="s">
        <v>393</v>
      </c>
      <c r="D46" s="967"/>
      <c r="E46" s="967"/>
      <c r="F46" s="78"/>
      <c r="G46" s="1002"/>
      <c r="H46" s="924"/>
      <c r="I46" s="954"/>
      <c r="J46" s="987"/>
      <c r="K46" s="134"/>
      <c r="L46" s="168"/>
      <c r="M46" s="923"/>
      <c r="N46" s="51">
        <f>L46+K46+I46+H46+G46+J46</f>
        <v>0</v>
      </c>
      <c r="O46" s="27"/>
      <c r="P46" s="86"/>
      <c r="Q46" s="13"/>
      <c r="R46" s="13"/>
    </row>
    <row r="47" spans="1:18" ht="13.5" customHeight="1">
      <c r="A47" s="4"/>
      <c r="B47" s="1154"/>
      <c r="C47" s="77" t="s">
        <v>469</v>
      </c>
      <c r="D47" s="961">
        <v>5403699.4748999998</v>
      </c>
      <c r="E47" s="961">
        <v>230576640.27379999</v>
      </c>
      <c r="F47" s="78">
        <f t="shared" si="5"/>
        <v>22.78405811083779</v>
      </c>
      <c r="G47" s="1049">
        <v>5253471571</v>
      </c>
      <c r="H47" s="446"/>
      <c r="I47" s="941">
        <v>38964540</v>
      </c>
      <c r="J47" s="939">
        <v>1257100</v>
      </c>
      <c r="K47" s="134"/>
      <c r="L47" s="168"/>
      <c r="M47" s="923"/>
      <c r="N47" s="18">
        <f>SUM(G47:M47)</f>
        <v>5293693211</v>
      </c>
      <c r="O47" s="27"/>
      <c r="P47" s="86"/>
      <c r="Q47" s="13"/>
      <c r="R47" s="13"/>
    </row>
    <row r="48" spans="1:18" ht="13.5" customHeight="1">
      <c r="A48" s="4"/>
      <c r="B48" s="1154"/>
      <c r="C48" s="76" t="s">
        <v>49</v>
      </c>
      <c r="D48" s="966"/>
      <c r="E48" s="966"/>
      <c r="F48" s="78"/>
      <c r="G48" s="1047">
        <v>-19187508</v>
      </c>
      <c r="H48" s="446"/>
      <c r="I48" s="446"/>
      <c r="J48" s="446"/>
      <c r="K48" s="134"/>
      <c r="L48" s="168"/>
      <c r="M48" s="923"/>
      <c r="N48" s="18">
        <f>SUM(G48:M48)</f>
        <v>-19187508</v>
      </c>
      <c r="O48" s="27"/>
      <c r="P48" s="86"/>
      <c r="Q48" s="13"/>
      <c r="R48" s="13"/>
    </row>
    <row r="49" spans="1:19" ht="13.5" customHeight="1">
      <c r="A49" s="4"/>
      <c r="B49" s="1154"/>
      <c r="C49" s="76" t="s">
        <v>33</v>
      </c>
      <c r="D49" s="961">
        <v>-3290.7653999999998</v>
      </c>
      <c r="E49" s="961">
        <v>-140218.62880000001</v>
      </c>
      <c r="F49" s="925"/>
      <c r="G49" s="1052">
        <v>-3190207</v>
      </c>
      <c r="H49" s="511"/>
      <c r="I49" s="900"/>
      <c r="J49" s="900"/>
      <c r="K49" s="121"/>
      <c r="L49" s="168"/>
      <c r="M49" s="923"/>
      <c r="N49" s="18">
        <f t="shared" ref="N49" si="8">SUM(G49:M49)</f>
        <v>-3190207</v>
      </c>
      <c r="O49" s="27"/>
      <c r="P49" s="86"/>
      <c r="Q49" s="13"/>
      <c r="R49" s="13"/>
    </row>
    <row r="50" spans="1:19" ht="13.5" customHeight="1">
      <c r="A50" s="4"/>
      <c r="B50" s="1154"/>
      <c r="C50" s="25" t="s">
        <v>17</v>
      </c>
      <c r="D50" s="964">
        <f>SUM(D46:D49)</f>
        <v>5400408.7094999999</v>
      </c>
      <c r="E50" s="965">
        <f>SUM(E46:E49)</f>
        <v>230436421.64499998</v>
      </c>
      <c r="F50" s="62">
        <f t="shared" ref="F50:F52" si="9">G50/E50</f>
        <v>22.700811871045232</v>
      </c>
      <c r="G50" s="56">
        <f t="shared" ref="G50:L50" si="10">SUM(G46:G49)</f>
        <v>5231093856</v>
      </c>
      <c r="H50" s="456">
        <f t="shared" si="10"/>
        <v>0</v>
      </c>
      <c r="I50" s="447">
        <f t="shared" si="10"/>
        <v>38964540</v>
      </c>
      <c r="J50" s="447">
        <f t="shared" si="10"/>
        <v>1257100</v>
      </c>
      <c r="K50" s="123">
        <f t="shared" si="10"/>
        <v>0</v>
      </c>
      <c r="L50" s="123">
        <f t="shared" si="10"/>
        <v>0</v>
      </c>
      <c r="M50" s="123">
        <v>0</v>
      </c>
      <c r="N50" s="26">
        <f>SUM(N46:N49)</f>
        <v>5271315496</v>
      </c>
      <c r="O50" s="27"/>
      <c r="P50" s="86"/>
      <c r="Q50" s="13"/>
      <c r="R50" s="13"/>
    </row>
    <row r="51" spans="1:19" ht="13.5" customHeight="1">
      <c r="A51" s="4"/>
      <c r="B51" s="1154"/>
      <c r="C51" s="77" t="s">
        <v>463</v>
      </c>
      <c r="D51" s="961">
        <v>2266523.8106</v>
      </c>
      <c r="E51" s="961">
        <v>96655761.638000011</v>
      </c>
      <c r="F51" s="78">
        <f t="shared" si="9"/>
        <v>22.784095046996185</v>
      </c>
      <c r="G51" s="1049">
        <v>2202214060</v>
      </c>
      <c r="H51" s="941"/>
      <c r="I51" s="941">
        <v>10253550</v>
      </c>
      <c r="J51" s="1050">
        <v>2421400</v>
      </c>
      <c r="K51" s="134"/>
      <c r="L51" s="168"/>
      <c r="M51" s="923"/>
      <c r="N51" s="51">
        <f>SUM(G51:M51)</f>
        <v>2214889010</v>
      </c>
      <c r="O51" s="27"/>
      <c r="P51" s="86"/>
      <c r="Q51" s="92"/>
      <c r="R51" s="92"/>
      <c r="S51" s="5"/>
    </row>
    <row r="52" spans="1:19" ht="13.5" hidden="1" customHeight="1">
      <c r="A52" s="4"/>
      <c r="B52" s="1154"/>
      <c r="C52" s="77" t="s">
        <v>463</v>
      </c>
      <c r="D52" s="967"/>
      <c r="E52" s="967"/>
      <c r="F52" s="78" t="e">
        <f t="shared" si="9"/>
        <v>#DIV/0!</v>
      </c>
      <c r="G52" s="1029"/>
      <c r="H52" s="941"/>
      <c r="I52" s="953"/>
      <c r="J52" s="954"/>
      <c r="K52" s="134"/>
      <c r="L52" s="168"/>
      <c r="M52" s="923"/>
      <c r="N52" s="51">
        <f>L52+K52+I52+H52+G52+J52</f>
        <v>0</v>
      </c>
      <c r="O52" s="27"/>
      <c r="P52" s="86"/>
      <c r="Q52" s="92"/>
      <c r="R52" s="92"/>
      <c r="S52" s="5"/>
    </row>
    <row r="53" spans="1:19" ht="13.5" customHeight="1">
      <c r="A53" s="4"/>
      <c r="B53" s="1154"/>
      <c r="C53" s="76" t="s">
        <v>49</v>
      </c>
      <c r="D53" s="963"/>
      <c r="E53" s="963"/>
      <c r="F53" s="637"/>
      <c r="G53" s="1047">
        <v>-7416207</v>
      </c>
      <c r="H53" s="446"/>
      <c r="I53" s="514"/>
      <c r="J53" s="514"/>
      <c r="K53" s="134"/>
      <c r="L53" s="168"/>
      <c r="M53" s="923"/>
      <c r="N53" s="51">
        <f>SUM(G53:M53)</f>
        <v>-7416207</v>
      </c>
      <c r="O53" s="27"/>
      <c r="P53" s="86"/>
      <c r="Q53" s="92"/>
      <c r="R53" s="92"/>
      <c r="S53" s="5"/>
    </row>
    <row r="54" spans="1:19" ht="13.5" hidden="1" customHeight="1">
      <c r="A54" s="4"/>
      <c r="B54" s="1154"/>
      <c r="C54" s="76" t="s">
        <v>33</v>
      </c>
      <c r="D54" s="1025"/>
      <c r="E54" s="1025"/>
      <c r="F54" s="637"/>
      <c r="G54" s="1027"/>
      <c r="H54" s="446"/>
      <c r="I54" s="446"/>
      <c r="J54" s="446"/>
      <c r="K54" s="134"/>
      <c r="L54" s="168"/>
      <c r="M54" s="923"/>
      <c r="N54" s="51">
        <f t="shared" ref="N54" si="11">L54+K54+I54+H54+G54+J54</f>
        <v>0</v>
      </c>
      <c r="O54" s="27"/>
      <c r="P54" s="86"/>
      <c r="Q54" s="92"/>
      <c r="R54" s="92"/>
      <c r="S54" s="5"/>
    </row>
    <row r="55" spans="1:19" ht="13.5" customHeight="1">
      <c r="A55" s="4"/>
      <c r="B55" s="1154"/>
      <c r="C55" s="25" t="s">
        <v>17</v>
      </c>
      <c r="D55" s="972">
        <f>SUM(D51:D54)</f>
        <v>2266523.8106</v>
      </c>
      <c r="E55" s="965">
        <f>SUM(E51:E54)</f>
        <v>96655761.638000011</v>
      </c>
      <c r="F55" s="63">
        <f t="shared" ref="F55:F62" si="12">G55/E55</f>
        <v>22.707367008498331</v>
      </c>
      <c r="G55" s="59">
        <f t="shared" ref="G55:L55" si="13">SUM(G51:G54)</f>
        <v>2194797853</v>
      </c>
      <c r="H55" s="456">
        <f t="shared" si="13"/>
        <v>0</v>
      </c>
      <c r="I55" s="447">
        <f t="shared" si="13"/>
        <v>10253550</v>
      </c>
      <c r="J55" s="447">
        <f t="shared" si="13"/>
        <v>2421400</v>
      </c>
      <c r="K55" s="123">
        <f t="shared" si="13"/>
        <v>0</v>
      </c>
      <c r="L55" s="123">
        <f t="shared" si="13"/>
        <v>0</v>
      </c>
      <c r="M55" s="123">
        <v>0</v>
      </c>
      <c r="N55" s="26">
        <f>SUM(N51:N54)</f>
        <v>2207472803</v>
      </c>
      <c r="O55" s="27"/>
      <c r="P55" s="86"/>
      <c r="Q55" s="92"/>
      <c r="R55" s="92"/>
      <c r="S55" s="5"/>
    </row>
    <row r="56" spans="1:19" ht="13.5" customHeight="1">
      <c r="A56" s="4" t="s">
        <v>50</v>
      </c>
      <c r="B56" s="1155"/>
      <c r="C56" s="640" t="s">
        <v>27</v>
      </c>
      <c r="D56" s="973">
        <f>D50+D55</f>
        <v>7666932.5200999994</v>
      </c>
      <c r="E56" s="974">
        <f>E50+E55</f>
        <v>327092183.28299999</v>
      </c>
      <c r="F56" s="646">
        <f t="shared" si="12"/>
        <v>22.702748914593052</v>
      </c>
      <c r="G56" s="642">
        <f t="shared" ref="G56:L56" si="14">G50+G55</f>
        <v>7425891709</v>
      </c>
      <c r="H56" s="647">
        <f t="shared" si="14"/>
        <v>0</v>
      </c>
      <c r="I56" s="643">
        <f t="shared" si="14"/>
        <v>49218090</v>
      </c>
      <c r="J56" s="643">
        <f t="shared" si="14"/>
        <v>3678500</v>
      </c>
      <c r="K56" s="644">
        <f t="shared" si="14"/>
        <v>0</v>
      </c>
      <c r="L56" s="644">
        <f t="shared" si="14"/>
        <v>0</v>
      </c>
      <c r="M56" s="644">
        <v>0</v>
      </c>
      <c r="N56" s="648">
        <f>N50+N55</f>
        <v>7478788299</v>
      </c>
      <c r="O56" s="27"/>
      <c r="P56" s="86"/>
      <c r="Q56" s="13"/>
      <c r="R56" s="13"/>
    </row>
    <row r="57" spans="1:19" s="29" customFormat="1" ht="13.5" customHeight="1">
      <c r="A57" s="4"/>
      <c r="B57" s="1148" t="s">
        <v>213</v>
      </c>
      <c r="C57" s="718" t="s">
        <v>212</v>
      </c>
      <c r="D57" s="961">
        <v>5293593.93</v>
      </c>
      <c r="E57" s="961">
        <v>228636315.48949999</v>
      </c>
      <c r="F57" s="64">
        <f t="shared" si="12"/>
        <v>21.37112433577682</v>
      </c>
      <c r="G57" s="1048">
        <v>4886215126</v>
      </c>
      <c r="H57" s="509"/>
      <c r="I57" s="509"/>
      <c r="J57" s="450"/>
      <c r="K57" s="131"/>
      <c r="L57" s="131"/>
      <c r="M57" s="131"/>
      <c r="N57" s="18">
        <f>SUM(G57:M57)</f>
        <v>4886215126</v>
      </c>
      <c r="O57" s="27"/>
      <c r="P57" s="86"/>
      <c r="Q57" s="13"/>
      <c r="R57" s="13"/>
    </row>
    <row r="58" spans="1:19" ht="13.5" customHeight="1">
      <c r="A58" s="4"/>
      <c r="B58" s="1149"/>
      <c r="C58" s="913" t="s">
        <v>73</v>
      </c>
      <c r="D58" s="961">
        <v>296816.40000000002</v>
      </c>
      <c r="E58" s="961">
        <v>12554326.0108</v>
      </c>
      <c r="F58" s="78">
        <f>G58/E58</f>
        <v>21.371132131600834</v>
      </c>
      <c r="G58" s="1047">
        <v>268300160</v>
      </c>
      <c r="H58" s="512"/>
      <c r="I58" s="512"/>
      <c r="J58" s="514"/>
      <c r="K58" s="169"/>
      <c r="L58" s="169"/>
      <c r="M58" s="169"/>
      <c r="N58" s="18">
        <f>SUM(G58:M58)</f>
        <v>268300160</v>
      </c>
      <c r="O58" s="27"/>
      <c r="P58" s="86"/>
      <c r="Q58" s="13"/>
      <c r="R58" s="13"/>
    </row>
    <row r="59" spans="1:19" ht="13.5" customHeight="1">
      <c r="A59" s="4"/>
      <c r="B59" s="1149"/>
      <c r="C59" s="990" t="s">
        <v>466</v>
      </c>
      <c r="D59" s="1053">
        <v>453431</v>
      </c>
      <c r="E59" s="1053">
        <v>19349643.004999999</v>
      </c>
      <c r="F59" s="992">
        <f>G59/E59</f>
        <v>17.858799974278906</v>
      </c>
      <c r="G59" s="1052">
        <v>345561404</v>
      </c>
      <c r="H59" s="988"/>
      <c r="I59" s="1054">
        <v>45830</v>
      </c>
      <c r="J59" s="1055">
        <v>29400</v>
      </c>
      <c r="K59" s="989"/>
      <c r="L59" s="989"/>
      <c r="M59" s="989"/>
      <c r="N59" s="18">
        <f>SUM(G59:M59)</f>
        <v>345636634</v>
      </c>
      <c r="O59" s="27"/>
      <c r="P59" s="86"/>
      <c r="Q59" s="13"/>
      <c r="R59" s="13"/>
    </row>
    <row r="60" spans="1:19" ht="13.5" customHeight="1">
      <c r="A60" s="4"/>
      <c r="B60" s="1150"/>
      <c r="C60" s="991" t="s">
        <v>27</v>
      </c>
      <c r="D60" s="975">
        <f>SUM(D57:D59)</f>
        <v>6043841.3300000001</v>
      </c>
      <c r="E60" s="975">
        <f>SUM(E57:E59)</f>
        <v>260540284.50529999</v>
      </c>
      <c r="F60" s="993">
        <f t="shared" si="12"/>
        <v>21.110273601041207</v>
      </c>
      <c r="G60" s="642">
        <f>SUM(G57:G59)</f>
        <v>5500076690</v>
      </c>
      <c r="H60" s="660">
        <f>SUM(H57:H59)</f>
        <v>0</v>
      </c>
      <c r="I60" s="660">
        <f t="shared" ref="I60:N60" si="15">SUM(I57:I59)</f>
        <v>45830</v>
      </c>
      <c r="J60" s="660">
        <f t="shared" si="15"/>
        <v>29400</v>
      </c>
      <c r="K60" s="660">
        <f t="shared" si="15"/>
        <v>0</v>
      </c>
      <c r="L60" s="660">
        <f t="shared" si="15"/>
        <v>0</v>
      </c>
      <c r="M60" s="660">
        <f t="shared" si="15"/>
        <v>0</v>
      </c>
      <c r="N60" s="994">
        <f t="shared" si="15"/>
        <v>5500151920</v>
      </c>
      <c r="O60" s="27"/>
      <c r="P60" s="86"/>
      <c r="Q60" s="13"/>
      <c r="R60" s="13"/>
    </row>
    <row r="61" spans="1:19" ht="13.5" customHeight="1">
      <c r="A61" s="4"/>
      <c r="B61" s="1148" t="s">
        <v>191</v>
      </c>
      <c r="C61" s="77" t="s">
        <v>233</v>
      </c>
      <c r="D61" s="961">
        <v>1248791.0247</v>
      </c>
      <c r="E61" s="961">
        <v>53292954.488400005</v>
      </c>
      <c r="F61" s="64">
        <f t="shared" si="12"/>
        <v>22.45718463517543</v>
      </c>
      <c r="G61" s="1048">
        <v>1196809718.7</v>
      </c>
      <c r="H61" s="509"/>
      <c r="I61" s="1046">
        <v>13018020</v>
      </c>
      <c r="J61" s="1046">
        <v>1460600</v>
      </c>
      <c r="K61" s="124"/>
      <c r="L61" s="128"/>
      <c r="M61" s="922"/>
      <c r="N61" s="18">
        <f t="shared" ref="N61:N63" si="16">SUM(G61:M61)</f>
        <v>1211288338.7</v>
      </c>
      <c r="O61" s="27"/>
      <c r="P61" s="86"/>
      <c r="Q61" s="13"/>
      <c r="R61" s="13"/>
    </row>
    <row r="62" spans="1:19" ht="13.5" customHeight="1">
      <c r="A62" s="4"/>
      <c r="B62" s="1154"/>
      <c r="C62" s="77" t="s">
        <v>166</v>
      </c>
      <c r="D62" s="961">
        <v>395542.97080000001</v>
      </c>
      <c r="E62" s="961">
        <v>16860844.691399999</v>
      </c>
      <c r="F62" s="78">
        <f t="shared" si="12"/>
        <v>23.094356921430602</v>
      </c>
      <c r="G62" s="1048">
        <v>389390365.30000001</v>
      </c>
      <c r="H62" s="512"/>
      <c r="I62" s="945">
        <v>298270</v>
      </c>
      <c r="J62" s="945">
        <v>176400</v>
      </c>
      <c r="K62" s="134"/>
      <c r="L62" s="128"/>
      <c r="M62" s="922"/>
      <c r="N62" s="18">
        <f t="shared" si="16"/>
        <v>389865035.30000001</v>
      </c>
      <c r="O62" s="27"/>
      <c r="P62" s="86"/>
      <c r="Q62" s="13"/>
      <c r="R62" s="13"/>
    </row>
    <row r="63" spans="1:19" ht="13.5" customHeight="1">
      <c r="A63" s="4"/>
      <c r="B63" s="1154"/>
      <c r="C63" s="77" t="s">
        <v>49</v>
      </c>
      <c r="D63" s="966"/>
      <c r="E63" s="966"/>
      <c r="F63" s="78"/>
      <c r="G63" s="1047">
        <v>-87384762</v>
      </c>
      <c r="H63" s="514"/>
      <c r="I63" s="514"/>
      <c r="J63" s="514"/>
      <c r="K63" s="134"/>
      <c r="L63" s="128"/>
      <c r="M63" s="922"/>
      <c r="N63" s="18">
        <f t="shared" si="16"/>
        <v>-87384762</v>
      </c>
      <c r="O63" s="27"/>
      <c r="P63" s="86"/>
      <c r="Q63" s="13"/>
      <c r="R63" s="13"/>
    </row>
    <row r="64" spans="1:19" ht="13.5" customHeight="1">
      <c r="A64" s="4"/>
      <c r="B64" s="1154"/>
      <c r="C64" s="77" t="s">
        <v>87</v>
      </c>
      <c r="D64" s="961">
        <v>-493.11180000000002</v>
      </c>
      <c r="E64" s="961">
        <v>-21059.1783</v>
      </c>
      <c r="F64" s="637"/>
      <c r="G64" s="1052">
        <v>-483157</v>
      </c>
      <c r="H64" s="514"/>
      <c r="I64" s="514"/>
      <c r="J64" s="514"/>
      <c r="K64" s="134"/>
      <c r="L64" s="128"/>
      <c r="M64" s="120"/>
      <c r="N64" s="18">
        <f>SUM(G64:M64)</f>
        <v>-483157</v>
      </c>
      <c r="O64" s="27"/>
      <c r="P64" s="86"/>
      <c r="Q64" s="13"/>
      <c r="R64" s="13"/>
    </row>
    <row r="65" spans="1:18" ht="13.5" customHeight="1">
      <c r="A65" s="4"/>
      <c r="B65" s="1154"/>
      <c r="C65" s="25" t="s">
        <v>17</v>
      </c>
      <c r="D65" s="964">
        <f>SUM(D61:D64)</f>
        <v>1643840.8836999999</v>
      </c>
      <c r="E65" s="965">
        <f>SUM(E61:E64)</f>
        <v>70132740.00150001</v>
      </c>
      <c r="F65" s="62">
        <f t="shared" ref="F65" si="17">G65/E65</f>
        <v>21.36423252489427</v>
      </c>
      <c r="G65" s="85">
        <f t="shared" ref="G65:L65" si="18">SUM(G61:G64)</f>
        <v>1498332165</v>
      </c>
      <c r="H65" s="455">
        <f t="shared" si="18"/>
        <v>0</v>
      </c>
      <c r="I65" s="451">
        <f t="shared" si="18"/>
        <v>13316290</v>
      </c>
      <c r="J65" s="451">
        <f t="shared" si="18"/>
        <v>1637000</v>
      </c>
      <c r="K65" s="153">
        <f t="shared" si="18"/>
        <v>0</v>
      </c>
      <c r="L65" s="123">
        <f t="shared" si="18"/>
        <v>0</v>
      </c>
      <c r="M65" s="123">
        <v>0</v>
      </c>
      <c r="N65" s="26">
        <f>SUM(N61:N64)</f>
        <v>1513285455</v>
      </c>
      <c r="O65" s="27"/>
      <c r="P65" s="86"/>
      <c r="Q65" s="13"/>
      <c r="R65" s="13"/>
    </row>
    <row r="66" spans="1:18" ht="13.5" hidden="1" customHeight="1">
      <c r="A66" s="4"/>
      <c r="B66" s="1154"/>
      <c r="C66" s="77" t="s">
        <v>458</v>
      </c>
      <c r="D66" s="967"/>
      <c r="E66" s="967"/>
      <c r="F66" s="78"/>
      <c r="G66" s="948"/>
      <c r="H66" s="946"/>
      <c r="I66" s="945"/>
      <c r="J66" s="945"/>
      <c r="K66" s="132"/>
      <c r="L66" s="132"/>
      <c r="M66" s="133"/>
      <c r="N66" s="18">
        <f>SUM(G66:L66)</f>
        <v>0</v>
      </c>
      <c r="O66" s="27"/>
      <c r="P66" s="86"/>
      <c r="Q66" s="13"/>
      <c r="R66" s="13"/>
    </row>
    <row r="67" spans="1:18" ht="13.5" hidden="1" customHeight="1">
      <c r="A67" s="4"/>
      <c r="B67" s="1154"/>
      <c r="C67" s="913" t="s">
        <v>457</v>
      </c>
      <c r="D67" s="967"/>
      <c r="E67" s="967"/>
      <c r="F67" s="78"/>
      <c r="G67" s="948"/>
      <c r="H67" s="946"/>
      <c r="I67" s="947"/>
      <c r="J67" s="947"/>
      <c r="K67" s="132"/>
      <c r="L67" s="132"/>
      <c r="M67" s="133"/>
      <c r="N67" s="18">
        <f t="shared" ref="N67:N70" si="19">SUM(G67:L67)</f>
        <v>0</v>
      </c>
      <c r="O67" s="27"/>
      <c r="P67" s="86"/>
      <c r="Q67" s="13"/>
      <c r="R67" s="13"/>
    </row>
    <row r="68" spans="1:18" ht="13.5" customHeight="1">
      <c r="A68" s="4"/>
      <c r="B68" s="1154"/>
      <c r="C68" s="913" t="s">
        <v>464</v>
      </c>
      <c r="D68" s="961">
        <v>751406.64100000006</v>
      </c>
      <c r="E68" s="961">
        <v>32056675.122000001</v>
      </c>
      <c r="F68" s="78">
        <f t="shared" ref="F68:F70" si="20">G68/E68</f>
        <v>21.812404209073044</v>
      </c>
      <c r="G68" s="1048">
        <v>699233155.36000001</v>
      </c>
      <c r="H68" s="946"/>
      <c r="I68" s="945">
        <f>10567130+176540</f>
        <v>10743670</v>
      </c>
      <c r="J68" s="945">
        <f>4207800+186400</f>
        <v>4394200</v>
      </c>
      <c r="K68" s="132"/>
      <c r="L68" s="132"/>
      <c r="M68" s="133"/>
      <c r="N68" s="18">
        <f t="shared" si="19"/>
        <v>714371025.36000001</v>
      </c>
      <c r="O68" s="27"/>
      <c r="P68" s="86"/>
      <c r="Q68" s="13"/>
      <c r="R68" s="13"/>
    </row>
    <row r="69" spans="1:18" ht="13.5" customHeight="1">
      <c r="A69" s="4"/>
      <c r="B69" s="1154"/>
      <c r="C69" s="913" t="s">
        <v>465</v>
      </c>
      <c r="D69" s="961">
        <v>330559.44799999997</v>
      </c>
      <c r="E69" s="961">
        <v>14088526.491800001</v>
      </c>
      <c r="F69" s="78">
        <f t="shared" si="20"/>
        <v>21.174267856445383</v>
      </c>
      <c r="G69" s="1048">
        <v>298314233.63999999</v>
      </c>
      <c r="H69" s="946"/>
      <c r="I69" s="945">
        <v>340110</v>
      </c>
      <c r="J69" s="945">
        <v>147000</v>
      </c>
      <c r="K69" s="132"/>
      <c r="L69" s="132"/>
      <c r="M69" s="133"/>
      <c r="N69" s="18">
        <f t="shared" si="19"/>
        <v>298801343.63999999</v>
      </c>
      <c r="O69" s="27"/>
      <c r="P69" s="86"/>
      <c r="Q69" s="13"/>
      <c r="R69" s="13"/>
    </row>
    <row r="70" spans="1:18" ht="13.5" hidden="1" customHeight="1">
      <c r="A70" s="4"/>
      <c r="B70" s="1154"/>
      <c r="C70" s="913" t="s">
        <v>462</v>
      </c>
      <c r="D70" s="967"/>
      <c r="E70" s="967"/>
      <c r="F70" s="78" t="e">
        <f t="shared" si="20"/>
        <v>#DIV/0!</v>
      </c>
      <c r="G70" s="1028"/>
      <c r="H70" s="452"/>
      <c r="I70" s="947"/>
      <c r="J70" s="947"/>
      <c r="K70" s="132"/>
      <c r="L70" s="132"/>
      <c r="M70" s="133"/>
      <c r="N70" s="18">
        <f t="shared" si="19"/>
        <v>0</v>
      </c>
      <c r="O70" s="27"/>
      <c r="P70" s="86"/>
      <c r="Q70" s="13"/>
      <c r="R70" s="13"/>
    </row>
    <row r="71" spans="1:18" ht="13.5" customHeight="1">
      <c r="A71" s="4"/>
      <c r="B71" s="1154"/>
      <c r="C71" s="77" t="s">
        <v>49</v>
      </c>
      <c r="D71" s="967"/>
      <c r="E71" s="967"/>
      <c r="F71" s="78"/>
      <c r="G71" s="1048">
        <v>-2978254</v>
      </c>
      <c r="H71" s="452"/>
      <c r="I71" s="515"/>
      <c r="J71" s="515"/>
      <c r="K71" s="132"/>
      <c r="L71" s="132"/>
      <c r="M71" s="133"/>
      <c r="N71" s="18">
        <f>SUM(G71:L71)</f>
        <v>-2978254</v>
      </c>
      <c r="O71" s="27"/>
      <c r="P71" s="86"/>
      <c r="Q71" s="13"/>
      <c r="R71" s="13"/>
    </row>
    <row r="72" spans="1:18" ht="13.5" hidden="1" customHeight="1">
      <c r="A72" s="4"/>
      <c r="B72" s="1154"/>
      <c r="C72" s="906" t="s">
        <v>87</v>
      </c>
      <c r="D72" s="1053"/>
      <c r="E72" s="1053"/>
      <c r="F72" s="907"/>
      <c r="G72" s="1056"/>
      <c r="H72" s="909"/>
      <c r="I72" s="908"/>
      <c r="J72" s="908"/>
      <c r="K72" s="910"/>
      <c r="L72" s="910"/>
      <c r="M72" s="911"/>
      <c r="N72" s="18">
        <f>SUM(G72:L72)</f>
        <v>0</v>
      </c>
      <c r="O72" s="27"/>
      <c r="P72" s="86"/>
      <c r="Q72" s="13"/>
      <c r="R72" s="13"/>
    </row>
    <row r="73" spans="1:18" ht="13.5" customHeight="1">
      <c r="A73" s="4"/>
      <c r="B73" s="1154"/>
      <c r="C73" s="25" t="s">
        <v>17</v>
      </c>
      <c r="D73" s="965">
        <f>SUM(D66:D72)</f>
        <v>1081966.0890000002</v>
      </c>
      <c r="E73" s="965">
        <f>SUM(E66:E72)</f>
        <v>46145201.613800004</v>
      </c>
      <c r="F73" s="62">
        <f>G73/E73</f>
        <v>21.553034773231285</v>
      </c>
      <c r="G73" s="56">
        <f>SUM(G66:G72)</f>
        <v>994569135</v>
      </c>
      <c r="H73" s="456">
        <f>SUM(H66:H71)</f>
        <v>0</v>
      </c>
      <c r="I73" s="447">
        <f>SUM(I66:I72)</f>
        <v>11083780</v>
      </c>
      <c r="J73" s="447">
        <f>SUM(J66:J72)</f>
        <v>4541200</v>
      </c>
      <c r="K73" s="123">
        <f>SUM(K66:K71)</f>
        <v>0</v>
      </c>
      <c r="L73" s="123">
        <f>SUM(L66:L71)</f>
        <v>0</v>
      </c>
      <c r="M73" s="123">
        <v>0</v>
      </c>
      <c r="N73" s="26">
        <f>SUM(N66:N72)</f>
        <v>1010194115</v>
      </c>
      <c r="O73" s="27"/>
      <c r="P73" s="86"/>
      <c r="Q73" s="13"/>
      <c r="R73" s="13"/>
    </row>
    <row r="74" spans="1:18" ht="12" customHeight="1">
      <c r="A74" s="4"/>
      <c r="B74" s="1155"/>
      <c r="C74" s="640" t="s">
        <v>27</v>
      </c>
      <c r="D74" s="973">
        <f>D65+D73</f>
        <v>2725806.9726999998</v>
      </c>
      <c r="E74" s="974">
        <f>E65+E73</f>
        <v>116277941.61530001</v>
      </c>
      <c r="F74" s="646">
        <f>G74/E74</f>
        <v>21.439159185046844</v>
      </c>
      <c r="G74" s="642">
        <f t="shared" ref="G74:L74" si="21">G65+G73</f>
        <v>2492901300</v>
      </c>
      <c r="H74" s="647">
        <f t="shared" si="21"/>
        <v>0</v>
      </c>
      <c r="I74" s="643">
        <f t="shared" si="21"/>
        <v>24400070</v>
      </c>
      <c r="J74" s="643">
        <f t="shared" si="21"/>
        <v>6178200</v>
      </c>
      <c r="K74" s="644">
        <f t="shared" si="21"/>
        <v>0</v>
      </c>
      <c r="L74" s="644">
        <f t="shared" si="21"/>
        <v>0</v>
      </c>
      <c r="M74" s="644">
        <v>0</v>
      </c>
      <c r="N74" s="648">
        <f>N65+N73</f>
        <v>2523479570</v>
      </c>
      <c r="O74" s="27"/>
      <c r="P74" s="86"/>
      <c r="Q74" s="13"/>
      <c r="R74" s="13"/>
    </row>
    <row r="75" spans="1:18" ht="13.5" customHeight="1">
      <c r="A75" s="4"/>
      <c r="B75" s="1158" t="s">
        <v>388</v>
      </c>
      <c r="C75" s="719" t="s">
        <v>391</v>
      </c>
      <c r="D75" s="962">
        <v>6869818.3871999998</v>
      </c>
      <c r="E75" s="962">
        <v>293023319.04960001</v>
      </c>
      <c r="F75" s="78">
        <f>G75/E75</f>
        <v>17.824998548923951</v>
      </c>
      <c r="G75" s="1049">
        <v>5223140236.8599997</v>
      </c>
      <c r="H75" s="514"/>
      <c r="I75" s="941">
        <v>1004530</v>
      </c>
      <c r="J75" s="941">
        <v>264600</v>
      </c>
      <c r="K75" s="134"/>
      <c r="L75" s="918"/>
      <c r="M75" s="922"/>
      <c r="N75" s="18">
        <f>SUM(G75:M75)</f>
        <v>5224409366.8599997</v>
      </c>
      <c r="O75" s="27"/>
      <c r="P75" s="86"/>
      <c r="Q75" s="13"/>
      <c r="R75" s="13"/>
    </row>
    <row r="76" spans="1:18" ht="13.5" customHeight="1">
      <c r="A76" s="4"/>
      <c r="B76" s="1158"/>
      <c r="C76" s="12" t="s">
        <v>392</v>
      </c>
      <c r="D76" s="962">
        <v>11739217.785599999</v>
      </c>
      <c r="E76" s="962">
        <v>500576997.72259998</v>
      </c>
      <c r="F76" s="78">
        <f>G76/E76</f>
        <v>18.462499018505635</v>
      </c>
      <c r="G76" s="1049">
        <v>9241902329.1399994</v>
      </c>
      <c r="H76" s="628"/>
      <c r="I76" s="941">
        <v>16761430</v>
      </c>
      <c r="J76" s="941">
        <v>12583700</v>
      </c>
      <c r="K76" s="627"/>
      <c r="L76" s="923"/>
      <c r="M76" s="926"/>
      <c r="N76" s="18">
        <f t="shared" ref="N76" si="22">SUM(G76:M76)</f>
        <v>9271247459.1399994</v>
      </c>
      <c r="O76" s="27"/>
      <c r="P76" s="86"/>
      <c r="Q76" s="13"/>
      <c r="R76" s="13"/>
    </row>
    <row r="77" spans="1:18" ht="13.5" customHeight="1">
      <c r="A77" s="4"/>
      <c r="B77" s="1159"/>
      <c r="C77" s="640" t="s">
        <v>27</v>
      </c>
      <c r="D77" s="976">
        <f>SUM(D75:D76)</f>
        <v>18609036.172799997</v>
      </c>
      <c r="E77" s="976">
        <f>SUM(E75:E76)</f>
        <v>793600316.77219999</v>
      </c>
      <c r="F77" s="650">
        <f t="shared" ref="F77:F79" si="23">G77/E77</f>
        <v>18.227112893343435</v>
      </c>
      <c r="G77" s="651">
        <f>SUM(G75:G76)</f>
        <v>14465042566</v>
      </c>
      <c r="H77" s="660">
        <f>SUM(H75:H76)</f>
        <v>0</v>
      </c>
      <c r="I77" s="652">
        <f>SUM(I75:I76)</f>
        <v>17765960</v>
      </c>
      <c r="J77" s="652">
        <f>SUM(J75:J76)</f>
        <v>12848300</v>
      </c>
      <c r="K77" s="653">
        <v>0</v>
      </c>
      <c r="L77" s="653">
        <v>0</v>
      </c>
      <c r="M77" s="653">
        <v>0</v>
      </c>
      <c r="N77" s="645">
        <f>SUM(N75:N76)</f>
        <v>14495656826</v>
      </c>
      <c r="O77" s="27"/>
      <c r="P77" s="86"/>
      <c r="Q77" s="13"/>
      <c r="R77" s="13"/>
    </row>
    <row r="78" spans="1:18" ht="12.75" customHeight="1">
      <c r="A78" s="4"/>
      <c r="B78" s="1154" t="s">
        <v>330</v>
      </c>
      <c r="C78" s="76" t="s">
        <v>232</v>
      </c>
      <c r="D78" s="961">
        <v>27272.032299999999</v>
      </c>
      <c r="E78" s="961">
        <v>1163418.5288</v>
      </c>
      <c r="F78" s="78">
        <f t="shared" si="23"/>
        <v>18.411899475328351</v>
      </c>
      <c r="G78" s="1048">
        <v>21420745</v>
      </c>
      <c r="H78" s="446"/>
      <c r="I78" s="1051">
        <v>53660</v>
      </c>
      <c r="J78" s="1051">
        <v>88200</v>
      </c>
      <c r="K78" s="134"/>
      <c r="L78" s="168"/>
      <c r="M78" s="923"/>
      <c r="N78" s="18">
        <f>SUM(G78:M78)</f>
        <v>21562605</v>
      </c>
      <c r="O78" s="27"/>
      <c r="P78" s="86"/>
      <c r="Q78" s="13"/>
      <c r="R78" s="13"/>
    </row>
    <row r="79" spans="1:18" ht="13.5" customHeight="1">
      <c r="A79" s="4"/>
      <c r="B79" s="1154"/>
      <c r="C79" s="77" t="s">
        <v>229</v>
      </c>
      <c r="D79" s="962">
        <v>408950.96769999998</v>
      </c>
      <c r="E79" s="962">
        <v>17449017.510200001</v>
      </c>
      <c r="F79" s="78">
        <f t="shared" si="23"/>
        <v>19.049399589730257</v>
      </c>
      <c r="G79" s="1049">
        <v>332393307</v>
      </c>
      <c r="H79" s="446"/>
      <c r="I79" s="941">
        <f>274380+17450</f>
        <v>291830</v>
      </c>
      <c r="J79" s="941">
        <f>352800+29400</f>
        <v>382200</v>
      </c>
      <c r="K79" s="134"/>
      <c r="L79" s="132"/>
      <c r="M79" s="918"/>
      <c r="N79" s="18">
        <f>SUM(G79:M79)</f>
        <v>333067337</v>
      </c>
      <c r="O79" s="27"/>
      <c r="P79" s="86"/>
      <c r="Q79" s="13"/>
      <c r="R79" s="13"/>
    </row>
    <row r="80" spans="1:18" ht="13.5" customHeight="1">
      <c r="A80" s="4"/>
      <c r="B80" s="1154"/>
      <c r="C80" s="76" t="s">
        <v>78</v>
      </c>
      <c r="D80" s="977"/>
      <c r="E80" s="963"/>
      <c r="F80" s="78"/>
      <c r="G80" s="1048">
        <v>-2021328</v>
      </c>
      <c r="H80" s="514"/>
      <c r="I80" s="514"/>
      <c r="J80" s="514"/>
      <c r="K80" s="134"/>
      <c r="L80" s="168"/>
      <c r="M80" s="923"/>
      <c r="N80" s="18">
        <f>SUM(G80:M80)</f>
        <v>-2021328</v>
      </c>
      <c r="O80" s="27"/>
      <c r="P80" s="86"/>
      <c r="Q80" s="13"/>
      <c r="R80" s="13"/>
    </row>
    <row r="81" spans="1:19" ht="13.5" customHeight="1">
      <c r="A81" s="4"/>
      <c r="B81" s="1154"/>
      <c r="C81" s="12" t="s">
        <v>89</v>
      </c>
      <c r="D81" s="978"/>
      <c r="E81" s="979"/>
      <c r="F81" s="65"/>
      <c r="G81" s="1048">
        <v>-1538333</v>
      </c>
      <c r="H81" s="511"/>
      <c r="I81" s="511"/>
      <c r="J81" s="511"/>
      <c r="K81" s="121"/>
      <c r="L81" s="129"/>
      <c r="M81" s="927"/>
      <c r="N81" s="18">
        <f>SUM(G81:M81)</f>
        <v>-1538333</v>
      </c>
      <c r="O81" s="27"/>
      <c r="P81" s="86"/>
      <c r="Q81" s="13"/>
      <c r="R81" s="13"/>
    </row>
    <row r="82" spans="1:19" ht="13.5" customHeight="1">
      <c r="A82" s="4"/>
      <c r="B82" s="1155"/>
      <c r="C82" s="640" t="s">
        <v>27</v>
      </c>
      <c r="D82" s="976">
        <f>SUM(D78:D81)</f>
        <v>436223</v>
      </c>
      <c r="E82" s="976">
        <f>SUM(E78:E81)</f>
        <v>18612436.039000001</v>
      </c>
      <c r="F82" s="650">
        <f>G82/E82</f>
        <v>18.818299241758915</v>
      </c>
      <c r="G82" s="654">
        <f>SUM(G78:G81)</f>
        <v>350254391</v>
      </c>
      <c r="H82" s="655">
        <f>SUM(H79:H81)</f>
        <v>0</v>
      </c>
      <c r="I82" s="656">
        <f>SUM(I78:I81)</f>
        <v>345490</v>
      </c>
      <c r="J82" s="656">
        <f>SUM(J78:J81)</f>
        <v>470400</v>
      </c>
      <c r="K82" s="657">
        <f>SUM(K79:K81)</f>
        <v>0</v>
      </c>
      <c r="L82" s="657">
        <f>SUM(L79:L81)</f>
        <v>0</v>
      </c>
      <c r="M82" s="657">
        <f>SUM(M79:M81)</f>
        <v>0</v>
      </c>
      <c r="N82" s="658">
        <f>SUM(N78:N81)</f>
        <v>351070281</v>
      </c>
      <c r="O82" s="27"/>
      <c r="P82" s="86"/>
      <c r="Q82" s="13"/>
      <c r="R82" s="13"/>
    </row>
    <row r="83" spans="1:19" ht="13.5" customHeight="1">
      <c r="A83" s="4"/>
      <c r="B83" s="1154" t="s">
        <v>331</v>
      </c>
      <c r="C83" s="76" t="s">
        <v>231</v>
      </c>
      <c r="D83" s="961">
        <v>75404.703999999998</v>
      </c>
      <c r="E83" s="961">
        <v>3216088.4744000002</v>
      </c>
      <c r="F83" s="78">
        <f t="shared" ref="F83:F84" si="24">G83/E83</f>
        <v>15.056399991929275</v>
      </c>
      <c r="G83" s="1048">
        <v>48422714.479999997</v>
      </c>
      <c r="H83" s="446"/>
      <c r="I83" s="1051">
        <v>73790</v>
      </c>
      <c r="J83" s="513"/>
      <c r="K83" s="134"/>
      <c r="L83" s="132"/>
      <c r="M83" s="918"/>
      <c r="N83" s="18">
        <f>SUM(G83:M83)</f>
        <v>48496504.479999997</v>
      </c>
      <c r="O83" s="27"/>
      <c r="P83" s="86"/>
      <c r="Q83" s="13"/>
      <c r="R83" s="13"/>
    </row>
    <row r="84" spans="1:19" ht="13.5" customHeight="1">
      <c r="A84" s="4"/>
      <c r="B84" s="1154"/>
      <c r="C84" s="76" t="s">
        <v>230</v>
      </c>
      <c r="D84" s="962">
        <v>343713.82679999998</v>
      </c>
      <c r="E84" s="962">
        <v>14662876.614499999</v>
      </c>
      <c r="F84" s="78">
        <f t="shared" si="24"/>
        <v>15.693899742185547</v>
      </c>
      <c r="G84" s="1049">
        <v>230117715.52000001</v>
      </c>
      <c r="H84" s="446"/>
      <c r="I84" s="941">
        <f>45220+980</f>
        <v>46200</v>
      </c>
      <c r="J84" s="514"/>
      <c r="K84" s="134"/>
      <c r="L84" s="168"/>
      <c r="M84" s="923"/>
      <c r="N84" s="51">
        <f>SUM(G84:M84)</f>
        <v>230163915.52000001</v>
      </c>
      <c r="O84" s="27"/>
      <c r="P84" s="86"/>
      <c r="Q84" s="13"/>
      <c r="R84" s="13"/>
    </row>
    <row r="85" spans="1:19" ht="13.5" customHeight="1">
      <c r="A85" s="4"/>
      <c r="B85" s="1154"/>
      <c r="C85" s="77" t="s">
        <v>78</v>
      </c>
      <c r="D85" s="977"/>
      <c r="E85" s="963"/>
      <c r="F85" s="78"/>
      <c r="G85" s="1048">
        <v>-1629644</v>
      </c>
      <c r="H85" s="514"/>
      <c r="I85" s="514"/>
      <c r="J85" s="514"/>
      <c r="K85" s="134"/>
      <c r="L85" s="132"/>
      <c r="M85" s="918"/>
      <c r="N85" s="52">
        <f>SUM(G85:M85)</f>
        <v>-1629644</v>
      </c>
      <c r="O85" s="27"/>
      <c r="P85" s="86"/>
      <c r="Q85" s="13"/>
      <c r="R85" s="13"/>
    </row>
    <row r="86" spans="1:19" ht="13.5" customHeight="1">
      <c r="A86" s="4"/>
      <c r="B86" s="1154"/>
      <c r="C86" s="12" t="s">
        <v>89</v>
      </c>
      <c r="D86" s="980"/>
      <c r="E86" s="968"/>
      <c r="F86" s="78"/>
      <c r="G86" s="1048">
        <v>-1240479</v>
      </c>
      <c r="H86" s="514"/>
      <c r="I86" s="514"/>
      <c r="J86" s="514"/>
      <c r="K86" s="134"/>
      <c r="L86" s="132"/>
      <c r="M86" s="918"/>
      <c r="N86" s="52">
        <f>SUM(G86:M86)</f>
        <v>-1240479</v>
      </c>
      <c r="O86" s="27"/>
      <c r="P86" s="86"/>
      <c r="Q86" s="13"/>
      <c r="R86" s="13"/>
    </row>
    <row r="87" spans="1:19" ht="13.5" customHeight="1">
      <c r="A87" s="4"/>
      <c r="B87" s="1155"/>
      <c r="C87" s="640" t="s">
        <v>27</v>
      </c>
      <c r="D87" s="976">
        <f>SUM(D83:D86)</f>
        <v>419118.53079999995</v>
      </c>
      <c r="E87" s="975">
        <f>SUM(E83:E86)</f>
        <v>17878965.0889</v>
      </c>
      <c r="F87" s="650">
        <f>G87/E87</f>
        <v>15.418694853380943</v>
      </c>
      <c r="G87" s="659">
        <f t="shared" ref="G87:N87" si="25">SUM(G83:G86)</f>
        <v>275670307</v>
      </c>
      <c r="H87" s="660">
        <f t="shared" si="25"/>
        <v>0</v>
      </c>
      <c r="I87" s="649">
        <f t="shared" si="25"/>
        <v>119990</v>
      </c>
      <c r="J87" s="660">
        <f t="shared" si="25"/>
        <v>0</v>
      </c>
      <c r="K87" s="653">
        <f t="shared" si="25"/>
        <v>0</v>
      </c>
      <c r="L87" s="653">
        <f t="shared" si="25"/>
        <v>0</v>
      </c>
      <c r="M87" s="653">
        <f t="shared" si="25"/>
        <v>0</v>
      </c>
      <c r="N87" s="661">
        <f t="shared" si="25"/>
        <v>275790297</v>
      </c>
      <c r="O87" s="27"/>
      <c r="P87" s="86"/>
      <c r="Q87" s="13"/>
      <c r="R87" s="13"/>
    </row>
    <row r="88" spans="1:19" ht="13.5" customHeight="1">
      <c r="A88" s="4"/>
      <c r="B88" s="1156" t="s">
        <v>389</v>
      </c>
      <c r="C88" s="720" t="s">
        <v>158</v>
      </c>
      <c r="D88" s="962">
        <v>15921</v>
      </c>
      <c r="E88" s="962">
        <v>679333.14899999998</v>
      </c>
      <c r="F88" s="114">
        <f>G88/E88</f>
        <v>21.935097708591282</v>
      </c>
      <c r="G88" s="1049">
        <v>14901239</v>
      </c>
      <c r="H88" s="449"/>
      <c r="I88" s="941">
        <v>629820</v>
      </c>
      <c r="J88" s="941">
        <v>88200</v>
      </c>
      <c r="K88" s="130"/>
      <c r="L88" s="928"/>
      <c r="M88" s="928"/>
      <c r="N88" s="51">
        <f>SUM(G88:M88)</f>
        <v>15619259</v>
      </c>
      <c r="O88" s="27"/>
      <c r="P88" s="86"/>
      <c r="Q88" s="13"/>
      <c r="R88" s="13"/>
    </row>
    <row r="89" spans="1:19" ht="13.5" customHeight="1">
      <c r="A89" s="4"/>
      <c r="B89" s="1157"/>
      <c r="C89" s="640" t="s">
        <v>27</v>
      </c>
      <c r="D89" s="976">
        <f>SUM(D88:D88)</f>
        <v>15921</v>
      </c>
      <c r="E89" s="975">
        <f>SUM(E88:E88)</f>
        <v>679333.14899999998</v>
      </c>
      <c r="F89" s="650">
        <f>G89/E89</f>
        <v>21.935097708591282</v>
      </c>
      <c r="G89" s="659">
        <f>SUM(G88:G88)</f>
        <v>14901239</v>
      </c>
      <c r="H89" s="660">
        <f t="shared" ref="H89:M89" si="26">SUM(H88)</f>
        <v>0</v>
      </c>
      <c r="I89" s="649">
        <f>SUM(I88:I88)</f>
        <v>629820</v>
      </c>
      <c r="J89" s="649">
        <f>SUM(J88:J88)</f>
        <v>88200</v>
      </c>
      <c r="K89" s="653">
        <f t="shared" si="26"/>
        <v>0</v>
      </c>
      <c r="L89" s="653">
        <f t="shared" si="26"/>
        <v>0</v>
      </c>
      <c r="M89" s="653">
        <f t="shared" si="26"/>
        <v>0</v>
      </c>
      <c r="N89" s="661">
        <f>SUM(N88:N88)</f>
        <v>15619259</v>
      </c>
      <c r="O89" s="27"/>
      <c r="P89" s="86"/>
      <c r="Q89" s="13"/>
      <c r="R89" s="13"/>
    </row>
    <row r="90" spans="1:19" ht="13.5" customHeight="1">
      <c r="A90" s="4"/>
      <c r="B90" s="1148" t="s">
        <v>214</v>
      </c>
      <c r="C90" s="718" t="s">
        <v>215</v>
      </c>
      <c r="D90" s="961">
        <v>73101.049199999994</v>
      </c>
      <c r="E90" s="961">
        <v>3119148.6683</v>
      </c>
      <c r="F90" s="64">
        <f>G90/E90</f>
        <v>21.467828702918258</v>
      </c>
      <c r="G90" s="1048">
        <v>66961349.310000002</v>
      </c>
      <c r="H90" s="448"/>
      <c r="I90" s="1051">
        <v>1221420</v>
      </c>
      <c r="J90" s="899"/>
      <c r="K90" s="124"/>
      <c r="L90" s="135"/>
      <c r="M90" s="135"/>
      <c r="N90" s="51">
        <f>SUM(G90:M90)</f>
        <v>68182769.310000002</v>
      </c>
      <c r="O90" s="27"/>
      <c r="P90" s="86"/>
      <c r="Q90" s="86"/>
      <c r="R90" s="13"/>
    </row>
    <row r="91" spans="1:19" ht="13.5" customHeight="1">
      <c r="A91" s="4"/>
      <c r="B91" s="1154"/>
      <c r="C91" s="156" t="s">
        <v>88</v>
      </c>
      <c r="D91" s="981"/>
      <c r="E91" s="982"/>
      <c r="F91" s="65"/>
      <c r="G91" s="1048">
        <v>5777714.6900000004</v>
      </c>
      <c r="H91" s="511"/>
      <c r="I91" s="900"/>
      <c r="J91" s="900"/>
      <c r="K91" s="121"/>
      <c r="L91" s="136"/>
      <c r="M91" s="136"/>
      <c r="N91" s="51">
        <f>SUM(G91:M91)</f>
        <v>5777714.6900000004</v>
      </c>
      <c r="O91" s="27"/>
      <c r="P91" s="86"/>
      <c r="Q91" s="86"/>
      <c r="R91" s="13"/>
    </row>
    <row r="92" spans="1:19" ht="13.5" customHeight="1">
      <c r="A92" s="4"/>
      <c r="B92" s="1155"/>
      <c r="C92" s="662" t="s">
        <v>378</v>
      </c>
      <c r="D92" s="976">
        <f>D90</f>
        <v>73101.049199999994</v>
      </c>
      <c r="E92" s="975">
        <f>E90</f>
        <v>3119148.6683</v>
      </c>
      <c r="F92" s="650">
        <f>G92/E92</f>
        <v>23.320165768066541</v>
      </c>
      <c r="G92" s="651">
        <f>SUM(G90:G91)</f>
        <v>72739064</v>
      </c>
      <c r="H92" s="660">
        <f>SUM(H90)</f>
        <v>0</v>
      </c>
      <c r="I92" s="649">
        <f>SUM(I90)</f>
        <v>1221420</v>
      </c>
      <c r="J92" s="660">
        <v>0</v>
      </c>
      <c r="K92" s="653">
        <f>SUM(K90)</f>
        <v>0</v>
      </c>
      <c r="L92" s="653">
        <f>SUM(L90)</f>
        <v>0</v>
      </c>
      <c r="M92" s="653">
        <v>0</v>
      </c>
      <c r="N92" s="645">
        <f>SUM(N90:N91)</f>
        <v>73960484</v>
      </c>
      <c r="O92" s="27"/>
      <c r="P92" s="205" t="s">
        <v>226</v>
      </c>
      <c r="Q92" s="206" t="s">
        <v>225</v>
      </c>
      <c r="R92" s="206" t="s">
        <v>224</v>
      </c>
      <c r="S92" s="195"/>
    </row>
    <row r="93" spans="1:19" ht="18" customHeight="1">
      <c r="A93" s="155"/>
      <c r="B93" s="1162" t="s">
        <v>36</v>
      </c>
      <c r="C93" s="1163"/>
      <c r="D93" s="983">
        <f>D92+D89+D82+D77+D74+D60+D56+D45+D87</f>
        <v>105288522.28409998</v>
      </c>
      <c r="E93" s="983">
        <f>E92+E89+E82+E77+E74+E60+E56+E45+E87</f>
        <v>4496393879.4995995</v>
      </c>
      <c r="F93" s="66">
        <f>G93/E93</f>
        <v>20.691692153391628</v>
      </c>
      <c r="G93" s="116">
        <f>G92+G89+G87+G82+G77+G74+G60+G56+G45</f>
        <v>93037997955</v>
      </c>
      <c r="H93" s="704">
        <f>H92+H89+H82+H77+H74+H60+H56+H45+H87</f>
        <v>1066037660</v>
      </c>
      <c r="I93" s="704">
        <f>I92+I89+I82+I77+I74+I60+I56+I45+I87</f>
        <v>279036490</v>
      </c>
      <c r="J93" s="704">
        <f>J92+J89+J82+J77+J74+J60+J56+J45+J87</f>
        <v>25087000</v>
      </c>
      <c r="K93" s="179">
        <f>P103</f>
        <v>9371977627</v>
      </c>
      <c r="L93" s="115">
        <f>P99</f>
        <v>27706299</v>
      </c>
      <c r="M93" s="115">
        <f>P100</f>
        <v>2505760</v>
      </c>
      <c r="N93" s="180">
        <f>SUM(G93:M93)</f>
        <v>103810348791</v>
      </c>
      <c r="O93" s="27"/>
      <c r="P93" s="196" t="s">
        <v>222</v>
      </c>
      <c r="Q93" s="197">
        <f>SUMIFS($N:$N,$C:$C,"계")</f>
        <v>94408159105</v>
      </c>
      <c r="R93" s="197">
        <f>SUM(G93:J93)</f>
        <v>94408159105</v>
      </c>
      <c r="S93" s="198" t="b">
        <f>Q93=R93</f>
        <v>1</v>
      </c>
    </row>
    <row r="94" spans="1:19" ht="18" customHeight="1">
      <c r="A94" s="1164" t="s">
        <v>68</v>
      </c>
      <c r="B94" s="1165"/>
      <c r="C94" s="1166"/>
      <c r="D94" s="984">
        <f>D13-D93+D58</f>
        <v>37637846.19199992</v>
      </c>
      <c r="E94" s="985">
        <f>E13-E93+E58</f>
        <v>1597018755.0582013</v>
      </c>
      <c r="F94" s="67"/>
      <c r="G94" s="60"/>
      <c r="H94" s="443"/>
      <c r="I94" s="443"/>
      <c r="J94" s="443"/>
      <c r="K94" s="53"/>
      <c r="L94" s="53"/>
      <c r="M94" s="53"/>
      <c r="N94" s="42"/>
      <c r="O94" s="27"/>
      <c r="P94" s="199" t="s">
        <v>223</v>
      </c>
      <c r="Q94" s="197">
        <f>N93-Q93</f>
        <v>9402189686</v>
      </c>
      <c r="R94" s="200">
        <f>SUM(K93:M93)</f>
        <v>9402189686</v>
      </c>
      <c r="S94" s="198" t="b">
        <f>Q94=R94</f>
        <v>1</v>
      </c>
    </row>
    <row r="95" spans="1:19" ht="18" customHeight="1" thickBot="1">
      <c r="A95" s="1167" t="s">
        <v>69</v>
      </c>
      <c r="B95" s="1168"/>
      <c r="C95" s="1169"/>
      <c r="D95" s="986">
        <f>D17-D58</f>
        <v>-24927.73000000004</v>
      </c>
      <c r="E95" s="986">
        <f>E17-E58</f>
        <v>-1146198.391900003</v>
      </c>
      <c r="F95" s="68"/>
      <c r="G95" s="437"/>
      <c r="H95" s="453"/>
      <c r="I95" s="453"/>
      <c r="J95" s="453"/>
      <c r="K95" s="44"/>
      <c r="L95" s="44"/>
      <c r="M95" s="44"/>
      <c r="N95" s="45"/>
      <c r="O95" s="27"/>
      <c r="P95" s="201" t="s">
        <v>227</v>
      </c>
      <c r="Q95" s="202">
        <f>Q93+Q94</f>
        <v>103810348791</v>
      </c>
      <c r="R95" s="203">
        <f>R93+R94</f>
        <v>103810348791</v>
      </c>
      <c r="S95" s="204" t="b">
        <f>Q95=R95</f>
        <v>1</v>
      </c>
    </row>
    <row r="96" spans="1:19" ht="18" customHeight="1">
      <c r="A96" s="3"/>
      <c r="B96" s="3"/>
      <c r="C96" s="3"/>
      <c r="D96" s="15"/>
      <c r="E96" s="15" t="s">
        <v>51</v>
      </c>
      <c r="F96" s="1161">
        <f>E93/F97</f>
        <v>0.97299628244533909</v>
      </c>
      <c r="G96" s="1161"/>
      <c r="H96" s="20">
        <f>E93-E58</f>
        <v>4483839553.4887991</v>
      </c>
      <c r="I96" s="21"/>
      <c r="J96" s="21"/>
      <c r="K96" s="21"/>
      <c r="L96" s="57"/>
      <c r="M96" s="50"/>
      <c r="N96" s="6"/>
      <c r="O96" s="27"/>
    </row>
    <row r="97" spans="1:19" ht="18" customHeight="1">
      <c r="A97" s="3"/>
      <c r="B97" s="3"/>
      <c r="C97" s="152"/>
      <c r="D97" s="15"/>
      <c r="E97" s="14" t="str">
        <f>'판매량-월별추이'!R4&amp;" 판매계획:"</f>
        <v>4월  판매계획:</v>
      </c>
      <c r="F97" s="1160">
        <f>ROUND(총괄표!C23*1000,-3)</f>
        <v>4621183000</v>
      </c>
      <c r="G97" s="1160"/>
      <c r="H97" s="1153"/>
      <c r="I97" s="1153"/>
      <c r="J97" s="21"/>
      <c r="K97" s="21"/>
      <c r="L97" s="43"/>
      <c r="M97" s="50"/>
      <c r="N97" s="94"/>
      <c r="O97" s="27"/>
    </row>
    <row r="98" spans="1:19" ht="18" customHeight="1">
      <c r="C98" s="151"/>
      <c r="D98" s="143"/>
      <c r="E98" s="14"/>
      <c r="F98" s="709"/>
      <c r="G98" s="438"/>
      <c r="H98" s="710"/>
      <c r="I98" s="711"/>
      <c r="J98" s="711"/>
      <c r="K98" s="693" t="s">
        <v>52</v>
      </c>
      <c r="L98" s="694">
        <f>-SUMIFS($G:$G,$C:$C,"사회복지시설할인액")</f>
        <v>131415559</v>
      </c>
      <c r="M98" s="695" t="s">
        <v>53</v>
      </c>
      <c r="N98" s="1065">
        <v>4883991</v>
      </c>
      <c r="O98" s="27"/>
      <c r="P98" s="683" t="s">
        <v>85</v>
      </c>
      <c r="Q98" s="684" t="s">
        <v>86</v>
      </c>
      <c r="R98" s="684" t="s">
        <v>189</v>
      </c>
      <c r="S98" s="685" t="s">
        <v>93</v>
      </c>
    </row>
    <row r="99" spans="1:19" ht="18" customHeight="1">
      <c r="C99" s="208"/>
      <c r="G99" s="712"/>
      <c r="H99" s="711"/>
      <c r="I99" s="711"/>
      <c r="J99" s="711"/>
      <c r="K99" s="696" t="s">
        <v>48</v>
      </c>
      <c r="L99" s="747">
        <f>-SUMIFS($G:$G,$C:$C,"사회적배려 할인액")</f>
        <v>7471857324</v>
      </c>
      <c r="M99" s="698" t="s">
        <v>54</v>
      </c>
      <c r="N99" s="1066">
        <f>66550820+53190</f>
        <v>66604010</v>
      </c>
      <c r="O99" s="27"/>
      <c r="P99" s="686">
        <f>(Q99-R99)*S99</f>
        <v>27706299</v>
      </c>
      <c r="Q99" s="687">
        <f>I93</f>
        <v>279036490</v>
      </c>
      <c r="R99" s="1067">
        <v>1973500</v>
      </c>
      <c r="S99" s="688">
        <v>0.1</v>
      </c>
    </row>
    <row r="100" spans="1:19" ht="18" customHeight="1">
      <c r="C100" s="207"/>
      <c r="D100" s="27"/>
      <c r="E100" s="27"/>
      <c r="G100" s="712"/>
      <c r="H100" s="711"/>
      <c r="I100" s="711"/>
      <c r="J100" s="711"/>
      <c r="K100" s="696" t="s">
        <v>78</v>
      </c>
      <c r="L100" s="697">
        <f>-SUMIFS($G:$G,$C:$C,K100)</f>
        <v>3650972</v>
      </c>
      <c r="M100" s="699" t="s">
        <v>55</v>
      </c>
      <c r="N100" s="1066">
        <v>255717090</v>
      </c>
      <c r="O100" s="27"/>
      <c r="P100" s="686">
        <f>(Q100-R100)*S99</f>
        <v>2505760</v>
      </c>
      <c r="Q100" s="687">
        <f>J93</f>
        <v>25087000</v>
      </c>
      <c r="R100" s="1067">
        <v>29400</v>
      </c>
      <c r="S100" s="689"/>
    </row>
    <row r="101" spans="1:19" ht="18" customHeight="1">
      <c r="C101" s="208"/>
      <c r="D101" s="1151"/>
      <c r="E101" s="1152"/>
      <c r="G101" s="713"/>
      <c r="H101" s="711"/>
      <c r="I101" s="711"/>
      <c r="J101" s="711"/>
      <c r="K101" s="700" t="s">
        <v>90</v>
      </c>
      <c r="L101" s="701">
        <f>-SUMIFS($G:$G,$C:$C,K101)</f>
        <v>2778812</v>
      </c>
      <c r="M101" s="702"/>
      <c r="N101" s="703"/>
      <c r="O101" s="27"/>
      <c r="P101" s="686" t="s">
        <v>104</v>
      </c>
      <c r="Q101" s="687" t="s">
        <v>79</v>
      </c>
      <c r="R101" s="687" t="s">
        <v>85</v>
      </c>
      <c r="S101" s="689"/>
    </row>
    <row r="102" spans="1:19" ht="18" customHeight="1">
      <c r="A102" s="2" t="s">
        <v>360</v>
      </c>
      <c r="C102" s="209"/>
      <c r="D102" s="1178"/>
      <c r="E102" s="1179"/>
      <c r="G102" s="712"/>
      <c r="H102" s="711"/>
      <c r="I102" s="711"/>
      <c r="J102" s="711"/>
      <c r="M102" s="22"/>
      <c r="N102" s="722"/>
      <c r="O102" s="27"/>
      <c r="P102" s="686">
        <f>(Q102-R102)</f>
        <v>9374483387</v>
      </c>
      <c r="Q102" s="1067">
        <v>9402189686</v>
      </c>
      <c r="R102" s="687">
        <f>P99</f>
        <v>27706299</v>
      </c>
      <c r="S102" s="689"/>
    </row>
    <row r="103" spans="1:19" ht="15" customHeight="1">
      <c r="G103" s="639"/>
      <c r="H103" s="5"/>
      <c r="I103" s="20"/>
      <c r="J103" s="20"/>
      <c r="K103" s="21"/>
      <c r="L103" s="20"/>
      <c r="M103" s="20"/>
      <c r="N103" s="21"/>
      <c r="O103" s="27"/>
      <c r="P103" s="690">
        <f>Q102-R102-R103</f>
        <v>9371977627</v>
      </c>
      <c r="Q103" s="691"/>
      <c r="R103" s="691">
        <f>P100</f>
        <v>2505760</v>
      </c>
      <c r="S103" s="692"/>
    </row>
    <row r="104" spans="1:19" ht="15" customHeight="1">
      <c r="G104" s="432"/>
      <c r="H104" s="638"/>
      <c r="I104" s="454"/>
      <c r="J104" s="454"/>
      <c r="K104" s="21"/>
      <c r="L104" s="20"/>
      <c r="M104" s="22"/>
      <c r="N104" s="21"/>
      <c r="O104" s="9"/>
      <c r="P104" s="3"/>
      <c r="Q104" s="760"/>
      <c r="R104" s="3"/>
      <c r="S104" s="3"/>
    </row>
    <row r="105" spans="1:19" ht="15" customHeight="1">
      <c r="E105" s="629"/>
      <c r="H105" s="5"/>
      <c r="I105" s="20"/>
      <c r="J105" s="20"/>
      <c r="K105" s="21"/>
      <c r="L105" s="22"/>
      <c r="M105" s="22"/>
      <c r="N105" s="21"/>
      <c r="O105" s="9"/>
      <c r="P105" s="3"/>
      <c r="Q105" s="3"/>
      <c r="R105" s="3"/>
      <c r="S105" s="3"/>
    </row>
    <row r="106" spans="1:19" ht="15" customHeight="1">
      <c r="H106" s="5"/>
      <c r="I106" s="5"/>
      <c r="J106" s="5"/>
      <c r="K106" s="9"/>
      <c r="L106" s="9"/>
      <c r="M106" s="9"/>
      <c r="N106" s="9"/>
      <c r="O106" s="9"/>
      <c r="P106" s="3"/>
      <c r="Q106" s="3"/>
      <c r="R106" s="3"/>
      <c r="S106" s="3"/>
    </row>
    <row r="107" spans="1:19" ht="15" customHeight="1">
      <c r="C107" s="492" t="s">
        <v>228</v>
      </c>
      <c r="D107" s="493" t="s">
        <v>111</v>
      </c>
      <c r="E107" s="493" t="s">
        <v>112</v>
      </c>
      <c r="F107" s="1176" t="s">
        <v>3</v>
      </c>
      <c r="G107" s="1177"/>
      <c r="H107" s="5"/>
      <c r="I107" s="5"/>
      <c r="J107" s="5" t="s">
        <v>390</v>
      </c>
      <c r="K107" s="9"/>
      <c r="M107" s="9"/>
      <c r="N107" s="9"/>
      <c r="O107" s="714" t="s">
        <v>80</v>
      </c>
      <c r="P107" s="3"/>
      <c r="Q107" s="3"/>
      <c r="R107" s="3"/>
      <c r="S107" s="3"/>
    </row>
    <row r="108" spans="1:19" ht="15" customHeight="1">
      <c r="C108" s="494" t="s">
        <v>357</v>
      </c>
      <c r="D108" s="495">
        <f>SUMIFS(D:D,$B:$B,"합계")-SUMIFS(D:D,$C:$C,"수송용(BIO)")</f>
        <v>104991705.88409998</v>
      </c>
      <c r="E108" s="495">
        <f>SUMIFS(E:E,$B:$B,"합계")-SUMIFS(E:E,$C:$C,"수송용(BIO)")</f>
        <v>4483839553.4887991</v>
      </c>
      <c r="F108" s="1170">
        <f>SUMIFS(G:G,$B:$B,"합계")+SUMIFS(H:H,$B:$B,"합계")-SUMIFS(G:G,$C:$C,"수송용(BIO)")</f>
        <v>93835735455</v>
      </c>
      <c r="G108" s="1171"/>
      <c r="P108" s="3"/>
      <c r="Q108" s="3"/>
      <c r="R108" s="3"/>
      <c r="S108" s="3"/>
    </row>
    <row r="109" spans="1:19" ht="15" customHeight="1">
      <c r="C109" s="494" t="s">
        <v>356</v>
      </c>
      <c r="D109" s="495">
        <f>SUMIFS(D:D,$C:$C,"수송용(BIO)")</f>
        <v>296816.40000000002</v>
      </c>
      <c r="E109" s="495">
        <f>SUMIFS(E:E,$C:$C,"수송용(BIO)")</f>
        <v>12554326.0108</v>
      </c>
      <c r="F109" s="1172">
        <f>SUMIFS(G:G,$C:$C,"수송용(BIO)")</f>
        <v>268300160</v>
      </c>
      <c r="G109" s="1173"/>
      <c r="P109" s="3"/>
      <c r="Q109" s="3"/>
      <c r="R109" s="3"/>
      <c r="S109" s="3"/>
    </row>
    <row r="110" spans="1:19" ht="15" customHeight="1">
      <c r="C110" s="496" t="s">
        <v>1</v>
      </c>
      <c r="D110" s="497">
        <f>SUM(D108:D109)</f>
        <v>105288522.28409998</v>
      </c>
      <c r="E110" s="498">
        <f>SUM(E108:E109)-0</f>
        <v>4496393879.4995995</v>
      </c>
      <c r="F110" s="1174">
        <f>F108+F109</f>
        <v>94104035615</v>
      </c>
      <c r="G110" s="1175"/>
      <c r="P110" s="3"/>
      <c r="Q110" s="3"/>
      <c r="R110" s="3"/>
      <c r="S110" s="3"/>
    </row>
    <row r="111" spans="1:19" ht="15" customHeight="1">
      <c r="P111" s="672" t="s">
        <v>99</v>
      </c>
      <c r="Q111" s="673"/>
      <c r="R111" s="673"/>
      <c r="S111" s="674"/>
    </row>
    <row r="112" spans="1:19" ht="15" customHeight="1">
      <c r="P112" s="675" t="s">
        <v>98</v>
      </c>
      <c r="Q112" s="676" t="s">
        <v>92</v>
      </c>
      <c r="R112" s="676" t="s">
        <v>93</v>
      </c>
      <c r="S112" s="677" t="s">
        <v>97</v>
      </c>
    </row>
    <row r="113" spans="16:19" ht="15" customHeight="1">
      <c r="P113" s="675" t="s">
        <v>94</v>
      </c>
      <c r="Q113" s="678">
        <f>Q99-(Q114)</f>
        <v>96087640</v>
      </c>
      <c r="R113" s="678">
        <f>P99-R114</f>
        <v>9411414</v>
      </c>
      <c r="S113" s="679">
        <f>Q113+R113</f>
        <v>105499054</v>
      </c>
    </row>
    <row r="114" spans="16:19" ht="15" customHeight="1">
      <c r="P114" s="675" t="s">
        <v>95</v>
      </c>
      <c r="Q114" s="996">
        <v>182948850</v>
      </c>
      <c r="R114" s="678">
        <f>Q114*10%</f>
        <v>18294885</v>
      </c>
      <c r="S114" s="679">
        <f>Q114+R114</f>
        <v>201243735</v>
      </c>
    </row>
    <row r="115" spans="16:19" ht="15" customHeight="1">
      <c r="P115" s="680" t="s">
        <v>96</v>
      </c>
      <c r="Q115" s="681">
        <f>SUM(Q113:Q114)</f>
        <v>279036490</v>
      </c>
      <c r="R115" s="681">
        <f>SUM(R113:R114)</f>
        <v>27706299</v>
      </c>
      <c r="S115" s="682">
        <f>SUM(S113:S114)</f>
        <v>306742789</v>
      </c>
    </row>
    <row r="116" spans="16:19" ht="15" customHeight="1">
      <c r="P116" s="949"/>
      <c r="Q116" s="950"/>
    </row>
    <row r="117" spans="16:19" ht="15" customHeight="1">
      <c r="P117" s="951"/>
      <c r="Q117" s="950"/>
      <c r="R117" s="216"/>
      <c r="S117" s="216"/>
    </row>
    <row r="118" spans="16:19" ht="15" customHeight="1">
      <c r="R118" s="216"/>
      <c r="S118" s="216"/>
    </row>
  </sheetData>
  <mergeCells count="31">
    <mergeCell ref="F108:G108"/>
    <mergeCell ref="F109:G109"/>
    <mergeCell ref="F110:G110"/>
    <mergeCell ref="F107:G107"/>
    <mergeCell ref="B46:B56"/>
    <mergeCell ref="D102:E102"/>
    <mergeCell ref="B90:B92"/>
    <mergeCell ref="B18:B45"/>
    <mergeCell ref="D101:E101"/>
    <mergeCell ref="H97:I97"/>
    <mergeCell ref="B61:B74"/>
    <mergeCell ref="B78:B82"/>
    <mergeCell ref="B83:B87"/>
    <mergeCell ref="B88:B89"/>
    <mergeCell ref="B57:B60"/>
    <mergeCell ref="B75:B77"/>
    <mergeCell ref="F97:G97"/>
    <mergeCell ref="F96:G96"/>
    <mergeCell ref="B93:C93"/>
    <mergeCell ref="A94:C94"/>
    <mergeCell ref="A95:C95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43" type="noConversion"/>
  <conditionalFormatting sqref="S93:S95">
    <cfRule type="cellIs" dxfId="5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9" scale="52" orientation="portrait" r:id="rId1"/>
  <headerFooter alignWithMargins="0"/>
  <rowBreaks count="1" manualBreakCount="1">
    <brk id="34" max="16383" man="1"/>
  </rowBreaks>
  <cellWatches>
    <cellWatch r="G89"/>
  </cellWatches>
  <ignoredErrors>
    <ignoredError sqref="D12:E12 M31" formulaRange="1"/>
    <ignoredError sqref="F23 N23 F31 N31 F36 F40 F44:F45 F50 N50 F55:F56 H55 F60 F65 F73:F74 F77 N77 F82 H82 N82 F87 F89 H89 N89 N92" formula="1"/>
    <ignoredError sqref="F37 F41 F47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97"/>
  <sheetViews>
    <sheetView zoomScaleNormal="100" workbookViewId="0">
      <selection activeCell="G16" sqref="G16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68" t="str">
        <f>"한국가스공사 제출용 구성비 ("&amp;LEFT(총괄표!A2,9)&amp;")"</f>
        <v>한국가스공사 제출용 구성비 (2026년 4월 )</v>
      </c>
      <c r="C1" s="768"/>
      <c r="D1" s="768"/>
      <c r="E1" s="768"/>
      <c r="F1" s="768"/>
      <c r="G1" s="768"/>
      <c r="H1" s="768"/>
      <c r="I1" s="768"/>
      <c r="J1" s="768"/>
      <c r="K1" s="768"/>
      <c r="L1" s="768"/>
      <c r="M1" s="768"/>
      <c r="S1" s="1210" t="s">
        <v>396</v>
      </c>
      <c r="T1" s="1210"/>
      <c r="U1" s="1210"/>
      <c r="V1" s="1210"/>
      <c r="W1" s="1210"/>
      <c r="X1" s="1210"/>
      <c r="Y1" s="1210"/>
      <c r="Z1" s="1210"/>
    </row>
    <row r="2" spans="1:26" ht="12.75" customHeight="1" thickBot="1">
      <c r="S2" s="1210"/>
      <c r="T2" s="1210"/>
      <c r="U2" s="1210"/>
      <c r="V2" s="1210"/>
      <c r="W2" s="1210"/>
      <c r="X2" s="1210"/>
      <c r="Y2" s="1210"/>
      <c r="Z2" s="1210"/>
    </row>
    <row r="3" spans="1:26" ht="24.75" customHeight="1">
      <c r="A3" s="769"/>
      <c r="B3" s="1211" t="s">
        <v>397</v>
      </c>
      <c r="C3" s="1212"/>
      <c r="D3" s="1213"/>
      <c r="E3" s="770" t="s">
        <v>398</v>
      </c>
      <c r="F3" s="770" t="s">
        <v>399</v>
      </c>
      <c r="G3" s="770" t="s">
        <v>29</v>
      </c>
      <c r="H3" s="770" t="s">
        <v>48</v>
      </c>
      <c r="I3" s="770" t="s">
        <v>400</v>
      </c>
      <c r="J3" s="770" t="s">
        <v>401</v>
      </c>
      <c r="K3" s="770" t="s">
        <v>30</v>
      </c>
      <c r="L3" s="770" t="s">
        <v>402</v>
      </c>
      <c r="M3" s="771" t="s">
        <v>403</v>
      </c>
      <c r="N3" s="2"/>
      <c r="Q3" s="772" t="s">
        <v>30</v>
      </c>
      <c r="S3" s="1210"/>
      <c r="T3" s="1210"/>
      <c r="U3" s="1210"/>
      <c r="V3" s="1210"/>
      <c r="W3" s="1210"/>
      <c r="X3" s="1210"/>
      <c r="Y3" s="1210"/>
      <c r="Z3" s="1210"/>
    </row>
    <row r="4" spans="1:26" ht="24.75" customHeight="1">
      <c r="A4" s="769"/>
      <c r="B4" s="1214"/>
      <c r="C4" s="1215"/>
      <c r="D4" s="1216"/>
      <c r="E4" s="773" t="s">
        <v>404</v>
      </c>
      <c r="F4" s="773" t="s">
        <v>404</v>
      </c>
      <c r="G4" s="773" t="s">
        <v>404</v>
      </c>
      <c r="H4" s="773" t="s">
        <v>404</v>
      </c>
      <c r="I4" s="773" t="s">
        <v>404</v>
      </c>
      <c r="J4" s="773" t="s">
        <v>404</v>
      </c>
      <c r="K4" s="773" t="s">
        <v>404</v>
      </c>
      <c r="L4" s="773" t="s">
        <v>404</v>
      </c>
      <c r="M4" s="774" t="s">
        <v>405</v>
      </c>
      <c r="N4" s="2"/>
      <c r="Q4" s="775" t="s">
        <v>404</v>
      </c>
      <c r="S4" s="1210"/>
      <c r="T4" s="1210"/>
      <c r="U4" s="1210"/>
      <c r="V4" s="1210"/>
      <c r="W4" s="1210"/>
      <c r="X4" s="1210"/>
      <c r="Y4" s="1210"/>
      <c r="Z4" s="1210"/>
    </row>
    <row r="5" spans="1:26" ht="27.75" customHeight="1">
      <c r="A5" s="769"/>
      <c r="B5" s="1217" t="s">
        <v>406</v>
      </c>
      <c r="C5" s="1220" t="s">
        <v>28</v>
      </c>
      <c r="D5" s="1221"/>
      <c r="E5" s="776">
        <f>ROUND((매출액표!E23-G5-H5-I5),0)</f>
        <v>19134515</v>
      </c>
      <c r="F5" s="777"/>
      <c r="G5" s="778">
        <f>ROUNDDOWN(('사회복지시설(MJ)'!D7),0)</f>
        <v>12785</v>
      </c>
      <c r="H5" s="779"/>
      <c r="I5" s="780"/>
      <c r="J5" s="780"/>
      <c r="K5" s="779"/>
      <c r="L5" s="781">
        <f>ROUND((E5+G5+K5),0)</f>
        <v>19147300</v>
      </c>
      <c r="M5" s="782">
        <f>ROUND(L5/$L$21*100,4)</f>
        <v>0.42609999999999998</v>
      </c>
      <c r="N5" s="2"/>
      <c r="Q5" s="783"/>
    </row>
    <row r="6" spans="1:26" ht="29.25" customHeight="1">
      <c r="A6" s="769"/>
      <c r="B6" s="1218"/>
      <c r="C6" s="1222" t="s">
        <v>156</v>
      </c>
      <c r="D6" s="1223"/>
      <c r="E6" s="784">
        <f>ROUND((매출액표!E31+매출액표!E36-G6-H6-I6),0)+1</f>
        <v>2875037227</v>
      </c>
      <c r="F6" s="785"/>
      <c r="G6" s="786">
        <f>ROUNDDOWN(('사회복지시설(MJ)'!D10),0)</f>
        <v>2496488</v>
      </c>
      <c r="H6" s="787"/>
      <c r="I6" s="787"/>
      <c r="J6" s="787"/>
      <c r="K6" s="787"/>
      <c r="L6" s="784">
        <f>ROUND((E6+G6+K6),0)</f>
        <v>2877533715</v>
      </c>
      <c r="M6" s="788">
        <f>ROUND(L6/$L$21*100,4)</f>
        <v>64.041499999999999</v>
      </c>
      <c r="N6" s="2"/>
      <c r="Q6" s="789"/>
      <c r="S6" s="790"/>
      <c r="T6" s="791" t="s">
        <v>407</v>
      </c>
      <c r="U6" s="792"/>
    </row>
    <row r="7" spans="1:26" ht="27.75" customHeight="1">
      <c r="A7" s="769"/>
      <c r="B7" s="1218"/>
      <c r="C7" s="1222" t="s">
        <v>408</v>
      </c>
      <c r="D7" s="1223"/>
      <c r="E7" s="793">
        <f>ROUND((매출액표!E40-G7-H7-I7),0)</f>
        <v>43732429</v>
      </c>
      <c r="F7" s="794"/>
      <c r="G7" s="795"/>
      <c r="H7" s="796"/>
      <c r="I7" s="787"/>
      <c r="J7" s="787"/>
      <c r="K7" s="787"/>
      <c r="L7" s="784">
        <f>ROUND((E7+G7+K7),0)</f>
        <v>43732429</v>
      </c>
      <c r="M7" s="788">
        <f>ROUND(L7/$L$21*100,4)-0.0002</f>
        <v>0.97310000000000008</v>
      </c>
      <c r="N7" s="2"/>
      <c r="Q7" s="797"/>
      <c r="S7" s="790"/>
      <c r="T7" s="798" t="s">
        <v>409</v>
      </c>
      <c r="U7" s="792"/>
    </row>
    <row r="8" spans="1:26" ht="27.75" customHeight="1">
      <c r="A8" s="769"/>
      <c r="B8" s="1218"/>
      <c r="C8" s="1222" t="s">
        <v>157</v>
      </c>
      <c r="D8" s="1223"/>
      <c r="E8" s="799">
        <f>ROUND((매출액표!E44-G8-H8-I8),0)</f>
        <v>18179827</v>
      </c>
      <c r="F8" s="800"/>
      <c r="G8" s="795"/>
      <c r="H8" s="796"/>
      <c r="I8" s="787"/>
      <c r="J8" s="787"/>
      <c r="K8" s="801"/>
      <c r="L8" s="784">
        <f>ROUND((E8+G8+K8),0)</f>
        <v>18179827</v>
      </c>
      <c r="M8" s="802">
        <f>ROUND(L8/$L$21*100,4)</f>
        <v>0.40460000000000002</v>
      </c>
      <c r="N8" s="2"/>
      <c r="Q8" s="803"/>
      <c r="S8" s="790"/>
      <c r="T8" s="798" t="s">
        <v>410</v>
      </c>
      <c r="U8" s="792"/>
    </row>
    <row r="9" spans="1:26" ht="27.75" customHeight="1">
      <c r="A9" s="769"/>
      <c r="B9" s="1219"/>
      <c r="C9" s="1224" t="s">
        <v>411</v>
      </c>
      <c r="D9" s="1225"/>
      <c r="E9" s="804">
        <f t="shared" ref="E9:J9" si="0">SUM(E5:E8)</f>
        <v>2956083998</v>
      </c>
      <c r="F9" s="804">
        <f>SUM(F5:F8)</f>
        <v>0</v>
      </c>
      <c r="G9" s="805">
        <f>SUM(G5:G8)</f>
        <v>2509273</v>
      </c>
      <c r="H9" s="806">
        <f t="shared" si="0"/>
        <v>0</v>
      </c>
      <c r="I9" s="806">
        <f t="shared" si="0"/>
        <v>0</v>
      </c>
      <c r="J9" s="806">
        <f t="shared" si="0"/>
        <v>0</v>
      </c>
      <c r="K9" s="806"/>
      <c r="L9" s="804">
        <f>SUM(L5:L8)</f>
        <v>2958593271</v>
      </c>
      <c r="M9" s="807">
        <f>SUM(M5:M8)</f>
        <v>65.845300000000009</v>
      </c>
      <c r="N9" s="2"/>
      <c r="Q9" s="808">
        <f>SUM(Q5:Q8)</f>
        <v>0</v>
      </c>
      <c r="S9" s="790"/>
      <c r="T9" s="798" t="s">
        <v>412</v>
      </c>
      <c r="U9" s="792"/>
    </row>
    <row r="10" spans="1:26" ht="33" hidden="1" customHeight="1">
      <c r="A10" s="769"/>
      <c r="B10" s="1226" t="s">
        <v>381</v>
      </c>
      <c r="C10" s="809" t="s">
        <v>413</v>
      </c>
      <c r="D10" s="810"/>
      <c r="E10" s="811">
        <f>ROUND((매출액표!E50-G10),0)</f>
        <v>224872257</v>
      </c>
      <c r="F10" s="781"/>
      <c r="G10" s="779">
        <f>ROUND(('사회복지시설(MJ)'!D21),0)</f>
        <v>5564165</v>
      </c>
      <c r="H10" s="779"/>
      <c r="I10" s="779"/>
      <c r="J10" s="779"/>
      <c r="K10" s="779">
        <f>ROUND(Q10,0)</f>
        <v>19670</v>
      </c>
      <c r="L10" s="781">
        <f>ROUND((E10+F10+G10+K10+H10),0)</f>
        <v>230456092</v>
      </c>
      <c r="M10" s="782">
        <f>ROUND(L10/$L$21*100,4)</f>
        <v>5.1289999999999996</v>
      </c>
      <c r="N10" s="2"/>
      <c r="Q10" s="812">
        <f>Q12</f>
        <v>19670.409</v>
      </c>
      <c r="S10" s="790"/>
      <c r="T10" s="790"/>
      <c r="U10" s="792"/>
      <c r="W10" s="813"/>
    </row>
    <row r="11" spans="1:26" ht="33" hidden="1" customHeight="1">
      <c r="A11" s="769"/>
      <c r="B11" s="1227"/>
      <c r="C11" s="814" t="s">
        <v>414</v>
      </c>
      <c r="D11" s="815"/>
      <c r="E11" s="816">
        <f>ROUND((매출액표!E55-G11),0)</f>
        <v>96655762</v>
      </c>
      <c r="F11" s="784"/>
      <c r="G11" s="817"/>
      <c r="H11" s="817"/>
      <c r="I11" s="817"/>
      <c r="J11" s="817"/>
      <c r="K11" s="817"/>
      <c r="L11" s="784">
        <f>ROUND((E11+F11+G11+K11+H11),0)</f>
        <v>96655762</v>
      </c>
      <c r="M11" s="818">
        <f>ROUND(L11/$L$21*100,4)</f>
        <v>2.1511</v>
      </c>
      <c r="N11" s="2"/>
      <c r="Q11" s="819">
        <v>0</v>
      </c>
      <c r="S11" s="790"/>
      <c r="T11" s="790"/>
      <c r="U11" s="792"/>
    </row>
    <row r="12" spans="1:26" ht="33" customHeight="1">
      <c r="A12" s="769"/>
      <c r="B12" s="1209" t="s">
        <v>167</v>
      </c>
      <c r="C12" s="1198"/>
      <c r="D12" s="1199"/>
      <c r="E12" s="820">
        <f>SUM(E10:E11)</f>
        <v>321528019</v>
      </c>
      <c r="F12" s="820"/>
      <c r="G12" s="821">
        <f>'사회복지시설(MJ)'!D21</f>
        <v>5564164.5090000005</v>
      </c>
      <c r="H12" s="822">
        <f>SUM(H10:H11)</f>
        <v>0</v>
      </c>
      <c r="I12" s="822">
        <f>SUM(I10:I11)</f>
        <v>0</v>
      </c>
      <c r="J12" s="822"/>
      <c r="K12" s="822">
        <f>SUM(K10:K11)</f>
        <v>19670</v>
      </c>
      <c r="L12" s="820">
        <f>SUM(E12:K12)</f>
        <v>327111853.509</v>
      </c>
      <c r="M12" s="823">
        <f>SUM(M10:M11)</f>
        <v>7.2800999999999991</v>
      </c>
      <c r="N12" s="2"/>
      <c r="Q12" s="824">
        <f>자가소모!E4</f>
        <v>19670.409</v>
      </c>
      <c r="S12" s="790"/>
      <c r="T12" s="790"/>
      <c r="U12" s="792"/>
    </row>
    <row r="13" spans="1:26" ht="33" customHeight="1">
      <c r="A13" s="769"/>
      <c r="B13" s="1209" t="s">
        <v>415</v>
      </c>
      <c r="C13" s="1198"/>
      <c r="D13" s="1199"/>
      <c r="E13" s="825">
        <f>ROUND((매출액표!E73-G13),0)</f>
        <v>45309525</v>
      </c>
      <c r="F13" s="825"/>
      <c r="G13" s="826">
        <f>('사회복지시설(MJ)'!D17)</f>
        <v>835676.90300000005</v>
      </c>
      <c r="H13" s="821"/>
      <c r="I13" s="821"/>
      <c r="J13" s="821"/>
      <c r="K13" s="821">
        <f>ROUND(Q13,0)</f>
        <v>70191</v>
      </c>
      <c r="L13" s="825">
        <f t="shared" ref="L13:L20" si="1">ROUND((E13+G13+K13),0)</f>
        <v>46215393</v>
      </c>
      <c r="M13" s="827">
        <f t="shared" ref="M13:M20" si="2">ROUND(L13/$L$21*100,4)</f>
        <v>1.0286</v>
      </c>
      <c r="N13" s="2"/>
      <c r="Q13" s="828">
        <f>자가소모!E5</f>
        <v>70190.505000000005</v>
      </c>
      <c r="S13" s="829"/>
      <c r="T13" s="790"/>
      <c r="U13" s="830"/>
    </row>
    <row r="14" spans="1:26" ht="33" customHeight="1">
      <c r="A14" s="769"/>
      <c r="B14" s="1209" t="s">
        <v>35</v>
      </c>
      <c r="C14" s="1198"/>
      <c r="D14" s="1199"/>
      <c r="E14" s="825">
        <f>ROUND((매출액표!E65-G14),0)</f>
        <v>51267506</v>
      </c>
      <c r="F14" s="825"/>
      <c r="G14" s="821">
        <f>('사회복지시설(MJ)'!D14)</f>
        <v>18865233.8059</v>
      </c>
      <c r="H14" s="821"/>
      <c r="I14" s="821"/>
      <c r="J14" s="821"/>
      <c r="K14" s="821">
        <f>ROUNDDOWN(Q14,0)</f>
        <v>5681</v>
      </c>
      <c r="L14" s="825">
        <f t="shared" si="1"/>
        <v>70138421</v>
      </c>
      <c r="M14" s="827">
        <f t="shared" si="2"/>
        <v>1.5609999999999999</v>
      </c>
      <c r="N14" s="2"/>
      <c r="Q14" s="828">
        <f>자가소모!E3+자가소모!E8+자가소모!E9</f>
        <v>5681.3774000000003</v>
      </c>
      <c r="T14" s="831"/>
    </row>
    <row r="15" spans="1:26" ht="33" customHeight="1">
      <c r="A15" s="769"/>
      <c r="B15" s="1209" t="s">
        <v>395</v>
      </c>
      <c r="C15" s="1198"/>
      <c r="D15" s="1199"/>
      <c r="E15" s="825">
        <f>ROUND((매출액표!E77-G15),0)</f>
        <v>793600317</v>
      </c>
      <c r="F15" s="825"/>
      <c r="G15" s="821"/>
      <c r="H15" s="821"/>
      <c r="I15" s="821"/>
      <c r="J15" s="821"/>
      <c r="K15" s="821">
        <f t="shared" ref="K15:K18" si="3">ROUND(Q15,0)</f>
        <v>0</v>
      </c>
      <c r="L15" s="825">
        <f>ROUND((E15+G15+K15),0)</f>
        <v>793600317</v>
      </c>
      <c r="M15" s="827">
        <f>ROUND(L15/$L$21*100,4)</f>
        <v>17.662099999999999</v>
      </c>
      <c r="N15" s="2"/>
      <c r="Q15" s="828"/>
      <c r="U15" s="832"/>
    </row>
    <row r="16" spans="1:26" ht="33" customHeight="1">
      <c r="A16" s="769"/>
      <c r="B16" s="1209" t="s">
        <v>416</v>
      </c>
      <c r="C16" s="1198"/>
      <c r="D16" s="1199"/>
      <c r="E16" s="833">
        <f>ROUND(((매출액표!E57+매출액표!E59)-G16),0)</f>
        <v>247985958</v>
      </c>
      <c r="F16" s="834"/>
      <c r="G16" s="821"/>
      <c r="H16" s="835"/>
      <c r="I16" s="835"/>
      <c r="J16" s="835"/>
      <c r="K16" s="821">
        <f t="shared" si="3"/>
        <v>0</v>
      </c>
      <c r="L16" s="825">
        <f t="shared" si="1"/>
        <v>247985958</v>
      </c>
      <c r="M16" s="827">
        <f t="shared" si="2"/>
        <v>5.5190999999999999</v>
      </c>
      <c r="N16" s="2"/>
      <c r="Q16" s="836"/>
      <c r="R16" s="837"/>
      <c r="T16" s="831"/>
    </row>
    <row r="17" spans="1:26" ht="33" customHeight="1">
      <c r="A17" s="769"/>
      <c r="B17" s="1194" t="s">
        <v>417</v>
      </c>
      <c r="C17" s="1195"/>
      <c r="D17" s="1196"/>
      <c r="E17" s="838">
        <f>ROUND((매출액표!E82-G17),0)</f>
        <v>18612436</v>
      </c>
      <c r="F17" s="838"/>
      <c r="G17" s="821"/>
      <c r="H17" s="839"/>
      <c r="I17" s="839"/>
      <c r="J17" s="839"/>
      <c r="K17" s="821">
        <f>ROUND(Q17,0)</f>
        <v>103728</v>
      </c>
      <c r="L17" s="825">
        <f t="shared" si="1"/>
        <v>18716164</v>
      </c>
      <c r="M17" s="827">
        <f t="shared" si="2"/>
        <v>0.41649999999999998</v>
      </c>
      <c r="N17" s="2"/>
      <c r="Q17" s="836">
        <f>자가소모!E7</f>
        <v>103728.33900000001</v>
      </c>
    </row>
    <row r="18" spans="1:26" ht="33" customHeight="1">
      <c r="A18" s="769"/>
      <c r="B18" s="1194" t="s">
        <v>418</v>
      </c>
      <c r="C18" s="1195"/>
      <c r="D18" s="1196"/>
      <c r="E18" s="838">
        <f>ROUND((매출액표!E87-G18),0)</f>
        <v>17878965</v>
      </c>
      <c r="F18" s="838"/>
      <c r="G18" s="821"/>
      <c r="H18" s="839"/>
      <c r="I18" s="839"/>
      <c r="J18" s="839"/>
      <c r="K18" s="821">
        <f t="shared" si="3"/>
        <v>0</v>
      </c>
      <c r="L18" s="825">
        <f t="shared" si="1"/>
        <v>17878965</v>
      </c>
      <c r="M18" s="827">
        <f t="shared" si="2"/>
        <v>0.39789999999999998</v>
      </c>
      <c r="N18" s="2"/>
      <c r="Q18" s="836"/>
      <c r="W18" s="840"/>
    </row>
    <row r="19" spans="1:26" ht="33" customHeight="1">
      <c r="A19" s="769"/>
      <c r="B19" s="1197" t="s">
        <v>158</v>
      </c>
      <c r="C19" s="1198"/>
      <c r="D19" s="1199"/>
      <c r="E19" s="838">
        <f>ROUND((매출액표!E89-G19),0)</f>
        <v>679333</v>
      </c>
      <c r="F19" s="838"/>
      <c r="G19" s="821"/>
      <c r="H19" s="839"/>
      <c r="I19" s="839"/>
      <c r="J19" s="839"/>
      <c r="K19" s="821">
        <f>ROUNDDOWN(Q19,0)</f>
        <v>9193846</v>
      </c>
      <c r="L19" s="825">
        <f t="shared" si="1"/>
        <v>9873179</v>
      </c>
      <c r="M19" s="827">
        <f t="shared" si="2"/>
        <v>0.21970000000000001</v>
      </c>
      <c r="N19" s="2"/>
      <c r="Q19" s="836">
        <f>자가소모!E6</f>
        <v>9193846.7609999999</v>
      </c>
      <c r="T19" s="831"/>
      <c r="W19" s="840"/>
    </row>
    <row r="20" spans="1:26" ht="33" customHeight="1">
      <c r="A20" s="769"/>
      <c r="B20" s="1197" t="s">
        <v>215</v>
      </c>
      <c r="C20" s="1198"/>
      <c r="D20" s="1199"/>
      <c r="E20" s="838">
        <f>ROUND((매출액표!E92-G20),0)</f>
        <v>3119149</v>
      </c>
      <c r="F20" s="838"/>
      <c r="G20" s="839"/>
      <c r="H20" s="839"/>
      <c r="I20" s="839"/>
      <c r="J20" s="839"/>
      <c r="K20" s="821">
        <f t="shared" ref="K20" si="4">ROUND(Q20,0)</f>
        <v>0</v>
      </c>
      <c r="L20" s="825">
        <f t="shared" si="1"/>
        <v>3119149</v>
      </c>
      <c r="M20" s="827">
        <f t="shared" si="2"/>
        <v>6.9400000000000003E-2</v>
      </c>
      <c r="N20" s="2"/>
      <c r="Q20" s="841"/>
      <c r="T20" s="831"/>
    </row>
    <row r="21" spans="1:26" ht="13.5" customHeight="1">
      <c r="A21" s="769"/>
      <c r="B21" s="1200" t="s">
        <v>419</v>
      </c>
      <c r="C21" s="1201"/>
      <c r="D21" s="1202"/>
      <c r="E21" s="1180">
        <f>SUM(E13:E20)+E12+E9</f>
        <v>4456065206</v>
      </c>
      <c r="F21" s="1180">
        <f>F20+F17+F16+F15+F13+F12+F9+F14</f>
        <v>0</v>
      </c>
      <c r="G21" s="1180">
        <f>ROUNDUP((G20+G17+G16+G15+G13+G12+G9+G14),0)</f>
        <v>27774349</v>
      </c>
      <c r="H21" s="1180">
        <f>H20+H17+H16+H15+H13+H12+H9+H14</f>
        <v>0</v>
      </c>
      <c r="I21" s="1180">
        <f>I20+I17+I16+I15+I13+I12+I9+I14</f>
        <v>0</v>
      </c>
      <c r="J21" s="1191">
        <f>J20+J19+J17+J16+J15+J14+J13+J12+J9</f>
        <v>0</v>
      </c>
      <c r="K21" s="1180">
        <f>K20+K17+K16+K15+K13+K12+K9+K14+K19</f>
        <v>9393116</v>
      </c>
      <c r="L21" s="1180">
        <f>ROUND((SUM(L13:L20)+L12+L9),0)</f>
        <v>4493232671</v>
      </c>
      <c r="M21" s="1183">
        <f>SUM(M5:M8,M12:M20)</f>
        <v>99.999700000000004</v>
      </c>
      <c r="N21" s="2"/>
      <c r="Q21" s="1186">
        <f>Q20+Q17+Q16+Q15+Q13+Q12+Q9+Q14+Q19</f>
        <v>9393117.3914000001</v>
      </c>
    </row>
    <row r="22" spans="1:26" ht="13.5" customHeight="1">
      <c r="A22" s="769"/>
      <c r="B22" s="1203"/>
      <c r="C22" s="1204"/>
      <c r="D22" s="1205"/>
      <c r="E22" s="1181"/>
      <c r="F22" s="1181"/>
      <c r="G22" s="1181"/>
      <c r="H22" s="1181"/>
      <c r="I22" s="1181"/>
      <c r="J22" s="1192"/>
      <c r="K22" s="1181"/>
      <c r="L22" s="1181"/>
      <c r="M22" s="1184"/>
      <c r="N22" s="2"/>
      <c r="Q22" s="1187"/>
    </row>
    <row r="23" spans="1:26" ht="13.5" customHeight="1" thickBot="1">
      <c r="A23" s="769"/>
      <c r="B23" s="1206"/>
      <c r="C23" s="1207"/>
      <c r="D23" s="1208"/>
      <c r="E23" s="1182"/>
      <c r="F23" s="1182"/>
      <c r="G23" s="1182"/>
      <c r="H23" s="1182"/>
      <c r="I23" s="1182"/>
      <c r="J23" s="1193"/>
      <c r="K23" s="1182"/>
      <c r="L23" s="1182"/>
      <c r="M23" s="1185"/>
      <c r="N23" s="842"/>
      <c r="Q23" s="1188"/>
    </row>
    <row r="24" spans="1:26" ht="13.5" customHeight="1">
      <c r="A24" s="769"/>
      <c r="B24" s="769"/>
      <c r="C24" s="769"/>
      <c r="D24" s="769"/>
      <c r="E24" s="843">
        <f>ROUND(E21+G21,0)</f>
        <v>4483839555</v>
      </c>
      <c r="F24" s="844"/>
      <c r="G24" s="844"/>
      <c r="H24" s="844"/>
      <c r="I24" s="844"/>
      <c r="J24" s="844"/>
      <c r="K24" s="844" t="b">
        <f>ROUNDDOWN(Q21,0)=K21</f>
        <v>0</v>
      </c>
      <c r="L24" s="843">
        <f>ROUND(L21-K21,0)</f>
        <v>4483839555</v>
      </c>
      <c r="M24" s="769"/>
      <c r="Q24" s="845"/>
    </row>
    <row r="25" spans="1:26" ht="12.75" customHeight="1">
      <c r="A25" s="769"/>
      <c r="B25" s="769"/>
      <c r="C25" s="769"/>
      <c r="D25" s="769"/>
      <c r="E25" s="843">
        <f>ROUND(SUMIFS(매출액표!E:E,매출액표!$B:$B,"합계")-SUMIFS(매출액표!E:E,매출액표!$C:$C,"수송용(BIO)"),0)</f>
        <v>4483839553</v>
      </c>
      <c r="F25" s="843"/>
      <c r="G25" s="844"/>
      <c r="H25" s="844"/>
      <c r="I25" s="844"/>
      <c r="J25" s="844"/>
      <c r="K25" s="846"/>
      <c r="L25" s="843">
        <f>ROUND(매출액표!E93-매출액표!E58,0)</f>
        <v>4483839553</v>
      </c>
      <c r="M25" s="769"/>
    </row>
    <row r="26" spans="1:26" ht="12.75" customHeight="1">
      <c r="A26" s="769"/>
      <c r="B26" s="769"/>
      <c r="C26" s="769"/>
      <c r="D26" s="769"/>
      <c r="E26" s="847">
        <f>E24-E25</f>
        <v>2</v>
      </c>
      <c r="F26" s="848"/>
      <c r="G26" s="849"/>
      <c r="H26" s="849"/>
      <c r="I26" s="849"/>
      <c r="J26" s="849"/>
      <c r="K26" s="850"/>
      <c r="L26" s="847">
        <f>L24-L25</f>
        <v>2</v>
      </c>
      <c r="M26" s="769"/>
    </row>
    <row r="27" spans="1:26" ht="12.75" customHeight="1">
      <c r="F27" s="851"/>
      <c r="L27" s="852"/>
      <c r="T27" s="853"/>
    </row>
    <row r="28" spans="1:26" ht="12.75" customHeight="1">
      <c r="F28" s="854"/>
      <c r="G28" s="855"/>
      <c r="H28" s="856"/>
      <c r="I28" s="857"/>
      <c r="J28" s="857"/>
      <c r="K28" s="769"/>
    </row>
    <row r="29" spans="1:26" ht="12.75" customHeight="1">
      <c r="E29" s="858"/>
      <c r="F29" s="859"/>
    </row>
    <row r="30" spans="1:26" ht="12.75" customHeight="1">
      <c r="F30" s="859"/>
    </row>
    <row r="32" spans="1:26" ht="12.75" customHeight="1">
      <c r="E32" s="84"/>
      <c r="F32" s="860"/>
    </row>
    <row r="33" spans="5:5" ht="12.75" customHeight="1">
      <c r="E33" s="861"/>
    </row>
    <row r="35" spans="5:5" ht="12.75" customHeight="1">
      <c r="E35" s="862"/>
    </row>
    <row r="36" spans="5:5" ht="12.75" customHeight="1">
      <c r="E36" s="862"/>
    </row>
    <row r="37" spans="5:5" ht="12.75" customHeight="1">
      <c r="E37" s="862"/>
    </row>
    <row r="38" spans="5:5" ht="12.75" customHeight="1">
      <c r="E38" s="862"/>
    </row>
    <row r="39" spans="5:5" ht="12.75" customHeight="1">
      <c r="E39" s="862"/>
    </row>
    <row r="40" spans="5:5" ht="12.75" customHeight="1">
      <c r="E40" s="862"/>
    </row>
    <row r="41" spans="5:5" ht="12.75" customHeight="1">
      <c r="E41" s="862"/>
    </row>
    <row r="42" spans="5:5" ht="12.75" customHeight="1">
      <c r="E42" s="862"/>
    </row>
    <row r="43" spans="5:5" ht="12.75" customHeight="1">
      <c r="E43" s="862"/>
    </row>
    <row r="44" spans="5:5" ht="12.75" customHeight="1">
      <c r="E44" s="862"/>
    </row>
    <row r="45" spans="5:5" ht="12.75" customHeight="1">
      <c r="E45" s="862"/>
    </row>
    <row r="46" spans="5:5" ht="12.75" customHeight="1">
      <c r="E46" s="862"/>
    </row>
    <row r="47" spans="5:5" ht="12.75" customHeight="1">
      <c r="E47" s="862"/>
    </row>
    <row r="48" spans="5:5" ht="12.75" customHeight="1">
      <c r="E48" s="862"/>
    </row>
    <row r="49" spans="2:19" ht="12.75" customHeight="1">
      <c r="E49" s="862"/>
    </row>
    <row r="50" spans="2:19" ht="12.75" customHeight="1">
      <c r="E50" s="862"/>
    </row>
    <row r="51" spans="2:19" ht="12.75" customHeight="1">
      <c r="E51" s="862"/>
    </row>
    <row r="52" spans="2:19" ht="12.75" customHeight="1">
      <c r="E52" s="862"/>
    </row>
    <row r="53" spans="2:19" ht="12.75" customHeight="1">
      <c r="E53" s="862"/>
    </row>
    <row r="54" spans="2:19" ht="12.75" customHeight="1">
      <c r="E54" s="862"/>
    </row>
    <row r="55" spans="2:19" ht="12.75" customHeight="1">
      <c r="E55" s="862"/>
    </row>
    <row r="56" spans="2:19" ht="12.75" customHeight="1">
      <c r="E56" s="862"/>
    </row>
    <row r="57" spans="2:19" ht="12.75" customHeight="1">
      <c r="E57" s="862"/>
    </row>
    <row r="58" spans="2:19" ht="12.75" customHeight="1">
      <c r="F58" s="851"/>
      <c r="S58" s="853"/>
    </row>
    <row r="59" spans="2:19" ht="12.75" customHeight="1">
      <c r="F59" s="851"/>
      <c r="S59" s="853"/>
    </row>
    <row r="60" spans="2:19" ht="12.75" customHeight="1">
      <c r="F60" s="851"/>
      <c r="S60" s="853"/>
    </row>
    <row r="61" spans="2:19" ht="12.75" customHeight="1">
      <c r="F61" s="851"/>
      <c r="S61" s="853"/>
    </row>
    <row r="62" spans="2:19" ht="12.75" customHeight="1">
      <c r="E62" s="3"/>
      <c r="F62" s="851"/>
      <c r="S62" s="853"/>
    </row>
    <row r="63" spans="2:19" ht="12.75" customHeight="1">
      <c r="E63" s="3"/>
      <c r="F63" s="851"/>
      <c r="P63" s="1" t="s">
        <v>420</v>
      </c>
      <c r="S63" s="853"/>
    </row>
    <row r="64" spans="2:19" ht="12.75" customHeight="1">
      <c r="B64" s="1189" t="s">
        <v>228</v>
      </c>
      <c r="C64" s="1189"/>
      <c r="D64" s="1189"/>
      <c r="E64" s="1" t="s">
        <v>421</v>
      </c>
      <c r="F64" s="863"/>
      <c r="G64" s="855"/>
      <c r="H64" s="856">
        <v>5147</v>
      </c>
      <c r="I64" s="857">
        <v>4602</v>
      </c>
      <c r="J64" s="769"/>
    </row>
    <row r="65" spans="2:11" ht="12.75" customHeight="1">
      <c r="B65" s="1190" t="s">
        <v>422</v>
      </c>
      <c r="C65" s="1190"/>
      <c r="D65" s="1190"/>
      <c r="E65" s="1190"/>
      <c r="K65" s="1" t="s">
        <v>423</v>
      </c>
    </row>
    <row r="66" spans="2:11" ht="12.75" customHeight="1">
      <c r="B66" s="864" t="s">
        <v>424</v>
      </c>
      <c r="C66" s="865" t="s">
        <v>425</v>
      </c>
      <c r="E66" s="866"/>
      <c r="G66" s="866"/>
      <c r="K66" s="1" t="s">
        <v>426</v>
      </c>
    </row>
    <row r="67" spans="2:11" ht="12.75" customHeight="1">
      <c r="B67" s="864" t="s">
        <v>427</v>
      </c>
      <c r="C67" s="865" t="s">
        <v>428</v>
      </c>
      <c r="E67" s="866"/>
      <c r="G67" s="866"/>
    </row>
    <row r="68" spans="2:11" ht="12.75" customHeight="1">
      <c r="B68" s="1189" t="s">
        <v>27</v>
      </c>
      <c r="C68" s="1189"/>
      <c r="D68" s="867"/>
      <c r="E68" s="866"/>
      <c r="G68" s="866"/>
      <c r="K68" s="868" t="s">
        <v>429</v>
      </c>
    </row>
    <row r="69" spans="2:11" ht="12.75" customHeight="1">
      <c r="K69" s="869" t="s">
        <v>430</v>
      </c>
    </row>
    <row r="70" spans="2:11" ht="12.75" customHeight="1">
      <c r="E70" s="870"/>
      <c r="K70" s="869" t="s">
        <v>431</v>
      </c>
    </row>
    <row r="71" spans="2:11" ht="12.75" customHeight="1">
      <c r="E71" s="871"/>
      <c r="K71" s="869" t="s">
        <v>432</v>
      </c>
    </row>
    <row r="72" spans="2:11" ht="12.75" customHeight="1">
      <c r="E72" s="871"/>
    </row>
    <row r="73" spans="2:11" ht="12.75" customHeight="1">
      <c r="E73" s="870"/>
    </row>
    <row r="74" spans="2:11" ht="12.75" customHeight="1">
      <c r="E74" s="870"/>
      <c r="K74" s="1" t="s">
        <v>433</v>
      </c>
    </row>
    <row r="75" spans="2:11" ht="12.75" customHeight="1">
      <c r="E75" s="870"/>
      <c r="K75" s="1" t="s">
        <v>434</v>
      </c>
    </row>
    <row r="76" spans="2:11" ht="12.75" customHeight="1">
      <c r="E76" s="870"/>
      <c r="G76" s="1" t="s">
        <v>360</v>
      </c>
      <c r="K76" s="1" t="s">
        <v>435</v>
      </c>
    </row>
    <row r="77" spans="2:11" ht="12.75" customHeight="1">
      <c r="E77" s="872"/>
      <c r="K77" s="1" t="s">
        <v>436</v>
      </c>
    </row>
    <row r="78" spans="2:11" ht="12.75" customHeight="1">
      <c r="E78" s="873"/>
      <c r="F78" s="873"/>
    </row>
    <row r="79" spans="2:11" ht="12.75" customHeight="1">
      <c r="E79" s="873"/>
      <c r="K79" s="13" t="s">
        <v>437</v>
      </c>
    </row>
    <row r="80" spans="2:11" ht="12.75" customHeight="1">
      <c r="K80" s="2" t="s">
        <v>438</v>
      </c>
    </row>
    <row r="81" spans="5:11" ht="12.75" customHeight="1">
      <c r="K81" s="13"/>
    </row>
    <row r="82" spans="5:11" ht="12.75" customHeight="1">
      <c r="K82" s="13" t="s">
        <v>439</v>
      </c>
    </row>
    <row r="83" spans="5:11" ht="12.75" customHeight="1">
      <c r="E83" s="870"/>
      <c r="K83" s="2" t="s">
        <v>440</v>
      </c>
    </row>
    <row r="84" spans="5:11" ht="12.75" customHeight="1">
      <c r="E84" s="870"/>
      <c r="K84" s="2" t="s">
        <v>441</v>
      </c>
    </row>
    <row r="85" spans="5:11" ht="12.75" customHeight="1">
      <c r="E85" s="870"/>
    </row>
    <row r="86" spans="5:11" ht="12.75" customHeight="1">
      <c r="E86" s="870"/>
    </row>
    <row r="94" spans="5:11" ht="12.75" customHeight="1">
      <c r="K94" s="1" t="s">
        <v>442</v>
      </c>
    </row>
    <row r="95" spans="5:11" ht="12.75" customHeight="1">
      <c r="K95" s="1" t="s">
        <v>443</v>
      </c>
    </row>
    <row r="96" spans="5:11" ht="12.75" customHeight="1">
      <c r="K96" s="1" t="s">
        <v>444</v>
      </c>
    </row>
    <row r="97" spans="11:11" ht="12.75" customHeight="1">
      <c r="K97" s="1" t="s">
        <v>445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43" type="noConversion"/>
  <conditionalFormatting sqref="K12:K20">
    <cfRule type="cellIs" dxfId="4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O41"/>
  <sheetViews>
    <sheetView view="pageBreakPreview" zoomScaleNormal="100" zoomScaleSheetLayoutView="100" workbookViewId="0">
      <selection activeCell="F28" sqref="F28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5" ht="51" customHeight="1">
      <c r="B1" s="1" t="s">
        <v>34</v>
      </c>
    </row>
    <row r="2" spans="1:15" ht="22.5">
      <c r="A2" s="1251" t="str">
        <f>"사회복지시설 용도별 판매량 ( "&amp;LEFT(총괄표!A2,9)&amp;")"</f>
        <v>사회복지시설 용도별 판매량 ( 2026년 4월 )</v>
      </c>
      <c r="B2" s="1251"/>
      <c r="C2" s="1251"/>
      <c r="D2" s="1251"/>
      <c r="E2" s="1251"/>
      <c r="F2" s="1251"/>
      <c r="G2" s="1251"/>
      <c r="H2" s="83"/>
      <c r="I2" s="83"/>
      <c r="J2" s="83"/>
      <c r="K2" s="83"/>
      <c r="L2" s="83"/>
      <c r="M2" s="83"/>
      <c r="N2" s="83"/>
      <c r="O2" s="83"/>
    </row>
    <row r="3" spans="1:15" ht="40.5" customHeight="1">
      <c r="H3" s="83"/>
      <c r="I3" s="83"/>
      <c r="J3" s="83"/>
      <c r="K3" s="83"/>
      <c r="L3" s="83"/>
      <c r="M3" s="83"/>
      <c r="N3" s="83"/>
      <c r="O3" s="83"/>
    </row>
    <row r="4" spans="1:15" ht="25.5" customHeight="1">
      <c r="A4" s="1254" t="s">
        <v>13</v>
      </c>
      <c r="B4" s="1255"/>
      <c r="C4" s="1252" t="s">
        <v>10</v>
      </c>
      <c r="D4" s="1252" t="s">
        <v>57</v>
      </c>
      <c r="E4" s="1253" t="s">
        <v>14</v>
      </c>
      <c r="F4" s="1253"/>
      <c r="G4" s="1252" t="s">
        <v>11</v>
      </c>
      <c r="H4" s="83"/>
      <c r="I4" s="1236"/>
      <c r="J4" s="1236"/>
      <c r="K4" s="1236"/>
      <c r="L4" s="79"/>
      <c r="M4" s="431"/>
      <c r="N4" s="1236"/>
      <c r="O4" s="83"/>
    </row>
    <row r="5" spans="1:15" ht="25.5" customHeight="1">
      <c r="A5" s="1256"/>
      <c r="B5" s="1257"/>
      <c r="C5" s="1147"/>
      <c r="D5" s="1147"/>
      <c r="E5" s="427" t="s">
        <v>15</v>
      </c>
      <c r="F5" s="427" t="s">
        <v>16</v>
      </c>
      <c r="G5" s="1147"/>
      <c r="H5" s="83"/>
      <c r="I5" s="1236"/>
      <c r="J5" s="1236"/>
      <c r="K5" s="1236"/>
      <c r="L5" s="431"/>
      <c r="M5" s="431"/>
      <c r="N5" s="1236"/>
      <c r="O5" s="83"/>
    </row>
    <row r="6" spans="1:15" ht="27.75" customHeight="1">
      <c r="A6" s="1240" t="s">
        <v>160</v>
      </c>
      <c r="B6" s="1230" t="s">
        <v>18</v>
      </c>
      <c r="C6" s="1237"/>
      <c r="D6" s="406"/>
      <c r="E6" s="404"/>
      <c r="F6" s="408"/>
      <c r="G6" s="10"/>
      <c r="H6" s="83"/>
      <c r="I6" s="1236"/>
      <c r="J6" s="431"/>
      <c r="K6" s="80"/>
      <c r="L6" s="81"/>
      <c r="M6" s="81"/>
      <c r="N6" s="81"/>
      <c r="O6" s="83"/>
    </row>
    <row r="7" spans="1:15" ht="27.75" customHeight="1">
      <c r="A7" s="1241"/>
      <c r="B7" s="1231"/>
      <c r="C7" s="1238"/>
      <c r="D7" s="423">
        <f>SUMIFS(청구할인정산관리!$D:$D,청구할인정산관리!$B:$B,"취사용")</f>
        <v>12785.734700000001</v>
      </c>
      <c r="E7" s="462">
        <f>SUMIFS(청구할인정산관리!$E:$E,청구할인정산관리!$B:$B,"취사용")</f>
        <v>302182</v>
      </c>
      <c r="F7" s="462">
        <f>SUMIFS(청구할인정산관리!$G:$G,청구할인정산관리!$B:$B,"취사용")</f>
        <v>230622</v>
      </c>
      <c r="G7" s="405">
        <f>E7-F7</f>
        <v>71560</v>
      </c>
      <c r="H7" s="95">
        <f>G7/E7</f>
        <v>0.23681092851328009</v>
      </c>
      <c r="I7" s="1236"/>
      <c r="J7" s="431"/>
      <c r="K7" s="80"/>
      <c r="L7" s="81"/>
      <c r="M7" s="81"/>
      <c r="N7" s="81"/>
      <c r="O7" s="83"/>
    </row>
    <row r="8" spans="1:15" ht="27.75" customHeight="1">
      <c r="A8" s="1241"/>
      <c r="B8" s="1232"/>
      <c r="C8" s="1239"/>
      <c r="D8" s="69"/>
      <c r="E8" s="70"/>
      <c r="F8" s="70"/>
      <c r="G8" s="70"/>
      <c r="H8" s="95"/>
      <c r="I8" s="1236"/>
      <c r="J8" s="431"/>
      <c r="K8" s="80"/>
      <c r="L8" s="81"/>
      <c r="M8" s="81"/>
      <c r="N8" s="81"/>
      <c r="O8" s="83"/>
    </row>
    <row r="9" spans="1:15" ht="27.75" customHeight="1">
      <c r="A9" s="1241"/>
      <c r="B9" s="1230" t="s">
        <v>159</v>
      </c>
      <c r="C9" s="1237"/>
      <c r="D9" s="71"/>
      <c r="E9" s="72" t="s">
        <v>34</v>
      </c>
      <c r="F9" s="72"/>
      <c r="G9" s="72"/>
      <c r="H9" s="95"/>
      <c r="I9" s="1236"/>
      <c r="J9" s="431"/>
      <c r="K9" s="80"/>
      <c r="L9" s="81"/>
      <c r="M9" s="81"/>
      <c r="N9" s="81"/>
      <c r="O9" s="83"/>
    </row>
    <row r="10" spans="1:15" ht="27.75" customHeight="1">
      <c r="A10" s="1241"/>
      <c r="B10" s="1231"/>
      <c r="C10" s="1238"/>
      <c r="D10" s="407">
        <f>SUMIFS(청구할인정산관리!$D:$D,청구할인정산관리!$B:$B,"취사난방용")+SUMIFS(청구할인정산관리!$D:$D,청구할인정산관리!$B:$B,"개별난방용")</f>
        <v>2496488.9079999998</v>
      </c>
      <c r="E10" s="409">
        <f>SUMIFS(청구할인정산관리!$E:$E,청구할인정산관리!$B:$B,"취사난방용")+SUMIFS(청구할인정산관리!$E:$E,청구할인정산관리!$B:$B,"개별난방용")</f>
        <v>59006759</v>
      </c>
      <c r="F10" s="409">
        <f>SUMIFS(청구할인정산관리!$G:$G,청구할인정산관리!$B:$B,"취사난방용")+SUMIFS(청구할인정산관리!$G:$G,청구할인정산관리!$B:$B,"개별난방용")</f>
        <v>44629491</v>
      </c>
      <c r="G10" s="409">
        <f>E10-F10</f>
        <v>14377268</v>
      </c>
      <c r="H10" s="95">
        <f t="shared" ref="H10:H28" si="0">G10/E10</f>
        <v>0.24365459556929742</v>
      </c>
      <c r="I10" s="1236"/>
      <c r="J10" s="431"/>
      <c r="K10" s="80"/>
      <c r="L10" s="81"/>
      <c r="M10" s="81"/>
      <c r="N10" s="81"/>
      <c r="O10" s="83"/>
    </row>
    <row r="11" spans="1:15" ht="27.75" customHeight="1">
      <c r="A11" s="1242"/>
      <c r="B11" s="1232"/>
      <c r="C11" s="1239"/>
      <c r="D11" s="69"/>
      <c r="E11" s="70"/>
      <c r="F11" s="70"/>
      <c r="G11" s="70"/>
      <c r="H11" s="95"/>
      <c r="I11" s="1236"/>
      <c r="J11" s="431"/>
      <c r="K11" s="80"/>
      <c r="L11" s="81"/>
      <c r="M11" s="81"/>
      <c r="N11" s="81"/>
      <c r="O11" s="83"/>
    </row>
    <row r="12" spans="1:15" ht="27.75" customHeight="1">
      <c r="A12" s="1228" t="s">
        <v>261</v>
      </c>
      <c r="B12" s="1258"/>
      <c r="C12" s="234"/>
      <c r="D12" s="235">
        <f>D10+D7</f>
        <v>2509274.6426999997</v>
      </c>
      <c r="E12" s="236">
        <f>E10+E7</f>
        <v>59308941</v>
      </c>
      <c r="F12" s="236">
        <f>F10+F7</f>
        <v>44860113</v>
      </c>
      <c r="G12" s="236">
        <f>G10+G7</f>
        <v>14448828</v>
      </c>
      <c r="H12" s="95">
        <f t="shared" si="0"/>
        <v>0.24361972674575322</v>
      </c>
      <c r="I12" s="431"/>
      <c r="J12" s="431"/>
      <c r="K12" s="80"/>
      <c r="L12" s="81"/>
      <c r="M12" s="81"/>
      <c r="N12" s="81"/>
      <c r="O12" s="83"/>
    </row>
    <row r="13" spans="1:15" ht="27.75" customHeight="1">
      <c r="A13" s="1259" t="s">
        <v>161</v>
      </c>
      <c r="B13" s="1230" t="s">
        <v>260</v>
      </c>
      <c r="C13" s="1237"/>
      <c r="D13" s="90"/>
      <c r="E13" s="91"/>
      <c r="F13" s="91"/>
      <c r="G13" s="72"/>
      <c r="H13" s="95"/>
      <c r="I13" s="431"/>
      <c r="J13" s="431"/>
      <c r="K13" s="80"/>
      <c r="L13" s="81"/>
      <c r="M13" s="81"/>
      <c r="N13" s="81"/>
      <c r="O13" s="83"/>
    </row>
    <row r="14" spans="1:15" ht="27.75" customHeight="1">
      <c r="A14" s="1260"/>
      <c r="B14" s="1231"/>
      <c r="C14" s="1238"/>
      <c r="D14" s="407">
        <f>SUMIFS(청구할인정산관리!$D:$D,청구할인정산관리!$B:$B,"업무난방용")</f>
        <v>18865233.8059</v>
      </c>
      <c r="E14" s="409">
        <f>SUMIFS(청구할인정산관리!$E:$E,청구할인정산관리!$B:$B,"업무난방용")</f>
        <v>425494901</v>
      </c>
      <c r="F14" s="409">
        <f>SUMIFS(청구할인정산관리!$G:$G,청구할인정산관리!$B:$B,"업무난방용")</f>
        <v>338110139</v>
      </c>
      <c r="G14" s="405">
        <f>E14-F14</f>
        <v>87384762</v>
      </c>
      <c r="H14" s="95">
        <f t="shared" si="0"/>
        <v>0.20537205450553683</v>
      </c>
      <c r="I14" s="431"/>
      <c r="J14" s="431"/>
      <c r="K14" s="80"/>
      <c r="L14" s="81"/>
      <c r="M14" s="81"/>
      <c r="N14" s="81"/>
      <c r="O14" s="83"/>
    </row>
    <row r="15" spans="1:15" ht="27.75" customHeight="1">
      <c r="A15" s="1260"/>
      <c r="B15" s="1232"/>
      <c r="C15" s="1239"/>
      <c r="D15" s="400"/>
      <c r="E15" s="93"/>
      <c r="F15" s="93"/>
      <c r="G15" s="93"/>
      <c r="H15" s="95"/>
      <c r="I15" s="431"/>
      <c r="J15" s="431"/>
      <c r="K15" s="80"/>
      <c r="L15" s="81"/>
      <c r="M15" s="81"/>
      <c r="N15" s="81"/>
      <c r="O15" s="83"/>
    </row>
    <row r="16" spans="1:15" ht="27.75" customHeight="1">
      <c r="A16" s="1260"/>
      <c r="B16" s="1233" t="s">
        <v>58</v>
      </c>
      <c r="C16" s="1238"/>
      <c r="D16" s="217"/>
      <c r="E16" s="218"/>
      <c r="F16" s="218"/>
      <c r="G16" s="413"/>
      <c r="H16" s="95"/>
      <c r="I16" s="431"/>
      <c r="J16" s="431"/>
      <c r="K16" s="80"/>
      <c r="L16" s="81"/>
      <c r="M16" s="81"/>
      <c r="N16" s="81"/>
      <c r="O16" s="83"/>
    </row>
    <row r="17" spans="1:15" ht="27.75" customHeight="1">
      <c r="A17" s="1260"/>
      <c r="B17" s="1234"/>
      <c r="C17" s="1238"/>
      <c r="D17" s="407">
        <f>SUMIFS(청구할인정산관리!$D:$D,청구할인정산관리!$B:$B,"냉난방용(업무)")</f>
        <v>835676.90300000005</v>
      </c>
      <c r="E17" s="409">
        <f>SUMIFS(청구할인정산관리!$E:$E,청구할인정산관리!$B:$B,"냉난방용(업무)")</f>
        <v>18051049</v>
      </c>
      <c r="F17" s="409">
        <f>SUMIFS(청구할인정산관리!$G:$G,청구할인정산관리!$B:$B,"냉난방용(업무)")</f>
        <v>15072795</v>
      </c>
      <c r="G17" s="405">
        <f>E17-F17</f>
        <v>2978254</v>
      </c>
      <c r="H17" s="95">
        <f t="shared" si="0"/>
        <v>0.16499063295435074</v>
      </c>
      <c r="I17" s="431"/>
      <c r="J17" s="431"/>
      <c r="K17" s="80"/>
      <c r="L17" s="81"/>
      <c r="M17" s="81"/>
      <c r="N17" s="81"/>
      <c r="O17" s="83"/>
    </row>
    <row r="18" spans="1:15" ht="27.75" customHeight="1">
      <c r="A18" s="1261"/>
      <c r="B18" s="1235"/>
      <c r="C18" s="1239"/>
      <c r="D18" s="188"/>
      <c r="E18" s="93"/>
      <c r="F18" s="93"/>
      <c r="G18" s="93"/>
      <c r="H18" s="95"/>
      <c r="I18" s="83"/>
      <c r="J18" s="83"/>
      <c r="K18" s="83"/>
      <c r="L18" s="83"/>
      <c r="M18" s="83"/>
      <c r="N18" s="83"/>
      <c r="O18" s="83"/>
    </row>
    <row r="19" spans="1:15" ht="27.75" customHeight="1">
      <c r="A19" s="1228" t="s">
        <v>261</v>
      </c>
      <c r="B19" s="1229"/>
      <c r="C19" s="237"/>
      <c r="D19" s="238">
        <f>D14+D17</f>
        <v>19700910.708900001</v>
      </c>
      <c r="E19" s="239">
        <f>E14+E17</f>
        <v>443545950</v>
      </c>
      <c r="F19" s="239">
        <f>F14+F17</f>
        <v>353182934</v>
      </c>
      <c r="G19" s="239">
        <f>G14+G17</f>
        <v>90363016</v>
      </c>
      <c r="H19" s="95">
        <f t="shared" si="0"/>
        <v>0.2037286463781261</v>
      </c>
      <c r="I19" s="83"/>
      <c r="J19" s="83"/>
      <c r="K19" s="83"/>
      <c r="L19" s="83"/>
      <c r="M19" s="83"/>
      <c r="N19" s="83"/>
      <c r="O19" s="83"/>
    </row>
    <row r="20" spans="1:15" ht="27.75" customHeight="1">
      <c r="A20" s="1245" t="s">
        <v>343</v>
      </c>
      <c r="B20" s="1246"/>
      <c r="C20" s="1237"/>
      <c r="D20" s="71"/>
      <c r="E20" s="72"/>
      <c r="F20" s="72"/>
      <c r="G20" s="72"/>
      <c r="H20" s="95"/>
      <c r="I20" s="83"/>
      <c r="J20" s="83"/>
      <c r="K20" s="83"/>
      <c r="L20" s="83"/>
      <c r="M20" s="83"/>
      <c r="N20" s="83"/>
      <c r="O20" s="83"/>
    </row>
    <row r="21" spans="1:15" ht="27.75" customHeight="1">
      <c r="A21" s="1247"/>
      <c r="B21" s="1248"/>
      <c r="C21" s="1238"/>
      <c r="D21" s="407">
        <f>SUMIFS(청구할인정산관리!$D:$D,청구할인정산관리!$B:$B,"일반용(1)")+SUMIFS(청구할인정산관리!$D:$D,청구할인정산관리!$B:$B,"일반용(2)")</f>
        <v>5564164.5090000005</v>
      </c>
      <c r="E21" s="409">
        <f>SUMIFS(청구할인정산관리!$E:$E,청구할인정산관리!$B:$B,"일반용(1)")+SUMIFS(청구할인정산관리!$E:$E,청구할인정산관리!$B:$B,"일반용(2)")</f>
        <v>126774041</v>
      </c>
      <c r="F21" s="409">
        <f>SUMIFS(청구할인정산관리!$G:$G,청구할인정산관리!$B:$B,"일반용(1)")+SUMIFS(청구할인정산관리!$G:$G,청구할인정산관리!$B:$B,"일반용(2)")</f>
        <v>100170326</v>
      </c>
      <c r="G21" s="414">
        <f>E21-F21</f>
        <v>26603715</v>
      </c>
      <c r="H21" s="95"/>
      <c r="I21" s="83"/>
      <c r="J21" s="83"/>
      <c r="K21" s="83"/>
      <c r="L21" s="83"/>
      <c r="M21" s="83"/>
      <c r="N21" s="83"/>
      <c r="O21" s="83"/>
    </row>
    <row r="22" spans="1:15" ht="27.75" customHeight="1">
      <c r="A22" s="1249"/>
      <c r="B22" s="1250"/>
      <c r="C22" s="1239"/>
      <c r="D22" s="69"/>
      <c r="E22" s="70"/>
      <c r="F22" s="70"/>
      <c r="G22" s="70"/>
      <c r="H22" s="95"/>
      <c r="I22" s="83"/>
      <c r="J22" s="83"/>
      <c r="K22" s="83"/>
      <c r="L22" s="83"/>
      <c r="M22" s="83"/>
      <c r="N22" s="83"/>
      <c r="O22" s="83"/>
    </row>
    <row r="23" spans="1:15" ht="27.75" customHeight="1">
      <c r="A23" s="1228" t="s">
        <v>261</v>
      </c>
      <c r="B23" s="1229"/>
      <c r="C23" s="234"/>
      <c r="D23" s="235">
        <f>SUM(D20:D22)</f>
        <v>5564164.5090000005</v>
      </c>
      <c r="E23" s="236">
        <f>SUM(E20:E22)</f>
        <v>126774041</v>
      </c>
      <c r="F23" s="236">
        <f>SUM(F20:F22)</f>
        <v>100170326</v>
      </c>
      <c r="G23" s="236">
        <f>SUM(G20:G22)</f>
        <v>26603715</v>
      </c>
      <c r="H23" s="95"/>
      <c r="I23" s="83"/>
      <c r="J23" s="83"/>
      <c r="K23" s="83"/>
      <c r="L23" s="83"/>
      <c r="M23" s="83"/>
      <c r="N23" s="83"/>
      <c r="O23" s="83"/>
    </row>
    <row r="24" spans="1:15" ht="27.75" customHeight="1">
      <c r="A24" s="1245" t="s">
        <v>162</v>
      </c>
      <c r="B24" s="1246"/>
      <c r="C24" s="430"/>
      <c r="D24" s="71"/>
      <c r="E24" s="72"/>
      <c r="F24" s="72"/>
      <c r="G24" s="72"/>
      <c r="H24" s="95"/>
      <c r="I24" s="431"/>
      <c r="J24" s="431"/>
      <c r="K24" s="80"/>
      <c r="L24" s="81"/>
      <c r="M24" s="81"/>
      <c r="N24" s="81"/>
      <c r="O24" s="83"/>
    </row>
    <row r="25" spans="1:15" ht="27.75" customHeight="1">
      <c r="A25" s="1247"/>
      <c r="B25" s="1248"/>
      <c r="C25" s="428"/>
      <c r="D25" s="249"/>
      <c r="E25" s="248"/>
      <c r="F25" s="248"/>
      <c r="G25" s="409">
        <f>E25-F25</f>
        <v>0</v>
      </c>
      <c r="H25" s="95"/>
      <c r="I25" s="431"/>
      <c r="J25" s="83"/>
      <c r="K25" s="80"/>
      <c r="L25" s="81"/>
      <c r="M25" s="81"/>
      <c r="N25" s="81"/>
      <c r="O25" s="83"/>
    </row>
    <row r="26" spans="1:15" ht="27.75" customHeight="1">
      <c r="A26" s="1249"/>
      <c r="B26" s="1250"/>
      <c r="C26" s="429"/>
      <c r="D26" s="250"/>
      <c r="E26" s="251"/>
      <c r="F26" s="251"/>
      <c r="G26" s="70"/>
      <c r="H26" s="95"/>
      <c r="I26" s="431"/>
      <c r="J26" s="431"/>
      <c r="K26" s="80"/>
      <c r="L26" s="81"/>
      <c r="M26" s="81"/>
      <c r="N26" s="81"/>
      <c r="O26" s="83"/>
    </row>
    <row r="27" spans="1:15" ht="27.75" customHeight="1" thickBot="1">
      <c r="A27" s="1243" t="s">
        <v>261</v>
      </c>
      <c r="B27" s="1244"/>
      <c r="C27" s="410"/>
      <c r="D27" s="411">
        <f>SUM(D24:D26)</f>
        <v>0</v>
      </c>
      <c r="E27" s="412">
        <f>SUM(E24:E26)</f>
        <v>0</v>
      </c>
      <c r="F27" s="412">
        <f>SUM(F24:F26)</f>
        <v>0</v>
      </c>
      <c r="G27" s="412">
        <f>SUM(G24:G26)</f>
        <v>0</v>
      </c>
      <c r="H27" s="95"/>
      <c r="I27" s="83"/>
      <c r="K27" s="83"/>
      <c r="L27" s="83"/>
      <c r="M27" s="83"/>
      <c r="N27" s="83"/>
      <c r="O27" s="83"/>
    </row>
    <row r="28" spans="1:15" ht="27.75" customHeight="1" thickTop="1">
      <c r="A28" s="1228" t="s">
        <v>262</v>
      </c>
      <c r="B28" s="1229"/>
      <c r="C28" s="415"/>
      <c r="D28" s="416">
        <f>D23+D12+D19+D27</f>
        <v>27774349.860600002</v>
      </c>
      <c r="E28" s="417">
        <f>E23+E12+E19+E27</f>
        <v>629628932</v>
      </c>
      <c r="F28" s="417">
        <f>F23+F12+F19+F27</f>
        <v>498213373</v>
      </c>
      <c r="G28" s="417">
        <f>G23+G12+G19+G27</f>
        <v>131415559</v>
      </c>
      <c r="H28" s="95">
        <f t="shared" si="0"/>
        <v>0.20871906026071876</v>
      </c>
      <c r="I28" s="83"/>
      <c r="J28" s="83"/>
      <c r="K28" s="83"/>
      <c r="L28" s="83"/>
      <c r="M28" s="83"/>
      <c r="N28" s="83"/>
      <c r="O28" s="83"/>
    </row>
    <row r="29" spans="1:15" ht="18.75" customHeight="1">
      <c r="A29" s="2"/>
      <c r="D29" s="8"/>
      <c r="E29" s="75"/>
      <c r="H29" s="82"/>
      <c r="I29" s="83"/>
      <c r="J29" s="83"/>
      <c r="K29" s="83"/>
      <c r="L29" s="83"/>
      <c r="M29" s="83"/>
      <c r="N29" s="83"/>
      <c r="O29" s="83"/>
    </row>
    <row r="30" spans="1:15" ht="19.5" customHeight="1">
      <c r="A30" s="2"/>
      <c r="D30" s="8"/>
      <c r="E30" s="75"/>
      <c r="H30" s="82"/>
      <c r="I30" s="83"/>
      <c r="J30" s="83"/>
      <c r="K30" s="83"/>
      <c r="L30" s="83"/>
      <c r="M30" s="83"/>
      <c r="N30" s="83"/>
      <c r="O30" s="83"/>
    </row>
    <row r="31" spans="1:15">
      <c r="D31" s="8"/>
      <c r="E31" s="75"/>
      <c r="H31" s="82"/>
      <c r="I31" s="83"/>
      <c r="J31" s="83"/>
      <c r="K31" s="83"/>
      <c r="L31" s="83"/>
      <c r="M31" s="83"/>
      <c r="N31" s="83"/>
      <c r="O31" s="83"/>
    </row>
    <row r="32" spans="1:15">
      <c r="D32" s="8"/>
      <c r="E32" s="75"/>
      <c r="H32" s="82"/>
      <c r="I32" s="83"/>
      <c r="J32" s="83"/>
      <c r="K32" s="83"/>
      <c r="L32" s="83"/>
      <c r="M32" s="83"/>
      <c r="N32" s="83"/>
      <c r="O32" s="83"/>
    </row>
    <row r="33" spans="4:15">
      <c r="D33" s="8"/>
      <c r="E33" s="75"/>
      <c r="H33" s="82"/>
      <c r="I33" s="83"/>
      <c r="J33" s="83"/>
      <c r="K33" s="83"/>
      <c r="L33" s="83"/>
      <c r="M33" s="83"/>
      <c r="N33" s="83"/>
      <c r="O33" s="83"/>
    </row>
    <row r="34" spans="4:15">
      <c r="D34" s="8"/>
      <c r="E34" s="75"/>
      <c r="H34" s="82"/>
      <c r="I34" s="83"/>
      <c r="J34" s="83"/>
      <c r="K34" s="83"/>
      <c r="L34" s="83"/>
      <c r="M34" s="83"/>
      <c r="N34" s="83"/>
      <c r="O34" s="83"/>
    </row>
    <row r="35" spans="4:15">
      <c r="D35" s="8"/>
      <c r="E35" s="75"/>
      <c r="H35" s="82"/>
      <c r="I35" s="83"/>
      <c r="J35" s="83"/>
      <c r="K35" s="83"/>
      <c r="L35" s="83"/>
      <c r="M35" s="83"/>
      <c r="N35" s="83"/>
      <c r="O35" s="83"/>
    </row>
    <row r="36" spans="4:15">
      <c r="D36" s="8"/>
      <c r="E36" s="75"/>
      <c r="H36" s="82"/>
      <c r="I36" s="83"/>
      <c r="J36" s="83"/>
      <c r="K36" s="83"/>
      <c r="L36" s="83"/>
      <c r="M36" s="83"/>
      <c r="N36" s="83"/>
      <c r="O36" s="83"/>
    </row>
    <row r="37" spans="4:15">
      <c r="D37" s="84"/>
      <c r="H37" s="82"/>
      <c r="I37" s="83"/>
      <c r="J37" s="83"/>
      <c r="K37" s="83"/>
      <c r="L37" s="83"/>
      <c r="M37" s="83"/>
      <c r="N37" s="83"/>
      <c r="O37" s="83"/>
    </row>
    <row r="38" spans="4:15">
      <c r="D38" s="8"/>
      <c r="H38" s="83"/>
      <c r="I38" s="83"/>
      <c r="J38" s="83"/>
      <c r="K38" s="83"/>
      <c r="L38" s="83"/>
      <c r="M38" s="83"/>
      <c r="N38" s="83"/>
      <c r="O38" s="83"/>
    </row>
    <row r="39" spans="4:15">
      <c r="D39" s="24" t="s">
        <v>210</v>
      </c>
      <c r="H39" s="83"/>
      <c r="I39" s="83"/>
      <c r="J39" s="83"/>
      <c r="K39" s="83"/>
      <c r="L39" s="83"/>
      <c r="M39" s="83"/>
      <c r="N39" s="83"/>
      <c r="O39" s="83"/>
    </row>
    <row r="40" spans="4:15">
      <c r="D40" s="8"/>
      <c r="E40" s="23" t="s">
        <v>34</v>
      </c>
      <c r="F40" s="23" t="s">
        <v>34</v>
      </c>
      <c r="H40" s="83"/>
      <c r="I40" s="83"/>
      <c r="J40" s="83"/>
      <c r="K40" s="83"/>
      <c r="L40" s="83"/>
      <c r="M40" s="83"/>
      <c r="N40" s="83"/>
      <c r="O40" s="83"/>
    </row>
    <row r="41" spans="4:15">
      <c r="D41" s="8"/>
      <c r="H41" s="83"/>
      <c r="I41" s="83"/>
      <c r="J41" s="83"/>
      <c r="K41" s="83"/>
      <c r="L41" s="83"/>
      <c r="M41" s="83"/>
      <c r="N41" s="83"/>
      <c r="O41" s="83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42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41"/>
  <sheetViews>
    <sheetView zoomScale="124" zoomScaleNormal="124" workbookViewId="0">
      <selection activeCell="D12" sqref="D12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95" t="s">
        <v>468</v>
      </c>
    </row>
    <row r="2" spans="1:7" ht="12" customHeight="1">
      <c r="B2" s="212"/>
      <c r="C2" s="213" t="s">
        <v>60</v>
      </c>
      <c r="D2" s="213" t="s">
        <v>61</v>
      </c>
      <c r="E2" s="214" t="s">
        <v>62</v>
      </c>
      <c r="F2" s="150" t="s">
        <v>183</v>
      </c>
      <c r="G2" s="751"/>
    </row>
    <row r="3" spans="1:7" ht="12" customHeight="1">
      <c r="B3" s="34" t="s">
        <v>30</v>
      </c>
      <c r="C3" s="35" t="s">
        <v>40</v>
      </c>
      <c r="D3" s="943"/>
      <c r="E3" s="944"/>
      <c r="F3" s="752" t="s">
        <v>454</v>
      </c>
      <c r="G3" s="750"/>
    </row>
    <row r="4" spans="1:7" ht="12" customHeight="1">
      <c r="B4" s="32" t="s">
        <v>30</v>
      </c>
      <c r="C4" s="33" t="s">
        <v>381</v>
      </c>
      <c r="D4" s="1041">
        <v>461</v>
      </c>
      <c r="E4" s="1042">
        <v>19670.409</v>
      </c>
      <c r="F4" s="752" t="s">
        <v>460</v>
      </c>
      <c r="G4" s="750"/>
    </row>
    <row r="5" spans="1:7" ht="12" customHeight="1">
      <c r="B5" s="32" t="s">
        <v>30</v>
      </c>
      <c r="C5" s="33" t="s">
        <v>380</v>
      </c>
      <c r="D5" s="1041">
        <v>1645</v>
      </c>
      <c r="E5" s="1043">
        <v>70190.505000000005</v>
      </c>
      <c r="F5" s="752" t="s">
        <v>461</v>
      </c>
      <c r="G5" s="750"/>
    </row>
    <row r="6" spans="1:7" ht="12" customHeight="1">
      <c r="B6" s="32" t="s">
        <v>30</v>
      </c>
      <c r="C6" s="33" t="s">
        <v>47</v>
      </c>
      <c r="D6" s="1041">
        <v>215469</v>
      </c>
      <c r="E6" s="1042">
        <v>9193846.7609999999</v>
      </c>
      <c r="F6" s="752" t="s">
        <v>165</v>
      </c>
      <c r="G6" s="750"/>
    </row>
    <row r="7" spans="1:7" ht="12" customHeight="1">
      <c r="B7" s="32" t="s">
        <v>30</v>
      </c>
      <c r="C7" s="33" t="s">
        <v>379</v>
      </c>
      <c r="D7" s="1041">
        <v>2431</v>
      </c>
      <c r="E7" s="1042">
        <v>103728.33900000001</v>
      </c>
      <c r="F7" s="752" t="s">
        <v>446</v>
      </c>
      <c r="G7" s="750"/>
    </row>
    <row r="8" spans="1:7" s="87" customFormat="1" ht="12" customHeight="1">
      <c r="B8" s="36" t="s">
        <v>30</v>
      </c>
      <c r="C8" s="48" t="s">
        <v>107</v>
      </c>
      <c r="D8" s="943"/>
      <c r="E8" s="1030"/>
      <c r="F8" s="752" t="s">
        <v>163</v>
      </c>
      <c r="G8" s="750"/>
    </row>
    <row r="9" spans="1:7" ht="12" customHeight="1">
      <c r="B9" s="36" t="s">
        <v>30</v>
      </c>
      <c r="C9" s="48" t="s">
        <v>101</v>
      </c>
      <c r="D9" s="1041">
        <v>133.15</v>
      </c>
      <c r="E9" s="1044">
        <v>5681.3774000000003</v>
      </c>
      <c r="F9" s="874" t="s">
        <v>184</v>
      </c>
      <c r="G9" s="875" t="s">
        <v>382</v>
      </c>
    </row>
    <row r="10" spans="1:7" ht="12" hidden="1" customHeight="1">
      <c r="B10" s="1262" t="s">
        <v>71</v>
      </c>
      <c r="C10" s="1263"/>
      <c r="D10" s="418">
        <f>SUM(D3:D9)</f>
        <v>220139.15</v>
      </c>
      <c r="E10" s="31">
        <f>SUM(E3:E9)</f>
        <v>9393117.3914000001</v>
      </c>
      <c r="F10" s="750"/>
      <c r="G10" s="750"/>
    </row>
    <row r="11" spans="1:7" ht="12" hidden="1" customHeight="1">
      <c r="B11" s="34" t="s">
        <v>30</v>
      </c>
      <c r="C11" s="35" t="s">
        <v>70</v>
      </c>
      <c r="D11" s="419">
        <v>0</v>
      </c>
      <c r="E11" s="49">
        <v>0</v>
      </c>
      <c r="F11" s="750"/>
      <c r="G11" s="750"/>
    </row>
    <row r="12" spans="1:7" ht="12" customHeight="1">
      <c r="B12" s="1264" t="s">
        <v>72</v>
      </c>
      <c r="C12" s="1265"/>
      <c r="D12" s="420">
        <f>SUM(D3:D9)</f>
        <v>220139.15</v>
      </c>
      <c r="E12" s="215">
        <f>SUM(E3:E9)</f>
        <v>9393117.3914000001</v>
      </c>
      <c r="F12" s="750" t="s">
        <v>164</v>
      </c>
      <c r="G12" s="750"/>
    </row>
    <row r="13" spans="1:7">
      <c r="D13" s="88"/>
      <c r="E13" s="89"/>
    </row>
    <row r="15" spans="1:7">
      <c r="A15" s="74"/>
    </row>
    <row r="16" spans="1:7">
      <c r="A16" s="96" t="s">
        <v>113</v>
      </c>
    </row>
    <row r="17" spans="1:16">
      <c r="A17" s="721" t="s">
        <v>451</v>
      </c>
      <c r="B17" s="721"/>
      <c r="C17" s="721"/>
      <c r="D17" s="721"/>
      <c r="E17" s="721"/>
      <c r="F17" s="721"/>
      <c r="G17" s="721"/>
      <c r="H17" s="721"/>
      <c r="I17" s="721"/>
      <c r="J17" s="721"/>
      <c r="K17" s="721"/>
      <c r="L17" s="721"/>
      <c r="M17" s="721"/>
      <c r="N17" s="721"/>
      <c r="O17" s="721"/>
      <c r="P17" s="721"/>
    </row>
    <row r="19" spans="1:16">
      <c r="C19" s="28"/>
      <c r="D19" s="28"/>
      <c r="E19" s="28"/>
    </row>
    <row r="22" spans="1:16">
      <c r="H22" t="s">
        <v>238</v>
      </c>
    </row>
    <row r="41" spans="6:6">
      <c r="F41" s="898" t="s">
        <v>447</v>
      </c>
    </row>
  </sheetData>
  <mergeCells count="2">
    <mergeCell ref="B10:C10"/>
    <mergeCell ref="B12:C12"/>
  </mergeCells>
  <phoneticPr fontId="43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B1:AQ87"/>
  <sheetViews>
    <sheetView view="pageBreakPreview" topLeftCell="B1" zoomScale="40" zoomScaleNormal="25" zoomScaleSheetLayoutView="40" zoomScalePageLayoutView="70" workbookViewId="0">
      <selection activeCell="AF8" sqref="AF8:AF9"/>
    </sheetView>
  </sheetViews>
  <sheetFormatPr defaultRowHeight="13.5"/>
  <cols>
    <col min="1" max="1" width="3.33203125" style="102" customWidth="1"/>
    <col min="2" max="2" width="28.6640625" style="102" customWidth="1"/>
    <col min="3" max="16" width="25" style="102" hidden="1" customWidth="1"/>
    <col min="17" max="21" width="29" style="102" customWidth="1"/>
    <col min="22" max="22" width="25" style="102" hidden="1" customWidth="1"/>
    <col min="23" max="23" width="28.33203125" style="102" hidden="1" customWidth="1"/>
    <col min="24" max="24" width="29" style="102" customWidth="1"/>
    <col min="25" max="25" width="30.109375" style="102" hidden="1" customWidth="1"/>
    <col min="26" max="26" width="25" style="102" hidden="1" customWidth="1"/>
    <col min="27" max="27" width="30.109375" style="102" hidden="1" customWidth="1"/>
    <col min="28" max="32" width="29" style="102" customWidth="1"/>
    <col min="33" max="34" width="25" style="102" hidden="1" customWidth="1"/>
    <col min="35" max="35" width="29" style="102" customWidth="1"/>
    <col min="36" max="37" width="8.88671875" style="102"/>
    <col min="38" max="38" width="17.6640625" style="102" bestFit="1" customWidth="1"/>
    <col min="39" max="199" width="8.88671875" style="102"/>
    <col min="200" max="200" width="1.109375" style="102" customWidth="1"/>
    <col min="201" max="201" width="10.33203125" style="102" customWidth="1"/>
    <col min="202" max="202" width="18.21875" style="102" customWidth="1"/>
    <col min="203" max="203" width="20.44140625" style="102" customWidth="1"/>
    <col min="204" max="204" width="18.109375" style="102" bestFit="1" customWidth="1"/>
    <col min="205" max="205" width="13.21875" style="102" customWidth="1"/>
    <col min="206" max="206" width="3.109375" style="102" customWidth="1"/>
    <col min="207" max="207" width="15.5546875" style="102" customWidth="1"/>
    <col min="208" max="208" width="13.21875" style="102" customWidth="1"/>
    <col min="209" max="209" width="10.88671875" style="102" customWidth="1"/>
    <col min="210" max="210" width="3.109375" style="102" customWidth="1"/>
    <col min="211" max="211" width="15.5546875" style="102" customWidth="1"/>
    <col min="212" max="213" width="10.88671875" style="102" customWidth="1"/>
    <col min="214" max="214" width="18.6640625" style="102" customWidth="1"/>
    <col min="215" max="215" width="3.109375" style="102" customWidth="1"/>
    <col min="216" max="216" width="15.5546875" style="102" customWidth="1"/>
    <col min="217" max="218" width="10.88671875" style="102" customWidth="1"/>
    <col min="219" max="219" width="3.109375" style="102" customWidth="1"/>
    <col min="220" max="220" width="16.44140625" style="102" customWidth="1"/>
    <col min="221" max="221" width="10.88671875" style="102" customWidth="1"/>
    <col min="222" max="222" width="68.6640625" style="102" customWidth="1"/>
    <col min="223" max="223" width="2.21875" style="102" customWidth="1"/>
    <col min="224" max="455" width="8.88671875" style="102"/>
    <col min="456" max="456" width="1.109375" style="102" customWidth="1"/>
    <col min="457" max="457" width="10.33203125" style="102" customWidth="1"/>
    <col min="458" max="458" width="18.21875" style="102" customWidth="1"/>
    <col min="459" max="459" width="20.44140625" style="102" customWidth="1"/>
    <col min="460" max="460" width="18.109375" style="102" bestFit="1" customWidth="1"/>
    <col min="461" max="461" width="13.21875" style="102" customWidth="1"/>
    <col min="462" max="462" width="3.109375" style="102" customWidth="1"/>
    <col min="463" max="463" width="15.5546875" style="102" customWidth="1"/>
    <col min="464" max="464" width="13.21875" style="102" customWidth="1"/>
    <col min="465" max="465" width="10.88671875" style="102" customWidth="1"/>
    <col min="466" max="466" width="3.109375" style="102" customWidth="1"/>
    <col min="467" max="467" width="15.5546875" style="102" customWidth="1"/>
    <col min="468" max="469" width="10.88671875" style="102" customWidth="1"/>
    <col min="470" max="470" width="18.6640625" style="102" customWidth="1"/>
    <col min="471" max="471" width="3.109375" style="102" customWidth="1"/>
    <col min="472" max="472" width="15.5546875" style="102" customWidth="1"/>
    <col min="473" max="474" width="10.88671875" style="102" customWidth="1"/>
    <col min="475" max="475" width="3.109375" style="102" customWidth="1"/>
    <col min="476" max="476" width="16.44140625" style="102" customWidth="1"/>
    <col min="477" max="477" width="10.88671875" style="102" customWidth="1"/>
    <col min="478" max="478" width="68.6640625" style="102" customWidth="1"/>
    <col min="479" max="479" width="2.21875" style="102" customWidth="1"/>
    <col min="480" max="711" width="8.88671875" style="102"/>
    <col min="712" max="712" width="1.109375" style="102" customWidth="1"/>
    <col min="713" max="713" width="10.33203125" style="102" customWidth="1"/>
    <col min="714" max="714" width="18.21875" style="102" customWidth="1"/>
    <col min="715" max="715" width="20.44140625" style="102" customWidth="1"/>
    <col min="716" max="716" width="18.109375" style="102" bestFit="1" customWidth="1"/>
    <col min="717" max="717" width="13.21875" style="102" customWidth="1"/>
    <col min="718" max="718" width="3.109375" style="102" customWidth="1"/>
    <col min="719" max="719" width="15.5546875" style="102" customWidth="1"/>
    <col min="720" max="720" width="13.21875" style="102" customWidth="1"/>
    <col min="721" max="721" width="10.88671875" style="102" customWidth="1"/>
    <col min="722" max="722" width="3.109375" style="102" customWidth="1"/>
    <col min="723" max="723" width="15.5546875" style="102" customWidth="1"/>
    <col min="724" max="725" width="10.88671875" style="102" customWidth="1"/>
    <col min="726" max="726" width="18.6640625" style="102" customWidth="1"/>
    <col min="727" max="727" width="3.109375" style="102" customWidth="1"/>
    <col min="728" max="728" width="15.5546875" style="102" customWidth="1"/>
    <col min="729" max="730" width="10.88671875" style="102" customWidth="1"/>
    <col min="731" max="731" width="3.109375" style="102" customWidth="1"/>
    <col min="732" max="732" width="16.44140625" style="102" customWidth="1"/>
    <col min="733" max="733" width="10.88671875" style="102" customWidth="1"/>
    <col min="734" max="734" width="68.6640625" style="102" customWidth="1"/>
    <col min="735" max="735" width="2.21875" style="102" customWidth="1"/>
    <col min="736" max="967" width="8.88671875" style="102"/>
    <col min="968" max="968" width="1.109375" style="102" customWidth="1"/>
    <col min="969" max="969" width="10.33203125" style="102" customWidth="1"/>
    <col min="970" max="970" width="18.21875" style="102" customWidth="1"/>
    <col min="971" max="971" width="20.44140625" style="102" customWidth="1"/>
    <col min="972" max="972" width="18.109375" style="102" bestFit="1" customWidth="1"/>
    <col min="973" max="973" width="13.21875" style="102" customWidth="1"/>
    <col min="974" max="974" width="3.109375" style="102" customWidth="1"/>
    <col min="975" max="975" width="15.5546875" style="102" customWidth="1"/>
    <col min="976" max="976" width="13.21875" style="102" customWidth="1"/>
    <col min="977" max="977" width="10.88671875" style="102" customWidth="1"/>
    <col min="978" max="978" width="3.109375" style="102" customWidth="1"/>
    <col min="979" max="979" width="15.5546875" style="102" customWidth="1"/>
    <col min="980" max="981" width="10.88671875" style="102" customWidth="1"/>
    <col min="982" max="982" width="18.6640625" style="102" customWidth="1"/>
    <col min="983" max="983" width="3.109375" style="102" customWidth="1"/>
    <col min="984" max="984" width="15.5546875" style="102" customWidth="1"/>
    <col min="985" max="986" width="10.88671875" style="102" customWidth="1"/>
    <col min="987" max="987" width="3.109375" style="102" customWidth="1"/>
    <col min="988" max="988" width="16.44140625" style="102" customWidth="1"/>
    <col min="989" max="989" width="10.88671875" style="102" customWidth="1"/>
    <col min="990" max="990" width="68.6640625" style="102" customWidth="1"/>
    <col min="991" max="991" width="2.21875" style="102" customWidth="1"/>
    <col min="992" max="1223" width="8.88671875" style="102"/>
    <col min="1224" max="1224" width="1.109375" style="102" customWidth="1"/>
    <col min="1225" max="1225" width="10.33203125" style="102" customWidth="1"/>
    <col min="1226" max="1226" width="18.21875" style="102" customWidth="1"/>
    <col min="1227" max="1227" width="20.44140625" style="102" customWidth="1"/>
    <col min="1228" max="1228" width="18.109375" style="102" bestFit="1" customWidth="1"/>
    <col min="1229" max="1229" width="13.21875" style="102" customWidth="1"/>
    <col min="1230" max="1230" width="3.109375" style="102" customWidth="1"/>
    <col min="1231" max="1231" width="15.5546875" style="102" customWidth="1"/>
    <col min="1232" max="1232" width="13.21875" style="102" customWidth="1"/>
    <col min="1233" max="1233" width="10.88671875" style="102" customWidth="1"/>
    <col min="1234" max="1234" width="3.109375" style="102" customWidth="1"/>
    <col min="1235" max="1235" width="15.5546875" style="102" customWidth="1"/>
    <col min="1236" max="1237" width="10.88671875" style="102" customWidth="1"/>
    <col min="1238" max="1238" width="18.6640625" style="102" customWidth="1"/>
    <col min="1239" max="1239" width="3.109375" style="102" customWidth="1"/>
    <col min="1240" max="1240" width="15.5546875" style="102" customWidth="1"/>
    <col min="1241" max="1242" width="10.88671875" style="102" customWidth="1"/>
    <col min="1243" max="1243" width="3.109375" style="102" customWidth="1"/>
    <col min="1244" max="1244" width="16.44140625" style="102" customWidth="1"/>
    <col min="1245" max="1245" width="10.88671875" style="102" customWidth="1"/>
    <col min="1246" max="1246" width="68.6640625" style="102" customWidth="1"/>
    <col min="1247" max="1247" width="2.21875" style="102" customWidth="1"/>
    <col min="1248" max="1479" width="8.88671875" style="102"/>
    <col min="1480" max="1480" width="1.109375" style="102" customWidth="1"/>
    <col min="1481" max="1481" width="10.33203125" style="102" customWidth="1"/>
    <col min="1482" max="1482" width="18.21875" style="102" customWidth="1"/>
    <col min="1483" max="1483" width="20.44140625" style="102" customWidth="1"/>
    <col min="1484" max="1484" width="18.109375" style="102" bestFit="1" customWidth="1"/>
    <col min="1485" max="1485" width="13.21875" style="102" customWidth="1"/>
    <col min="1486" max="1486" width="3.109375" style="102" customWidth="1"/>
    <col min="1487" max="1487" width="15.5546875" style="102" customWidth="1"/>
    <col min="1488" max="1488" width="13.21875" style="102" customWidth="1"/>
    <col min="1489" max="1489" width="10.88671875" style="102" customWidth="1"/>
    <col min="1490" max="1490" width="3.109375" style="102" customWidth="1"/>
    <col min="1491" max="1491" width="15.5546875" style="102" customWidth="1"/>
    <col min="1492" max="1493" width="10.88671875" style="102" customWidth="1"/>
    <col min="1494" max="1494" width="18.6640625" style="102" customWidth="1"/>
    <col min="1495" max="1495" width="3.109375" style="102" customWidth="1"/>
    <col min="1496" max="1496" width="15.5546875" style="102" customWidth="1"/>
    <col min="1497" max="1498" width="10.88671875" style="102" customWidth="1"/>
    <col min="1499" max="1499" width="3.109375" style="102" customWidth="1"/>
    <col min="1500" max="1500" width="16.44140625" style="102" customWidth="1"/>
    <col min="1501" max="1501" width="10.88671875" style="102" customWidth="1"/>
    <col min="1502" max="1502" width="68.6640625" style="102" customWidth="1"/>
    <col min="1503" max="1503" width="2.21875" style="102" customWidth="1"/>
    <col min="1504" max="1735" width="8.88671875" style="102"/>
    <col min="1736" max="1736" width="1.109375" style="102" customWidth="1"/>
    <col min="1737" max="1737" width="10.33203125" style="102" customWidth="1"/>
    <col min="1738" max="1738" width="18.21875" style="102" customWidth="1"/>
    <col min="1739" max="1739" width="20.44140625" style="102" customWidth="1"/>
    <col min="1740" max="1740" width="18.109375" style="102" bestFit="1" customWidth="1"/>
    <col min="1741" max="1741" width="13.21875" style="102" customWidth="1"/>
    <col min="1742" max="1742" width="3.109375" style="102" customWidth="1"/>
    <col min="1743" max="1743" width="15.5546875" style="102" customWidth="1"/>
    <col min="1744" max="1744" width="13.21875" style="102" customWidth="1"/>
    <col min="1745" max="1745" width="10.88671875" style="102" customWidth="1"/>
    <col min="1746" max="1746" width="3.109375" style="102" customWidth="1"/>
    <col min="1747" max="1747" width="15.5546875" style="102" customWidth="1"/>
    <col min="1748" max="1749" width="10.88671875" style="102" customWidth="1"/>
    <col min="1750" max="1750" width="18.6640625" style="102" customWidth="1"/>
    <col min="1751" max="1751" width="3.109375" style="102" customWidth="1"/>
    <col min="1752" max="1752" width="15.5546875" style="102" customWidth="1"/>
    <col min="1753" max="1754" width="10.88671875" style="102" customWidth="1"/>
    <col min="1755" max="1755" width="3.109375" style="102" customWidth="1"/>
    <col min="1756" max="1756" width="16.44140625" style="102" customWidth="1"/>
    <col min="1757" max="1757" width="10.88671875" style="102" customWidth="1"/>
    <col min="1758" max="1758" width="68.6640625" style="102" customWidth="1"/>
    <col min="1759" max="1759" width="2.21875" style="102" customWidth="1"/>
    <col min="1760" max="1991" width="8.88671875" style="102"/>
    <col min="1992" max="1992" width="1.109375" style="102" customWidth="1"/>
    <col min="1993" max="1993" width="10.33203125" style="102" customWidth="1"/>
    <col min="1994" max="1994" width="18.21875" style="102" customWidth="1"/>
    <col min="1995" max="1995" width="20.44140625" style="102" customWidth="1"/>
    <col min="1996" max="1996" width="18.109375" style="102" bestFit="1" customWidth="1"/>
    <col min="1997" max="1997" width="13.21875" style="102" customWidth="1"/>
    <col min="1998" max="1998" width="3.109375" style="102" customWidth="1"/>
    <col min="1999" max="1999" width="15.5546875" style="102" customWidth="1"/>
    <col min="2000" max="2000" width="13.21875" style="102" customWidth="1"/>
    <col min="2001" max="2001" width="10.88671875" style="102" customWidth="1"/>
    <col min="2002" max="2002" width="3.109375" style="102" customWidth="1"/>
    <col min="2003" max="2003" width="15.5546875" style="102" customWidth="1"/>
    <col min="2004" max="2005" width="10.88671875" style="102" customWidth="1"/>
    <col min="2006" max="2006" width="18.6640625" style="102" customWidth="1"/>
    <col min="2007" max="2007" width="3.109375" style="102" customWidth="1"/>
    <col min="2008" max="2008" width="15.5546875" style="102" customWidth="1"/>
    <col min="2009" max="2010" width="10.88671875" style="102" customWidth="1"/>
    <col min="2011" max="2011" width="3.109375" style="102" customWidth="1"/>
    <col min="2012" max="2012" width="16.44140625" style="102" customWidth="1"/>
    <col min="2013" max="2013" width="10.88671875" style="102" customWidth="1"/>
    <col min="2014" max="2014" width="68.6640625" style="102" customWidth="1"/>
    <col min="2015" max="2015" width="2.21875" style="102" customWidth="1"/>
    <col min="2016" max="2247" width="8.88671875" style="102"/>
    <col min="2248" max="2248" width="1.109375" style="102" customWidth="1"/>
    <col min="2249" max="2249" width="10.33203125" style="102" customWidth="1"/>
    <col min="2250" max="2250" width="18.21875" style="102" customWidth="1"/>
    <col min="2251" max="2251" width="20.44140625" style="102" customWidth="1"/>
    <col min="2252" max="2252" width="18.109375" style="102" bestFit="1" customWidth="1"/>
    <col min="2253" max="2253" width="13.21875" style="102" customWidth="1"/>
    <col min="2254" max="2254" width="3.109375" style="102" customWidth="1"/>
    <col min="2255" max="2255" width="15.5546875" style="102" customWidth="1"/>
    <col min="2256" max="2256" width="13.21875" style="102" customWidth="1"/>
    <col min="2257" max="2257" width="10.88671875" style="102" customWidth="1"/>
    <col min="2258" max="2258" width="3.109375" style="102" customWidth="1"/>
    <col min="2259" max="2259" width="15.5546875" style="102" customWidth="1"/>
    <col min="2260" max="2261" width="10.88671875" style="102" customWidth="1"/>
    <col min="2262" max="2262" width="18.6640625" style="102" customWidth="1"/>
    <col min="2263" max="2263" width="3.109375" style="102" customWidth="1"/>
    <col min="2264" max="2264" width="15.5546875" style="102" customWidth="1"/>
    <col min="2265" max="2266" width="10.88671875" style="102" customWidth="1"/>
    <col min="2267" max="2267" width="3.109375" style="102" customWidth="1"/>
    <col min="2268" max="2268" width="16.44140625" style="102" customWidth="1"/>
    <col min="2269" max="2269" width="10.88671875" style="102" customWidth="1"/>
    <col min="2270" max="2270" width="68.6640625" style="102" customWidth="1"/>
    <col min="2271" max="2271" width="2.21875" style="102" customWidth="1"/>
    <col min="2272" max="2503" width="8.88671875" style="102"/>
    <col min="2504" max="2504" width="1.109375" style="102" customWidth="1"/>
    <col min="2505" max="2505" width="10.33203125" style="102" customWidth="1"/>
    <col min="2506" max="2506" width="18.21875" style="102" customWidth="1"/>
    <col min="2507" max="2507" width="20.44140625" style="102" customWidth="1"/>
    <col min="2508" max="2508" width="18.109375" style="102" bestFit="1" customWidth="1"/>
    <col min="2509" max="2509" width="13.21875" style="102" customWidth="1"/>
    <col min="2510" max="2510" width="3.109375" style="102" customWidth="1"/>
    <col min="2511" max="2511" width="15.5546875" style="102" customWidth="1"/>
    <col min="2512" max="2512" width="13.21875" style="102" customWidth="1"/>
    <col min="2513" max="2513" width="10.88671875" style="102" customWidth="1"/>
    <col min="2514" max="2514" width="3.109375" style="102" customWidth="1"/>
    <col min="2515" max="2515" width="15.5546875" style="102" customWidth="1"/>
    <col min="2516" max="2517" width="10.88671875" style="102" customWidth="1"/>
    <col min="2518" max="2518" width="18.6640625" style="102" customWidth="1"/>
    <col min="2519" max="2519" width="3.109375" style="102" customWidth="1"/>
    <col min="2520" max="2520" width="15.5546875" style="102" customWidth="1"/>
    <col min="2521" max="2522" width="10.88671875" style="102" customWidth="1"/>
    <col min="2523" max="2523" width="3.109375" style="102" customWidth="1"/>
    <col min="2524" max="2524" width="16.44140625" style="102" customWidth="1"/>
    <col min="2525" max="2525" width="10.88671875" style="102" customWidth="1"/>
    <col min="2526" max="2526" width="68.6640625" style="102" customWidth="1"/>
    <col min="2527" max="2527" width="2.21875" style="102" customWidth="1"/>
    <col min="2528" max="2759" width="8.88671875" style="102"/>
    <col min="2760" max="2760" width="1.109375" style="102" customWidth="1"/>
    <col min="2761" max="2761" width="10.33203125" style="102" customWidth="1"/>
    <col min="2762" max="2762" width="18.21875" style="102" customWidth="1"/>
    <col min="2763" max="2763" width="20.44140625" style="102" customWidth="1"/>
    <col min="2764" max="2764" width="18.109375" style="102" bestFit="1" customWidth="1"/>
    <col min="2765" max="2765" width="13.21875" style="102" customWidth="1"/>
    <col min="2766" max="2766" width="3.109375" style="102" customWidth="1"/>
    <col min="2767" max="2767" width="15.5546875" style="102" customWidth="1"/>
    <col min="2768" max="2768" width="13.21875" style="102" customWidth="1"/>
    <col min="2769" max="2769" width="10.88671875" style="102" customWidth="1"/>
    <col min="2770" max="2770" width="3.109375" style="102" customWidth="1"/>
    <col min="2771" max="2771" width="15.5546875" style="102" customWidth="1"/>
    <col min="2772" max="2773" width="10.88671875" style="102" customWidth="1"/>
    <col min="2774" max="2774" width="18.6640625" style="102" customWidth="1"/>
    <col min="2775" max="2775" width="3.109375" style="102" customWidth="1"/>
    <col min="2776" max="2776" width="15.5546875" style="102" customWidth="1"/>
    <col min="2777" max="2778" width="10.88671875" style="102" customWidth="1"/>
    <col min="2779" max="2779" width="3.109375" style="102" customWidth="1"/>
    <col min="2780" max="2780" width="16.44140625" style="102" customWidth="1"/>
    <col min="2781" max="2781" width="10.88671875" style="102" customWidth="1"/>
    <col min="2782" max="2782" width="68.6640625" style="102" customWidth="1"/>
    <col min="2783" max="2783" width="2.21875" style="102" customWidth="1"/>
    <col min="2784" max="3015" width="8.88671875" style="102"/>
    <col min="3016" max="3016" width="1.109375" style="102" customWidth="1"/>
    <col min="3017" max="3017" width="10.33203125" style="102" customWidth="1"/>
    <col min="3018" max="3018" width="18.21875" style="102" customWidth="1"/>
    <col min="3019" max="3019" width="20.44140625" style="102" customWidth="1"/>
    <col min="3020" max="3020" width="18.109375" style="102" bestFit="1" customWidth="1"/>
    <col min="3021" max="3021" width="13.21875" style="102" customWidth="1"/>
    <col min="3022" max="3022" width="3.109375" style="102" customWidth="1"/>
    <col min="3023" max="3023" width="15.5546875" style="102" customWidth="1"/>
    <col min="3024" max="3024" width="13.21875" style="102" customWidth="1"/>
    <col min="3025" max="3025" width="10.88671875" style="102" customWidth="1"/>
    <col min="3026" max="3026" width="3.109375" style="102" customWidth="1"/>
    <col min="3027" max="3027" width="15.5546875" style="102" customWidth="1"/>
    <col min="3028" max="3029" width="10.88671875" style="102" customWidth="1"/>
    <col min="3030" max="3030" width="18.6640625" style="102" customWidth="1"/>
    <col min="3031" max="3031" width="3.109375" style="102" customWidth="1"/>
    <col min="3032" max="3032" width="15.5546875" style="102" customWidth="1"/>
    <col min="3033" max="3034" width="10.88671875" style="102" customWidth="1"/>
    <col min="3035" max="3035" width="3.109375" style="102" customWidth="1"/>
    <col min="3036" max="3036" width="16.44140625" style="102" customWidth="1"/>
    <col min="3037" max="3037" width="10.88671875" style="102" customWidth="1"/>
    <col min="3038" max="3038" width="68.6640625" style="102" customWidth="1"/>
    <col min="3039" max="3039" width="2.21875" style="102" customWidth="1"/>
    <col min="3040" max="3271" width="8.88671875" style="102"/>
    <col min="3272" max="3272" width="1.109375" style="102" customWidth="1"/>
    <col min="3273" max="3273" width="10.33203125" style="102" customWidth="1"/>
    <col min="3274" max="3274" width="18.21875" style="102" customWidth="1"/>
    <col min="3275" max="3275" width="20.44140625" style="102" customWidth="1"/>
    <col min="3276" max="3276" width="18.109375" style="102" bestFit="1" customWidth="1"/>
    <col min="3277" max="3277" width="13.21875" style="102" customWidth="1"/>
    <col min="3278" max="3278" width="3.109375" style="102" customWidth="1"/>
    <col min="3279" max="3279" width="15.5546875" style="102" customWidth="1"/>
    <col min="3280" max="3280" width="13.21875" style="102" customWidth="1"/>
    <col min="3281" max="3281" width="10.88671875" style="102" customWidth="1"/>
    <col min="3282" max="3282" width="3.109375" style="102" customWidth="1"/>
    <col min="3283" max="3283" width="15.5546875" style="102" customWidth="1"/>
    <col min="3284" max="3285" width="10.88671875" style="102" customWidth="1"/>
    <col min="3286" max="3286" width="18.6640625" style="102" customWidth="1"/>
    <col min="3287" max="3287" width="3.109375" style="102" customWidth="1"/>
    <col min="3288" max="3288" width="15.5546875" style="102" customWidth="1"/>
    <col min="3289" max="3290" width="10.88671875" style="102" customWidth="1"/>
    <col min="3291" max="3291" width="3.109375" style="102" customWidth="1"/>
    <col min="3292" max="3292" width="16.44140625" style="102" customWidth="1"/>
    <col min="3293" max="3293" width="10.88671875" style="102" customWidth="1"/>
    <col min="3294" max="3294" width="68.6640625" style="102" customWidth="1"/>
    <col min="3295" max="3295" width="2.21875" style="102" customWidth="1"/>
    <col min="3296" max="3527" width="8.88671875" style="102"/>
    <col min="3528" max="3528" width="1.109375" style="102" customWidth="1"/>
    <col min="3529" max="3529" width="10.33203125" style="102" customWidth="1"/>
    <col min="3530" max="3530" width="18.21875" style="102" customWidth="1"/>
    <col min="3531" max="3531" width="20.44140625" style="102" customWidth="1"/>
    <col min="3532" max="3532" width="18.109375" style="102" bestFit="1" customWidth="1"/>
    <col min="3533" max="3533" width="13.21875" style="102" customWidth="1"/>
    <col min="3534" max="3534" width="3.109375" style="102" customWidth="1"/>
    <col min="3535" max="3535" width="15.5546875" style="102" customWidth="1"/>
    <col min="3536" max="3536" width="13.21875" style="102" customWidth="1"/>
    <col min="3537" max="3537" width="10.88671875" style="102" customWidth="1"/>
    <col min="3538" max="3538" width="3.109375" style="102" customWidth="1"/>
    <col min="3539" max="3539" width="15.5546875" style="102" customWidth="1"/>
    <col min="3540" max="3541" width="10.88671875" style="102" customWidth="1"/>
    <col min="3542" max="3542" width="18.6640625" style="102" customWidth="1"/>
    <col min="3543" max="3543" width="3.109375" style="102" customWidth="1"/>
    <col min="3544" max="3544" width="15.5546875" style="102" customWidth="1"/>
    <col min="3545" max="3546" width="10.88671875" style="102" customWidth="1"/>
    <col min="3547" max="3547" width="3.109375" style="102" customWidth="1"/>
    <col min="3548" max="3548" width="16.44140625" style="102" customWidth="1"/>
    <col min="3549" max="3549" width="10.88671875" style="102" customWidth="1"/>
    <col min="3550" max="3550" width="68.6640625" style="102" customWidth="1"/>
    <col min="3551" max="3551" width="2.21875" style="102" customWidth="1"/>
    <col min="3552" max="3783" width="8.88671875" style="102"/>
    <col min="3784" max="3784" width="1.109375" style="102" customWidth="1"/>
    <col min="3785" max="3785" width="10.33203125" style="102" customWidth="1"/>
    <col min="3786" max="3786" width="18.21875" style="102" customWidth="1"/>
    <col min="3787" max="3787" width="20.44140625" style="102" customWidth="1"/>
    <col min="3788" max="3788" width="18.109375" style="102" bestFit="1" customWidth="1"/>
    <col min="3789" max="3789" width="13.21875" style="102" customWidth="1"/>
    <col min="3790" max="3790" width="3.109375" style="102" customWidth="1"/>
    <col min="3791" max="3791" width="15.5546875" style="102" customWidth="1"/>
    <col min="3792" max="3792" width="13.21875" style="102" customWidth="1"/>
    <col min="3793" max="3793" width="10.88671875" style="102" customWidth="1"/>
    <col min="3794" max="3794" width="3.109375" style="102" customWidth="1"/>
    <col min="3795" max="3795" width="15.5546875" style="102" customWidth="1"/>
    <col min="3796" max="3797" width="10.88671875" style="102" customWidth="1"/>
    <col min="3798" max="3798" width="18.6640625" style="102" customWidth="1"/>
    <col min="3799" max="3799" width="3.109375" style="102" customWidth="1"/>
    <col min="3800" max="3800" width="15.5546875" style="102" customWidth="1"/>
    <col min="3801" max="3802" width="10.88671875" style="102" customWidth="1"/>
    <col min="3803" max="3803" width="3.109375" style="102" customWidth="1"/>
    <col min="3804" max="3804" width="16.44140625" style="102" customWidth="1"/>
    <col min="3805" max="3805" width="10.88671875" style="102" customWidth="1"/>
    <col min="3806" max="3806" width="68.6640625" style="102" customWidth="1"/>
    <col min="3807" max="3807" width="2.21875" style="102" customWidth="1"/>
    <col min="3808" max="4039" width="8.88671875" style="102"/>
    <col min="4040" max="4040" width="1.109375" style="102" customWidth="1"/>
    <col min="4041" max="4041" width="10.33203125" style="102" customWidth="1"/>
    <col min="4042" max="4042" width="18.21875" style="102" customWidth="1"/>
    <col min="4043" max="4043" width="20.44140625" style="102" customWidth="1"/>
    <col min="4044" max="4044" width="18.109375" style="102" bestFit="1" customWidth="1"/>
    <col min="4045" max="4045" width="13.21875" style="102" customWidth="1"/>
    <col min="4046" max="4046" width="3.109375" style="102" customWidth="1"/>
    <col min="4047" max="4047" width="15.5546875" style="102" customWidth="1"/>
    <col min="4048" max="4048" width="13.21875" style="102" customWidth="1"/>
    <col min="4049" max="4049" width="10.88671875" style="102" customWidth="1"/>
    <col min="4050" max="4050" width="3.109375" style="102" customWidth="1"/>
    <col min="4051" max="4051" width="15.5546875" style="102" customWidth="1"/>
    <col min="4052" max="4053" width="10.88671875" style="102" customWidth="1"/>
    <col min="4054" max="4054" width="18.6640625" style="102" customWidth="1"/>
    <col min="4055" max="4055" width="3.109375" style="102" customWidth="1"/>
    <col min="4056" max="4056" width="15.5546875" style="102" customWidth="1"/>
    <col min="4057" max="4058" width="10.88671875" style="102" customWidth="1"/>
    <col min="4059" max="4059" width="3.109375" style="102" customWidth="1"/>
    <col min="4060" max="4060" width="16.44140625" style="102" customWidth="1"/>
    <col min="4061" max="4061" width="10.88671875" style="102" customWidth="1"/>
    <col min="4062" max="4062" width="68.6640625" style="102" customWidth="1"/>
    <col min="4063" max="4063" width="2.21875" style="102" customWidth="1"/>
    <col min="4064" max="4295" width="8.88671875" style="102"/>
    <col min="4296" max="4296" width="1.109375" style="102" customWidth="1"/>
    <col min="4297" max="4297" width="10.33203125" style="102" customWidth="1"/>
    <col min="4298" max="4298" width="18.21875" style="102" customWidth="1"/>
    <col min="4299" max="4299" width="20.44140625" style="102" customWidth="1"/>
    <col min="4300" max="4300" width="18.109375" style="102" bestFit="1" customWidth="1"/>
    <col min="4301" max="4301" width="13.21875" style="102" customWidth="1"/>
    <col min="4302" max="4302" width="3.109375" style="102" customWidth="1"/>
    <col min="4303" max="4303" width="15.5546875" style="102" customWidth="1"/>
    <col min="4304" max="4304" width="13.21875" style="102" customWidth="1"/>
    <col min="4305" max="4305" width="10.88671875" style="102" customWidth="1"/>
    <col min="4306" max="4306" width="3.109375" style="102" customWidth="1"/>
    <col min="4307" max="4307" width="15.5546875" style="102" customWidth="1"/>
    <col min="4308" max="4309" width="10.88671875" style="102" customWidth="1"/>
    <col min="4310" max="4310" width="18.6640625" style="102" customWidth="1"/>
    <col min="4311" max="4311" width="3.109375" style="102" customWidth="1"/>
    <col min="4312" max="4312" width="15.5546875" style="102" customWidth="1"/>
    <col min="4313" max="4314" width="10.88671875" style="102" customWidth="1"/>
    <col min="4315" max="4315" width="3.109375" style="102" customWidth="1"/>
    <col min="4316" max="4316" width="16.44140625" style="102" customWidth="1"/>
    <col min="4317" max="4317" width="10.88671875" style="102" customWidth="1"/>
    <col min="4318" max="4318" width="68.6640625" style="102" customWidth="1"/>
    <col min="4319" max="4319" width="2.21875" style="102" customWidth="1"/>
    <col min="4320" max="4551" width="8.88671875" style="102"/>
    <col min="4552" max="4552" width="1.109375" style="102" customWidth="1"/>
    <col min="4553" max="4553" width="10.33203125" style="102" customWidth="1"/>
    <col min="4554" max="4554" width="18.21875" style="102" customWidth="1"/>
    <col min="4555" max="4555" width="20.44140625" style="102" customWidth="1"/>
    <col min="4556" max="4556" width="18.109375" style="102" bestFit="1" customWidth="1"/>
    <col min="4557" max="4557" width="13.21875" style="102" customWidth="1"/>
    <col min="4558" max="4558" width="3.109375" style="102" customWidth="1"/>
    <col min="4559" max="4559" width="15.5546875" style="102" customWidth="1"/>
    <col min="4560" max="4560" width="13.21875" style="102" customWidth="1"/>
    <col min="4561" max="4561" width="10.88671875" style="102" customWidth="1"/>
    <col min="4562" max="4562" width="3.109375" style="102" customWidth="1"/>
    <col min="4563" max="4563" width="15.5546875" style="102" customWidth="1"/>
    <col min="4564" max="4565" width="10.88671875" style="102" customWidth="1"/>
    <col min="4566" max="4566" width="18.6640625" style="102" customWidth="1"/>
    <col min="4567" max="4567" width="3.109375" style="102" customWidth="1"/>
    <col min="4568" max="4568" width="15.5546875" style="102" customWidth="1"/>
    <col min="4569" max="4570" width="10.88671875" style="102" customWidth="1"/>
    <col min="4571" max="4571" width="3.109375" style="102" customWidth="1"/>
    <col min="4572" max="4572" width="16.44140625" style="102" customWidth="1"/>
    <col min="4573" max="4573" width="10.88671875" style="102" customWidth="1"/>
    <col min="4574" max="4574" width="68.6640625" style="102" customWidth="1"/>
    <col min="4575" max="4575" width="2.21875" style="102" customWidth="1"/>
    <col min="4576" max="4807" width="8.88671875" style="102"/>
    <col min="4808" max="4808" width="1.109375" style="102" customWidth="1"/>
    <col min="4809" max="4809" width="10.33203125" style="102" customWidth="1"/>
    <col min="4810" max="4810" width="18.21875" style="102" customWidth="1"/>
    <col min="4811" max="4811" width="20.44140625" style="102" customWidth="1"/>
    <col min="4812" max="4812" width="18.109375" style="102" bestFit="1" customWidth="1"/>
    <col min="4813" max="4813" width="13.21875" style="102" customWidth="1"/>
    <col min="4814" max="4814" width="3.109375" style="102" customWidth="1"/>
    <col min="4815" max="4815" width="15.5546875" style="102" customWidth="1"/>
    <col min="4816" max="4816" width="13.21875" style="102" customWidth="1"/>
    <col min="4817" max="4817" width="10.88671875" style="102" customWidth="1"/>
    <col min="4818" max="4818" width="3.109375" style="102" customWidth="1"/>
    <col min="4819" max="4819" width="15.5546875" style="102" customWidth="1"/>
    <col min="4820" max="4821" width="10.88671875" style="102" customWidth="1"/>
    <col min="4822" max="4822" width="18.6640625" style="102" customWidth="1"/>
    <col min="4823" max="4823" width="3.109375" style="102" customWidth="1"/>
    <col min="4824" max="4824" width="15.5546875" style="102" customWidth="1"/>
    <col min="4825" max="4826" width="10.88671875" style="102" customWidth="1"/>
    <col min="4827" max="4827" width="3.109375" style="102" customWidth="1"/>
    <col min="4828" max="4828" width="16.44140625" style="102" customWidth="1"/>
    <col min="4829" max="4829" width="10.88671875" style="102" customWidth="1"/>
    <col min="4830" max="4830" width="68.6640625" style="102" customWidth="1"/>
    <col min="4831" max="4831" width="2.21875" style="102" customWidth="1"/>
    <col min="4832" max="5063" width="8.88671875" style="102"/>
    <col min="5064" max="5064" width="1.109375" style="102" customWidth="1"/>
    <col min="5065" max="5065" width="10.33203125" style="102" customWidth="1"/>
    <col min="5066" max="5066" width="18.21875" style="102" customWidth="1"/>
    <col min="5067" max="5067" width="20.44140625" style="102" customWidth="1"/>
    <col min="5068" max="5068" width="18.109375" style="102" bestFit="1" customWidth="1"/>
    <col min="5069" max="5069" width="13.21875" style="102" customWidth="1"/>
    <col min="5070" max="5070" width="3.109375" style="102" customWidth="1"/>
    <col min="5071" max="5071" width="15.5546875" style="102" customWidth="1"/>
    <col min="5072" max="5072" width="13.21875" style="102" customWidth="1"/>
    <col min="5073" max="5073" width="10.88671875" style="102" customWidth="1"/>
    <col min="5074" max="5074" width="3.109375" style="102" customWidth="1"/>
    <col min="5075" max="5075" width="15.5546875" style="102" customWidth="1"/>
    <col min="5076" max="5077" width="10.88671875" style="102" customWidth="1"/>
    <col min="5078" max="5078" width="18.6640625" style="102" customWidth="1"/>
    <col min="5079" max="5079" width="3.109375" style="102" customWidth="1"/>
    <col min="5080" max="5080" width="15.5546875" style="102" customWidth="1"/>
    <col min="5081" max="5082" width="10.88671875" style="102" customWidth="1"/>
    <col min="5083" max="5083" width="3.109375" style="102" customWidth="1"/>
    <col min="5084" max="5084" width="16.44140625" style="102" customWidth="1"/>
    <col min="5085" max="5085" width="10.88671875" style="102" customWidth="1"/>
    <col min="5086" max="5086" width="68.6640625" style="102" customWidth="1"/>
    <col min="5087" max="5087" width="2.21875" style="102" customWidth="1"/>
    <col min="5088" max="5319" width="8.88671875" style="102"/>
    <col min="5320" max="5320" width="1.109375" style="102" customWidth="1"/>
    <col min="5321" max="5321" width="10.33203125" style="102" customWidth="1"/>
    <col min="5322" max="5322" width="18.21875" style="102" customWidth="1"/>
    <col min="5323" max="5323" width="20.44140625" style="102" customWidth="1"/>
    <col min="5324" max="5324" width="18.109375" style="102" bestFit="1" customWidth="1"/>
    <col min="5325" max="5325" width="13.21875" style="102" customWidth="1"/>
    <col min="5326" max="5326" width="3.109375" style="102" customWidth="1"/>
    <col min="5327" max="5327" width="15.5546875" style="102" customWidth="1"/>
    <col min="5328" max="5328" width="13.21875" style="102" customWidth="1"/>
    <col min="5329" max="5329" width="10.88671875" style="102" customWidth="1"/>
    <col min="5330" max="5330" width="3.109375" style="102" customWidth="1"/>
    <col min="5331" max="5331" width="15.5546875" style="102" customWidth="1"/>
    <col min="5332" max="5333" width="10.88671875" style="102" customWidth="1"/>
    <col min="5334" max="5334" width="18.6640625" style="102" customWidth="1"/>
    <col min="5335" max="5335" width="3.109375" style="102" customWidth="1"/>
    <col min="5336" max="5336" width="15.5546875" style="102" customWidth="1"/>
    <col min="5337" max="5338" width="10.88671875" style="102" customWidth="1"/>
    <col min="5339" max="5339" width="3.109375" style="102" customWidth="1"/>
    <col min="5340" max="5340" width="16.44140625" style="102" customWidth="1"/>
    <col min="5341" max="5341" width="10.88671875" style="102" customWidth="1"/>
    <col min="5342" max="5342" width="68.6640625" style="102" customWidth="1"/>
    <col min="5343" max="5343" width="2.21875" style="102" customWidth="1"/>
    <col min="5344" max="5575" width="8.88671875" style="102"/>
    <col min="5576" max="5576" width="1.109375" style="102" customWidth="1"/>
    <col min="5577" max="5577" width="10.33203125" style="102" customWidth="1"/>
    <col min="5578" max="5578" width="18.21875" style="102" customWidth="1"/>
    <col min="5579" max="5579" width="20.44140625" style="102" customWidth="1"/>
    <col min="5580" max="5580" width="18.109375" style="102" bestFit="1" customWidth="1"/>
    <col min="5581" max="5581" width="13.21875" style="102" customWidth="1"/>
    <col min="5582" max="5582" width="3.109375" style="102" customWidth="1"/>
    <col min="5583" max="5583" width="15.5546875" style="102" customWidth="1"/>
    <col min="5584" max="5584" width="13.21875" style="102" customWidth="1"/>
    <col min="5585" max="5585" width="10.88671875" style="102" customWidth="1"/>
    <col min="5586" max="5586" width="3.109375" style="102" customWidth="1"/>
    <col min="5587" max="5587" width="15.5546875" style="102" customWidth="1"/>
    <col min="5588" max="5589" width="10.88671875" style="102" customWidth="1"/>
    <col min="5590" max="5590" width="18.6640625" style="102" customWidth="1"/>
    <col min="5591" max="5591" width="3.109375" style="102" customWidth="1"/>
    <col min="5592" max="5592" width="15.5546875" style="102" customWidth="1"/>
    <col min="5593" max="5594" width="10.88671875" style="102" customWidth="1"/>
    <col min="5595" max="5595" width="3.109375" style="102" customWidth="1"/>
    <col min="5596" max="5596" width="16.44140625" style="102" customWidth="1"/>
    <col min="5597" max="5597" width="10.88671875" style="102" customWidth="1"/>
    <col min="5598" max="5598" width="68.6640625" style="102" customWidth="1"/>
    <col min="5599" max="5599" width="2.21875" style="102" customWidth="1"/>
    <col min="5600" max="5831" width="8.88671875" style="102"/>
    <col min="5832" max="5832" width="1.109375" style="102" customWidth="1"/>
    <col min="5833" max="5833" width="10.33203125" style="102" customWidth="1"/>
    <col min="5834" max="5834" width="18.21875" style="102" customWidth="1"/>
    <col min="5835" max="5835" width="20.44140625" style="102" customWidth="1"/>
    <col min="5836" max="5836" width="18.109375" style="102" bestFit="1" customWidth="1"/>
    <col min="5837" max="5837" width="13.21875" style="102" customWidth="1"/>
    <col min="5838" max="5838" width="3.109375" style="102" customWidth="1"/>
    <col min="5839" max="5839" width="15.5546875" style="102" customWidth="1"/>
    <col min="5840" max="5840" width="13.21875" style="102" customWidth="1"/>
    <col min="5841" max="5841" width="10.88671875" style="102" customWidth="1"/>
    <col min="5842" max="5842" width="3.109375" style="102" customWidth="1"/>
    <col min="5843" max="5843" width="15.5546875" style="102" customWidth="1"/>
    <col min="5844" max="5845" width="10.88671875" style="102" customWidth="1"/>
    <col min="5846" max="5846" width="18.6640625" style="102" customWidth="1"/>
    <col min="5847" max="5847" width="3.109375" style="102" customWidth="1"/>
    <col min="5848" max="5848" width="15.5546875" style="102" customWidth="1"/>
    <col min="5849" max="5850" width="10.88671875" style="102" customWidth="1"/>
    <col min="5851" max="5851" width="3.109375" style="102" customWidth="1"/>
    <col min="5852" max="5852" width="16.44140625" style="102" customWidth="1"/>
    <col min="5853" max="5853" width="10.88671875" style="102" customWidth="1"/>
    <col min="5854" max="5854" width="68.6640625" style="102" customWidth="1"/>
    <col min="5855" max="5855" width="2.21875" style="102" customWidth="1"/>
    <col min="5856" max="6087" width="8.88671875" style="102"/>
    <col min="6088" max="6088" width="1.109375" style="102" customWidth="1"/>
    <col min="6089" max="6089" width="10.33203125" style="102" customWidth="1"/>
    <col min="6090" max="6090" width="18.21875" style="102" customWidth="1"/>
    <col min="6091" max="6091" width="20.44140625" style="102" customWidth="1"/>
    <col min="6092" max="6092" width="18.109375" style="102" bestFit="1" customWidth="1"/>
    <col min="6093" max="6093" width="13.21875" style="102" customWidth="1"/>
    <col min="6094" max="6094" width="3.109375" style="102" customWidth="1"/>
    <col min="6095" max="6095" width="15.5546875" style="102" customWidth="1"/>
    <col min="6096" max="6096" width="13.21875" style="102" customWidth="1"/>
    <col min="6097" max="6097" width="10.88671875" style="102" customWidth="1"/>
    <col min="6098" max="6098" width="3.109375" style="102" customWidth="1"/>
    <col min="6099" max="6099" width="15.5546875" style="102" customWidth="1"/>
    <col min="6100" max="6101" width="10.88671875" style="102" customWidth="1"/>
    <col min="6102" max="6102" width="18.6640625" style="102" customWidth="1"/>
    <col min="6103" max="6103" width="3.109375" style="102" customWidth="1"/>
    <col min="6104" max="6104" width="15.5546875" style="102" customWidth="1"/>
    <col min="6105" max="6106" width="10.88671875" style="102" customWidth="1"/>
    <col min="6107" max="6107" width="3.109375" style="102" customWidth="1"/>
    <col min="6108" max="6108" width="16.44140625" style="102" customWidth="1"/>
    <col min="6109" max="6109" width="10.88671875" style="102" customWidth="1"/>
    <col min="6110" max="6110" width="68.6640625" style="102" customWidth="1"/>
    <col min="6111" max="6111" width="2.21875" style="102" customWidth="1"/>
    <col min="6112" max="6343" width="8.88671875" style="102"/>
    <col min="6344" max="6344" width="1.109375" style="102" customWidth="1"/>
    <col min="6345" max="6345" width="10.33203125" style="102" customWidth="1"/>
    <col min="6346" max="6346" width="18.21875" style="102" customWidth="1"/>
    <col min="6347" max="6347" width="20.44140625" style="102" customWidth="1"/>
    <col min="6348" max="6348" width="18.109375" style="102" bestFit="1" customWidth="1"/>
    <col min="6349" max="6349" width="13.21875" style="102" customWidth="1"/>
    <col min="6350" max="6350" width="3.109375" style="102" customWidth="1"/>
    <col min="6351" max="6351" width="15.5546875" style="102" customWidth="1"/>
    <col min="6352" max="6352" width="13.21875" style="102" customWidth="1"/>
    <col min="6353" max="6353" width="10.88671875" style="102" customWidth="1"/>
    <col min="6354" max="6354" width="3.109375" style="102" customWidth="1"/>
    <col min="6355" max="6355" width="15.5546875" style="102" customWidth="1"/>
    <col min="6356" max="6357" width="10.88671875" style="102" customWidth="1"/>
    <col min="6358" max="6358" width="18.6640625" style="102" customWidth="1"/>
    <col min="6359" max="6359" width="3.109375" style="102" customWidth="1"/>
    <col min="6360" max="6360" width="15.5546875" style="102" customWidth="1"/>
    <col min="6361" max="6362" width="10.88671875" style="102" customWidth="1"/>
    <col min="6363" max="6363" width="3.109375" style="102" customWidth="1"/>
    <col min="6364" max="6364" width="16.44140625" style="102" customWidth="1"/>
    <col min="6365" max="6365" width="10.88671875" style="102" customWidth="1"/>
    <col min="6366" max="6366" width="68.6640625" style="102" customWidth="1"/>
    <col min="6367" max="6367" width="2.21875" style="102" customWidth="1"/>
    <col min="6368" max="6599" width="8.88671875" style="102"/>
    <col min="6600" max="6600" width="1.109375" style="102" customWidth="1"/>
    <col min="6601" max="6601" width="10.33203125" style="102" customWidth="1"/>
    <col min="6602" max="6602" width="18.21875" style="102" customWidth="1"/>
    <col min="6603" max="6603" width="20.44140625" style="102" customWidth="1"/>
    <col min="6604" max="6604" width="18.109375" style="102" bestFit="1" customWidth="1"/>
    <col min="6605" max="6605" width="13.21875" style="102" customWidth="1"/>
    <col min="6606" max="6606" width="3.109375" style="102" customWidth="1"/>
    <col min="6607" max="6607" width="15.5546875" style="102" customWidth="1"/>
    <col min="6608" max="6608" width="13.21875" style="102" customWidth="1"/>
    <col min="6609" max="6609" width="10.88671875" style="102" customWidth="1"/>
    <col min="6610" max="6610" width="3.109375" style="102" customWidth="1"/>
    <col min="6611" max="6611" width="15.5546875" style="102" customWidth="1"/>
    <col min="6612" max="6613" width="10.88671875" style="102" customWidth="1"/>
    <col min="6614" max="6614" width="18.6640625" style="102" customWidth="1"/>
    <col min="6615" max="6615" width="3.109375" style="102" customWidth="1"/>
    <col min="6616" max="6616" width="15.5546875" style="102" customWidth="1"/>
    <col min="6617" max="6618" width="10.88671875" style="102" customWidth="1"/>
    <col min="6619" max="6619" width="3.109375" style="102" customWidth="1"/>
    <col min="6620" max="6620" width="16.44140625" style="102" customWidth="1"/>
    <col min="6621" max="6621" width="10.88671875" style="102" customWidth="1"/>
    <col min="6622" max="6622" width="68.6640625" style="102" customWidth="1"/>
    <col min="6623" max="6623" width="2.21875" style="102" customWidth="1"/>
    <col min="6624" max="6855" width="8.88671875" style="102"/>
    <col min="6856" max="6856" width="1.109375" style="102" customWidth="1"/>
    <col min="6857" max="6857" width="10.33203125" style="102" customWidth="1"/>
    <col min="6858" max="6858" width="18.21875" style="102" customWidth="1"/>
    <col min="6859" max="6859" width="20.44140625" style="102" customWidth="1"/>
    <col min="6860" max="6860" width="18.109375" style="102" bestFit="1" customWidth="1"/>
    <col min="6861" max="6861" width="13.21875" style="102" customWidth="1"/>
    <col min="6862" max="6862" width="3.109375" style="102" customWidth="1"/>
    <col min="6863" max="6863" width="15.5546875" style="102" customWidth="1"/>
    <col min="6864" max="6864" width="13.21875" style="102" customWidth="1"/>
    <col min="6865" max="6865" width="10.88671875" style="102" customWidth="1"/>
    <col min="6866" max="6866" width="3.109375" style="102" customWidth="1"/>
    <col min="6867" max="6867" width="15.5546875" style="102" customWidth="1"/>
    <col min="6868" max="6869" width="10.88671875" style="102" customWidth="1"/>
    <col min="6870" max="6870" width="18.6640625" style="102" customWidth="1"/>
    <col min="6871" max="6871" width="3.109375" style="102" customWidth="1"/>
    <col min="6872" max="6872" width="15.5546875" style="102" customWidth="1"/>
    <col min="6873" max="6874" width="10.88671875" style="102" customWidth="1"/>
    <col min="6875" max="6875" width="3.109375" style="102" customWidth="1"/>
    <col min="6876" max="6876" width="16.44140625" style="102" customWidth="1"/>
    <col min="6877" max="6877" width="10.88671875" style="102" customWidth="1"/>
    <col min="6878" max="6878" width="68.6640625" style="102" customWidth="1"/>
    <col min="6879" max="6879" width="2.21875" style="102" customWidth="1"/>
    <col min="6880" max="7111" width="8.88671875" style="102"/>
    <col min="7112" max="7112" width="1.109375" style="102" customWidth="1"/>
    <col min="7113" max="7113" width="10.33203125" style="102" customWidth="1"/>
    <col min="7114" max="7114" width="18.21875" style="102" customWidth="1"/>
    <col min="7115" max="7115" width="20.44140625" style="102" customWidth="1"/>
    <col min="7116" max="7116" width="18.109375" style="102" bestFit="1" customWidth="1"/>
    <col min="7117" max="7117" width="13.21875" style="102" customWidth="1"/>
    <col min="7118" max="7118" width="3.109375" style="102" customWidth="1"/>
    <col min="7119" max="7119" width="15.5546875" style="102" customWidth="1"/>
    <col min="7120" max="7120" width="13.21875" style="102" customWidth="1"/>
    <col min="7121" max="7121" width="10.88671875" style="102" customWidth="1"/>
    <col min="7122" max="7122" width="3.109375" style="102" customWidth="1"/>
    <col min="7123" max="7123" width="15.5546875" style="102" customWidth="1"/>
    <col min="7124" max="7125" width="10.88671875" style="102" customWidth="1"/>
    <col min="7126" max="7126" width="18.6640625" style="102" customWidth="1"/>
    <col min="7127" max="7127" width="3.109375" style="102" customWidth="1"/>
    <col min="7128" max="7128" width="15.5546875" style="102" customWidth="1"/>
    <col min="7129" max="7130" width="10.88671875" style="102" customWidth="1"/>
    <col min="7131" max="7131" width="3.109375" style="102" customWidth="1"/>
    <col min="7132" max="7132" width="16.44140625" style="102" customWidth="1"/>
    <col min="7133" max="7133" width="10.88671875" style="102" customWidth="1"/>
    <col min="7134" max="7134" width="68.6640625" style="102" customWidth="1"/>
    <col min="7135" max="7135" width="2.21875" style="102" customWidth="1"/>
    <col min="7136" max="7367" width="8.88671875" style="102"/>
    <col min="7368" max="7368" width="1.109375" style="102" customWidth="1"/>
    <col min="7369" max="7369" width="10.33203125" style="102" customWidth="1"/>
    <col min="7370" max="7370" width="18.21875" style="102" customWidth="1"/>
    <col min="7371" max="7371" width="20.44140625" style="102" customWidth="1"/>
    <col min="7372" max="7372" width="18.109375" style="102" bestFit="1" customWidth="1"/>
    <col min="7373" max="7373" width="13.21875" style="102" customWidth="1"/>
    <col min="7374" max="7374" width="3.109375" style="102" customWidth="1"/>
    <col min="7375" max="7375" width="15.5546875" style="102" customWidth="1"/>
    <col min="7376" max="7376" width="13.21875" style="102" customWidth="1"/>
    <col min="7377" max="7377" width="10.88671875" style="102" customWidth="1"/>
    <col min="7378" max="7378" width="3.109375" style="102" customWidth="1"/>
    <col min="7379" max="7379" width="15.5546875" style="102" customWidth="1"/>
    <col min="7380" max="7381" width="10.88671875" style="102" customWidth="1"/>
    <col min="7382" max="7382" width="18.6640625" style="102" customWidth="1"/>
    <col min="7383" max="7383" width="3.109375" style="102" customWidth="1"/>
    <col min="7384" max="7384" width="15.5546875" style="102" customWidth="1"/>
    <col min="7385" max="7386" width="10.88671875" style="102" customWidth="1"/>
    <col min="7387" max="7387" width="3.109375" style="102" customWidth="1"/>
    <col min="7388" max="7388" width="16.44140625" style="102" customWidth="1"/>
    <col min="7389" max="7389" width="10.88671875" style="102" customWidth="1"/>
    <col min="7390" max="7390" width="68.6640625" style="102" customWidth="1"/>
    <col min="7391" max="7391" width="2.21875" style="102" customWidth="1"/>
    <col min="7392" max="7623" width="8.88671875" style="102"/>
    <col min="7624" max="7624" width="1.109375" style="102" customWidth="1"/>
    <col min="7625" max="7625" width="10.33203125" style="102" customWidth="1"/>
    <col min="7626" max="7626" width="18.21875" style="102" customWidth="1"/>
    <col min="7627" max="7627" width="20.44140625" style="102" customWidth="1"/>
    <col min="7628" max="7628" width="18.109375" style="102" bestFit="1" customWidth="1"/>
    <col min="7629" max="7629" width="13.21875" style="102" customWidth="1"/>
    <col min="7630" max="7630" width="3.109375" style="102" customWidth="1"/>
    <col min="7631" max="7631" width="15.5546875" style="102" customWidth="1"/>
    <col min="7632" max="7632" width="13.21875" style="102" customWidth="1"/>
    <col min="7633" max="7633" width="10.88671875" style="102" customWidth="1"/>
    <col min="7634" max="7634" width="3.109375" style="102" customWidth="1"/>
    <col min="7635" max="7635" width="15.5546875" style="102" customWidth="1"/>
    <col min="7636" max="7637" width="10.88671875" style="102" customWidth="1"/>
    <col min="7638" max="7638" width="18.6640625" style="102" customWidth="1"/>
    <col min="7639" max="7639" width="3.109375" style="102" customWidth="1"/>
    <col min="7640" max="7640" width="15.5546875" style="102" customWidth="1"/>
    <col min="7641" max="7642" width="10.88671875" style="102" customWidth="1"/>
    <col min="7643" max="7643" width="3.109375" style="102" customWidth="1"/>
    <col min="7644" max="7644" width="16.44140625" style="102" customWidth="1"/>
    <col min="7645" max="7645" width="10.88671875" style="102" customWidth="1"/>
    <col min="7646" max="7646" width="68.6640625" style="102" customWidth="1"/>
    <col min="7647" max="7647" width="2.21875" style="102" customWidth="1"/>
    <col min="7648" max="7879" width="8.88671875" style="102"/>
    <col min="7880" max="7880" width="1.109375" style="102" customWidth="1"/>
    <col min="7881" max="7881" width="10.33203125" style="102" customWidth="1"/>
    <col min="7882" max="7882" width="18.21875" style="102" customWidth="1"/>
    <col min="7883" max="7883" width="20.44140625" style="102" customWidth="1"/>
    <col min="7884" max="7884" width="18.109375" style="102" bestFit="1" customWidth="1"/>
    <col min="7885" max="7885" width="13.21875" style="102" customWidth="1"/>
    <col min="7886" max="7886" width="3.109375" style="102" customWidth="1"/>
    <col min="7887" max="7887" width="15.5546875" style="102" customWidth="1"/>
    <col min="7888" max="7888" width="13.21875" style="102" customWidth="1"/>
    <col min="7889" max="7889" width="10.88671875" style="102" customWidth="1"/>
    <col min="7890" max="7890" width="3.109375" style="102" customWidth="1"/>
    <col min="7891" max="7891" width="15.5546875" style="102" customWidth="1"/>
    <col min="7892" max="7893" width="10.88671875" style="102" customWidth="1"/>
    <col min="7894" max="7894" width="18.6640625" style="102" customWidth="1"/>
    <col min="7895" max="7895" width="3.109375" style="102" customWidth="1"/>
    <col min="7896" max="7896" width="15.5546875" style="102" customWidth="1"/>
    <col min="7897" max="7898" width="10.88671875" style="102" customWidth="1"/>
    <col min="7899" max="7899" width="3.109375" style="102" customWidth="1"/>
    <col min="7900" max="7900" width="16.44140625" style="102" customWidth="1"/>
    <col min="7901" max="7901" width="10.88671875" style="102" customWidth="1"/>
    <col min="7902" max="7902" width="68.6640625" style="102" customWidth="1"/>
    <col min="7903" max="7903" width="2.21875" style="102" customWidth="1"/>
    <col min="7904" max="8135" width="8.88671875" style="102"/>
    <col min="8136" max="8136" width="1.109375" style="102" customWidth="1"/>
    <col min="8137" max="8137" width="10.33203125" style="102" customWidth="1"/>
    <col min="8138" max="8138" width="18.21875" style="102" customWidth="1"/>
    <col min="8139" max="8139" width="20.44140625" style="102" customWidth="1"/>
    <col min="8140" max="8140" width="18.109375" style="102" bestFit="1" customWidth="1"/>
    <col min="8141" max="8141" width="13.21875" style="102" customWidth="1"/>
    <col min="8142" max="8142" width="3.109375" style="102" customWidth="1"/>
    <col min="8143" max="8143" width="15.5546875" style="102" customWidth="1"/>
    <col min="8144" max="8144" width="13.21875" style="102" customWidth="1"/>
    <col min="8145" max="8145" width="10.88671875" style="102" customWidth="1"/>
    <col min="8146" max="8146" width="3.109375" style="102" customWidth="1"/>
    <col min="8147" max="8147" width="15.5546875" style="102" customWidth="1"/>
    <col min="8148" max="8149" width="10.88671875" style="102" customWidth="1"/>
    <col min="8150" max="8150" width="18.6640625" style="102" customWidth="1"/>
    <col min="8151" max="8151" width="3.109375" style="102" customWidth="1"/>
    <col min="8152" max="8152" width="15.5546875" style="102" customWidth="1"/>
    <col min="8153" max="8154" width="10.88671875" style="102" customWidth="1"/>
    <col min="8155" max="8155" width="3.109375" style="102" customWidth="1"/>
    <col min="8156" max="8156" width="16.44140625" style="102" customWidth="1"/>
    <col min="8157" max="8157" width="10.88671875" style="102" customWidth="1"/>
    <col min="8158" max="8158" width="68.6640625" style="102" customWidth="1"/>
    <col min="8159" max="8159" width="2.21875" style="102" customWidth="1"/>
    <col min="8160" max="8391" width="8.88671875" style="102"/>
    <col min="8392" max="8392" width="1.109375" style="102" customWidth="1"/>
    <col min="8393" max="8393" width="10.33203125" style="102" customWidth="1"/>
    <col min="8394" max="8394" width="18.21875" style="102" customWidth="1"/>
    <col min="8395" max="8395" width="20.44140625" style="102" customWidth="1"/>
    <col min="8396" max="8396" width="18.109375" style="102" bestFit="1" customWidth="1"/>
    <col min="8397" max="8397" width="13.21875" style="102" customWidth="1"/>
    <col min="8398" max="8398" width="3.109375" style="102" customWidth="1"/>
    <col min="8399" max="8399" width="15.5546875" style="102" customWidth="1"/>
    <col min="8400" max="8400" width="13.21875" style="102" customWidth="1"/>
    <col min="8401" max="8401" width="10.88671875" style="102" customWidth="1"/>
    <col min="8402" max="8402" width="3.109375" style="102" customWidth="1"/>
    <col min="8403" max="8403" width="15.5546875" style="102" customWidth="1"/>
    <col min="8404" max="8405" width="10.88671875" style="102" customWidth="1"/>
    <col min="8406" max="8406" width="18.6640625" style="102" customWidth="1"/>
    <col min="8407" max="8407" width="3.109375" style="102" customWidth="1"/>
    <col min="8408" max="8408" width="15.5546875" style="102" customWidth="1"/>
    <col min="8409" max="8410" width="10.88671875" style="102" customWidth="1"/>
    <col min="8411" max="8411" width="3.109375" style="102" customWidth="1"/>
    <col min="8412" max="8412" width="16.44140625" style="102" customWidth="1"/>
    <col min="8413" max="8413" width="10.88671875" style="102" customWidth="1"/>
    <col min="8414" max="8414" width="68.6640625" style="102" customWidth="1"/>
    <col min="8415" max="8415" width="2.21875" style="102" customWidth="1"/>
    <col min="8416" max="8647" width="8.88671875" style="102"/>
    <col min="8648" max="8648" width="1.109375" style="102" customWidth="1"/>
    <col min="8649" max="8649" width="10.33203125" style="102" customWidth="1"/>
    <col min="8650" max="8650" width="18.21875" style="102" customWidth="1"/>
    <col min="8651" max="8651" width="20.44140625" style="102" customWidth="1"/>
    <col min="8652" max="8652" width="18.109375" style="102" bestFit="1" customWidth="1"/>
    <col min="8653" max="8653" width="13.21875" style="102" customWidth="1"/>
    <col min="8654" max="8654" width="3.109375" style="102" customWidth="1"/>
    <col min="8655" max="8655" width="15.5546875" style="102" customWidth="1"/>
    <col min="8656" max="8656" width="13.21875" style="102" customWidth="1"/>
    <col min="8657" max="8657" width="10.88671875" style="102" customWidth="1"/>
    <col min="8658" max="8658" width="3.109375" style="102" customWidth="1"/>
    <col min="8659" max="8659" width="15.5546875" style="102" customWidth="1"/>
    <col min="8660" max="8661" width="10.88671875" style="102" customWidth="1"/>
    <col min="8662" max="8662" width="18.6640625" style="102" customWidth="1"/>
    <col min="8663" max="8663" width="3.109375" style="102" customWidth="1"/>
    <col min="8664" max="8664" width="15.5546875" style="102" customWidth="1"/>
    <col min="8665" max="8666" width="10.88671875" style="102" customWidth="1"/>
    <col min="8667" max="8667" width="3.109375" style="102" customWidth="1"/>
    <col min="8668" max="8668" width="16.44140625" style="102" customWidth="1"/>
    <col min="8669" max="8669" width="10.88671875" style="102" customWidth="1"/>
    <col min="8670" max="8670" width="68.6640625" style="102" customWidth="1"/>
    <col min="8671" max="8671" width="2.21875" style="102" customWidth="1"/>
    <col min="8672" max="8903" width="8.88671875" style="102"/>
    <col min="8904" max="8904" width="1.109375" style="102" customWidth="1"/>
    <col min="8905" max="8905" width="10.33203125" style="102" customWidth="1"/>
    <col min="8906" max="8906" width="18.21875" style="102" customWidth="1"/>
    <col min="8907" max="8907" width="20.44140625" style="102" customWidth="1"/>
    <col min="8908" max="8908" width="18.109375" style="102" bestFit="1" customWidth="1"/>
    <col min="8909" max="8909" width="13.21875" style="102" customWidth="1"/>
    <col min="8910" max="8910" width="3.109375" style="102" customWidth="1"/>
    <col min="8911" max="8911" width="15.5546875" style="102" customWidth="1"/>
    <col min="8912" max="8912" width="13.21875" style="102" customWidth="1"/>
    <col min="8913" max="8913" width="10.88671875" style="102" customWidth="1"/>
    <col min="8914" max="8914" width="3.109375" style="102" customWidth="1"/>
    <col min="8915" max="8915" width="15.5546875" style="102" customWidth="1"/>
    <col min="8916" max="8917" width="10.88671875" style="102" customWidth="1"/>
    <col min="8918" max="8918" width="18.6640625" style="102" customWidth="1"/>
    <col min="8919" max="8919" width="3.109375" style="102" customWidth="1"/>
    <col min="8920" max="8920" width="15.5546875" style="102" customWidth="1"/>
    <col min="8921" max="8922" width="10.88671875" style="102" customWidth="1"/>
    <col min="8923" max="8923" width="3.109375" style="102" customWidth="1"/>
    <col min="8924" max="8924" width="16.44140625" style="102" customWidth="1"/>
    <col min="8925" max="8925" width="10.88671875" style="102" customWidth="1"/>
    <col min="8926" max="8926" width="68.6640625" style="102" customWidth="1"/>
    <col min="8927" max="8927" width="2.21875" style="102" customWidth="1"/>
    <col min="8928" max="9159" width="8.88671875" style="102"/>
    <col min="9160" max="9160" width="1.109375" style="102" customWidth="1"/>
    <col min="9161" max="9161" width="10.33203125" style="102" customWidth="1"/>
    <col min="9162" max="9162" width="18.21875" style="102" customWidth="1"/>
    <col min="9163" max="9163" width="20.44140625" style="102" customWidth="1"/>
    <col min="9164" max="9164" width="18.109375" style="102" bestFit="1" customWidth="1"/>
    <col min="9165" max="9165" width="13.21875" style="102" customWidth="1"/>
    <col min="9166" max="9166" width="3.109375" style="102" customWidth="1"/>
    <col min="9167" max="9167" width="15.5546875" style="102" customWidth="1"/>
    <col min="9168" max="9168" width="13.21875" style="102" customWidth="1"/>
    <col min="9169" max="9169" width="10.88671875" style="102" customWidth="1"/>
    <col min="9170" max="9170" width="3.109375" style="102" customWidth="1"/>
    <col min="9171" max="9171" width="15.5546875" style="102" customWidth="1"/>
    <col min="9172" max="9173" width="10.88671875" style="102" customWidth="1"/>
    <col min="9174" max="9174" width="18.6640625" style="102" customWidth="1"/>
    <col min="9175" max="9175" width="3.109375" style="102" customWidth="1"/>
    <col min="9176" max="9176" width="15.5546875" style="102" customWidth="1"/>
    <col min="9177" max="9178" width="10.88671875" style="102" customWidth="1"/>
    <col min="9179" max="9179" width="3.109375" style="102" customWidth="1"/>
    <col min="9180" max="9180" width="16.44140625" style="102" customWidth="1"/>
    <col min="9181" max="9181" width="10.88671875" style="102" customWidth="1"/>
    <col min="9182" max="9182" width="68.6640625" style="102" customWidth="1"/>
    <col min="9183" max="9183" width="2.21875" style="102" customWidth="1"/>
    <col min="9184" max="9415" width="8.88671875" style="102"/>
    <col min="9416" max="9416" width="1.109375" style="102" customWidth="1"/>
    <col min="9417" max="9417" width="10.33203125" style="102" customWidth="1"/>
    <col min="9418" max="9418" width="18.21875" style="102" customWidth="1"/>
    <col min="9419" max="9419" width="20.44140625" style="102" customWidth="1"/>
    <col min="9420" max="9420" width="18.109375" style="102" bestFit="1" customWidth="1"/>
    <col min="9421" max="9421" width="13.21875" style="102" customWidth="1"/>
    <col min="9422" max="9422" width="3.109375" style="102" customWidth="1"/>
    <col min="9423" max="9423" width="15.5546875" style="102" customWidth="1"/>
    <col min="9424" max="9424" width="13.21875" style="102" customWidth="1"/>
    <col min="9425" max="9425" width="10.88671875" style="102" customWidth="1"/>
    <col min="9426" max="9426" width="3.109375" style="102" customWidth="1"/>
    <col min="9427" max="9427" width="15.5546875" style="102" customWidth="1"/>
    <col min="9428" max="9429" width="10.88671875" style="102" customWidth="1"/>
    <col min="9430" max="9430" width="18.6640625" style="102" customWidth="1"/>
    <col min="9431" max="9431" width="3.109375" style="102" customWidth="1"/>
    <col min="9432" max="9432" width="15.5546875" style="102" customWidth="1"/>
    <col min="9433" max="9434" width="10.88671875" style="102" customWidth="1"/>
    <col min="9435" max="9435" width="3.109375" style="102" customWidth="1"/>
    <col min="9436" max="9436" width="16.44140625" style="102" customWidth="1"/>
    <col min="9437" max="9437" width="10.88671875" style="102" customWidth="1"/>
    <col min="9438" max="9438" width="68.6640625" style="102" customWidth="1"/>
    <col min="9439" max="9439" width="2.21875" style="102" customWidth="1"/>
    <col min="9440" max="9671" width="8.88671875" style="102"/>
    <col min="9672" max="9672" width="1.109375" style="102" customWidth="1"/>
    <col min="9673" max="9673" width="10.33203125" style="102" customWidth="1"/>
    <col min="9674" max="9674" width="18.21875" style="102" customWidth="1"/>
    <col min="9675" max="9675" width="20.44140625" style="102" customWidth="1"/>
    <col min="9676" max="9676" width="18.109375" style="102" bestFit="1" customWidth="1"/>
    <col min="9677" max="9677" width="13.21875" style="102" customWidth="1"/>
    <col min="9678" max="9678" width="3.109375" style="102" customWidth="1"/>
    <col min="9679" max="9679" width="15.5546875" style="102" customWidth="1"/>
    <col min="9680" max="9680" width="13.21875" style="102" customWidth="1"/>
    <col min="9681" max="9681" width="10.88671875" style="102" customWidth="1"/>
    <col min="9682" max="9682" width="3.109375" style="102" customWidth="1"/>
    <col min="9683" max="9683" width="15.5546875" style="102" customWidth="1"/>
    <col min="9684" max="9685" width="10.88671875" style="102" customWidth="1"/>
    <col min="9686" max="9686" width="18.6640625" style="102" customWidth="1"/>
    <col min="9687" max="9687" width="3.109375" style="102" customWidth="1"/>
    <col min="9688" max="9688" width="15.5546875" style="102" customWidth="1"/>
    <col min="9689" max="9690" width="10.88671875" style="102" customWidth="1"/>
    <col min="9691" max="9691" width="3.109375" style="102" customWidth="1"/>
    <col min="9692" max="9692" width="16.44140625" style="102" customWidth="1"/>
    <col min="9693" max="9693" width="10.88671875" style="102" customWidth="1"/>
    <col min="9694" max="9694" width="68.6640625" style="102" customWidth="1"/>
    <col min="9695" max="9695" width="2.21875" style="102" customWidth="1"/>
    <col min="9696" max="9927" width="8.88671875" style="102"/>
    <col min="9928" max="9928" width="1.109375" style="102" customWidth="1"/>
    <col min="9929" max="9929" width="10.33203125" style="102" customWidth="1"/>
    <col min="9930" max="9930" width="18.21875" style="102" customWidth="1"/>
    <col min="9931" max="9931" width="20.44140625" style="102" customWidth="1"/>
    <col min="9932" max="9932" width="18.109375" style="102" bestFit="1" customWidth="1"/>
    <col min="9933" max="9933" width="13.21875" style="102" customWidth="1"/>
    <col min="9934" max="9934" width="3.109375" style="102" customWidth="1"/>
    <col min="9935" max="9935" width="15.5546875" style="102" customWidth="1"/>
    <col min="9936" max="9936" width="13.21875" style="102" customWidth="1"/>
    <col min="9937" max="9937" width="10.88671875" style="102" customWidth="1"/>
    <col min="9938" max="9938" width="3.109375" style="102" customWidth="1"/>
    <col min="9939" max="9939" width="15.5546875" style="102" customWidth="1"/>
    <col min="9940" max="9941" width="10.88671875" style="102" customWidth="1"/>
    <col min="9942" max="9942" width="18.6640625" style="102" customWidth="1"/>
    <col min="9943" max="9943" width="3.109375" style="102" customWidth="1"/>
    <col min="9944" max="9944" width="15.5546875" style="102" customWidth="1"/>
    <col min="9945" max="9946" width="10.88671875" style="102" customWidth="1"/>
    <col min="9947" max="9947" width="3.109375" style="102" customWidth="1"/>
    <col min="9948" max="9948" width="16.44140625" style="102" customWidth="1"/>
    <col min="9949" max="9949" width="10.88671875" style="102" customWidth="1"/>
    <col min="9950" max="9950" width="68.6640625" style="102" customWidth="1"/>
    <col min="9951" max="9951" width="2.21875" style="102" customWidth="1"/>
    <col min="9952" max="10183" width="8.88671875" style="102"/>
    <col min="10184" max="10184" width="1.109375" style="102" customWidth="1"/>
    <col min="10185" max="10185" width="10.33203125" style="102" customWidth="1"/>
    <col min="10186" max="10186" width="18.21875" style="102" customWidth="1"/>
    <col min="10187" max="10187" width="20.44140625" style="102" customWidth="1"/>
    <col min="10188" max="10188" width="18.109375" style="102" bestFit="1" customWidth="1"/>
    <col min="10189" max="10189" width="13.21875" style="102" customWidth="1"/>
    <col min="10190" max="10190" width="3.109375" style="102" customWidth="1"/>
    <col min="10191" max="10191" width="15.5546875" style="102" customWidth="1"/>
    <col min="10192" max="10192" width="13.21875" style="102" customWidth="1"/>
    <col min="10193" max="10193" width="10.88671875" style="102" customWidth="1"/>
    <col min="10194" max="10194" width="3.109375" style="102" customWidth="1"/>
    <col min="10195" max="10195" width="15.5546875" style="102" customWidth="1"/>
    <col min="10196" max="10197" width="10.88671875" style="102" customWidth="1"/>
    <col min="10198" max="10198" width="18.6640625" style="102" customWidth="1"/>
    <col min="10199" max="10199" width="3.109375" style="102" customWidth="1"/>
    <col min="10200" max="10200" width="15.5546875" style="102" customWidth="1"/>
    <col min="10201" max="10202" width="10.88671875" style="102" customWidth="1"/>
    <col min="10203" max="10203" width="3.109375" style="102" customWidth="1"/>
    <col min="10204" max="10204" width="16.44140625" style="102" customWidth="1"/>
    <col min="10205" max="10205" width="10.88671875" style="102" customWidth="1"/>
    <col min="10206" max="10206" width="68.6640625" style="102" customWidth="1"/>
    <col min="10207" max="10207" width="2.21875" style="102" customWidth="1"/>
    <col min="10208" max="10439" width="8.88671875" style="102"/>
    <col min="10440" max="10440" width="1.109375" style="102" customWidth="1"/>
    <col min="10441" max="10441" width="10.33203125" style="102" customWidth="1"/>
    <col min="10442" max="10442" width="18.21875" style="102" customWidth="1"/>
    <col min="10443" max="10443" width="20.44140625" style="102" customWidth="1"/>
    <col min="10444" max="10444" width="18.109375" style="102" bestFit="1" customWidth="1"/>
    <col min="10445" max="10445" width="13.21875" style="102" customWidth="1"/>
    <col min="10446" max="10446" width="3.109375" style="102" customWidth="1"/>
    <col min="10447" max="10447" width="15.5546875" style="102" customWidth="1"/>
    <col min="10448" max="10448" width="13.21875" style="102" customWidth="1"/>
    <col min="10449" max="10449" width="10.88671875" style="102" customWidth="1"/>
    <col min="10450" max="10450" width="3.109375" style="102" customWidth="1"/>
    <col min="10451" max="10451" width="15.5546875" style="102" customWidth="1"/>
    <col min="10452" max="10453" width="10.88671875" style="102" customWidth="1"/>
    <col min="10454" max="10454" width="18.6640625" style="102" customWidth="1"/>
    <col min="10455" max="10455" width="3.109375" style="102" customWidth="1"/>
    <col min="10456" max="10456" width="15.5546875" style="102" customWidth="1"/>
    <col min="10457" max="10458" width="10.88671875" style="102" customWidth="1"/>
    <col min="10459" max="10459" width="3.109375" style="102" customWidth="1"/>
    <col min="10460" max="10460" width="16.44140625" style="102" customWidth="1"/>
    <col min="10461" max="10461" width="10.88671875" style="102" customWidth="1"/>
    <col min="10462" max="10462" width="68.6640625" style="102" customWidth="1"/>
    <col min="10463" max="10463" width="2.21875" style="102" customWidth="1"/>
    <col min="10464" max="10695" width="8.88671875" style="102"/>
    <col min="10696" max="10696" width="1.109375" style="102" customWidth="1"/>
    <col min="10697" max="10697" width="10.33203125" style="102" customWidth="1"/>
    <col min="10698" max="10698" width="18.21875" style="102" customWidth="1"/>
    <col min="10699" max="10699" width="20.44140625" style="102" customWidth="1"/>
    <col min="10700" max="10700" width="18.109375" style="102" bestFit="1" customWidth="1"/>
    <col min="10701" max="10701" width="13.21875" style="102" customWidth="1"/>
    <col min="10702" max="10702" width="3.109375" style="102" customWidth="1"/>
    <col min="10703" max="10703" width="15.5546875" style="102" customWidth="1"/>
    <col min="10704" max="10704" width="13.21875" style="102" customWidth="1"/>
    <col min="10705" max="10705" width="10.88671875" style="102" customWidth="1"/>
    <col min="10706" max="10706" width="3.109375" style="102" customWidth="1"/>
    <col min="10707" max="10707" width="15.5546875" style="102" customWidth="1"/>
    <col min="10708" max="10709" width="10.88671875" style="102" customWidth="1"/>
    <col min="10710" max="10710" width="18.6640625" style="102" customWidth="1"/>
    <col min="10711" max="10711" width="3.109375" style="102" customWidth="1"/>
    <col min="10712" max="10712" width="15.5546875" style="102" customWidth="1"/>
    <col min="10713" max="10714" width="10.88671875" style="102" customWidth="1"/>
    <col min="10715" max="10715" width="3.109375" style="102" customWidth="1"/>
    <col min="10716" max="10716" width="16.44140625" style="102" customWidth="1"/>
    <col min="10717" max="10717" width="10.88671875" style="102" customWidth="1"/>
    <col min="10718" max="10718" width="68.6640625" style="102" customWidth="1"/>
    <col min="10719" max="10719" width="2.21875" style="102" customWidth="1"/>
    <col min="10720" max="10951" width="8.88671875" style="102"/>
    <col min="10952" max="10952" width="1.109375" style="102" customWidth="1"/>
    <col min="10953" max="10953" width="10.33203125" style="102" customWidth="1"/>
    <col min="10954" max="10954" width="18.21875" style="102" customWidth="1"/>
    <col min="10955" max="10955" width="20.44140625" style="102" customWidth="1"/>
    <col min="10956" max="10956" width="18.109375" style="102" bestFit="1" customWidth="1"/>
    <col min="10957" max="10957" width="13.21875" style="102" customWidth="1"/>
    <col min="10958" max="10958" width="3.109375" style="102" customWidth="1"/>
    <col min="10959" max="10959" width="15.5546875" style="102" customWidth="1"/>
    <col min="10960" max="10960" width="13.21875" style="102" customWidth="1"/>
    <col min="10961" max="10961" width="10.88671875" style="102" customWidth="1"/>
    <col min="10962" max="10962" width="3.109375" style="102" customWidth="1"/>
    <col min="10963" max="10963" width="15.5546875" style="102" customWidth="1"/>
    <col min="10964" max="10965" width="10.88671875" style="102" customWidth="1"/>
    <col min="10966" max="10966" width="18.6640625" style="102" customWidth="1"/>
    <col min="10967" max="10967" width="3.109375" style="102" customWidth="1"/>
    <col min="10968" max="10968" width="15.5546875" style="102" customWidth="1"/>
    <col min="10969" max="10970" width="10.88671875" style="102" customWidth="1"/>
    <col min="10971" max="10971" width="3.109375" style="102" customWidth="1"/>
    <col min="10972" max="10972" width="16.44140625" style="102" customWidth="1"/>
    <col min="10973" max="10973" width="10.88671875" style="102" customWidth="1"/>
    <col min="10974" max="10974" width="68.6640625" style="102" customWidth="1"/>
    <col min="10975" max="10975" width="2.21875" style="102" customWidth="1"/>
    <col min="10976" max="11207" width="8.88671875" style="102"/>
    <col min="11208" max="11208" width="1.109375" style="102" customWidth="1"/>
    <col min="11209" max="11209" width="10.33203125" style="102" customWidth="1"/>
    <col min="11210" max="11210" width="18.21875" style="102" customWidth="1"/>
    <col min="11211" max="11211" width="20.44140625" style="102" customWidth="1"/>
    <col min="11212" max="11212" width="18.109375" style="102" bestFit="1" customWidth="1"/>
    <col min="11213" max="11213" width="13.21875" style="102" customWidth="1"/>
    <col min="11214" max="11214" width="3.109375" style="102" customWidth="1"/>
    <col min="11215" max="11215" width="15.5546875" style="102" customWidth="1"/>
    <col min="11216" max="11216" width="13.21875" style="102" customWidth="1"/>
    <col min="11217" max="11217" width="10.88671875" style="102" customWidth="1"/>
    <col min="11218" max="11218" width="3.109375" style="102" customWidth="1"/>
    <col min="11219" max="11219" width="15.5546875" style="102" customWidth="1"/>
    <col min="11220" max="11221" width="10.88671875" style="102" customWidth="1"/>
    <col min="11222" max="11222" width="18.6640625" style="102" customWidth="1"/>
    <col min="11223" max="11223" width="3.109375" style="102" customWidth="1"/>
    <col min="11224" max="11224" width="15.5546875" style="102" customWidth="1"/>
    <col min="11225" max="11226" width="10.88671875" style="102" customWidth="1"/>
    <col min="11227" max="11227" width="3.109375" style="102" customWidth="1"/>
    <col min="11228" max="11228" width="16.44140625" style="102" customWidth="1"/>
    <col min="11229" max="11229" width="10.88671875" style="102" customWidth="1"/>
    <col min="11230" max="11230" width="68.6640625" style="102" customWidth="1"/>
    <col min="11231" max="11231" width="2.21875" style="102" customWidth="1"/>
    <col min="11232" max="11463" width="8.88671875" style="102"/>
    <col min="11464" max="11464" width="1.109375" style="102" customWidth="1"/>
    <col min="11465" max="11465" width="10.33203125" style="102" customWidth="1"/>
    <col min="11466" max="11466" width="18.21875" style="102" customWidth="1"/>
    <col min="11467" max="11467" width="20.44140625" style="102" customWidth="1"/>
    <col min="11468" max="11468" width="18.109375" style="102" bestFit="1" customWidth="1"/>
    <col min="11469" max="11469" width="13.21875" style="102" customWidth="1"/>
    <col min="11470" max="11470" width="3.109375" style="102" customWidth="1"/>
    <col min="11471" max="11471" width="15.5546875" style="102" customWidth="1"/>
    <col min="11472" max="11472" width="13.21875" style="102" customWidth="1"/>
    <col min="11473" max="11473" width="10.88671875" style="102" customWidth="1"/>
    <col min="11474" max="11474" width="3.109375" style="102" customWidth="1"/>
    <col min="11475" max="11475" width="15.5546875" style="102" customWidth="1"/>
    <col min="11476" max="11477" width="10.88671875" style="102" customWidth="1"/>
    <col min="11478" max="11478" width="18.6640625" style="102" customWidth="1"/>
    <col min="11479" max="11479" width="3.109375" style="102" customWidth="1"/>
    <col min="11480" max="11480" width="15.5546875" style="102" customWidth="1"/>
    <col min="11481" max="11482" width="10.88671875" style="102" customWidth="1"/>
    <col min="11483" max="11483" width="3.109375" style="102" customWidth="1"/>
    <col min="11484" max="11484" width="16.44140625" style="102" customWidth="1"/>
    <col min="11485" max="11485" width="10.88671875" style="102" customWidth="1"/>
    <col min="11486" max="11486" width="68.6640625" style="102" customWidth="1"/>
    <col min="11487" max="11487" width="2.21875" style="102" customWidth="1"/>
    <col min="11488" max="11719" width="8.88671875" style="102"/>
    <col min="11720" max="11720" width="1.109375" style="102" customWidth="1"/>
    <col min="11721" max="11721" width="10.33203125" style="102" customWidth="1"/>
    <col min="11722" max="11722" width="18.21875" style="102" customWidth="1"/>
    <col min="11723" max="11723" width="20.44140625" style="102" customWidth="1"/>
    <col min="11724" max="11724" width="18.109375" style="102" bestFit="1" customWidth="1"/>
    <col min="11725" max="11725" width="13.21875" style="102" customWidth="1"/>
    <col min="11726" max="11726" width="3.109375" style="102" customWidth="1"/>
    <col min="11727" max="11727" width="15.5546875" style="102" customWidth="1"/>
    <col min="11728" max="11728" width="13.21875" style="102" customWidth="1"/>
    <col min="11729" max="11729" width="10.88671875" style="102" customWidth="1"/>
    <col min="11730" max="11730" width="3.109375" style="102" customWidth="1"/>
    <col min="11731" max="11731" width="15.5546875" style="102" customWidth="1"/>
    <col min="11732" max="11733" width="10.88671875" style="102" customWidth="1"/>
    <col min="11734" max="11734" width="18.6640625" style="102" customWidth="1"/>
    <col min="11735" max="11735" width="3.109375" style="102" customWidth="1"/>
    <col min="11736" max="11736" width="15.5546875" style="102" customWidth="1"/>
    <col min="11737" max="11738" width="10.88671875" style="102" customWidth="1"/>
    <col min="11739" max="11739" width="3.109375" style="102" customWidth="1"/>
    <col min="11740" max="11740" width="16.44140625" style="102" customWidth="1"/>
    <col min="11741" max="11741" width="10.88671875" style="102" customWidth="1"/>
    <col min="11742" max="11742" width="68.6640625" style="102" customWidth="1"/>
    <col min="11743" max="11743" width="2.21875" style="102" customWidth="1"/>
    <col min="11744" max="11975" width="8.88671875" style="102"/>
    <col min="11976" max="11976" width="1.109375" style="102" customWidth="1"/>
    <col min="11977" max="11977" width="10.33203125" style="102" customWidth="1"/>
    <col min="11978" max="11978" width="18.21875" style="102" customWidth="1"/>
    <col min="11979" max="11979" width="20.44140625" style="102" customWidth="1"/>
    <col min="11980" max="11980" width="18.109375" style="102" bestFit="1" customWidth="1"/>
    <col min="11981" max="11981" width="13.21875" style="102" customWidth="1"/>
    <col min="11982" max="11982" width="3.109375" style="102" customWidth="1"/>
    <col min="11983" max="11983" width="15.5546875" style="102" customWidth="1"/>
    <col min="11984" max="11984" width="13.21875" style="102" customWidth="1"/>
    <col min="11985" max="11985" width="10.88671875" style="102" customWidth="1"/>
    <col min="11986" max="11986" width="3.109375" style="102" customWidth="1"/>
    <col min="11987" max="11987" width="15.5546875" style="102" customWidth="1"/>
    <col min="11988" max="11989" width="10.88671875" style="102" customWidth="1"/>
    <col min="11990" max="11990" width="18.6640625" style="102" customWidth="1"/>
    <col min="11991" max="11991" width="3.109375" style="102" customWidth="1"/>
    <col min="11992" max="11992" width="15.5546875" style="102" customWidth="1"/>
    <col min="11993" max="11994" width="10.88671875" style="102" customWidth="1"/>
    <col min="11995" max="11995" width="3.109375" style="102" customWidth="1"/>
    <col min="11996" max="11996" width="16.44140625" style="102" customWidth="1"/>
    <col min="11997" max="11997" width="10.88671875" style="102" customWidth="1"/>
    <col min="11998" max="11998" width="68.6640625" style="102" customWidth="1"/>
    <col min="11999" max="11999" width="2.21875" style="102" customWidth="1"/>
    <col min="12000" max="12231" width="8.88671875" style="102"/>
    <col min="12232" max="12232" width="1.109375" style="102" customWidth="1"/>
    <col min="12233" max="12233" width="10.33203125" style="102" customWidth="1"/>
    <col min="12234" max="12234" width="18.21875" style="102" customWidth="1"/>
    <col min="12235" max="12235" width="20.44140625" style="102" customWidth="1"/>
    <col min="12236" max="12236" width="18.109375" style="102" bestFit="1" customWidth="1"/>
    <col min="12237" max="12237" width="13.21875" style="102" customWidth="1"/>
    <col min="12238" max="12238" width="3.109375" style="102" customWidth="1"/>
    <col min="12239" max="12239" width="15.5546875" style="102" customWidth="1"/>
    <col min="12240" max="12240" width="13.21875" style="102" customWidth="1"/>
    <col min="12241" max="12241" width="10.88671875" style="102" customWidth="1"/>
    <col min="12242" max="12242" width="3.109375" style="102" customWidth="1"/>
    <col min="12243" max="12243" width="15.5546875" style="102" customWidth="1"/>
    <col min="12244" max="12245" width="10.88671875" style="102" customWidth="1"/>
    <col min="12246" max="12246" width="18.6640625" style="102" customWidth="1"/>
    <col min="12247" max="12247" width="3.109375" style="102" customWidth="1"/>
    <col min="12248" max="12248" width="15.5546875" style="102" customWidth="1"/>
    <col min="12249" max="12250" width="10.88671875" style="102" customWidth="1"/>
    <col min="12251" max="12251" width="3.109375" style="102" customWidth="1"/>
    <col min="12252" max="12252" width="16.44140625" style="102" customWidth="1"/>
    <col min="12253" max="12253" width="10.88671875" style="102" customWidth="1"/>
    <col min="12254" max="12254" width="68.6640625" style="102" customWidth="1"/>
    <col min="12255" max="12255" width="2.21875" style="102" customWidth="1"/>
    <col min="12256" max="12487" width="8.88671875" style="102"/>
    <col min="12488" max="12488" width="1.109375" style="102" customWidth="1"/>
    <col min="12489" max="12489" width="10.33203125" style="102" customWidth="1"/>
    <col min="12490" max="12490" width="18.21875" style="102" customWidth="1"/>
    <col min="12491" max="12491" width="20.44140625" style="102" customWidth="1"/>
    <col min="12492" max="12492" width="18.109375" style="102" bestFit="1" customWidth="1"/>
    <col min="12493" max="12493" width="13.21875" style="102" customWidth="1"/>
    <col min="12494" max="12494" width="3.109375" style="102" customWidth="1"/>
    <col min="12495" max="12495" width="15.5546875" style="102" customWidth="1"/>
    <col min="12496" max="12496" width="13.21875" style="102" customWidth="1"/>
    <col min="12497" max="12497" width="10.88671875" style="102" customWidth="1"/>
    <col min="12498" max="12498" width="3.109375" style="102" customWidth="1"/>
    <col min="12499" max="12499" width="15.5546875" style="102" customWidth="1"/>
    <col min="12500" max="12501" width="10.88671875" style="102" customWidth="1"/>
    <col min="12502" max="12502" width="18.6640625" style="102" customWidth="1"/>
    <col min="12503" max="12503" width="3.109375" style="102" customWidth="1"/>
    <col min="12504" max="12504" width="15.5546875" style="102" customWidth="1"/>
    <col min="12505" max="12506" width="10.88671875" style="102" customWidth="1"/>
    <col min="12507" max="12507" width="3.109375" style="102" customWidth="1"/>
    <col min="12508" max="12508" width="16.44140625" style="102" customWidth="1"/>
    <col min="12509" max="12509" width="10.88671875" style="102" customWidth="1"/>
    <col min="12510" max="12510" width="68.6640625" style="102" customWidth="1"/>
    <col min="12511" max="12511" width="2.21875" style="102" customWidth="1"/>
    <col min="12512" max="12743" width="8.88671875" style="102"/>
    <col min="12744" max="12744" width="1.109375" style="102" customWidth="1"/>
    <col min="12745" max="12745" width="10.33203125" style="102" customWidth="1"/>
    <col min="12746" max="12746" width="18.21875" style="102" customWidth="1"/>
    <col min="12747" max="12747" width="20.44140625" style="102" customWidth="1"/>
    <col min="12748" max="12748" width="18.109375" style="102" bestFit="1" customWidth="1"/>
    <col min="12749" max="12749" width="13.21875" style="102" customWidth="1"/>
    <col min="12750" max="12750" width="3.109375" style="102" customWidth="1"/>
    <col min="12751" max="12751" width="15.5546875" style="102" customWidth="1"/>
    <col min="12752" max="12752" width="13.21875" style="102" customWidth="1"/>
    <col min="12753" max="12753" width="10.88671875" style="102" customWidth="1"/>
    <col min="12754" max="12754" width="3.109375" style="102" customWidth="1"/>
    <col min="12755" max="12755" width="15.5546875" style="102" customWidth="1"/>
    <col min="12756" max="12757" width="10.88671875" style="102" customWidth="1"/>
    <col min="12758" max="12758" width="18.6640625" style="102" customWidth="1"/>
    <col min="12759" max="12759" width="3.109375" style="102" customWidth="1"/>
    <col min="12760" max="12760" width="15.5546875" style="102" customWidth="1"/>
    <col min="12761" max="12762" width="10.88671875" style="102" customWidth="1"/>
    <col min="12763" max="12763" width="3.109375" style="102" customWidth="1"/>
    <col min="12764" max="12764" width="16.44140625" style="102" customWidth="1"/>
    <col min="12765" max="12765" width="10.88671875" style="102" customWidth="1"/>
    <col min="12766" max="12766" width="68.6640625" style="102" customWidth="1"/>
    <col min="12767" max="12767" width="2.21875" style="102" customWidth="1"/>
    <col min="12768" max="12999" width="8.88671875" style="102"/>
    <col min="13000" max="13000" width="1.109375" style="102" customWidth="1"/>
    <col min="13001" max="13001" width="10.33203125" style="102" customWidth="1"/>
    <col min="13002" max="13002" width="18.21875" style="102" customWidth="1"/>
    <col min="13003" max="13003" width="20.44140625" style="102" customWidth="1"/>
    <col min="13004" max="13004" width="18.109375" style="102" bestFit="1" customWidth="1"/>
    <col min="13005" max="13005" width="13.21875" style="102" customWidth="1"/>
    <col min="13006" max="13006" width="3.109375" style="102" customWidth="1"/>
    <col min="13007" max="13007" width="15.5546875" style="102" customWidth="1"/>
    <col min="13008" max="13008" width="13.21875" style="102" customWidth="1"/>
    <col min="13009" max="13009" width="10.88671875" style="102" customWidth="1"/>
    <col min="13010" max="13010" width="3.109375" style="102" customWidth="1"/>
    <col min="13011" max="13011" width="15.5546875" style="102" customWidth="1"/>
    <col min="13012" max="13013" width="10.88671875" style="102" customWidth="1"/>
    <col min="13014" max="13014" width="18.6640625" style="102" customWidth="1"/>
    <col min="13015" max="13015" width="3.109375" style="102" customWidth="1"/>
    <col min="13016" max="13016" width="15.5546875" style="102" customWidth="1"/>
    <col min="13017" max="13018" width="10.88671875" style="102" customWidth="1"/>
    <col min="13019" max="13019" width="3.109375" style="102" customWidth="1"/>
    <col min="13020" max="13020" width="16.44140625" style="102" customWidth="1"/>
    <col min="13021" max="13021" width="10.88671875" style="102" customWidth="1"/>
    <col min="13022" max="13022" width="68.6640625" style="102" customWidth="1"/>
    <col min="13023" max="13023" width="2.21875" style="102" customWidth="1"/>
    <col min="13024" max="13255" width="8.88671875" style="102"/>
    <col min="13256" max="13256" width="1.109375" style="102" customWidth="1"/>
    <col min="13257" max="13257" width="10.33203125" style="102" customWidth="1"/>
    <col min="13258" max="13258" width="18.21875" style="102" customWidth="1"/>
    <col min="13259" max="13259" width="20.44140625" style="102" customWidth="1"/>
    <col min="13260" max="13260" width="18.109375" style="102" bestFit="1" customWidth="1"/>
    <col min="13261" max="13261" width="13.21875" style="102" customWidth="1"/>
    <col min="13262" max="13262" width="3.109375" style="102" customWidth="1"/>
    <col min="13263" max="13263" width="15.5546875" style="102" customWidth="1"/>
    <col min="13264" max="13264" width="13.21875" style="102" customWidth="1"/>
    <col min="13265" max="13265" width="10.88671875" style="102" customWidth="1"/>
    <col min="13266" max="13266" width="3.109375" style="102" customWidth="1"/>
    <col min="13267" max="13267" width="15.5546875" style="102" customWidth="1"/>
    <col min="13268" max="13269" width="10.88671875" style="102" customWidth="1"/>
    <col min="13270" max="13270" width="18.6640625" style="102" customWidth="1"/>
    <col min="13271" max="13271" width="3.109375" style="102" customWidth="1"/>
    <col min="13272" max="13272" width="15.5546875" style="102" customWidth="1"/>
    <col min="13273" max="13274" width="10.88671875" style="102" customWidth="1"/>
    <col min="13275" max="13275" width="3.109375" style="102" customWidth="1"/>
    <col min="13276" max="13276" width="16.44140625" style="102" customWidth="1"/>
    <col min="13277" max="13277" width="10.88671875" style="102" customWidth="1"/>
    <col min="13278" max="13278" width="68.6640625" style="102" customWidth="1"/>
    <col min="13279" max="13279" width="2.21875" style="102" customWidth="1"/>
    <col min="13280" max="13511" width="8.88671875" style="102"/>
    <col min="13512" max="13512" width="1.109375" style="102" customWidth="1"/>
    <col min="13513" max="13513" width="10.33203125" style="102" customWidth="1"/>
    <col min="13514" max="13514" width="18.21875" style="102" customWidth="1"/>
    <col min="13515" max="13515" width="20.44140625" style="102" customWidth="1"/>
    <col min="13516" max="13516" width="18.109375" style="102" bestFit="1" customWidth="1"/>
    <col min="13517" max="13517" width="13.21875" style="102" customWidth="1"/>
    <col min="13518" max="13518" width="3.109375" style="102" customWidth="1"/>
    <col min="13519" max="13519" width="15.5546875" style="102" customWidth="1"/>
    <col min="13520" max="13520" width="13.21875" style="102" customWidth="1"/>
    <col min="13521" max="13521" width="10.88671875" style="102" customWidth="1"/>
    <col min="13522" max="13522" width="3.109375" style="102" customWidth="1"/>
    <col min="13523" max="13523" width="15.5546875" style="102" customWidth="1"/>
    <col min="13524" max="13525" width="10.88671875" style="102" customWidth="1"/>
    <col min="13526" max="13526" width="18.6640625" style="102" customWidth="1"/>
    <col min="13527" max="13527" width="3.109375" style="102" customWidth="1"/>
    <col min="13528" max="13528" width="15.5546875" style="102" customWidth="1"/>
    <col min="13529" max="13530" width="10.88671875" style="102" customWidth="1"/>
    <col min="13531" max="13531" width="3.109375" style="102" customWidth="1"/>
    <col min="13532" max="13532" width="16.44140625" style="102" customWidth="1"/>
    <col min="13533" max="13533" width="10.88671875" style="102" customWidth="1"/>
    <col min="13534" max="13534" width="68.6640625" style="102" customWidth="1"/>
    <col min="13535" max="13535" width="2.21875" style="102" customWidth="1"/>
    <col min="13536" max="13767" width="8.88671875" style="102"/>
    <col min="13768" max="13768" width="1.109375" style="102" customWidth="1"/>
    <col min="13769" max="13769" width="10.33203125" style="102" customWidth="1"/>
    <col min="13770" max="13770" width="18.21875" style="102" customWidth="1"/>
    <col min="13771" max="13771" width="20.44140625" style="102" customWidth="1"/>
    <col min="13772" max="13772" width="18.109375" style="102" bestFit="1" customWidth="1"/>
    <col min="13773" max="13773" width="13.21875" style="102" customWidth="1"/>
    <col min="13774" max="13774" width="3.109375" style="102" customWidth="1"/>
    <col min="13775" max="13775" width="15.5546875" style="102" customWidth="1"/>
    <col min="13776" max="13776" width="13.21875" style="102" customWidth="1"/>
    <col min="13777" max="13777" width="10.88671875" style="102" customWidth="1"/>
    <col min="13778" max="13778" width="3.109375" style="102" customWidth="1"/>
    <col min="13779" max="13779" width="15.5546875" style="102" customWidth="1"/>
    <col min="13780" max="13781" width="10.88671875" style="102" customWidth="1"/>
    <col min="13782" max="13782" width="18.6640625" style="102" customWidth="1"/>
    <col min="13783" max="13783" width="3.109375" style="102" customWidth="1"/>
    <col min="13784" max="13784" width="15.5546875" style="102" customWidth="1"/>
    <col min="13785" max="13786" width="10.88671875" style="102" customWidth="1"/>
    <col min="13787" max="13787" width="3.109375" style="102" customWidth="1"/>
    <col min="13788" max="13788" width="16.44140625" style="102" customWidth="1"/>
    <col min="13789" max="13789" width="10.88671875" style="102" customWidth="1"/>
    <col min="13790" max="13790" width="68.6640625" style="102" customWidth="1"/>
    <col min="13791" max="13791" width="2.21875" style="102" customWidth="1"/>
    <col min="13792" max="14023" width="8.88671875" style="102"/>
    <col min="14024" max="14024" width="1.109375" style="102" customWidth="1"/>
    <col min="14025" max="14025" width="10.33203125" style="102" customWidth="1"/>
    <col min="14026" max="14026" width="18.21875" style="102" customWidth="1"/>
    <col min="14027" max="14027" width="20.44140625" style="102" customWidth="1"/>
    <col min="14028" max="14028" width="18.109375" style="102" bestFit="1" customWidth="1"/>
    <col min="14029" max="14029" width="13.21875" style="102" customWidth="1"/>
    <col min="14030" max="14030" width="3.109375" style="102" customWidth="1"/>
    <col min="14031" max="14031" width="15.5546875" style="102" customWidth="1"/>
    <col min="14032" max="14032" width="13.21875" style="102" customWidth="1"/>
    <col min="14033" max="14033" width="10.88671875" style="102" customWidth="1"/>
    <col min="14034" max="14034" width="3.109375" style="102" customWidth="1"/>
    <col min="14035" max="14035" width="15.5546875" style="102" customWidth="1"/>
    <col min="14036" max="14037" width="10.88671875" style="102" customWidth="1"/>
    <col min="14038" max="14038" width="18.6640625" style="102" customWidth="1"/>
    <col min="14039" max="14039" width="3.109375" style="102" customWidth="1"/>
    <col min="14040" max="14040" width="15.5546875" style="102" customWidth="1"/>
    <col min="14041" max="14042" width="10.88671875" style="102" customWidth="1"/>
    <col min="14043" max="14043" width="3.109375" style="102" customWidth="1"/>
    <col min="14044" max="14044" width="16.44140625" style="102" customWidth="1"/>
    <col min="14045" max="14045" width="10.88671875" style="102" customWidth="1"/>
    <col min="14046" max="14046" width="68.6640625" style="102" customWidth="1"/>
    <col min="14047" max="14047" width="2.21875" style="102" customWidth="1"/>
    <col min="14048" max="14279" width="8.88671875" style="102"/>
    <col min="14280" max="14280" width="1.109375" style="102" customWidth="1"/>
    <col min="14281" max="14281" width="10.33203125" style="102" customWidth="1"/>
    <col min="14282" max="14282" width="18.21875" style="102" customWidth="1"/>
    <col min="14283" max="14283" width="20.44140625" style="102" customWidth="1"/>
    <col min="14284" max="14284" width="18.109375" style="102" bestFit="1" customWidth="1"/>
    <col min="14285" max="14285" width="13.21875" style="102" customWidth="1"/>
    <col min="14286" max="14286" width="3.109375" style="102" customWidth="1"/>
    <col min="14287" max="14287" width="15.5546875" style="102" customWidth="1"/>
    <col min="14288" max="14288" width="13.21875" style="102" customWidth="1"/>
    <col min="14289" max="14289" width="10.88671875" style="102" customWidth="1"/>
    <col min="14290" max="14290" width="3.109375" style="102" customWidth="1"/>
    <col min="14291" max="14291" width="15.5546875" style="102" customWidth="1"/>
    <col min="14292" max="14293" width="10.88671875" style="102" customWidth="1"/>
    <col min="14294" max="14294" width="18.6640625" style="102" customWidth="1"/>
    <col min="14295" max="14295" width="3.109375" style="102" customWidth="1"/>
    <col min="14296" max="14296" width="15.5546875" style="102" customWidth="1"/>
    <col min="14297" max="14298" width="10.88671875" style="102" customWidth="1"/>
    <col min="14299" max="14299" width="3.109375" style="102" customWidth="1"/>
    <col min="14300" max="14300" width="16.44140625" style="102" customWidth="1"/>
    <col min="14301" max="14301" width="10.88671875" style="102" customWidth="1"/>
    <col min="14302" max="14302" width="68.6640625" style="102" customWidth="1"/>
    <col min="14303" max="14303" width="2.21875" style="102" customWidth="1"/>
    <col min="14304" max="14535" width="8.88671875" style="102"/>
    <col min="14536" max="14536" width="1.109375" style="102" customWidth="1"/>
    <col min="14537" max="14537" width="10.33203125" style="102" customWidth="1"/>
    <col min="14538" max="14538" width="18.21875" style="102" customWidth="1"/>
    <col min="14539" max="14539" width="20.44140625" style="102" customWidth="1"/>
    <col min="14540" max="14540" width="18.109375" style="102" bestFit="1" customWidth="1"/>
    <col min="14541" max="14541" width="13.21875" style="102" customWidth="1"/>
    <col min="14542" max="14542" width="3.109375" style="102" customWidth="1"/>
    <col min="14543" max="14543" width="15.5546875" style="102" customWidth="1"/>
    <col min="14544" max="14544" width="13.21875" style="102" customWidth="1"/>
    <col min="14545" max="14545" width="10.88671875" style="102" customWidth="1"/>
    <col min="14546" max="14546" width="3.109375" style="102" customWidth="1"/>
    <col min="14547" max="14547" width="15.5546875" style="102" customWidth="1"/>
    <col min="14548" max="14549" width="10.88671875" style="102" customWidth="1"/>
    <col min="14550" max="14550" width="18.6640625" style="102" customWidth="1"/>
    <col min="14551" max="14551" width="3.109375" style="102" customWidth="1"/>
    <col min="14552" max="14552" width="15.5546875" style="102" customWidth="1"/>
    <col min="14553" max="14554" width="10.88671875" style="102" customWidth="1"/>
    <col min="14555" max="14555" width="3.109375" style="102" customWidth="1"/>
    <col min="14556" max="14556" width="16.44140625" style="102" customWidth="1"/>
    <col min="14557" max="14557" width="10.88671875" style="102" customWidth="1"/>
    <col min="14558" max="14558" width="68.6640625" style="102" customWidth="1"/>
    <col min="14559" max="14559" width="2.21875" style="102" customWidth="1"/>
    <col min="14560" max="14791" width="8.88671875" style="102"/>
    <col min="14792" max="14792" width="1.109375" style="102" customWidth="1"/>
    <col min="14793" max="14793" width="10.33203125" style="102" customWidth="1"/>
    <col min="14794" max="14794" width="18.21875" style="102" customWidth="1"/>
    <col min="14795" max="14795" width="20.44140625" style="102" customWidth="1"/>
    <col min="14796" max="14796" width="18.109375" style="102" bestFit="1" customWidth="1"/>
    <col min="14797" max="14797" width="13.21875" style="102" customWidth="1"/>
    <col min="14798" max="14798" width="3.109375" style="102" customWidth="1"/>
    <col min="14799" max="14799" width="15.5546875" style="102" customWidth="1"/>
    <col min="14800" max="14800" width="13.21875" style="102" customWidth="1"/>
    <col min="14801" max="14801" width="10.88671875" style="102" customWidth="1"/>
    <col min="14802" max="14802" width="3.109375" style="102" customWidth="1"/>
    <col min="14803" max="14803" width="15.5546875" style="102" customWidth="1"/>
    <col min="14804" max="14805" width="10.88671875" style="102" customWidth="1"/>
    <col min="14806" max="14806" width="18.6640625" style="102" customWidth="1"/>
    <col min="14807" max="14807" width="3.109375" style="102" customWidth="1"/>
    <col min="14808" max="14808" width="15.5546875" style="102" customWidth="1"/>
    <col min="14809" max="14810" width="10.88671875" style="102" customWidth="1"/>
    <col min="14811" max="14811" width="3.109375" style="102" customWidth="1"/>
    <col min="14812" max="14812" width="16.44140625" style="102" customWidth="1"/>
    <col min="14813" max="14813" width="10.88671875" style="102" customWidth="1"/>
    <col min="14814" max="14814" width="68.6640625" style="102" customWidth="1"/>
    <col min="14815" max="14815" width="2.21875" style="102" customWidth="1"/>
    <col min="14816" max="15047" width="8.88671875" style="102"/>
    <col min="15048" max="15048" width="1.109375" style="102" customWidth="1"/>
    <col min="15049" max="15049" width="10.33203125" style="102" customWidth="1"/>
    <col min="15050" max="15050" width="18.21875" style="102" customWidth="1"/>
    <col min="15051" max="15051" width="20.44140625" style="102" customWidth="1"/>
    <col min="15052" max="15052" width="18.109375" style="102" bestFit="1" customWidth="1"/>
    <col min="15053" max="15053" width="13.21875" style="102" customWidth="1"/>
    <col min="15054" max="15054" width="3.109375" style="102" customWidth="1"/>
    <col min="15055" max="15055" width="15.5546875" style="102" customWidth="1"/>
    <col min="15056" max="15056" width="13.21875" style="102" customWidth="1"/>
    <col min="15057" max="15057" width="10.88671875" style="102" customWidth="1"/>
    <col min="15058" max="15058" width="3.109375" style="102" customWidth="1"/>
    <col min="15059" max="15059" width="15.5546875" style="102" customWidth="1"/>
    <col min="15060" max="15061" width="10.88671875" style="102" customWidth="1"/>
    <col min="15062" max="15062" width="18.6640625" style="102" customWidth="1"/>
    <col min="15063" max="15063" width="3.109375" style="102" customWidth="1"/>
    <col min="15064" max="15064" width="15.5546875" style="102" customWidth="1"/>
    <col min="15065" max="15066" width="10.88671875" style="102" customWidth="1"/>
    <col min="15067" max="15067" width="3.109375" style="102" customWidth="1"/>
    <col min="15068" max="15068" width="16.44140625" style="102" customWidth="1"/>
    <col min="15069" max="15069" width="10.88671875" style="102" customWidth="1"/>
    <col min="15070" max="15070" width="68.6640625" style="102" customWidth="1"/>
    <col min="15071" max="15071" width="2.21875" style="102" customWidth="1"/>
    <col min="15072" max="15303" width="8.88671875" style="102"/>
    <col min="15304" max="15304" width="1.109375" style="102" customWidth="1"/>
    <col min="15305" max="15305" width="10.33203125" style="102" customWidth="1"/>
    <col min="15306" max="15306" width="18.21875" style="102" customWidth="1"/>
    <col min="15307" max="15307" width="20.44140625" style="102" customWidth="1"/>
    <col min="15308" max="15308" width="18.109375" style="102" bestFit="1" customWidth="1"/>
    <col min="15309" max="15309" width="13.21875" style="102" customWidth="1"/>
    <col min="15310" max="15310" width="3.109375" style="102" customWidth="1"/>
    <col min="15311" max="15311" width="15.5546875" style="102" customWidth="1"/>
    <col min="15312" max="15312" width="13.21875" style="102" customWidth="1"/>
    <col min="15313" max="15313" width="10.88671875" style="102" customWidth="1"/>
    <col min="15314" max="15314" width="3.109375" style="102" customWidth="1"/>
    <col min="15315" max="15315" width="15.5546875" style="102" customWidth="1"/>
    <col min="15316" max="15317" width="10.88671875" style="102" customWidth="1"/>
    <col min="15318" max="15318" width="18.6640625" style="102" customWidth="1"/>
    <col min="15319" max="15319" width="3.109375" style="102" customWidth="1"/>
    <col min="15320" max="15320" width="15.5546875" style="102" customWidth="1"/>
    <col min="15321" max="15322" width="10.88671875" style="102" customWidth="1"/>
    <col min="15323" max="15323" width="3.109375" style="102" customWidth="1"/>
    <col min="15324" max="15324" width="16.44140625" style="102" customWidth="1"/>
    <col min="15325" max="15325" width="10.88671875" style="102" customWidth="1"/>
    <col min="15326" max="15326" width="68.6640625" style="102" customWidth="1"/>
    <col min="15327" max="15327" width="2.21875" style="102" customWidth="1"/>
    <col min="15328" max="15559" width="8.88671875" style="102"/>
    <col min="15560" max="15560" width="1.109375" style="102" customWidth="1"/>
    <col min="15561" max="15561" width="10.33203125" style="102" customWidth="1"/>
    <col min="15562" max="15562" width="18.21875" style="102" customWidth="1"/>
    <col min="15563" max="15563" width="20.44140625" style="102" customWidth="1"/>
    <col min="15564" max="15564" width="18.109375" style="102" bestFit="1" customWidth="1"/>
    <col min="15565" max="15565" width="13.21875" style="102" customWidth="1"/>
    <col min="15566" max="15566" width="3.109375" style="102" customWidth="1"/>
    <col min="15567" max="15567" width="15.5546875" style="102" customWidth="1"/>
    <col min="15568" max="15568" width="13.21875" style="102" customWidth="1"/>
    <col min="15569" max="15569" width="10.88671875" style="102" customWidth="1"/>
    <col min="15570" max="15570" width="3.109375" style="102" customWidth="1"/>
    <col min="15571" max="15571" width="15.5546875" style="102" customWidth="1"/>
    <col min="15572" max="15573" width="10.88671875" style="102" customWidth="1"/>
    <col min="15574" max="15574" width="18.6640625" style="102" customWidth="1"/>
    <col min="15575" max="15575" width="3.109375" style="102" customWidth="1"/>
    <col min="15576" max="15576" width="15.5546875" style="102" customWidth="1"/>
    <col min="15577" max="15578" width="10.88671875" style="102" customWidth="1"/>
    <col min="15579" max="15579" width="3.109375" style="102" customWidth="1"/>
    <col min="15580" max="15580" width="16.44140625" style="102" customWidth="1"/>
    <col min="15581" max="15581" width="10.88671875" style="102" customWidth="1"/>
    <col min="15582" max="15582" width="68.6640625" style="102" customWidth="1"/>
    <col min="15583" max="15583" width="2.21875" style="102" customWidth="1"/>
    <col min="15584" max="15815" width="8.88671875" style="102"/>
    <col min="15816" max="15816" width="1.109375" style="102" customWidth="1"/>
    <col min="15817" max="15817" width="10.33203125" style="102" customWidth="1"/>
    <col min="15818" max="15818" width="18.21875" style="102" customWidth="1"/>
    <col min="15819" max="15819" width="20.44140625" style="102" customWidth="1"/>
    <col min="15820" max="15820" width="18.109375" style="102" bestFit="1" customWidth="1"/>
    <col min="15821" max="15821" width="13.21875" style="102" customWidth="1"/>
    <col min="15822" max="15822" width="3.109375" style="102" customWidth="1"/>
    <col min="15823" max="15823" width="15.5546875" style="102" customWidth="1"/>
    <col min="15824" max="15824" width="13.21875" style="102" customWidth="1"/>
    <col min="15825" max="15825" width="10.88671875" style="102" customWidth="1"/>
    <col min="15826" max="15826" width="3.109375" style="102" customWidth="1"/>
    <col min="15827" max="15827" width="15.5546875" style="102" customWidth="1"/>
    <col min="15828" max="15829" width="10.88671875" style="102" customWidth="1"/>
    <col min="15830" max="15830" width="18.6640625" style="102" customWidth="1"/>
    <col min="15831" max="15831" width="3.109375" style="102" customWidth="1"/>
    <col min="15832" max="15832" width="15.5546875" style="102" customWidth="1"/>
    <col min="15833" max="15834" width="10.88671875" style="102" customWidth="1"/>
    <col min="15835" max="15835" width="3.109375" style="102" customWidth="1"/>
    <col min="15836" max="15836" width="16.44140625" style="102" customWidth="1"/>
    <col min="15837" max="15837" width="10.88671875" style="102" customWidth="1"/>
    <col min="15838" max="15838" width="68.6640625" style="102" customWidth="1"/>
    <col min="15839" max="15839" width="2.21875" style="102" customWidth="1"/>
    <col min="15840" max="16071" width="8.88671875" style="102"/>
    <col min="16072" max="16072" width="1.109375" style="102" customWidth="1"/>
    <col min="16073" max="16073" width="10.33203125" style="102" customWidth="1"/>
    <col min="16074" max="16074" width="18.21875" style="102" customWidth="1"/>
    <col min="16075" max="16075" width="20.44140625" style="102" customWidth="1"/>
    <col min="16076" max="16076" width="18.109375" style="102" bestFit="1" customWidth="1"/>
    <col min="16077" max="16077" width="13.21875" style="102" customWidth="1"/>
    <col min="16078" max="16078" width="3.109375" style="102" customWidth="1"/>
    <col min="16079" max="16079" width="15.5546875" style="102" customWidth="1"/>
    <col min="16080" max="16080" width="13.21875" style="102" customWidth="1"/>
    <col min="16081" max="16081" width="10.88671875" style="102" customWidth="1"/>
    <col min="16082" max="16082" width="3.109375" style="102" customWidth="1"/>
    <col min="16083" max="16083" width="15.5546875" style="102" customWidth="1"/>
    <col min="16084" max="16085" width="10.88671875" style="102" customWidth="1"/>
    <col min="16086" max="16086" width="18.6640625" style="102" customWidth="1"/>
    <col min="16087" max="16087" width="3.109375" style="102" customWidth="1"/>
    <col min="16088" max="16088" width="15.5546875" style="102" customWidth="1"/>
    <col min="16089" max="16090" width="10.88671875" style="102" customWidth="1"/>
    <col min="16091" max="16091" width="3.109375" style="102" customWidth="1"/>
    <col min="16092" max="16092" width="16.44140625" style="102" customWidth="1"/>
    <col min="16093" max="16093" width="10.88671875" style="102" customWidth="1"/>
    <col min="16094" max="16094" width="68.6640625" style="102" customWidth="1"/>
    <col min="16095" max="16095" width="2.21875" style="102" customWidth="1"/>
    <col min="16096" max="16384" width="8.88671875" style="102"/>
  </cols>
  <sheetData>
    <row r="1" spans="2:43" s="99" customFormat="1" ht="61.5" customHeight="1">
      <c r="B1" s="516" t="s">
        <v>472</v>
      </c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  <c r="W1" s="529"/>
      <c r="X1" s="529"/>
      <c r="Y1" s="529"/>
      <c r="Z1" s="529"/>
      <c r="AA1" s="529"/>
      <c r="AB1" s="529"/>
      <c r="AC1" s="529"/>
      <c r="AD1" s="529"/>
      <c r="AE1" s="529"/>
      <c r="AF1" s="529"/>
      <c r="AG1" s="529"/>
      <c r="AH1" s="529"/>
      <c r="AI1" s="529"/>
    </row>
    <row r="2" spans="2:43" s="99" customFormat="1" ht="32.1" customHeight="1" thickBot="1">
      <c r="B2" s="530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20"/>
      <c r="AG2" s="531"/>
      <c r="AH2" s="520"/>
      <c r="AI2" s="521" t="s">
        <v>364</v>
      </c>
    </row>
    <row r="3" spans="2:43" s="100" customFormat="1" ht="54" customHeight="1" thickTop="1">
      <c r="B3" s="1293" t="s">
        <v>147</v>
      </c>
      <c r="C3" s="533" t="s">
        <v>149</v>
      </c>
      <c r="D3" s="534"/>
      <c r="E3" s="534"/>
      <c r="F3" s="533" t="s">
        <v>149</v>
      </c>
      <c r="G3" s="534"/>
      <c r="H3" s="534"/>
      <c r="I3" s="534"/>
      <c r="J3" s="534"/>
      <c r="K3" s="534"/>
      <c r="L3" s="534"/>
      <c r="M3" s="534"/>
      <c r="N3" s="535" t="s">
        <v>149</v>
      </c>
      <c r="O3" s="536"/>
      <c r="P3" s="536"/>
      <c r="Q3" s="535" t="s">
        <v>149</v>
      </c>
      <c r="R3" s="536"/>
      <c r="S3" s="536"/>
      <c r="T3" s="536"/>
      <c r="U3" s="537"/>
      <c r="V3" s="536"/>
      <c r="W3" s="537"/>
      <c r="X3" s="537"/>
      <c r="Y3" s="536" t="s">
        <v>149</v>
      </c>
      <c r="Z3" s="534"/>
      <c r="AA3" s="534"/>
      <c r="AB3" s="538" t="s">
        <v>149</v>
      </c>
      <c r="AC3" s="534"/>
      <c r="AD3" s="534"/>
      <c r="AE3" s="534"/>
      <c r="AF3" s="539"/>
      <c r="AG3" s="534"/>
      <c r="AH3" s="539"/>
      <c r="AI3" s="539"/>
    </row>
    <row r="4" spans="2:43" s="100" customFormat="1" ht="46.5" customHeight="1">
      <c r="B4" s="1294"/>
      <c r="C4" s="1296" t="s">
        <v>124</v>
      </c>
      <c r="D4" s="1280" t="s">
        <v>150</v>
      </c>
      <c r="E4" s="1281"/>
      <c r="F4" s="1296" t="s">
        <v>150</v>
      </c>
      <c r="G4" s="1280" t="s">
        <v>190</v>
      </c>
      <c r="H4" s="1281"/>
      <c r="I4" s="1300" t="s">
        <v>136</v>
      </c>
      <c r="J4" s="1300"/>
      <c r="K4" s="1300" t="s">
        <v>136</v>
      </c>
      <c r="L4" s="1300"/>
      <c r="M4" s="1298" t="s">
        <v>121</v>
      </c>
      <c r="N4" s="1301" t="s">
        <v>124</v>
      </c>
      <c r="O4" s="1280" t="s">
        <v>150</v>
      </c>
      <c r="P4" s="1281"/>
      <c r="Q4" s="1287" t="s">
        <v>150</v>
      </c>
      <c r="R4" s="540" t="str">
        <f>MID(총괄표!A2,7,3)</f>
        <v xml:space="preserve">4월 </v>
      </c>
      <c r="S4" s="540"/>
      <c r="T4" s="1282" t="s">
        <v>136</v>
      </c>
      <c r="U4" s="1282"/>
      <c r="V4" s="1282" t="s">
        <v>136</v>
      </c>
      <c r="W4" s="1282"/>
      <c r="X4" s="1279" t="s">
        <v>121</v>
      </c>
      <c r="Y4" s="1283" t="s">
        <v>124</v>
      </c>
      <c r="Z4" s="1282" t="s">
        <v>150</v>
      </c>
      <c r="AA4" s="1282"/>
      <c r="AB4" s="1289" t="s">
        <v>150</v>
      </c>
      <c r="AC4" s="540" t="s">
        <v>155</v>
      </c>
      <c r="AD4" s="540"/>
      <c r="AE4" s="1282" t="s">
        <v>136</v>
      </c>
      <c r="AF4" s="1282"/>
      <c r="AG4" s="1280" t="s">
        <v>136</v>
      </c>
      <c r="AH4" s="1281"/>
      <c r="AI4" s="1284" t="s">
        <v>121</v>
      </c>
    </row>
    <row r="5" spans="2:43" s="100" customFormat="1" ht="46.5" customHeight="1">
      <c r="B5" s="1295"/>
      <c r="C5" s="1297"/>
      <c r="D5" s="541" t="s">
        <v>152</v>
      </c>
      <c r="E5" s="542" t="s">
        <v>128</v>
      </c>
      <c r="F5" s="1297"/>
      <c r="G5" s="541" t="s">
        <v>152</v>
      </c>
      <c r="H5" s="542" t="s">
        <v>128</v>
      </c>
      <c r="I5" s="543" t="s">
        <v>137</v>
      </c>
      <c r="J5" s="544" t="s">
        <v>151</v>
      </c>
      <c r="K5" s="545" t="s">
        <v>137</v>
      </c>
      <c r="L5" s="546" t="s">
        <v>128</v>
      </c>
      <c r="M5" s="1299"/>
      <c r="N5" s="1302"/>
      <c r="O5" s="541" t="s">
        <v>152</v>
      </c>
      <c r="P5" s="542" t="s">
        <v>128</v>
      </c>
      <c r="Q5" s="1287"/>
      <c r="R5" s="547" t="s">
        <v>152</v>
      </c>
      <c r="S5" s="548" t="s">
        <v>128</v>
      </c>
      <c r="T5" s="548" t="s">
        <v>137</v>
      </c>
      <c r="U5" s="548" t="s">
        <v>151</v>
      </c>
      <c r="V5" s="548" t="s">
        <v>137</v>
      </c>
      <c r="W5" s="548" t="s">
        <v>128</v>
      </c>
      <c r="X5" s="1279"/>
      <c r="Y5" s="1283"/>
      <c r="Z5" s="548" t="s">
        <v>152</v>
      </c>
      <c r="AA5" s="548" t="s">
        <v>128</v>
      </c>
      <c r="AB5" s="1289"/>
      <c r="AC5" s="548" t="s">
        <v>152</v>
      </c>
      <c r="AD5" s="548" t="s">
        <v>128</v>
      </c>
      <c r="AE5" s="548" t="s">
        <v>137</v>
      </c>
      <c r="AF5" s="548" t="s">
        <v>151</v>
      </c>
      <c r="AG5" s="549" t="s">
        <v>137</v>
      </c>
      <c r="AH5" s="544" t="s">
        <v>128</v>
      </c>
      <c r="AI5" s="1285"/>
    </row>
    <row r="6" spans="2:43" s="99" customFormat="1" ht="90" customHeight="1">
      <c r="B6" s="550" t="s">
        <v>366</v>
      </c>
      <c r="C6" s="1303">
        <f>총괄표!$X$11</f>
        <v>14484479</v>
      </c>
      <c r="D6" s="551"/>
      <c r="E6" s="552">
        <f>총괄표!V11</f>
        <v>14326884</v>
      </c>
      <c r="F6" s="1303">
        <f>E6</f>
        <v>14326884</v>
      </c>
      <c r="G6" s="551"/>
      <c r="H6" s="552">
        <f>C6</f>
        <v>14484479</v>
      </c>
      <c r="I6" s="1310">
        <f>K7</f>
        <v>-545701</v>
      </c>
      <c r="J6" s="1308">
        <f>L7</f>
        <v>0.9636929830514338</v>
      </c>
      <c r="K6" s="553"/>
      <c r="L6" s="554">
        <f>총괄표!Y11</f>
        <v>15030180</v>
      </c>
      <c r="M6" s="1304">
        <f>C6/$C$18</f>
        <v>0.72995228707039927</v>
      </c>
      <c r="N6" s="1305">
        <f>총괄표!E11</f>
        <v>2958593</v>
      </c>
      <c r="O6" s="551"/>
      <c r="P6" s="552">
        <f>총괄표!C11</f>
        <v>3068534</v>
      </c>
      <c r="Q6" s="1288">
        <f>P6</f>
        <v>3068534</v>
      </c>
      <c r="R6" s="555">
        <f>O7</f>
        <v>-109941</v>
      </c>
      <c r="S6" s="556">
        <f>N6</f>
        <v>2958593</v>
      </c>
      <c r="T6" s="555">
        <f>V7</f>
        <v>-61755</v>
      </c>
      <c r="U6" s="1291">
        <f>W7</f>
        <v>0.97955368056925896</v>
      </c>
      <c r="V6" s="557"/>
      <c r="W6" s="558">
        <f>총괄표!G11</f>
        <v>3020348</v>
      </c>
      <c r="X6" s="1306">
        <f>총괄표!I11</f>
        <v>65.8</v>
      </c>
      <c r="Y6" s="1286">
        <f>C6+N6</f>
        <v>17443072</v>
      </c>
      <c r="Z6" s="559"/>
      <c r="AA6" s="556">
        <f>E6+P6</f>
        <v>17395418</v>
      </c>
      <c r="AB6" s="1290">
        <f>AA6</f>
        <v>17395418</v>
      </c>
      <c r="AC6" s="555">
        <f>Z7</f>
        <v>47654</v>
      </c>
      <c r="AD6" s="556">
        <f>Y6</f>
        <v>17443072</v>
      </c>
      <c r="AE6" s="555">
        <f>AG7</f>
        <v>-607456</v>
      </c>
      <c r="AF6" s="1291">
        <f>AH7</f>
        <v>0.96634691240056803</v>
      </c>
      <c r="AG6" s="560"/>
      <c r="AH6" s="561">
        <f>L6+W6</f>
        <v>18050528</v>
      </c>
      <c r="AI6" s="1292">
        <f>총괄표!P11</f>
        <v>71.599999999999994</v>
      </c>
    </row>
    <row r="7" spans="2:43" s="99" customFormat="1" ht="90" customHeight="1">
      <c r="B7" s="562">
        <f>VLOOKUP(B6,데이터!$D$33:$E$38,2,FALSE)</f>
        <v>1151036</v>
      </c>
      <c r="C7" s="1303"/>
      <c r="D7" s="563">
        <f>C6-E6</f>
        <v>157595</v>
      </c>
      <c r="E7" s="564">
        <f>C6/E6</f>
        <v>1.0109999494656339</v>
      </c>
      <c r="F7" s="1303"/>
      <c r="G7" s="563">
        <f>H6-F6</f>
        <v>157595</v>
      </c>
      <c r="H7" s="564">
        <f>H6/E6</f>
        <v>1.0109999494656339</v>
      </c>
      <c r="I7" s="1311"/>
      <c r="J7" s="1309"/>
      <c r="K7" s="563">
        <f>C6-L6</f>
        <v>-545701</v>
      </c>
      <c r="L7" s="564">
        <f>C6/L6</f>
        <v>0.9636929830514338</v>
      </c>
      <c r="M7" s="1304"/>
      <c r="N7" s="1288"/>
      <c r="O7" s="563">
        <f>N6-P6</f>
        <v>-109941</v>
      </c>
      <c r="P7" s="564">
        <f>N6/P6</f>
        <v>0.96417149035989169</v>
      </c>
      <c r="Q7" s="1272"/>
      <c r="R7" s="565">
        <f>(S7-1)</f>
        <v>-3.5828509640108308E-2</v>
      </c>
      <c r="S7" s="566">
        <f>P7</f>
        <v>0.96417149035989169</v>
      </c>
      <c r="T7" s="565">
        <f>U6-1</f>
        <v>-2.0446319430741045E-2</v>
      </c>
      <c r="U7" s="1277"/>
      <c r="V7" s="567">
        <f>N6-W6</f>
        <v>-61755</v>
      </c>
      <c r="W7" s="568">
        <f>N6/W6</f>
        <v>0.97955368056925896</v>
      </c>
      <c r="X7" s="1307"/>
      <c r="Y7" s="1274"/>
      <c r="Z7" s="569">
        <f>Y6-AA6</f>
        <v>47654</v>
      </c>
      <c r="AA7" s="568">
        <f>Y6/AA6</f>
        <v>1.0027394570225332</v>
      </c>
      <c r="AB7" s="1270"/>
      <c r="AC7" s="565">
        <f>AD7-1</f>
        <v>2.7394570225331982E-3</v>
      </c>
      <c r="AD7" s="566">
        <f>AA7</f>
        <v>1.0027394570225332</v>
      </c>
      <c r="AE7" s="565">
        <f>AF6-1</f>
        <v>-3.3653087599431974E-2</v>
      </c>
      <c r="AF7" s="1277"/>
      <c r="AG7" s="570">
        <f>Y6-AH6</f>
        <v>-607456</v>
      </c>
      <c r="AH7" s="564">
        <f>Y6/AH6</f>
        <v>0.96634691240056803</v>
      </c>
      <c r="AI7" s="1292"/>
    </row>
    <row r="8" spans="2:43" s="99" customFormat="1" ht="90" customHeight="1">
      <c r="B8" s="571" t="s">
        <v>167</v>
      </c>
      <c r="C8" s="1315">
        <f>총괄표!$X$12</f>
        <v>1098408</v>
      </c>
      <c r="D8" s="572"/>
      <c r="E8" s="573">
        <f>총괄표!V12</f>
        <v>1119107</v>
      </c>
      <c r="F8" s="1315">
        <f>E8</f>
        <v>1119107</v>
      </c>
      <c r="G8" s="572"/>
      <c r="H8" s="573">
        <f>C8</f>
        <v>1098408</v>
      </c>
      <c r="I8" s="1312">
        <f>K9</f>
        <v>-14276</v>
      </c>
      <c r="J8" s="1313">
        <f>L9</f>
        <v>0.98716976248422728</v>
      </c>
      <c r="K8" s="572"/>
      <c r="L8" s="574">
        <f>총괄표!Y12</f>
        <v>1112684</v>
      </c>
      <c r="M8" s="1317">
        <f>C8/$C$18</f>
        <v>5.5354799557265619E-2</v>
      </c>
      <c r="N8" s="1321">
        <f>총괄표!E12</f>
        <v>327092</v>
      </c>
      <c r="O8" s="572"/>
      <c r="P8" s="573">
        <f>총괄표!C12</f>
        <v>331181</v>
      </c>
      <c r="Q8" s="1272">
        <f>P8</f>
        <v>331181</v>
      </c>
      <c r="R8" s="569">
        <f>O9</f>
        <v>-4089</v>
      </c>
      <c r="S8" s="575">
        <f>N8</f>
        <v>327092</v>
      </c>
      <c r="T8" s="569">
        <f>V9</f>
        <v>-2057</v>
      </c>
      <c r="U8" s="1277">
        <f>W9</f>
        <v>0.99375055066246598</v>
      </c>
      <c r="V8" s="576"/>
      <c r="W8" s="567">
        <f>총괄표!G12</f>
        <v>329149</v>
      </c>
      <c r="X8" s="1320">
        <f>총괄표!I12</f>
        <v>7.3</v>
      </c>
      <c r="Y8" s="1274">
        <f>C8+N8</f>
        <v>1425500</v>
      </c>
      <c r="Z8" s="569"/>
      <c r="AA8" s="575">
        <f>E8+P8</f>
        <v>1450288</v>
      </c>
      <c r="AB8" s="1270">
        <f>AA8</f>
        <v>1450288</v>
      </c>
      <c r="AC8" s="569">
        <f>Z9</f>
        <v>-24788</v>
      </c>
      <c r="AD8" s="575">
        <f>Y8</f>
        <v>1425500</v>
      </c>
      <c r="AE8" s="569">
        <f>AG9</f>
        <v>-16333</v>
      </c>
      <c r="AF8" s="1277">
        <f>AH9</f>
        <v>0.9886720584145321</v>
      </c>
      <c r="AG8" s="577"/>
      <c r="AH8" s="578">
        <f>L8+W8</f>
        <v>1441833</v>
      </c>
      <c r="AI8" s="1266">
        <f>총괄표!P12</f>
        <v>5.9</v>
      </c>
    </row>
    <row r="9" spans="2:43" s="99" customFormat="1" ht="90" customHeight="1">
      <c r="B9" s="562">
        <f>VLOOKUP(B8,데이터!$D$33:$E$38,2,FALSE)</f>
        <v>21352</v>
      </c>
      <c r="C9" s="1316"/>
      <c r="D9" s="563">
        <f>C8-E8</f>
        <v>-20699</v>
      </c>
      <c r="E9" s="564">
        <f>C8/E8</f>
        <v>0.98150400274504579</v>
      </c>
      <c r="F9" s="1316"/>
      <c r="G9" s="563">
        <f>H8-F8</f>
        <v>-20699</v>
      </c>
      <c r="H9" s="564">
        <f>H8/E8</f>
        <v>0.98150400274504579</v>
      </c>
      <c r="I9" s="1311"/>
      <c r="J9" s="1314"/>
      <c r="K9" s="563">
        <f>C8-L8</f>
        <v>-14276</v>
      </c>
      <c r="L9" s="564">
        <f>C8/L8</f>
        <v>0.98716976248422728</v>
      </c>
      <c r="M9" s="1291"/>
      <c r="N9" s="1321"/>
      <c r="O9" s="563">
        <f>N8-P8</f>
        <v>-4089</v>
      </c>
      <c r="P9" s="564">
        <f>N8/P8</f>
        <v>0.98765327721095109</v>
      </c>
      <c r="Q9" s="1272"/>
      <c r="R9" s="579">
        <f>S9-1</f>
        <v>-1.2346722789048914E-2</v>
      </c>
      <c r="S9" s="566">
        <f>P9</f>
        <v>0.98765327721095109</v>
      </c>
      <c r="T9" s="565">
        <f>U8-1</f>
        <v>-6.2494493375340188E-3</v>
      </c>
      <c r="U9" s="1277"/>
      <c r="V9" s="567">
        <f>N8-W8</f>
        <v>-2057</v>
      </c>
      <c r="W9" s="568">
        <f>N8/W8</f>
        <v>0.99375055066246598</v>
      </c>
      <c r="X9" s="1306"/>
      <c r="Y9" s="1274"/>
      <c r="Z9" s="569">
        <f>Y8-AA8</f>
        <v>-24788</v>
      </c>
      <c r="AA9" s="568">
        <f>Y8/AA8</f>
        <v>0.98290822236686781</v>
      </c>
      <c r="AB9" s="1270"/>
      <c r="AC9" s="565">
        <f>AD9-1</f>
        <v>-1.7091777633132188E-2</v>
      </c>
      <c r="AD9" s="566">
        <f>AA9</f>
        <v>0.98290822236686781</v>
      </c>
      <c r="AE9" s="565">
        <f>AF8-1</f>
        <v>-1.1327941585467904E-2</v>
      </c>
      <c r="AF9" s="1277"/>
      <c r="AG9" s="570">
        <f>Y8-AH8</f>
        <v>-16333</v>
      </c>
      <c r="AH9" s="564">
        <f>Y8/AH8</f>
        <v>0.9886720584145321</v>
      </c>
      <c r="AI9" s="1267"/>
    </row>
    <row r="10" spans="2:43" s="99" customFormat="1" ht="90" customHeight="1">
      <c r="B10" s="571" t="s">
        <v>197</v>
      </c>
      <c r="C10" s="1315">
        <f>총괄표!$X$13+총괄표!$X$14</f>
        <v>823283</v>
      </c>
      <c r="D10" s="572"/>
      <c r="E10" s="573">
        <f>총괄표!V13+총괄표!V14</f>
        <v>809579</v>
      </c>
      <c r="F10" s="1315">
        <f>E10</f>
        <v>809579</v>
      </c>
      <c r="G10" s="572"/>
      <c r="H10" s="573">
        <f>C10</f>
        <v>823283</v>
      </c>
      <c r="I10" s="1312">
        <f>K11</f>
        <v>-30053</v>
      </c>
      <c r="J10" s="1313">
        <f>L11</f>
        <v>0.96478175068202909</v>
      </c>
      <c r="K10" s="572"/>
      <c r="L10" s="574">
        <f>총괄표!Y13+총괄표!Y14</f>
        <v>853336</v>
      </c>
      <c r="M10" s="1317">
        <f>C10/$C$18</f>
        <v>4.1489742831356209E-2</v>
      </c>
      <c r="N10" s="1318">
        <f>총괄표!E13+총괄표!E14</f>
        <v>116278</v>
      </c>
      <c r="O10" s="572"/>
      <c r="P10" s="573">
        <f>총괄표!C13+총괄표!C14</f>
        <v>144841</v>
      </c>
      <c r="Q10" s="1272">
        <f>P10</f>
        <v>144841</v>
      </c>
      <c r="R10" s="569">
        <f>O11</f>
        <v>-28563</v>
      </c>
      <c r="S10" s="575">
        <f>N10</f>
        <v>116278</v>
      </c>
      <c r="T10" s="569">
        <f>V11</f>
        <v>-6213</v>
      </c>
      <c r="U10" s="1277">
        <f>W11</f>
        <v>0.94927790613187912</v>
      </c>
      <c r="V10" s="576"/>
      <c r="W10" s="567">
        <f>총괄표!G13+총괄표!G14</f>
        <v>122491</v>
      </c>
      <c r="X10" s="1320">
        <f>SUM(총괄표!I13:I14)</f>
        <v>2.6</v>
      </c>
      <c r="Y10" s="1274">
        <f>C10+N10</f>
        <v>939561</v>
      </c>
      <c r="Z10" s="569"/>
      <c r="AA10" s="575">
        <f>E10+P10</f>
        <v>954420</v>
      </c>
      <c r="AB10" s="1270">
        <f>AA10</f>
        <v>954420</v>
      </c>
      <c r="AC10" s="569">
        <f>Z11</f>
        <v>-14859</v>
      </c>
      <c r="AD10" s="575">
        <f>Y10</f>
        <v>939561</v>
      </c>
      <c r="AE10" s="569">
        <f>AG11</f>
        <v>-36266</v>
      </c>
      <c r="AF10" s="1277">
        <f>AH11</f>
        <v>0.96283562557707458</v>
      </c>
      <c r="AG10" s="577"/>
      <c r="AH10" s="578">
        <f>L10+W10</f>
        <v>975827</v>
      </c>
      <c r="AI10" s="1266">
        <f>SUM(총괄표!P13:P14)</f>
        <v>3.9</v>
      </c>
      <c r="AQ10" s="176"/>
    </row>
    <row r="11" spans="2:43" s="99" customFormat="1" ht="90" customHeight="1">
      <c r="B11" s="562">
        <f>VLOOKUP(B10,데이터!$D$33:$E$38,2,FALSE)</f>
        <v>8625</v>
      </c>
      <c r="C11" s="1316"/>
      <c r="D11" s="563">
        <f>C10-E10</f>
        <v>13704</v>
      </c>
      <c r="E11" s="564">
        <f>C10/E10</f>
        <v>1.0169273165435369</v>
      </c>
      <c r="F11" s="1316"/>
      <c r="G11" s="563">
        <f>H10-F10</f>
        <v>13704</v>
      </c>
      <c r="H11" s="564">
        <f>H10/E10</f>
        <v>1.0169273165435369</v>
      </c>
      <c r="I11" s="1311"/>
      <c r="J11" s="1314"/>
      <c r="K11" s="563">
        <f>C10-L10</f>
        <v>-30053</v>
      </c>
      <c r="L11" s="564">
        <f>C10/L10</f>
        <v>0.96478175068202909</v>
      </c>
      <c r="M11" s="1291"/>
      <c r="N11" s="1319"/>
      <c r="O11" s="563">
        <f>N10-P10</f>
        <v>-28563</v>
      </c>
      <c r="P11" s="564">
        <f>N10/P10</f>
        <v>0.80279755041735423</v>
      </c>
      <c r="Q11" s="1272"/>
      <c r="R11" s="579">
        <f>S11-1</f>
        <v>-0.19720244958264577</v>
      </c>
      <c r="S11" s="566">
        <f>P11</f>
        <v>0.80279755041735423</v>
      </c>
      <c r="T11" s="579">
        <f>U10-1</f>
        <v>-5.0722093868120877E-2</v>
      </c>
      <c r="U11" s="1277"/>
      <c r="V11" s="567">
        <f>N10-W10</f>
        <v>-6213</v>
      </c>
      <c r="W11" s="568">
        <f>N10/W10</f>
        <v>0.94927790613187912</v>
      </c>
      <c r="X11" s="1306"/>
      <c r="Y11" s="1274"/>
      <c r="Z11" s="569">
        <f>Y10-AA10</f>
        <v>-14859</v>
      </c>
      <c r="AA11" s="568">
        <f>Y10/AA10</f>
        <v>0.98443138241025963</v>
      </c>
      <c r="AB11" s="1270"/>
      <c r="AC11" s="565">
        <f>AD11-1</f>
        <v>-1.5568617589740374E-2</v>
      </c>
      <c r="AD11" s="566">
        <f>AA11</f>
        <v>0.98443138241025963</v>
      </c>
      <c r="AE11" s="565">
        <f>AF10-1</f>
        <v>-3.7164374422925417E-2</v>
      </c>
      <c r="AF11" s="1277"/>
      <c r="AG11" s="570">
        <f>Y10-AH10</f>
        <v>-36266</v>
      </c>
      <c r="AH11" s="564">
        <f>Y10/AH10</f>
        <v>0.96283562557707458</v>
      </c>
      <c r="AI11" s="1267"/>
    </row>
    <row r="12" spans="2:43" s="99" customFormat="1" ht="90" customHeight="1">
      <c r="B12" s="571" t="s">
        <v>44</v>
      </c>
      <c r="C12" s="1315">
        <f>총괄표!$X$15</f>
        <v>2511258</v>
      </c>
      <c r="D12" s="572"/>
      <c r="E12" s="573">
        <f>총괄표!V15</f>
        <v>2505824</v>
      </c>
      <c r="F12" s="1315">
        <f>E12</f>
        <v>2505824</v>
      </c>
      <c r="G12" s="572"/>
      <c r="H12" s="573">
        <f>C12</f>
        <v>2511258</v>
      </c>
      <c r="I12" s="1312">
        <f>K13</f>
        <v>-60880</v>
      </c>
      <c r="J12" s="1313">
        <f>L13</f>
        <v>0.97633097446560024</v>
      </c>
      <c r="K12" s="572"/>
      <c r="L12" s="574">
        <f>총괄표!Y15</f>
        <v>2572138</v>
      </c>
      <c r="M12" s="1317">
        <f>C12/$C$18</f>
        <v>0.12655605496917333</v>
      </c>
      <c r="N12" s="1318">
        <f>총괄표!E15</f>
        <v>793601</v>
      </c>
      <c r="O12" s="572"/>
      <c r="P12" s="573">
        <f>총괄표!C15</f>
        <v>786084</v>
      </c>
      <c r="Q12" s="1272">
        <f>P12</f>
        <v>786084</v>
      </c>
      <c r="R12" s="569">
        <f>O13</f>
        <v>7517</v>
      </c>
      <c r="S12" s="575">
        <f>N12</f>
        <v>793601</v>
      </c>
      <c r="T12" s="569">
        <f>V13</f>
        <v>-17459</v>
      </c>
      <c r="U12" s="1277">
        <f>W13</f>
        <v>0.97847384903706258</v>
      </c>
      <c r="V12" s="576"/>
      <c r="W12" s="567">
        <f>총괄표!G15</f>
        <v>811060</v>
      </c>
      <c r="X12" s="1307">
        <f>총괄표!I15</f>
        <v>17.600000000000001</v>
      </c>
      <c r="Y12" s="1274">
        <f>C12+N12</f>
        <v>3304859</v>
      </c>
      <c r="Z12" s="569"/>
      <c r="AA12" s="575">
        <f>E12+P12</f>
        <v>3291908</v>
      </c>
      <c r="AB12" s="1270">
        <f>AA12</f>
        <v>3291908</v>
      </c>
      <c r="AC12" s="569">
        <f>Z13</f>
        <v>12951</v>
      </c>
      <c r="AD12" s="575">
        <f>Y12</f>
        <v>3304859</v>
      </c>
      <c r="AE12" s="569">
        <f>AG13</f>
        <v>-78339</v>
      </c>
      <c r="AF12" s="1277">
        <f>AH13</f>
        <v>0.9768446895511288</v>
      </c>
      <c r="AG12" s="577"/>
      <c r="AH12" s="578">
        <f>L12+W12</f>
        <v>3383198</v>
      </c>
      <c r="AI12" s="1266">
        <f>총괄표!P15</f>
        <v>13.6</v>
      </c>
    </row>
    <row r="13" spans="2:43" s="99" customFormat="1" ht="90" customHeight="1">
      <c r="B13" s="562">
        <f>VLOOKUP(B12,데이터!$D$33:$E$38,2,FALSE)</f>
        <v>1109</v>
      </c>
      <c r="C13" s="1316"/>
      <c r="D13" s="563">
        <f>C12-E12</f>
        <v>5434</v>
      </c>
      <c r="E13" s="564">
        <f>C12/E12</f>
        <v>1.0021685481502292</v>
      </c>
      <c r="F13" s="1316"/>
      <c r="G13" s="563">
        <f>H12-F12</f>
        <v>5434</v>
      </c>
      <c r="H13" s="564">
        <f>H12/E12</f>
        <v>1.0021685481502292</v>
      </c>
      <c r="I13" s="1311"/>
      <c r="J13" s="1314"/>
      <c r="K13" s="563">
        <f>C12-L12</f>
        <v>-60880</v>
      </c>
      <c r="L13" s="564">
        <f>C12/L12</f>
        <v>0.97633097446560024</v>
      </c>
      <c r="M13" s="1291"/>
      <c r="N13" s="1319"/>
      <c r="O13" s="563">
        <f>N12-P12</f>
        <v>7517</v>
      </c>
      <c r="P13" s="564">
        <f>N12/P12</f>
        <v>1.0095625912752326</v>
      </c>
      <c r="Q13" s="1272"/>
      <c r="R13" s="579">
        <f>S13-1</f>
        <v>9.5625912752326236E-3</v>
      </c>
      <c r="S13" s="566">
        <f>P13</f>
        <v>1.0095625912752326</v>
      </c>
      <c r="T13" s="579">
        <f>U12-1</f>
        <v>-2.1526150962937418E-2</v>
      </c>
      <c r="U13" s="1277"/>
      <c r="V13" s="567">
        <f>N12-W12</f>
        <v>-17459</v>
      </c>
      <c r="W13" s="568">
        <f>N12/W12</f>
        <v>0.97847384903706258</v>
      </c>
      <c r="X13" s="1307"/>
      <c r="Y13" s="1274"/>
      <c r="Z13" s="569">
        <f>Y12-AA12</f>
        <v>12951</v>
      </c>
      <c r="AA13" s="568">
        <f>Y12/AA12</f>
        <v>1.0039341925716028</v>
      </c>
      <c r="AB13" s="1270"/>
      <c r="AC13" s="565">
        <f>AD13-1</f>
        <v>3.9341925716027681E-3</v>
      </c>
      <c r="AD13" s="566">
        <f>AA13</f>
        <v>1.0039341925716028</v>
      </c>
      <c r="AE13" s="565">
        <f>AF12-1</f>
        <v>-2.3155310448871202E-2</v>
      </c>
      <c r="AF13" s="1277"/>
      <c r="AG13" s="570">
        <f>Y12-AH12</f>
        <v>-78339</v>
      </c>
      <c r="AH13" s="564">
        <f>Y12/AH12</f>
        <v>0.9768446895511288</v>
      </c>
      <c r="AI13" s="1267"/>
    </row>
    <row r="14" spans="2:43" s="99" customFormat="1" ht="90" customHeight="1">
      <c r="B14" s="571" t="s">
        <v>123</v>
      </c>
      <c r="C14" s="1315">
        <f>총괄표!$X$16+총괄표!$X$17</f>
        <v>766979</v>
      </c>
      <c r="D14" s="572"/>
      <c r="E14" s="573">
        <f>총괄표!V16+총괄표!V17</f>
        <v>732106</v>
      </c>
      <c r="F14" s="1315">
        <f>E14</f>
        <v>732106</v>
      </c>
      <c r="G14" s="572"/>
      <c r="H14" s="573">
        <f>C14</f>
        <v>766979</v>
      </c>
      <c r="I14" s="1312">
        <f>K15</f>
        <v>616</v>
      </c>
      <c r="J14" s="1313">
        <f>L15</f>
        <v>1.000803796634232</v>
      </c>
      <c r="K14" s="572"/>
      <c r="L14" s="574">
        <f>총괄표!Y16+총괄표!Y17</f>
        <v>766363</v>
      </c>
      <c r="M14" s="1317">
        <f>C14/$C$18</f>
        <v>3.8652275665901951E-2</v>
      </c>
      <c r="N14" s="1318">
        <f>총괄표!E16+총괄표!E17</f>
        <v>260540</v>
      </c>
      <c r="O14" s="572"/>
      <c r="P14" s="573">
        <f>총괄표!C16+총괄표!C17</f>
        <v>251268</v>
      </c>
      <c r="Q14" s="1272">
        <f>P14</f>
        <v>251268</v>
      </c>
      <c r="R14" s="569">
        <f>O15</f>
        <v>9272</v>
      </c>
      <c r="S14" s="575">
        <f>N14</f>
        <v>260540</v>
      </c>
      <c r="T14" s="569">
        <f>V15</f>
        <v>-2573</v>
      </c>
      <c r="U14" s="1277">
        <f>W15</f>
        <v>0.99022093169094649</v>
      </c>
      <c r="V14" s="576"/>
      <c r="W14" s="567">
        <f>총괄표!G16+총괄표!G17</f>
        <v>263113</v>
      </c>
      <c r="X14" s="1307">
        <f>SUM(총괄표!I16:I17)</f>
        <v>5.8</v>
      </c>
      <c r="Y14" s="1274">
        <f>C14+N14</f>
        <v>1027519</v>
      </c>
      <c r="Z14" s="569"/>
      <c r="AA14" s="575">
        <f>E14+P14</f>
        <v>983374</v>
      </c>
      <c r="AB14" s="1270">
        <f>AA14</f>
        <v>983374</v>
      </c>
      <c r="AC14" s="569">
        <f>Z15</f>
        <v>44145</v>
      </c>
      <c r="AD14" s="575">
        <f>Y14</f>
        <v>1027519</v>
      </c>
      <c r="AE14" s="569">
        <f>AG15</f>
        <v>-1957</v>
      </c>
      <c r="AF14" s="1277">
        <f>AH15</f>
        <v>0.99809903290606095</v>
      </c>
      <c r="AG14" s="577"/>
      <c r="AH14" s="578">
        <f>L14+W14</f>
        <v>1029476</v>
      </c>
      <c r="AI14" s="1266">
        <f>SUM(총괄표!P16:P17)</f>
        <v>4.2</v>
      </c>
    </row>
    <row r="15" spans="2:43" s="99" customFormat="1" ht="90" customHeight="1">
      <c r="B15" s="562">
        <f>VLOOKUP(B14,데이터!$D$33:$E$38,2,FALSE)</f>
        <v>98</v>
      </c>
      <c r="C15" s="1316"/>
      <c r="D15" s="563">
        <f>C14-E14</f>
        <v>34873</v>
      </c>
      <c r="E15" s="564">
        <f>C14/E14</f>
        <v>1.0476338125899802</v>
      </c>
      <c r="F15" s="1316"/>
      <c r="G15" s="563">
        <f>H14-F14</f>
        <v>34873</v>
      </c>
      <c r="H15" s="564">
        <f>H14/E14</f>
        <v>1.0476338125899802</v>
      </c>
      <c r="I15" s="1311"/>
      <c r="J15" s="1314"/>
      <c r="K15" s="563">
        <f>C14-L14</f>
        <v>616</v>
      </c>
      <c r="L15" s="564">
        <f>C14/L14</f>
        <v>1.000803796634232</v>
      </c>
      <c r="M15" s="1291"/>
      <c r="N15" s="1319"/>
      <c r="O15" s="563">
        <f>N14-P14</f>
        <v>9272</v>
      </c>
      <c r="P15" s="564">
        <f>N14/P14</f>
        <v>1.0369008389448715</v>
      </c>
      <c r="Q15" s="1272"/>
      <c r="R15" s="579">
        <f>S15-1</f>
        <v>3.6900838944871506E-2</v>
      </c>
      <c r="S15" s="566">
        <f>P15</f>
        <v>1.0369008389448715</v>
      </c>
      <c r="T15" s="579">
        <f>U14-1</f>
        <v>-9.7790683090535069E-3</v>
      </c>
      <c r="U15" s="1277"/>
      <c r="V15" s="567">
        <f>N14-W14</f>
        <v>-2573</v>
      </c>
      <c r="W15" s="568">
        <f>N14/W14</f>
        <v>0.99022093169094649</v>
      </c>
      <c r="X15" s="1307"/>
      <c r="Y15" s="1274"/>
      <c r="Z15" s="569">
        <f>Y14-AA14</f>
        <v>44145</v>
      </c>
      <c r="AA15" s="568">
        <f>Y14/AA14</f>
        <v>1.0448913638147845</v>
      </c>
      <c r="AB15" s="1270"/>
      <c r="AC15" s="565">
        <f>AD15-1</f>
        <v>4.4891363814784535E-2</v>
      </c>
      <c r="AD15" s="566">
        <f>AA15</f>
        <v>1.0448913638147845</v>
      </c>
      <c r="AE15" s="565">
        <f>AF14-1</f>
        <v>-1.9009670939390544E-3</v>
      </c>
      <c r="AF15" s="1277"/>
      <c r="AG15" s="570">
        <f>Y14-AH14</f>
        <v>-1957</v>
      </c>
      <c r="AH15" s="564">
        <f>Y14/AH14</f>
        <v>0.99809903290606095</v>
      </c>
      <c r="AI15" s="1267"/>
    </row>
    <row r="16" spans="2:43" s="99" customFormat="1" ht="90" customHeight="1">
      <c r="B16" s="571" t="s">
        <v>221</v>
      </c>
      <c r="C16" s="1315">
        <f>총괄표!X18+총괄표!X19+총괄표!X20+총괄표!X21</f>
        <v>158642</v>
      </c>
      <c r="D16" s="572"/>
      <c r="E16" s="573">
        <f>총괄표!V18+총괄표!V19+총괄표!V20+총괄표!V21</f>
        <v>155556</v>
      </c>
      <c r="F16" s="1315">
        <f>E16</f>
        <v>155556</v>
      </c>
      <c r="G16" s="572"/>
      <c r="H16" s="573">
        <f>C16</f>
        <v>158642</v>
      </c>
      <c r="I16" s="1312">
        <f>K17</f>
        <v>-3228</v>
      </c>
      <c r="J16" s="1313">
        <f>L17</f>
        <v>0.98005807129177736</v>
      </c>
      <c r="K16" s="572"/>
      <c r="L16" s="574">
        <f>총괄표!Y18+총괄표!Y19+총괄표!Y20+총괄표!Y21</f>
        <v>161870</v>
      </c>
      <c r="M16" s="1317">
        <f>C16/$C$18</f>
        <v>7.9948399059035728E-3</v>
      </c>
      <c r="N16" s="1318">
        <f>총괄표!E18+총괄표!E19+총괄표!E20+총괄표!E21</f>
        <v>40289</v>
      </c>
      <c r="O16" s="572"/>
      <c r="P16" s="573">
        <f>총괄표!C18+총괄표!C19+총괄표!C20+총괄표!C21</f>
        <v>39275</v>
      </c>
      <c r="Q16" s="1272">
        <f>P16</f>
        <v>39275</v>
      </c>
      <c r="R16" s="569">
        <f>O17</f>
        <v>1014</v>
      </c>
      <c r="S16" s="575">
        <f>N16</f>
        <v>40289</v>
      </c>
      <c r="T16" s="569">
        <f>V17</f>
        <v>-2933</v>
      </c>
      <c r="U16" s="1277">
        <f>W17</f>
        <v>0.93214103928554903</v>
      </c>
      <c r="V16" s="576"/>
      <c r="W16" s="567">
        <f>총괄표!G18+총괄표!G19+총괄표!G20+총괄표!G21</f>
        <v>43222</v>
      </c>
      <c r="X16" s="1307">
        <f>SUM(총괄표!I18:I21)</f>
        <v>0.9</v>
      </c>
      <c r="Y16" s="1274">
        <f>C16+N16</f>
        <v>198931</v>
      </c>
      <c r="Z16" s="569"/>
      <c r="AA16" s="575">
        <f>E16+P16</f>
        <v>194831</v>
      </c>
      <c r="AB16" s="1270">
        <f>AA16</f>
        <v>194831</v>
      </c>
      <c r="AC16" s="569">
        <f>Z17</f>
        <v>4100</v>
      </c>
      <c r="AD16" s="575">
        <f>Y16</f>
        <v>198931</v>
      </c>
      <c r="AE16" s="569">
        <f>AG17</f>
        <v>-6161</v>
      </c>
      <c r="AF16" s="1277">
        <f>AH17</f>
        <v>0.96995982290874339</v>
      </c>
      <c r="AG16" s="577"/>
      <c r="AH16" s="578">
        <f>L16+W16</f>
        <v>205092</v>
      </c>
      <c r="AI16" s="1266">
        <f>SUM(총괄표!P18:P21)</f>
        <v>0.79999999999999993</v>
      </c>
    </row>
    <row r="17" spans="2:39" s="99" customFormat="1" ht="90" customHeight="1" thickBot="1">
      <c r="B17" s="580">
        <f>VLOOKUP(B16,데이터!$D$33:$E$38,2,FALSE)</f>
        <v>341</v>
      </c>
      <c r="C17" s="1316"/>
      <c r="D17" s="563">
        <f>C16-E16</f>
        <v>3086</v>
      </c>
      <c r="E17" s="564">
        <f>C16/E16</f>
        <v>1.0198385147471007</v>
      </c>
      <c r="F17" s="1316"/>
      <c r="G17" s="563">
        <f>H16-F16</f>
        <v>3086</v>
      </c>
      <c r="H17" s="564">
        <f>H16/F16</f>
        <v>1.0198385147471007</v>
      </c>
      <c r="I17" s="1323"/>
      <c r="J17" s="1324"/>
      <c r="K17" s="563">
        <f>C16-L16</f>
        <v>-3228</v>
      </c>
      <c r="L17" s="564">
        <f>C16/L16</f>
        <v>0.98005807129177736</v>
      </c>
      <c r="M17" s="1291"/>
      <c r="N17" s="1319"/>
      <c r="O17" s="563">
        <f>N16-P16</f>
        <v>1014</v>
      </c>
      <c r="P17" s="564">
        <f>N16/P16</f>
        <v>1.0258179503500955</v>
      </c>
      <c r="Q17" s="1273"/>
      <c r="R17" s="581">
        <f>S17-1</f>
        <v>2.5817950350095487E-2</v>
      </c>
      <c r="S17" s="582">
        <f>P17</f>
        <v>1.0258179503500955</v>
      </c>
      <c r="T17" s="581">
        <f>U16-1</f>
        <v>-6.7858960714450967E-2</v>
      </c>
      <c r="U17" s="1278"/>
      <c r="V17" s="583">
        <f>N16-W16</f>
        <v>-2933</v>
      </c>
      <c r="W17" s="584">
        <f>N16/W16</f>
        <v>0.93214103928554903</v>
      </c>
      <c r="X17" s="1307"/>
      <c r="Y17" s="1322"/>
      <c r="Z17" s="585">
        <f>Y16-AA16</f>
        <v>4100</v>
      </c>
      <c r="AA17" s="584">
        <f>Y16/AA16</f>
        <v>1.0210438790541547</v>
      </c>
      <c r="AB17" s="1271"/>
      <c r="AC17" s="608">
        <f>AD17-1</f>
        <v>2.1043879054154724E-2</v>
      </c>
      <c r="AD17" s="582">
        <f>AA17</f>
        <v>1.0210438790541547</v>
      </c>
      <c r="AE17" s="608">
        <f>AF16-1</f>
        <v>-3.0040177091256615E-2</v>
      </c>
      <c r="AF17" s="1278"/>
      <c r="AG17" s="570">
        <f>Y16-AH16</f>
        <v>-6161</v>
      </c>
      <c r="AH17" s="564">
        <f>Y16/AH16</f>
        <v>0.96995982290874339</v>
      </c>
      <c r="AI17" s="1267"/>
    </row>
    <row r="18" spans="2:39" s="101" customFormat="1" ht="90" customHeight="1">
      <c r="B18" s="586" t="s">
        <v>138</v>
      </c>
      <c r="C18" s="1325">
        <f>SUM(C6:C17)</f>
        <v>19843049</v>
      </c>
      <c r="D18" s="587"/>
      <c r="E18" s="588">
        <f>E6+E8+E10+E12+E14+E16</f>
        <v>19649056</v>
      </c>
      <c r="F18" s="1325">
        <f>SUM(F6:F17)</f>
        <v>19649056</v>
      </c>
      <c r="G18" s="587"/>
      <c r="H18" s="588">
        <f>H6+H8+H10+H12+H14+H16</f>
        <v>19843049</v>
      </c>
      <c r="I18" s="1337">
        <f>K19</f>
        <v>-653522</v>
      </c>
      <c r="J18" s="1335">
        <f>L19</f>
        <v>0.96811554479039441</v>
      </c>
      <c r="K18" s="587"/>
      <c r="L18" s="589">
        <f>L6+L8+L10+L12+L14+L16</f>
        <v>20496571</v>
      </c>
      <c r="M18" s="1275"/>
      <c r="N18" s="1327">
        <f>SUM(N6:N17)</f>
        <v>4496393</v>
      </c>
      <c r="O18" s="587"/>
      <c r="P18" s="588">
        <f>P6+P8+P10+P12+P14+P16</f>
        <v>4621183</v>
      </c>
      <c r="Q18" s="1327">
        <f>SUM(Q6:Q17)</f>
        <v>4621183</v>
      </c>
      <c r="R18" s="590">
        <f>O19</f>
        <v>-124790</v>
      </c>
      <c r="S18" s="591">
        <f>S6+'판매량-월별추이'!S8+S10+S12+S14+S16</f>
        <v>4496393</v>
      </c>
      <c r="T18" s="590">
        <f>V19</f>
        <v>-92990</v>
      </c>
      <c r="U18" s="1339">
        <f>W19</f>
        <v>0.97973801707114005</v>
      </c>
      <c r="V18" s="592"/>
      <c r="W18" s="592">
        <f>W6+W8+W10+W12+W14+W16</f>
        <v>4589383</v>
      </c>
      <c r="X18" s="1329"/>
      <c r="Y18" s="1331">
        <f>SUM(Y6:Y17)</f>
        <v>24339442</v>
      </c>
      <c r="Z18" s="590"/>
      <c r="AA18" s="591">
        <f>AA6+AA8+AA10+AA12+AA14+AA16</f>
        <v>24270239</v>
      </c>
      <c r="AB18" s="1333">
        <f>SUM(AB6:AB17)</f>
        <v>24270239</v>
      </c>
      <c r="AC18" s="590">
        <f>Z19</f>
        <v>69203</v>
      </c>
      <c r="AD18" s="591">
        <f>AD6+AD8+AD10+AD12+AD14+AD16</f>
        <v>24339442</v>
      </c>
      <c r="AE18" s="593">
        <f>AG19</f>
        <v>-746512</v>
      </c>
      <c r="AF18" s="1275">
        <f>AH19</f>
        <v>0.97024183333828962</v>
      </c>
      <c r="AG18" s="594"/>
      <c r="AH18" s="595">
        <f>AH6+AH8+AH10+AH12+AH14+AH16</f>
        <v>25085954</v>
      </c>
      <c r="AI18" s="1268"/>
    </row>
    <row r="19" spans="2:39" s="101" customFormat="1" ht="90" customHeight="1" thickBot="1">
      <c r="B19" s="596">
        <f>IF(B7+B9+B11+B13+B15+B17=데이터!E39,B7+B9+B11+B13+B15+B17,"")</f>
        <v>1182561</v>
      </c>
      <c r="C19" s="1326"/>
      <c r="D19" s="597">
        <f>C18-E18</f>
        <v>193993</v>
      </c>
      <c r="E19" s="598">
        <f>C18/E18</f>
        <v>1.0098728916035458</v>
      </c>
      <c r="F19" s="1326"/>
      <c r="G19" s="597">
        <f>H18-F18</f>
        <v>193993</v>
      </c>
      <c r="H19" s="598">
        <f>H18/F18</f>
        <v>1.0098728916035458</v>
      </c>
      <c r="I19" s="1338"/>
      <c r="J19" s="1336"/>
      <c r="K19" s="597">
        <f>C18-L18</f>
        <v>-653522</v>
      </c>
      <c r="L19" s="599">
        <f>C18/L18</f>
        <v>0.96811554479039441</v>
      </c>
      <c r="M19" s="1276"/>
      <c r="N19" s="1328"/>
      <c r="O19" s="600">
        <f>N18-P18</f>
        <v>-124790</v>
      </c>
      <c r="P19" s="601">
        <f>N18/P18</f>
        <v>0.97299609212619365</v>
      </c>
      <c r="Q19" s="1328"/>
      <c r="R19" s="602">
        <f>S19-1</f>
        <v>-2.7003907873806354E-2</v>
      </c>
      <c r="S19" s="670">
        <f>P19</f>
        <v>0.97299609212619365</v>
      </c>
      <c r="T19" s="602">
        <f>U18-1</f>
        <v>-2.0261982928859945E-2</v>
      </c>
      <c r="U19" s="1340"/>
      <c r="V19" s="603">
        <f>N18-W18</f>
        <v>-92990</v>
      </c>
      <c r="W19" s="604">
        <f>N18/W18</f>
        <v>0.97973801707114005</v>
      </c>
      <c r="X19" s="1330"/>
      <c r="Y19" s="1332"/>
      <c r="Z19" s="605">
        <f>Y18-AA18</f>
        <v>69203</v>
      </c>
      <c r="AA19" s="606">
        <f>Y18/AA18</f>
        <v>1.002851352226074</v>
      </c>
      <c r="AB19" s="1334"/>
      <c r="AC19" s="618">
        <f>AD19-1</f>
        <v>2.8513522260740221E-3</v>
      </c>
      <c r="AD19" s="671">
        <f>AA19</f>
        <v>1.002851352226074</v>
      </c>
      <c r="AE19" s="715">
        <f>AF18-1</f>
        <v>-2.9758166661710383E-2</v>
      </c>
      <c r="AF19" s="1276"/>
      <c r="AG19" s="607">
        <f>Y18-AH18</f>
        <v>-746512</v>
      </c>
      <c r="AH19" s="598">
        <f>Y18/AH18</f>
        <v>0.97024183333828962</v>
      </c>
      <c r="AI19" s="1269"/>
    </row>
    <row r="20" spans="2:39" s="111" customFormat="1" ht="35.25" customHeight="1">
      <c r="B20" s="522"/>
      <c r="C20" s="523"/>
      <c r="D20" s="524"/>
      <c r="E20" s="525"/>
      <c r="F20" s="523"/>
      <c r="G20" s="524"/>
      <c r="H20" s="525"/>
      <c r="I20" s="524"/>
      <c r="J20" s="525"/>
      <c r="K20" s="524"/>
      <c r="L20" s="525"/>
      <c r="M20" s="526"/>
      <c r="N20" s="523"/>
      <c r="O20" s="526"/>
      <c r="P20" s="527"/>
      <c r="Q20" s="523"/>
      <c r="R20" s="526"/>
      <c r="S20" s="527"/>
      <c r="T20" s="525"/>
      <c r="U20" s="527"/>
      <c r="V20" s="525"/>
      <c r="W20" s="527"/>
      <c r="X20" s="526"/>
      <c r="Y20" s="523"/>
      <c r="Z20" s="526"/>
      <c r="AA20" s="527"/>
      <c r="AB20" s="523"/>
      <c r="AC20" s="526"/>
      <c r="AD20" s="527"/>
      <c r="AE20" s="525"/>
      <c r="AF20" s="527"/>
      <c r="AG20" s="525"/>
      <c r="AH20" s="527"/>
      <c r="AI20" s="526"/>
    </row>
    <row r="21" spans="2:39" ht="35.25" customHeight="1">
      <c r="B21" s="528" t="s">
        <v>135</v>
      </c>
      <c r="C21" s="532"/>
      <c r="D21" s="532"/>
      <c r="E21" s="532"/>
      <c r="F21" s="532"/>
      <c r="G21" s="532"/>
      <c r="H21" s="532"/>
      <c r="I21" s="532"/>
      <c r="J21" s="532"/>
      <c r="K21" s="532"/>
      <c r="L21" s="532"/>
      <c r="M21" s="532"/>
      <c r="N21" s="532"/>
      <c r="O21" s="532"/>
      <c r="P21" s="532"/>
      <c r="Q21" s="532"/>
      <c r="R21" s="532"/>
      <c r="S21" s="532"/>
      <c r="T21" s="532"/>
      <c r="U21" s="532"/>
      <c r="V21" s="532"/>
      <c r="W21" s="532"/>
      <c r="X21" s="532"/>
      <c r="Y21" s="532"/>
      <c r="Z21" s="532"/>
      <c r="AA21" s="532"/>
      <c r="AB21" s="532"/>
      <c r="AC21" s="532"/>
      <c r="AD21" s="532"/>
      <c r="AE21" s="532"/>
      <c r="AF21" s="532"/>
      <c r="AG21" s="532"/>
      <c r="AH21" s="532"/>
      <c r="AI21" s="532"/>
    </row>
    <row r="22" spans="2:39" ht="35.25" customHeight="1">
      <c r="B22" s="528" t="s">
        <v>130</v>
      </c>
      <c r="C22" s="532"/>
      <c r="D22" s="532"/>
      <c r="E22" s="532"/>
      <c r="F22" s="532"/>
      <c r="G22" s="532"/>
      <c r="H22" s="532"/>
      <c r="I22" s="532"/>
      <c r="J22" s="532"/>
      <c r="K22" s="532"/>
      <c r="L22" s="532"/>
      <c r="M22" s="532"/>
      <c r="N22" s="532"/>
      <c r="O22" s="532"/>
      <c r="P22" s="532"/>
      <c r="Q22" s="532"/>
      <c r="R22" s="532"/>
      <c r="S22" s="532"/>
      <c r="T22" s="532"/>
      <c r="U22" s="532"/>
      <c r="V22" s="532"/>
      <c r="W22" s="532"/>
      <c r="X22" s="532"/>
      <c r="Y22" s="532"/>
      <c r="Z22" s="532"/>
      <c r="AA22" s="532"/>
      <c r="AB22" s="532"/>
      <c r="AC22" s="532"/>
      <c r="AD22" s="532"/>
      <c r="AE22" s="532"/>
      <c r="AF22" s="532"/>
      <c r="AG22" s="532"/>
      <c r="AH22" s="532"/>
      <c r="AI22" s="532"/>
      <c r="AL22" s="757">
        <f>SUM(AD19)</f>
        <v>1.002851352226074</v>
      </c>
      <c r="AM22" s="756"/>
    </row>
    <row r="23" spans="2:39" ht="35.25" customHeight="1">
      <c r="B23" s="528"/>
      <c r="C23" s="532"/>
      <c r="D23" s="532"/>
      <c r="E23" s="532"/>
      <c r="F23" s="532"/>
      <c r="G23" s="532"/>
      <c r="H23" s="532"/>
      <c r="I23" s="532"/>
      <c r="J23" s="532"/>
      <c r="K23" s="532"/>
      <c r="L23" s="532"/>
      <c r="M23" s="532"/>
      <c r="N23" s="532"/>
      <c r="O23" s="532"/>
      <c r="P23" s="532"/>
      <c r="Q23" s="532"/>
      <c r="R23" s="532"/>
      <c r="S23" s="532"/>
      <c r="T23" s="532"/>
      <c r="U23" s="532"/>
      <c r="V23" s="532"/>
      <c r="W23" s="532"/>
      <c r="X23" s="532"/>
      <c r="Y23" s="532"/>
      <c r="Z23" s="532"/>
      <c r="AA23" s="532"/>
      <c r="AB23" s="532"/>
      <c r="AC23" s="532"/>
      <c r="AD23" s="532"/>
      <c r="AE23" s="532"/>
      <c r="AF23" s="532"/>
      <c r="AG23" s="532"/>
      <c r="AH23" s="532"/>
      <c r="AI23" s="532"/>
      <c r="AL23" s="758">
        <f>SUM(S19)</f>
        <v>0.97299609212619365</v>
      </c>
    </row>
    <row r="24" spans="2:39" ht="35.25" customHeight="1">
      <c r="B24" s="528"/>
      <c r="C24" s="532"/>
      <c r="D24" s="532"/>
      <c r="E24" s="532"/>
      <c r="F24" s="532"/>
      <c r="G24" s="532"/>
      <c r="H24" s="532"/>
      <c r="I24" s="532"/>
      <c r="J24" s="532"/>
      <c r="K24" s="532"/>
      <c r="L24" s="532"/>
      <c r="M24" s="532"/>
      <c r="N24" s="532"/>
      <c r="O24" s="532"/>
      <c r="P24" s="532"/>
      <c r="Q24" s="532"/>
      <c r="R24" s="532"/>
      <c r="S24" s="532"/>
      <c r="T24" s="532"/>
      <c r="U24" s="532"/>
      <c r="V24" s="532"/>
      <c r="W24" s="532"/>
      <c r="X24" s="532"/>
      <c r="Y24" s="532"/>
      <c r="Z24" s="532"/>
      <c r="AA24" s="532"/>
      <c r="AB24" s="532"/>
      <c r="AC24" s="532"/>
      <c r="AD24" s="532"/>
      <c r="AE24" s="532"/>
      <c r="AF24" s="532"/>
      <c r="AG24" s="532"/>
      <c r="AH24" s="532"/>
      <c r="AI24" s="532"/>
    </row>
    <row r="25" spans="2:39" ht="35.25" customHeight="1">
      <c r="B25" s="532"/>
      <c r="C25" s="532"/>
      <c r="D25" s="532"/>
      <c r="E25" s="532"/>
      <c r="F25" s="532"/>
      <c r="G25" s="532"/>
      <c r="H25" s="532"/>
      <c r="I25" s="532"/>
      <c r="J25" s="532"/>
      <c r="K25" s="532"/>
      <c r="L25" s="532"/>
      <c r="M25" s="532"/>
      <c r="N25" s="532"/>
      <c r="O25" s="532"/>
      <c r="P25" s="532"/>
      <c r="Q25" s="532"/>
      <c r="R25" s="532"/>
      <c r="S25" s="532"/>
      <c r="T25" s="532"/>
      <c r="U25" s="532"/>
      <c r="V25" s="532"/>
      <c r="W25" s="532"/>
      <c r="X25" s="532"/>
      <c r="Y25" s="532"/>
      <c r="Z25" s="532"/>
      <c r="AA25" s="532"/>
      <c r="AB25" s="532"/>
      <c r="AC25" s="532"/>
      <c r="AD25" s="532"/>
      <c r="AE25" s="532"/>
      <c r="AF25" s="532"/>
      <c r="AG25" s="532"/>
      <c r="AH25" s="532"/>
      <c r="AI25" s="532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43" type="noConversion"/>
  <conditionalFormatting sqref="R6:AI19">
    <cfRule type="cellIs" dxfId="3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12" scale="28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102" customWidth="1"/>
    <col min="2" max="2" width="28.6640625" style="102" customWidth="1"/>
    <col min="3" max="14" width="29" style="102" customWidth="1"/>
    <col min="15" max="179" width="8.88671875" style="102"/>
    <col min="180" max="180" width="1.109375" style="102" customWidth="1"/>
    <col min="181" max="181" width="10.33203125" style="102" customWidth="1"/>
    <col min="182" max="182" width="18.21875" style="102" customWidth="1"/>
    <col min="183" max="183" width="20.44140625" style="102" customWidth="1"/>
    <col min="184" max="184" width="18.109375" style="102" bestFit="1" customWidth="1"/>
    <col min="185" max="185" width="13.21875" style="102" customWidth="1"/>
    <col min="186" max="186" width="3.109375" style="102" customWidth="1"/>
    <col min="187" max="187" width="15.5546875" style="102" customWidth="1"/>
    <col min="188" max="188" width="13.21875" style="102" customWidth="1"/>
    <col min="189" max="189" width="10.88671875" style="102" customWidth="1"/>
    <col min="190" max="190" width="3.109375" style="102" customWidth="1"/>
    <col min="191" max="191" width="15.5546875" style="102" customWidth="1"/>
    <col min="192" max="193" width="10.88671875" style="102" customWidth="1"/>
    <col min="194" max="194" width="18.6640625" style="102" customWidth="1"/>
    <col min="195" max="195" width="3.109375" style="102" customWidth="1"/>
    <col min="196" max="196" width="15.5546875" style="102" customWidth="1"/>
    <col min="197" max="198" width="10.88671875" style="102" customWidth="1"/>
    <col min="199" max="199" width="3.109375" style="102" customWidth="1"/>
    <col min="200" max="200" width="16.44140625" style="102" customWidth="1"/>
    <col min="201" max="201" width="10.88671875" style="102" customWidth="1"/>
    <col min="202" max="202" width="68.6640625" style="102" customWidth="1"/>
    <col min="203" max="203" width="2.21875" style="102" customWidth="1"/>
    <col min="204" max="435" width="8.88671875" style="102"/>
    <col min="436" max="436" width="1.109375" style="102" customWidth="1"/>
    <col min="437" max="437" width="10.33203125" style="102" customWidth="1"/>
    <col min="438" max="438" width="18.21875" style="102" customWidth="1"/>
    <col min="439" max="439" width="20.44140625" style="102" customWidth="1"/>
    <col min="440" max="440" width="18.109375" style="102" bestFit="1" customWidth="1"/>
    <col min="441" max="441" width="13.21875" style="102" customWidth="1"/>
    <col min="442" max="442" width="3.109375" style="102" customWidth="1"/>
    <col min="443" max="443" width="15.5546875" style="102" customWidth="1"/>
    <col min="444" max="444" width="13.21875" style="102" customWidth="1"/>
    <col min="445" max="445" width="10.88671875" style="102" customWidth="1"/>
    <col min="446" max="446" width="3.109375" style="102" customWidth="1"/>
    <col min="447" max="447" width="15.5546875" style="102" customWidth="1"/>
    <col min="448" max="449" width="10.88671875" style="102" customWidth="1"/>
    <col min="450" max="450" width="18.6640625" style="102" customWidth="1"/>
    <col min="451" max="451" width="3.109375" style="102" customWidth="1"/>
    <col min="452" max="452" width="15.5546875" style="102" customWidth="1"/>
    <col min="453" max="454" width="10.88671875" style="102" customWidth="1"/>
    <col min="455" max="455" width="3.109375" style="102" customWidth="1"/>
    <col min="456" max="456" width="16.44140625" style="102" customWidth="1"/>
    <col min="457" max="457" width="10.88671875" style="102" customWidth="1"/>
    <col min="458" max="458" width="68.6640625" style="102" customWidth="1"/>
    <col min="459" max="459" width="2.21875" style="102" customWidth="1"/>
    <col min="460" max="691" width="8.88671875" style="102"/>
    <col min="692" max="692" width="1.109375" style="102" customWidth="1"/>
    <col min="693" max="693" width="10.33203125" style="102" customWidth="1"/>
    <col min="694" max="694" width="18.21875" style="102" customWidth="1"/>
    <col min="695" max="695" width="20.44140625" style="102" customWidth="1"/>
    <col min="696" max="696" width="18.109375" style="102" bestFit="1" customWidth="1"/>
    <col min="697" max="697" width="13.21875" style="102" customWidth="1"/>
    <col min="698" max="698" width="3.109375" style="102" customWidth="1"/>
    <col min="699" max="699" width="15.5546875" style="102" customWidth="1"/>
    <col min="700" max="700" width="13.21875" style="102" customWidth="1"/>
    <col min="701" max="701" width="10.88671875" style="102" customWidth="1"/>
    <col min="702" max="702" width="3.109375" style="102" customWidth="1"/>
    <col min="703" max="703" width="15.5546875" style="102" customWidth="1"/>
    <col min="704" max="705" width="10.88671875" style="102" customWidth="1"/>
    <col min="706" max="706" width="18.6640625" style="102" customWidth="1"/>
    <col min="707" max="707" width="3.109375" style="102" customWidth="1"/>
    <col min="708" max="708" width="15.5546875" style="102" customWidth="1"/>
    <col min="709" max="710" width="10.88671875" style="102" customWidth="1"/>
    <col min="711" max="711" width="3.109375" style="102" customWidth="1"/>
    <col min="712" max="712" width="16.44140625" style="102" customWidth="1"/>
    <col min="713" max="713" width="10.88671875" style="102" customWidth="1"/>
    <col min="714" max="714" width="68.6640625" style="102" customWidth="1"/>
    <col min="715" max="715" width="2.21875" style="102" customWidth="1"/>
    <col min="716" max="947" width="8.88671875" style="102"/>
    <col min="948" max="948" width="1.109375" style="102" customWidth="1"/>
    <col min="949" max="949" width="10.33203125" style="102" customWidth="1"/>
    <col min="950" max="950" width="18.21875" style="102" customWidth="1"/>
    <col min="951" max="951" width="20.44140625" style="102" customWidth="1"/>
    <col min="952" max="952" width="18.109375" style="102" bestFit="1" customWidth="1"/>
    <col min="953" max="953" width="13.21875" style="102" customWidth="1"/>
    <col min="954" max="954" width="3.109375" style="102" customWidth="1"/>
    <col min="955" max="955" width="15.5546875" style="102" customWidth="1"/>
    <col min="956" max="956" width="13.21875" style="102" customWidth="1"/>
    <col min="957" max="957" width="10.88671875" style="102" customWidth="1"/>
    <col min="958" max="958" width="3.109375" style="102" customWidth="1"/>
    <col min="959" max="959" width="15.5546875" style="102" customWidth="1"/>
    <col min="960" max="961" width="10.88671875" style="102" customWidth="1"/>
    <col min="962" max="962" width="18.6640625" style="102" customWidth="1"/>
    <col min="963" max="963" width="3.109375" style="102" customWidth="1"/>
    <col min="964" max="964" width="15.5546875" style="102" customWidth="1"/>
    <col min="965" max="966" width="10.88671875" style="102" customWidth="1"/>
    <col min="967" max="967" width="3.109375" style="102" customWidth="1"/>
    <col min="968" max="968" width="16.44140625" style="102" customWidth="1"/>
    <col min="969" max="969" width="10.88671875" style="102" customWidth="1"/>
    <col min="970" max="970" width="68.6640625" style="102" customWidth="1"/>
    <col min="971" max="971" width="2.21875" style="102" customWidth="1"/>
    <col min="972" max="1203" width="8.88671875" style="102"/>
    <col min="1204" max="1204" width="1.109375" style="102" customWidth="1"/>
    <col min="1205" max="1205" width="10.33203125" style="102" customWidth="1"/>
    <col min="1206" max="1206" width="18.21875" style="102" customWidth="1"/>
    <col min="1207" max="1207" width="20.44140625" style="102" customWidth="1"/>
    <col min="1208" max="1208" width="18.109375" style="102" bestFit="1" customWidth="1"/>
    <col min="1209" max="1209" width="13.21875" style="102" customWidth="1"/>
    <col min="1210" max="1210" width="3.109375" style="102" customWidth="1"/>
    <col min="1211" max="1211" width="15.5546875" style="102" customWidth="1"/>
    <col min="1212" max="1212" width="13.21875" style="102" customWidth="1"/>
    <col min="1213" max="1213" width="10.88671875" style="102" customWidth="1"/>
    <col min="1214" max="1214" width="3.109375" style="102" customWidth="1"/>
    <col min="1215" max="1215" width="15.5546875" style="102" customWidth="1"/>
    <col min="1216" max="1217" width="10.88671875" style="102" customWidth="1"/>
    <col min="1218" max="1218" width="18.6640625" style="102" customWidth="1"/>
    <col min="1219" max="1219" width="3.109375" style="102" customWidth="1"/>
    <col min="1220" max="1220" width="15.5546875" style="102" customWidth="1"/>
    <col min="1221" max="1222" width="10.88671875" style="102" customWidth="1"/>
    <col min="1223" max="1223" width="3.109375" style="102" customWidth="1"/>
    <col min="1224" max="1224" width="16.44140625" style="102" customWidth="1"/>
    <col min="1225" max="1225" width="10.88671875" style="102" customWidth="1"/>
    <col min="1226" max="1226" width="68.6640625" style="102" customWidth="1"/>
    <col min="1227" max="1227" width="2.21875" style="102" customWidth="1"/>
    <col min="1228" max="1459" width="8.88671875" style="102"/>
    <col min="1460" max="1460" width="1.109375" style="102" customWidth="1"/>
    <col min="1461" max="1461" width="10.33203125" style="102" customWidth="1"/>
    <col min="1462" max="1462" width="18.21875" style="102" customWidth="1"/>
    <col min="1463" max="1463" width="20.44140625" style="102" customWidth="1"/>
    <col min="1464" max="1464" width="18.109375" style="102" bestFit="1" customWidth="1"/>
    <col min="1465" max="1465" width="13.21875" style="102" customWidth="1"/>
    <col min="1466" max="1466" width="3.109375" style="102" customWidth="1"/>
    <col min="1467" max="1467" width="15.5546875" style="102" customWidth="1"/>
    <col min="1468" max="1468" width="13.21875" style="102" customWidth="1"/>
    <col min="1469" max="1469" width="10.88671875" style="102" customWidth="1"/>
    <col min="1470" max="1470" width="3.109375" style="102" customWidth="1"/>
    <col min="1471" max="1471" width="15.5546875" style="102" customWidth="1"/>
    <col min="1472" max="1473" width="10.88671875" style="102" customWidth="1"/>
    <col min="1474" max="1474" width="18.6640625" style="102" customWidth="1"/>
    <col min="1475" max="1475" width="3.109375" style="102" customWidth="1"/>
    <col min="1476" max="1476" width="15.5546875" style="102" customWidth="1"/>
    <col min="1477" max="1478" width="10.88671875" style="102" customWidth="1"/>
    <col min="1479" max="1479" width="3.109375" style="102" customWidth="1"/>
    <col min="1480" max="1480" width="16.44140625" style="102" customWidth="1"/>
    <col min="1481" max="1481" width="10.88671875" style="102" customWidth="1"/>
    <col min="1482" max="1482" width="68.6640625" style="102" customWidth="1"/>
    <col min="1483" max="1483" width="2.21875" style="102" customWidth="1"/>
    <col min="1484" max="1715" width="8.88671875" style="102"/>
    <col min="1716" max="1716" width="1.109375" style="102" customWidth="1"/>
    <col min="1717" max="1717" width="10.33203125" style="102" customWidth="1"/>
    <col min="1718" max="1718" width="18.21875" style="102" customWidth="1"/>
    <col min="1719" max="1719" width="20.44140625" style="102" customWidth="1"/>
    <col min="1720" max="1720" width="18.109375" style="102" bestFit="1" customWidth="1"/>
    <col min="1721" max="1721" width="13.21875" style="102" customWidth="1"/>
    <col min="1722" max="1722" width="3.109375" style="102" customWidth="1"/>
    <col min="1723" max="1723" width="15.5546875" style="102" customWidth="1"/>
    <col min="1724" max="1724" width="13.21875" style="102" customWidth="1"/>
    <col min="1725" max="1725" width="10.88671875" style="102" customWidth="1"/>
    <col min="1726" max="1726" width="3.109375" style="102" customWidth="1"/>
    <col min="1727" max="1727" width="15.5546875" style="102" customWidth="1"/>
    <col min="1728" max="1729" width="10.88671875" style="102" customWidth="1"/>
    <col min="1730" max="1730" width="18.6640625" style="102" customWidth="1"/>
    <col min="1731" max="1731" width="3.109375" style="102" customWidth="1"/>
    <col min="1732" max="1732" width="15.5546875" style="102" customWidth="1"/>
    <col min="1733" max="1734" width="10.88671875" style="102" customWidth="1"/>
    <col min="1735" max="1735" width="3.109375" style="102" customWidth="1"/>
    <col min="1736" max="1736" width="16.44140625" style="102" customWidth="1"/>
    <col min="1737" max="1737" width="10.88671875" style="102" customWidth="1"/>
    <col min="1738" max="1738" width="68.6640625" style="102" customWidth="1"/>
    <col min="1739" max="1739" width="2.21875" style="102" customWidth="1"/>
    <col min="1740" max="1971" width="8.88671875" style="102"/>
    <col min="1972" max="1972" width="1.109375" style="102" customWidth="1"/>
    <col min="1973" max="1973" width="10.33203125" style="102" customWidth="1"/>
    <col min="1974" max="1974" width="18.21875" style="102" customWidth="1"/>
    <col min="1975" max="1975" width="20.44140625" style="102" customWidth="1"/>
    <col min="1976" max="1976" width="18.109375" style="102" bestFit="1" customWidth="1"/>
    <col min="1977" max="1977" width="13.21875" style="102" customWidth="1"/>
    <col min="1978" max="1978" width="3.109375" style="102" customWidth="1"/>
    <col min="1979" max="1979" width="15.5546875" style="102" customWidth="1"/>
    <col min="1980" max="1980" width="13.21875" style="102" customWidth="1"/>
    <col min="1981" max="1981" width="10.88671875" style="102" customWidth="1"/>
    <col min="1982" max="1982" width="3.109375" style="102" customWidth="1"/>
    <col min="1983" max="1983" width="15.5546875" style="102" customWidth="1"/>
    <col min="1984" max="1985" width="10.88671875" style="102" customWidth="1"/>
    <col min="1986" max="1986" width="18.6640625" style="102" customWidth="1"/>
    <col min="1987" max="1987" width="3.109375" style="102" customWidth="1"/>
    <col min="1988" max="1988" width="15.5546875" style="102" customWidth="1"/>
    <col min="1989" max="1990" width="10.88671875" style="102" customWidth="1"/>
    <col min="1991" max="1991" width="3.109375" style="102" customWidth="1"/>
    <col min="1992" max="1992" width="16.44140625" style="102" customWidth="1"/>
    <col min="1993" max="1993" width="10.88671875" style="102" customWidth="1"/>
    <col min="1994" max="1994" width="68.6640625" style="102" customWidth="1"/>
    <col min="1995" max="1995" width="2.21875" style="102" customWidth="1"/>
    <col min="1996" max="2227" width="8.88671875" style="102"/>
    <col min="2228" max="2228" width="1.109375" style="102" customWidth="1"/>
    <col min="2229" max="2229" width="10.33203125" style="102" customWidth="1"/>
    <col min="2230" max="2230" width="18.21875" style="102" customWidth="1"/>
    <col min="2231" max="2231" width="20.44140625" style="102" customWidth="1"/>
    <col min="2232" max="2232" width="18.109375" style="102" bestFit="1" customWidth="1"/>
    <col min="2233" max="2233" width="13.21875" style="102" customWidth="1"/>
    <col min="2234" max="2234" width="3.109375" style="102" customWidth="1"/>
    <col min="2235" max="2235" width="15.5546875" style="102" customWidth="1"/>
    <col min="2236" max="2236" width="13.21875" style="102" customWidth="1"/>
    <col min="2237" max="2237" width="10.88671875" style="102" customWidth="1"/>
    <col min="2238" max="2238" width="3.109375" style="102" customWidth="1"/>
    <col min="2239" max="2239" width="15.5546875" style="102" customWidth="1"/>
    <col min="2240" max="2241" width="10.88671875" style="102" customWidth="1"/>
    <col min="2242" max="2242" width="18.6640625" style="102" customWidth="1"/>
    <col min="2243" max="2243" width="3.109375" style="102" customWidth="1"/>
    <col min="2244" max="2244" width="15.5546875" style="102" customWidth="1"/>
    <col min="2245" max="2246" width="10.88671875" style="102" customWidth="1"/>
    <col min="2247" max="2247" width="3.109375" style="102" customWidth="1"/>
    <col min="2248" max="2248" width="16.44140625" style="102" customWidth="1"/>
    <col min="2249" max="2249" width="10.88671875" style="102" customWidth="1"/>
    <col min="2250" max="2250" width="68.6640625" style="102" customWidth="1"/>
    <col min="2251" max="2251" width="2.21875" style="102" customWidth="1"/>
    <col min="2252" max="2483" width="8.88671875" style="102"/>
    <col min="2484" max="2484" width="1.109375" style="102" customWidth="1"/>
    <col min="2485" max="2485" width="10.33203125" style="102" customWidth="1"/>
    <col min="2486" max="2486" width="18.21875" style="102" customWidth="1"/>
    <col min="2487" max="2487" width="20.44140625" style="102" customWidth="1"/>
    <col min="2488" max="2488" width="18.109375" style="102" bestFit="1" customWidth="1"/>
    <col min="2489" max="2489" width="13.21875" style="102" customWidth="1"/>
    <col min="2490" max="2490" width="3.109375" style="102" customWidth="1"/>
    <col min="2491" max="2491" width="15.5546875" style="102" customWidth="1"/>
    <col min="2492" max="2492" width="13.21875" style="102" customWidth="1"/>
    <col min="2493" max="2493" width="10.88671875" style="102" customWidth="1"/>
    <col min="2494" max="2494" width="3.109375" style="102" customWidth="1"/>
    <col min="2495" max="2495" width="15.5546875" style="102" customWidth="1"/>
    <col min="2496" max="2497" width="10.88671875" style="102" customWidth="1"/>
    <col min="2498" max="2498" width="18.6640625" style="102" customWidth="1"/>
    <col min="2499" max="2499" width="3.109375" style="102" customWidth="1"/>
    <col min="2500" max="2500" width="15.5546875" style="102" customWidth="1"/>
    <col min="2501" max="2502" width="10.88671875" style="102" customWidth="1"/>
    <col min="2503" max="2503" width="3.109375" style="102" customWidth="1"/>
    <col min="2504" max="2504" width="16.44140625" style="102" customWidth="1"/>
    <col min="2505" max="2505" width="10.88671875" style="102" customWidth="1"/>
    <col min="2506" max="2506" width="68.6640625" style="102" customWidth="1"/>
    <col min="2507" max="2507" width="2.21875" style="102" customWidth="1"/>
    <col min="2508" max="2739" width="8.88671875" style="102"/>
    <col min="2740" max="2740" width="1.109375" style="102" customWidth="1"/>
    <col min="2741" max="2741" width="10.33203125" style="102" customWidth="1"/>
    <col min="2742" max="2742" width="18.21875" style="102" customWidth="1"/>
    <col min="2743" max="2743" width="20.44140625" style="102" customWidth="1"/>
    <col min="2744" max="2744" width="18.109375" style="102" bestFit="1" customWidth="1"/>
    <col min="2745" max="2745" width="13.21875" style="102" customWidth="1"/>
    <col min="2746" max="2746" width="3.109375" style="102" customWidth="1"/>
    <col min="2747" max="2747" width="15.5546875" style="102" customWidth="1"/>
    <col min="2748" max="2748" width="13.21875" style="102" customWidth="1"/>
    <col min="2749" max="2749" width="10.88671875" style="102" customWidth="1"/>
    <col min="2750" max="2750" width="3.109375" style="102" customWidth="1"/>
    <col min="2751" max="2751" width="15.5546875" style="102" customWidth="1"/>
    <col min="2752" max="2753" width="10.88671875" style="102" customWidth="1"/>
    <col min="2754" max="2754" width="18.6640625" style="102" customWidth="1"/>
    <col min="2755" max="2755" width="3.109375" style="102" customWidth="1"/>
    <col min="2756" max="2756" width="15.5546875" style="102" customWidth="1"/>
    <col min="2757" max="2758" width="10.88671875" style="102" customWidth="1"/>
    <col min="2759" max="2759" width="3.109375" style="102" customWidth="1"/>
    <col min="2760" max="2760" width="16.44140625" style="102" customWidth="1"/>
    <col min="2761" max="2761" width="10.88671875" style="102" customWidth="1"/>
    <col min="2762" max="2762" width="68.6640625" style="102" customWidth="1"/>
    <col min="2763" max="2763" width="2.21875" style="102" customWidth="1"/>
    <col min="2764" max="2995" width="8.88671875" style="102"/>
    <col min="2996" max="2996" width="1.109375" style="102" customWidth="1"/>
    <col min="2997" max="2997" width="10.33203125" style="102" customWidth="1"/>
    <col min="2998" max="2998" width="18.21875" style="102" customWidth="1"/>
    <col min="2999" max="2999" width="20.44140625" style="102" customWidth="1"/>
    <col min="3000" max="3000" width="18.109375" style="102" bestFit="1" customWidth="1"/>
    <col min="3001" max="3001" width="13.21875" style="102" customWidth="1"/>
    <col min="3002" max="3002" width="3.109375" style="102" customWidth="1"/>
    <col min="3003" max="3003" width="15.5546875" style="102" customWidth="1"/>
    <col min="3004" max="3004" width="13.21875" style="102" customWidth="1"/>
    <col min="3005" max="3005" width="10.88671875" style="102" customWidth="1"/>
    <col min="3006" max="3006" width="3.109375" style="102" customWidth="1"/>
    <col min="3007" max="3007" width="15.5546875" style="102" customWidth="1"/>
    <col min="3008" max="3009" width="10.88671875" style="102" customWidth="1"/>
    <col min="3010" max="3010" width="18.6640625" style="102" customWidth="1"/>
    <col min="3011" max="3011" width="3.109375" style="102" customWidth="1"/>
    <col min="3012" max="3012" width="15.5546875" style="102" customWidth="1"/>
    <col min="3013" max="3014" width="10.88671875" style="102" customWidth="1"/>
    <col min="3015" max="3015" width="3.109375" style="102" customWidth="1"/>
    <col min="3016" max="3016" width="16.44140625" style="102" customWidth="1"/>
    <col min="3017" max="3017" width="10.88671875" style="102" customWidth="1"/>
    <col min="3018" max="3018" width="68.6640625" style="102" customWidth="1"/>
    <col min="3019" max="3019" width="2.21875" style="102" customWidth="1"/>
    <col min="3020" max="3251" width="8.88671875" style="102"/>
    <col min="3252" max="3252" width="1.109375" style="102" customWidth="1"/>
    <col min="3253" max="3253" width="10.33203125" style="102" customWidth="1"/>
    <col min="3254" max="3254" width="18.21875" style="102" customWidth="1"/>
    <col min="3255" max="3255" width="20.44140625" style="102" customWidth="1"/>
    <col min="3256" max="3256" width="18.109375" style="102" bestFit="1" customWidth="1"/>
    <col min="3257" max="3257" width="13.21875" style="102" customWidth="1"/>
    <col min="3258" max="3258" width="3.109375" style="102" customWidth="1"/>
    <col min="3259" max="3259" width="15.5546875" style="102" customWidth="1"/>
    <col min="3260" max="3260" width="13.21875" style="102" customWidth="1"/>
    <col min="3261" max="3261" width="10.88671875" style="102" customWidth="1"/>
    <col min="3262" max="3262" width="3.109375" style="102" customWidth="1"/>
    <col min="3263" max="3263" width="15.5546875" style="102" customWidth="1"/>
    <col min="3264" max="3265" width="10.88671875" style="102" customWidth="1"/>
    <col min="3266" max="3266" width="18.6640625" style="102" customWidth="1"/>
    <col min="3267" max="3267" width="3.109375" style="102" customWidth="1"/>
    <col min="3268" max="3268" width="15.5546875" style="102" customWidth="1"/>
    <col min="3269" max="3270" width="10.88671875" style="102" customWidth="1"/>
    <col min="3271" max="3271" width="3.109375" style="102" customWidth="1"/>
    <col min="3272" max="3272" width="16.44140625" style="102" customWidth="1"/>
    <col min="3273" max="3273" width="10.88671875" style="102" customWidth="1"/>
    <col min="3274" max="3274" width="68.6640625" style="102" customWidth="1"/>
    <col min="3275" max="3275" width="2.21875" style="102" customWidth="1"/>
    <col min="3276" max="3507" width="8.88671875" style="102"/>
    <col min="3508" max="3508" width="1.109375" style="102" customWidth="1"/>
    <col min="3509" max="3509" width="10.33203125" style="102" customWidth="1"/>
    <col min="3510" max="3510" width="18.21875" style="102" customWidth="1"/>
    <col min="3511" max="3511" width="20.44140625" style="102" customWidth="1"/>
    <col min="3512" max="3512" width="18.109375" style="102" bestFit="1" customWidth="1"/>
    <col min="3513" max="3513" width="13.21875" style="102" customWidth="1"/>
    <col min="3514" max="3514" width="3.109375" style="102" customWidth="1"/>
    <col min="3515" max="3515" width="15.5546875" style="102" customWidth="1"/>
    <col min="3516" max="3516" width="13.21875" style="102" customWidth="1"/>
    <col min="3517" max="3517" width="10.88671875" style="102" customWidth="1"/>
    <col min="3518" max="3518" width="3.109375" style="102" customWidth="1"/>
    <col min="3519" max="3519" width="15.5546875" style="102" customWidth="1"/>
    <col min="3520" max="3521" width="10.88671875" style="102" customWidth="1"/>
    <col min="3522" max="3522" width="18.6640625" style="102" customWidth="1"/>
    <col min="3523" max="3523" width="3.109375" style="102" customWidth="1"/>
    <col min="3524" max="3524" width="15.5546875" style="102" customWidth="1"/>
    <col min="3525" max="3526" width="10.88671875" style="102" customWidth="1"/>
    <col min="3527" max="3527" width="3.109375" style="102" customWidth="1"/>
    <col min="3528" max="3528" width="16.44140625" style="102" customWidth="1"/>
    <col min="3529" max="3529" width="10.88671875" style="102" customWidth="1"/>
    <col min="3530" max="3530" width="68.6640625" style="102" customWidth="1"/>
    <col min="3531" max="3531" width="2.21875" style="102" customWidth="1"/>
    <col min="3532" max="3763" width="8.88671875" style="102"/>
    <col min="3764" max="3764" width="1.109375" style="102" customWidth="1"/>
    <col min="3765" max="3765" width="10.33203125" style="102" customWidth="1"/>
    <col min="3766" max="3766" width="18.21875" style="102" customWidth="1"/>
    <col min="3767" max="3767" width="20.44140625" style="102" customWidth="1"/>
    <col min="3768" max="3768" width="18.109375" style="102" bestFit="1" customWidth="1"/>
    <col min="3769" max="3769" width="13.21875" style="102" customWidth="1"/>
    <col min="3770" max="3770" width="3.109375" style="102" customWidth="1"/>
    <col min="3771" max="3771" width="15.5546875" style="102" customWidth="1"/>
    <col min="3772" max="3772" width="13.21875" style="102" customWidth="1"/>
    <col min="3773" max="3773" width="10.88671875" style="102" customWidth="1"/>
    <col min="3774" max="3774" width="3.109375" style="102" customWidth="1"/>
    <col min="3775" max="3775" width="15.5546875" style="102" customWidth="1"/>
    <col min="3776" max="3777" width="10.88671875" style="102" customWidth="1"/>
    <col min="3778" max="3778" width="18.6640625" style="102" customWidth="1"/>
    <col min="3779" max="3779" width="3.109375" style="102" customWidth="1"/>
    <col min="3780" max="3780" width="15.5546875" style="102" customWidth="1"/>
    <col min="3781" max="3782" width="10.88671875" style="102" customWidth="1"/>
    <col min="3783" max="3783" width="3.109375" style="102" customWidth="1"/>
    <col min="3784" max="3784" width="16.44140625" style="102" customWidth="1"/>
    <col min="3785" max="3785" width="10.88671875" style="102" customWidth="1"/>
    <col min="3786" max="3786" width="68.6640625" style="102" customWidth="1"/>
    <col min="3787" max="3787" width="2.21875" style="102" customWidth="1"/>
    <col min="3788" max="4019" width="8.88671875" style="102"/>
    <col min="4020" max="4020" width="1.109375" style="102" customWidth="1"/>
    <col min="4021" max="4021" width="10.33203125" style="102" customWidth="1"/>
    <col min="4022" max="4022" width="18.21875" style="102" customWidth="1"/>
    <col min="4023" max="4023" width="20.44140625" style="102" customWidth="1"/>
    <col min="4024" max="4024" width="18.109375" style="102" bestFit="1" customWidth="1"/>
    <col min="4025" max="4025" width="13.21875" style="102" customWidth="1"/>
    <col min="4026" max="4026" width="3.109375" style="102" customWidth="1"/>
    <col min="4027" max="4027" width="15.5546875" style="102" customWidth="1"/>
    <col min="4028" max="4028" width="13.21875" style="102" customWidth="1"/>
    <col min="4029" max="4029" width="10.88671875" style="102" customWidth="1"/>
    <col min="4030" max="4030" width="3.109375" style="102" customWidth="1"/>
    <col min="4031" max="4031" width="15.5546875" style="102" customWidth="1"/>
    <col min="4032" max="4033" width="10.88671875" style="102" customWidth="1"/>
    <col min="4034" max="4034" width="18.6640625" style="102" customWidth="1"/>
    <col min="4035" max="4035" width="3.109375" style="102" customWidth="1"/>
    <col min="4036" max="4036" width="15.5546875" style="102" customWidth="1"/>
    <col min="4037" max="4038" width="10.88671875" style="102" customWidth="1"/>
    <col min="4039" max="4039" width="3.109375" style="102" customWidth="1"/>
    <col min="4040" max="4040" width="16.44140625" style="102" customWidth="1"/>
    <col min="4041" max="4041" width="10.88671875" style="102" customWidth="1"/>
    <col min="4042" max="4042" width="68.6640625" style="102" customWidth="1"/>
    <col min="4043" max="4043" width="2.21875" style="102" customWidth="1"/>
    <col min="4044" max="4275" width="8.88671875" style="102"/>
    <col min="4276" max="4276" width="1.109375" style="102" customWidth="1"/>
    <col min="4277" max="4277" width="10.33203125" style="102" customWidth="1"/>
    <col min="4278" max="4278" width="18.21875" style="102" customWidth="1"/>
    <col min="4279" max="4279" width="20.44140625" style="102" customWidth="1"/>
    <col min="4280" max="4280" width="18.109375" style="102" bestFit="1" customWidth="1"/>
    <col min="4281" max="4281" width="13.21875" style="102" customWidth="1"/>
    <col min="4282" max="4282" width="3.109375" style="102" customWidth="1"/>
    <col min="4283" max="4283" width="15.5546875" style="102" customWidth="1"/>
    <col min="4284" max="4284" width="13.21875" style="102" customWidth="1"/>
    <col min="4285" max="4285" width="10.88671875" style="102" customWidth="1"/>
    <col min="4286" max="4286" width="3.109375" style="102" customWidth="1"/>
    <col min="4287" max="4287" width="15.5546875" style="102" customWidth="1"/>
    <col min="4288" max="4289" width="10.88671875" style="102" customWidth="1"/>
    <col min="4290" max="4290" width="18.6640625" style="102" customWidth="1"/>
    <col min="4291" max="4291" width="3.109375" style="102" customWidth="1"/>
    <col min="4292" max="4292" width="15.5546875" style="102" customWidth="1"/>
    <col min="4293" max="4294" width="10.88671875" style="102" customWidth="1"/>
    <col min="4295" max="4295" width="3.109375" style="102" customWidth="1"/>
    <col min="4296" max="4296" width="16.44140625" style="102" customWidth="1"/>
    <col min="4297" max="4297" width="10.88671875" style="102" customWidth="1"/>
    <col min="4298" max="4298" width="68.6640625" style="102" customWidth="1"/>
    <col min="4299" max="4299" width="2.21875" style="102" customWidth="1"/>
    <col min="4300" max="4531" width="8.88671875" style="102"/>
    <col min="4532" max="4532" width="1.109375" style="102" customWidth="1"/>
    <col min="4533" max="4533" width="10.33203125" style="102" customWidth="1"/>
    <col min="4534" max="4534" width="18.21875" style="102" customWidth="1"/>
    <col min="4535" max="4535" width="20.44140625" style="102" customWidth="1"/>
    <col min="4536" max="4536" width="18.109375" style="102" bestFit="1" customWidth="1"/>
    <col min="4537" max="4537" width="13.21875" style="102" customWidth="1"/>
    <col min="4538" max="4538" width="3.109375" style="102" customWidth="1"/>
    <col min="4539" max="4539" width="15.5546875" style="102" customWidth="1"/>
    <col min="4540" max="4540" width="13.21875" style="102" customWidth="1"/>
    <col min="4541" max="4541" width="10.88671875" style="102" customWidth="1"/>
    <col min="4542" max="4542" width="3.109375" style="102" customWidth="1"/>
    <col min="4543" max="4543" width="15.5546875" style="102" customWidth="1"/>
    <col min="4544" max="4545" width="10.88671875" style="102" customWidth="1"/>
    <col min="4546" max="4546" width="18.6640625" style="102" customWidth="1"/>
    <col min="4547" max="4547" width="3.109375" style="102" customWidth="1"/>
    <col min="4548" max="4548" width="15.5546875" style="102" customWidth="1"/>
    <col min="4549" max="4550" width="10.88671875" style="102" customWidth="1"/>
    <col min="4551" max="4551" width="3.109375" style="102" customWidth="1"/>
    <col min="4552" max="4552" width="16.44140625" style="102" customWidth="1"/>
    <col min="4553" max="4553" width="10.88671875" style="102" customWidth="1"/>
    <col min="4554" max="4554" width="68.6640625" style="102" customWidth="1"/>
    <col min="4555" max="4555" width="2.21875" style="102" customWidth="1"/>
    <col min="4556" max="4787" width="8.88671875" style="102"/>
    <col min="4788" max="4788" width="1.109375" style="102" customWidth="1"/>
    <col min="4789" max="4789" width="10.33203125" style="102" customWidth="1"/>
    <col min="4790" max="4790" width="18.21875" style="102" customWidth="1"/>
    <col min="4791" max="4791" width="20.44140625" style="102" customWidth="1"/>
    <col min="4792" max="4792" width="18.109375" style="102" bestFit="1" customWidth="1"/>
    <col min="4793" max="4793" width="13.21875" style="102" customWidth="1"/>
    <col min="4794" max="4794" width="3.109375" style="102" customWidth="1"/>
    <col min="4795" max="4795" width="15.5546875" style="102" customWidth="1"/>
    <col min="4796" max="4796" width="13.21875" style="102" customWidth="1"/>
    <col min="4797" max="4797" width="10.88671875" style="102" customWidth="1"/>
    <col min="4798" max="4798" width="3.109375" style="102" customWidth="1"/>
    <col min="4799" max="4799" width="15.5546875" style="102" customWidth="1"/>
    <col min="4800" max="4801" width="10.88671875" style="102" customWidth="1"/>
    <col min="4802" max="4802" width="18.6640625" style="102" customWidth="1"/>
    <col min="4803" max="4803" width="3.109375" style="102" customWidth="1"/>
    <col min="4804" max="4804" width="15.5546875" style="102" customWidth="1"/>
    <col min="4805" max="4806" width="10.88671875" style="102" customWidth="1"/>
    <col min="4807" max="4807" width="3.109375" style="102" customWidth="1"/>
    <col min="4808" max="4808" width="16.44140625" style="102" customWidth="1"/>
    <col min="4809" max="4809" width="10.88671875" style="102" customWidth="1"/>
    <col min="4810" max="4810" width="68.6640625" style="102" customWidth="1"/>
    <col min="4811" max="4811" width="2.21875" style="102" customWidth="1"/>
    <col min="4812" max="5043" width="8.88671875" style="102"/>
    <col min="5044" max="5044" width="1.109375" style="102" customWidth="1"/>
    <col min="5045" max="5045" width="10.33203125" style="102" customWidth="1"/>
    <col min="5046" max="5046" width="18.21875" style="102" customWidth="1"/>
    <col min="5047" max="5047" width="20.44140625" style="102" customWidth="1"/>
    <col min="5048" max="5048" width="18.109375" style="102" bestFit="1" customWidth="1"/>
    <col min="5049" max="5049" width="13.21875" style="102" customWidth="1"/>
    <col min="5050" max="5050" width="3.109375" style="102" customWidth="1"/>
    <col min="5051" max="5051" width="15.5546875" style="102" customWidth="1"/>
    <col min="5052" max="5052" width="13.21875" style="102" customWidth="1"/>
    <col min="5053" max="5053" width="10.88671875" style="102" customWidth="1"/>
    <col min="5054" max="5054" width="3.109375" style="102" customWidth="1"/>
    <col min="5055" max="5055" width="15.5546875" style="102" customWidth="1"/>
    <col min="5056" max="5057" width="10.88671875" style="102" customWidth="1"/>
    <col min="5058" max="5058" width="18.6640625" style="102" customWidth="1"/>
    <col min="5059" max="5059" width="3.109375" style="102" customWidth="1"/>
    <col min="5060" max="5060" width="15.5546875" style="102" customWidth="1"/>
    <col min="5061" max="5062" width="10.88671875" style="102" customWidth="1"/>
    <col min="5063" max="5063" width="3.109375" style="102" customWidth="1"/>
    <col min="5064" max="5064" width="16.44140625" style="102" customWidth="1"/>
    <col min="5065" max="5065" width="10.88671875" style="102" customWidth="1"/>
    <col min="5066" max="5066" width="68.6640625" style="102" customWidth="1"/>
    <col min="5067" max="5067" width="2.21875" style="102" customWidth="1"/>
    <col min="5068" max="5299" width="8.88671875" style="102"/>
    <col min="5300" max="5300" width="1.109375" style="102" customWidth="1"/>
    <col min="5301" max="5301" width="10.33203125" style="102" customWidth="1"/>
    <col min="5302" max="5302" width="18.21875" style="102" customWidth="1"/>
    <col min="5303" max="5303" width="20.44140625" style="102" customWidth="1"/>
    <col min="5304" max="5304" width="18.109375" style="102" bestFit="1" customWidth="1"/>
    <col min="5305" max="5305" width="13.21875" style="102" customWidth="1"/>
    <col min="5306" max="5306" width="3.109375" style="102" customWidth="1"/>
    <col min="5307" max="5307" width="15.5546875" style="102" customWidth="1"/>
    <col min="5308" max="5308" width="13.21875" style="102" customWidth="1"/>
    <col min="5309" max="5309" width="10.88671875" style="102" customWidth="1"/>
    <col min="5310" max="5310" width="3.109375" style="102" customWidth="1"/>
    <col min="5311" max="5311" width="15.5546875" style="102" customWidth="1"/>
    <col min="5312" max="5313" width="10.88671875" style="102" customWidth="1"/>
    <col min="5314" max="5314" width="18.6640625" style="102" customWidth="1"/>
    <col min="5315" max="5315" width="3.109375" style="102" customWidth="1"/>
    <col min="5316" max="5316" width="15.5546875" style="102" customWidth="1"/>
    <col min="5317" max="5318" width="10.88671875" style="102" customWidth="1"/>
    <col min="5319" max="5319" width="3.109375" style="102" customWidth="1"/>
    <col min="5320" max="5320" width="16.44140625" style="102" customWidth="1"/>
    <col min="5321" max="5321" width="10.88671875" style="102" customWidth="1"/>
    <col min="5322" max="5322" width="68.6640625" style="102" customWidth="1"/>
    <col min="5323" max="5323" width="2.21875" style="102" customWidth="1"/>
    <col min="5324" max="5555" width="8.88671875" style="102"/>
    <col min="5556" max="5556" width="1.109375" style="102" customWidth="1"/>
    <col min="5557" max="5557" width="10.33203125" style="102" customWidth="1"/>
    <col min="5558" max="5558" width="18.21875" style="102" customWidth="1"/>
    <col min="5559" max="5559" width="20.44140625" style="102" customWidth="1"/>
    <col min="5560" max="5560" width="18.109375" style="102" bestFit="1" customWidth="1"/>
    <col min="5561" max="5561" width="13.21875" style="102" customWidth="1"/>
    <col min="5562" max="5562" width="3.109375" style="102" customWidth="1"/>
    <col min="5563" max="5563" width="15.5546875" style="102" customWidth="1"/>
    <col min="5564" max="5564" width="13.21875" style="102" customWidth="1"/>
    <col min="5565" max="5565" width="10.88671875" style="102" customWidth="1"/>
    <col min="5566" max="5566" width="3.109375" style="102" customWidth="1"/>
    <col min="5567" max="5567" width="15.5546875" style="102" customWidth="1"/>
    <col min="5568" max="5569" width="10.88671875" style="102" customWidth="1"/>
    <col min="5570" max="5570" width="18.6640625" style="102" customWidth="1"/>
    <col min="5571" max="5571" width="3.109375" style="102" customWidth="1"/>
    <col min="5572" max="5572" width="15.5546875" style="102" customWidth="1"/>
    <col min="5573" max="5574" width="10.88671875" style="102" customWidth="1"/>
    <col min="5575" max="5575" width="3.109375" style="102" customWidth="1"/>
    <col min="5576" max="5576" width="16.44140625" style="102" customWidth="1"/>
    <col min="5577" max="5577" width="10.88671875" style="102" customWidth="1"/>
    <col min="5578" max="5578" width="68.6640625" style="102" customWidth="1"/>
    <col min="5579" max="5579" width="2.21875" style="102" customWidth="1"/>
    <col min="5580" max="5811" width="8.88671875" style="102"/>
    <col min="5812" max="5812" width="1.109375" style="102" customWidth="1"/>
    <col min="5813" max="5813" width="10.33203125" style="102" customWidth="1"/>
    <col min="5814" max="5814" width="18.21875" style="102" customWidth="1"/>
    <col min="5815" max="5815" width="20.44140625" style="102" customWidth="1"/>
    <col min="5816" max="5816" width="18.109375" style="102" bestFit="1" customWidth="1"/>
    <col min="5817" max="5817" width="13.21875" style="102" customWidth="1"/>
    <col min="5818" max="5818" width="3.109375" style="102" customWidth="1"/>
    <col min="5819" max="5819" width="15.5546875" style="102" customWidth="1"/>
    <col min="5820" max="5820" width="13.21875" style="102" customWidth="1"/>
    <col min="5821" max="5821" width="10.88671875" style="102" customWidth="1"/>
    <col min="5822" max="5822" width="3.109375" style="102" customWidth="1"/>
    <col min="5823" max="5823" width="15.5546875" style="102" customWidth="1"/>
    <col min="5824" max="5825" width="10.88671875" style="102" customWidth="1"/>
    <col min="5826" max="5826" width="18.6640625" style="102" customWidth="1"/>
    <col min="5827" max="5827" width="3.109375" style="102" customWidth="1"/>
    <col min="5828" max="5828" width="15.5546875" style="102" customWidth="1"/>
    <col min="5829" max="5830" width="10.88671875" style="102" customWidth="1"/>
    <col min="5831" max="5831" width="3.109375" style="102" customWidth="1"/>
    <col min="5832" max="5832" width="16.44140625" style="102" customWidth="1"/>
    <col min="5833" max="5833" width="10.88671875" style="102" customWidth="1"/>
    <col min="5834" max="5834" width="68.6640625" style="102" customWidth="1"/>
    <col min="5835" max="5835" width="2.21875" style="102" customWidth="1"/>
    <col min="5836" max="6067" width="8.88671875" style="102"/>
    <col min="6068" max="6068" width="1.109375" style="102" customWidth="1"/>
    <col min="6069" max="6069" width="10.33203125" style="102" customWidth="1"/>
    <col min="6070" max="6070" width="18.21875" style="102" customWidth="1"/>
    <col min="6071" max="6071" width="20.44140625" style="102" customWidth="1"/>
    <col min="6072" max="6072" width="18.109375" style="102" bestFit="1" customWidth="1"/>
    <col min="6073" max="6073" width="13.21875" style="102" customWidth="1"/>
    <col min="6074" max="6074" width="3.109375" style="102" customWidth="1"/>
    <col min="6075" max="6075" width="15.5546875" style="102" customWidth="1"/>
    <col min="6076" max="6076" width="13.21875" style="102" customWidth="1"/>
    <col min="6077" max="6077" width="10.88671875" style="102" customWidth="1"/>
    <col min="6078" max="6078" width="3.109375" style="102" customWidth="1"/>
    <col min="6079" max="6079" width="15.5546875" style="102" customWidth="1"/>
    <col min="6080" max="6081" width="10.88671875" style="102" customWidth="1"/>
    <col min="6082" max="6082" width="18.6640625" style="102" customWidth="1"/>
    <col min="6083" max="6083" width="3.109375" style="102" customWidth="1"/>
    <col min="6084" max="6084" width="15.5546875" style="102" customWidth="1"/>
    <col min="6085" max="6086" width="10.88671875" style="102" customWidth="1"/>
    <col min="6087" max="6087" width="3.109375" style="102" customWidth="1"/>
    <col min="6088" max="6088" width="16.44140625" style="102" customWidth="1"/>
    <col min="6089" max="6089" width="10.88671875" style="102" customWidth="1"/>
    <col min="6090" max="6090" width="68.6640625" style="102" customWidth="1"/>
    <col min="6091" max="6091" width="2.21875" style="102" customWidth="1"/>
    <col min="6092" max="6323" width="8.88671875" style="102"/>
    <col min="6324" max="6324" width="1.109375" style="102" customWidth="1"/>
    <col min="6325" max="6325" width="10.33203125" style="102" customWidth="1"/>
    <col min="6326" max="6326" width="18.21875" style="102" customWidth="1"/>
    <col min="6327" max="6327" width="20.44140625" style="102" customWidth="1"/>
    <col min="6328" max="6328" width="18.109375" style="102" bestFit="1" customWidth="1"/>
    <col min="6329" max="6329" width="13.21875" style="102" customWidth="1"/>
    <col min="6330" max="6330" width="3.109375" style="102" customWidth="1"/>
    <col min="6331" max="6331" width="15.5546875" style="102" customWidth="1"/>
    <col min="6332" max="6332" width="13.21875" style="102" customWidth="1"/>
    <col min="6333" max="6333" width="10.88671875" style="102" customWidth="1"/>
    <col min="6334" max="6334" width="3.109375" style="102" customWidth="1"/>
    <col min="6335" max="6335" width="15.5546875" style="102" customWidth="1"/>
    <col min="6336" max="6337" width="10.88671875" style="102" customWidth="1"/>
    <col min="6338" max="6338" width="18.6640625" style="102" customWidth="1"/>
    <col min="6339" max="6339" width="3.109375" style="102" customWidth="1"/>
    <col min="6340" max="6340" width="15.5546875" style="102" customWidth="1"/>
    <col min="6341" max="6342" width="10.88671875" style="102" customWidth="1"/>
    <col min="6343" max="6343" width="3.109375" style="102" customWidth="1"/>
    <col min="6344" max="6344" width="16.44140625" style="102" customWidth="1"/>
    <col min="6345" max="6345" width="10.88671875" style="102" customWidth="1"/>
    <col min="6346" max="6346" width="68.6640625" style="102" customWidth="1"/>
    <col min="6347" max="6347" width="2.21875" style="102" customWidth="1"/>
    <col min="6348" max="6579" width="8.88671875" style="102"/>
    <col min="6580" max="6580" width="1.109375" style="102" customWidth="1"/>
    <col min="6581" max="6581" width="10.33203125" style="102" customWidth="1"/>
    <col min="6582" max="6582" width="18.21875" style="102" customWidth="1"/>
    <col min="6583" max="6583" width="20.44140625" style="102" customWidth="1"/>
    <col min="6584" max="6584" width="18.109375" style="102" bestFit="1" customWidth="1"/>
    <col min="6585" max="6585" width="13.21875" style="102" customWidth="1"/>
    <col min="6586" max="6586" width="3.109375" style="102" customWidth="1"/>
    <col min="6587" max="6587" width="15.5546875" style="102" customWidth="1"/>
    <col min="6588" max="6588" width="13.21875" style="102" customWidth="1"/>
    <col min="6589" max="6589" width="10.88671875" style="102" customWidth="1"/>
    <col min="6590" max="6590" width="3.109375" style="102" customWidth="1"/>
    <col min="6591" max="6591" width="15.5546875" style="102" customWidth="1"/>
    <col min="6592" max="6593" width="10.88671875" style="102" customWidth="1"/>
    <col min="6594" max="6594" width="18.6640625" style="102" customWidth="1"/>
    <col min="6595" max="6595" width="3.109375" style="102" customWidth="1"/>
    <col min="6596" max="6596" width="15.5546875" style="102" customWidth="1"/>
    <col min="6597" max="6598" width="10.88671875" style="102" customWidth="1"/>
    <col min="6599" max="6599" width="3.109375" style="102" customWidth="1"/>
    <col min="6600" max="6600" width="16.44140625" style="102" customWidth="1"/>
    <col min="6601" max="6601" width="10.88671875" style="102" customWidth="1"/>
    <col min="6602" max="6602" width="68.6640625" style="102" customWidth="1"/>
    <col min="6603" max="6603" width="2.21875" style="102" customWidth="1"/>
    <col min="6604" max="6835" width="8.88671875" style="102"/>
    <col min="6836" max="6836" width="1.109375" style="102" customWidth="1"/>
    <col min="6837" max="6837" width="10.33203125" style="102" customWidth="1"/>
    <col min="6838" max="6838" width="18.21875" style="102" customWidth="1"/>
    <col min="6839" max="6839" width="20.44140625" style="102" customWidth="1"/>
    <col min="6840" max="6840" width="18.109375" style="102" bestFit="1" customWidth="1"/>
    <col min="6841" max="6841" width="13.21875" style="102" customWidth="1"/>
    <col min="6842" max="6842" width="3.109375" style="102" customWidth="1"/>
    <col min="6843" max="6843" width="15.5546875" style="102" customWidth="1"/>
    <col min="6844" max="6844" width="13.21875" style="102" customWidth="1"/>
    <col min="6845" max="6845" width="10.88671875" style="102" customWidth="1"/>
    <col min="6846" max="6846" width="3.109375" style="102" customWidth="1"/>
    <col min="6847" max="6847" width="15.5546875" style="102" customWidth="1"/>
    <col min="6848" max="6849" width="10.88671875" style="102" customWidth="1"/>
    <col min="6850" max="6850" width="18.6640625" style="102" customWidth="1"/>
    <col min="6851" max="6851" width="3.109375" style="102" customWidth="1"/>
    <col min="6852" max="6852" width="15.5546875" style="102" customWidth="1"/>
    <col min="6853" max="6854" width="10.88671875" style="102" customWidth="1"/>
    <col min="6855" max="6855" width="3.109375" style="102" customWidth="1"/>
    <col min="6856" max="6856" width="16.44140625" style="102" customWidth="1"/>
    <col min="6857" max="6857" width="10.88671875" style="102" customWidth="1"/>
    <col min="6858" max="6858" width="68.6640625" style="102" customWidth="1"/>
    <col min="6859" max="6859" width="2.21875" style="102" customWidth="1"/>
    <col min="6860" max="7091" width="8.88671875" style="102"/>
    <col min="7092" max="7092" width="1.109375" style="102" customWidth="1"/>
    <col min="7093" max="7093" width="10.33203125" style="102" customWidth="1"/>
    <col min="7094" max="7094" width="18.21875" style="102" customWidth="1"/>
    <col min="7095" max="7095" width="20.44140625" style="102" customWidth="1"/>
    <col min="7096" max="7096" width="18.109375" style="102" bestFit="1" customWidth="1"/>
    <col min="7097" max="7097" width="13.21875" style="102" customWidth="1"/>
    <col min="7098" max="7098" width="3.109375" style="102" customWidth="1"/>
    <col min="7099" max="7099" width="15.5546875" style="102" customWidth="1"/>
    <col min="7100" max="7100" width="13.21875" style="102" customWidth="1"/>
    <col min="7101" max="7101" width="10.88671875" style="102" customWidth="1"/>
    <col min="7102" max="7102" width="3.109375" style="102" customWidth="1"/>
    <col min="7103" max="7103" width="15.5546875" style="102" customWidth="1"/>
    <col min="7104" max="7105" width="10.88671875" style="102" customWidth="1"/>
    <col min="7106" max="7106" width="18.6640625" style="102" customWidth="1"/>
    <col min="7107" max="7107" width="3.109375" style="102" customWidth="1"/>
    <col min="7108" max="7108" width="15.5546875" style="102" customWidth="1"/>
    <col min="7109" max="7110" width="10.88671875" style="102" customWidth="1"/>
    <col min="7111" max="7111" width="3.109375" style="102" customWidth="1"/>
    <col min="7112" max="7112" width="16.44140625" style="102" customWidth="1"/>
    <col min="7113" max="7113" width="10.88671875" style="102" customWidth="1"/>
    <col min="7114" max="7114" width="68.6640625" style="102" customWidth="1"/>
    <col min="7115" max="7115" width="2.21875" style="102" customWidth="1"/>
    <col min="7116" max="7347" width="8.88671875" style="102"/>
    <col min="7348" max="7348" width="1.109375" style="102" customWidth="1"/>
    <col min="7349" max="7349" width="10.33203125" style="102" customWidth="1"/>
    <col min="7350" max="7350" width="18.21875" style="102" customWidth="1"/>
    <col min="7351" max="7351" width="20.44140625" style="102" customWidth="1"/>
    <col min="7352" max="7352" width="18.109375" style="102" bestFit="1" customWidth="1"/>
    <col min="7353" max="7353" width="13.21875" style="102" customWidth="1"/>
    <col min="7354" max="7354" width="3.109375" style="102" customWidth="1"/>
    <col min="7355" max="7355" width="15.5546875" style="102" customWidth="1"/>
    <col min="7356" max="7356" width="13.21875" style="102" customWidth="1"/>
    <col min="7357" max="7357" width="10.88671875" style="102" customWidth="1"/>
    <col min="7358" max="7358" width="3.109375" style="102" customWidth="1"/>
    <col min="7359" max="7359" width="15.5546875" style="102" customWidth="1"/>
    <col min="7360" max="7361" width="10.88671875" style="102" customWidth="1"/>
    <col min="7362" max="7362" width="18.6640625" style="102" customWidth="1"/>
    <col min="7363" max="7363" width="3.109375" style="102" customWidth="1"/>
    <col min="7364" max="7364" width="15.5546875" style="102" customWidth="1"/>
    <col min="7365" max="7366" width="10.88671875" style="102" customWidth="1"/>
    <col min="7367" max="7367" width="3.109375" style="102" customWidth="1"/>
    <col min="7368" max="7368" width="16.44140625" style="102" customWidth="1"/>
    <col min="7369" max="7369" width="10.88671875" style="102" customWidth="1"/>
    <col min="7370" max="7370" width="68.6640625" style="102" customWidth="1"/>
    <col min="7371" max="7371" width="2.21875" style="102" customWidth="1"/>
    <col min="7372" max="7603" width="8.88671875" style="102"/>
    <col min="7604" max="7604" width="1.109375" style="102" customWidth="1"/>
    <col min="7605" max="7605" width="10.33203125" style="102" customWidth="1"/>
    <col min="7606" max="7606" width="18.21875" style="102" customWidth="1"/>
    <col min="7607" max="7607" width="20.44140625" style="102" customWidth="1"/>
    <col min="7608" max="7608" width="18.109375" style="102" bestFit="1" customWidth="1"/>
    <col min="7609" max="7609" width="13.21875" style="102" customWidth="1"/>
    <col min="7610" max="7610" width="3.109375" style="102" customWidth="1"/>
    <col min="7611" max="7611" width="15.5546875" style="102" customWidth="1"/>
    <col min="7612" max="7612" width="13.21875" style="102" customWidth="1"/>
    <col min="7613" max="7613" width="10.88671875" style="102" customWidth="1"/>
    <col min="7614" max="7614" width="3.109375" style="102" customWidth="1"/>
    <col min="7615" max="7615" width="15.5546875" style="102" customWidth="1"/>
    <col min="7616" max="7617" width="10.88671875" style="102" customWidth="1"/>
    <col min="7618" max="7618" width="18.6640625" style="102" customWidth="1"/>
    <col min="7619" max="7619" width="3.109375" style="102" customWidth="1"/>
    <col min="7620" max="7620" width="15.5546875" style="102" customWidth="1"/>
    <col min="7621" max="7622" width="10.88671875" style="102" customWidth="1"/>
    <col min="7623" max="7623" width="3.109375" style="102" customWidth="1"/>
    <col min="7624" max="7624" width="16.44140625" style="102" customWidth="1"/>
    <col min="7625" max="7625" width="10.88671875" style="102" customWidth="1"/>
    <col min="7626" max="7626" width="68.6640625" style="102" customWidth="1"/>
    <col min="7627" max="7627" width="2.21875" style="102" customWidth="1"/>
    <col min="7628" max="7859" width="8.88671875" style="102"/>
    <col min="7860" max="7860" width="1.109375" style="102" customWidth="1"/>
    <col min="7861" max="7861" width="10.33203125" style="102" customWidth="1"/>
    <col min="7862" max="7862" width="18.21875" style="102" customWidth="1"/>
    <col min="7863" max="7863" width="20.44140625" style="102" customWidth="1"/>
    <col min="7864" max="7864" width="18.109375" style="102" bestFit="1" customWidth="1"/>
    <col min="7865" max="7865" width="13.21875" style="102" customWidth="1"/>
    <col min="7866" max="7866" width="3.109375" style="102" customWidth="1"/>
    <col min="7867" max="7867" width="15.5546875" style="102" customWidth="1"/>
    <col min="7868" max="7868" width="13.21875" style="102" customWidth="1"/>
    <col min="7869" max="7869" width="10.88671875" style="102" customWidth="1"/>
    <col min="7870" max="7870" width="3.109375" style="102" customWidth="1"/>
    <col min="7871" max="7871" width="15.5546875" style="102" customWidth="1"/>
    <col min="7872" max="7873" width="10.88671875" style="102" customWidth="1"/>
    <col min="7874" max="7874" width="18.6640625" style="102" customWidth="1"/>
    <col min="7875" max="7875" width="3.109375" style="102" customWidth="1"/>
    <col min="7876" max="7876" width="15.5546875" style="102" customWidth="1"/>
    <col min="7877" max="7878" width="10.88671875" style="102" customWidth="1"/>
    <col min="7879" max="7879" width="3.109375" style="102" customWidth="1"/>
    <col min="7880" max="7880" width="16.44140625" style="102" customWidth="1"/>
    <col min="7881" max="7881" width="10.88671875" style="102" customWidth="1"/>
    <col min="7882" max="7882" width="68.6640625" style="102" customWidth="1"/>
    <col min="7883" max="7883" width="2.21875" style="102" customWidth="1"/>
    <col min="7884" max="8115" width="8.88671875" style="102"/>
    <col min="8116" max="8116" width="1.109375" style="102" customWidth="1"/>
    <col min="8117" max="8117" width="10.33203125" style="102" customWidth="1"/>
    <col min="8118" max="8118" width="18.21875" style="102" customWidth="1"/>
    <col min="8119" max="8119" width="20.44140625" style="102" customWidth="1"/>
    <col min="8120" max="8120" width="18.109375" style="102" bestFit="1" customWidth="1"/>
    <col min="8121" max="8121" width="13.21875" style="102" customWidth="1"/>
    <col min="8122" max="8122" width="3.109375" style="102" customWidth="1"/>
    <col min="8123" max="8123" width="15.5546875" style="102" customWidth="1"/>
    <col min="8124" max="8124" width="13.21875" style="102" customWidth="1"/>
    <col min="8125" max="8125" width="10.88671875" style="102" customWidth="1"/>
    <col min="8126" max="8126" width="3.109375" style="102" customWidth="1"/>
    <col min="8127" max="8127" width="15.5546875" style="102" customWidth="1"/>
    <col min="8128" max="8129" width="10.88671875" style="102" customWidth="1"/>
    <col min="8130" max="8130" width="18.6640625" style="102" customWidth="1"/>
    <col min="8131" max="8131" width="3.109375" style="102" customWidth="1"/>
    <col min="8132" max="8132" width="15.5546875" style="102" customWidth="1"/>
    <col min="8133" max="8134" width="10.88671875" style="102" customWidth="1"/>
    <col min="8135" max="8135" width="3.109375" style="102" customWidth="1"/>
    <col min="8136" max="8136" width="16.44140625" style="102" customWidth="1"/>
    <col min="8137" max="8137" width="10.88671875" style="102" customWidth="1"/>
    <col min="8138" max="8138" width="68.6640625" style="102" customWidth="1"/>
    <col min="8139" max="8139" width="2.21875" style="102" customWidth="1"/>
    <col min="8140" max="8371" width="8.88671875" style="102"/>
    <col min="8372" max="8372" width="1.109375" style="102" customWidth="1"/>
    <col min="8373" max="8373" width="10.33203125" style="102" customWidth="1"/>
    <col min="8374" max="8374" width="18.21875" style="102" customWidth="1"/>
    <col min="8375" max="8375" width="20.44140625" style="102" customWidth="1"/>
    <col min="8376" max="8376" width="18.109375" style="102" bestFit="1" customWidth="1"/>
    <col min="8377" max="8377" width="13.21875" style="102" customWidth="1"/>
    <col min="8378" max="8378" width="3.109375" style="102" customWidth="1"/>
    <col min="8379" max="8379" width="15.5546875" style="102" customWidth="1"/>
    <col min="8380" max="8380" width="13.21875" style="102" customWidth="1"/>
    <col min="8381" max="8381" width="10.88671875" style="102" customWidth="1"/>
    <col min="8382" max="8382" width="3.109375" style="102" customWidth="1"/>
    <col min="8383" max="8383" width="15.5546875" style="102" customWidth="1"/>
    <col min="8384" max="8385" width="10.88671875" style="102" customWidth="1"/>
    <col min="8386" max="8386" width="18.6640625" style="102" customWidth="1"/>
    <col min="8387" max="8387" width="3.109375" style="102" customWidth="1"/>
    <col min="8388" max="8388" width="15.5546875" style="102" customWidth="1"/>
    <col min="8389" max="8390" width="10.88671875" style="102" customWidth="1"/>
    <col min="8391" max="8391" width="3.109375" style="102" customWidth="1"/>
    <col min="8392" max="8392" width="16.44140625" style="102" customWidth="1"/>
    <col min="8393" max="8393" width="10.88671875" style="102" customWidth="1"/>
    <col min="8394" max="8394" width="68.6640625" style="102" customWidth="1"/>
    <col min="8395" max="8395" width="2.21875" style="102" customWidth="1"/>
    <col min="8396" max="8627" width="8.88671875" style="102"/>
    <col min="8628" max="8628" width="1.109375" style="102" customWidth="1"/>
    <col min="8629" max="8629" width="10.33203125" style="102" customWidth="1"/>
    <col min="8630" max="8630" width="18.21875" style="102" customWidth="1"/>
    <col min="8631" max="8631" width="20.44140625" style="102" customWidth="1"/>
    <col min="8632" max="8632" width="18.109375" style="102" bestFit="1" customWidth="1"/>
    <col min="8633" max="8633" width="13.21875" style="102" customWidth="1"/>
    <col min="8634" max="8634" width="3.109375" style="102" customWidth="1"/>
    <col min="8635" max="8635" width="15.5546875" style="102" customWidth="1"/>
    <col min="8636" max="8636" width="13.21875" style="102" customWidth="1"/>
    <col min="8637" max="8637" width="10.88671875" style="102" customWidth="1"/>
    <col min="8638" max="8638" width="3.109375" style="102" customWidth="1"/>
    <col min="8639" max="8639" width="15.5546875" style="102" customWidth="1"/>
    <col min="8640" max="8641" width="10.88671875" style="102" customWidth="1"/>
    <col min="8642" max="8642" width="18.6640625" style="102" customWidth="1"/>
    <col min="8643" max="8643" width="3.109375" style="102" customWidth="1"/>
    <col min="8644" max="8644" width="15.5546875" style="102" customWidth="1"/>
    <col min="8645" max="8646" width="10.88671875" style="102" customWidth="1"/>
    <col min="8647" max="8647" width="3.109375" style="102" customWidth="1"/>
    <col min="8648" max="8648" width="16.44140625" style="102" customWidth="1"/>
    <col min="8649" max="8649" width="10.88671875" style="102" customWidth="1"/>
    <col min="8650" max="8650" width="68.6640625" style="102" customWidth="1"/>
    <col min="8651" max="8651" width="2.21875" style="102" customWidth="1"/>
    <col min="8652" max="8883" width="8.88671875" style="102"/>
    <col min="8884" max="8884" width="1.109375" style="102" customWidth="1"/>
    <col min="8885" max="8885" width="10.33203125" style="102" customWidth="1"/>
    <col min="8886" max="8886" width="18.21875" style="102" customWidth="1"/>
    <col min="8887" max="8887" width="20.44140625" style="102" customWidth="1"/>
    <col min="8888" max="8888" width="18.109375" style="102" bestFit="1" customWidth="1"/>
    <col min="8889" max="8889" width="13.21875" style="102" customWidth="1"/>
    <col min="8890" max="8890" width="3.109375" style="102" customWidth="1"/>
    <col min="8891" max="8891" width="15.5546875" style="102" customWidth="1"/>
    <col min="8892" max="8892" width="13.21875" style="102" customWidth="1"/>
    <col min="8893" max="8893" width="10.88671875" style="102" customWidth="1"/>
    <col min="8894" max="8894" width="3.109375" style="102" customWidth="1"/>
    <col min="8895" max="8895" width="15.5546875" style="102" customWidth="1"/>
    <col min="8896" max="8897" width="10.88671875" style="102" customWidth="1"/>
    <col min="8898" max="8898" width="18.6640625" style="102" customWidth="1"/>
    <col min="8899" max="8899" width="3.109375" style="102" customWidth="1"/>
    <col min="8900" max="8900" width="15.5546875" style="102" customWidth="1"/>
    <col min="8901" max="8902" width="10.88671875" style="102" customWidth="1"/>
    <col min="8903" max="8903" width="3.109375" style="102" customWidth="1"/>
    <col min="8904" max="8904" width="16.44140625" style="102" customWidth="1"/>
    <col min="8905" max="8905" width="10.88671875" style="102" customWidth="1"/>
    <col min="8906" max="8906" width="68.6640625" style="102" customWidth="1"/>
    <col min="8907" max="8907" width="2.21875" style="102" customWidth="1"/>
    <col min="8908" max="9139" width="8.88671875" style="102"/>
    <col min="9140" max="9140" width="1.109375" style="102" customWidth="1"/>
    <col min="9141" max="9141" width="10.33203125" style="102" customWidth="1"/>
    <col min="9142" max="9142" width="18.21875" style="102" customWidth="1"/>
    <col min="9143" max="9143" width="20.44140625" style="102" customWidth="1"/>
    <col min="9144" max="9144" width="18.109375" style="102" bestFit="1" customWidth="1"/>
    <col min="9145" max="9145" width="13.21875" style="102" customWidth="1"/>
    <col min="9146" max="9146" width="3.109375" style="102" customWidth="1"/>
    <col min="9147" max="9147" width="15.5546875" style="102" customWidth="1"/>
    <col min="9148" max="9148" width="13.21875" style="102" customWidth="1"/>
    <col min="9149" max="9149" width="10.88671875" style="102" customWidth="1"/>
    <col min="9150" max="9150" width="3.109375" style="102" customWidth="1"/>
    <col min="9151" max="9151" width="15.5546875" style="102" customWidth="1"/>
    <col min="9152" max="9153" width="10.88671875" style="102" customWidth="1"/>
    <col min="9154" max="9154" width="18.6640625" style="102" customWidth="1"/>
    <col min="9155" max="9155" width="3.109375" style="102" customWidth="1"/>
    <col min="9156" max="9156" width="15.5546875" style="102" customWidth="1"/>
    <col min="9157" max="9158" width="10.88671875" style="102" customWidth="1"/>
    <col min="9159" max="9159" width="3.109375" style="102" customWidth="1"/>
    <col min="9160" max="9160" width="16.44140625" style="102" customWidth="1"/>
    <col min="9161" max="9161" width="10.88671875" style="102" customWidth="1"/>
    <col min="9162" max="9162" width="68.6640625" style="102" customWidth="1"/>
    <col min="9163" max="9163" width="2.21875" style="102" customWidth="1"/>
    <col min="9164" max="9395" width="8.88671875" style="102"/>
    <col min="9396" max="9396" width="1.109375" style="102" customWidth="1"/>
    <col min="9397" max="9397" width="10.33203125" style="102" customWidth="1"/>
    <col min="9398" max="9398" width="18.21875" style="102" customWidth="1"/>
    <col min="9399" max="9399" width="20.44140625" style="102" customWidth="1"/>
    <col min="9400" max="9400" width="18.109375" style="102" bestFit="1" customWidth="1"/>
    <col min="9401" max="9401" width="13.21875" style="102" customWidth="1"/>
    <col min="9402" max="9402" width="3.109375" style="102" customWidth="1"/>
    <col min="9403" max="9403" width="15.5546875" style="102" customWidth="1"/>
    <col min="9404" max="9404" width="13.21875" style="102" customWidth="1"/>
    <col min="9405" max="9405" width="10.88671875" style="102" customWidth="1"/>
    <col min="9406" max="9406" width="3.109375" style="102" customWidth="1"/>
    <col min="9407" max="9407" width="15.5546875" style="102" customWidth="1"/>
    <col min="9408" max="9409" width="10.88671875" style="102" customWidth="1"/>
    <col min="9410" max="9410" width="18.6640625" style="102" customWidth="1"/>
    <col min="9411" max="9411" width="3.109375" style="102" customWidth="1"/>
    <col min="9412" max="9412" width="15.5546875" style="102" customWidth="1"/>
    <col min="9413" max="9414" width="10.88671875" style="102" customWidth="1"/>
    <col min="9415" max="9415" width="3.109375" style="102" customWidth="1"/>
    <col min="9416" max="9416" width="16.44140625" style="102" customWidth="1"/>
    <col min="9417" max="9417" width="10.88671875" style="102" customWidth="1"/>
    <col min="9418" max="9418" width="68.6640625" style="102" customWidth="1"/>
    <col min="9419" max="9419" width="2.21875" style="102" customWidth="1"/>
    <col min="9420" max="9651" width="8.88671875" style="102"/>
    <col min="9652" max="9652" width="1.109375" style="102" customWidth="1"/>
    <col min="9653" max="9653" width="10.33203125" style="102" customWidth="1"/>
    <col min="9654" max="9654" width="18.21875" style="102" customWidth="1"/>
    <col min="9655" max="9655" width="20.44140625" style="102" customWidth="1"/>
    <col min="9656" max="9656" width="18.109375" style="102" bestFit="1" customWidth="1"/>
    <col min="9657" max="9657" width="13.21875" style="102" customWidth="1"/>
    <col min="9658" max="9658" width="3.109375" style="102" customWidth="1"/>
    <col min="9659" max="9659" width="15.5546875" style="102" customWidth="1"/>
    <col min="9660" max="9660" width="13.21875" style="102" customWidth="1"/>
    <col min="9661" max="9661" width="10.88671875" style="102" customWidth="1"/>
    <col min="9662" max="9662" width="3.109375" style="102" customWidth="1"/>
    <col min="9663" max="9663" width="15.5546875" style="102" customWidth="1"/>
    <col min="9664" max="9665" width="10.88671875" style="102" customWidth="1"/>
    <col min="9666" max="9666" width="18.6640625" style="102" customWidth="1"/>
    <col min="9667" max="9667" width="3.109375" style="102" customWidth="1"/>
    <col min="9668" max="9668" width="15.5546875" style="102" customWidth="1"/>
    <col min="9669" max="9670" width="10.88671875" style="102" customWidth="1"/>
    <col min="9671" max="9671" width="3.109375" style="102" customWidth="1"/>
    <col min="9672" max="9672" width="16.44140625" style="102" customWidth="1"/>
    <col min="9673" max="9673" width="10.88671875" style="102" customWidth="1"/>
    <col min="9674" max="9674" width="68.6640625" style="102" customWidth="1"/>
    <col min="9675" max="9675" width="2.21875" style="102" customWidth="1"/>
    <col min="9676" max="9907" width="8.88671875" style="102"/>
    <col min="9908" max="9908" width="1.109375" style="102" customWidth="1"/>
    <col min="9909" max="9909" width="10.33203125" style="102" customWidth="1"/>
    <col min="9910" max="9910" width="18.21875" style="102" customWidth="1"/>
    <col min="9911" max="9911" width="20.44140625" style="102" customWidth="1"/>
    <col min="9912" max="9912" width="18.109375" style="102" bestFit="1" customWidth="1"/>
    <col min="9913" max="9913" width="13.21875" style="102" customWidth="1"/>
    <col min="9914" max="9914" width="3.109375" style="102" customWidth="1"/>
    <col min="9915" max="9915" width="15.5546875" style="102" customWidth="1"/>
    <col min="9916" max="9916" width="13.21875" style="102" customWidth="1"/>
    <col min="9917" max="9917" width="10.88671875" style="102" customWidth="1"/>
    <col min="9918" max="9918" width="3.109375" style="102" customWidth="1"/>
    <col min="9919" max="9919" width="15.5546875" style="102" customWidth="1"/>
    <col min="9920" max="9921" width="10.88671875" style="102" customWidth="1"/>
    <col min="9922" max="9922" width="18.6640625" style="102" customWidth="1"/>
    <col min="9923" max="9923" width="3.109375" style="102" customWidth="1"/>
    <col min="9924" max="9924" width="15.5546875" style="102" customWidth="1"/>
    <col min="9925" max="9926" width="10.88671875" style="102" customWidth="1"/>
    <col min="9927" max="9927" width="3.109375" style="102" customWidth="1"/>
    <col min="9928" max="9928" width="16.44140625" style="102" customWidth="1"/>
    <col min="9929" max="9929" width="10.88671875" style="102" customWidth="1"/>
    <col min="9930" max="9930" width="68.6640625" style="102" customWidth="1"/>
    <col min="9931" max="9931" width="2.21875" style="102" customWidth="1"/>
    <col min="9932" max="10163" width="8.88671875" style="102"/>
    <col min="10164" max="10164" width="1.109375" style="102" customWidth="1"/>
    <col min="10165" max="10165" width="10.33203125" style="102" customWidth="1"/>
    <col min="10166" max="10166" width="18.21875" style="102" customWidth="1"/>
    <col min="10167" max="10167" width="20.44140625" style="102" customWidth="1"/>
    <col min="10168" max="10168" width="18.109375" style="102" bestFit="1" customWidth="1"/>
    <col min="10169" max="10169" width="13.21875" style="102" customWidth="1"/>
    <col min="10170" max="10170" width="3.109375" style="102" customWidth="1"/>
    <col min="10171" max="10171" width="15.5546875" style="102" customWidth="1"/>
    <col min="10172" max="10172" width="13.21875" style="102" customWidth="1"/>
    <col min="10173" max="10173" width="10.88671875" style="102" customWidth="1"/>
    <col min="10174" max="10174" width="3.109375" style="102" customWidth="1"/>
    <col min="10175" max="10175" width="15.5546875" style="102" customWidth="1"/>
    <col min="10176" max="10177" width="10.88671875" style="102" customWidth="1"/>
    <col min="10178" max="10178" width="18.6640625" style="102" customWidth="1"/>
    <col min="10179" max="10179" width="3.109375" style="102" customWidth="1"/>
    <col min="10180" max="10180" width="15.5546875" style="102" customWidth="1"/>
    <col min="10181" max="10182" width="10.88671875" style="102" customWidth="1"/>
    <col min="10183" max="10183" width="3.109375" style="102" customWidth="1"/>
    <col min="10184" max="10184" width="16.44140625" style="102" customWidth="1"/>
    <col min="10185" max="10185" width="10.88671875" style="102" customWidth="1"/>
    <col min="10186" max="10186" width="68.6640625" style="102" customWidth="1"/>
    <col min="10187" max="10187" width="2.21875" style="102" customWidth="1"/>
    <col min="10188" max="10419" width="8.88671875" style="102"/>
    <col min="10420" max="10420" width="1.109375" style="102" customWidth="1"/>
    <col min="10421" max="10421" width="10.33203125" style="102" customWidth="1"/>
    <col min="10422" max="10422" width="18.21875" style="102" customWidth="1"/>
    <col min="10423" max="10423" width="20.44140625" style="102" customWidth="1"/>
    <col min="10424" max="10424" width="18.109375" style="102" bestFit="1" customWidth="1"/>
    <col min="10425" max="10425" width="13.21875" style="102" customWidth="1"/>
    <col min="10426" max="10426" width="3.109375" style="102" customWidth="1"/>
    <col min="10427" max="10427" width="15.5546875" style="102" customWidth="1"/>
    <col min="10428" max="10428" width="13.21875" style="102" customWidth="1"/>
    <col min="10429" max="10429" width="10.88671875" style="102" customWidth="1"/>
    <col min="10430" max="10430" width="3.109375" style="102" customWidth="1"/>
    <col min="10431" max="10431" width="15.5546875" style="102" customWidth="1"/>
    <col min="10432" max="10433" width="10.88671875" style="102" customWidth="1"/>
    <col min="10434" max="10434" width="18.6640625" style="102" customWidth="1"/>
    <col min="10435" max="10435" width="3.109375" style="102" customWidth="1"/>
    <col min="10436" max="10436" width="15.5546875" style="102" customWidth="1"/>
    <col min="10437" max="10438" width="10.88671875" style="102" customWidth="1"/>
    <col min="10439" max="10439" width="3.109375" style="102" customWidth="1"/>
    <col min="10440" max="10440" width="16.44140625" style="102" customWidth="1"/>
    <col min="10441" max="10441" width="10.88671875" style="102" customWidth="1"/>
    <col min="10442" max="10442" width="68.6640625" style="102" customWidth="1"/>
    <col min="10443" max="10443" width="2.21875" style="102" customWidth="1"/>
    <col min="10444" max="10675" width="8.88671875" style="102"/>
    <col min="10676" max="10676" width="1.109375" style="102" customWidth="1"/>
    <col min="10677" max="10677" width="10.33203125" style="102" customWidth="1"/>
    <col min="10678" max="10678" width="18.21875" style="102" customWidth="1"/>
    <col min="10679" max="10679" width="20.44140625" style="102" customWidth="1"/>
    <col min="10680" max="10680" width="18.109375" style="102" bestFit="1" customWidth="1"/>
    <col min="10681" max="10681" width="13.21875" style="102" customWidth="1"/>
    <col min="10682" max="10682" width="3.109375" style="102" customWidth="1"/>
    <col min="10683" max="10683" width="15.5546875" style="102" customWidth="1"/>
    <col min="10684" max="10684" width="13.21875" style="102" customWidth="1"/>
    <col min="10685" max="10685" width="10.88671875" style="102" customWidth="1"/>
    <col min="10686" max="10686" width="3.109375" style="102" customWidth="1"/>
    <col min="10687" max="10687" width="15.5546875" style="102" customWidth="1"/>
    <col min="10688" max="10689" width="10.88671875" style="102" customWidth="1"/>
    <col min="10690" max="10690" width="18.6640625" style="102" customWidth="1"/>
    <col min="10691" max="10691" width="3.109375" style="102" customWidth="1"/>
    <col min="10692" max="10692" width="15.5546875" style="102" customWidth="1"/>
    <col min="10693" max="10694" width="10.88671875" style="102" customWidth="1"/>
    <col min="10695" max="10695" width="3.109375" style="102" customWidth="1"/>
    <col min="10696" max="10696" width="16.44140625" style="102" customWidth="1"/>
    <col min="10697" max="10697" width="10.88671875" style="102" customWidth="1"/>
    <col min="10698" max="10698" width="68.6640625" style="102" customWidth="1"/>
    <col min="10699" max="10699" width="2.21875" style="102" customWidth="1"/>
    <col min="10700" max="10931" width="8.88671875" style="102"/>
    <col min="10932" max="10932" width="1.109375" style="102" customWidth="1"/>
    <col min="10933" max="10933" width="10.33203125" style="102" customWidth="1"/>
    <col min="10934" max="10934" width="18.21875" style="102" customWidth="1"/>
    <col min="10935" max="10935" width="20.44140625" style="102" customWidth="1"/>
    <col min="10936" max="10936" width="18.109375" style="102" bestFit="1" customWidth="1"/>
    <col min="10937" max="10937" width="13.21875" style="102" customWidth="1"/>
    <col min="10938" max="10938" width="3.109375" style="102" customWidth="1"/>
    <col min="10939" max="10939" width="15.5546875" style="102" customWidth="1"/>
    <col min="10940" max="10940" width="13.21875" style="102" customWidth="1"/>
    <col min="10941" max="10941" width="10.88671875" style="102" customWidth="1"/>
    <col min="10942" max="10942" width="3.109375" style="102" customWidth="1"/>
    <col min="10943" max="10943" width="15.5546875" style="102" customWidth="1"/>
    <col min="10944" max="10945" width="10.88671875" style="102" customWidth="1"/>
    <col min="10946" max="10946" width="18.6640625" style="102" customWidth="1"/>
    <col min="10947" max="10947" width="3.109375" style="102" customWidth="1"/>
    <col min="10948" max="10948" width="15.5546875" style="102" customWidth="1"/>
    <col min="10949" max="10950" width="10.88671875" style="102" customWidth="1"/>
    <col min="10951" max="10951" width="3.109375" style="102" customWidth="1"/>
    <col min="10952" max="10952" width="16.44140625" style="102" customWidth="1"/>
    <col min="10953" max="10953" width="10.88671875" style="102" customWidth="1"/>
    <col min="10954" max="10954" width="68.6640625" style="102" customWidth="1"/>
    <col min="10955" max="10955" width="2.21875" style="102" customWidth="1"/>
    <col min="10956" max="11187" width="8.88671875" style="102"/>
    <col min="11188" max="11188" width="1.109375" style="102" customWidth="1"/>
    <col min="11189" max="11189" width="10.33203125" style="102" customWidth="1"/>
    <col min="11190" max="11190" width="18.21875" style="102" customWidth="1"/>
    <col min="11191" max="11191" width="20.44140625" style="102" customWidth="1"/>
    <col min="11192" max="11192" width="18.109375" style="102" bestFit="1" customWidth="1"/>
    <col min="11193" max="11193" width="13.21875" style="102" customWidth="1"/>
    <col min="11194" max="11194" width="3.109375" style="102" customWidth="1"/>
    <col min="11195" max="11195" width="15.5546875" style="102" customWidth="1"/>
    <col min="11196" max="11196" width="13.21875" style="102" customWidth="1"/>
    <col min="11197" max="11197" width="10.88671875" style="102" customWidth="1"/>
    <col min="11198" max="11198" width="3.109375" style="102" customWidth="1"/>
    <col min="11199" max="11199" width="15.5546875" style="102" customWidth="1"/>
    <col min="11200" max="11201" width="10.88671875" style="102" customWidth="1"/>
    <col min="11202" max="11202" width="18.6640625" style="102" customWidth="1"/>
    <col min="11203" max="11203" width="3.109375" style="102" customWidth="1"/>
    <col min="11204" max="11204" width="15.5546875" style="102" customWidth="1"/>
    <col min="11205" max="11206" width="10.88671875" style="102" customWidth="1"/>
    <col min="11207" max="11207" width="3.109375" style="102" customWidth="1"/>
    <col min="11208" max="11208" width="16.44140625" style="102" customWidth="1"/>
    <col min="11209" max="11209" width="10.88671875" style="102" customWidth="1"/>
    <col min="11210" max="11210" width="68.6640625" style="102" customWidth="1"/>
    <col min="11211" max="11211" width="2.21875" style="102" customWidth="1"/>
    <col min="11212" max="11443" width="8.88671875" style="102"/>
    <col min="11444" max="11444" width="1.109375" style="102" customWidth="1"/>
    <col min="11445" max="11445" width="10.33203125" style="102" customWidth="1"/>
    <col min="11446" max="11446" width="18.21875" style="102" customWidth="1"/>
    <col min="11447" max="11447" width="20.44140625" style="102" customWidth="1"/>
    <col min="11448" max="11448" width="18.109375" style="102" bestFit="1" customWidth="1"/>
    <col min="11449" max="11449" width="13.21875" style="102" customWidth="1"/>
    <col min="11450" max="11450" width="3.109375" style="102" customWidth="1"/>
    <col min="11451" max="11451" width="15.5546875" style="102" customWidth="1"/>
    <col min="11452" max="11452" width="13.21875" style="102" customWidth="1"/>
    <col min="11453" max="11453" width="10.88671875" style="102" customWidth="1"/>
    <col min="11454" max="11454" width="3.109375" style="102" customWidth="1"/>
    <col min="11455" max="11455" width="15.5546875" style="102" customWidth="1"/>
    <col min="11456" max="11457" width="10.88671875" style="102" customWidth="1"/>
    <col min="11458" max="11458" width="18.6640625" style="102" customWidth="1"/>
    <col min="11459" max="11459" width="3.109375" style="102" customWidth="1"/>
    <col min="11460" max="11460" width="15.5546875" style="102" customWidth="1"/>
    <col min="11461" max="11462" width="10.88671875" style="102" customWidth="1"/>
    <col min="11463" max="11463" width="3.109375" style="102" customWidth="1"/>
    <col min="11464" max="11464" width="16.44140625" style="102" customWidth="1"/>
    <col min="11465" max="11465" width="10.88671875" style="102" customWidth="1"/>
    <col min="11466" max="11466" width="68.6640625" style="102" customWidth="1"/>
    <col min="11467" max="11467" width="2.21875" style="102" customWidth="1"/>
    <col min="11468" max="11699" width="8.88671875" style="102"/>
    <col min="11700" max="11700" width="1.109375" style="102" customWidth="1"/>
    <col min="11701" max="11701" width="10.33203125" style="102" customWidth="1"/>
    <col min="11702" max="11702" width="18.21875" style="102" customWidth="1"/>
    <col min="11703" max="11703" width="20.44140625" style="102" customWidth="1"/>
    <col min="11704" max="11704" width="18.109375" style="102" bestFit="1" customWidth="1"/>
    <col min="11705" max="11705" width="13.21875" style="102" customWidth="1"/>
    <col min="11706" max="11706" width="3.109375" style="102" customWidth="1"/>
    <col min="11707" max="11707" width="15.5546875" style="102" customWidth="1"/>
    <col min="11708" max="11708" width="13.21875" style="102" customWidth="1"/>
    <col min="11709" max="11709" width="10.88671875" style="102" customWidth="1"/>
    <col min="11710" max="11710" width="3.109375" style="102" customWidth="1"/>
    <col min="11711" max="11711" width="15.5546875" style="102" customWidth="1"/>
    <col min="11712" max="11713" width="10.88671875" style="102" customWidth="1"/>
    <col min="11714" max="11714" width="18.6640625" style="102" customWidth="1"/>
    <col min="11715" max="11715" width="3.109375" style="102" customWidth="1"/>
    <col min="11716" max="11716" width="15.5546875" style="102" customWidth="1"/>
    <col min="11717" max="11718" width="10.88671875" style="102" customWidth="1"/>
    <col min="11719" max="11719" width="3.109375" style="102" customWidth="1"/>
    <col min="11720" max="11720" width="16.44140625" style="102" customWidth="1"/>
    <col min="11721" max="11721" width="10.88671875" style="102" customWidth="1"/>
    <col min="11722" max="11722" width="68.6640625" style="102" customWidth="1"/>
    <col min="11723" max="11723" width="2.21875" style="102" customWidth="1"/>
    <col min="11724" max="11955" width="8.88671875" style="102"/>
    <col min="11956" max="11956" width="1.109375" style="102" customWidth="1"/>
    <col min="11957" max="11957" width="10.33203125" style="102" customWidth="1"/>
    <col min="11958" max="11958" width="18.21875" style="102" customWidth="1"/>
    <col min="11959" max="11959" width="20.44140625" style="102" customWidth="1"/>
    <col min="11960" max="11960" width="18.109375" style="102" bestFit="1" customWidth="1"/>
    <col min="11961" max="11961" width="13.21875" style="102" customWidth="1"/>
    <col min="11962" max="11962" width="3.109375" style="102" customWidth="1"/>
    <col min="11963" max="11963" width="15.5546875" style="102" customWidth="1"/>
    <col min="11964" max="11964" width="13.21875" style="102" customWidth="1"/>
    <col min="11965" max="11965" width="10.88671875" style="102" customWidth="1"/>
    <col min="11966" max="11966" width="3.109375" style="102" customWidth="1"/>
    <col min="11967" max="11967" width="15.5546875" style="102" customWidth="1"/>
    <col min="11968" max="11969" width="10.88671875" style="102" customWidth="1"/>
    <col min="11970" max="11970" width="18.6640625" style="102" customWidth="1"/>
    <col min="11971" max="11971" width="3.109375" style="102" customWidth="1"/>
    <col min="11972" max="11972" width="15.5546875" style="102" customWidth="1"/>
    <col min="11973" max="11974" width="10.88671875" style="102" customWidth="1"/>
    <col min="11975" max="11975" width="3.109375" style="102" customWidth="1"/>
    <col min="11976" max="11976" width="16.44140625" style="102" customWidth="1"/>
    <col min="11977" max="11977" width="10.88671875" style="102" customWidth="1"/>
    <col min="11978" max="11978" width="68.6640625" style="102" customWidth="1"/>
    <col min="11979" max="11979" width="2.21875" style="102" customWidth="1"/>
    <col min="11980" max="12211" width="8.88671875" style="102"/>
    <col min="12212" max="12212" width="1.109375" style="102" customWidth="1"/>
    <col min="12213" max="12213" width="10.33203125" style="102" customWidth="1"/>
    <col min="12214" max="12214" width="18.21875" style="102" customWidth="1"/>
    <col min="12215" max="12215" width="20.44140625" style="102" customWidth="1"/>
    <col min="12216" max="12216" width="18.109375" style="102" bestFit="1" customWidth="1"/>
    <col min="12217" max="12217" width="13.21875" style="102" customWidth="1"/>
    <col min="12218" max="12218" width="3.109375" style="102" customWidth="1"/>
    <col min="12219" max="12219" width="15.5546875" style="102" customWidth="1"/>
    <col min="12220" max="12220" width="13.21875" style="102" customWidth="1"/>
    <col min="12221" max="12221" width="10.88671875" style="102" customWidth="1"/>
    <col min="12222" max="12222" width="3.109375" style="102" customWidth="1"/>
    <col min="12223" max="12223" width="15.5546875" style="102" customWidth="1"/>
    <col min="12224" max="12225" width="10.88671875" style="102" customWidth="1"/>
    <col min="12226" max="12226" width="18.6640625" style="102" customWidth="1"/>
    <col min="12227" max="12227" width="3.109375" style="102" customWidth="1"/>
    <col min="12228" max="12228" width="15.5546875" style="102" customWidth="1"/>
    <col min="12229" max="12230" width="10.88671875" style="102" customWidth="1"/>
    <col min="12231" max="12231" width="3.109375" style="102" customWidth="1"/>
    <col min="12232" max="12232" width="16.44140625" style="102" customWidth="1"/>
    <col min="12233" max="12233" width="10.88671875" style="102" customWidth="1"/>
    <col min="12234" max="12234" width="68.6640625" style="102" customWidth="1"/>
    <col min="12235" max="12235" width="2.21875" style="102" customWidth="1"/>
    <col min="12236" max="12467" width="8.88671875" style="102"/>
    <col min="12468" max="12468" width="1.109375" style="102" customWidth="1"/>
    <col min="12469" max="12469" width="10.33203125" style="102" customWidth="1"/>
    <col min="12470" max="12470" width="18.21875" style="102" customWidth="1"/>
    <col min="12471" max="12471" width="20.44140625" style="102" customWidth="1"/>
    <col min="12472" max="12472" width="18.109375" style="102" bestFit="1" customWidth="1"/>
    <col min="12473" max="12473" width="13.21875" style="102" customWidth="1"/>
    <col min="12474" max="12474" width="3.109375" style="102" customWidth="1"/>
    <col min="12475" max="12475" width="15.5546875" style="102" customWidth="1"/>
    <col min="12476" max="12476" width="13.21875" style="102" customWidth="1"/>
    <col min="12477" max="12477" width="10.88671875" style="102" customWidth="1"/>
    <col min="12478" max="12478" width="3.109375" style="102" customWidth="1"/>
    <col min="12479" max="12479" width="15.5546875" style="102" customWidth="1"/>
    <col min="12480" max="12481" width="10.88671875" style="102" customWidth="1"/>
    <col min="12482" max="12482" width="18.6640625" style="102" customWidth="1"/>
    <col min="12483" max="12483" width="3.109375" style="102" customWidth="1"/>
    <col min="12484" max="12484" width="15.5546875" style="102" customWidth="1"/>
    <col min="12485" max="12486" width="10.88671875" style="102" customWidth="1"/>
    <col min="12487" max="12487" width="3.109375" style="102" customWidth="1"/>
    <col min="12488" max="12488" width="16.44140625" style="102" customWidth="1"/>
    <col min="12489" max="12489" width="10.88671875" style="102" customWidth="1"/>
    <col min="12490" max="12490" width="68.6640625" style="102" customWidth="1"/>
    <col min="12491" max="12491" width="2.21875" style="102" customWidth="1"/>
    <col min="12492" max="12723" width="8.88671875" style="102"/>
    <col min="12724" max="12724" width="1.109375" style="102" customWidth="1"/>
    <col min="12725" max="12725" width="10.33203125" style="102" customWidth="1"/>
    <col min="12726" max="12726" width="18.21875" style="102" customWidth="1"/>
    <col min="12727" max="12727" width="20.44140625" style="102" customWidth="1"/>
    <col min="12728" max="12728" width="18.109375" style="102" bestFit="1" customWidth="1"/>
    <col min="12729" max="12729" width="13.21875" style="102" customWidth="1"/>
    <col min="12730" max="12730" width="3.109375" style="102" customWidth="1"/>
    <col min="12731" max="12731" width="15.5546875" style="102" customWidth="1"/>
    <col min="12732" max="12732" width="13.21875" style="102" customWidth="1"/>
    <col min="12733" max="12733" width="10.88671875" style="102" customWidth="1"/>
    <col min="12734" max="12734" width="3.109375" style="102" customWidth="1"/>
    <col min="12735" max="12735" width="15.5546875" style="102" customWidth="1"/>
    <col min="12736" max="12737" width="10.88671875" style="102" customWidth="1"/>
    <col min="12738" max="12738" width="18.6640625" style="102" customWidth="1"/>
    <col min="12739" max="12739" width="3.109375" style="102" customWidth="1"/>
    <col min="12740" max="12740" width="15.5546875" style="102" customWidth="1"/>
    <col min="12741" max="12742" width="10.88671875" style="102" customWidth="1"/>
    <col min="12743" max="12743" width="3.109375" style="102" customWidth="1"/>
    <col min="12744" max="12744" width="16.44140625" style="102" customWidth="1"/>
    <col min="12745" max="12745" width="10.88671875" style="102" customWidth="1"/>
    <col min="12746" max="12746" width="68.6640625" style="102" customWidth="1"/>
    <col min="12747" max="12747" width="2.21875" style="102" customWidth="1"/>
    <col min="12748" max="12979" width="8.88671875" style="102"/>
    <col min="12980" max="12980" width="1.109375" style="102" customWidth="1"/>
    <col min="12981" max="12981" width="10.33203125" style="102" customWidth="1"/>
    <col min="12982" max="12982" width="18.21875" style="102" customWidth="1"/>
    <col min="12983" max="12983" width="20.44140625" style="102" customWidth="1"/>
    <col min="12984" max="12984" width="18.109375" style="102" bestFit="1" customWidth="1"/>
    <col min="12985" max="12985" width="13.21875" style="102" customWidth="1"/>
    <col min="12986" max="12986" width="3.109375" style="102" customWidth="1"/>
    <col min="12987" max="12987" width="15.5546875" style="102" customWidth="1"/>
    <col min="12988" max="12988" width="13.21875" style="102" customWidth="1"/>
    <col min="12989" max="12989" width="10.88671875" style="102" customWidth="1"/>
    <col min="12990" max="12990" width="3.109375" style="102" customWidth="1"/>
    <col min="12991" max="12991" width="15.5546875" style="102" customWidth="1"/>
    <col min="12992" max="12993" width="10.88671875" style="102" customWidth="1"/>
    <col min="12994" max="12994" width="18.6640625" style="102" customWidth="1"/>
    <col min="12995" max="12995" width="3.109375" style="102" customWidth="1"/>
    <col min="12996" max="12996" width="15.5546875" style="102" customWidth="1"/>
    <col min="12997" max="12998" width="10.88671875" style="102" customWidth="1"/>
    <col min="12999" max="12999" width="3.109375" style="102" customWidth="1"/>
    <col min="13000" max="13000" width="16.44140625" style="102" customWidth="1"/>
    <col min="13001" max="13001" width="10.88671875" style="102" customWidth="1"/>
    <col min="13002" max="13002" width="68.6640625" style="102" customWidth="1"/>
    <col min="13003" max="13003" width="2.21875" style="102" customWidth="1"/>
    <col min="13004" max="13235" width="8.88671875" style="102"/>
    <col min="13236" max="13236" width="1.109375" style="102" customWidth="1"/>
    <col min="13237" max="13237" width="10.33203125" style="102" customWidth="1"/>
    <col min="13238" max="13238" width="18.21875" style="102" customWidth="1"/>
    <col min="13239" max="13239" width="20.44140625" style="102" customWidth="1"/>
    <col min="13240" max="13240" width="18.109375" style="102" bestFit="1" customWidth="1"/>
    <col min="13241" max="13241" width="13.21875" style="102" customWidth="1"/>
    <col min="13242" max="13242" width="3.109375" style="102" customWidth="1"/>
    <col min="13243" max="13243" width="15.5546875" style="102" customWidth="1"/>
    <col min="13244" max="13244" width="13.21875" style="102" customWidth="1"/>
    <col min="13245" max="13245" width="10.88671875" style="102" customWidth="1"/>
    <col min="13246" max="13246" width="3.109375" style="102" customWidth="1"/>
    <col min="13247" max="13247" width="15.5546875" style="102" customWidth="1"/>
    <col min="13248" max="13249" width="10.88671875" style="102" customWidth="1"/>
    <col min="13250" max="13250" width="18.6640625" style="102" customWidth="1"/>
    <col min="13251" max="13251" width="3.109375" style="102" customWidth="1"/>
    <col min="13252" max="13252" width="15.5546875" style="102" customWidth="1"/>
    <col min="13253" max="13254" width="10.88671875" style="102" customWidth="1"/>
    <col min="13255" max="13255" width="3.109375" style="102" customWidth="1"/>
    <col min="13256" max="13256" width="16.44140625" style="102" customWidth="1"/>
    <col min="13257" max="13257" width="10.88671875" style="102" customWidth="1"/>
    <col min="13258" max="13258" width="68.6640625" style="102" customWidth="1"/>
    <col min="13259" max="13259" width="2.21875" style="102" customWidth="1"/>
    <col min="13260" max="13491" width="8.88671875" style="102"/>
    <col min="13492" max="13492" width="1.109375" style="102" customWidth="1"/>
    <col min="13493" max="13493" width="10.33203125" style="102" customWidth="1"/>
    <col min="13494" max="13494" width="18.21875" style="102" customWidth="1"/>
    <col min="13495" max="13495" width="20.44140625" style="102" customWidth="1"/>
    <col min="13496" max="13496" width="18.109375" style="102" bestFit="1" customWidth="1"/>
    <col min="13497" max="13497" width="13.21875" style="102" customWidth="1"/>
    <col min="13498" max="13498" width="3.109375" style="102" customWidth="1"/>
    <col min="13499" max="13499" width="15.5546875" style="102" customWidth="1"/>
    <col min="13500" max="13500" width="13.21875" style="102" customWidth="1"/>
    <col min="13501" max="13501" width="10.88671875" style="102" customWidth="1"/>
    <col min="13502" max="13502" width="3.109375" style="102" customWidth="1"/>
    <col min="13503" max="13503" width="15.5546875" style="102" customWidth="1"/>
    <col min="13504" max="13505" width="10.88671875" style="102" customWidth="1"/>
    <col min="13506" max="13506" width="18.6640625" style="102" customWidth="1"/>
    <col min="13507" max="13507" width="3.109375" style="102" customWidth="1"/>
    <col min="13508" max="13508" width="15.5546875" style="102" customWidth="1"/>
    <col min="13509" max="13510" width="10.88671875" style="102" customWidth="1"/>
    <col min="13511" max="13511" width="3.109375" style="102" customWidth="1"/>
    <col min="13512" max="13512" width="16.44140625" style="102" customWidth="1"/>
    <col min="13513" max="13513" width="10.88671875" style="102" customWidth="1"/>
    <col min="13514" max="13514" width="68.6640625" style="102" customWidth="1"/>
    <col min="13515" max="13515" width="2.21875" style="102" customWidth="1"/>
    <col min="13516" max="13747" width="8.88671875" style="102"/>
    <col min="13748" max="13748" width="1.109375" style="102" customWidth="1"/>
    <col min="13749" max="13749" width="10.33203125" style="102" customWidth="1"/>
    <col min="13750" max="13750" width="18.21875" style="102" customWidth="1"/>
    <col min="13751" max="13751" width="20.44140625" style="102" customWidth="1"/>
    <col min="13752" max="13752" width="18.109375" style="102" bestFit="1" customWidth="1"/>
    <col min="13753" max="13753" width="13.21875" style="102" customWidth="1"/>
    <col min="13754" max="13754" width="3.109375" style="102" customWidth="1"/>
    <col min="13755" max="13755" width="15.5546875" style="102" customWidth="1"/>
    <col min="13756" max="13756" width="13.21875" style="102" customWidth="1"/>
    <col min="13757" max="13757" width="10.88671875" style="102" customWidth="1"/>
    <col min="13758" max="13758" width="3.109375" style="102" customWidth="1"/>
    <col min="13759" max="13759" width="15.5546875" style="102" customWidth="1"/>
    <col min="13760" max="13761" width="10.88671875" style="102" customWidth="1"/>
    <col min="13762" max="13762" width="18.6640625" style="102" customWidth="1"/>
    <col min="13763" max="13763" width="3.109375" style="102" customWidth="1"/>
    <col min="13764" max="13764" width="15.5546875" style="102" customWidth="1"/>
    <col min="13765" max="13766" width="10.88671875" style="102" customWidth="1"/>
    <col min="13767" max="13767" width="3.109375" style="102" customWidth="1"/>
    <col min="13768" max="13768" width="16.44140625" style="102" customWidth="1"/>
    <col min="13769" max="13769" width="10.88671875" style="102" customWidth="1"/>
    <col min="13770" max="13770" width="68.6640625" style="102" customWidth="1"/>
    <col min="13771" max="13771" width="2.21875" style="102" customWidth="1"/>
    <col min="13772" max="14003" width="8.88671875" style="102"/>
    <col min="14004" max="14004" width="1.109375" style="102" customWidth="1"/>
    <col min="14005" max="14005" width="10.33203125" style="102" customWidth="1"/>
    <col min="14006" max="14006" width="18.21875" style="102" customWidth="1"/>
    <col min="14007" max="14007" width="20.44140625" style="102" customWidth="1"/>
    <col min="14008" max="14008" width="18.109375" style="102" bestFit="1" customWidth="1"/>
    <col min="14009" max="14009" width="13.21875" style="102" customWidth="1"/>
    <col min="14010" max="14010" width="3.109375" style="102" customWidth="1"/>
    <col min="14011" max="14011" width="15.5546875" style="102" customWidth="1"/>
    <col min="14012" max="14012" width="13.21875" style="102" customWidth="1"/>
    <col min="14013" max="14013" width="10.88671875" style="102" customWidth="1"/>
    <col min="14014" max="14014" width="3.109375" style="102" customWidth="1"/>
    <col min="14015" max="14015" width="15.5546875" style="102" customWidth="1"/>
    <col min="14016" max="14017" width="10.88671875" style="102" customWidth="1"/>
    <col min="14018" max="14018" width="18.6640625" style="102" customWidth="1"/>
    <col min="14019" max="14019" width="3.109375" style="102" customWidth="1"/>
    <col min="14020" max="14020" width="15.5546875" style="102" customWidth="1"/>
    <col min="14021" max="14022" width="10.88671875" style="102" customWidth="1"/>
    <col min="14023" max="14023" width="3.109375" style="102" customWidth="1"/>
    <col min="14024" max="14024" width="16.44140625" style="102" customWidth="1"/>
    <col min="14025" max="14025" width="10.88671875" style="102" customWidth="1"/>
    <col min="14026" max="14026" width="68.6640625" style="102" customWidth="1"/>
    <col min="14027" max="14027" width="2.21875" style="102" customWidth="1"/>
    <col min="14028" max="14259" width="8.88671875" style="102"/>
    <col min="14260" max="14260" width="1.109375" style="102" customWidth="1"/>
    <col min="14261" max="14261" width="10.33203125" style="102" customWidth="1"/>
    <col min="14262" max="14262" width="18.21875" style="102" customWidth="1"/>
    <col min="14263" max="14263" width="20.44140625" style="102" customWidth="1"/>
    <col min="14264" max="14264" width="18.109375" style="102" bestFit="1" customWidth="1"/>
    <col min="14265" max="14265" width="13.21875" style="102" customWidth="1"/>
    <col min="14266" max="14266" width="3.109375" style="102" customWidth="1"/>
    <col min="14267" max="14267" width="15.5546875" style="102" customWidth="1"/>
    <col min="14268" max="14268" width="13.21875" style="102" customWidth="1"/>
    <col min="14269" max="14269" width="10.88671875" style="102" customWidth="1"/>
    <col min="14270" max="14270" width="3.109375" style="102" customWidth="1"/>
    <col min="14271" max="14271" width="15.5546875" style="102" customWidth="1"/>
    <col min="14272" max="14273" width="10.88671875" style="102" customWidth="1"/>
    <col min="14274" max="14274" width="18.6640625" style="102" customWidth="1"/>
    <col min="14275" max="14275" width="3.109375" style="102" customWidth="1"/>
    <col min="14276" max="14276" width="15.5546875" style="102" customWidth="1"/>
    <col min="14277" max="14278" width="10.88671875" style="102" customWidth="1"/>
    <col min="14279" max="14279" width="3.109375" style="102" customWidth="1"/>
    <col min="14280" max="14280" width="16.44140625" style="102" customWidth="1"/>
    <col min="14281" max="14281" width="10.88671875" style="102" customWidth="1"/>
    <col min="14282" max="14282" width="68.6640625" style="102" customWidth="1"/>
    <col min="14283" max="14283" width="2.21875" style="102" customWidth="1"/>
    <col min="14284" max="14515" width="8.88671875" style="102"/>
    <col min="14516" max="14516" width="1.109375" style="102" customWidth="1"/>
    <col min="14517" max="14517" width="10.33203125" style="102" customWidth="1"/>
    <col min="14518" max="14518" width="18.21875" style="102" customWidth="1"/>
    <col min="14519" max="14519" width="20.44140625" style="102" customWidth="1"/>
    <col min="14520" max="14520" width="18.109375" style="102" bestFit="1" customWidth="1"/>
    <col min="14521" max="14521" width="13.21875" style="102" customWidth="1"/>
    <col min="14522" max="14522" width="3.109375" style="102" customWidth="1"/>
    <col min="14523" max="14523" width="15.5546875" style="102" customWidth="1"/>
    <col min="14524" max="14524" width="13.21875" style="102" customWidth="1"/>
    <col min="14525" max="14525" width="10.88671875" style="102" customWidth="1"/>
    <col min="14526" max="14526" width="3.109375" style="102" customWidth="1"/>
    <col min="14527" max="14527" width="15.5546875" style="102" customWidth="1"/>
    <col min="14528" max="14529" width="10.88671875" style="102" customWidth="1"/>
    <col min="14530" max="14530" width="18.6640625" style="102" customWidth="1"/>
    <col min="14531" max="14531" width="3.109375" style="102" customWidth="1"/>
    <col min="14532" max="14532" width="15.5546875" style="102" customWidth="1"/>
    <col min="14533" max="14534" width="10.88671875" style="102" customWidth="1"/>
    <col min="14535" max="14535" width="3.109375" style="102" customWidth="1"/>
    <col min="14536" max="14536" width="16.44140625" style="102" customWidth="1"/>
    <col min="14537" max="14537" width="10.88671875" style="102" customWidth="1"/>
    <col min="14538" max="14538" width="68.6640625" style="102" customWidth="1"/>
    <col min="14539" max="14539" width="2.21875" style="102" customWidth="1"/>
    <col min="14540" max="14771" width="8.88671875" style="102"/>
    <col min="14772" max="14772" width="1.109375" style="102" customWidth="1"/>
    <col min="14773" max="14773" width="10.33203125" style="102" customWidth="1"/>
    <col min="14774" max="14774" width="18.21875" style="102" customWidth="1"/>
    <col min="14775" max="14775" width="20.44140625" style="102" customWidth="1"/>
    <col min="14776" max="14776" width="18.109375" style="102" bestFit="1" customWidth="1"/>
    <col min="14777" max="14777" width="13.21875" style="102" customWidth="1"/>
    <col min="14778" max="14778" width="3.109375" style="102" customWidth="1"/>
    <col min="14779" max="14779" width="15.5546875" style="102" customWidth="1"/>
    <col min="14780" max="14780" width="13.21875" style="102" customWidth="1"/>
    <col min="14781" max="14781" width="10.88671875" style="102" customWidth="1"/>
    <col min="14782" max="14782" width="3.109375" style="102" customWidth="1"/>
    <col min="14783" max="14783" width="15.5546875" style="102" customWidth="1"/>
    <col min="14784" max="14785" width="10.88671875" style="102" customWidth="1"/>
    <col min="14786" max="14786" width="18.6640625" style="102" customWidth="1"/>
    <col min="14787" max="14787" width="3.109375" style="102" customWidth="1"/>
    <col min="14788" max="14788" width="15.5546875" style="102" customWidth="1"/>
    <col min="14789" max="14790" width="10.88671875" style="102" customWidth="1"/>
    <col min="14791" max="14791" width="3.109375" style="102" customWidth="1"/>
    <col min="14792" max="14792" width="16.44140625" style="102" customWidth="1"/>
    <col min="14793" max="14793" width="10.88671875" style="102" customWidth="1"/>
    <col min="14794" max="14794" width="68.6640625" style="102" customWidth="1"/>
    <col min="14795" max="14795" width="2.21875" style="102" customWidth="1"/>
    <col min="14796" max="15027" width="8.88671875" style="102"/>
    <col min="15028" max="15028" width="1.109375" style="102" customWidth="1"/>
    <col min="15029" max="15029" width="10.33203125" style="102" customWidth="1"/>
    <col min="15030" max="15030" width="18.21875" style="102" customWidth="1"/>
    <col min="15031" max="15031" width="20.44140625" style="102" customWidth="1"/>
    <col min="15032" max="15032" width="18.109375" style="102" bestFit="1" customWidth="1"/>
    <col min="15033" max="15033" width="13.21875" style="102" customWidth="1"/>
    <col min="15034" max="15034" width="3.109375" style="102" customWidth="1"/>
    <col min="15035" max="15035" width="15.5546875" style="102" customWidth="1"/>
    <col min="15036" max="15036" width="13.21875" style="102" customWidth="1"/>
    <col min="15037" max="15037" width="10.88671875" style="102" customWidth="1"/>
    <col min="15038" max="15038" width="3.109375" style="102" customWidth="1"/>
    <col min="15039" max="15039" width="15.5546875" style="102" customWidth="1"/>
    <col min="15040" max="15041" width="10.88671875" style="102" customWidth="1"/>
    <col min="15042" max="15042" width="18.6640625" style="102" customWidth="1"/>
    <col min="15043" max="15043" width="3.109375" style="102" customWidth="1"/>
    <col min="15044" max="15044" width="15.5546875" style="102" customWidth="1"/>
    <col min="15045" max="15046" width="10.88671875" style="102" customWidth="1"/>
    <col min="15047" max="15047" width="3.109375" style="102" customWidth="1"/>
    <col min="15048" max="15048" width="16.44140625" style="102" customWidth="1"/>
    <col min="15049" max="15049" width="10.88671875" style="102" customWidth="1"/>
    <col min="15050" max="15050" width="68.6640625" style="102" customWidth="1"/>
    <col min="15051" max="15051" width="2.21875" style="102" customWidth="1"/>
    <col min="15052" max="15283" width="8.88671875" style="102"/>
    <col min="15284" max="15284" width="1.109375" style="102" customWidth="1"/>
    <col min="15285" max="15285" width="10.33203125" style="102" customWidth="1"/>
    <col min="15286" max="15286" width="18.21875" style="102" customWidth="1"/>
    <col min="15287" max="15287" width="20.44140625" style="102" customWidth="1"/>
    <col min="15288" max="15288" width="18.109375" style="102" bestFit="1" customWidth="1"/>
    <col min="15289" max="15289" width="13.21875" style="102" customWidth="1"/>
    <col min="15290" max="15290" width="3.109375" style="102" customWidth="1"/>
    <col min="15291" max="15291" width="15.5546875" style="102" customWidth="1"/>
    <col min="15292" max="15292" width="13.21875" style="102" customWidth="1"/>
    <col min="15293" max="15293" width="10.88671875" style="102" customWidth="1"/>
    <col min="15294" max="15294" width="3.109375" style="102" customWidth="1"/>
    <col min="15295" max="15295" width="15.5546875" style="102" customWidth="1"/>
    <col min="15296" max="15297" width="10.88671875" style="102" customWidth="1"/>
    <col min="15298" max="15298" width="18.6640625" style="102" customWidth="1"/>
    <col min="15299" max="15299" width="3.109375" style="102" customWidth="1"/>
    <col min="15300" max="15300" width="15.5546875" style="102" customWidth="1"/>
    <col min="15301" max="15302" width="10.88671875" style="102" customWidth="1"/>
    <col min="15303" max="15303" width="3.109375" style="102" customWidth="1"/>
    <col min="15304" max="15304" width="16.44140625" style="102" customWidth="1"/>
    <col min="15305" max="15305" width="10.88671875" style="102" customWidth="1"/>
    <col min="15306" max="15306" width="68.6640625" style="102" customWidth="1"/>
    <col min="15307" max="15307" width="2.21875" style="102" customWidth="1"/>
    <col min="15308" max="15539" width="8.88671875" style="102"/>
    <col min="15540" max="15540" width="1.109375" style="102" customWidth="1"/>
    <col min="15541" max="15541" width="10.33203125" style="102" customWidth="1"/>
    <col min="15542" max="15542" width="18.21875" style="102" customWidth="1"/>
    <col min="15543" max="15543" width="20.44140625" style="102" customWidth="1"/>
    <col min="15544" max="15544" width="18.109375" style="102" bestFit="1" customWidth="1"/>
    <col min="15545" max="15545" width="13.21875" style="102" customWidth="1"/>
    <col min="15546" max="15546" width="3.109375" style="102" customWidth="1"/>
    <col min="15547" max="15547" width="15.5546875" style="102" customWidth="1"/>
    <col min="15548" max="15548" width="13.21875" style="102" customWidth="1"/>
    <col min="15549" max="15549" width="10.88671875" style="102" customWidth="1"/>
    <col min="15550" max="15550" width="3.109375" style="102" customWidth="1"/>
    <col min="15551" max="15551" width="15.5546875" style="102" customWidth="1"/>
    <col min="15552" max="15553" width="10.88671875" style="102" customWidth="1"/>
    <col min="15554" max="15554" width="18.6640625" style="102" customWidth="1"/>
    <col min="15555" max="15555" width="3.109375" style="102" customWidth="1"/>
    <col min="15556" max="15556" width="15.5546875" style="102" customWidth="1"/>
    <col min="15557" max="15558" width="10.88671875" style="102" customWidth="1"/>
    <col min="15559" max="15559" width="3.109375" style="102" customWidth="1"/>
    <col min="15560" max="15560" width="16.44140625" style="102" customWidth="1"/>
    <col min="15561" max="15561" width="10.88671875" style="102" customWidth="1"/>
    <col min="15562" max="15562" width="68.6640625" style="102" customWidth="1"/>
    <col min="15563" max="15563" width="2.21875" style="102" customWidth="1"/>
    <col min="15564" max="15795" width="8.88671875" style="102"/>
    <col min="15796" max="15796" width="1.109375" style="102" customWidth="1"/>
    <col min="15797" max="15797" width="10.33203125" style="102" customWidth="1"/>
    <col min="15798" max="15798" width="18.21875" style="102" customWidth="1"/>
    <col min="15799" max="15799" width="20.44140625" style="102" customWidth="1"/>
    <col min="15800" max="15800" width="18.109375" style="102" bestFit="1" customWidth="1"/>
    <col min="15801" max="15801" width="13.21875" style="102" customWidth="1"/>
    <col min="15802" max="15802" width="3.109375" style="102" customWidth="1"/>
    <col min="15803" max="15803" width="15.5546875" style="102" customWidth="1"/>
    <col min="15804" max="15804" width="13.21875" style="102" customWidth="1"/>
    <col min="15805" max="15805" width="10.88671875" style="102" customWidth="1"/>
    <col min="15806" max="15806" width="3.109375" style="102" customWidth="1"/>
    <col min="15807" max="15807" width="15.5546875" style="102" customWidth="1"/>
    <col min="15808" max="15809" width="10.88671875" style="102" customWidth="1"/>
    <col min="15810" max="15810" width="18.6640625" style="102" customWidth="1"/>
    <col min="15811" max="15811" width="3.109375" style="102" customWidth="1"/>
    <col min="15812" max="15812" width="15.5546875" style="102" customWidth="1"/>
    <col min="15813" max="15814" width="10.88671875" style="102" customWidth="1"/>
    <col min="15815" max="15815" width="3.109375" style="102" customWidth="1"/>
    <col min="15816" max="15816" width="16.44140625" style="102" customWidth="1"/>
    <col min="15817" max="15817" width="10.88671875" style="102" customWidth="1"/>
    <col min="15818" max="15818" width="68.6640625" style="102" customWidth="1"/>
    <col min="15819" max="15819" width="2.21875" style="102" customWidth="1"/>
    <col min="15820" max="16051" width="8.88671875" style="102"/>
    <col min="16052" max="16052" width="1.109375" style="102" customWidth="1"/>
    <col min="16053" max="16053" width="10.33203125" style="102" customWidth="1"/>
    <col min="16054" max="16054" width="18.21875" style="102" customWidth="1"/>
    <col min="16055" max="16055" width="20.44140625" style="102" customWidth="1"/>
    <col min="16056" max="16056" width="18.109375" style="102" bestFit="1" customWidth="1"/>
    <col min="16057" max="16057" width="13.21875" style="102" customWidth="1"/>
    <col min="16058" max="16058" width="3.109375" style="102" customWidth="1"/>
    <col min="16059" max="16059" width="15.5546875" style="102" customWidth="1"/>
    <col min="16060" max="16060" width="13.21875" style="102" customWidth="1"/>
    <col min="16061" max="16061" width="10.88671875" style="102" customWidth="1"/>
    <col min="16062" max="16062" width="3.109375" style="102" customWidth="1"/>
    <col min="16063" max="16063" width="15.5546875" style="102" customWidth="1"/>
    <col min="16064" max="16065" width="10.88671875" style="102" customWidth="1"/>
    <col min="16066" max="16066" width="18.6640625" style="102" customWidth="1"/>
    <col min="16067" max="16067" width="3.109375" style="102" customWidth="1"/>
    <col min="16068" max="16068" width="15.5546875" style="102" customWidth="1"/>
    <col min="16069" max="16070" width="10.88671875" style="102" customWidth="1"/>
    <col min="16071" max="16071" width="3.109375" style="102" customWidth="1"/>
    <col min="16072" max="16072" width="16.44140625" style="102" customWidth="1"/>
    <col min="16073" max="16073" width="10.88671875" style="102" customWidth="1"/>
    <col min="16074" max="16074" width="68.6640625" style="102" customWidth="1"/>
    <col min="16075" max="16075" width="2.21875" style="102" customWidth="1"/>
    <col min="16076" max="16384" width="8.88671875" style="102"/>
  </cols>
  <sheetData>
    <row r="1" spans="2:35" s="99" customFormat="1" ht="61.5" customHeight="1">
      <c r="B1" s="516" t="s">
        <v>345</v>
      </c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</row>
    <row r="2" spans="2:35" s="99" customFormat="1" ht="32.1" customHeight="1" thickBot="1">
      <c r="B2" s="518"/>
      <c r="C2" s="519"/>
      <c r="D2" s="519"/>
      <c r="E2" s="519"/>
      <c r="F2" s="519"/>
      <c r="G2" s="519"/>
      <c r="H2" s="519"/>
      <c r="I2" s="519"/>
      <c r="J2" s="519"/>
      <c r="K2" s="519"/>
      <c r="L2" s="519"/>
      <c r="M2" s="520"/>
      <c r="N2" s="521" t="s">
        <v>365</v>
      </c>
    </row>
    <row r="3" spans="2:35" s="100" customFormat="1" ht="54" customHeight="1" thickTop="1">
      <c r="B3" s="1354" t="s">
        <v>148</v>
      </c>
      <c r="C3" s="535" t="s">
        <v>153</v>
      </c>
      <c r="D3" s="536"/>
      <c r="E3" s="536"/>
      <c r="F3" s="536"/>
      <c r="G3" s="537"/>
      <c r="H3" s="537"/>
      <c r="I3" s="610" t="s">
        <v>153</v>
      </c>
      <c r="J3" s="534"/>
      <c r="K3" s="534"/>
      <c r="L3" s="534"/>
      <c r="M3" s="539"/>
      <c r="N3" s="539"/>
      <c r="O3" s="465"/>
      <c r="P3" s="465"/>
      <c r="Q3" s="465"/>
      <c r="R3" s="465"/>
      <c r="S3" s="465"/>
      <c r="T3" s="465"/>
      <c r="U3" s="465"/>
      <c r="V3" s="465"/>
      <c r="W3" s="465"/>
      <c r="X3" s="465"/>
      <c r="Y3" s="465"/>
      <c r="Z3" s="465"/>
      <c r="AA3" s="465"/>
      <c r="AB3" s="465"/>
      <c r="AC3" s="465"/>
      <c r="AD3" s="465"/>
      <c r="AE3" s="465"/>
      <c r="AF3" s="465"/>
      <c r="AG3" s="465"/>
      <c r="AH3" s="465"/>
      <c r="AI3" s="465"/>
    </row>
    <row r="4" spans="2:35" s="100" customFormat="1" ht="46.5" customHeight="1">
      <c r="B4" s="1294"/>
      <c r="C4" s="1301" t="s">
        <v>150</v>
      </c>
      <c r="D4" s="1282" t="str">
        <f>'판매량-월별추이'!R4</f>
        <v xml:space="preserve">4월 </v>
      </c>
      <c r="E4" s="1282"/>
      <c r="F4" s="1282" t="s">
        <v>136</v>
      </c>
      <c r="G4" s="1282"/>
      <c r="H4" s="1343" t="s">
        <v>121</v>
      </c>
      <c r="I4" s="1301" t="s">
        <v>150</v>
      </c>
      <c r="J4" s="1282" t="s">
        <v>129</v>
      </c>
      <c r="K4" s="1282"/>
      <c r="L4" s="1282" t="s">
        <v>136</v>
      </c>
      <c r="M4" s="1282"/>
      <c r="N4" s="1284" t="s">
        <v>121</v>
      </c>
      <c r="O4" s="465"/>
      <c r="P4" s="465"/>
      <c r="Q4" s="465"/>
      <c r="R4" s="465"/>
      <c r="S4" s="465"/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</row>
    <row r="5" spans="2:35" s="100" customFormat="1" ht="46.5" customHeight="1">
      <c r="B5" s="1295"/>
      <c r="C5" s="1302"/>
      <c r="D5" s="548" t="s">
        <v>152</v>
      </c>
      <c r="E5" s="548" t="s">
        <v>154</v>
      </c>
      <c r="F5" s="548" t="s">
        <v>137</v>
      </c>
      <c r="G5" s="548" t="s">
        <v>151</v>
      </c>
      <c r="H5" s="1344"/>
      <c r="I5" s="1302"/>
      <c r="J5" s="548" t="s">
        <v>152</v>
      </c>
      <c r="K5" s="548" t="s">
        <v>139</v>
      </c>
      <c r="L5" s="548" t="s">
        <v>137</v>
      </c>
      <c r="M5" s="548" t="s">
        <v>151</v>
      </c>
      <c r="N5" s="1285"/>
      <c r="O5" s="466"/>
      <c r="P5" s="466"/>
      <c r="Q5" s="466"/>
      <c r="R5" s="466"/>
      <c r="S5" s="466"/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</row>
    <row r="6" spans="2:35" s="99" customFormat="1" ht="90" customHeight="1">
      <c r="B6" s="1357" t="s">
        <v>366</v>
      </c>
      <c r="C6" s="1341">
        <f>총괄표!C35</f>
        <v>66176690</v>
      </c>
      <c r="D6" s="612">
        <f>E6-C6</f>
        <v>-2670131</v>
      </c>
      <c r="E6" s="612">
        <f>총괄표!D35</f>
        <v>63506559</v>
      </c>
      <c r="F6" s="613">
        <f>총괄표!D35-총괄표!F35</f>
        <v>-1526268</v>
      </c>
      <c r="G6" s="1304">
        <f>E6/총괄표!F35</f>
        <v>0.97653080651099478</v>
      </c>
      <c r="H6" s="1351">
        <f>데이터!B24</f>
        <v>67.300000000000011</v>
      </c>
      <c r="I6" s="1341">
        <f>총괄표!J35</f>
        <v>379266379</v>
      </c>
      <c r="J6" s="612">
        <f>K6-I6</f>
        <v>808387</v>
      </c>
      <c r="K6" s="612">
        <f>총괄표!K35</f>
        <v>380074766</v>
      </c>
      <c r="L6" s="613">
        <f>총괄표!K35-총괄표!M35</f>
        <v>-13932916.745000005</v>
      </c>
      <c r="M6" s="1304">
        <f>K6/총괄표!M35</f>
        <v>0.96463795668162811</v>
      </c>
      <c r="N6" s="1371">
        <f>데이터!D24</f>
        <v>73.599999999999994</v>
      </c>
    </row>
    <row r="7" spans="2:35" s="99" customFormat="1" ht="90" customHeight="1">
      <c r="B7" s="1356"/>
      <c r="C7" s="1342"/>
      <c r="D7" s="565">
        <f>E7-1</f>
        <v>-4.0348512444487672E-2</v>
      </c>
      <c r="E7" s="566">
        <f>E6/C6</f>
        <v>0.95965148755551233</v>
      </c>
      <c r="F7" s="579">
        <f>G6-1</f>
        <v>-2.3469193489005225E-2</v>
      </c>
      <c r="G7" s="1291"/>
      <c r="H7" s="1349"/>
      <c r="I7" s="1342"/>
      <c r="J7" s="579">
        <f>K7-1</f>
        <v>2.1314491469859309E-3</v>
      </c>
      <c r="K7" s="566">
        <f>K6/I6</f>
        <v>1.0021314491469859</v>
      </c>
      <c r="L7" s="579">
        <f>M6-1</f>
        <v>-3.5362043318371894E-2</v>
      </c>
      <c r="M7" s="1291"/>
      <c r="N7" s="1370"/>
    </row>
    <row r="8" spans="2:35" s="99" customFormat="1" ht="90" customHeight="1">
      <c r="B8" s="1355" t="s">
        <v>167</v>
      </c>
      <c r="C8" s="1353">
        <f>총괄표!C36</f>
        <v>7545660</v>
      </c>
      <c r="D8" s="614">
        <f>E8-C8</f>
        <v>-119660</v>
      </c>
      <c r="E8" s="614">
        <f>총괄표!D36</f>
        <v>7426000</v>
      </c>
      <c r="F8" s="615">
        <f>총괄표!D36-총괄표!F36</f>
        <v>-5000</v>
      </c>
      <c r="G8" s="1317">
        <f>E8/총괄표!F36</f>
        <v>0.99932714304938774</v>
      </c>
      <c r="H8" s="1348">
        <f>데이터!B25</f>
        <v>7.9</v>
      </c>
      <c r="I8" s="1353">
        <f>총괄표!J36</f>
        <v>33043503</v>
      </c>
      <c r="J8" s="614">
        <f>K8-I8</f>
        <v>-688503</v>
      </c>
      <c r="K8" s="614">
        <f>총괄표!K36</f>
        <v>32355000</v>
      </c>
      <c r="L8" s="615">
        <f>총괄표!K36-총괄표!M36</f>
        <v>-202204.86199999973</v>
      </c>
      <c r="M8" s="1317">
        <f>K8/총괄표!M36</f>
        <v>0.99378924379850531</v>
      </c>
      <c r="N8" s="1369">
        <f>데이터!D25</f>
        <v>6.3</v>
      </c>
    </row>
    <row r="9" spans="2:35" s="99" customFormat="1" ht="90" customHeight="1">
      <c r="B9" s="1356"/>
      <c r="C9" s="1342"/>
      <c r="D9" s="565">
        <f>E9-1</f>
        <v>-1.5858122417389597E-2</v>
      </c>
      <c r="E9" s="566">
        <f>E8/C8</f>
        <v>0.9841418775826104</v>
      </c>
      <c r="F9" s="579">
        <f>G8-1</f>
        <v>-6.7285695061225503E-4</v>
      </c>
      <c r="G9" s="1291"/>
      <c r="H9" s="1349"/>
      <c r="I9" s="1342"/>
      <c r="J9" s="579">
        <f>K9-1</f>
        <v>-2.0836259400221602E-2</v>
      </c>
      <c r="K9" s="566">
        <f>K8/I8</f>
        <v>0.9791637405997784</v>
      </c>
      <c r="L9" s="579">
        <f>M8-1</f>
        <v>-6.2107562014946938E-3</v>
      </c>
      <c r="M9" s="1291"/>
      <c r="N9" s="1370"/>
    </row>
    <row r="10" spans="2:35" s="99" customFormat="1" ht="90" customHeight="1">
      <c r="B10" s="1355" t="s">
        <v>197</v>
      </c>
      <c r="C10" s="1353">
        <f>총괄표!C37+총괄표!C38</f>
        <v>2579557</v>
      </c>
      <c r="D10" s="614">
        <f>E10-C10</f>
        <v>-86656</v>
      </c>
      <c r="E10" s="614">
        <f>총괄표!D37+총괄표!D38</f>
        <v>2492901</v>
      </c>
      <c r="F10" s="615">
        <f>(총괄표!D37+총괄표!D38)-(총괄표!F37+총괄표!F38)</f>
        <v>-475469</v>
      </c>
      <c r="G10" s="1317">
        <f>E10/(총괄표!F37+총괄표!F38)</f>
        <v>0.83982151820696205</v>
      </c>
      <c r="H10" s="1348">
        <f>데이터!B26</f>
        <v>2.7</v>
      </c>
      <c r="I10" s="1353">
        <f>총괄표!J37+총괄표!J38</f>
        <v>20102522</v>
      </c>
      <c r="J10" s="614">
        <f>K10-I10</f>
        <v>334448</v>
      </c>
      <c r="K10" s="614">
        <f>총괄표!K37+총괄표!K38</f>
        <v>20436970</v>
      </c>
      <c r="L10" s="615">
        <f>(총괄표!K37+총괄표!K38)-(총괄표!M37+총괄표!M38)</f>
        <v>-3858378.8090000004</v>
      </c>
      <c r="M10" s="1317">
        <f>K10/(총괄표!M37+총괄표!M38)</f>
        <v>0.84118858143042186</v>
      </c>
      <c r="N10" s="1369">
        <f>데이터!D26</f>
        <v>3.9</v>
      </c>
    </row>
    <row r="11" spans="2:35" s="99" customFormat="1" ht="90" customHeight="1">
      <c r="B11" s="1356"/>
      <c r="C11" s="1342"/>
      <c r="D11" s="565">
        <f>E11-1</f>
        <v>-3.3593365062295599E-2</v>
      </c>
      <c r="E11" s="566">
        <f>E10/C10</f>
        <v>0.9664066349377044</v>
      </c>
      <c r="F11" s="579">
        <f>G10-1</f>
        <v>-0.16017848179303795</v>
      </c>
      <c r="G11" s="1291"/>
      <c r="H11" s="1349"/>
      <c r="I11" s="1342"/>
      <c r="J11" s="579">
        <f>K11-1</f>
        <v>1.6637116477226099E-2</v>
      </c>
      <c r="K11" s="566">
        <f>K10/I10</f>
        <v>1.0166371164772261</v>
      </c>
      <c r="L11" s="579">
        <f>M10-1</f>
        <v>-0.15881141856957814</v>
      </c>
      <c r="M11" s="1291"/>
      <c r="N11" s="1370"/>
    </row>
    <row r="12" spans="2:35" s="99" customFormat="1" ht="90" customHeight="1">
      <c r="B12" s="1358" t="s">
        <v>44</v>
      </c>
      <c r="C12" s="1353">
        <f>총괄표!C39</f>
        <v>13643902</v>
      </c>
      <c r="D12" s="614">
        <f>E12-C12</f>
        <v>821141</v>
      </c>
      <c r="E12" s="614">
        <f>총괄표!D39</f>
        <v>14465043</v>
      </c>
      <c r="F12" s="615">
        <f>총괄표!D39-총괄표!F39</f>
        <v>-2786162</v>
      </c>
      <c r="G12" s="1317">
        <f>E12/총괄표!F39</f>
        <v>0.83849464428716713</v>
      </c>
      <c r="H12" s="1348">
        <f>데이터!B27</f>
        <v>15.4</v>
      </c>
      <c r="I12" s="1353">
        <f>총괄표!J39</f>
        <v>57136987</v>
      </c>
      <c r="J12" s="614">
        <f>K12-I12</f>
        <v>2600683</v>
      </c>
      <c r="K12" s="614">
        <f>총괄표!K39</f>
        <v>59737670</v>
      </c>
      <c r="L12" s="615">
        <f>총괄표!K39-총괄표!M39</f>
        <v>-12149046.083999991</v>
      </c>
      <c r="M12" s="1317">
        <f>K12/총괄표!M39</f>
        <v>0.83099734212641219</v>
      </c>
      <c r="N12" s="1369">
        <f>데이터!D27</f>
        <v>11.5</v>
      </c>
    </row>
    <row r="13" spans="2:35" s="99" customFormat="1" ht="90" customHeight="1">
      <c r="B13" s="1359"/>
      <c r="C13" s="1342"/>
      <c r="D13" s="565">
        <f>E13-1</f>
        <v>6.0183736294793011E-2</v>
      </c>
      <c r="E13" s="566">
        <f>E12/C12</f>
        <v>1.060183736294793</v>
      </c>
      <c r="F13" s="579">
        <f>G12-1</f>
        <v>-0.16150535571283287</v>
      </c>
      <c r="G13" s="1291"/>
      <c r="H13" s="1349"/>
      <c r="I13" s="1342"/>
      <c r="J13" s="579">
        <f>K13-1</f>
        <v>4.5516628309434592E-2</v>
      </c>
      <c r="K13" s="566">
        <f>K12/I12</f>
        <v>1.0455166283094346</v>
      </c>
      <c r="L13" s="579">
        <f>M12-1</f>
        <v>-0.16900265787358781</v>
      </c>
      <c r="M13" s="1291"/>
      <c r="N13" s="1370"/>
    </row>
    <row r="14" spans="2:35" s="99" customFormat="1" ht="90" customHeight="1">
      <c r="B14" s="1355" t="s">
        <v>123</v>
      </c>
      <c r="C14" s="1353">
        <f>SUM(총괄표!C40:C41)</f>
        <v>5092272</v>
      </c>
      <c r="D14" s="614">
        <f>E14-C14</f>
        <v>407805</v>
      </c>
      <c r="E14" s="614">
        <f>SUM(총괄표!D40:D41)</f>
        <v>5500077</v>
      </c>
      <c r="F14" s="615">
        <f>(총괄표!D40+총괄표!D41)-(총괄표!F40+총괄표!F41)</f>
        <v>-913625</v>
      </c>
      <c r="G14" s="1317">
        <f>E14/(총괄표!F40+총괄표!F41)</f>
        <v>0.85755106801033165</v>
      </c>
      <c r="H14" s="1348">
        <f>데이터!B28</f>
        <v>5.8999999999999995</v>
      </c>
      <c r="I14" s="1353">
        <f>SUM(총괄표!J40:J41)</f>
        <v>19929349</v>
      </c>
      <c r="J14" s="614">
        <f>K14-I14</f>
        <v>1455271</v>
      </c>
      <c r="K14" s="614">
        <f>SUM(총괄표!K40:K41)</f>
        <v>21384620</v>
      </c>
      <c r="L14" s="615">
        <f>(총괄표!K40+총괄표!K41)-(총괄표!M40+총괄표!M41)</f>
        <v>-3286883.7909999974</v>
      </c>
      <c r="M14" s="1317">
        <f>K14/(총괄표!M40+총괄표!M41)</f>
        <v>0.86677407997322675</v>
      </c>
      <c r="N14" s="1369">
        <f>데이터!D28</f>
        <v>4.0999999999999996</v>
      </c>
    </row>
    <row r="15" spans="2:35" s="99" customFormat="1" ht="90" customHeight="1">
      <c r="B15" s="1356"/>
      <c r="C15" s="1342"/>
      <c r="D15" s="565">
        <f>E15-1</f>
        <v>8.0083114177718739E-2</v>
      </c>
      <c r="E15" s="566">
        <f>E14/C14</f>
        <v>1.0800831141777187</v>
      </c>
      <c r="F15" s="579">
        <f>G14-1</f>
        <v>-0.14244893198966835</v>
      </c>
      <c r="G15" s="1291"/>
      <c r="H15" s="1349"/>
      <c r="I15" s="1342"/>
      <c r="J15" s="579">
        <f>K15-1</f>
        <v>7.3021502107269098E-2</v>
      </c>
      <c r="K15" s="566">
        <f>K14/I14</f>
        <v>1.0730215021072691</v>
      </c>
      <c r="L15" s="579">
        <f>M14-1</f>
        <v>-0.13322592002677325</v>
      </c>
      <c r="M15" s="1291"/>
      <c r="N15" s="1370"/>
    </row>
    <row r="16" spans="2:35" s="99" customFormat="1" ht="90" customHeight="1">
      <c r="B16" s="1355" t="s">
        <v>132</v>
      </c>
      <c r="C16" s="1341">
        <f>총괄표!C42+총괄표!C43+총괄표!C44+총괄표!C45</f>
        <v>663700</v>
      </c>
      <c r="D16" s="612">
        <f>E16-C16</f>
        <v>49864</v>
      </c>
      <c r="E16" s="612">
        <f>총괄표!D42+총괄표!D43+총괄표!D44+총괄표!D45</f>
        <v>713564</v>
      </c>
      <c r="F16" s="613">
        <f>(총괄표!D42+총괄표!D43+총괄표!D44+총괄표!D45)-(총괄표!F42+총괄표!F43+총괄표!F44+총괄표!F45)</f>
        <v>-151765</v>
      </c>
      <c r="G16" s="1304">
        <f>E16/(총괄표!F42+총괄표!F43+총괄표!F44+총괄표!F45)</f>
        <v>0.82461583975574604</v>
      </c>
      <c r="H16" s="1351">
        <f>100-SUM(H6:H15)</f>
        <v>0.79999999999996874</v>
      </c>
      <c r="I16" s="1341">
        <f>총괄표!J42+총괄표!J43+총괄표!J44+총괄표!J45</f>
        <v>3418879</v>
      </c>
      <c r="J16" s="612">
        <f>K16-I16</f>
        <v>123053</v>
      </c>
      <c r="K16" s="612">
        <f>총괄표!K42+총괄표!K43+총괄표!K44+총괄표!K45</f>
        <v>3541932</v>
      </c>
      <c r="L16" s="613">
        <f>(총괄표!K42+총괄표!K43+총괄표!K44+총괄표!K45)-(총괄표!M42+총괄표!M43+총괄표!M44+총괄표!M45)</f>
        <v>-714269.38799999934</v>
      </c>
      <c r="M16" s="1304">
        <f>K16/(총괄표!M42+총괄표!M43+총괄표!M44+총괄표!M45)</f>
        <v>0.83218148699123551</v>
      </c>
      <c r="N16" s="1371">
        <f>100-SUM(N6:N15)</f>
        <v>0.60000000000000853</v>
      </c>
    </row>
    <row r="17" spans="2:14" s="99" customFormat="1" ht="90" customHeight="1" thickBot="1">
      <c r="B17" s="1360"/>
      <c r="C17" s="1345"/>
      <c r="D17" s="608">
        <f>E17-1</f>
        <v>7.5130329968359222E-2</v>
      </c>
      <c r="E17" s="566">
        <f>E16/C16</f>
        <v>1.0751303299683592</v>
      </c>
      <c r="F17" s="581">
        <f>G16-1</f>
        <v>-0.17538416024425396</v>
      </c>
      <c r="G17" s="1364"/>
      <c r="H17" s="1352"/>
      <c r="I17" s="1345"/>
      <c r="J17" s="581">
        <f>K17-1</f>
        <v>3.5992206802288207E-2</v>
      </c>
      <c r="K17" s="566">
        <f>K16/I16</f>
        <v>1.0359922068022882</v>
      </c>
      <c r="L17" s="581">
        <f>M16-1</f>
        <v>-0.16781851300876449</v>
      </c>
      <c r="M17" s="1364"/>
      <c r="N17" s="1372"/>
    </row>
    <row r="18" spans="2:14" s="101" customFormat="1" ht="90" customHeight="1">
      <c r="B18" s="1361" t="s">
        <v>138</v>
      </c>
      <c r="C18" s="1365">
        <f>SUM(C6:C17)</f>
        <v>95701781</v>
      </c>
      <c r="D18" s="611">
        <f>E18-C18</f>
        <v>-1597637</v>
      </c>
      <c r="E18" s="611">
        <f>E6+E8+E10+E12+E14+E16</f>
        <v>94104144</v>
      </c>
      <c r="F18" s="616">
        <f>F6+F8+F10+F12+F14+F16</f>
        <v>-5858289</v>
      </c>
      <c r="G18" s="1339">
        <f>(E18/총괄표!F47)</f>
        <v>0.94139509389492348</v>
      </c>
      <c r="H18" s="1329"/>
      <c r="I18" s="1346">
        <f>SUM(I6:I17)</f>
        <v>512897619</v>
      </c>
      <c r="J18" s="611">
        <f>K18-I18</f>
        <v>4633339</v>
      </c>
      <c r="K18" s="611">
        <f>K6+K8+K10+K12+K14+K16</f>
        <v>517530958</v>
      </c>
      <c r="L18" s="616">
        <f>L6+L8+L10+L12+L14+L16</f>
        <v>-34143699.67899999</v>
      </c>
      <c r="M18" s="1339">
        <f>(K18/총괄표!M47)</f>
        <v>0.93810899376337331</v>
      </c>
      <c r="N18" s="1367"/>
    </row>
    <row r="19" spans="2:14" s="101" customFormat="1" ht="90" customHeight="1" thickBot="1">
      <c r="B19" s="1362"/>
      <c r="C19" s="1366"/>
      <c r="D19" s="617">
        <f>D18/C18</f>
        <v>-1.6693910847907837E-2</v>
      </c>
      <c r="E19" s="609">
        <f>E18/C18</f>
        <v>0.98330608915209217</v>
      </c>
      <c r="F19" s="618">
        <f>G18-1</f>
        <v>-5.8604906105076515E-2</v>
      </c>
      <c r="G19" s="1363"/>
      <c r="H19" s="1350"/>
      <c r="I19" s="1347"/>
      <c r="J19" s="617">
        <f>J18/I18</f>
        <v>9.0336527766177836E-3</v>
      </c>
      <c r="K19" s="609">
        <f>K18/I18</f>
        <v>1.0090336527766177</v>
      </c>
      <c r="L19" s="618">
        <f>M18-1</f>
        <v>-6.1891006236626689E-2</v>
      </c>
      <c r="M19" s="1363"/>
      <c r="N19" s="1368"/>
    </row>
    <row r="20" spans="2:14" s="101" customFormat="1" ht="35.25" customHeight="1">
      <c r="B20" s="112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</row>
    <row r="21" spans="2:14" s="101" customFormat="1" ht="35.25" customHeight="1"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</row>
    <row r="22" spans="2:14" s="101" customFormat="1" ht="35.25" customHeight="1"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</row>
    <row r="23" spans="2:14" s="101" customFormat="1" ht="35.25" customHeight="1"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</row>
    <row r="24" spans="2:14" s="101" customFormat="1" ht="35.25" customHeight="1"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43" type="noConversion"/>
  <conditionalFormatting sqref="D6:N19">
    <cfRule type="cellIs" dxfId="2" priority="3" operator="lessThan">
      <formula>0</formula>
    </cfRule>
  </conditionalFormatting>
  <conditionalFormatting sqref="C6:C7">
    <cfRule type="cellIs" dxfId="1" priority="2" operator="lessThan">
      <formula>0</formula>
    </cfRule>
  </conditionalFormatting>
  <conditionalFormatting sqref="C8:C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00FF"/>
    <pageSetUpPr fitToPage="1"/>
  </sheetPr>
  <dimension ref="A1:I59"/>
  <sheetViews>
    <sheetView showGridLines="0" topLeftCell="A40" zoomScale="87" zoomScaleNormal="87" workbookViewId="0">
      <selection activeCell="D58" sqref="D58"/>
    </sheetView>
  </sheetViews>
  <sheetFormatPr defaultColWidth="8.88671875" defaultRowHeight="21.75" customHeight="1"/>
  <cols>
    <col min="1" max="1" width="15" style="97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59"/>
    </row>
    <row r="2" spans="1:7" ht="21.75" customHeight="1">
      <c r="A2" s="98" t="s">
        <v>124</v>
      </c>
    </row>
    <row r="3" spans="1:7" ht="21.75" customHeight="1">
      <c r="A3" s="1375" t="str">
        <f>'판매량-월별추이'!R4</f>
        <v xml:space="preserve">4월 </v>
      </c>
      <c r="B3" s="1376"/>
      <c r="C3" s="1373" t="str">
        <f>'판매량-월별추이'!AC4</f>
        <v>누 계</v>
      </c>
      <c r="D3" s="1374"/>
      <c r="F3" s="7" t="s">
        <v>192</v>
      </c>
      <c r="G3" s="7" t="s">
        <v>193</v>
      </c>
    </row>
    <row r="4" spans="1:7" ht="21.75" customHeight="1">
      <c r="A4" s="240" t="s">
        <v>119</v>
      </c>
      <c r="B4" s="241" t="s">
        <v>120</v>
      </c>
      <c r="C4" s="242" t="s">
        <v>119</v>
      </c>
      <c r="D4" s="240" t="s">
        <v>120</v>
      </c>
      <c r="E4" s="7" t="s">
        <v>196</v>
      </c>
      <c r="F4" s="154">
        <f>A5</f>
        <v>4621183</v>
      </c>
      <c r="G4" s="154">
        <f>B5</f>
        <v>4496393</v>
      </c>
    </row>
    <row r="5" spans="1:7" ht="21.75" customHeight="1">
      <c r="A5" s="105">
        <f>총괄표!C23</f>
        <v>4621183</v>
      </c>
      <c r="B5" s="106">
        <f>총괄표!E23</f>
        <v>4496393</v>
      </c>
      <c r="C5" s="103">
        <f>총괄표!J23</f>
        <v>24270239</v>
      </c>
      <c r="D5" s="104">
        <f>총괄표!L23</f>
        <v>24339442</v>
      </c>
      <c r="E5" s="7" t="s">
        <v>194</v>
      </c>
      <c r="F5" s="154">
        <f>C5</f>
        <v>24270239</v>
      </c>
      <c r="G5" s="154">
        <f>D5</f>
        <v>24339442</v>
      </c>
    </row>
    <row r="9" spans="1:7" ht="21.75" customHeight="1">
      <c r="A9" s="98" t="s">
        <v>121</v>
      </c>
    </row>
    <row r="10" spans="1:7" ht="21.75" customHeight="1">
      <c r="A10" s="243" t="str">
        <f>A3</f>
        <v xml:space="preserve">4월 </v>
      </c>
      <c r="B10" s="244" t="s">
        <v>125</v>
      </c>
      <c r="C10" s="244" t="str">
        <f>C3</f>
        <v>누 계</v>
      </c>
      <c r="D10" s="245" t="s">
        <v>125</v>
      </c>
    </row>
    <row r="11" spans="1:7" ht="21.75" customHeight="1">
      <c r="A11" s="108" t="s">
        <v>387</v>
      </c>
      <c r="B11" s="109">
        <f>총괄표!I11</f>
        <v>65.8</v>
      </c>
      <c r="C11" s="108" t="s">
        <v>387</v>
      </c>
      <c r="D11" s="110">
        <f>총괄표!P11</f>
        <v>71.599999999999994</v>
      </c>
      <c r="E11" s="107"/>
      <c r="F11" s="107"/>
      <c r="G11" s="107"/>
    </row>
    <row r="12" spans="1:7" ht="21.75" customHeight="1">
      <c r="A12" s="108" t="s">
        <v>167</v>
      </c>
      <c r="B12" s="109">
        <f>총괄표!I12</f>
        <v>7.3</v>
      </c>
      <c r="C12" s="108" t="s">
        <v>167</v>
      </c>
      <c r="D12" s="110">
        <f>총괄표!P12</f>
        <v>5.9</v>
      </c>
      <c r="E12" s="107"/>
      <c r="F12" s="107"/>
      <c r="G12" s="107"/>
    </row>
    <row r="13" spans="1:7" ht="21.75" customHeight="1">
      <c r="A13" s="108" t="s">
        <v>131</v>
      </c>
      <c r="B13" s="109">
        <f>총괄표!I13+총괄표!I14</f>
        <v>2.6</v>
      </c>
      <c r="C13" s="108" t="s">
        <v>131</v>
      </c>
      <c r="D13" s="110">
        <f>총괄표!P13+총괄표!P14</f>
        <v>3.9</v>
      </c>
      <c r="E13" s="107"/>
      <c r="F13" s="107"/>
      <c r="G13" s="107"/>
    </row>
    <row r="14" spans="1:7" ht="21.75" customHeight="1">
      <c r="A14" s="108" t="s">
        <v>122</v>
      </c>
      <c r="B14" s="109">
        <f>총괄표!I15</f>
        <v>17.600000000000001</v>
      </c>
      <c r="C14" s="108" t="s">
        <v>122</v>
      </c>
      <c r="D14" s="110">
        <f>총괄표!P15</f>
        <v>13.6</v>
      </c>
      <c r="E14" s="107"/>
      <c r="F14" s="107"/>
      <c r="G14" s="107"/>
    </row>
    <row r="15" spans="1:7" ht="21.75" customHeight="1">
      <c r="A15" s="108" t="s">
        <v>123</v>
      </c>
      <c r="B15" s="109">
        <f>총괄표!I16+총괄표!I17</f>
        <v>5.8</v>
      </c>
      <c r="C15" s="108" t="s">
        <v>123</v>
      </c>
      <c r="D15" s="110">
        <f>총괄표!P16+총괄표!P17</f>
        <v>4.2</v>
      </c>
      <c r="E15" s="107"/>
      <c r="F15" s="107"/>
      <c r="G15" s="107"/>
    </row>
    <row r="16" spans="1:7" ht="21.75" customHeight="1">
      <c r="A16" s="108" t="s">
        <v>132</v>
      </c>
      <c r="B16" s="109">
        <f>총괄표!I18+총괄표!I19+총괄표!I20+총괄표!I21</f>
        <v>0.9</v>
      </c>
      <c r="C16" s="108" t="s">
        <v>132</v>
      </c>
      <c r="D16" s="110">
        <f>총괄표!P18+총괄표!P19+총괄표!P20+총괄표!P21</f>
        <v>0.79999999999999993</v>
      </c>
      <c r="E16" s="107"/>
      <c r="F16" s="107"/>
      <c r="G16" s="107"/>
    </row>
    <row r="17" spans="1:7" ht="21.75" customHeight="1">
      <c r="A17" s="98" t="s">
        <v>126</v>
      </c>
    </row>
    <row r="18" spans="1:7" ht="21.75" customHeight="1">
      <c r="A18" s="1375" t="str">
        <f>A3</f>
        <v xml:space="preserve">4월 </v>
      </c>
      <c r="B18" s="1376"/>
      <c r="C18" s="1373" t="str">
        <f>C3</f>
        <v>누 계</v>
      </c>
      <c r="D18" s="1374"/>
      <c r="F18" s="7" t="s">
        <v>192</v>
      </c>
      <c r="G18" s="7" t="s">
        <v>193</v>
      </c>
    </row>
    <row r="19" spans="1:7" ht="21.75" customHeight="1">
      <c r="A19" s="240" t="s">
        <v>119</v>
      </c>
      <c r="B19" s="241" t="s">
        <v>120</v>
      </c>
      <c r="C19" s="242" t="s">
        <v>119</v>
      </c>
      <c r="D19" s="240" t="s">
        <v>120</v>
      </c>
      <c r="E19" s="7" t="s">
        <v>195</v>
      </c>
      <c r="F19" s="219">
        <f>A20</f>
        <v>95701781</v>
      </c>
      <c r="G19" s="219">
        <f>B20</f>
        <v>94104144</v>
      </c>
    </row>
    <row r="20" spans="1:7" ht="21.75" customHeight="1">
      <c r="A20" s="105">
        <f>총괄표!C47</f>
        <v>95701781</v>
      </c>
      <c r="B20" s="106">
        <f>총괄표!D47</f>
        <v>94104144</v>
      </c>
      <c r="C20" s="103">
        <f>총괄표!J47</f>
        <v>512897619</v>
      </c>
      <c r="D20" s="104">
        <f>총괄표!K47</f>
        <v>517530958</v>
      </c>
      <c r="E20" s="7" t="s">
        <v>194</v>
      </c>
      <c r="F20" s="219">
        <f>C20</f>
        <v>512897619</v>
      </c>
      <c r="G20" s="219">
        <f>D20</f>
        <v>517530958</v>
      </c>
    </row>
    <row r="22" spans="1:7" ht="21.75" customHeight="1">
      <c r="A22" s="98" t="s">
        <v>127</v>
      </c>
    </row>
    <row r="23" spans="1:7" ht="21.75" customHeight="1">
      <c r="A23" s="243" t="str">
        <f>A18</f>
        <v xml:space="preserve">4월 </v>
      </c>
      <c r="B23" s="244" t="s">
        <v>121</v>
      </c>
      <c r="C23" s="244" t="str">
        <f>C18</f>
        <v>누 계</v>
      </c>
      <c r="D23" s="245" t="s">
        <v>121</v>
      </c>
    </row>
    <row r="24" spans="1:7" ht="21.75" customHeight="1">
      <c r="A24" s="108" t="s">
        <v>387</v>
      </c>
      <c r="B24" s="109">
        <f>총괄표!H35</f>
        <v>67.300000000000011</v>
      </c>
      <c r="C24" s="108" t="s">
        <v>387</v>
      </c>
      <c r="D24" s="110">
        <f>총괄표!O35</f>
        <v>73.599999999999994</v>
      </c>
      <c r="E24" s="107"/>
      <c r="F24" s="107"/>
      <c r="G24" s="107"/>
    </row>
    <row r="25" spans="1:7" ht="21.75" customHeight="1">
      <c r="A25" s="108" t="s">
        <v>167</v>
      </c>
      <c r="B25" s="109">
        <f>총괄표!H36</f>
        <v>7.9</v>
      </c>
      <c r="C25" s="108" t="s">
        <v>167</v>
      </c>
      <c r="D25" s="110">
        <f>총괄표!O36</f>
        <v>6.3</v>
      </c>
      <c r="E25" s="107"/>
      <c r="F25" s="107"/>
      <c r="G25" s="107"/>
    </row>
    <row r="26" spans="1:7" ht="21.75" customHeight="1">
      <c r="A26" s="108" t="s">
        <v>131</v>
      </c>
      <c r="B26" s="109">
        <f>총괄표!H37+총괄표!H38</f>
        <v>2.7</v>
      </c>
      <c r="C26" s="108" t="s">
        <v>131</v>
      </c>
      <c r="D26" s="110">
        <f>총괄표!O37+총괄표!O38</f>
        <v>3.9</v>
      </c>
      <c r="E26" s="107"/>
      <c r="F26" s="107"/>
      <c r="G26" s="107"/>
    </row>
    <row r="27" spans="1:7" ht="21.75" customHeight="1">
      <c r="A27" s="108" t="s">
        <v>115</v>
      </c>
      <c r="B27" s="109">
        <f>총괄표!H39</f>
        <v>15.4</v>
      </c>
      <c r="C27" s="108" t="s">
        <v>44</v>
      </c>
      <c r="D27" s="110">
        <f>총괄표!O39</f>
        <v>11.5</v>
      </c>
      <c r="E27" s="107"/>
      <c r="F27" s="107"/>
      <c r="G27" s="107"/>
    </row>
    <row r="28" spans="1:7" ht="21.75" customHeight="1">
      <c r="A28" s="108" t="s">
        <v>123</v>
      </c>
      <c r="B28" s="109">
        <f>총괄표!H40+총괄표!H41</f>
        <v>5.8999999999999995</v>
      </c>
      <c r="C28" s="108" t="s">
        <v>123</v>
      </c>
      <c r="D28" s="110">
        <f>총괄표!O40+총괄표!O41</f>
        <v>4.0999999999999996</v>
      </c>
      <c r="E28" s="107"/>
      <c r="F28" s="107"/>
      <c r="G28" s="107"/>
    </row>
    <row r="29" spans="1:7" ht="21.75" customHeight="1">
      <c r="A29" s="108" t="s">
        <v>133</v>
      </c>
      <c r="B29" s="109">
        <f>총괄표!H42+총괄표!H43+총괄표!H44+총괄표!H45</f>
        <v>0.79999999999999993</v>
      </c>
      <c r="C29" s="108" t="s">
        <v>133</v>
      </c>
      <c r="D29" s="110">
        <f>총괄표!O42+총괄표!O43+총괄표!O44+총괄표!O45</f>
        <v>0.6</v>
      </c>
      <c r="E29" s="107"/>
      <c r="F29" s="107"/>
      <c r="G29" s="107"/>
    </row>
    <row r="31" spans="1:7" ht="21.75" customHeight="1">
      <c r="A31" s="178" t="s">
        <v>216</v>
      </c>
    </row>
    <row r="32" spans="1:7" ht="21.75" customHeight="1">
      <c r="A32" s="246" t="s">
        <v>169</v>
      </c>
      <c r="B32" s="247" t="s">
        <v>170</v>
      </c>
      <c r="D32" s="243" t="s">
        <v>144</v>
      </c>
      <c r="E32" s="244" t="s">
        <v>145</v>
      </c>
    </row>
    <row r="33" spans="1:5" ht="21.75" customHeight="1">
      <c r="A33" s="147" t="s">
        <v>37</v>
      </c>
      <c r="B33" s="1068">
        <v>59677</v>
      </c>
      <c r="D33" s="108" t="s">
        <v>366</v>
      </c>
      <c r="E33" s="144">
        <f>SUM(B33:B35,B37,B47)</f>
        <v>1151036</v>
      </c>
    </row>
    <row r="34" spans="1:5" ht="21.75" customHeight="1">
      <c r="A34" s="147" t="s">
        <v>171</v>
      </c>
      <c r="B34" s="1068">
        <v>414450</v>
      </c>
      <c r="D34" s="108" t="s">
        <v>167</v>
      </c>
      <c r="E34" s="144">
        <f>SUM(B38:B39)</f>
        <v>21352</v>
      </c>
    </row>
    <row r="35" spans="1:5" ht="21.75" customHeight="1">
      <c r="A35" s="147" t="s">
        <v>38</v>
      </c>
      <c r="B35" s="1068">
        <v>101</v>
      </c>
      <c r="D35" s="108" t="s">
        <v>197</v>
      </c>
      <c r="E35" s="144">
        <f>SUM(B43,B45:B46)</f>
        <v>8625</v>
      </c>
    </row>
    <row r="36" spans="1:5" ht="21.75" customHeight="1">
      <c r="A36" s="147" t="s">
        <v>141</v>
      </c>
      <c r="B36" s="1068">
        <v>268</v>
      </c>
      <c r="D36" s="108" t="s">
        <v>122</v>
      </c>
      <c r="E36" s="144">
        <f>SUM(B44)</f>
        <v>1109</v>
      </c>
    </row>
    <row r="37" spans="1:5" ht="21.75" customHeight="1">
      <c r="A37" s="147" t="s">
        <v>172</v>
      </c>
      <c r="B37" s="1068">
        <v>26</v>
      </c>
      <c r="D37" s="108" t="s">
        <v>123</v>
      </c>
      <c r="E37" s="144">
        <f>SUM(B48:B50)</f>
        <v>98</v>
      </c>
    </row>
    <row r="38" spans="1:5" ht="21.75" customHeight="1">
      <c r="A38" s="149" t="s">
        <v>173</v>
      </c>
      <c r="B38" s="1068">
        <v>1067</v>
      </c>
      <c r="D38" s="463" t="s">
        <v>221</v>
      </c>
      <c r="E38" s="464">
        <f>SUM(B36,B40,B41,B42)</f>
        <v>341</v>
      </c>
    </row>
    <row r="39" spans="1:5" ht="21.75" customHeight="1">
      <c r="A39" s="149" t="s">
        <v>174</v>
      </c>
      <c r="B39" s="1068">
        <v>20285</v>
      </c>
      <c r="D39" s="145" t="s">
        <v>146</v>
      </c>
      <c r="E39" s="146">
        <f>SUM(E33:E38)</f>
        <v>1182561</v>
      </c>
    </row>
    <row r="40" spans="1:5" ht="21.75" customHeight="1">
      <c r="A40" s="149" t="s">
        <v>47</v>
      </c>
      <c r="B40" s="1068">
        <v>5</v>
      </c>
    </row>
    <row r="41" spans="1:5" ht="21.75" customHeight="1">
      <c r="A41" s="149" t="s">
        <v>168</v>
      </c>
      <c r="B41" s="1068">
        <v>17</v>
      </c>
    </row>
    <row r="42" spans="1:5" ht="21.75" customHeight="1">
      <c r="A42" s="149" t="s">
        <v>140</v>
      </c>
      <c r="B42" s="1068">
        <v>51</v>
      </c>
    </row>
    <row r="43" spans="1:5" ht="21.75" customHeight="1">
      <c r="A43" s="149" t="s">
        <v>40</v>
      </c>
      <c r="B43" s="1068">
        <v>7547</v>
      </c>
    </row>
    <row r="44" spans="1:5" ht="21.75" customHeight="1">
      <c r="A44" s="149" t="s">
        <v>175</v>
      </c>
      <c r="B44" s="1068">
        <v>1109</v>
      </c>
    </row>
    <row r="45" spans="1:5" ht="21.75" customHeight="1">
      <c r="A45" s="147" t="s">
        <v>176</v>
      </c>
      <c r="B45" s="1068">
        <v>30</v>
      </c>
    </row>
    <row r="46" spans="1:5" ht="21.75" customHeight="1">
      <c r="A46" s="147" t="s">
        <v>177</v>
      </c>
      <c r="B46" s="1068">
        <v>1048</v>
      </c>
    </row>
    <row r="47" spans="1:5" ht="21.75" customHeight="1">
      <c r="A47" s="147" t="s">
        <v>178</v>
      </c>
      <c r="B47" s="1068">
        <v>676782</v>
      </c>
    </row>
    <row r="48" spans="1:5" ht="21.75" customHeight="1">
      <c r="A48" s="905" t="s">
        <v>467</v>
      </c>
      <c r="B48" s="1068">
        <v>1</v>
      </c>
    </row>
    <row r="49" spans="1:9" ht="21.75" customHeight="1">
      <c r="A49" s="905" t="s">
        <v>142</v>
      </c>
      <c r="B49" s="1068">
        <v>97</v>
      </c>
      <c r="C49" s="7" t="s">
        <v>448</v>
      </c>
    </row>
    <row r="50" spans="1:9" ht="21.75" customHeight="1">
      <c r="A50" s="147" t="s">
        <v>143</v>
      </c>
      <c r="B50" s="177"/>
    </row>
    <row r="51" spans="1:9" ht="21.75" customHeight="1">
      <c r="A51" s="148" t="s">
        <v>179</v>
      </c>
      <c r="B51" s="764">
        <f>SUM(B33:B50)</f>
        <v>1182561</v>
      </c>
    </row>
    <row r="54" spans="1:9" ht="21.75" customHeight="1">
      <c r="A54" s="182" t="s">
        <v>209</v>
      </c>
      <c r="E54" s="7" t="s">
        <v>217</v>
      </c>
      <c r="H54" s="210" t="s">
        <v>218</v>
      </c>
    </row>
    <row r="55" spans="1:9" ht="21.75" customHeight="1" thickBot="1">
      <c r="A55" s="1377" t="s">
        <v>198</v>
      </c>
      <c r="B55" s="1378"/>
      <c r="C55" s="170" t="s">
        <v>199</v>
      </c>
      <c r="D55" s="181" t="s">
        <v>200</v>
      </c>
      <c r="E55" s="170" t="s">
        <v>201</v>
      </c>
      <c r="F55" s="181" t="s">
        <v>202</v>
      </c>
      <c r="G55" s="170"/>
      <c r="H55" s="211" t="s">
        <v>203</v>
      </c>
      <c r="I55" s="170"/>
    </row>
    <row r="56" spans="1:9" ht="21.75" customHeight="1" thickTop="1">
      <c r="A56" s="171" t="s">
        <v>204</v>
      </c>
      <c r="B56" s="172" t="str">
        <f>A3</f>
        <v xml:space="preserve">4월 </v>
      </c>
      <c r="C56" s="186">
        <f>총괄표!C23</f>
        <v>4621183</v>
      </c>
      <c r="D56" s="189">
        <f>총괄표!E23</f>
        <v>4496393</v>
      </c>
      <c r="E56" s="190">
        <f>D56/C56</f>
        <v>0.97299609212619365</v>
      </c>
      <c r="F56" s="220">
        <f>총괄표!G23</f>
        <v>4589383</v>
      </c>
      <c r="G56" s="191">
        <f>D56/F56</f>
        <v>0.97973801707114005</v>
      </c>
      <c r="H56" s="1037">
        <v>5684944</v>
      </c>
      <c r="I56" s="187">
        <f>D56/H56</f>
        <v>0.79093004258265343</v>
      </c>
    </row>
    <row r="57" spans="1:9" ht="21.75" customHeight="1" thickBot="1">
      <c r="A57" s="173" t="s">
        <v>205</v>
      </c>
      <c r="B57" s="170" t="s">
        <v>206</v>
      </c>
      <c r="C57" s="184">
        <f>총괄표!J23</f>
        <v>24270239</v>
      </c>
      <c r="D57" s="192">
        <f>총괄표!L23</f>
        <v>24339442</v>
      </c>
      <c r="E57" s="193">
        <f>D57/C57</f>
        <v>1.002851352226074</v>
      </c>
      <c r="F57" s="221">
        <f>총괄표!N23</f>
        <v>25085954</v>
      </c>
      <c r="G57" s="194">
        <f>D57/F57</f>
        <v>0.97024183333828962</v>
      </c>
      <c r="H57" s="1038">
        <v>19843049</v>
      </c>
      <c r="I57" s="185"/>
    </row>
    <row r="58" spans="1:9" ht="21.75" customHeight="1" thickTop="1">
      <c r="A58" s="171" t="s">
        <v>207</v>
      </c>
      <c r="B58" s="172" t="str">
        <f>B56</f>
        <v xml:space="preserve">4월 </v>
      </c>
      <c r="C58" s="222">
        <f>총괄표!C47</f>
        <v>95701781</v>
      </c>
      <c r="D58" s="223">
        <f>총괄표!D47</f>
        <v>94104144</v>
      </c>
      <c r="E58" s="224">
        <f>D58/C58</f>
        <v>0.98330608915209217</v>
      </c>
      <c r="F58" s="225">
        <f>총괄표!F47</f>
        <v>99962433</v>
      </c>
      <c r="G58" s="191">
        <f>D58/F58</f>
        <v>0.94139509389492348</v>
      </c>
      <c r="H58" s="1039">
        <v>120227489</v>
      </c>
      <c r="I58" s="187">
        <f>D58/H58</f>
        <v>0.78271737006833775</v>
      </c>
    </row>
    <row r="59" spans="1:9" ht="21.75" customHeight="1">
      <c r="A59" s="174" t="s">
        <v>208</v>
      </c>
      <c r="B59" s="175" t="s">
        <v>206</v>
      </c>
      <c r="C59" s="226">
        <f>총괄표!J47</f>
        <v>512897619</v>
      </c>
      <c r="D59" s="227">
        <f>총괄표!K47</f>
        <v>517530958</v>
      </c>
      <c r="E59" s="228">
        <f>D59/C59</f>
        <v>1.0090336527766177</v>
      </c>
      <c r="F59" s="229">
        <f>총괄표!M47</f>
        <v>551674657.6789999</v>
      </c>
      <c r="G59" s="230">
        <f>D59/F59</f>
        <v>0.93810899376337331</v>
      </c>
      <c r="H59" s="1040">
        <v>423426814</v>
      </c>
      <c r="I59" s="231"/>
    </row>
  </sheetData>
  <mergeCells count="5">
    <mergeCell ref="C18:D18"/>
    <mergeCell ref="A18:B18"/>
    <mergeCell ref="C3:D3"/>
    <mergeCell ref="A3:B3"/>
    <mergeCell ref="A55:B55"/>
  </mergeCells>
  <phoneticPr fontId="43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57" customWidth="1"/>
    <col min="2" max="3" width="8.88671875" style="457"/>
    <col min="4" max="4" width="19.6640625" style="457" bestFit="1" customWidth="1"/>
    <col min="5" max="5" width="8.88671875" style="457"/>
    <col min="6" max="6" width="16.33203125" style="458" bestFit="1" customWidth="1"/>
    <col min="7" max="7" width="19.109375" style="458" bestFit="1" customWidth="1"/>
    <col min="8" max="8" width="17.44140625" style="457" bestFit="1" customWidth="1"/>
    <col min="9" max="9" width="13.5546875" style="457" bestFit="1" customWidth="1"/>
    <col min="10" max="10" width="11.77734375" style="457" bestFit="1" customWidth="1"/>
    <col min="11" max="11" width="10.6640625" style="457" bestFit="1" customWidth="1"/>
    <col min="12" max="12" width="17.44140625" style="457" bestFit="1" customWidth="1"/>
    <col min="13" max="13" width="13.5546875" style="457" bestFit="1" customWidth="1"/>
    <col min="14" max="14" width="14.6640625" style="457" bestFit="1" customWidth="1"/>
    <col min="15" max="16" width="6.33203125" style="457" bestFit="1" customWidth="1"/>
    <col min="17" max="18" width="10.44140625" style="457" bestFit="1" customWidth="1"/>
    <col min="19" max="19" width="14.77734375" style="457" bestFit="1" customWidth="1"/>
    <col min="20" max="20" width="8.88671875" style="457"/>
    <col min="21" max="21" width="13.109375" style="457" bestFit="1" customWidth="1"/>
    <col min="22" max="22" width="15.6640625" style="457" bestFit="1" customWidth="1"/>
    <col min="23" max="23" width="11" style="457" customWidth="1"/>
    <col min="24" max="24" width="11.44140625" style="457" bestFit="1" customWidth="1"/>
    <col min="25" max="25" width="12.44140625" style="459" bestFit="1" customWidth="1"/>
    <col min="26" max="26" width="12.77734375" style="457" bestFit="1" customWidth="1"/>
    <col min="27" max="16384" width="8.88671875" style="457"/>
  </cols>
  <sheetData>
    <row r="2" spans="1:27">
      <c r="A2" s="457" t="s">
        <v>265</v>
      </c>
    </row>
    <row r="4" spans="1:27" ht="16.5">
      <c r="A4" s="457" t="s">
        <v>266</v>
      </c>
      <c r="B4" s="626">
        <v>45413</v>
      </c>
      <c r="U4" s="457" t="s">
        <v>324</v>
      </c>
    </row>
    <row r="5" spans="1:27">
      <c r="A5" s="457" t="s">
        <v>267</v>
      </c>
      <c r="B5" s="457" t="s">
        <v>268</v>
      </c>
      <c r="C5" s="457" t="s">
        <v>269</v>
      </c>
      <c r="D5" s="457" t="s">
        <v>270</v>
      </c>
      <c r="E5" s="457" t="s">
        <v>0</v>
      </c>
      <c r="F5" s="458" t="s">
        <v>271</v>
      </c>
      <c r="G5" s="458" t="s">
        <v>272</v>
      </c>
      <c r="H5" s="457" t="s">
        <v>273</v>
      </c>
      <c r="I5" s="457" t="s">
        <v>12</v>
      </c>
      <c r="J5" s="457" t="s">
        <v>274</v>
      </c>
      <c r="K5" s="457" t="s">
        <v>275</v>
      </c>
      <c r="L5" s="457" t="s">
        <v>276</v>
      </c>
      <c r="M5" s="457" t="s">
        <v>29</v>
      </c>
      <c r="N5" s="457" t="s">
        <v>277</v>
      </c>
      <c r="O5" s="457" t="s">
        <v>278</v>
      </c>
      <c r="P5" s="457" t="s">
        <v>279</v>
      </c>
      <c r="Q5" s="457" t="s">
        <v>280</v>
      </c>
      <c r="R5" s="457" t="s">
        <v>281</v>
      </c>
      <c r="S5" s="457" t="s">
        <v>282</v>
      </c>
      <c r="U5" s="457" t="s">
        <v>269</v>
      </c>
      <c r="V5" s="457" t="s">
        <v>323</v>
      </c>
      <c r="W5" s="457" t="s">
        <v>338</v>
      </c>
      <c r="X5" s="457" t="s">
        <v>325</v>
      </c>
    </row>
    <row r="6" spans="1:27" ht="16.5">
      <c r="A6" s="631">
        <v>43654</v>
      </c>
      <c r="B6" s="630" t="s">
        <v>283</v>
      </c>
      <c r="C6" s="630" t="s">
        <v>171</v>
      </c>
      <c r="D6" s="630" t="s">
        <v>285</v>
      </c>
      <c r="E6" s="630">
        <v>16.936699999999998</v>
      </c>
      <c r="F6" s="635">
        <v>7.8100000000000003E-2</v>
      </c>
      <c r="G6" s="635">
        <v>3.3403</v>
      </c>
      <c r="H6" s="630">
        <v>56.57</v>
      </c>
      <c r="I6" s="630">
        <v>900</v>
      </c>
      <c r="J6" s="630"/>
      <c r="K6" s="630"/>
      <c r="L6" s="630">
        <v>56.57</v>
      </c>
      <c r="M6" s="630"/>
      <c r="N6" s="630"/>
      <c r="O6" s="630"/>
      <c r="P6" s="630"/>
      <c r="Q6" s="630"/>
      <c r="R6" s="630">
        <v>0</v>
      </c>
      <c r="S6" s="630"/>
      <c r="U6" s="457" t="s">
        <v>37</v>
      </c>
      <c r="V6" s="457" t="s">
        <v>28</v>
      </c>
      <c r="W6" s="457">
        <f>COUNTIFS($B:$B,$U$4,$C:$C,U6)</f>
        <v>3</v>
      </c>
      <c r="X6" s="459">
        <f t="array" ref="X6">MAX(IF($D:$D=V6,$A:$A))</f>
        <v>45139</v>
      </c>
      <c r="AA6" s="458"/>
    </row>
    <row r="7" spans="1:27" ht="16.5">
      <c r="A7" s="631">
        <v>44013</v>
      </c>
      <c r="B7" s="630" t="s">
        <v>283</v>
      </c>
      <c r="C7" s="630" t="s">
        <v>171</v>
      </c>
      <c r="D7" s="630" t="s">
        <v>285</v>
      </c>
      <c r="E7" s="630">
        <v>15.1523</v>
      </c>
      <c r="F7" s="635">
        <v>2.4291</v>
      </c>
      <c r="G7" s="635">
        <v>103.8789</v>
      </c>
      <c r="H7" s="632">
        <v>1574</v>
      </c>
      <c r="I7" s="630">
        <v>900</v>
      </c>
      <c r="J7" s="630"/>
      <c r="K7" s="630"/>
      <c r="L7" s="632">
        <v>1574</v>
      </c>
      <c r="M7" s="630"/>
      <c r="N7" s="630"/>
      <c r="O7" s="630"/>
      <c r="P7" s="630"/>
      <c r="Q7" s="630"/>
      <c r="R7" s="630">
        <v>0</v>
      </c>
      <c r="S7" s="630"/>
      <c r="U7" s="457" t="s">
        <v>178</v>
      </c>
      <c r="V7" s="457" t="s">
        <v>322</v>
      </c>
      <c r="W7" s="457">
        <f t="shared" ref="W7:W17" si="0">COUNTIFS($B:$B,$U$4,$C:$C,U7)</f>
        <v>7</v>
      </c>
      <c r="X7" s="459">
        <f t="array" ref="X7">MAX(IF($D:$D=V7,$A:$A))</f>
        <v>45139</v>
      </c>
    </row>
    <row r="8" spans="1:27" ht="16.5">
      <c r="A8" s="631">
        <v>44378</v>
      </c>
      <c r="B8" s="630" t="s">
        <v>283</v>
      </c>
      <c r="C8" s="630" t="s">
        <v>178</v>
      </c>
      <c r="D8" s="630" t="s">
        <v>284</v>
      </c>
      <c r="E8" s="630">
        <v>15.139200000000001</v>
      </c>
      <c r="F8" s="635">
        <v>3.8915000000000002</v>
      </c>
      <c r="G8" s="635">
        <v>166.6285</v>
      </c>
      <c r="H8" s="632">
        <v>2522.61</v>
      </c>
      <c r="I8" s="633">
        <v>1800</v>
      </c>
      <c r="J8" s="630"/>
      <c r="K8" s="630"/>
      <c r="L8" s="632">
        <v>2522.61</v>
      </c>
      <c r="M8" s="630"/>
      <c r="N8" s="630"/>
      <c r="O8" s="630"/>
      <c r="P8" s="630"/>
      <c r="Q8" s="630"/>
      <c r="R8" s="630">
        <v>0</v>
      </c>
      <c r="S8" s="630"/>
      <c r="U8" s="457" t="s">
        <v>171</v>
      </c>
      <c r="V8" s="457" t="s">
        <v>322</v>
      </c>
      <c r="W8" s="457">
        <f t="shared" si="0"/>
        <v>13</v>
      </c>
      <c r="X8" s="459">
        <f t="array" ref="X8">MAX(IF($D:$D=V8,$A:$A))</f>
        <v>45139</v>
      </c>
    </row>
    <row r="9" spans="1:27" ht="16.5">
      <c r="A9" s="631">
        <v>44378</v>
      </c>
      <c r="B9" s="630" t="s">
        <v>283</v>
      </c>
      <c r="C9" s="630" t="s">
        <v>171</v>
      </c>
      <c r="D9" s="630" t="s">
        <v>285</v>
      </c>
      <c r="E9" s="630">
        <v>15.139200000000001</v>
      </c>
      <c r="F9" s="635">
        <v>2.4037999999999999</v>
      </c>
      <c r="G9" s="635">
        <v>102.7997</v>
      </c>
      <c r="H9" s="632">
        <v>1556.29</v>
      </c>
      <c r="I9" s="630"/>
      <c r="J9" s="630"/>
      <c r="K9" s="630"/>
      <c r="L9" s="632">
        <v>1556.29</v>
      </c>
      <c r="M9" s="630"/>
      <c r="N9" s="630"/>
      <c r="O9" s="630"/>
      <c r="P9" s="630"/>
      <c r="Q9" s="630"/>
      <c r="R9" s="630">
        <v>0</v>
      </c>
      <c r="S9" s="630"/>
      <c r="U9" s="457" t="s">
        <v>171</v>
      </c>
      <c r="V9" s="457" t="s">
        <v>285</v>
      </c>
      <c r="W9" s="457">
        <f t="shared" si="0"/>
        <v>13</v>
      </c>
      <c r="X9" s="459">
        <f t="array" ref="X9">MAX(IF($D:$D=V9,$A:$A))</f>
        <v>45139</v>
      </c>
    </row>
    <row r="10" spans="1:27" ht="16.5">
      <c r="A10" s="631">
        <v>44652</v>
      </c>
      <c r="B10" s="630" t="s">
        <v>283</v>
      </c>
      <c r="C10" s="630" t="s">
        <v>178</v>
      </c>
      <c r="D10" s="630" t="s">
        <v>284</v>
      </c>
      <c r="E10" s="630">
        <v>15.5692</v>
      </c>
      <c r="F10" s="635">
        <v>0.71340000000000003</v>
      </c>
      <c r="G10" s="635">
        <v>30.5486</v>
      </c>
      <c r="H10" s="630">
        <v>475.6</v>
      </c>
      <c r="I10" s="630"/>
      <c r="J10" s="630"/>
      <c r="K10" s="630"/>
      <c r="L10" s="630">
        <v>475.6</v>
      </c>
      <c r="M10" s="630"/>
      <c r="N10" s="630"/>
      <c r="O10" s="630"/>
      <c r="P10" s="630"/>
      <c r="Q10" s="630"/>
      <c r="R10" s="630">
        <v>0</v>
      </c>
      <c r="S10" s="630"/>
      <c r="U10" s="457" t="s">
        <v>174</v>
      </c>
      <c r="V10" s="457" t="s">
        <v>286</v>
      </c>
      <c r="W10" s="457">
        <f t="shared" si="0"/>
        <v>3</v>
      </c>
      <c r="X10" s="459">
        <f t="array" ref="X10">MAX(IF($D:$D=V10,$A:$A))</f>
        <v>45139</v>
      </c>
    </row>
    <row r="11" spans="1:27" ht="16.5">
      <c r="A11" s="631">
        <v>44652</v>
      </c>
      <c r="B11" s="630" t="s">
        <v>283</v>
      </c>
      <c r="C11" s="630" t="s">
        <v>171</v>
      </c>
      <c r="D11" s="630" t="s">
        <v>285</v>
      </c>
      <c r="E11" s="630">
        <v>15.5692</v>
      </c>
      <c r="F11" s="635">
        <v>0.26319999999999999</v>
      </c>
      <c r="G11" s="635">
        <v>11.2554</v>
      </c>
      <c r="H11" s="630">
        <v>175.23</v>
      </c>
      <c r="I11" s="630"/>
      <c r="J11" s="630"/>
      <c r="K11" s="630"/>
      <c r="L11" s="630">
        <v>175.23</v>
      </c>
      <c r="M11" s="630"/>
      <c r="N11" s="630"/>
      <c r="O11" s="630"/>
      <c r="P11" s="630"/>
      <c r="Q11" s="630"/>
      <c r="R11" s="630">
        <v>0</v>
      </c>
      <c r="S11" s="630"/>
      <c r="U11" s="457" t="s">
        <v>174</v>
      </c>
      <c r="V11" s="457" t="s">
        <v>287</v>
      </c>
      <c r="W11" s="457">
        <f t="shared" si="0"/>
        <v>3</v>
      </c>
      <c r="X11" s="459">
        <f t="array" ref="X11">MAX(IF($D:$D=V11,$A:$A))</f>
        <v>45139</v>
      </c>
      <c r="Y11" s="506" t="s">
        <v>358</v>
      </c>
    </row>
    <row r="12" spans="1:27" ht="16.5">
      <c r="A12" s="631">
        <v>44682</v>
      </c>
      <c r="B12" s="630" t="s">
        <v>283</v>
      </c>
      <c r="C12" s="630" t="s">
        <v>178</v>
      </c>
      <c r="D12" s="630" t="s">
        <v>284</v>
      </c>
      <c r="E12" s="630">
        <v>16.7959</v>
      </c>
      <c r="F12" s="635">
        <v>1.4505999999999999</v>
      </c>
      <c r="G12" s="635">
        <v>62.115499999999997</v>
      </c>
      <c r="H12" s="632">
        <v>1043.27</v>
      </c>
      <c r="I12" s="630"/>
      <c r="J12" s="630"/>
      <c r="K12" s="630"/>
      <c r="L12" s="632">
        <v>1043.27</v>
      </c>
      <c r="M12" s="630"/>
      <c r="N12" s="630"/>
      <c r="O12" s="630"/>
      <c r="P12" s="630"/>
      <c r="Q12" s="630"/>
      <c r="R12" s="630">
        <v>0</v>
      </c>
      <c r="S12" s="630"/>
      <c r="U12" s="457" t="s">
        <v>174</v>
      </c>
      <c r="V12" s="457" t="s">
        <v>290</v>
      </c>
      <c r="W12" s="457">
        <f t="shared" si="0"/>
        <v>3</v>
      </c>
      <c r="X12" s="459">
        <f t="array" ref="X12">MAX(IF($D:$D=V12,$A:$A))</f>
        <v>45139</v>
      </c>
    </row>
    <row r="13" spans="1:27" ht="16.5">
      <c r="A13" s="631">
        <v>44682</v>
      </c>
      <c r="B13" s="630" t="s">
        <v>283</v>
      </c>
      <c r="C13" s="630" t="s">
        <v>171</v>
      </c>
      <c r="D13" s="630" t="s">
        <v>285</v>
      </c>
      <c r="E13" s="630">
        <v>16.7959</v>
      </c>
      <c r="F13" s="635">
        <v>0.53520000000000001</v>
      </c>
      <c r="G13" s="635">
        <v>22.886099999999999</v>
      </c>
      <c r="H13" s="630">
        <v>384.38</v>
      </c>
      <c r="I13" s="630"/>
      <c r="J13" s="630"/>
      <c r="K13" s="630"/>
      <c r="L13" s="630">
        <v>384.38</v>
      </c>
      <c r="M13" s="630"/>
      <c r="N13" s="630"/>
      <c r="O13" s="630"/>
      <c r="P13" s="630"/>
      <c r="Q13" s="630"/>
      <c r="R13" s="630">
        <v>0</v>
      </c>
      <c r="S13" s="630"/>
      <c r="U13" s="457" t="s">
        <v>141</v>
      </c>
      <c r="V13" s="457" t="s">
        <v>141</v>
      </c>
      <c r="W13" s="457">
        <f t="shared" si="0"/>
        <v>1</v>
      </c>
      <c r="X13" s="459">
        <f t="array" ref="X13">MAX(IF($D:$D=V13,$A:$A))</f>
        <v>45352</v>
      </c>
    </row>
    <row r="14" spans="1:27" ht="16.5">
      <c r="A14" s="631">
        <v>44743</v>
      </c>
      <c r="B14" s="630" t="s">
        <v>283</v>
      </c>
      <c r="C14" s="630" t="s">
        <v>178</v>
      </c>
      <c r="D14" s="630" t="s">
        <v>284</v>
      </c>
      <c r="E14" s="630">
        <v>17.954699999999999</v>
      </c>
      <c r="F14" s="635">
        <v>2.1878000000000002</v>
      </c>
      <c r="G14" s="635">
        <v>93.682400000000001</v>
      </c>
      <c r="H14" s="632">
        <v>1682.03</v>
      </c>
      <c r="I14" s="630"/>
      <c r="J14" s="630"/>
      <c r="K14" s="630"/>
      <c r="L14" s="632">
        <v>1682.03</v>
      </c>
      <c r="M14" s="630"/>
      <c r="N14" s="630"/>
      <c r="O14" s="630"/>
      <c r="P14" s="630"/>
      <c r="Q14" s="630"/>
      <c r="R14" s="630">
        <v>0</v>
      </c>
      <c r="S14" s="630"/>
      <c r="U14" s="457" t="s">
        <v>40</v>
      </c>
      <c r="V14" s="457" t="s">
        <v>288</v>
      </c>
      <c r="W14" s="457">
        <f t="shared" si="0"/>
        <v>5</v>
      </c>
      <c r="X14" s="459">
        <f t="array" ref="X14">MAX(IF($D:$D=V14,$A:$A))</f>
        <v>45444</v>
      </c>
    </row>
    <row r="15" spans="1:27" ht="16.5">
      <c r="A15" s="631">
        <v>44743</v>
      </c>
      <c r="B15" s="630" t="s">
        <v>283</v>
      </c>
      <c r="C15" s="630" t="s">
        <v>171</v>
      </c>
      <c r="D15" s="630" t="s">
        <v>285</v>
      </c>
      <c r="E15" s="630">
        <v>17.954699999999999</v>
      </c>
      <c r="F15" s="635">
        <v>0.80710000000000004</v>
      </c>
      <c r="G15" s="635">
        <v>34.5167</v>
      </c>
      <c r="H15" s="630">
        <v>619.72</v>
      </c>
      <c r="I15" s="630"/>
      <c r="J15" s="630"/>
      <c r="K15" s="630"/>
      <c r="L15" s="630">
        <v>619.72</v>
      </c>
      <c r="M15" s="630"/>
      <c r="N15" s="630"/>
      <c r="O15" s="630"/>
      <c r="P15" s="630"/>
      <c r="Q15" s="630"/>
      <c r="R15" s="630">
        <v>0</v>
      </c>
      <c r="S15" s="630"/>
      <c r="U15" s="457" t="s">
        <v>38</v>
      </c>
      <c r="V15" s="457" t="s">
        <v>289</v>
      </c>
      <c r="W15" s="457">
        <f t="shared" si="0"/>
        <v>1</v>
      </c>
      <c r="X15" s="459">
        <f t="array" ref="X15">MAX(IF($D:$D=V15,$A:$A))</f>
        <v>45139</v>
      </c>
    </row>
    <row r="16" spans="1:27" ht="16.5">
      <c r="A16" s="631">
        <v>44835</v>
      </c>
      <c r="B16" s="630" t="s">
        <v>283</v>
      </c>
      <c r="C16" s="630" t="s">
        <v>37</v>
      </c>
      <c r="D16" s="630" t="s">
        <v>37</v>
      </c>
      <c r="E16" s="630">
        <v>20.654699999999998</v>
      </c>
      <c r="F16" s="635">
        <v>5.9035000000000002</v>
      </c>
      <c r="G16" s="635">
        <v>252.61160000000001</v>
      </c>
      <c r="H16" s="632">
        <v>5217.58</v>
      </c>
      <c r="I16" s="633">
        <v>8940</v>
      </c>
      <c r="J16" s="633">
        <v>1160</v>
      </c>
      <c r="K16" s="630"/>
      <c r="L16" s="632">
        <v>5217.58</v>
      </c>
      <c r="M16" s="630"/>
      <c r="N16" s="630"/>
      <c r="O16" s="630"/>
      <c r="P16" s="630"/>
      <c r="Q16" s="630"/>
      <c r="R16" s="630">
        <v>0</v>
      </c>
      <c r="S16" s="630"/>
      <c r="U16" s="457" t="s">
        <v>173</v>
      </c>
      <c r="V16" s="457" t="s">
        <v>339</v>
      </c>
      <c r="W16" s="457">
        <f t="shared" si="0"/>
        <v>2</v>
      </c>
      <c r="X16" s="459">
        <f t="array" ref="X16">MAX(IF($D:$D=V16,$A:$A))</f>
        <v>0</v>
      </c>
    </row>
    <row r="17" spans="1:24" ht="16.5">
      <c r="A17" s="631">
        <v>44835</v>
      </c>
      <c r="B17" s="630" t="s">
        <v>283</v>
      </c>
      <c r="C17" s="630" t="s">
        <v>178</v>
      </c>
      <c r="D17" s="630" t="s">
        <v>284</v>
      </c>
      <c r="E17" s="630">
        <v>20.654699999999998</v>
      </c>
      <c r="F17" s="635">
        <v>24.200900000000001</v>
      </c>
      <c r="G17" s="635">
        <v>1034.3155999999999</v>
      </c>
      <c r="H17" s="632">
        <v>21363.45</v>
      </c>
      <c r="I17" s="633">
        <v>2700</v>
      </c>
      <c r="J17" s="630">
        <v>580</v>
      </c>
      <c r="K17" s="630"/>
      <c r="L17" s="632">
        <v>21363.45</v>
      </c>
      <c r="M17" s="630"/>
      <c r="N17" s="630"/>
      <c r="O17" s="630"/>
      <c r="P17" s="630"/>
      <c r="Q17" s="630"/>
      <c r="R17" s="630">
        <v>0</v>
      </c>
      <c r="U17" s="457" t="s">
        <v>173</v>
      </c>
      <c r="V17" s="457" t="s">
        <v>291</v>
      </c>
      <c r="W17" s="457">
        <f t="shared" si="0"/>
        <v>2</v>
      </c>
      <c r="X17" s="459">
        <f t="array" ref="X17">MAX(IF($D:$D=V17,$A:$A))</f>
        <v>45139</v>
      </c>
    </row>
    <row r="18" spans="1:24" ht="16.5">
      <c r="A18" s="631">
        <v>44835</v>
      </c>
      <c r="B18" s="630" t="s">
        <v>283</v>
      </c>
      <c r="C18" s="630" t="s">
        <v>171</v>
      </c>
      <c r="D18" s="630" t="s">
        <v>285</v>
      </c>
      <c r="E18" s="630">
        <v>20.654699999999998</v>
      </c>
      <c r="F18" s="635">
        <v>15.146000000000001</v>
      </c>
      <c r="G18" s="635">
        <v>647.48680000000002</v>
      </c>
      <c r="H18" s="632">
        <v>13373.59</v>
      </c>
      <c r="I18" s="633">
        <v>6300</v>
      </c>
      <c r="J18" s="630"/>
      <c r="K18" s="630"/>
      <c r="L18" s="632">
        <v>13373.59</v>
      </c>
      <c r="M18" s="630"/>
      <c r="N18" s="630"/>
      <c r="O18" s="630"/>
      <c r="P18" s="630"/>
      <c r="Q18" s="630"/>
      <c r="R18" s="630">
        <v>0</v>
      </c>
      <c r="U18" s="457" t="s">
        <v>173</v>
      </c>
      <c r="V18" s="457" t="s">
        <v>332</v>
      </c>
      <c r="W18" s="457">
        <f t="shared" ref="W18" si="1">COUNTIFS($B:$B,$U$4,$C:$C,U18)</f>
        <v>2</v>
      </c>
      <c r="X18" s="459">
        <f t="array" ref="X18">MAX(IF($D:$D=V18,$A:$A))</f>
        <v>45139</v>
      </c>
    </row>
    <row r="19" spans="1:24" ht="16.5">
      <c r="A19" s="631">
        <v>44835</v>
      </c>
      <c r="B19" s="630" t="s">
        <v>283</v>
      </c>
      <c r="C19" s="630" t="s">
        <v>171</v>
      </c>
      <c r="D19" s="630" t="s">
        <v>284</v>
      </c>
      <c r="E19" s="630">
        <v>20.654699999999998</v>
      </c>
      <c r="F19" s="635">
        <v>76.332999999999998</v>
      </c>
      <c r="G19" s="635">
        <v>3264.5569</v>
      </c>
      <c r="H19" s="632">
        <v>67428.42</v>
      </c>
      <c r="I19" s="630"/>
      <c r="J19" s="630"/>
      <c r="K19" s="630"/>
      <c r="L19" s="632">
        <v>67428.42</v>
      </c>
      <c r="M19" s="630"/>
      <c r="N19" s="630"/>
      <c r="O19" s="630"/>
      <c r="P19" s="630"/>
      <c r="Q19" s="630"/>
      <c r="R19" s="630">
        <v>0</v>
      </c>
      <c r="U19" s="457" t="s">
        <v>172</v>
      </c>
      <c r="V19" s="457" t="s">
        <v>172</v>
      </c>
      <c r="W19" s="457">
        <f t="shared" ref="W19:W31" si="2">COUNTIFS($B:$B,$U$4,$C:$C,U19)</f>
        <v>1</v>
      </c>
      <c r="X19" s="459">
        <f t="array" ref="X19">MAX(IF($D:$D=V19,$A:$A))</f>
        <v>45139</v>
      </c>
    </row>
    <row r="20" spans="1:24" ht="16.5">
      <c r="A20" s="631">
        <v>45062</v>
      </c>
      <c r="B20" s="630" t="s">
        <v>283</v>
      </c>
      <c r="C20" s="630" t="s">
        <v>37</v>
      </c>
      <c r="D20" s="630" t="s">
        <v>37</v>
      </c>
      <c r="E20" s="630">
        <v>21.699100000000001</v>
      </c>
      <c r="F20" s="635">
        <v>8.8399000000000001</v>
      </c>
      <c r="G20" s="635">
        <v>377.54790000000003</v>
      </c>
      <c r="H20" s="632">
        <v>8192.39</v>
      </c>
      <c r="I20" s="633">
        <v>8350</v>
      </c>
      <c r="J20" s="633">
        <v>1160</v>
      </c>
      <c r="K20" s="630"/>
      <c r="L20" s="632">
        <v>8192.39</v>
      </c>
      <c r="M20" s="630"/>
      <c r="N20" s="630"/>
      <c r="O20" s="630"/>
      <c r="P20" s="630"/>
      <c r="Q20" s="630"/>
      <c r="R20" s="630">
        <v>0</v>
      </c>
      <c r="U20" s="457" t="s">
        <v>175</v>
      </c>
      <c r="V20" s="457" t="s">
        <v>340</v>
      </c>
      <c r="W20" s="457">
        <f t="shared" si="2"/>
        <v>2</v>
      </c>
      <c r="X20" s="459">
        <f t="array" ref="X20">MAX(IF($D:$D=V20,$A:$A))</f>
        <v>0</v>
      </c>
    </row>
    <row r="21" spans="1:24" ht="16.5">
      <c r="A21" s="631">
        <v>45062</v>
      </c>
      <c r="B21" s="630" t="s">
        <v>283</v>
      </c>
      <c r="C21" s="630" t="s">
        <v>178</v>
      </c>
      <c r="D21" s="630" t="s">
        <v>284</v>
      </c>
      <c r="E21" s="630">
        <v>21.699100000000001</v>
      </c>
      <c r="F21" s="635">
        <v>23.057700000000001</v>
      </c>
      <c r="G21" s="635">
        <v>985.01499999999999</v>
      </c>
      <c r="H21" s="632">
        <v>21373.9</v>
      </c>
      <c r="I21" s="630"/>
      <c r="J21" s="630"/>
      <c r="K21" s="630"/>
      <c r="L21" s="632">
        <v>21373.9</v>
      </c>
      <c r="M21" s="630"/>
      <c r="N21" s="630"/>
      <c r="O21" s="630"/>
      <c r="P21" s="630"/>
      <c r="Q21" s="630"/>
      <c r="R21" s="630">
        <v>0</v>
      </c>
      <c r="U21" s="457" t="s">
        <v>175</v>
      </c>
      <c r="V21" s="457" t="s">
        <v>335</v>
      </c>
      <c r="W21" s="457">
        <f t="shared" si="2"/>
        <v>2</v>
      </c>
      <c r="X21" s="459">
        <f t="array" ref="X21">MAX(IF($D:$D=V21,$A:$A))</f>
        <v>45413</v>
      </c>
    </row>
    <row r="22" spans="1:24" ht="16.5">
      <c r="A22" s="631">
        <v>45062</v>
      </c>
      <c r="B22" s="630" t="s">
        <v>283</v>
      </c>
      <c r="C22" s="630" t="s">
        <v>171</v>
      </c>
      <c r="D22" s="630" t="s">
        <v>285</v>
      </c>
      <c r="E22" s="630">
        <v>21.699100000000001</v>
      </c>
      <c r="F22" s="635">
        <v>13.9899</v>
      </c>
      <c r="G22" s="635">
        <v>597.68589999999995</v>
      </c>
      <c r="H22" s="632">
        <v>12969.19</v>
      </c>
      <c r="I22" s="633">
        <v>2700</v>
      </c>
      <c r="J22" s="630"/>
      <c r="K22" s="630"/>
      <c r="L22" s="632">
        <v>12969.19</v>
      </c>
      <c r="M22" s="630"/>
      <c r="N22" s="630"/>
      <c r="O22" s="630"/>
      <c r="P22" s="630"/>
      <c r="Q22" s="630"/>
      <c r="R22" s="630">
        <v>0</v>
      </c>
      <c r="U22" s="457" t="s">
        <v>175</v>
      </c>
      <c r="V22" s="457" t="s">
        <v>373</v>
      </c>
      <c r="W22" s="457">
        <f t="shared" si="2"/>
        <v>2</v>
      </c>
      <c r="X22" s="459">
        <f t="array" ref="X22">MAX(IF($D:$D=V22,$A:$A))</f>
        <v>45444</v>
      </c>
    </row>
    <row r="23" spans="1:24" ht="16.5">
      <c r="A23" s="631">
        <v>45062</v>
      </c>
      <c r="B23" s="630" t="s">
        <v>283</v>
      </c>
      <c r="C23" s="630" t="s">
        <v>171</v>
      </c>
      <c r="D23" s="630" t="s">
        <v>284</v>
      </c>
      <c r="E23" s="630">
        <v>21.699100000000001</v>
      </c>
      <c r="F23" s="635">
        <v>49.760800000000003</v>
      </c>
      <c r="G23" s="635">
        <v>2127.2721000000001</v>
      </c>
      <c r="H23" s="632">
        <v>46159.87</v>
      </c>
      <c r="I23" s="630"/>
      <c r="J23" s="630"/>
      <c r="K23" s="630"/>
      <c r="L23" s="632">
        <v>46159.87</v>
      </c>
      <c r="M23" s="630"/>
      <c r="N23" s="630"/>
      <c r="O23" s="630"/>
      <c r="P23" s="630"/>
      <c r="Q23" s="630"/>
      <c r="R23" s="630">
        <v>0</v>
      </c>
      <c r="U23" s="457" t="s">
        <v>177</v>
      </c>
      <c r="V23" s="457" t="s">
        <v>344</v>
      </c>
      <c r="W23" s="457">
        <f t="shared" si="2"/>
        <v>3</v>
      </c>
      <c r="X23" s="459">
        <f t="array" ref="X23">MAX(IF($D:$D=V23,$A:$A))</f>
        <v>0</v>
      </c>
    </row>
    <row r="24" spans="1:24" ht="16.5">
      <c r="A24" s="631">
        <v>45139</v>
      </c>
      <c r="B24" s="630" t="s">
        <v>283</v>
      </c>
      <c r="C24" s="630" t="s">
        <v>37</v>
      </c>
      <c r="D24" s="630" t="s">
        <v>37</v>
      </c>
      <c r="E24" s="630">
        <v>21.847200000000001</v>
      </c>
      <c r="F24" s="635">
        <v>480547.54920000001</v>
      </c>
      <c r="G24" s="635">
        <v>20505702.9976</v>
      </c>
      <c r="H24" s="632">
        <v>447931939.02999997</v>
      </c>
      <c r="I24" s="633">
        <v>92691770</v>
      </c>
      <c r="J24" s="633">
        <v>17135370</v>
      </c>
      <c r="K24" s="630"/>
      <c r="L24" s="632">
        <v>447964044.02999997</v>
      </c>
      <c r="M24" s="632">
        <v>32105</v>
      </c>
      <c r="N24" s="630"/>
      <c r="O24" s="630"/>
      <c r="P24" s="630"/>
      <c r="Q24" s="630"/>
      <c r="R24" s="630">
        <v>0</v>
      </c>
      <c r="U24" s="457" t="s">
        <v>177</v>
      </c>
      <c r="V24" s="457" t="s">
        <v>336</v>
      </c>
      <c r="W24" s="457">
        <f t="shared" si="2"/>
        <v>3</v>
      </c>
      <c r="X24" s="459">
        <f t="array" ref="X24">MAX(IF($D:$D=V24,$A:$A))</f>
        <v>0</v>
      </c>
    </row>
    <row r="25" spans="1:24" ht="16.5">
      <c r="A25" s="631">
        <v>45139</v>
      </c>
      <c r="B25" s="630" t="s">
        <v>283</v>
      </c>
      <c r="C25" s="630" t="s">
        <v>178</v>
      </c>
      <c r="D25" s="630" t="s">
        <v>284</v>
      </c>
      <c r="E25" s="630">
        <v>21.847200000000001</v>
      </c>
      <c r="F25" s="635">
        <v>10846905.844699999</v>
      </c>
      <c r="G25" s="635">
        <v>462035510.8423</v>
      </c>
      <c r="H25" s="632">
        <v>10093649794.139999</v>
      </c>
      <c r="I25" s="633">
        <v>526008600</v>
      </c>
      <c r="J25" s="633">
        <v>119152980</v>
      </c>
      <c r="K25" s="630"/>
      <c r="L25" s="632">
        <v>10093901457.139999</v>
      </c>
      <c r="M25" s="632">
        <v>251663</v>
      </c>
      <c r="N25" s="630"/>
      <c r="O25" s="630"/>
      <c r="P25" s="630"/>
      <c r="Q25" s="630"/>
      <c r="R25" s="630">
        <v>0</v>
      </c>
      <c r="U25" s="457" t="s">
        <v>177</v>
      </c>
      <c r="V25" s="457" t="s">
        <v>337</v>
      </c>
      <c r="W25" s="457">
        <f t="shared" si="2"/>
        <v>3</v>
      </c>
      <c r="X25" s="459">
        <f t="array" ref="X25">MAX(IF($D:$D=V25,$A:$A))</f>
        <v>45444</v>
      </c>
    </row>
    <row r="26" spans="1:24" ht="16.5">
      <c r="A26" s="631">
        <v>45139</v>
      </c>
      <c r="B26" s="630" t="s">
        <v>283</v>
      </c>
      <c r="C26" s="630" t="s">
        <v>171</v>
      </c>
      <c r="D26" s="630" t="s">
        <v>285</v>
      </c>
      <c r="E26" s="630">
        <v>21.847200000000001</v>
      </c>
      <c r="F26" s="635">
        <v>4795920.8256000001</v>
      </c>
      <c r="G26" s="635">
        <v>204289568.49430001</v>
      </c>
      <c r="H26" s="632">
        <v>4462824836.79</v>
      </c>
      <c r="I26" s="633">
        <v>417552300</v>
      </c>
      <c r="J26" s="633">
        <v>37963000</v>
      </c>
      <c r="K26" s="630"/>
      <c r="L26" s="632">
        <v>4463084582.9700003</v>
      </c>
      <c r="M26" s="632">
        <v>259746.18</v>
      </c>
      <c r="N26" s="630"/>
      <c r="O26" s="630"/>
      <c r="P26" s="630"/>
      <c r="Q26" s="630"/>
      <c r="R26" s="630">
        <v>0</v>
      </c>
      <c r="U26" s="457" t="s">
        <v>177</v>
      </c>
      <c r="V26" s="457" t="s">
        <v>289</v>
      </c>
      <c r="W26" s="457">
        <f t="shared" si="2"/>
        <v>3</v>
      </c>
      <c r="X26" s="459">
        <f t="array" ref="X26">MAX(IF($D:$D=V26,$A:$A))</f>
        <v>45139</v>
      </c>
    </row>
    <row r="27" spans="1:24" ht="16.5">
      <c r="A27" s="631">
        <v>45139</v>
      </c>
      <c r="B27" s="630" t="s">
        <v>283</v>
      </c>
      <c r="C27" s="630" t="s">
        <v>171</v>
      </c>
      <c r="D27" s="630" t="s">
        <v>284</v>
      </c>
      <c r="E27" s="630">
        <v>21.847200000000001</v>
      </c>
      <c r="F27" s="635">
        <v>6119621.3738000002</v>
      </c>
      <c r="G27" s="635">
        <v>260678449.02329999</v>
      </c>
      <c r="H27" s="632">
        <v>5694369773.9499998</v>
      </c>
      <c r="I27" s="630"/>
      <c r="J27" s="630"/>
      <c r="K27" s="630"/>
      <c r="L27" s="632">
        <v>5694936546.7700005</v>
      </c>
      <c r="M27" s="632">
        <v>566772.81999999995</v>
      </c>
      <c r="N27" s="630"/>
      <c r="O27" s="630"/>
      <c r="P27" s="630"/>
      <c r="Q27" s="630"/>
      <c r="R27" s="630">
        <v>0</v>
      </c>
      <c r="U27" s="457" t="s">
        <v>47</v>
      </c>
      <c r="V27" s="457" t="s">
        <v>47</v>
      </c>
      <c r="W27" s="457">
        <f t="shared" si="2"/>
        <v>1</v>
      </c>
      <c r="X27" s="459">
        <f t="array" ref="X27">MAX(IF($D:$D=V27,$A:$A))</f>
        <v>45444</v>
      </c>
    </row>
    <row r="28" spans="1:24" ht="16.5">
      <c r="A28" s="631">
        <v>45139</v>
      </c>
      <c r="B28" s="630" t="s">
        <v>283</v>
      </c>
      <c r="C28" s="630" t="s">
        <v>38</v>
      </c>
      <c r="D28" s="630" t="s">
        <v>289</v>
      </c>
      <c r="E28" s="630">
        <v>21.814399999999999</v>
      </c>
      <c r="F28" s="635">
        <v>469114.5294</v>
      </c>
      <c r="G28" s="635">
        <v>19916008.332899999</v>
      </c>
      <c r="H28" s="632">
        <v>434455731</v>
      </c>
      <c r="I28" s="630"/>
      <c r="J28" s="633">
        <v>1804180</v>
      </c>
      <c r="K28" s="633">
        <v>1049000</v>
      </c>
      <c r="L28" s="632">
        <v>434455731</v>
      </c>
      <c r="M28" s="630"/>
      <c r="N28" s="630"/>
      <c r="O28" s="630"/>
      <c r="P28" s="630"/>
      <c r="Q28" s="630"/>
      <c r="R28" s="630">
        <v>0</v>
      </c>
      <c r="U28" s="457" t="s">
        <v>176</v>
      </c>
      <c r="V28" s="457" t="s">
        <v>337</v>
      </c>
      <c r="W28" s="457">
        <f t="shared" si="2"/>
        <v>2</v>
      </c>
      <c r="X28" s="459">
        <f t="array" ref="X28">MAX(IF($D:$D=V28,$A:$A))</f>
        <v>45444</v>
      </c>
    </row>
    <row r="29" spans="1:24" ht="16.5">
      <c r="A29" s="631">
        <v>45139</v>
      </c>
      <c r="B29" s="630" t="s">
        <v>283</v>
      </c>
      <c r="C29" s="630" t="s">
        <v>174</v>
      </c>
      <c r="D29" s="630" t="s">
        <v>286</v>
      </c>
      <c r="E29" s="630">
        <v>21.1877</v>
      </c>
      <c r="F29" s="635">
        <v>47.575099999999999</v>
      </c>
      <c r="G29" s="635">
        <v>2036.4354000000001</v>
      </c>
      <c r="H29" s="632">
        <v>43147.360000000001</v>
      </c>
      <c r="I29" s="630"/>
      <c r="J29" s="633">
        <v>1300</v>
      </c>
      <c r="K29" s="630"/>
      <c r="L29" s="632">
        <v>43147.360000000001</v>
      </c>
      <c r="M29" s="630"/>
      <c r="N29" s="630"/>
      <c r="O29" s="630"/>
      <c r="P29" s="630"/>
      <c r="Q29" s="630"/>
      <c r="R29" s="630">
        <v>0</v>
      </c>
      <c r="U29" s="457" t="s">
        <v>176</v>
      </c>
      <c r="V29" s="457" t="s">
        <v>334</v>
      </c>
      <c r="W29" s="457">
        <f t="shared" si="2"/>
        <v>2</v>
      </c>
      <c r="X29" s="459">
        <f t="array" ref="X29">MAX(IF($D:$D=V29,$A:$A))</f>
        <v>0</v>
      </c>
    </row>
    <row r="30" spans="1:24" ht="16.5">
      <c r="A30" s="631">
        <v>45139</v>
      </c>
      <c r="B30" s="630" t="s">
        <v>283</v>
      </c>
      <c r="C30" s="630" t="s">
        <v>174</v>
      </c>
      <c r="D30" s="630" t="s">
        <v>290</v>
      </c>
      <c r="E30" s="630">
        <v>20.980799999999999</v>
      </c>
      <c r="F30" s="635">
        <v>1131902.4282</v>
      </c>
      <c r="G30" s="635">
        <v>48106659.251400001</v>
      </c>
      <c r="H30" s="632">
        <v>1008434276.67</v>
      </c>
      <c r="I30" s="630"/>
      <c r="J30" s="633">
        <v>618880</v>
      </c>
      <c r="K30" s="633">
        <v>117600</v>
      </c>
      <c r="L30" s="632">
        <v>1009306421.36</v>
      </c>
      <c r="M30" s="632">
        <v>872144.69</v>
      </c>
      <c r="N30" s="630"/>
      <c r="O30" s="630"/>
      <c r="P30" s="630"/>
      <c r="Q30" s="630"/>
      <c r="R30" s="630">
        <v>0</v>
      </c>
      <c r="U30" s="457" t="s">
        <v>176</v>
      </c>
      <c r="V30" s="457" t="s">
        <v>289</v>
      </c>
      <c r="W30" s="457">
        <f t="shared" si="2"/>
        <v>2</v>
      </c>
      <c r="X30" s="459">
        <f t="array" ref="X30">MAX(IF($D:$D=V30,$A:$A))</f>
        <v>45139</v>
      </c>
    </row>
    <row r="31" spans="1:24" ht="16.5">
      <c r="A31" s="631">
        <v>45139</v>
      </c>
      <c r="B31" s="630" t="s">
        <v>283</v>
      </c>
      <c r="C31" s="630" t="s">
        <v>174</v>
      </c>
      <c r="D31" s="630" t="s">
        <v>287</v>
      </c>
      <c r="E31" s="630">
        <v>20.993400000000001</v>
      </c>
      <c r="F31" s="635">
        <v>3695364.9739000001</v>
      </c>
      <c r="G31" s="635">
        <v>157336968.32589999</v>
      </c>
      <c r="H31" s="632">
        <v>3301972718.9699998</v>
      </c>
      <c r="I31" s="630"/>
      <c r="J31" s="633">
        <v>38016940</v>
      </c>
      <c r="K31" s="633">
        <v>1168900</v>
      </c>
      <c r="L31" s="632">
        <v>3303037802.2800002</v>
      </c>
      <c r="M31" s="632">
        <v>1065083.31</v>
      </c>
      <c r="N31" s="630"/>
      <c r="O31" s="630"/>
      <c r="P31" s="630"/>
      <c r="Q31" s="630"/>
      <c r="R31" s="630">
        <v>0</v>
      </c>
      <c r="U31" s="457" t="s">
        <v>168</v>
      </c>
      <c r="V31" s="457" t="s">
        <v>341</v>
      </c>
      <c r="W31" s="457">
        <f t="shared" si="2"/>
        <v>3</v>
      </c>
      <c r="X31" s="459">
        <f t="array" ref="X31">MAX(IF($C:$C=U31,$A:$A))</f>
        <v>45444</v>
      </c>
    </row>
    <row r="32" spans="1:24" ht="16.5">
      <c r="A32" s="631">
        <v>45139</v>
      </c>
      <c r="B32" s="630" t="s">
        <v>283</v>
      </c>
      <c r="C32" s="630" t="s">
        <v>173</v>
      </c>
      <c r="D32" s="630" t="s">
        <v>369</v>
      </c>
      <c r="E32" s="630">
        <v>20.980799999999999</v>
      </c>
      <c r="F32" s="635">
        <v>841753.15700000001</v>
      </c>
      <c r="G32" s="635">
        <v>35745418.1932</v>
      </c>
      <c r="H32" s="632">
        <v>749105737.29999995</v>
      </c>
      <c r="I32" s="630"/>
      <c r="J32" s="633">
        <v>186700</v>
      </c>
      <c r="K32" s="633">
        <v>29400</v>
      </c>
      <c r="L32" s="632">
        <v>749967020.72000003</v>
      </c>
      <c r="M32" s="632">
        <v>861283.42</v>
      </c>
      <c r="N32" s="630"/>
      <c r="O32" s="630"/>
      <c r="P32" s="630"/>
      <c r="Q32" s="630"/>
      <c r="R32" s="630">
        <v>0</v>
      </c>
      <c r="U32" s="457" t="s">
        <v>168</v>
      </c>
      <c r="V32" s="457" t="s">
        <v>374</v>
      </c>
      <c r="W32" s="457">
        <f t="shared" ref="W32:W33" si="3">COUNTIFS($B:$B,$U$4,$C:$C,U32)</f>
        <v>3</v>
      </c>
      <c r="X32" s="459">
        <f t="array" ref="X32">MAX(IF($C:$C=U32,$A:$A))</f>
        <v>45444</v>
      </c>
    </row>
    <row r="33" spans="1:24" ht="16.5">
      <c r="A33" s="631">
        <v>45139</v>
      </c>
      <c r="B33" s="630" t="s">
        <v>283</v>
      </c>
      <c r="C33" s="630" t="s">
        <v>173</v>
      </c>
      <c r="D33" s="630" t="s">
        <v>291</v>
      </c>
      <c r="E33" s="630">
        <v>20.993400000000001</v>
      </c>
      <c r="F33" s="635">
        <v>709236.701</v>
      </c>
      <c r="G33" s="635">
        <v>30144216.296300001</v>
      </c>
      <c r="H33" s="632">
        <v>632306747.70000005</v>
      </c>
      <c r="I33" s="630"/>
      <c r="J33" s="633">
        <v>10158960</v>
      </c>
      <c r="K33" s="633">
        <v>2578400</v>
      </c>
      <c r="L33" s="632">
        <v>632829584.27999997</v>
      </c>
      <c r="M33" s="632">
        <v>522836.58</v>
      </c>
      <c r="N33" s="630"/>
      <c r="O33" s="630"/>
      <c r="P33" s="630"/>
      <c r="Q33" s="630"/>
      <c r="R33" s="630">
        <v>0</v>
      </c>
      <c r="U33" s="457" t="s">
        <v>168</v>
      </c>
      <c r="V33" s="457" t="s">
        <v>375</v>
      </c>
      <c r="W33" s="457">
        <f t="shared" si="3"/>
        <v>3</v>
      </c>
      <c r="X33" s="459">
        <f t="array" ref="X33">MAX(IF($C:$C=U33,$A:$A))</f>
        <v>45444</v>
      </c>
    </row>
    <row r="34" spans="1:24" ht="16.5">
      <c r="A34" s="631">
        <v>45139</v>
      </c>
      <c r="B34" s="630" t="s">
        <v>283</v>
      </c>
      <c r="C34" s="630" t="s">
        <v>172</v>
      </c>
      <c r="D34" s="630" t="s">
        <v>172</v>
      </c>
      <c r="E34" s="630">
        <v>21.814399999999999</v>
      </c>
      <c r="F34" s="635">
        <v>126655</v>
      </c>
      <c r="G34" s="635">
        <v>5375871.4819999998</v>
      </c>
      <c r="H34" s="632">
        <v>117271403</v>
      </c>
      <c r="I34" s="630"/>
      <c r="J34" s="633">
        <v>712570</v>
      </c>
      <c r="K34" s="633">
        <v>735000</v>
      </c>
      <c r="L34" s="632">
        <v>117271403</v>
      </c>
      <c r="M34" s="630"/>
      <c r="N34" s="630"/>
      <c r="O34" s="630"/>
      <c r="P34" s="630"/>
      <c r="Q34" s="630"/>
      <c r="R34" s="630">
        <v>0</v>
      </c>
      <c r="U34" s="457" t="s">
        <v>140</v>
      </c>
      <c r="V34" s="457" t="s">
        <v>376</v>
      </c>
      <c r="W34" s="457">
        <f>COUNTIFS($B:$B,$U$4,$C:$C,U34)</f>
        <v>3</v>
      </c>
      <c r="X34" s="459">
        <f t="array" ref="X34">MAX(IF($D:$D=V34,$A:$A))</f>
        <v>45444</v>
      </c>
    </row>
    <row r="35" spans="1:24" ht="16.5">
      <c r="A35" s="631">
        <v>45323</v>
      </c>
      <c r="B35" s="630" t="s">
        <v>283</v>
      </c>
      <c r="C35" s="630" t="s">
        <v>40</v>
      </c>
      <c r="D35" s="630" t="s">
        <v>288</v>
      </c>
      <c r="E35" s="630">
        <v>24.627800000000001</v>
      </c>
      <c r="F35" s="635">
        <v>0.39560000000000001</v>
      </c>
      <c r="G35" s="635">
        <v>16.937000000000001</v>
      </c>
      <c r="H35" s="630">
        <v>417.12</v>
      </c>
      <c r="I35" s="630"/>
      <c r="J35" s="630">
        <v>320</v>
      </c>
      <c r="K35" s="630"/>
      <c r="L35" s="630">
        <v>417.12</v>
      </c>
      <c r="M35" s="630"/>
      <c r="N35" s="630"/>
      <c r="O35" s="630"/>
      <c r="P35" s="630"/>
      <c r="Q35" s="630"/>
      <c r="R35" s="630">
        <v>0</v>
      </c>
      <c r="U35" s="457" t="s">
        <v>140</v>
      </c>
      <c r="V35" s="457" t="s">
        <v>377</v>
      </c>
      <c r="W35" s="457">
        <f t="shared" ref="W35:W36" si="4">COUNTIFS($B:$B,$U$4,$C:$C,U35)</f>
        <v>3</v>
      </c>
      <c r="X35" s="459">
        <f t="array" ref="X35">MAX(IF($D:$D=V35,$A:$A))</f>
        <v>45413</v>
      </c>
    </row>
    <row r="36" spans="1:24" ht="16.5">
      <c r="A36" s="631">
        <v>45352</v>
      </c>
      <c r="B36" s="630" t="s">
        <v>283</v>
      </c>
      <c r="C36" s="630" t="s">
        <v>40</v>
      </c>
      <c r="D36" s="630" t="s">
        <v>288</v>
      </c>
      <c r="E36" s="630">
        <v>25.141400000000001</v>
      </c>
      <c r="F36" s="635">
        <v>0.47170000000000001</v>
      </c>
      <c r="G36" s="635">
        <v>20.194099999999999</v>
      </c>
      <c r="H36" s="630">
        <v>507.7</v>
      </c>
      <c r="I36" s="630"/>
      <c r="J36" s="630"/>
      <c r="K36" s="630"/>
      <c r="L36" s="630">
        <v>507.7</v>
      </c>
      <c r="M36" s="630"/>
      <c r="N36" s="630"/>
      <c r="O36" s="630"/>
      <c r="P36" s="630"/>
      <c r="Q36" s="630"/>
      <c r="R36" s="630">
        <v>0</v>
      </c>
      <c r="U36" s="457" t="s">
        <v>140</v>
      </c>
      <c r="V36" s="457" t="s">
        <v>342</v>
      </c>
      <c r="W36" s="457">
        <f t="shared" si="4"/>
        <v>3</v>
      </c>
      <c r="X36" s="459">
        <f t="array" ref="X36">MAX(IF($D:$D=V36,$A:$A))</f>
        <v>0</v>
      </c>
    </row>
    <row r="37" spans="1:24" ht="16.5">
      <c r="A37" s="631">
        <v>45352</v>
      </c>
      <c r="B37" s="630" t="s">
        <v>283</v>
      </c>
      <c r="C37" s="630" t="s">
        <v>141</v>
      </c>
      <c r="D37" s="630" t="s">
        <v>141</v>
      </c>
      <c r="E37" s="630">
        <v>21.877800000000001</v>
      </c>
      <c r="F37" s="635">
        <v>48863.487099999998</v>
      </c>
      <c r="G37" s="635">
        <v>2072740.2593</v>
      </c>
      <c r="H37" s="632">
        <v>45346799.920000002</v>
      </c>
      <c r="I37" s="630"/>
      <c r="J37" s="633">
        <v>1243410</v>
      </c>
      <c r="K37" s="630"/>
      <c r="L37" s="632">
        <v>45346799.920000002</v>
      </c>
      <c r="M37" s="630"/>
      <c r="N37" s="630"/>
      <c r="O37" s="630"/>
      <c r="P37" s="630"/>
      <c r="Q37" s="630"/>
      <c r="R37" s="630">
        <v>0</v>
      </c>
      <c r="U37" s="457" t="s">
        <v>142</v>
      </c>
      <c r="V37" s="457" t="s">
        <v>142</v>
      </c>
      <c r="W37" s="457">
        <f>COUNTIFS($B:$B,$U$4,$C:$C,U37)</f>
        <v>1</v>
      </c>
      <c r="X37" s="459">
        <f t="array" ref="X37">MAX(IF($D:$D=V37,$A:$A))</f>
        <v>45444</v>
      </c>
    </row>
    <row r="38" spans="1:24" ht="16.5">
      <c r="A38" s="631">
        <v>45383</v>
      </c>
      <c r="B38" s="630" t="s">
        <v>283</v>
      </c>
      <c r="C38" s="630" t="s">
        <v>40</v>
      </c>
      <c r="D38" s="630" t="s">
        <v>288</v>
      </c>
      <c r="E38" s="630">
        <v>23.674099999999999</v>
      </c>
      <c r="F38" s="635">
        <v>399.35399999999998</v>
      </c>
      <c r="G38" s="635">
        <v>17042.606</v>
      </c>
      <c r="H38" s="632">
        <v>351823.78</v>
      </c>
      <c r="I38" s="630"/>
      <c r="J38" s="633">
        <v>14970</v>
      </c>
      <c r="K38" s="630"/>
      <c r="L38" s="632">
        <v>403468.24</v>
      </c>
      <c r="M38" s="632">
        <v>51644.46</v>
      </c>
      <c r="N38" s="630"/>
      <c r="O38" s="630"/>
      <c r="P38" s="630"/>
      <c r="Q38" s="630"/>
      <c r="R38" s="630">
        <v>0</v>
      </c>
      <c r="U38"/>
    </row>
    <row r="39" spans="1:24" ht="16.5">
      <c r="A39" s="631">
        <v>45413</v>
      </c>
      <c r="B39" s="630" t="s">
        <v>283</v>
      </c>
      <c r="C39" s="630" t="s">
        <v>40</v>
      </c>
      <c r="D39" s="630" t="s">
        <v>288</v>
      </c>
      <c r="E39" s="630">
        <v>24.919499999999999</v>
      </c>
      <c r="F39" s="635">
        <v>383811.25089999998</v>
      </c>
      <c r="G39" s="635">
        <v>16335712.263900001</v>
      </c>
      <c r="H39" s="632">
        <v>391727703.22000003</v>
      </c>
      <c r="I39" s="630"/>
      <c r="J39" s="633">
        <v>13198450</v>
      </c>
      <c r="K39" s="633">
        <v>1529100</v>
      </c>
      <c r="L39" s="632">
        <v>407077715.39999998</v>
      </c>
      <c r="M39" s="632">
        <v>15350012.18</v>
      </c>
      <c r="N39" s="630"/>
      <c r="O39" s="630"/>
      <c r="P39" s="630"/>
      <c r="Q39" s="630"/>
      <c r="R39" s="630">
        <v>0</v>
      </c>
      <c r="U39"/>
    </row>
    <row r="40" spans="1:24" ht="16.5">
      <c r="A40" s="631">
        <v>45413</v>
      </c>
      <c r="B40" s="630" t="s">
        <v>283</v>
      </c>
      <c r="C40" s="630" t="s">
        <v>175</v>
      </c>
      <c r="D40" s="630" t="s">
        <v>361</v>
      </c>
      <c r="E40" s="630">
        <v>20.419499999999999</v>
      </c>
      <c r="F40" s="635">
        <v>6556748.0643999996</v>
      </c>
      <c r="G40" s="635">
        <v>278891309.6552</v>
      </c>
      <c r="H40" s="632">
        <v>5694820683.6899996</v>
      </c>
      <c r="I40" s="630"/>
      <c r="J40" s="633">
        <v>1054890</v>
      </c>
      <c r="K40" s="633">
        <v>235200</v>
      </c>
      <c r="L40" s="632">
        <v>5694820683.6899996</v>
      </c>
      <c r="M40" s="630"/>
      <c r="N40" s="630"/>
      <c r="O40" s="630"/>
      <c r="P40" s="630"/>
      <c r="Q40" s="630"/>
      <c r="R40" s="630">
        <v>0</v>
      </c>
      <c r="U40"/>
    </row>
    <row r="41" spans="1:24" ht="16.5">
      <c r="A41" s="631">
        <v>45413</v>
      </c>
      <c r="B41" s="630" t="s">
        <v>283</v>
      </c>
      <c r="C41" s="630" t="s">
        <v>177</v>
      </c>
      <c r="D41" s="630" t="s">
        <v>368</v>
      </c>
      <c r="E41" s="630">
        <v>14.7867</v>
      </c>
      <c r="F41" s="635">
        <v>798094.69180000003</v>
      </c>
      <c r="G41" s="635">
        <v>33952558.090000004</v>
      </c>
      <c r="H41" s="632">
        <v>502046280.24000001</v>
      </c>
      <c r="I41" s="630"/>
      <c r="J41" s="633">
        <v>10678650</v>
      </c>
      <c r="K41" s="633">
        <v>4275700</v>
      </c>
      <c r="L41" s="632">
        <v>502046280.24000001</v>
      </c>
      <c r="M41" s="630"/>
      <c r="N41" s="630"/>
      <c r="O41" s="630"/>
      <c r="P41" s="630"/>
      <c r="Q41" s="630"/>
      <c r="R41" s="630">
        <v>0</v>
      </c>
      <c r="U41"/>
    </row>
    <row r="42" spans="1:24" ht="16.5">
      <c r="A42" s="631">
        <v>45413</v>
      </c>
      <c r="B42" s="630" t="s">
        <v>283</v>
      </c>
      <c r="C42" s="630" t="s">
        <v>176</v>
      </c>
      <c r="D42" s="630" t="s">
        <v>368</v>
      </c>
      <c r="E42" s="630">
        <v>14.7867</v>
      </c>
      <c r="F42" s="635">
        <v>27489.418399999999</v>
      </c>
      <c r="G42" s="635">
        <v>1169639.0101000001</v>
      </c>
      <c r="H42" s="632">
        <v>17295101</v>
      </c>
      <c r="I42" s="630"/>
      <c r="J42" s="633">
        <v>289450</v>
      </c>
      <c r="K42" s="633">
        <v>98200</v>
      </c>
      <c r="L42" s="632">
        <v>17295101</v>
      </c>
      <c r="M42" s="630"/>
      <c r="N42" s="630"/>
      <c r="O42" s="630"/>
      <c r="P42" s="630"/>
      <c r="Q42" s="630"/>
      <c r="R42" s="630">
        <v>0</v>
      </c>
      <c r="U42"/>
    </row>
    <row r="43" spans="1:24" ht="16.5">
      <c r="A43" s="631">
        <v>45413</v>
      </c>
      <c r="B43" s="630" t="s">
        <v>283</v>
      </c>
      <c r="C43" s="630" t="s">
        <v>168</v>
      </c>
      <c r="D43" s="630" t="s">
        <v>362</v>
      </c>
      <c r="E43" s="630">
        <v>22.507300000000001</v>
      </c>
      <c r="F43" s="635">
        <v>115677.6563</v>
      </c>
      <c r="G43" s="635">
        <v>4921007.0986000001</v>
      </c>
      <c r="H43" s="632">
        <v>110758582.13</v>
      </c>
      <c r="I43" s="630"/>
      <c r="J43" s="633">
        <v>71550</v>
      </c>
      <c r="K43" s="633">
        <v>117600</v>
      </c>
      <c r="L43" s="632">
        <v>110758582.13</v>
      </c>
      <c r="M43" s="630"/>
      <c r="N43" s="630"/>
      <c r="O43" s="630"/>
      <c r="P43" s="630"/>
      <c r="Q43" s="630"/>
      <c r="R43" s="630">
        <v>0</v>
      </c>
      <c r="U43"/>
    </row>
    <row r="44" spans="1:24" ht="16.5">
      <c r="A44" s="631">
        <v>45413</v>
      </c>
      <c r="B44" s="630" t="s">
        <v>283</v>
      </c>
      <c r="C44" s="630" t="s">
        <v>140</v>
      </c>
      <c r="D44" s="630" t="s">
        <v>363</v>
      </c>
      <c r="E44" s="630">
        <v>19.512599999999999</v>
      </c>
      <c r="F44" s="635">
        <v>56796.397499999999</v>
      </c>
      <c r="G44" s="635">
        <v>2415268.3106</v>
      </c>
      <c r="H44" s="632">
        <v>47128164.359999999</v>
      </c>
      <c r="I44" s="630"/>
      <c r="J44" s="633">
        <v>76190</v>
      </c>
      <c r="K44" s="630"/>
      <c r="L44" s="632">
        <v>47128164.359999999</v>
      </c>
      <c r="M44" s="630"/>
      <c r="N44" s="630"/>
      <c r="O44" s="630"/>
      <c r="P44" s="630"/>
      <c r="Q44" s="630"/>
      <c r="R44" s="630">
        <v>0</v>
      </c>
      <c r="U44"/>
    </row>
    <row r="45" spans="1:24" ht="16.5">
      <c r="A45" s="631">
        <v>45444</v>
      </c>
      <c r="B45" s="630" t="s">
        <v>283</v>
      </c>
      <c r="C45" s="630" t="s">
        <v>40</v>
      </c>
      <c r="D45" s="630" t="s">
        <v>288</v>
      </c>
      <c r="E45" s="630">
        <v>24.359200000000001</v>
      </c>
      <c r="F45" s="635">
        <v>240565.76639999999</v>
      </c>
      <c r="G45" s="635">
        <v>10208474.3201</v>
      </c>
      <c r="H45" s="632">
        <v>243594814.18000001</v>
      </c>
      <c r="I45" s="630"/>
      <c r="J45" s="633">
        <v>210500</v>
      </c>
      <c r="K45" s="633">
        <v>117600</v>
      </c>
      <c r="L45" s="632">
        <v>248667497.53999999</v>
      </c>
      <c r="M45" s="632">
        <v>5072683.3600000003</v>
      </c>
      <c r="N45" s="630"/>
      <c r="O45" s="630"/>
      <c r="P45" s="630"/>
      <c r="Q45" s="630"/>
      <c r="R45" s="630">
        <v>0</v>
      </c>
      <c r="U45"/>
    </row>
    <row r="46" spans="1:24" ht="16.5">
      <c r="A46" s="631">
        <v>45444</v>
      </c>
      <c r="B46" s="630" t="s">
        <v>283</v>
      </c>
      <c r="C46" s="630" t="s">
        <v>175</v>
      </c>
      <c r="D46" s="630" t="s">
        <v>370</v>
      </c>
      <c r="E46" s="630">
        <v>19.815000000000001</v>
      </c>
      <c r="F46" s="635">
        <v>12265656.411900001</v>
      </c>
      <c r="G46" s="635">
        <v>520323689.76889998</v>
      </c>
      <c r="H46" s="632">
        <v>10310213414.309999</v>
      </c>
      <c r="I46" s="630"/>
      <c r="J46" s="633">
        <v>17277760</v>
      </c>
      <c r="K46" s="633">
        <v>13093500</v>
      </c>
      <c r="L46" s="632">
        <v>10310213414.309999</v>
      </c>
      <c r="M46" s="630"/>
      <c r="N46" s="630"/>
      <c r="O46" s="630"/>
      <c r="P46" s="630"/>
      <c r="Q46" s="630"/>
      <c r="R46" s="630">
        <v>0</v>
      </c>
      <c r="U46"/>
    </row>
    <row r="47" spans="1:24" ht="16.5">
      <c r="A47" s="631">
        <v>45444</v>
      </c>
      <c r="B47" s="630" t="s">
        <v>283</v>
      </c>
      <c r="C47" s="630" t="s">
        <v>177</v>
      </c>
      <c r="D47" s="630" t="s">
        <v>368</v>
      </c>
      <c r="E47" s="630">
        <v>14.3665</v>
      </c>
      <c r="F47" s="635">
        <v>1324242.4399000001</v>
      </c>
      <c r="G47" s="635">
        <v>56180302.688299999</v>
      </c>
      <c r="H47" s="632">
        <v>807113865.75999999</v>
      </c>
      <c r="I47" s="630"/>
      <c r="J47" s="633">
        <v>655560</v>
      </c>
      <c r="K47" s="633">
        <v>264600</v>
      </c>
      <c r="L47" s="632">
        <v>807113865.75999999</v>
      </c>
      <c r="M47" s="630"/>
      <c r="N47" s="630"/>
      <c r="O47" s="630"/>
      <c r="P47" s="630"/>
      <c r="Q47" s="630"/>
      <c r="R47" s="630">
        <v>0</v>
      </c>
      <c r="U47"/>
    </row>
    <row r="48" spans="1:24" ht="16.5">
      <c r="A48" s="631">
        <v>45444</v>
      </c>
      <c r="B48" s="630" t="s">
        <v>283</v>
      </c>
      <c r="C48" s="630" t="s">
        <v>142</v>
      </c>
      <c r="D48" s="630" t="s">
        <v>142</v>
      </c>
      <c r="E48" s="630">
        <v>22.658000000000001</v>
      </c>
      <c r="F48" s="635">
        <v>6076441.1500000004</v>
      </c>
      <c r="G48" s="635">
        <v>262690779.22040001</v>
      </c>
      <c r="H48" s="632">
        <v>5951807296</v>
      </c>
      <c r="I48" s="630"/>
      <c r="J48" s="630"/>
      <c r="K48" s="630"/>
      <c r="L48" s="632">
        <v>5951807296</v>
      </c>
      <c r="M48" s="630"/>
      <c r="N48" s="630"/>
      <c r="O48" s="630"/>
      <c r="P48" s="630"/>
      <c r="Q48" s="630"/>
      <c r="R48" s="630">
        <v>0</v>
      </c>
      <c r="U48"/>
    </row>
    <row r="49" spans="1:21" ht="16.5">
      <c r="A49" s="631">
        <v>45444</v>
      </c>
      <c r="B49" s="630" t="s">
        <v>283</v>
      </c>
      <c r="C49" s="630" t="s">
        <v>47</v>
      </c>
      <c r="D49" s="630" t="s">
        <v>47</v>
      </c>
      <c r="E49" s="630">
        <v>24.786300000000001</v>
      </c>
      <c r="F49" s="635">
        <v>329596</v>
      </c>
      <c r="G49" s="635">
        <v>13981132.723999999</v>
      </c>
      <c r="H49" s="632">
        <v>346540549</v>
      </c>
      <c r="I49" s="630"/>
      <c r="J49" s="633">
        <v>629820</v>
      </c>
      <c r="K49" s="633">
        <v>88200</v>
      </c>
      <c r="L49" s="632">
        <v>346540549</v>
      </c>
      <c r="M49" s="630"/>
      <c r="N49" s="630"/>
      <c r="O49" s="630"/>
      <c r="P49" s="630"/>
      <c r="Q49" s="630"/>
      <c r="R49" s="630">
        <v>0</v>
      </c>
      <c r="S49" s="630"/>
      <c r="U49"/>
    </row>
    <row r="50" spans="1:21" ht="16.5">
      <c r="A50" s="631">
        <v>45444</v>
      </c>
      <c r="B50" s="630" t="s">
        <v>283</v>
      </c>
      <c r="C50" s="630" t="s">
        <v>176</v>
      </c>
      <c r="D50" s="630" t="s">
        <v>368</v>
      </c>
      <c r="E50" s="630">
        <v>14.3665</v>
      </c>
      <c r="F50" s="635">
        <v>45667.754200000003</v>
      </c>
      <c r="G50" s="635">
        <v>1937475.5992999999</v>
      </c>
      <c r="H50" s="632">
        <v>27834726</v>
      </c>
      <c r="I50" s="630"/>
      <c r="J50" s="630"/>
      <c r="K50" s="630"/>
      <c r="L50" s="632">
        <v>27834726</v>
      </c>
      <c r="M50" s="630"/>
      <c r="N50" s="630"/>
      <c r="O50" s="630"/>
      <c r="P50" s="630"/>
      <c r="Q50" s="630"/>
      <c r="R50" s="630">
        <v>0</v>
      </c>
      <c r="S50" s="630"/>
      <c r="U50"/>
    </row>
    <row r="51" spans="1:21" ht="16.5">
      <c r="A51" s="631">
        <v>45444</v>
      </c>
      <c r="B51" s="630" t="s">
        <v>283</v>
      </c>
      <c r="C51" s="630" t="s">
        <v>168</v>
      </c>
      <c r="D51" s="630" t="s">
        <v>371</v>
      </c>
      <c r="E51" s="630">
        <v>21.941500000000001</v>
      </c>
      <c r="F51" s="635">
        <v>417737.34370000003</v>
      </c>
      <c r="G51" s="635">
        <v>17720211.9164</v>
      </c>
      <c r="H51" s="632">
        <v>388808022.87</v>
      </c>
      <c r="I51" s="630"/>
      <c r="J51" s="633">
        <v>279100</v>
      </c>
      <c r="K51" s="633">
        <v>352800</v>
      </c>
      <c r="L51" s="632">
        <v>388808022.87</v>
      </c>
      <c r="M51" s="630"/>
      <c r="N51" s="630"/>
      <c r="O51" s="630"/>
      <c r="P51" s="630"/>
      <c r="Q51" s="630"/>
      <c r="R51" s="630">
        <v>0</v>
      </c>
      <c r="S51" s="630"/>
      <c r="U51"/>
    </row>
    <row r="52" spans="1:21" ht="16.5">
      <c r="A52" s="631">
        <v>45444</v>
      </c>
      <c r="B52" s="630" t="s">
        <v>283</v>
      </c>
      <c r="C52" s="630" t="s">
        <v>140</v>
      </c>
      <c r="D52" s="630" t="s">
        <v>372</v>
      </c>
      <c r="E52" s="630">
        <v>18.9468</v>
      </c>
      <c r="F52" s="635">
        <v>338897.25209999998</v>
      </c>
      <c r="G52" s="635">
        <v>14375914.0845</v>
      </c>
      <c r="H52" s="632">
        <v>272377567.63999999</v>
      </c>
      <c r="I52" s="630"/>
      <c r="J52" s="633">
        <v>45220</v>
      </c>
      <c r="K52" s="630"/>
      <c r="L52" s="632">
        <v>272377567.63999999</v>
      </c>
      <c r="M52" s="630"/>
      <c r="N52" s="630"/>
      <c r="O52" s="630"/>
      <c r="P52" s="630"/>
      <c r="Q52" s="630"/>
      <c r="R52" s="630">
        <v>0</v>
      </c>
      <c r="S52" s="630"/>
      <c r="U52"/>
    </row>
    <row r="53" spans="1:21" ht="16.5">
      <c r="A53" s="630" t="s">
        <v>292</v>
      </c>
      <c r="B53" s="630" t="s">
        <v>283</v>
      </c>
      <c r="C53" s="630" t="s">
        <v>171</v>
      </c>
      <c r="D53" s="630" t="s">
        <v>293</v>
      </c>
      <c r="E53" s="630"/>
      <c r="F53" s="635">
        <v>0</v>
      </c>
      <c r="G53" s="635">
        <v>0</v>
      </c>
      <c r="H53" s="630">
        <v>0</v>
      </c>
      <c r="I53" s="630">
        <v>900</v>
      </c>
      <c r="J53" s="630"/>
      <c r="K53" s="630"/>
      <c r="L53" s="630">
        <v>0</v>
      </c>
      <c r="M53" s="630"/>
      <c r="N53" s="630"/>
      <c r="O53" s="630"/>
      <c r="P53" s="630"/>
      <c r="Q53" s="630"/>
      <c r="R53" s="630">
        <v>0</v>
      </c>
      <c r="S53" s="630"/>
      <c r="U53"/>
    </row>
    <row r="54" spans="1:21" ht="16.5">
      <c r="A54" s="630" t="s">
        <v>292</v>
      </c>
      <c r="B54" s="630" t="s">
        <v>283</v>
      </c>
      <c r="C54" s="630" t="s">
        <v>177</v>
      </c>
      <c r="D54" s="630" t="s">
        <v>293</v>
      </c>
      <c r="E54" s="630"/>
      <c r="F54" s="635">
        <v>0</v>
      </c>
      <c r="G54" s="635">
        <v>0</v>
      </c>
      <c r="H54" s="630">
        <v>0</v>
      </c>
      <c r="I54" s="630"/>
      <c r="J54" s="633">
        <v>18760</v>
      </c>
      <c r="K54" s="630"/>
      <c r="L54" s="630">
        <v>0</v>
      </c>
      <c r="M54" s="630"/>
      <c r="N54" s="630"/>
      <c r="O54" s="630"/>
      <c r="P54" s="630"/>
      <c r="Q54" s="630"/>
      <c r="R54" s="630">
        <v>0</v>
      </c>
      <c r="S54" s="630"/>
      <c r="U54"/>
    </row>
    <row r="55" spans="1:21" ht="16.5">
      <c r="A55" s="630" t="s">
        <v>292</v>
      </c>
      <c r="B55" s="630" t="s">
        <v>283</v>
      </c>
      <c r="C55" s="630" t="s">
        <v>168</v>
      </c>
      <c r="D55" s="630" t="s">
        <v>293</v>
      </c>
      <c r="E55" s="630"/>
      <c r="F55" s="635">
        <v>0</v>
      </c>
      <c r="G55" s="635">
        <v>0</v>
      </c>
      <c r="H55" s="630">
        <v>0</v>
      </c>
      <c r="I55" s="630"/>
      <c r="J55" s="630">
        <v>320</v>
      </c>
      <c r="K55" s="630"/>
      <c r="L55" s="630">
        <v>0</v>
      </c>
      <c r="M55" s="630"/>
      <c r="N55" s="630"/>
      <c r="O55" s="630"/>
      <c r="P55" s="630"/>
      <c r="Q55" s="630"/>
      <c r="R55" s="630">
        <v>0</v>
      </c>
      <c r="S55" s="630"/>
      <c r="U55"/>
    </row>
    <row r="56" spans="1:21" ht="16.5">
      <c r="A56" s="630" t="s">
        <v>292</v>
      </c>
      <c r="B56" s="630" t="s">
        <v>283</v>
      </c>
      <c r="C56" s="630" t="s">
        <v>140</v>
      </c>
      <c r="D56" s="630" t="s">
        <v>293</v>
      </c>
      <c r="E56" s="630"/>
      <c r="F56" s="635">
        <v>0</v>
      </c>
      <c r="G56" s="635">
        <v>0</v>
      </c>
      <c r="H56" s="630">
        <v>0</v>
      </c>
      <c r="I56" s="630"/>
      <c r="J56" s="630">
        <v>980</v>
      </c>
      <c r="K56" s="630"/>
      <c r="L56" s="630">
        <v>0</v>
      </c>
      <c r="M56" s="630"/>
      <c r="N56" s="630"/>
      <c r="O56" s="630"/>
      <c r="P56" s="630"/>
      <c r="Q56" s="630"/>
      <c r="R56" s="630">
        <v>0</v>
      </c>
      <c r="S56" s="630"/>
      <c r="U56"/>
    </row>
    <row r="57" spans="1:21" ht="16.5">
      <c r="A57" s="630" t="s">
        <v>294</v>
      </c>
      <c r="B57" s="630"/>
      <c r="C57" s="630"/>
      <c r="D57" s="630"/>
      <c r="E57" s="630"/>
      <c r="F57" s="635">
        <v>58243987.2553</v>
      </c>
      <c r="G57" s="635">
        <v>2481339622.5651999</v>
      </c>
      <c r="H57" s="632">
        <v>52100338592.919998</v>
      </c>
      <c r="I57" s="633">
        <v>1036286160</v>
      </c>
      <c r="J57" s="633">
        <v>271499680</v>
      </c>
      <c r="K57" s="633">
        <v>25850800</v>
      </c>
      <c r="L57" s="632">
        <v>52125244567.919998</v>
      </c>
      <c r="M57" s="632">
        <v>24905975</v>
      </c>
      <c r="N57" s="630">
        <v>0</v>
      </c>
      <c r="O57" s="630">
        <v>0</v>
      </c>
      <c r="P57" s="630">
        <v>0</v>
      </c>
      <c r="Q57" s="630">
        <v>0</v>
      </c>
      <c r="R57" s="630">
        <v>0</v>
      </c>
      <c r="S57" s="630">
        <v>0</v>
      </c>
      <c r="U57"/>
    </row>
    <row r="58" spans="1:21" ht="16.5">
      <c r="A58" s="631">
        <v>37622</v>
      </c>
      <c r="B58" s="630" t="s">
        <v>295</v>
      </c>
      <c r="C58" s="630" t="s">
        <v>37</v>
      </c>
      <c r="D58" s="630" t="s">
        <v>296</v>
      </c>
      <c r="E58" s="633">
        <v>1680</v>
      </c>
      <c r="F58" s="635">
        <v>0</v>
      </c>
      <c r="G58" s="635">
        <v>0</v>
      </c>
      <c r="H58" s="632">
        <v>-7563386</v>
      </c>
      <c r="I58" s="630"/>
      <c r="J58" s="630"/>
      <c r="K58" s="630"/>
      <c r="L58" s="630">
        <v>0</v>
      </c>
      <c r="M58" s="630"/>
      <c r="N58" s="632">
        <v>7563386</v>
      </c>
      <c r="O58" s="630"/>
      <c r="P58" s="630"/>
      <c r="Q58" s="630"/>
      <c r="R58" s="630">
        <v>0</v>
      </c>
      <c r="S58" s="630"/>
      <c r="U58"/>
    </row>
    <row r="59" spans="1:21" ht="16.5">
      <c r="A59" s="631">
        <v>37622</v>
      </c>
      <c r="B59" s="630" t="s">
        <v>295</v>
      </c>
      <c r="C59" s="630" t="s">
        <v>37</v>
      </c>
      <c r="D59" s="630" t="s">
        <v>298</v>
      </c>
      <c r="E59" s="630">
        <v>840</v>
      </c>
      <c r="F59" s="635">
        <v>0</v>
      </c>
      <c r="G59" s="635">
        <v>0</v>
      </c>
      <c r="H59" s="632">
        <v>-1630098</v>
      </c>
      <c r="I59" s="630"/>
      <c r="J59" s="630"/>
      <c r="K59" s="630"/>
      <c r="L59" s="630">
        <v>0</v>
      </c>
      <c r="M59" s="630"/>
      <c r="N59" s="632">
        <v>1630098</v>
      </c>
      <c r="O59" s="630"/>
      <c r="P59" s="630"/>
      <c r="Q59" s="630"/>
      <c r="R59" s="630">
        <v>0</v>
      </c>
      <c r="S59" s="630"/>
      <c r="U59"/>
    </row>
    <row r="60" spans="1:21" ht="16.5">
      <c r="A60" s="631">
        <v>37622</v>
      </c>
      <c r="B60" s="630" t="s">
        <v>295</v>
      </c>
      <c r="C60" s="630" t="s">
        <v>37</v>
      </c>
      <c r="D60" s="630" t="s">
        <v>297</v>
      </c>
      <c r="E60" s="633">
        <v>1680</v>
      </c>
      <c r="F60" s="635">
        <v>0</v>
      </c>
      <c r="G60" s="635">
        <v>0</v>
      </c>
      <c r="H60" s="632">
        <v>-5286816</v>
      </c>
      <c r="I60" s="630"/>
      <c r="J60" s="630"/>
      <c r="K60" s="630"/>
      <c r="L60" s="630">
        <v>0</v>
      </c>
      <c r="M60" s="630"/>
      <c r="N60" s="632">
        <v>5286816</v>
      </c>
      <c r="O60" s="630"/>
      <c r="P60" s="630"/>
      <c r="Q60" s="630"/>
      <c r="R60" s="630">
        <v>0</v>
      </c>
      <c r="S60" s="630"/>
      <c r="U60"/>
    </row>
    <row r="61" spans="1:21" ht="16.5">
      <c r="A61" s="631">
        <v>37622</v>
      </c>
      <c r="B61" s="630" t="s">
        <v>295</v>
      </c>
      <c r="C61" s="630" t="s">
        <v>37</v>
      </c>
      <c r="D61" s="630" t="s">
        <v>278</v>
      </c>
      <c r="E61" s="630">
        <v>840</v>
      </c>
      <c r="F61" s="635">
        <v>0</v>
      </c>
      <c r="G61" s="635">
        <v>0</v>
      </c>
      <c r="H61" s="632">
        <v>-423233</v>
      </c>
      <c r="I61" s="630"/>
      <c r="J61" s="630"/>
      <c r="K61" s="630"/>
      <c r="L61" s="630">
        <v>0</v>
      </c>
      <c r="M61" s="630"/>
      <c r="N61" s="632">
        <v>423233</v>
      </c>
      <c r="O61" s="630"/>
      <c r="P61" s="630"/>
      <c r="Q61" s="630"/>
      <c r="R61" s="630">
        <v>0</v>
      </c>
      <c r="S61" s="630"/>
      <c r="U61"/>
    </row>
    <row r="62" spans="1:21" ht="16.5">
      <c r="A62" s="631">
        <v>41395</v>
      </c>
      <c r="B62" s="630" t="s">
        <v>295</v>
      </c>
      <c r="C62" s="630" t="s">
        <v>37</v>
      </c>
      <c r="D62" s="630" t="s">
        <v>299</v>
      </c>
      <c r="E62" s="630">
        <v>420</v>
      </c>
      <c r="F62" s="635">
        <v>0</v>
      </c>
      <c r="G62" s="635">
        <v>0</v>
      </c>
      <c r="H62" s="632">
        <v>-5428</v>
      </c>
      <c r="I62" s="630"/>
      <c r="J62" s="630"/>
      <c r="K62" s="630"/>
      <c r="L62" s="630">
        <v>0</v>
      </c>
      <c r="M62" s="630"/>
      <c r="N62" s="632">
        <v>5428</v>
      </c>
      <c r="O62" s="630"/>
      <c r="P62" s="630"/>
      <c r="Q62" s="630"/>
      <c r="R62" s="630">
        <v>0</v>
      </c>
      <c r="S62" s="630"/>
      <c r="U62"/>
    </row>
    <row r="63" spans="1:21" ht="16.5">
      <c r="A63" s="631">
        <v>41395</v>
      </c>
      <c r="B63" s="630" t="s">
        <v>295</v>
      </c>
      <c r="C63" s="630" t="s">
        <v>37</v>
      </c>
      <c r="D63" s="630" t="s">
        <v>300</v>
      </c>
      <c r="E63" s="630">
        <v>420</v>
      </c>
      <c r="F63" s="635">
        <v>0</v>
      </c>
      <c r="G63" s="635">
        <v>0</v>
      </c>
      <c r="H63" s="632">
        <v>-504724</v>
      </c>
      <c r="I63" s="630"/>
      <c r="J63" s="630"/>
      <c r="K63" s="630"/>
      <c r="L63" s="630">
        <v>0</v>
      </c>
      <c r="M63" s="630"/>
      <c r="N63" s="632">
        <v>504724</v>
      </c>
      <c r="O63" s="630"/>
      <c r="P63" s="630"/>
      <c r="Q63" s="630"/>
      <c r="R63" s="630">
        <v>0</v>
      </c>
      <c r="S63" s="630"/>
      <c r="U63"/>
    </row>
    <row r="64" spans="1:21" ht="16.5">
      <c r="A64" s="631">
        <v>44896</v>
      </c>
      <c r="B64" s="630" t="s">
        <v>295</v>
      </c>
      <c r="C64" s="630" t="s">
        <v>172</v>
      </c>
      <c r="D64" s="630" t="s">
        <v>300</v>
      </c>
      <c r="E64" s="633">
        <v>2470</v>
      </c>
      <c r="F64" s="635">
        <v>0</v>
      </c>
      <c r="G64" s="635">
        <v>0</v>
      </c>
      <c r="H64" s="632">
        <v>-289578</v>
      </c>
      <c r="I64" s="630"/>
      <c r="J64" s="630"/>
      <c r="K64" s="630"/>
      <c r="L64" s="630">
        <v>0</v>
      </c>
      <c r="M64" s="630"/>
      <c r="N64" s="632">
        <v>289578</v>
      </c>
      <c r="O64" s="630"/>
      <c r="P64" s="630"/>
      <c r="Q64" s="630"/>
      <c r="R64" s="630">
        <v>0</v>
      </c>
      <c r="S64" s="630"/>
      <c r="U64"/>
    </row>
    <row r="65" spans="1:21" ht="16.5">
      <c r="A65" s="631">
        <v>44896</v>
      </c>
      <c r="B65" s="630" t="s">
        <v>295</v>
      </c>
      <c r="C65" s="630" t="s">
        <v>172</v>
      </c>
      <c r="D65" s="630" t="s">
        <v>297</v>
      </c>
      <c r="E65" s="633">
        <v>9900</v>
      </c>
      <c r="F65" s="635">
        <v>0</v>
      </c>
      <c r="G65" s="635">
        <v>0</v>
      </c>
      <c r="H65" s="632">
        <v>-1401530</v>
      </c>
      <c r="I65" s="630"/>
      <c r="J65" s="630"/>
      <c r="K65" s="630"/>
      <c r="L65" s="630">
        <v>0</v>
      </c>
      <c r="M65" s="630"/>
      <c r="N65" s="632">
        <v>1401530</v>
      </c>
      <c r="O65" s="630"/>
      <c r="P65" s="630"/>
      <c r="Q65" s="630"/>
      <c r="R65" s="630">
        <v>0</v>
      </c>
      <c r="S65" s="619"/>
      <c r="U65"/>
    </row>
    <row r="66" spans="1:21" ht="16.5">
      <c r="A66" s="631">
        <v>44896</v>
      </c>
      <c r="B66" s="630" t="s">
        <v>295</v>
      </c>
      <c r="C66" s="630" t="s">
        <v>38</v>
      </c>
      <c r="D66" s="630" t="s">
        <v>300</v>
      </c>
      <c r="E66" s="633">
        <v>2470</v>
      </c>
      <c r="F66" s="635">
        <v>0</v>
      </c>
      <c r="G66" s="635">
        <v>0</v>
      </c>
      <c r="H66" s="632">
        <v>-381812</v>
      </c>
      <c r="I66" s="630"/>
      <c r="J66" s="630"/>
      <c r="K66" s="630"/>
      <c r="L66" s="630">
        <v>0</v>
      </c>
      <c r="M66" s="630"/>
      <c r="N66" s="632">
        <v>381812</v>
      </c>
      <c r="O66" s="630"/>
      <c r="P66" s="630"/>
      <c r="Q66" s="630"/>
      <c r="R66" s="630">
        <v>0</v>
      </c>
      <c r="S66" s="619"/>
      <c r="U66"/>
    </row>
    <row r="67" spans="1:21" ht="16.5">
      <c r="A67" s="631">
        <v>44896</v>
      </c>
      <c r="B67" s="630" t="s">
        <v>295</v>
      </c>
      <c r="C67" s="630" t="s">
        <v>38</v>
      </c>
      <c r="D67" s="630" t="s">
        <v>297</v>
      </c>
      <c r="E67" s="633">
        <v>9900</v>
      </c>
      <c r="F67" s="635">
        <v>0</v>
      </c>
      <c r="G67" s="635">
        <v>0</v>
      </c>
      <c r="H67" s="632">
        <v>-6066609</v>
      </c>
      <c r="I67" s="630"/>
      <c r="J67" s="630"/>
      <c r="K67" s="630"/>
      <c r="L67" s="630">
        <v>0</v>
      </c>
      <c r="M67" s="630"/>
      <c r="N67" s="632">
        <v>6066609</v>
      </c>
      <c r="O67" s="630"/>
      <c r="P67" s="630"/>
      <c r="Q67" s="630"/>
      <c r="R67" s="630">
        <v>0</v>
      </c>
      <c r="S67" s="619"/>
      <c r="U67"/>
    </row>
    <row r="68" spans="1:21" ht="16.5">
      <c r="A68" s="631">
        <v>44896</v>
      </c>
      <c r="B68" s="630" t="s">
        <v>295</v>
      </c>
      <c r="C68" s="630" t="s">
        <v>171</v>
      </c>
      <c r="D68" s="630" t="s">
        <v>296</v>
      </c>
      <c r="E68" s="633">
        <v>86000</v>
      </c>
      <c r="F68" s="635">
        <v>0</v>
      </c>
      <c r="G68" s="635">
        <v>0</v>
      </c>
      <c r="H68" s="632">
        <v>86000</v>
      </c>
      <c r="I68" s="630"/>
      <c r="J68" s="630"/>
      <c r="K68" s="630"/>
      <c r="L68" s="630">
        <v>0</v>
      </c>
      <c r="M68" s="630"/>
      <c r="N68" s="632">
        <v>-86000</v>
      </c>
      <c r="O68" s="630"/>
      <c r="P68" s="630"/>
      <c r="Q68" s="630"/>
      <c r="R68" s="630">
        <v>0</v>
      </c>
      <c r="S68" s="619"/>
      <c r="U68"/>
    </row>
    <row r="69" spans="1:21" ht="16.5">
      <c r="A69" s="631">
        <v>44896</v>
      </c>
      <c r="B69" s="630" t="s">
        <v>295</v>
      </c>
      <c r="C69" s="630" t="s">
        <v>171</v>
      </c>
      <c r="D69" s="630" t="s">
        <v>300</v>
      </c>
      <c r="E69" s="633">
        <v>18000</v>
      </c>
      <c r="F69" s="635">
        <v>0</v>
      </c>
      <c r="G69" s="635">
        <v>0</v>
      </c>
      <c r="H69" s="632">
        <v>-36614549</v>
      </c>
      <c r="I69" s="630"/>
      <c r="J69" s="630"/>
      <c r="K69" s="630"/>
      <c r="L69" s="630">
        <v>0</v>
      </c>
      <c r="M69" s="630"/>
      <c r="N69" s="632">
        <v>36614549</v>
      </c>
      <c r="O69" s="630"/>
      <c r="P69" s="630"/>
      <c r="Q69" s="630"/>
      <c r="R69" s="630">
        <v>0</v>
      </c>
      <c r="S69" s="619"/>
      <c r="U69"/>
    </row>
    <row r="70" spans="1:21" ht="16.5">
      <c r="A70" s="631">
        <v>44896</v>
      </c>
      <c r="B70" s="630" t="s">
        <v>295</v>
      </c>
      <c r="C70" s="630" t="s">
        <v>171</v>
      </c>
      <c r="D70" s="630" t="s">
        <v>297</v>
      </c>
      <c r="E70" s="633">
        <v>72000</v>
      </c>
      <c r="F70" s="635">
        <v>0</v>
      </c>
      <c r="G70" s="635">
        <v>0</v>
      </c>
      <c r="H70" s="632">
        <v>-242790849</v>
      </c>
      <c r="I70" s="630"/>
      <c r="J70" s="630"/>
      <c r="K70" s="630"/>
      <c r="L70" s="630">
        <v>0</v>
      </c>
      <c r="M70" s="630"/>
      <c r="N70" s="632">
        <v>242790849</v>
      </c>
      <c r="O70" s="630"/>
      <c r="P70" s="630"/>
      <c r="Q70" s="630"/>
      <c r="R70" s="630">
        <v>0</v>
      </c>
      <c r="S70" s="619"/>
      <c r="U70"/>
    </row>
    <row r="71" spans="1:21" ht="16.5">
      <c r="A71" s="631">
        <v>45261</v>
      </c>
      <c r="B71" s="630" t="s">
        <v>295</v>
      </c>
      <c r="C71" s="630" t="s">
        <v>172</v>
      </c>
      <c r="D71" s="630" t="s">
        <v>299</v>
      </c>
      <c r="E71" s="633">
        <v>2470</v>
      </c>
      <c r="F71" s="635">
        <v>0</v>
      </c>
      <c r="G71" s="635">
        <v>0</v>
      </c>
      <c r="H71" s="632">
        <v>-4940</v>
      </c>
      <c r="I71" s="630"/>
      <c r="J71" s="630"/>
      <c r="K71" s="630"/>
      <c r="L71" s="630">
        <v>0</v>
      </c>
      <c r="M71" s="630"/>
      <c r="N71" s="632">
        <v>4940</v>
      </c>
      <c r="O71" s="630"/>
      <c r="P71" s="630"/>
      <c r="Q71" s="630"/>
      <c r="R71" s="630">
        <v>0</v>
      </c>
      <c r="S71" s="619"/>
      <c r="U71"/>
    </row>
    <row r="72" spans="1:21" ht="16.5">
      <c r="A72" s="631">
        <v>45261</v>
      </c>
      <c r="B72" s="630" t="s">
        <v>295</v>
      </c>
      <c r="C72" s="630" t="s">
        <v>172</v>
      </c>
      <c r="D72" s="630" t="s">
        <v>296</v>
      </c>
      <c r="E72" s="633">
        <v>9900</v>
      </c>
      <c r="F72" s="635">
        <v>0</v>
      </c>
      <c r="G72" s="635">
        <v>0</v>
      </c>
      <c r="H72" s="632">
        <v>-311946</v>
      </c>
      <c r="I72" s="630"/>
      <c r="J72" s="630"/>
      <c r="K72" s="630"/>
      <c r="L72" s="630">
        <v>0</v>
      </c>
      <c r="M72" s="630"/>
      <c r="N72" s="632">
        <v>311946</v>
      </c>
      <c r="O72" s="630"/>
      <c r="P72" s="630"/>
      <c r="Q72" s="630"/>
      <c r="R72" s="630">
        <v>0</v>
      </c>
      <c r="S72" s="619"/>
      <c r="U72"/>
    </row>
    <row r="73" spans="1:21" ht="16.5">
      <c r="A73" s="631">
        <v>45261</v>
      </c>
      <c r="B73" s="630" t="s">
        <v>295</v>
      </c>
      <c r="C73" s="630" t="s">
        <v>172</v>
      </c>
      <c r="D73" s="630" t="s">
        <v>298</v>
      </c>
      <c r="E73" s="633">
        <v>4950</v>
      </c>
      <c r="F73" s="635">
        <v>0</v>
      </c>
      <c r="G73" s="635">
        <v>0</v>
      </c>
      <c r="H73" s="632">
        <v>-105370</v>
      </c>
      <c r="I73" s="630"/>
      <c r="J73" s="630"/>
      <c r="K73" s="630"/>
      <c r="L73" s="630">
        <v>0</v>
      </c>
      <c r="M73" s="630"/>
      <c r="N73" s="632">
        <v>105370</v>
      </c>
      <c r="O73" s="630"/>
      <c r="P73" s="630"/>
      <c r="Q73" s="630"/>
      <c r="R73" s="630">
        <v>0</v>
      </c>
      <c r="S73" s="619"/>
      <c r="U73"/>
    </row>
    <row r="74" spans="1:21" ht="16.5">
      <c r="A74" s="631">
        <v>45261</v>
      </c>
      <c r="B74" s="630" t="s">
        <v>295</v>
      </c>
      <c r="C74" s="630" t="s">
        <v>172</v>
      </c>
      <c r="D74" s="630" t="s">
        <v>278</v>
      </c>
      <c r="E74" s="633">
        <v>4950</v>
      </c>
      <c r="F74" s="635">
        <v>0</v>
      </c>
      <c r="G74" s="635">
        <v>0</v>
      </c>
      <c r="H74" s="632">
        <v>-80819</v>
      </c>
      <c r="I74" s="630"/>
      <c r="J74" s="630"/>
      <c r="K74" s="630"/>
      <c r="L74" s="630">
        <v>0</v>
      </c>
      <c r="M74" s="630"/>
      <c r="N74" s="632">
        <v>80819</v>
      </c>
      <c r="O74" s="630"/>
      <c r="P74" s="630"/>
      <c r="Q74" s="630"/>
      <c r="R74" s="630">
        <v>0</v>
      </c>
      <c r="S74" s="619"/>
      <c r="U74"/>
    </row>
    <row r="75" spans="1:21" ht="16.5">
      <c r="A75" s="631">
        <v>45261</v>
      </c>
      <c r="B75" s="630" t="s">
        <v>295</v>
      </c>
      <c r="C75" s="630" t="s">
        <v>38</v>
      </c>
      <c r="D75" s="630" t="s">
        <v>296</v>
      </c>
      <c r="E75" s="633">
        <v>9900</v>
      </c>
      <c r="F75" s="635">
        <v>0</v>
      </c>
      <c r="G75" s="635">
        <v>0</v>
      </c>
      <c r="H75" s="632">
        <v>-25699301</v>
      </c>
      <c r="I75" s="630"/>
      <c r="J75" s="630"/>
      <c r="K75" s="630"/>
      <c r="L75" s="630">
        <v>0</v>
      </c>
      <c r="M75" s="630"/>
      <c r="N75" s="632">
        <v>25699301</v>
      </c>
      <c r="O75" s="630"/>
      <c r="P75" s="630"/>
      <c r="Q75" s="630"/>
      <c r="R75" s="630">
        <v>0</v>
      </c>
      <c r="S75" s="619"/>
      <c r="U75"/>
    </row>
    <row r="76" spans="1:21" ht="16.5">
      <c r="A76" s="631">
        <v>45261</v>
      </c>
      <c r="B76" s="630" t="s">
        <v>295</v>
      </c>
      <c r="C76" s="630" t="s">
        <v>38</v>
      </c>
      <c r="D76" s="630" t="s">
        <v>298</v>
      </c>
      <c r="E76" s="633">
        <v>4950</v>
      </c>
      <c r="F76" s="635">
        <v>0</v>
      </c>
      <c r="G76" s="635">
        <v>0</v>
      </c>
      <c r="H76" s="632">
        <v>-1650129</v>
      </c>
      <c r="I76" s="630"/>
      <c r="J76" s="630"/>
      <c r="K76" s="630"/>
      <c r="L76" s="630">
        <v>0</v>
      </c>
      <c r="M76" s="630"/>
      <c r="N76" s="632">
        <v>1650129</v>
      </c>
      <c r="O76" s="630"/>
      <c r="P76" s="630"/>
      <c r="Q76" s="630"/>
      <c r="R76" s="630">
        <v>0</v>
      </c>
      <c r="S76" s="619"/>
      <c r="U76"/>
    </row>
    <row r="77" spans="1:21" ht="16.5">
      <c r="A77" s="631">
        <v>45261</v>
      </c>
      <c r="B77" s="630" t="s">
        <v>295</v>
      </c>
      <c r="C77" s="630" t="s">
        <v>38</v>
      </c>
      <c r="D77" s="630" t="s">
        <v>278</v>
      </c>
      <c r="E77" s="633">
        <v>4950</v>
      </c>
      <c r="F77" s="635">
        <v>0</v>
      </c>
      <c r="G77" s="635">
        <v>0</v>
      </c>
      <c r="H77" s="632">
        <v>-387378</v>
      </c>
      <c r="I77" s="630"/>
      <c r="J77" s="630"/>
      <c r="K77" s="630"/>
      <c r="L77" s="630">
        <v>0</v>
      </c>
      <c r="M77" s="630"/>
      <c r="N77" s="632">
        <v>387378</v>
      </c>
      <c r="O77" s="630"/>
      <c r="P77" s="630"/>
      <c r="Q77" s="630"/>
      <c r="R77" s="630">
        <v>0</v>
      </c>
      <c r="S77" s="619"/>
      <c r="U77"/>
    </row>
    <row r="78" spans="1:21" ht="16.5">
      <c r="A78" s="631">
        <v>45261</v>
      </c>
      <c r="B78" s="630" t="s">
        <v>295</v>
      </c>
      <c r="C78" s="630" t="s">
        <v>171</v>
      </c>
      <c r="D78" s="630" t="s">
        <v>299</v>
      </c>
      <c r="E78" s="633">
        <v>2470</v>
      </c>
      <c r="F78" s="635">
        <v>0</v>
      </c>
      <c r="G78" s="635">
        <v>0</v>
      </c>
      <c r="H78" s="632">
        <v>-493525</v>
      </c>
      <c r="I78" s="630"/>
      <c r="J78" s="630"/>
      <c r="K78" s="630"/>
      <c r="L78" s="630">
        <v>0</v>
      </c>
      <c r="M78" s="630"/>
      <c r="N78" s="632">
        <v>493525</v>
      </c>
      <c r="O78" s="630"/>
      <c r="P78" s="630"/>
      <c r="Q78" s="630"/>
      <c r="R78" s="630">
        <v>0</v>
      </c>
      <c r="S78" s="619"/>
      <c r="U78"/>
    </row>
    <row r="79" spans="1:21" ht="16.5">
      <c r="A79" s="631">
        <v>45261</v>
      </c>
      <c r="B79" s="630" t="s">
        <v>295</v>
      </c>
      <c r="C79" s="630" t="s">
        <v>171</v>
      </c>
      <c r="D79" s="630" t="s">
        <v>296</v>
      </c>
      <c r="E79" s="633">
        <v>148000</v>
      </c>
      <c r="F79" s="635">
        <v>0</v>
      </c>
      <c r="G79" s="635">
        <v>0</v>
      </c>
      <c r="H79" s="632">
        <v>-434991124</v>
      </c>
      <c r="I79" s="630"/>
      <c r="J79" s="630"/>
      <c r="K79" s="630"/>
      <c r="L79" s="630">
        <v>0</v>
      </c>
      <c r="M79" s="630"/>
      <c r="N79" s="632">
        <v>434991124</v>
      </c>
      <c r="O79" s="630"/>
      <c r="P79" s="630"/>
      <c r="Q79" s="630"/>
      <c r="R79" s="630">
        <v>0</v>
      </c>
      <c r="S79" s="619"/>
      <c r="U79"/>
    </row>
    <row r="80" spans="1:21" ht="16.5">
      <c r="A80" s="631">
        <v>45261</v>
      </c>
      <c r="B80" s="630" t="s">
        <v>295</v>
      </c>
      <c r="C80" s="630" t="s">
        <v>171</v>
      </c>
      <c r="D80" s="630" t="s">
        <v>298</v>
      </c>
      <c r="E80" s="633">
        <v>148000</v>
      </c>
      <c r="F80" s="635">
        <v>0</v>
      </c>
      <c r="G80" s="635">
        <v>0</v>
      </c>
      <c r="H80" s="632">
        <v>-90642372</v>
      </c>
      <c r="I80" s="630"/>
      <c r="J80" s="630"/>
      <c r="K80" s="630"/>
      <c r="L80" s="630">
        <v>0</v>
      </c>
      <c r="M80" s="630"/>
      <c r="N80" s="632">
        <v>90642372</v>
      </c>
      <c r="O80" s="630"/>
      <c r="P80" s="630"/>
      <c r="Q80" s="630"/>
      <c r="R80" s="630">
        <v>0</v>
      </c>
      <c r="S80" s="619"/>
      <c r="U80"/>
    </row>
    <row r="81" spans="1:21" ht="16.5">
      <c r="A81" s="631">
        <v>45261</v>
      </c>
      <c r="B81" s="630" t="s">
        <v>295</v>
      </c>
      <c r="C81" s="630" t="s">
        <v>171</v>
      </c>
      <c r="D81" s="630" t="s">
        <v>278</v>
      </c>
      <c r="E81" s="633">
        <v>148000</v>
      </c>
      <c r="F81" s="635">
        <v>0</v>
      </c>
      <c r="G81" s="635">
        <v>0</v>
      </c>
      <c r="H81" s="632">
        <v>-28711122</v>
      </c>
      <c r="I81" s="630"/>
      <c r="J81" s="630"/>
      <c r="K81" s="630"/>
      <c r="L81" s="630">
        <v>0</v>
      </c>
      <c r="M81" s="630"/>
      <c r="N81" s="632">
        <v>28711122</v>
      </c>
      <c r="O81" s="630"/>
      <c r="P81" s="630"/>
      <c r="Q81" s="630"/>
      <c r="R81" s="630">
        <v>0</v>
      </c>
      <c r="S81" s="630"/>
      <c r="U81"/>
    </row>
    <row r="82" spans="1:21" ht="16.5">
      <c r="A82" s="630" t="s">
        <v>301</v>
      </c>
      <c r="B82" s="630"/>
      <c r="C82" s="630"/>
      <c r="D82" s="630"/>
      <c r="E82" s="630"/>
      <c r="F82" s="635">
        <v>0</v>
      </c>
      <c r="G82" s="635">
        <v>0</v>
      </c>
      <c r="H82" s="632">
        <v>-885950638</v>
      </c>
      <c r="I82" s="630"/>
      <c r="J82" s="630"/>
      <c r="K82" s="630"/>
      <c r="L82" s="630">
        <v>0</v>
      </c>
      <c r="M82" s="630">
        <v>0</v>
      </c>
      <c r="N82" s="632">
        <v>885950638</v>
      </c>
      <c r="O82" s="630">
        <v>0</v>
      </c>
      <c r="P82" s="630">
        <v>0</v>
      </c>
      <c r="Q82" s="630">
        <v>0</v>
      </c>
      <c r="R82" s="630">
        <v>0</v>
      </c>
      <c r="S82" s="630">
        <v>0</v>
      </c>
      <c r="U82"/>
    </row>
    <row r="83" spans="1:21" ht="16.5">
      <c r="A83" s="630" t="s">
        <v>302</v>
      </c>
      <c r="B83" s="630" t="s">
        <v>303</v>
      </c>
      <c r="C83" s="630" t="s">
        <v>168</v>
      </c>
      <c r="D83" s="630" t="s">
        <v>106</v>
      </c>
      <c r="E83" s="630"/>
      <c r="F83" s="635">
        <v>0</v>
      </c>
      <c r="G83" s="635">
        <v>0</v>
      </c>
      <c r="H83" s="632">
        <v>-3183922</v>
      </c>
      <c r="I83" s="630"/>
      <c r="J83" s="630"/>
      <c r="K83" s="630"/>
      <c r="L83" s="630">
        <v>0</v>
      </c>
      <c r="M83" s="630"/>
      <c r="N83" s="630"/>
      <c r="O83" s="630"/>
      <c r="P83" s="630"/>
      <c r="Q83" s="632">
        <v>1809916</v>
      </c>
      <c r="R83" s="632">
        <v>1374006</v>
      </c>
      <c r="S83" s="630"/>
      <c r="U83"/>
    </row>
    <row r="84" spans="1:21" ht="16.5">
      <c r="A84" s="630" t="s">
        <v>302</v>
      </c>
      <c r="B84" s="630" t="s">
        <v>303</v>
      </c>
      <c r="C84" s="630" t="s">
        <v>140</v>
      </c>
      <c r="D84" s="630" t="s">
        <v>106</v>
      </c>
      <c r="E84" s="630"/>
      <c r="F84" s="635">
        <v>0</v>
      </c>
      <c r="G84" s="635">
        <v>0</v>
      </c>
      <c r="H84" s="632">
        <v>-2993395</v>
      </c>
      <c r="I84" s="630"/>
      <c r="J84" s="630"/>
      <c r="K84" s="630"/>
      <c r="L84" s="630">
        <v>0</v>
      </c>
      <c r="M84" s="630"/>
      <c r="N84" s="630"/>
      <c r="O84" s="630"/>
      <c r="P84" s="630"/>
      <c r="Q84" s="632">
        <v>1701217</v>
      </c>
      <c r="R84" s="632">
        <v>1292178</v>
      </c>
      <c r="S84" s="630"/>
      <c r="U84"/>
    </row>
    <row r="85" spans="1:21" ht="16.5">
      <c r="A85" s="630" t="s">
        <v>304</v>
      </c>
      <c r="B85" s="630"/>
      <c r="C85" s="630"/>
      <c r="D85" s="630"/>
      <c r="E85" s="630"/>
      <c r="F85" s="635">
        <v>0</v>
      </c>
      <c r="G85" s="635">
        <v>0</v>
      </c>
      <c r="H85" s="632">
        <v>-6177317</v>
      </c>
      <c r="I85" s="630"/>
      <c r="J85" s="630"/>
      <c r="K85" s="630"/>
      <c r="L85" s="630">
        <v>0</v>
      </c>
      <c r="M85" s="630">
        <v>0</v>
      </c>
      <c r="N85" s="630">
        <v>0</v>
      </c>
      <c r="O85" s="630">
        <v>0</v>
      </c>
      <c r="P85" s="630">
        <v>0</v>
      </c>
      <c r="Q85" s="632">
        <v>3511133</v>
      </c>
      <c r="R85" s="632">
        <v>2666184</v>
      </c>
      <c r="S85" s="630">
        <v>0</v>
      </c>
      <c r="U85"/>
    </row>
    <row r="86" spans="1:21" ht="16.5">
      <c r="A86" s="630" t="s">
        <v>292</v>
      </c>
      <c r="B86" s="630" t="s">
        <v>305</v>
      </c>
      <c r="C86" s="630" t="s">
        <v>141</v>
      </c>
      <c r="D86" s="630" t="s">
        <v>141</v>
      </c>
      <c r="E86" s="630"/>
      <c r="F86" s="635">
        <v>0</v>
      </c>
      <c r="G86" s="635">
        <v>0</v>
      </c>
      <c r="H86" s="632">
        <v>3958483.08</v>
      </c>
      <c r="I86" s="630"/>
      <c r="J86" s="630"/>
      <c r="K86" s="630"/>
      <c r="L86" s="632">
        <v>3958483.08</v>
      </c>
      <c r="M86" s="630"/>
      <c r="N86" s="630"/>
      <c r="O86" s="630"/>
      <c r="P86" s="630"/>
      <c r="Q86" s="630"/>
      <c r="R86" s="630">
        <v>0</v>
      </c>
      <c r="S86" s="630"/>
      <c r="U86"/>
    </row>
    <row r="87" spans="1:21" ht="16.5">
      <c r="A87" s="630" t="s">
        <v>306</v>
      </c>
      <c r="B87" s="630"/>
      <c r="C87" s="630"/>
      <c r="D87" s="630"/>
      <c r="E87" s="630"/>
      <c r="F87" s="635">
        <v>0</v>
      </c>
      <c r="G87" s="635">
        <v>0</v>
      </c>
      <c r="H87" s="632">
        <v>3958483.08</v>
      </c>
      <c r="I87" s="630"/>
      <c r="J87" s="630"/>
      <c r="K87" s="630"/>
      <c r="L87" s="632">
        <v>3958483.08</v>
      </c>
      <c r="M87" s="630">
        <v>0</v>
      </c>
      <c r="N87" s="630">
        <v>0</v>
      </c>
      <c r="O87" s="630">
        <v>0</v>
      </c>
      <c r="P87" s="630">
        <v>0</v>
      </c>
      <c r="Q87" s="630">
        <v>0</v>
      </c>
      <c r="R87" s="630">
        <v>0</v>
      </c>
      <c r="S87" s="630">
        <v>0</v>
      </c>
      <c r="U87"/>
    </row>
    <row r="88" spans="1:21" ht="16.5">
      <c r="A88" s="630"/>
      <c r="B88" s="630" t="s">
        <v>307</v>
      </c>
      <c r="C88" s="630" t="s">
        <v>37</v>
      </c>
      <c r="D88" s="630" t="s">
        <v>37</v>
      </c>
      <c r="E88" s="630"/>
      <c r="F88" s="635">
        <v>-2947.5711999999999</v>
      </c>
      <c r="G88" s="635">
        <v>-126144.45299999999</v>
      </c>
      <c r="H88" s="632">
        <v>-2750398</v>
      </c>
      <c r="I88" s="630"/>
      <c r="J88" s="630"/>
      <c r="K88" s="630"/>
      <c r="L88" s="632">
        <v>-2750398</v>
      </c>
      <c r="M88" s="630"/>
      <c r="N88" s="630"/>
      <c r="O88" s="630"/>
      <c r="P88" s="630"/>
      <c r="Q88" s="630"/>
      <c r="R88" s="630">
        <v>0</v>
      </c>
      <c r="S88" s="630"/>
      <c r="U88"/>
    </row>
    <row r="89" spans="1:21" ht="16.5">
      <c r="A89" s="630"/>
      <c r="B89" s="630" t="s">
        <v>307</v>
      </c>
      <c r="C89" s="630" t="s">
        <v>178</v>
      </c>
      <c r="D89" s="630" t="s">
        <v>284</v>
      </c>
      <c r="E89" s="630"/>
      <c r="F89" s="635">
        <v>-60708.962099999997</v>
      </c>
      <c r="G89" s="635">
        <v>-2596776.1365999999</v>
      </c>
      <c r="H89" s="632">
        <v>-56582880</v>
      </c>
      <c r="I89" s="630"/>
      <c r="J89" s="630"/>
      <c r="K89" s="630"/>
      <c r="L89" s="632">
        <v>-56582880</v>
      </c>
      <c r="M89" s="630"/>
      <c r="N89" s="630"/>
      <c r="O89" s="630"/>
      <c r="P89" s="630"/>
      <c r="Q89" s="630"/>
      <c r="R89" s="630">
        <v>0</v>
      </c>
      <c r="S89" s="630"/>
      <c r="U89"/>
    </row>
    <row r="90" spans="1:21" ht="16.5">
      <c r="A90" s="630"/>
      <c r="B90" s="630" t="s">
        <v>307</v>
      </c>
      <c r="C90" s="630" t="s">
        <v>171</v>
      </c>
      <c r="D90" s="630" t="s">
        <v>285</v>
      </c>
      <c r="E90" s="630"/>
      <c r="F90" s="635">
        <v>-71256.203800000003</v>
      </c>
      <c r="G90" s="635">
        <v>-3047144.7382999999</v>
      </c>
      <c r="H90" s="632">
        <v>-66404922</v>
      </c>
      <c r="I90" s="630"/>
      <c r="J90" s="630"/>
      <c r="K90" s="630"/>
      <c r="L90" s="632">
        <v>-66404922</v>
      </c>
      <c r="M90" s="630"/>
      <c r="N90" s="630"/>
      <c r="O90" s="630"/>
      <c r="P90" s="630"/>
      <c r="Q90" s="630"/>
      <c r="R90" s="630">
        <v>0</v>
      </c>
      <c r="S90" s="630"/>
      <c r="U90"/>
    </row>
    <row r="91" spans="1:21" ht="16.5">
      <c r="A91" s="630"/>
      <c r="B91" s="630" t="s">
        <v>307</v>
      </c>
      <c r="C91" s="630" t="s">
        <v>40</v>
      </c>
      <c r="D91" s="630" t="s">
        <v>288</v>
      </c>
      <c r="E91" s="630"/>
      <c r="F91" s="635">
        <v>-1174.0617</v>
      </c>
      <c r="G91" s="635">
        <v>-50183.004300000001</v>
      </c>
      <c r="H91" s="632">
        <v>-1048811</v>
      </c>
      <c r="I91" s="630"/>
      <c r="J91" s="630"/>
      <c r="K91" s="630"/>
      <c r="L91" s="632">
        <v>-1048811</v>
      </c>
      <c r="M91" s="630"/>
      <c r="N91" s="630"/>
      <c r="O91" s="630"/>
      <c r="P91" s="630"/>
      <c r="Q91" s="630"/>
      <c r="R91" s="630">
        <v>0</v>
      </c>
      <c r="S91" s="630"/>
    </row>
    <row r="92" spans="1:21" ht="16.5">
      <c r="A92" s="630"/>
      <c r="B92" s="630" t="s">
        <v>307</v>
      </c>
      <c r="C92" s="630" t="s">
        <v>174</v>
      </c>
      <c r="D92" s="630" t="s">
        <v>286</v>
      </c>
      <c r="E92" s="630"/>
      <c r="F92" s="635">
        <v>-497.45979999999997</v>
      </c>
      <c r="G92" s="635">
        <v>-21332.0131</v>
      </c>
      <c r="H92" s="632">
        <v>-451972.46</v>
      </c>
      <c r="I92" s="630"/>
      <c r="J92" s="630"/>
      <c r="K92" s="630"/>
      <c r="L92" s="632">
        <v>-451972.46</v>
      </c>
      <c r="M92" s="630"/>
      <c r="N92" s="630"/>
      <c r="O92" s="630"/>
      <c r="P92" s="630"/>
      <c r="Q92" s="630"/>
      <c r="R92" s="630">
        <v>0</v>
      </c>
      <c r="S92" s="630"/>
    </row>
    <row r="93" spans="1:21" ht="16.5">
      <c r="A93" s="630"/>
      <c r="B93" s="630" t="s">
        <v>307</v>
      </c>
      <c r="C93" s="630" t="s">
        <v>174</v>
      </c>
      <c r="D93" s="630" t="s">
        <v>290</v>
      </c>
      <c r="E93" s="630"/>
      <c r="F93" s="635">
        <v>-4.4668999999999999</v>
      </c>
      <c r="G93" s="635">
        <v>-190.27670000000001</v>
      </c>
      <c r="H93" s="632">
        <v>-3992.15</v>
      </c>
      <c r="I93" s="630"/>
      <c r="J93" s="630"/>
      <c r="K93" s="630"/>
      <c r="L93" s="632">
        <v>-3992.15</v>
      </c>
      <c r="M93" s="630"/>
      <c r="N93" s="630"/>
      <c r="O93" s="630"/>
      <c r="P93" s="630"/>
      <c r="Q93" s="630"/>
      <c r="R93" s="630">
        <v>0</v>
      </c>
      <c r="S93" s="630"/>
    </row>
    <row r="94" spans="1:21" ht="16.5">
      <c r="A94" s="630"/>
      <c r="B94" s="630" t="s">
        <v>307</v>
      </c>
      <c r="C94" s="630" t="s">
        <v>174</v>
      </c>
      <c r="D94" s="630" t="s">
        <v>287</v>
      </c>
      <c r="E94" s="630"/>
      <c r="F94" s="635">
        <v>-2184.4688999999998</v>
      </c>
      <c r="G94" s="635">
        <v>-93360.291500000007</v>
      </c>
      <c r="H94" s="632">
        <v>-1959939.39</v>
      </c>
      <c r="I94" s="630"/>
      <c r="J94" s="630"/>
      <c r="K94" s="630"/>
      <c r="L94" s="632">
        <v>-1959939.39</v>
      </c>
      <c r="M94" s="630"/>
      <c r="N94" s="630"/>
      <c r="O94" s="630"/>
      <c r="P94" s="630"/>
      <c r="Q94" s="630"/>
      <c r="R94" s="630">
        <v>0</v>
      </c>
      <c r="S94" s="630"/>
    </row>
    <row r="95" spans="1:21" ht="16.5">
      <c r="A95" s="630"/>
      <c r="B95" s="630" t="s">
        <v>307</v>
      </c>
      <c r="C95" s="630" t="s">
        <v>173</v>
      </c>
      <c r="D95" s="630" t="s">
        <v>291</v>
      </c>
      <c r="E95" s="630"/>
      <c r="F95" s="635">
        <v>-2128.5432000000001</v>
      </c>
      <c r="G95" s="635">
        <v>-90927.108399999997</v>
      </c>
      <c r="H95" s="632">
        <v>-1908869</v>
      </c>
      <c r="I95" s="630"/>
      <c r="J95" s="630"/>
      <c r="K95" s="630"/>
      <c r="L95" s="632">
        <v>-1908869</v>
      </c>
      <c r="M95" s="630"/>
      <c r="N95" s="630"/>
      <c r="O95" s="630"/>
      <c r="P95" s="630"/>
      <c r="Q95" s="630"/>
      <c r="R95" s="630">
        <v>0</v>
      </c>
      <c r="S95" s="630"/>
    </row>
    <row r="96" spans="1:21" ht="16.5">
      <c r="A96" s="630" t="s">
        <v>308</v>
      </c>
      <c r="B96" s="630"/>
      <c r="C96" s="630"/>
      <c r="D96" s="630"/>
      <c r="E96" s="630"/>
      <c r="F96" s="635">
        <v>-140901.73759999999</v>
      </c>
      <c r="G96" s="635">
        <v>-6026058.0219000001</v>
      </c>
      <c r="H96" s="632">
        <v>-131111784</v>
      </c>
      <c r="I96" s="630"/>
      <c r="J96" s="630"/>
      <c r="K96" s="630"/>
      <c r="L96" s="632">
        <v>-131111784</v>
      </c>
      <c r="M96" s="630">
        <v>0</v>
      </c>
      <c r="N96" s="630">
        <v>0</v>
      </c>
      <c r="O96" s="630">
        <v>0</v>
      </c>
      <c r="P96" s="630">
        <v>0</v>
      </c>
      <c r="Q96" s="630">
        <v>0</v>
      </c>
      <c r="R96" s="630">
        <v>0</v>
      </c>
      <c r="S96" s="630">
        <v>0</v>
      </c>
    </row>
    <row r="97" spans="1:21" ht="16.5">
      <c r="A97" s="630" t="s">
        <v>309</v>
      </c>
      <c r="B97" s="630"/>
      <c r="C97" s="630"/>
      <c r="D97" s="630"/>
      <c r="E97" s="630"/>
      <c r="F97" s="635">
        <v>58103085.517700002</v>
      </c>
      <c r="G97" s="635">
        <v>2475313564.5433002</v>
      </c>
      <c r="H97" s="632">
        <v>51081057337</v>
      </c>
      <c r="I97" s="633">
        <v>1036286160</v>
      </c>
      <c r="J97" s="633">
        <v>271499680</v>
      </c>
      <c r="K97" s="633">
        <v>25850800</v>
      </c>
      <c r="L97" s="632">
        <v>51998091267</v>
      </c>
      <c r="M97" s="632">
        <v>24905975</v>
      </c>
      <c r="N97" s="632">
        <v>885950638</v>
      </c>
      <c r="O97" s="630">
        <v>0</v>
      </c>
      <c r="P97" s="630">
        <v>0</v>
      </c>
      <c r="Q97" s="632">
        <v>3511133</v>
      </c>
      <c r="R97" s="632">
        <v>2666184</v>
      </c>
      <c r="S97" s="630">
        <v>0</v>
      </c>
      <c r="U97"/>
    </row>
    <row r="98" spans="1:21" ht="16.5">
      <c r="A98" s="631">
        <v>45444</v>
      </c>
      <c r="B98" s="630" t="s">
        <v>310</v>
      </c>
      <c r="C98" s="630" t="s">
        <v>143</v>
      </c>
      <c r="D98" s="630" t="s">
        <v>143</v>
      </c>
      <c r="E98" s="630">
        <v>22.658000000000001</v>
      </c>
      <c r="F98" s="635">
        <v>314785.56</v>
      </c>
      <c r="G98" s="635">
        <v>13314048.6109</v>
      </c>
      <c r="H98" s="632">
        <v>301658300</v>
      </c>
      <c r="I98" s="630"/>
      <c r="J98" s="630"/>
      <c r="K98" s="630"/>
      <c r="L98" s="632">
        <v>301658300</v>
      </c>
      <c r="M98" s="630"/>
      <c r="N98" s="630"/>
      <c r="O98" s="630"/>
      <c r="P98" s="630"/>
      <c r="Q98" s="630"/>
      <c r="R98" s="630">
        <v>0</v>
      </c>
      <c r="S98" s="630"/>
      <c r="U98"/>
    </row>
    <row r="99" spans="1:21" ht="16.5">
      <c r="A99" s="630" t="s">
        <v>311</v>
      </c>
      <c r="B99" s="630"/>
      <c r="C99" s="630"/>
      <c r="D99" s="630"/>
      <c r="E99" s="630"/>
      <c r="F99" s="635">
        <v>314785.56</v>
      </c>
      <c r="G99" s="635">
        <v>13314048.6109</v>
      </c>
      <c r="H99" s="632">
        <v>301658300</v>
      </c>
      <c r="I99" s="630"/>
      <c r="J99" s="630"/>
      <c r="K99" s="630"/>
      <c r="L99" s="632">
        <v>301658300</v>
      </c>
      <c r="M99" s="630">
        <v>0</v>
      </c>
      <c r="N99" s="630">
        <v>0</v>
      </c>
      <c r="O99" s="630">
        <v>0</v>
      </c>
      <c r="P99" s="630">
        <v>0</v>
      </c>
      <c r="Q99" s="630">
        <v>0</v>
      </c>
      <c r="R99" s="630">
        <v>0</v>
      </c>
      <c r="S99" s="630">
        <v>0</v>
      </c>
      <c r="U99"/>
    </row>
    <row r="100" spans="1:21" ht="16.5">
      <c r="A100" s="630" t="s">
        <v>312</v>
      </c>
      <c r="B100" s="630"/>
      <c r="C100" s="630"/>
      <c r="D100" s="630"/>
      <c r="E100" s="630"/>
      <c r="F100" s="635">
        <v>314785.56</v>
      </c>
      <c r="G100" s="635">
        <v>13314048.6109</v>
      </c>
      <c r="H100" s="632">
        <v>301658300</v>
      </c>
      <c r="I100" s="630"/>
      <c r="J100" s="630"/>
      <c r="K100" s="630"/>
      <c r="L100" s="632">
        <v>301658300</v>
      </c>
      <c r="M100" s="630">
        <v>0</v>
      </c>
      <c r="N100" s="630">
        <v>0</v>
      </c>
      <c r="O100" s="630">
        <v>0</v>
      </c>
      <c r="P100" s="630">
        <v>0</v>
      </c>
      <c r="Q100" s="630">
        <v>0</v>
      </c>
      <c r="R100" s="630">
        <v>0</v>
      </c>
      <c r="S100" s="630">
        <v>0</v>
      </c>
      <c r="U100"/>
    </row>
    <row r="101" spans="1:21" ht="16.5">
      <c r="A101" s="630" t="s">
        <v>313</v>
      </c>
      <c r="B101" s="630"/>
      <c r="C101" s="630"/>
      <c r="D101" s="630"/>
      <c r="E101" s="630"/>
      <c r="F101" s="635">
        <v>58417871.077699997</v>
      </c>
      <c r="G101" s="635">
        <v>2488627613.1542001</v>
      </c>
      <c r="H101" s="632">
        <v>51382715637</v>
      </c>
      <c r="I101" s="633">
        <v>1036286160</v>
      </c>
      <c r="J101" s="633">
        <v>271499680</v>
      </c>
      <c r="K101" s="633">
        <v>25850800</v>
      </c>
      <c r="L101" s="632">
        <v>52299749567</v>
      </c>
      <c r="M101" s="632">
        <v>24905975</v>
      </c>
      <c r="N101" s="632">
        <v>885950638</v>
      </c>
      <c r="O101" s="630"/>
      <c r="P101" s="630">
        <v>0</v>
      </c>
      <c r="Q101" s="632">
        <v>3511133</v>
      </c>
      <c r="R101" s="632">
        <v>2666184</v>
      </c>
      <c r="S101" s="630"/>
      <c r="U101"/>
    </row>
    <row r="102" spans="1:21" ht="16.5">
      <c r="A102" s="630"/>
      <c r="B102" s="630" t="s">
        <v>314</v>
      </c>
      <c r="C102" s="630" t="s">
        <v>40</v>
      </c>
      <c r="D102" s="630" t="s">
        <v>315</v>
      </c>
      <c r="E102" s="630"/>
      <c r="F102" s="635">
        <v>987</v>
      </c>
      <c r="G102" s="635">
        <v>41867.553</v>
      </c>
      <c r="H102" s="630">
        <v>0</v>
      </c>
      <c r="I102" s="630"/>
      <c r="J102" s="630"/>
      <c r="K102" s="630"/>
      <c r="L102" s="630">
        <v>0</v>
      </c>
      <c r="M102" s="630"/>
      <c r="N102" s="630"/>
      <c r="O102" s="630"/>
      <c r="P102" s="630"/>
      <c r="Q102" s="630"/>
      <c r="R102" s="630">
        <v>0</v>
      </c>
      <c r="S102" s="630"/>
      <c r="U102"/>
    </row>
    <row r="103" spans="1:21" ht="16.5">
      <c r="A103" s="630"/>
      <c r="B103" s="630" t="s">
        <v>314</v>
      </c>
      <c r="C103" s="630" t="s">
        <v>174</v>
      </c>
      <c r="D103" s="630" t="s">
        <v>315</v>
      </c>
      <c r="E103" s="630"/>
      <c r="F103" s="635">
        <v>140</v>
      </c>
      <c r="G103" s="635">
        <v>5938.66</v>
      </c>
      <c r="H103" s="630">
        <v>0</v>
      </c>
      <c r="I103" s="630"/>
      <c r="J103" s="630"/>
      <c r="K103" s="630"/>
      <c r="L103" s="630">
        <v>0</v>
      </c>
      <c r="M103" s="630"/>
      <c r="N103" s="630"/>
      <c r="O103" s="630"/>
      <c r="P103" s="630"/>
      <c r="Q103" s="630"/>
      <c r="R103" s="630">
        <v>0</v>
      </c>
      <c r="S103" s="630"/>
      <c r="U103"/>
    </row>
    <row r="104" spans="1:21" ht="16.5">
      <c r="A104" s="630"/>
      <c r="B104" s="630" t="s">
        <v>314</v>
      </c>
      <c r="C104" s="630" t="s">
        <v>177</v>
      </c>
      <c r="D104" s="630" t="s">
        <v>315</v>
      </c>
      <c r="E104" s="630"/>
      <c r="F104" s="635">
        <v>6154</v>
      </c>
      <c r="G104" s="635">
        <v>261046.52600000001</v>
      </c>
      <c r="H104" s="630">
        <v>0</v>
      </c>
      <c r="I104" s="630"/>
      <c r="J104" s="630"/>
      <c r="K104" s="630"/>
      <c r="L104" s="630">
        <v>0</v>
      </c>
      <c r="M104" s="630"/>
      <c r="N104" s="630"/>
      <c r="O104" s="630"/>
      <c r="P104" s="630"/>
      <c r="Q104" s="630"/>
      <c r="R104" s="630">
        <v>0</v>
      </c>
      <c r="S104" s="630"/>
      <c r="U104"/>
    </row>
    <row r="105" spans="1:21" ht="16.5">
      <c r="A105" s="630"/>
      <c r="B105" s="630" t="s">
        <v>314</v>
      </c>
      <c r="C105" s="630" t="s">
        <v>47</v>
      </c>
      <c r="D105" s="630" t="s">
        <v>315</v>
      </c>
      <c r="E105" s="630"/>
      <c r="F105" s="635">
        <v>55176</v>
      </c>
      <c r="G105" s="635">
        <v>2340510.7439999999</v>
      </c>
      <c r="H105" s="630">
        <v>0</v>
      </c>
      <c r="I105" s="630"/>
      <c r="J105" s="630"/>
      <c r="K105" s="630"/>
      <c r="L105" s="630">
        <v>0</v>
      </c>
      <c r="M105" s="630"/>
      <c r="N105" s="630"/>
      <c r="O105" s="630"/>
      <c r="P105" s="630"/>
      <c r="Q105" s="630"/>
      <c r="R105" s="630">
        <v>0</v>
      </c>
      <c r="S105" s="630"/>
      <c r="U105"/>
    </row>
    <row r="106" spans="1:21" ht="16.5">
      <c r="A106" s="630"/>
      <c r="B106" s="630" t="s">
        <v>314</v>
      </c>
      <c r="C106" s="630" t="s">
        <v>168</v>
      </c>
      <c r="D106" s="630" t="s">
        <v>315</v>
      </c>
      <c r="E106" s="630"/>
      <c r="F106" s="635">
        <v>1634</v>
      </c>
      <c r="G106" s="635">
        <v>69312.645999999993</v>
      </c>
      <c r="H106" s="630">
        <v>0</v>
      </c>
      <c r="I106" s="630"/>
      <c r="J106" s="630"/>
      <c r="K106" s="630"/>
      <c r="L106" s="630">
        <v>0</v>
      </c>
      <c r="M106" s="630"/>
      <c r="N106" s="630"/>
      <c r="O106" s="630"/>
      <c r="P106" s="630"/>
      <c r="Q106" s="630"/>
      <c r="R106" s="630">
        <v>0</v>
      </c>
      <c r="S106" s="630"/>
      <c r="U106"/>
    </row>
    <row r="107" spans="1:21" ht="16.5">
      <c r="A107" s="630"/>
      <c r="B107" s="630" t="s">
        <v>314</v>
      </c>
      <c r="C107" s="630" t="s">
        <v>316</v>
      </c>
      <c r="D107" s="630" t="s">
        <v>315</v>
      </c>
      <c r="E107" s="630"/>
      <c r="F107" s="635">
        <v>161.1</v>
      </c>
      <c r="G107" s="635">
        <v>6833.7008999999998</v>
      </c>
      <c r="H107" s="630">
        <v>0</v>
      </c>
      <c r="I107" s="630"/>
      <c r="J107" s="630"/>
      <c r="K107" s="630"/>
      <c r="L107" s="630">
        <v>0</v>
      </c>
      <c r="M107" s="630"/>
      <c r="N107" s="630"/>
      <c r="O107" s="630"/>
      <c r="P107" s="630"/>
      <c r="Q107" s="630"/>
      <c r="R107" s="630">
        <v>0</v>
      </c>
      <c r="S107" s="630"/>
      <c r="U107"/>
    </row>
    <row r="108" spans="1:21" ht="16.5">
      <c r="A108" s="630" t="s">
        <v>317</v>
      </c>
      <c r="B108" s="630"/>
      <c r="C108" s="630"/>
      <c r="D108" s="630"/>
      <c r="E108" s="630"/>
      <c r="F108" s="635">
        <v>64252.1</v>
      </c>
      <c r="G108" s="635">
        <v>2725509.8298999998</v>
      </c>
      <c r="H108" s="630">
        <v>0</v>
      </c>
      <c r="I108" s="630"/>
      <c r="J108" s="630"/>
      <c r="K108" s="630"/>
      <c r="L108" s="630">
        <v>0</v>
      </c>
      <c r="M108" s="630">
        <v>0</v>
      </c>
      <c r="N108" s="630">
        <v>0</v>
      </c>
      <c r="O108" s="630">
        <v>0</v>
      </c>
      <c r="P108" s="630">
        <v>0</v>
      </c>
      <c r="Q108" s="630">
        <v>0</v>
      </c>
      <c r="R108" s="630">
        <v>0</v>
      </c>
      <c r="S108" s="630">
        <v>0</v>
      </c>
      <c r="U108"/>
    </row>
    <row r="109" spans="1:21" ht="16.5">
      <c r="A109" s="630" t="s">
        <v>318</v>
      </c>
      <c r="B109" s="630"/>
      <c r="C109" s="630"/>
      <c r="D109" s="630"/>
      <c r="E109" s="630"/>
      <c r="F109" s="635">
        <v>64252.1</v>
      </c>
      <c r="G109" s="635">
        <v>2725509.8298999998</v>
      </c>
      <c r="H109" s="630">
        <v>0</v>
      </c>
      <c r="I109" s="630"/>
      <c r="J109" s="630"/>
      <c r="K109" s="630"/>
      <c r="L109" s="630">
        <v>0</v>
      </c>
      <c r="M109" s="630">
        <v>0</v>
      </c>
      <c r="N109" s="630">
        <v>0</v>
      </c>
      <c r="O109" s="630">
        <v>0</v>
      </c>
      <c r="P109" s="630">
        <v>0</v>
      </c>
      <c r="Q109" s="630">
        <v>0</v>
      </c>
      <c r="R109" s="630">
        <v>0</v>
      </c>
      <c r="S109" s="630">
        <v>0</v>
      </c>
      <c r="U109"/>
    </row>
    <row r="110" spans="1:21" ht="16.5">
      <c r="A110" s="630" t="s">
        <v>319</v>
      </c>
      <c r="B110" s="630"/>
      <c r="C110" s="630"/>
      <c r="D110" s="630"/>
      <c r="E110" s="630"/>
      <c r="F110" s="635">
        <v>64252.1</v>
      </c>
      <c r="G110" s="635">
        <v>2725509.8298999998</v>
      </c>
      <c r="H110" s="630">
        <v>0</v>
      </c>
      <c r="I110" s="630"/>
      <c r="J110" s="630"/>
      <c r="K110" s="630"/>
      <c r="L110" s="630">
        <v>0</v>
      </c>
      <c r="M110" s="630"/>
      <c r="N110" s="630"/>
      <c r="O110" s="630"/>
      <c r="P110" s="630">
        <v>0</v>
      </c>
      <c r="Q110" s="630">
        <v>0</v>
      </c>
      <c r="R110" s="630">
        <v>0</v>
      </c>
      <c r="S110" s="630"/>
      <c r="U110"/>
    </row>
    <row r="111" spans="1:21" ht="16.5">
      <c r="A111" s="630" t="s">
        <v>320</v>
      </c>
      <c r="B111" s="630"/>
      <c r="C111" s="630"/>
      <c r="D111" s="630"/>
      <c r="E111" s="630"/>
      <c r="F111" s="635">
        <v>58482123.177699998</v>
      </c>
      <c r="G111" s="635">
        <v>2491353122.9840999</v>
      </c>
      <c r="H111" s="632">
        <v>51382715637</v>
      </c>
      <c r="I111" s="633">
        <v>1036286160</v>
      </c>
      <c r="J111" s="633">
        <v>271499680</v>
      </c>
      <c r="K111" s="633">
        <v>25850800</v>
      </c>
      <c r="L111" s="632">
        <v>52299749567</v>
      </c>
      <c r="M111" s="632">
        <v>24905975</v>
      </c>
      <c r="N111" s="632">
        <v>885950638</v>
      </c>
      <c r="O111" s="630"/>
      <c r="P111" s="630">
        <v>0</v>
      </c>
      <c r="Q111" s="632">
        <v>3511133</v>
      </c>
      <c r="R111" s="632">
        <v>2666184</v>
      </c>
      <c r="S111" s="630"/>
      <c r="U111"/>
    </row>
    <row r="112" spans="1:21" ht="16.5">
      <c r="A112" s="630" t="s">
        <v>321</v>
      </c>
      <c r="B112" s="630"/>
      <c r="C112" s="630"/>
      <c r="D112" s="630"/>
      <c r="E112" s="630"/>
      <c r="F112" s="630"/>
      <c r="G112" s="630"/>
      <c r="H112" s="630"/>
      <c r="I112" s="630"/>
      <c r="J112" s="630"/>
      <c r="K112" s="630"/>
      <c r="L112" s="630"/>
      <c r="M112" s="630"/>
      <c r="N112" s="630"/>
      <c r="O112" s="630"/>
      <c r="P112" s="630"/>
      <c r="Q112" s="630"/>
      <c r="R112" s="630"/>
      <c r="S112" s="634">
        <v>45478.68241898148</v>
      </c>
      <c r="U112"/>
    </row>
    <row r="113" spans="1:21" ht="16.5">
      <c r="A113" s="620"/>
      <c r="B113" s="620"/>
      <c r="C113" s="620"/>
      <c r="D113" s="620"/>
      <c r="E113" s="620"/>
      <c r="F113" s="620"/>
      <c r="G113" s="625"/>
      <c r="H113" s="625"/>
      <c r="I113" s="620"/>
      <c r="J113" s="620"/>
      <c r="K113" s="620"/>
      <c r="L113" s="622"/>
      <c r="M113" s="620"/>
      <c r="N113" s="620"/>
      <c r="O113" s="620"/>
      <c r="P113" s="620"/>
      <c r="Q113" s="620"/>
      <c r="R113" s="620"/>
      <c r="S113" s="619"/>
      <c r="U113"/>
    </row>
    <row r="114" spans="1:21" ht="16.5">
      <c r="A114" s="620"/>
      <c r="B114" s="620"/>
      <c r="C114" s="620"/>
      <c r="D114" s="622"/>
      <c r="E114" s="620"/>
      <c r="F114" s="620"/>
      <c r="G114" s="620"/>
      <c r="H114" s="625"/>
      <c r="I114" s="620"/>
      <c r="J114" s="620"/>
      <c r="K114" s="620"/>
      <c r="L114" s="620"/>
      <c r="M114" s="620"/>
      <c r="N114" s="620"/>
      <c r="O114" s="620"/>
      <c r="P114" s="620"/>
      <c r="Q114" s="620"/>
      <c r="R114" s="620"/>
      <c r="S114" s="619"/>
      <c r="U114"/>
    </row>
    <row r="115" spans="1:21" ht="16.5">
      <c r="A115" s="620"/>
      <c r="B115" s="620"/>
      <c r="C115" s="620"/>
      <c r="D115" s="620"/>
      <c r="E115" s="620"/>
      <c r="F115" s="622"/>
      <c r="G115" s="625"/>
      <c r="H115" s="625"/>
      <c r="I115" s="620"/>
      <c r="J115" s="620"/>
      <c r="K115" s="620"/>
      <c r="L115" s="622"/>
      <c r="M115" s="620"/>
      <c r="N115" s="620"/>
      <c r="O115" s="620"/>
      <c r="P115" s="620"/>
      <c r="Q115" s="620"/>
      <c r="R115" s="620"/>
      <c r="S115" s="619"/>
      <c r="U115"/>
    </row>
    <row r="116" spans="1:21" ht="16.5">
      <c r="A116" s="620"/>
      <c r="B116" s="620"/>
      <c r="C116" s="620"/>
      <c r="D116" s="620"/>
      <c r="E116" s="620"/>
      <c r="F116" s="622"/>
      <c r="G116" s="625"/>
      <c r="H116" s="625"/>
      <c r="I116" s="620"/>
      <c r="J116" s="620"/>
      <c r="K116" s="620"/>
      <c r="L116" s="622"/>
      <c r="M116" s="620"/>
      <c r="N116" s="620"/>
      <c r="O116" s="620"/>
      <c r="P116" s="620"/>
      <c r="Q116" s="620"/>
      <c r="R116" s="620"/>
      <c r="S116" s="619"/>
      <c r="U116"/>
    </row>
    <row r="117" spans="1:21" ht="16.5">
      <c r="A117" s="620"/>
      <c r="B117" s="620"/>
      <c r="C117" s="620"/>
      <c r="D117" s="620"/>
      <c r="E117" s="620"/>
      <c r="F117" s="622"/>
      <c r="G117" s="625"/>
      <c r="H117" s="625"/>
      <c r="I117" s="620"/>
      <c r="J117" s="620"/>
      <c r="K117" s="620"/>
      <c r="L117" s="622"/>
      <c r="M117" s="620"/>
      <c r="N117" s="620"/>
      <c r="O117" s="620"/>
      <c r="P117" s="620"/>
      <c r="Q117" s="620"/>
      <c r="R117" s="620"/>
      <c r="S117" s="619"/>
      <c r="U117"/>
    </row>
    <row r="118" spans="1:21" ht="16.5">
      <c r="A118" s="620"/>
      <c r="B118" s="620"/>
      <c r="C118" s="620"/>
      <c r="D118" s="620"/>
      <c r="E118" s="620"/>
      <c r="F118" s="622"/>
      <c r="G118" s="625"/>
      <c r="H118" s="625"/>
      <c r="I118" s="620"/>
      <c r="J118" s="620"/>
      <c r="K118" s="620"/>
      <c r="L118" s="622"/>
      <c r="M118" s="620"/>
      <c r="N118" s="620"/>
      <c r="O118" s="620"/>
      <c r="P118" s="620"/>
      <c r="Q118" s="620"/>
      <c r="R118" s="620"/>
      <c r="S118" s="619"/>
      <c r="U118"/>
    </row>
    <row r="119" spans="1:21" ht="16.5">
      <c r="A119" s="620"/>
      <c r="B119" s="620"/>
      <c r="C119" s="620"/>
      <c r="D119" s="620"/>
      <c r="E119" s="620"/>
      <c r="F119" s="622"/>
      <c r="G119" s="625"/>
      <c r="H119" s="625"/>
      <c r="I119" s="620"/>
      <c r="J119" s="620"/>
      <c r="K119" s="620"/>
      <c r="L119" s="622"/>
      <c r="M119" s="620"/>
      <c r="N119" s="620"/>
      <c r="O119" s="620"/>
      <c r="P119" s="620"/>
      <c r="Q119" s="620"/>
      <c r="R119" s="620"/>
      <c r="S119" s="619"/>
      <c r="U119"/>
    </row>
    <row r="120" spans="1:21" ht="16.5">
      <c r="A120" s="620"/>
      <c r="B120" s="620"/>
      <c r="C120" s="620"/>
      <c r="D120" s="620"/>
      <c r="E120" s="620"/>
      <c r="F120" s="620"/>
      <c r="G120" s="625"/>
      <c r="H120" s="625"/>
      <c r="I120" s="620"/>
      <c r="J120" s="620"/>
      <c r="K120" s="620"/>
      <c r="L120" s="622"/>
      <c r="M120" s="620"/>
      <c r="N120" s="620"/>
      <c r="O120" s="620"/>
      <c r="P120" s="620"/>
      <c r="Q120" s="620"/>
      <c r="R120" s="620"/>
      <c r="S120" s="619"/>
      <c r="U120"/>
    </row>
    <row r="121" spans="1:21" ht="16.5">
      <c r="A121" s="620"/>
      <c r="B121" s="620"/>
      <c r="C121" s="620"/>
      <c r="D121" s="620"/>
      <c r="E121" s="620"/>
      <c r="F121" s="620"/>
      <c r="G121" s="625"/>
      <c r="H121" s="625"/>
      <c r="I121" s="620"/>
      <c r="J121" s="620"/>
      <c r="K121" s="620"/>
      <c r="L121" s="622"/>
      <c r="M121" s="620"/>
      <c r="N121" s="620"/>
      <c r="O121" s="620"/>
      <c r="P121" s="620"/>
      <c r="Q121" s="620"/>
      <c r="R121" s="620"/>
      <c r="S121" s="619"/>
      <c r="U121"/>
    </row>
    <row r="122" spans="1:21" ht="16.5">
      <c r="A122" s="620"/>
      <c r="B122" s="622"/>
      <c r="C122" s="622"/>
      <c r="D122" s="622"/>
      <c r="E122" s="620"/>
      <c r="F122" s="620"/>
      <c r="G122" s="620"/>
      <c r="H122" s="625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19"/>
      <c r="U122"/>
    </row>
    <row r="123" spans="1:21" ht="16.5">
      <c r="A123" s="620"/>
      <c r="B123" s="622"/>
      <c r="C123" s="622"/>
      <c r="D123" s="622"/>
      <c r="E123" s="623"/>
      <c r="F123" s="623"/>
      <c r="G123" s="625"/>
      <c r="H123" s="625"/>
      <c r="I123" s="622"/>
      <c r="J123" s="622"/>
      <c r="K123" s="620"/>
      <c r="L123" s="620"/>
      <c r="M123" s="622"/>
      <c r="N123" s="622"/>
      <c r="O123" s="620"/>
      <c r="P123" s="620"/>
      <c r="Q123" s="620"/>
      <c r="R123" s="620"/>
      <c r="S123" s="619"/>
      <c r="U123"/>
    </row>
    <row r="124" spans="1:21" ht="16.5">
      <c r="A124" s="621"/>
      <c r="B124" s="620"/>
      <c r="C124" s="620"/>
      <c r="D124" s="620"/>
      <c r="E124" s="620"/>
      <c r="F124" s="622"/>
      <c r="G124" s="625"/>
      <c r="H124" s="625"/>
      <c r="I124" s="620"/>
      <c r="J124" s="620"/>
      <c r="K124" s="620"/>
      <c r="L124" s="622"/>
      <c r="M124" s="620"/>
      <c r="N124" s="620"/>
      <c r="O124" s="620"/>
      <c r="P124" s="620"/>
      <c r="Q124" s="620"/>
      <c r="R124" s="620"/>
      <c r="S124" s="619"/>
      <c r="U124"/>
    </row>
    <row r="125" spans="1:21" ht="16.5">
      <c r="A125" s="620"/>
      <c r="B125" s="622"/>
      <c r="C125" s="622"/>
      <c r="D125" s="622"/>
      <c r="E125" s="620"/>
      <c r="F125" s="620"/>
      <c r="G125" s="620"/>
      <c r="H125" s="625"/>
      <c r="I125" s="620"/>
      <c r="J125" s="620"/>
      <c r="K125" s="620"/>
      <c r="L125" s="620"/>
      <c r="M125" s="620"/>
      <c r="N125" s="620"/>
      <c r="O125" s="620"/>
      <c r="P125" s="620"/>
      <c r="Q125" s="620"/>
      <c r="R125" s="620"/>
      <c r="S125" s="619"/>
    </row>
    <row r="126" spans="1:21" ht="16.5">
      <c r="A126" s="620"/>
      <c r="B126" s="622"/>
      <c r="C126" s="622"/>
      <c r="D126" s="622"/>
      <c r="E126" s="620"/>
      <c r="F126" s="620"/>
      <c r="G126" s="620"/>
      <c r="H126" s="625"/>
      <c r="I126" s="620"/>
      <c r="J126" s="620"/>
      <c r="K126" s="620"/>
      <c r="L126" s="620"/>
      <c r="M126" s="620"/>
      <c r="N126" s="620"/>
      <c r="O126" s="620"/>
      <c r="P126" s="620"/>
      <c r="Q126" s="620"/>
      <c r="R126" s="620"/>
      <c r="S126" s="619"/>
    </row>
    <row r="127" spans="1:21" ht="16.5">
      <c r="A127" s="620"/>
      <c r="B127" s="622"/>
      <c r="C127" s="622"/>
      <c r="D127" s="622"/>
      <c r="E127" s="623"/>
      <c r="F127" s="623"/>
      <c r="G127" s="625"/>
      <c r="H127" s="625"/>
      <c r="I127" s="622"/>
      <c r="J127" s="622"/>
      <c r="K127" s="620"/>
      <c r="L127" s="620"/>
      <c r="M127" s="622"/>
      <c r="N127" s="622"/>
      <c r="O127" s="620"/>
      <c r="P127" s="620"/>
      <c r="Q127" s="620"/>
      <c r="R127" s="620"/>
      <c r="S127" s="619"/>
    </row>
    <row r="128" spans="1:21" ht="16.5">
      <c r="A128" s="620"/>
      <c r="B128" s="620"/>
      <c r="C128" s="620"/>
      <c r="D128" s="620"/>
      <c r="E128" s="620"/>
      <c r="F128" s="620"/>
      <c r="G128" s="625"/>
      <c r="H128" s="625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19"/>
    </row>
    <row r="129" spans="1:19" ht="16.5">
      <c r="A129" s="620"/>
      <c r="B129" s="620"/>
      <c r="C129" s="620"/>
      <c r="D129" s="620"/>
      <c r="E129" s="620"/>
      <c r="F129" s="620"/>
      <c r="G129" s="625"/>
      <c r="H129" s="625"/>
      <c r="I129" s="620"/>
      <c r="J129" s="620"/>
      <c r="K129" s="620"/>
      <c r="L129" s="620"/>
      <c r="M129" s="620"/>
      <c r="N129" s="620"/>
      <c r="O129" s="620"/>
      <c r="P129" s="620"/>
      <c r="Q129" s="620"/>
      <c r="R129" s="620"/>
      <c r="S129" s="620"/>
    </row>
    <row r="130" spans="1:19" ht="16.5">
      <c r="A130" s="620"/>
      <c r="B130" s="620"/>
      <c r="C130" s="620"/>
      <c r="D130" s="620"/>
      <c r="E130" s="620"/>
      <c r="F130" s="622"/>
      <c r="G130" s="625"/>
      <c r="H130" s="625"/>
      <c r="I130" s="620"/>
      <c r="J130" s="620"/>
      <c r="K130" s="620"/>
      <c r="L130" s="620"/>
      <c r="M130" s="620"/>
      <c r="N130" s="620"/>
      <c r="O130" s="620"/>
      <c r="P130" s="620"/>
      <c r="Q130" s="620"/>
      <c r="R130" s="620"/>
      <c r="S130" s="620"/>
    </row>
    <row r="131" spans="1:19" ht="16.5">
      <c r="A131" s="620"/>
      <c r="B131" s="620"/>
      <c r="C131" s="620"/>
      <c r="D131" s="620"/>
      <c r="E131" s="620"/>
      <c r="F131" s="622"/>
      <c r="G131" s="625"/>
      <c r="H131" s="625"/>
      <c r="I131" s="620"/>
      <c r="J131" s="620"/>
      <c r="K131" s="620"/>
      <c r="L131" s="620"/>
      <c r="M131" s="620"/>
      <c r="N131" s="620"/>
      <c r="O131" s="620"/>
      <c r="P131" s="620"/>
      <c r="Q131" s="620"/>
      <c r="R131" s="620"/>
      <c r="S131" s="620"/>
    </row>
    <row r="132" spans="1:19" ht="16.5">
      <c r="A132" s="620"/>
      <c r="B132" s="620"/>
      <c r="C132" s="620"/>
      <c r="D132" s="620"/>
      <c r="E132" s="620"/>
      <c r="F132" s="622"/>
      <c r="G132" s="625"/>
      <c r="H132" s="625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</row>
    <row r="133" spans="1:19" ht="16.5">
      <c r="A133" s="620"/>
      <c r="B133" s="620"/>
      <c r="C133" s="620"/>
      <c r="D133" s="620"/>
      <c r="E133" s="620"/>
      <c r="F133" s="620"/>
      <c r="G133" s="625"/>
      <c r="H133" s="625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</row>
    <row r="134" spans="1:19" ht="16.5">
      <c r="A134" s="620"/>
      <c r="B134" s="622"/>
      <c r="C134" s="622"/>
      <c r="D134" s="620"/>
      <c r="E134" s="620"/>
      <c r="F134" s="620"/>
      <c r="G134" s="620"/>
      <c r="H134" s="625"/>
      <c r="I134" s="620"/>
      <c r="J134" s="620"/>
      <c r="K134" s="620"/>
      <c r="L134" s="620"/>
      <c r="M134" s="620"/>
      <c r="N134" s="620"/>
      <c r="O134" s="620"/>
      <c r="P134" s="620"/>
      <c r="Q134" s="620"/>
      <c r="R134" s="620"/>
      <c r="S134" s="620"/>
    </row>
    <row r="135" spans="1:19" ht="16.5">
      <c r="A135" s="620"/>
      <c r="B135" s="622"/>
      <c r="C135" s="622"/>
      <c r="D135" s="620"/>
      <c r="E135" s="620"/>
      <c r="F135" s="620"/>
      <c r="G135" s="620"/>
      <c r="H135" s="625"/>
      <c r="I135" s="620"/>
      <c r="J135" s="620"/>
      <c r="K135" s="620"/>
      <c r="L135" s="620"/>
      <c r="M135" s="620"/>
      <c r="N135" s="620"/>
      <c r="O135" s="620"/>
      <c r="P135" s="620"/>
      <c r="Q135" s="620"/>
      <c r="R135" s="620"/>
      <c r="S135" s="620"/>
    </row>
    <row r="136" spans="1:19" ht="16.5">
      <c r="A136" s="620"/>
      <c r="B136" s="622"/>
      <c r="C136" s="622"/>
      <c r="D136" s="620"/>
      <c r="E136" s="620"/>
      <c r="F136" s="620"/>
      <c r="G136" s="620"/>
      <c r="H136" s="625"/>
      <c r="I136" s="620"/>
      <c r="J136" s="620"/>
      <c r="K136" s="620"/>
      <c r="L136" s="620"/>
      <c r="M136" s="620"/>
      <c r="N136" s="620"/>
      <c r="O136" s="620"/>
      <c r="P136" s="620"/>
      <c r="Q136" s="620"/>
      <c r="R136" s="620"/>
      <c r="S136" s="620"/>
    </row>
    <row r="137" spans="1:19" ht="16.5">
      <c r="A137" s="620"/>
      <c r="B137" s="620"/>
      <c r="C137" s="620"/>
      <c r="D137" s="620"/>
      <c r="E137" s="620"/>
      <c r="F137" s="622"/>
      <c r="G137" s="625"/>
      <c r="H137" s="625"/>
      <c r="I137" s="623"/>
      <c r="J137" s="623"/>
      <c r="K137" s="623"/>
      <c r="L137" s="622"/>
      <c r="M137" s="622"/>
      <c r="N137" s="622"/>
      <c r="O137" s="620"/>
      <c r="P137" s="620"/>
      <c r="Q137" s="622"/>
      <c r="R137" s="622"/>
      <c r="S137" s="620"/>
    </row>
    <row r="138" spans="1:19" ht="16.5">
      <c r="A138" s="620"/>
      <c r="B138" s="620"/>
      <c r="C138" s="620"/>
      <c r="D138" s="620"/>
      <c r="E138" s="620"/>
      <c r="F138" s="620"/>
      <c r="G138" s="620"/>
      <c r="H138" s="620"/>
      <c r="I138" s="620"/>
      <c r="J138" s="620"/>
      <c r="K138" s="620"/>
      <c r="L138" s="620"/>
      <c r="M138" s="620"/>
      <c r="N138" s="620"/>
      <c r="O138" s="620"/>
      <c r="P138" s="620"/>
      <c r="Q138" s="620"/>
      <c r="R138" s="620"/>
      <c r="S138" s="624"/>
    </row>
    <row r="139" spans="1:19">
      <c r="J139" s="510"/>
      <c r="S139" s="460"/>
    </row>
  </sheetData>
  <phoneticPr fontId="4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8"/>
  <sheetViews>
    <sheetView showGridLines="0" zoomScaleNormal="100" workbookViewId="0">
      <selection activeCell="G7" sqref="G7"/>
    </sheetView>
  </sheetViews>
  <sheetFormatPr defaultRowHeight="13.5"/>
  <cols>
    <col min="1" max="1" width="2.6640625" style="467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57" customFormat="1" ht="30.75" customHeight="1">
      <c r="B1" s="468"/>
      <c r="C1" s="468"/>
      <c r="D1" s="468"/>
      <c r="E1" s="468"/>
      <c r="F1" s="468"/>
      <c r="G1" s="468"/>
      <c r="H1" s="468"/>
      <c r="K1" s="457" t="s">
        <v>359</v>
      </c>
    </row>
    <row r="2" spans="2:11" s="457" customFormat="1" ht="30.75" customHeight="1">
      <c r="B2" s="469" t="str">
        <f>LEFT(총괄표!A2,9)&amp;" 매출현황을 다음과 같이 보고하오니 결재 바랍니다."</f>
        <v>2026년 4월  매출현황을 다음과 같이 보고하오니 결재 바랍니다.</v>
      </c>
      <c r="C2" s="469"/>
      <c r="D2" s="469"/>
      <c r="E2" s="469"/>
      <c r="F2" s="469"/>
      <c r="G2" s="469"/>
      <c r="H2" s="469"/>
    </row>
    <row r="3" spans="2:11" s="457" customFormat="1" ht="30.75" customHeight="1">
      <c r="B3" s="469"/>
      <c r="C3" s="469"/>
      <c r="E3" s="476" t="s">
        <v>346</v>
      </c>
      <c r="F3" s="469"/>
      <c r="G3" s="469"/>
      <c r="H3" s="469"/>
    </row>
    <row r="4" spans="2:11" s="457" customFormat="1" ht="15" customHeight="1">
      <c r="B4" s="469"/>
      <c r="C4" s="469"/>
      <c r="D4" s="469"/>
      <c r="E4" s="469"/>
      <c r="F4" s="469"/>
      <c r="G4" s="469"/>
      <c r="H4" s="469"/>
    </row>
    <row r="5" spans="2:11" s="457" customFormat="1" ht="30.75" customHeight="1">
      <c r="B5" s="469" t="str">
        <f>"1. 매출년월: "&amp;LEFT(총괄표!A2,9)</f>
        <v xml:space="preserve">1. 매출년월: 2026년 4월 </v>
      </c>
      <c r="C5" s="469"/>
      <c r="D5" s="469"/>
      <c r="E5" s="469"/>
      <c r="F5" s="469"/>
      <c r="G5" s="469"/>
      <c r="H5" s="469"/>
    </row>
    <row r="6" spans="2:11" s="457" customFormat="1" ht="30.75" customHeight="1">
      <c r="B6" s="469" t="s">
        <v>347</v>
      </c>
      <c r="C6" s="469"/>
      <c r="D6" s="469"/>
      <c r="E6" s="469"/>
      <c r="F6" s="469"/>
      <c r="G6" s="469"/>
      <c r="H6" s="469"/>
    </row>
    <row r="7" spans="2:11" s="457" customFormat="1" ht="30.75" customHeight="1" thickBot="1">
      <c r="B7" s="1379" t="s">
        <v>198</v>
      </c>
      <c r="C7" s="1380"/>
      <c r="D7" s="470" t="s">
        <v>199</v>
      </c>
      <c r="E7" s="488" t="s">
        <v>200</v>
      </c>
      <c r="F7" s="483" t="s">
        <v>348</v>
      </c>
      <c r="G7" s="470" t="s">
        <v>349</v>
      </c>
      <c r="H7" s="470" t="s">
        <v>350</v>
      </c>
    </row>
    <row r="8" spans="2:11" s="457" customFormat="1" ht="30.75" customHeight="1" thickTop="1">
      <c r="B8" s="471" t="s">
        <v>124</v>
      </c>
      <c r="C8" s="477" t="str">
        <f>RIGHT(B5,3)</f>
        <v xml:space="preserve">4월 </v>
      </c>
      <c r="D8" s="766">
        <f>데이터!C56</f>
        <v>4621183</v>
      </c>
      <c r="E8" s="507">
        <f>데이터!D56</f>
        <v>4496393</v>
      </c>
      <c r="F8" s="484">
        <f>E8/D8</f>
        <v>0.97299609212619365</v>
      </c>
      <c r="G8" s="479">
        <f>데이터!G56</f>
        <v>0.97973801707114005</v>
      </c>
      <c r="H8" s="478">
        <f>데이터!I56</f>
        <v>0.79093004258265343</v>
      </c>
    </row>
    <row r="9" spans="2:11" s="457" customFormat="1" ht="30.75" customHeight="1" thickBot="1">
      <c r="B9" s="472" t="s">
        <v>351</v>
      </c>
      <c r="C9" s="472" t="s">
        <v>206</v>
      </c>
      <c r="D9" s="767">
        <f>데이터!C57</f>
        <v>24270239</v>
      </c>
      <c r="E9" s="765">
        <f>데이터!D57</f>
        <v>24339442</v>
      </c>
      <c r="F9" s="485">
        <f>E9/D9</f>
        <v>1.002851352226074</v>
      </c>
      <c r="G9" s="473">
        <f>데이터!G57</f>
        <v>0.97024183333828962</v>
      </c>
      <c r="H9" s="474"/>
    </row>
    <row r="10" spans="2:11" s="457" customFormat="1" ht="30.75" customHeight="1" thickTop="1">
      <c r="B10" s="471" t="s">
        <v>207</v>
      </c>
      <c r="C10" s="477" t="str">
        <f>C8</f>
        <v xml:space="preserve">4월 </v>
      </c>
      <c r="D10" s="482">
        <f>데이터!C58</f>
        <v>95701781</v>
      </c>
      <c r="E10" s="489">
        <f>데이터!D58</f>
        <v>94104144</v>
      </c>
      <c r="F10" s="486">
        <f>E10/D10</f>
        <v>0.98330608915209217</v>
      </c>
      <c r="G10" s="478">
        <f>데이터!G58</f>
        <v>0.94139509389492348</v>
      </c>
      <c r="H10" s="478">
        <f>데이터!I58</f>
        <v>0.78271737006833775</v>
      </c>
    </row>
    <row r="11" spans="2:11" s="457" customFormat="1" ht="30.75" customHeight="1">
      <c r="B11" s="475" t="s">
        <v>208</v>
      </c>
      <c r="C11" s="475" t="s">
        <v>206</v>
      </c>
      <c r="D11" s="480">
        <f>데이터!C59</f>
        <v>512897619</v>
      </c>
      <c r="E11" s="490">
        <f>데이터!D59</f>
        <v>517530958</v>
      </c>
      <c r="F11" s="487">
        <f>E11/D11</f>
        <v>1.0090336527766177</v>
      </c>
      <c r="G11" s="481">
        <f>데이터!G59</f>
        <v>0.93810899376337331</v>
      </c>
      <c r="H11" s="481"/>
    </row>
    <row r="12" spans="2:11" s="457" customFormat="1" ht="30.75" customHeight="1">
      <c r="B12" s="469" t="s">
        <v>355</v>
      </c>
      <c r="C12" s="468"/>
      <c r="D12" s="468"/>
      <c r="E12" s="468"/>
      <c r="F12" s="468"/>
      <c r="G12" s="468"/>
      <c r="H12" s="468"/>
    </row>
    <row r="13" spans="2:11" s="457" customFormat="1" ht="17.25" customHeight="1">
      <c r="B13" s="469"/>
      <c r="C13" s="468"/>
      <c r="D13" s="468"/>
      <c r="E13" s="468"/>
      <c r="F13" s="468"/>
      <c r="G13" s="468"/>
      <c r="H13" s="468"/>
    </row>
    <row r="14" spans="2:11" s="468" customFormat="1" ht="24.95" customHeight="1">
      <c r="B14" s="469" t="s">
        <v>352</v>
      </c>
      <c r="C14" s="469"/>
      <c r="D14" s="469"/>
      <c r="E14" s="469"/>
      <c r="F14" s="469"/>
      <c r="G14" s="469"/>
      <c r="H14" s="469"/>
    </row>
    <row r="15" spans="2:11" s="468" customFormat="1" ht="24.95" customHeight="1">
      <c r="B15" s="469" t="s">
        <v>353</v>
      </c>
      <c r="C15" s="469"/>
      <c r="D15" s="469"/>
      <c r="E15" s="469"/>
      <c r="F15" s="469"/>
      <c r="G15" s="469"/>
      <c r="H15" s="469"/>
    </row>
    <row r="16" spans="2:11" s="491" customFormat="1" ht="24.95" customHeight="1">
      <c r="B16" s="469" t="s">
        <v>354</v>
      </c>
    </row>
    <row r="17" spans="2:2" ht="30.75" customHeight="1">
      <c r="B17" s="469"/>
    </row>
    <row r="18" spans="2:2" ht="30.75" customHeight="1"/>
  </sheetData>
  <mergeCells count="1">
    <mergeCell ref="B7:C7"/>
  </mergeCells>
  <phoneticPr fontId="4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80" zoomScaleNormal="80" workbookViewId="0">
      <selection activeCell="D22" sqref="D22"/>
    </sheetView>
  </sheetViews>
  <sheetFormatPr defaultRowHeight="13.5"/>
  <cols>
    <col min="1" max="1" width="8.88671875" style="457"/>
    <col min="2" max="2" width="13.109375" style="457" bestFit="1" customWidth="1"/>
    <col min="3" max="3" width="16" style="461" bestFit="1" customWidth="1"/>
    <col min="4" max="4" width="18.77734375" style="461" bestFit="1" customWidth="1"/>
    <col min="5" max="5" width="21.5546875" style="457" bestFit="1" customWidth="1"/>
    <col min="6" max="7" width="19.88671875" style="457" bestFit="1" customWidth="1"/>
    <col min="8" max="16384" width="8.88671875" style="457"/>
  </cols>
  <sheetData>
    <row r="1" spans="1:9" ht="16.5">
      <c r="A1" s="748" t="s">
        <v>326</v>
      </c>
      <c r="B1" s="748" t="s">
        <v>269</v>
      </c>
      <c r="C1" s="749" t="s">
        <v>204</v>
      </c>
      <c r="D1" s="749" t="s">
        <v>452</v>
      </c>
      <c r="E1" s="748" t="s">
        <v>327</v>
      </c>
      <c r="F1" s="748" t="s">
        <v>328</v>
      </c>
      <c r="G1" s="748" t="s">
        <v>329</v>
      </c>
    </row>
    <row r="2" spans="1:9" ht="16.5">
      <c r="A2" s="998">
        <v>46113</v>
      </c>
      <c r="B2" s="997" t="s">
        <v>178</v>
      </c>
      <c r="C2" s="999">
        <v>15804.125599999999</v>
      </c>
      <c r="D2" s="999">
        <v>674511.98419999995</v>
      </c>
      <c r="E2" s="1000">
        <v>15942694</v>
      </c>
      <c r="F2" s="1000">
        <v>3879105</v>
      </c>
      <c r="G2" s="1000">
        <v>12063589</v>
      </c>
      <c r="I2" s="1001" t="s">
        <v>471</v>
      </c>
    </row>
    <row r="3" spans="1:9" ht="16.5">
      <c r="A3" s="998">
        <v>46113</v>
      </c>
      <c r="B3" s="997" t="s">
        <v>177</v>
      </c>
      <c r="C3" s="999">
        <v>19596.9954</v>
      </c>
      <c r="D3" s="999">
        <v>835676.90300000005</v>
      </c>
      <c r="E3" s="1000">
        <v>18051049</v>
      </c>
      <c r="F3" s="1000">
        <v>2978254</v>
      </c>
      <c r="G3" s="1000">
        <v>15072795</v>
      </c>
      <c r="I3" s="457" t="s">
        <v>450</v>
      </c>
    </row>
    <row r="4" spans="1:9" ht="16.5">
      <c r="A4" s="998">
        <v>46113</v>
      </c>
      <c r="B4" s="997" t="s">
        <v>40</v>
      </c>
      <c r="C4" s="999">
        <v>442062.3749</v>
      </c>
      <c r="D4" s="999">
        <v>18865233.8059</v>
      </c>
      <c r="E4" s="1000">
        <v>425494901</v>
      </c>
      <c r="F4" s="1000">
        <v>87384762</v>
      </c>
      <c r="G4" s="1000">
        <v>338110139</v>
      </c>
    </row>
    <row r="5" spans="1:9" ht="16.5">
      <c r="A5" s="998">
        <v>46113</v>
      </c>
      <c r="B5" s="997" t="s">
        <v>174</v>
      </c>
      <c r="C5" s="999">
        <v>93522.839200000002</v>
      </c>
      <c r="D5" s="999">
        <v>3990217.0101000001</v>
      </c>
      <c r="E5" s="1000">
        <v>90913085</v>
      </c>
      <c r="F5" s="1000">
        <v>19186597</v>
      </c>
      <c r="G5" s="1000">
        <v>71726488</v>
      </c>
    </row>
    <row r="6" spans="1:9" ht="16.5">
      <c r="A6" s="998">
        <v>46113</v>
      </c>
      <c r="B6" s="997" t="s">
        <v>173</v>
      </c>
      <c r="C6" s="999">
        <v>36906.217400000001</v>
      </c>
      <c r="D6" s="999">
        <v>1573736.6714000001</v>
      </c>
      <c r="E6" s="1000">
        <v>35856153</v>
      </c>
      <c r="F6" s="1000">
        <v>7416207</v>
      </c>
      <c r="G6" s="1000">
        <v>28439946</v>
      </c>
    </row>
    <row r="7" spans="1:9" ht="16.5">
      <c r="A7" s="998">
        <v>46113</v>
      </c>
      <c r="B7" s="997" t="s">
        <v>171</v>
      </c>
      <c r="C7" s="999">
        <v>42682.3344</v>
      </c>
      <c r="D7" s="999">
        <v>1821976.9238</v>
      </c>
      <c r="E7" s="1000">
        <v>43064065</v>
      </c>
      <c r="F7" s="1000">
        <v>10498163</v>
      </c>
      <c r="G7" s="1000">
        <v>32565902</v>
      </c>
    </row>
    <row r="8" spans="1:9" ht="16.5">
      <c r="A8" s="998">
        <v>46113</v>
      </c>
      <c r="B8" s="997" t="s">
        <v>37</v>
      </c>
      <c r="C8" s="997">
        <v>299.4246</v>
      </c>
      <c r="D8" s="999">
        <v>12785.734700000001</v>
      </c>
      <c r="E8" s="1000">
        <v>302182</v>
      </c>
      <c r="F8" s="1000">
        <v>71560</v>
      </c>
      <c r="G8" s="1000">
        <v>230622</v>
      </c>
    </row>
    <row r="9" spans="1:9" ht="16.5">
      <c r="A9" s="998">
        <v>46143</v>
      </c>
      <c r="B9" s="997" t="s">
        <v>174</v>
      </c>
      <c r="C9" s="997">
        <v>4.9409999999999998</v>
      </c>
      <c r="D9" s="999">
        <v>210.82749999999999</v>
      </c>
      <c r="E9" s="1000">
        <v>4803</v>
      </c>
      <c r="F9" s="1000">
        <v>911</v>
      </c>
      <c r="G9" s="1000">
        <v>3892</v>
      </c>
    </row>
    <row r="10" spans="1:9" ht="16.5">
      <c r="A10" s="998"/>
      <c r="B10" s="997" t="s">
        <v>333</v>
      </c>
      <c r="C10" s="999">
        <v>650879.25249999994</v>
      </c>
      <c r="D10" s="999">
        <v>27774349.860599998</v>
      </c>
      <c r="E10" s="1000">
        <v>629628932</v>
      </c>
      <c r="F10" s="1000">
        <v>131415559</v>
      </c>
      <c r="G10" s="1000">
        <v>498213373</v>
      </c>
    </row>
    <row r="11" spans="1:9" ht="16.5">
      <c r="A11" s="998"/>
      <c r="B11" s="997"/>
      <c r="C11" s="997"/>
      <c r="D11" s="997"/>
      <c r="E11" s="1000"/>
      <c r="F11" s="1000"/>
      <c r="G11" s="1000"/>
    </row>
    <row r="12" spans="1:9" ht="16.5">
      <c r="A12" s="998"/>
      <c r="B12" s="997"/>
      <c r="C12" s="997"/>
      <c r="D12" s="999"/>
      <c r="E12" s="1000"/>
      <c r="F12" s="1000"/>
      <c r="G12" s="1000"/>
    </row>
    <row r="13" spans="1:9" ht="16.5">
      <c r="A13" s="997"/>
      <c r="B13" s="997"/>
      <c r="C13" s="999"/>
      <c r="D13" s="999"/>
      <c r="E13" s="1000"/>
      <c r="F13" s="1000"/>
      <c r="G13" s="1000"/>
    </row>
  </sheetData>
  <phoneticPr fontId="43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8" sqref="J28"/>
    </sheetView>
  </sheetViews>
  <sheetFormatPr defaultRowHeight="13.5"/>
  <sheetData/>
  <phoneticPr fontId="4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user</cp:lastModifiedBy>
  <cp:lastPrinted>2026-05-11T07:44:37Z</cp:lastPrinted>
  <dcterms:created xsi:type="dcterms:W3CDTF">1997-01-06T01:40:49Z</dcterms:created>
  <dcterms:modified xsi:type="dcterms:W3CDTF">2026-05-11T07:53:00Z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
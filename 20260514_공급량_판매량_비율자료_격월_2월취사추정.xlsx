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1. 공급량 재산정_사업계획\2026년\2. 공급량_판매량_비율자료_격월\"/>
    </mc:Choice>
  </mc:AlternateContent>
  <xr:revisionPtr revIDLastSave="0" documentId="13_ncr:1_{C5C7496B-A24E-409D-92BF-77EA5B6D44D0}" xr6:coauthVersionLast="36" xr6:coauthVersionMax="47" xr10:uidLastSave="{00000000-0000-0000-0000-000000000000}"/>
  <bookViews>
    <workbookView xWindow="0" yWindow="0" windowWidth="28800" windowHeight="11400" xr2:uid="{58A216BF-962C-407C-A8DE-E93F3C3D5282}"/>
  </bookViews>
  <sheets>
    <sheet name="3월검증" sheetId="23" r:id="rId1"/>
    <sheet name="3월계산내역" sheetId="1" r:id="rId2"/>
  </sheets>
  <definedNames>
    <definedName name="_xlnm._FilterDatabase" localSheetId="1" hidden="1">'3월계산내역'!$A$9:$R$9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3" l="1"/>
  <c r="D6" i="23" s="1"/>
  <c r="C5" i="23"/>
  <c r="B5" i="23"/>
  <c r="B6" i="23" s="1"/>
  <c r="I11" i="1"/>
  <c r="J11" i="1" s="1"/>
  <c r="K11" i="1"/>
  <c r="N11" i="1" s="1"/>
  <c r="L11" i="1"/>
  <c r="M11" i="1"/>
  <c r="I12" i="1"/>
  <c r="J12" i="1"/>
  <c r="K12" i="1"/>
  <c r="L12" i="1"/>
  <c r="M12" i="1"/>
  <c r="N12" i="1"/>
  <c r="Q12" i="1"/>
  <c r="I13" i="1"/>
  <c r="J13" i="1" s="1"/>
  <c r="I14" i="1"/>
  <c r="J14" i="1"/>
  <c r="I15" i="1"/>
  <c r="J15" i="1" s="1"/>
  <c r="M15" i="1"/>
  <c r="I16" i="1"/>
  <c r="J16" i="1"/>
  <c r="K16" i="1"/>
  <c r="L16" i="1"/>
  <c r="M16" i="1"/>
  <c r="I17" i="1"/>
  <c r="J17" i="1"/>
  <c r="M17" i="1" s="1"/>
  <c r="K17" i="1"/>
  <c r="N17" i="1" s="1"/>
  <c r="Q17" i="1" s="1"/>
  <c r="L17" i="1"/>
  <c r="I18" i="1"/>
  <c r="J18" i="1" s="1"/>
  <c r="L18" i="1" s="1"/>
  <c r="K18" i="1"/>
  <c r="M18" i="1"/>
  <c r="I19" i="1"/>
  <c r="J19" i="1" s="1"/>
  <c r="K19" i="1" s="1"/>
  <c r="L19" i="1"/>
  <c r="I20" i="1"/>
  <c r="J20" i="1"/>
  <c r="L20" i="1"/>
  <c r="I21" i="1"/>
  <c r="J21" i="1" s="1"/>
  <c r="M21" i="1" s="1"/>
  <c r="K21" i="1"/>
  <c r="L21" i="1"/>
  <c r="I22" i="1"/>
  <c r="J22" i="1"/>
  <c r="M22" i="1"/>
  <c r="I23" i="1"/>
  <c r="J23" i="1" s="1"/>
  <c r="M23" i="1"/>
  <c r="I24" i="1"/>
  <c r="J24" i="1"/>
  <c r="L24" i="1" s="1"/>
  <c r="K24" i="1"/>
  <c r="M24" i="1"/>
  <c r="N24" i="1"/>
  <c r="I25" i="1"/>
  <c r="J25" i="1" s="1"/>
  <c r="K25" i="1"/>
  <c r="I26" i="1"/>
  <c r="J26" i="1" s="1"/>
  <c r="K26" i="1"/>
  <c r="L26" i="1"/>
  <c r="M26" i="1"/>
  <c r="I27" i="1"/>
  <c r="J27" i="1" s="1"/>
  <c r="I28" i="1"/>
  <c r="J28" i="1"/>
  <c r="L28" i="1" s="1"/>
  <c r="K28" i="1"/>
  <c r="M28" i="1"/>
  <c r="N28" i="1"/>
  <c r="Q28" i="1" s="1"/>
  <c r="I29" i="1"/>
  <c r="J29" i="1" s="1"/>
  <c r="L29" i="1" s="1"/>
  <c r="K29" i="1"/>
  <c r="M29" i="1"/>
  <c r="I30" i="1"/>
  <c r="J30" i="1"/>
  <c r="M30" i="1"/>
  <c r="I31" i="1"/>
  <c r="J31" i="1"/>
  <c r="I32" i="1"/>
  <c r="J32" i="1" s="1"/>
  <c r="K32" i="1" s="1"/>
  <c r="L32" i="1"/>
  <c r="M32" i="1"/>
  <c r="I33" i="1"/>
  <c r="J33" i="1"/>
  <c r="I34" i="1"/>
  <c r="J34" i="1" s="1"/>
  <c r="K34" i="1" s="1"/>
  <c r="L34" i="1"/>
  <c r="M34" i="1"/>
  <c r="I35" i="1"/>
  <c r="J35" i="1" s="1"/>
  <c r="K35" i="1"/>
  <c r="L35" i="1"/>
  <c r="M35" i="1"/>
  <c r="N35" i="1"/>
  <c r="I36" i="1"/>
  <c r="J36" i="1"/>
  <c r="K36" i="1" s="1"/>
  <c r="L36" i="1"/>
  <c r="M36" i="1"/>
  <c r="N36" i="1"/>
  <c r="Q36" i="1"/>
  <c r="I37" i="1"/>
  <c r="J37" i="1" s="1"/>
  <c r="I38" i="1"/>
  <c r="J38" i="1"/>
  <c r="M38" i="1"/>
  <c r="I39" i="1"/>
  <c r="J39" i="1"/>
  <c r="K39" i="1"/>
  <c r="I40" i="1"/>
  <c r="J40" i="1"/>
  <c r="K40" i="1"/>
  <c r="L40" i="1"/>
  <c r="M40" i="1"/>
  <c r="I41" i="1"/>
  <c r="J41" i="1"/>
  <c r="L41" i="1"/>
  <c r="I42" i="1"/>
  <c r="J42" i="1"/>
  <c r="L42" i="1" s="1"/>
  <c r="K42" i="1"/>
  <c r="M42" i="1"/>
  <c r="N42" i="1"/>
  <c r="I43" i="1"/>
  <c r="J43" i="1" s="1"/>
  <c r="L43" i="1" s="1"/>
  <c r="M43" i="1"/>
  <c r="I44" i="1"/>
  <c r="J44" i="1"/>
  <c r="L44" i="1" s="1"/>
  <c r="K44" i="1"/>
  <c r="M44" i="1"/>
  <c r="I45" i="1"/>
  <c r="J45" i="1"/>
  <c r="M45" i="1" s="1"/>
  <c r="I46" i="1"/>
  <c r="J46" i="1"/>
  <c r="M46" i="1"/>
  <c r="I47" i="1"/>
  <c r="J47" i="1" s="1"/>
  <c r="L47" i="1" s="1"/>
  <c r="K47" i="1"/>
  <c r="I48" i="1"/>
  <c r="J48" i="1" s="1"/>
  <c r="K48" i="1" s="1"/>
  <c r="M48" i="1"/>
  <c r="I49" i="1"/>
  <c r="J49" i="1" s="1"/>
  <c r="K49" i="1"/>
  <c r="I50" i="1"/>
  <c r="J50" i="1" s="1"/>
  <c r="K50" i="1" s="1"/>
  <c r="L50" i="1"/>
  <c r="M50" i="1"/>
  <c r="N50" i="1"/>
  <c r="I51" i="1"/>
  <c r="J51" i="1" s="1"/>
  <c r="K51" i="1" s="1"/>
  <c r="I52" i="1"/>
  <c r="J52" i="1"/>
  <c r="M52" i="1" s="1"/>
  <c r="K52" i="1"/>
  <c r="L52" i="1"/>
  <c r="N52" i="1"/>
  <c r="Q52" i="1"/>
  <c r="I53" i="1"/>
  <c r="J53" i="1" s="1"/>
  <c r="L53" i="1" s="1"/>
  <c r="I54" i="1"/>
  <c r="J54" i="1"/>
  <c r="I55" i="1"/>
  <c r="J55" i="1"/>
  <c r="K55" i="1"/>
  <c r="I56" i="1"/>
  <c r="J56" i="1" s="1"/>
  <c r="I57" i="1"/>
  <c r="J57" i="1"/>
  <c r="I58" i="1"/>
  <c r="J58" i="1"/>
  <c r="I59" i="1"/>
  <c r="J59" i="1" s="1"/>
  <c r="M59" i="1" s="1"/>
  <c r="K59" i="1"/>
  <c r="L59" i="1"/>
  <c r="I60" i="1"/>
  <c r="J60" i="1" s="1"/>
  <c r="I61" i="1"/>
  <c r="J61" i="1" s="1"/>
  <c r="K61" i="1"/>
  <c r="L61" i="1"/>
  <c r="M61" i="1"/>
  <c r="I62" i="1"/>
  <c r="J62" i="1"/>
  <c r="M62" i="1"/>
  <c r="I63" i="1"/>
  <c r="J63" i="1" s="1"/>
  <c r="L63" i="1" s="1"/>
  <c r="M63" i="1"/>
  <c r="I64" i="1"/>
  <c r="J64" i="1"/>
  <c r="M64" i="1"/>
  <c r="I65" i="1"/>
  <c r="J65" i="1" s="1"/>
  <c r="L65" i="1"/>
  <c r="I66" i="1"/>
  <c r="J66" i="1" s="1"/>
  <c r="K66" i="1" s="1"/>
  <c r="M66" i="1"/>
  <c r="I67" i="1"/>
  <c r="J67" i="1" s="1"/>
  <c r="I68" i="1"/>
  <c r="J68" i="1"/>
  <c r="K68" i="1"/>
  <c r="L68" i="1"/>
  <c r="M68" i="1"/>
  <c r="I69" i="1"/>
  <c r="J69" i="1"/>
  <c r="K69" i="1"/>
  <c r="I70" i="1"/>
  <c r="J70" i="1" s="1"/>
  <c r="I71" i="1"/>
  <c r="J71" i="1" s="1"/>
  <c r="L71" i="1"/>
  <c r="I72" i="1"/>
  <c r="J72" i="1"/>
  <c r="I73" i="1"/>
  <c r="J73" i="1" s="1"/>
  <c r="M73" i="1" s="1"/>
  <c r="K73" i="1"/>
  <c r="L73" i="1"/>
  <c r="I74" i="1"/>
  <c r="J74" i="1" s="1"/>
  <c r="K74" i="1" s="1"/>
  <c r="L74" i="1"/>
  <c r="M74" i="1"/>
  <c r="I75" i="1"/>
  <c r="J75" i="1" s="1"/>
  <c r="K75" i="1"/>
  <c r="L75" i="1"/>
  <c r="M75" i="1"/>
  <c r="N75" i="1"/>
  <c r="I76" i="1"/>
  <c r="J76" i="1"/>
  <c r="I77" i="1"/>
  <c r="J77" i="1"/>
  <c r="K77" i="1" s="1"/>
  <c r="L77" i="1"/>
  <c r="M77" i="1"/>
  <c r="I78" i="1"/>
  <c r="J78" i="1"/>
  <c r="M78" i="1"/>
  <c r="I79" i="1"/>
  <c r="J79" i="1" s="1"/>
  <c r="I80" i="1"/>
  <c r="J80" i="1" s="1"/>
  <c r="M80" i="1"/>
  <c r="I81" i="1"/>
  <c r="J81" i="1" s="1"/>
  <c r="K81" i="1"/>
  <c r="I82" i="1"/>
  <c r="J82" i="1"/>
  <c r="I83" i="1"/>
  <c r="J83" i="1" s="1"/>
  <c r="L83" i="1"/>
  <c r="I84" i="1"/>
  <c r="J84" i="1"/>
  <c r="M84" i="1" s="1"/>
  <c r="L84" i="1"/>
  <c r="I85" i="1"/>
  <c r="J85" i="1"/>
  <c r="I86" i="1"/>
  <c r="J86" i="1"/>
  <c r="M86" i="1"/>
  <c r="I87" i="1"/>
  <c r="J87" i="1" s="1"/>
  <c r="L87" i="1"/>
  <c r="I88" i="1"/>
  <c r="J88" i="1" s="1"/>
  <c r="I89" i="1"/>
  <c r="J89" i="1"/>
  <c r="M89" i="1" s="1"/>
  <c r="K89" i="1"/>
  <c r="L89" i="1"/>
  <c r="I90" i="1"/>
  <c r="J90" i="1"/>
  <c r="I91" i="1"/>
  <c r="J91" i="1" s="1"/>
  <c r="K91" i="1"/>
  <c r="L91" i="1"/>
  <c r="M91" i="1"/>
  <c r="N91" i="1"/>
  <c r="O91" i="1"/>
  <c r="P91" i="1"/>
  <c r="Q91" i="1"/>
  <c r="I92" i="1"/>
  <c r="J92" i="1" s="1"/>
  <c r="I93" i="1"/>
  <c r="J93" i="1"/>
  <c r="K93" i="1" s="1"/>
  <c r="L93" i="1"/>
  <c r="M93" i="1"/>
  <c r="I94" i="1"/>
  <c r="J94" i="1" s="1"/>
  <c r="I95" i="1"/>
  <c r="J95" i="1" s="1"/>
  <c r="K95" i="1"/>
  <c r="L95" i="1"/>
  <c r="M95" i="1"/>
  <c r="I96" i="1"/>
  <c r="J96" i="1"/>
  <c r="I97" i="1"/>
  <c r="J97" i="1" s="1"/>
  <c r="I98" i="1"/>
  <c r="J98" i="1" s="1"/>
  <c r="M98" i="1" s="1"/>
  <c r="K98" i="1"/>
  <c r="L98" i="1"/>
  <c r="I99" i="1"/>
  <c r="J99" i="1" s="1"/>
  <c r="M99" i="1" s="1"/>
  <c r="K99" i="1"/>
  <c r="L99" i="1"/>
  <c r="I100" i="1"/>
  <c r="J100" i="1"/>
  <c r="K100" i="1"/>
  <c r="I101" i="1"/>
  <c r="J101" i="1" s="1"/>
  <c r="I102" i="1"/>
  <c r="J102" i="1"/>
  <c r="M102" i="1"/>
  <c r="I103" i="1"/>
  <c r="J103" i="1"/>
  <c r="L103" i="1"/>
  <c r="I104" i="1"/>
  <c r="J104" i="1" s="1"/>
  <c r="K104" i="1" s="1"/>
  <c r="I105" i="1"/>
  <c r="J105" i="1"/>
  <c r="M105" i="1" s="1"/>
  <c r="K105" i="1"/>
  <c r="L105" i="1"/>
  <c r="I106" i="1"/>
  <c r="J106" i="1"/>
  <c r="M106" i="1"/>
  <c r="I107" i="1"/>
  <c r="J107" i="1" s="1"/>
  <c r="M107" i="1" s="1"/>
  <c r="K107" i="1"/>
  <c r="L107" i="1"/>
  <c r="I108" i="1"/>
  <c r="J108" i="1"/>
  <c r="L108" i="1" s="1"/>
  <c r="K108" i="1"/>
  <c r="M108" i="1"/>
  <c r="I109" i="1"/>
  <c r="J109" i="1" s="1"/>
  <c r="I110" i="1"/>
  <c r="J110" i="1" s="1"/>
  <c r="M110" i="1"/>
  <c r="I111" i="1"/>
  <c r="J111" i="1"/>
  <c r="M111" i="1"/>
  <c r="I112" i="1"/>
  <c r="J112" i="1" s="1"/>
  <c r="K112" i="1"/>
  <c r="L112" i="1"/>
  <c r="M112" i="1"/>
  <c r="I113" i="1"/>
  <c r="J113" i="1"/>
  <c r="L113" i="1" s="1"/>
  <c r="I114" i="1"/>
  <c r="J114" i="1"/>
  <c r="K114" i="1"/>
  <c r="L114" i="1"/>
  <c r="M114" i="1"/>
  <c r="I115" i="1"/>
  <c r="J115" i="1" s="1"/>
  <c r="K115" i="1" s="1"/>
  <c r="L115" i="1"/>
  <c r="M115" i="1"/>
  <c r="N115" i="1"/>
  <c r="P115" i="1" s="1"/>
  <c r="I116" i="1"/>
  <c r="J116" i="1"/>
  <c r="K116" i="1" s="1"/>
  <c r="I117" i="1"/>
  <c r="J117" i="1" s="1"/>
  <c r="L117" i="1" s="1"/>
  <c r="I118" i="1"/>
  <c r="J118" i="1"/>
  <c r="I119" i="1"/>
  <c r="J119" i="1"/>
  <c r="L119" i="1" s="1"/>
  <c r="I120" i="1"/>
  <c r="J120" i="1"/>
  <c r="K120" i="1"/>
  <c r="L120" i="1"/>
  <c r="M120" i="1"/>
  <c r="I121" i="1"/>
  <c r="J121" i="1"/>
  <c r="I122" i="1"/>
  <c r="J122" i="1" s="1"/>
  <c r="K122" i="1" s="1"/>
  <c r="L122" i="1"/>
  <c r="M122" i="1"/>
  <c r="I123" i="1"/>
  <c r="J123" i="1" s="1"/>
  <c r="K123" i="1"/>
  <c r="I124" i="1"/>
  <c r="J124" i="1"/>
  <c r="I125" i="1"/>
  <c r="J125" i="1" s="1"/>
  <c r="I126" i="1"/>
  <c r="J126" i="1"/>
  <c r="I127" i="1"/>
  <c r="J127" i="1"/>
  <c r="I128" i="1"/>
  <c r="J128" i="1" s="1"/>
  <c r="I129" i="1"/>
  <c r="J129" i="1" s="1"/>
  <c r="L129" i="1"/>
  <c r="I130" i="1"/>
  <c r="J130" i="1" s="1"/>
  <c r="K130" i="1"/>
  <c r="L130" i="1"/>
  <c r="M130" i="1"/>
  <c r="I131" i="1"/>
  <c r="J131" i="1"/>
  <c r="K131" i="1"/>
  <c r="L131" i="1"/>
  <c r="M131" i="1"/>
  <c r="I132" i="1"/>
  <c r="J132" i="1"/>
  <c r="K132" i="1" s="1"/>
  <c r="M132" i="1"/>
  <c r="I133" i="1"/>
  <c r="J133" i="1"/>
  <c r="L133" i="1" s="1"/>
  <c r="K133" i="1"/>
  <c r="M133" i="1"/>
  <c r="I134" i="1"/>
  <c r="J134" i="1" s="1"/>
  <c r="M134" i="1"/>
  <c r="I135" i="1"/>
  <c r="J135" i="1"/>
  <c r="I136" i="1"/>
  <c r="J136" i="1" s="1"/>
  <c r="I137" i="1"/>
  <c r="J137" i="1" s="1"/>
  <c r="I138" i="1"/>
  <c r="J138" i="1" s="1"/>
  <c r="K138" i="1"/>
  <c r="L138" i="1"/>
  <c r="M138" i="1"/>
  <c r="N138" i="1"/>
  <c r="Q138" i="1"/>
  <c r="I139" i="1"/>
  <c r="J139" i="1"/>
  <c r="K139" i="1"/>
  <c r="L139" i="1"/>
  <c r="M139" i="1"/>
  <c r="I140" i="1"/>
  <c r="J140" i="1" s="1"/>
  <c r="K140" i="1"/>
  <c r="I141" i="1"/>
  <c r="J141" i="1" s="1"/>
  <c r="L141" i="1" s="1"/>
  <c r="I142" i="1"/>
  <c r="J142" i="1" s="1"/>
  <c r="I143" i="1"/>
  <c r="J143" i="1" s="1"/>
  <c r="M143" i="1"/>
  <c r="I144" i="1"/>
  <c r="J144" i="1"/>
  <c r="I145" i="1"/>
  <c r="J145" i="1"/>
  <c r="L145" i="1" s="1"/>
  <c r="I146" i="1"/>
  <c r="J146" i="1" s="1"/>
  <c r="K146" i="1"/>
  <c r="I147" i="1"/>
  <c r="J147" i="1"/>
  <c r="K147" i="1"/>
  <c r="L147" i="1"/>
  <c r="M147" i="1"/>
  <c r="N147" i="1"/>
  <c r="Q147" i="1" s="1"/>
  <c r="O147" i="1"/>
  <c r="I148" i="1"/>
  <c r="J148" i="1"/>
  <c r="K148" i="1"/>
  <c r="L148" i="1"/>
  <c r="M148" i="1"/>
  <c r="I149" i="1"/>
  <c r="J149" i="1" s="1"/>
  <c r="I150" i="1"/>
  <c r="J150" i="1"/>
  <c r="I151" i="1"/>
  <c r="J151" i="1"/>
  <c r="I152" i="1"/>
  <c r="J152" i="1"/>
  <c r="K152" i="1"/>
  <c r="L152" i="1"/>
  <c r="M152" i="1"/>
  <c r="N152" i="1"/>
  <c r="I153" i="1"/>
  <c r="J153" i="1"/>
  <c r="L153" i="1" s="1"/>
  <c r="I154" i="1"/>
  <c r="J154" i="1"/>
  <c r="L154" i="1" s="1"/>
  <c r="K154" i="1"/>
  <c r="M154" i="1"/>
  <c r="I155" i="1"/>
  <c r="J155" i="1" s="1"/>
  <c r="M155" i="1"/>
  <c r="I156" i="1"/>
  <c r="J156" i="1"/>
  <c r="L156" i="1" s="1"/>
  <c r="K156" i="1"/>
  <c r="M156" i="1"/>
  <c r="I157" i="1"/>
  <c r="J157" i="1"/>
  <c r="K157" i="1"/>
  <c r="L157" i="1"/>
  <c r="M157" i="1"/>
  <c r="I158" i="1"/>
  <c r="J158" i="1"/>
  <c r="L158" i="1"/>
  <c r="I159" i="1"/>
  <c r="J159" i="1"/>
  <c r="K159" i="1" s="1"/>
  <c r="L159" i="1"/>
  <c r="M159" i="1"/>
  <c r="I160" i="1"/>
  <c r="J160" i="1" s="1"/>
  <c r="I161" i="1"/>
  <c r="J161" i="1" s="1"/>
  <c r="I162" i="1"/>
  <c r="J162" i="1" s="1"/>
  <c r="L162" i="1" s="1"/>
  <c r="K162" i="1"/>
  <c r="M162" i="1"/>
  <c r="I163" i="1"/>
  <c r="J163" i="1"/>
  <c r="I164" i="1"/>
  <c r="J164" i="1"/>
  <c r="M164" i="1"/>
  <c r="I165" i="1"/>
  <c r="J165" i="1"/>
  <c r="L165" i="1"/>
  <c r="I166" i="1"/>
  <c r="J166" i="1" s="1"/>
  <c r="K166" i="1" s="1"/>
  <c r="M166" i="1"/>
  <c r="I167" i="1"/>
  <c r="J167" i="1"/>
  <c r="K167" i="1" s="1"/>
  <c r="L167" i="1"/>
  <c r="M167" i="1"/>
  <c r="I168" i="1"/>
  <c r="J168" i="1"/>
  <c r="M168" i="1" s="1"/>
  <c r="I169" i="1"/>
  <c r="J169" i="1" s="1"/>
  <c r="L169" i="1"/>
  <c r="I170" i="1"/>
  <c r="J170" i="1" s="1"/>
  <c r="M170" i="1" s="1"/>
  <c r="K170" i="1"/>
  <c r="L170" i="1"/>
  <c r="I171" i="1"/>
  <c r="J171" i="1"/>
  <c r="M171" i="1" s="1"/>
  <c r="K171" i="1"/>
  <c r="L171" i="1"/>
  <c r="I172" i="1"/>
  <c r="J172" i="1"/>
  <c r="K172" i="1" s="1"/>
  <c r="I173" i="1"/>
  <c r="J173" i="1" s="1"/>
  <c r="M173" i="1"/>
  <c r="I174" i="1"/>
  <c r="J174" i="1" s="1"/>
  <c r="K174" i="1"/>
  <c r="I175" i="1"/>
  <c r="J175" i="1"/>
  <c r="M175" i="1" s="1"/>
  <c r="I176" i="1"/>
  <c r="J176" i="1"/>
  <c r="M176" i="1" s="1"/>
  <c r="K176" i="1"/>
  <c r="L176" i="1"/>
  <c r="I177" i="1"/>
  <c r="J177" i="1" s="1"/>
  <c r="L177" i="1"/>
  <c r="I178" i="1"/>
  <c r="J178" i="1" s="1"/>
  <c r="I179" i="1"/>
  <c r="J179" i="1"/>
  <c r="M179" i="1" s="1"/>
  <c r="K179" i="1"/>
  <c r="L179" i="1"/>
  <c r="I180" i="1"/>
  <c r="J180" i="1" s="1"/>
  <c r="I181" i="1"/>
  <c r="J181" i="1" s="1"/>
  <c r="I182" i="1"/>
  <c r="J182" i="1"/>
  <c r="K182" i="1" s="1"/>
  <c r="L182" i="1"/>
  <c r="M182" i="1"/>
  <c r="I183" i="1"/>
  <c r="J183" i="1"/>
  <c r="L183" i="1" s="1"/>
  <c r="K183" i="1"/>
  <c r="M183" i="1"/>
  <c r="I184" i="1"/>
  <c r="J184" i="1"/>
  <c r="K184" i="1"/>
  <c r="L184" i="1"/>
  <c r="M184" i="1"/>
  <c r="I185" i="1"/>
  <c r="J185" i="1" s="1"/>
  <c r="I186" i="1"/>
  <c r="J186" i="1"/>
  <c r="L186" i="1" s="1"/>
  <c r="K186" i="1"/>
  <c r="M186" i="1"/>
  <c r="I187" i="1"/>
  <c r="J187" i="1"/>
  <c r="K187" i="1" s="1"/>
  <c r="I188" i="1"/>
  <c r="J188" i="1" s="1"/>
  <c r="M188" i="1" s="1"/>
  <c r="K188" i="1"/>
  <c r="L188" i="1"/>
  <c r="N188" i="1"/>
  <c r="I189" i="1"/>
  <c r="J189" i="1"/>
  <c r="K189" i="1" s="1"/>
  <c r="M189" i="1"/>
  <c r="I190" i="1"/>
  <c r="J190" i="1"/>
  <c r="I191" i="1"/>
  <c r="J191" i="1" s="1"/>
  <c r="I192" i="1"/>
  <c r="J192" i="1" s="1"/>
  <c r="K192" i="1"/>
  <c r="L192" i="1"/>
  <c r="M192" i="1"/>
  <c r="N192" i="1"/>
  <c r="I193" i="1"/>
  <c r="J193" i="1"/>
  <c r="I194" i="1"/>
  <c r="J194" i="1"/>
  <c r="M194" i="1" s="1"/>
  <c r="K194" i="1"/>
  <c r="L194" i="1"/>
  <c r="I195" i="1"/>
  <c r="J195" i="1"/>
  <c r="I196" i="1"/>
  <c r="J196" i="1" s="1"/>
  <c r="K196" i="1" s="1"/>
  <c r="L196" i="1"/>
  <c r="M196" i="1"/>
  <c r="N196" i="1"/>
  <c r="P196" i="1"/>
  <c r="I197" i="1"/>
  <c r="J197" i="1"/>
  <c r="I198" i="1"/>
  <c r="J198" i="1"/>
  <c r="L198" i="1" s="1"/>
  <c r="K198" i="1"/>
  <c r="M198" i="1"/>
  <c r="I199" i="1"/>
  <c r="J199" i="1" s="1"/>
  <c r="L199" i="1" s="1"/>
  <c r="I200" i="1"/>
  <c r="J200" i="1"/>
  <c r="K200" i="1"/>
  <c r="I201" i="1"/>
  <c r="J201" i="1" s="1"/>
  <c r="I202" i="1"/>
  <c r="J202" i="1"/>
  <c r="M202" i="1" s="1"/>
  <c r="K202" i="1"/>
  <c r="I203" i="1"/>
  <c r="J203" i="1" s="1"/>
  <c r="K203" i="1" s="1"/>
  <c r="M203" i="1"/>
  <c r="I204" i="1"/>
  <c r="J204" i="1" s="1"/>
  <c r="L204" i="1" s="1"/>
  <c r="K204" i="1"/>
  <c r="I205" i="1"/>
  <c r="J205" i="1" s="1"/>
  <c r="K205" i="1" s="1"/>
  <c r="L205" i="1"/>
  <c r="M205" i="1"/>
  <c r="N205" i="1"/>
  <c r="O205" i="1"/>
  <c r="Q205" i="1"/>
  <c r="I206" i="1"/>
  <c r="J206" i="1"/>
  <c r="I207" i="1"/>
  <c r="J207" i="1"/>
  <c r="I208" i="1"/>
  <c r="J208" i="1"/>
  <c r="I209" i="1"/>
  <c r="J209" i="1"/>
  <c r="M209" i="1" s="1"/>
  <c r="K209" i="1"/>
  <c r="L209" i="1"/>
  <c r="I210" i="1"/>
  <c r="J210" i="1"/>
  <c r="I211" i="1"/>
  <c r="J211" i="1" s="1"/>
  <c r="I212" i="1"/>
  <c r="J212" i="1" s="1"/>
  <c r="I213" i="1"/>
  <c r="J213" i="1"/>
  <c r="K213" i="1"/>
  <c r="I214" i="1"/>
  <c r="J214" i="1" s="1"/>
  <c r="M214" i="1"/>
  <c r="I215" i="1"/>
  <c r="J215" i="1"/>
  <c r="L215" i="1" s="1"/>
  <c r="K215" i="1"/>
  <c r="I216" i="1"/>
  <c r="J216" i="1" s="1"/>
  <c r="L216" i="1"/>
  <c r="I217" i="1"/>
  <c r="J217" i="1"/>
  <c r="L217" i="1"/>
  <c r="I218" i="1"/>
  <c r="J218" i="1" s="1"/>
  <c r="M218" i="1" s="1"/>
  <c r="K218" i="1"/>
  <c r="L218" i="1"/>
  <c r="I219" i="1"/>
  <c r="J219" i="1"/>
  <c r="K219" i="1"/>
  <c r="I220" i="1"/>
  <c r="J220" i="1" s="1"/>
  <c r="K220" i="1" s="1"/>
  <c r="L220" i="1"/>
  <c r="M220" i="1"/>
  <c r="I221" i="1"/>
  <c r="J221" i="1"/>
  <c r="L221" i="1" s="1"/>
  <c r="K221" i="1"/>
  <c r="M221" i="1"/>
  <c r="N221" i="1"/>
  <c r="O221" i="1"/>
  <c r="I222" i="1"/>
  <c r="J222" i="1" s="1"/>
  <c r="K222" i="1"/>
  <c r="I223" i="1"/>
  <c r="J223" i="1"/>
  <c r="L223" i="1" s="1"/>
  <c r="K223" i="1"/>
  <c r="M223" i="1"/>
  <c r="I224" i="1"/>
  <c r="J224" i="1"/>
  <c r="M224" i="1"/>
  <c r="I225" i="1"/>
  <c r="J225" i="1"/>
  <c r="K225" i="1"/>
  <c r="I226" i="1"/>
  <c r="J226" i="1" s="1"/>
  <c r="L226" i="1"/>
  <c r="I227" i="1"/>
  <c r="J227" i="1"/>
  <c r="M227" i="1" s="1"/>
  <c r="K227" i="1"/>
  <c r="L227" i="1"/>
  <c r="I228" i="1"/>
  <c r="J228" i="1" s="1"/>
  <c r="K228" i="1" s="1"/>
  <c r="L228" i="1"/>
  <c r="M228" i="1"/>
  <c r="I229" i="1"/>
  <c r="J229" i="1"/>
  <c r="K229" i="1"/>
  <c r="I230" i="1"/>
  <c r="J230" i="1"/>
  <c r="M230" i="1" s="1"/>
  <c r="K230" i="1"/>
  <c r="L230" i="1"/>
  <c r="N230" i="1" s="1"/>
  <c r="I231" i="1"/>
  <c r="J231" i="1"/>
  <c r="I232" i="1"/>
  <c r="J232" i="1" s="1"/>
  <c r="K232" i="1"/>
  <c r="L232" i="1"/>
  <c r="M232" i="1"/>
  <c r="N232" i="1"/>
  <c r="P232" i="1"/>
  <c r="I233" i="1"/>
  <c r="J233" i="1"/>
  <c r="I234" i="1"/>
  <c r="J234" i="1"/>
  <c r="K234" i="1" s="1"/>
  <c r="L234" i="1"/>
  <c r="I235" i="1"/>
  <c r="J235" i="1"/>
  <c r="K235" i="1"/>
  <c r="L235" i="1"/>
  <c r="M235" i="1"/>
  <c r="I236" i="1"/>
  <c r="J236" i="1" s="1"/>
  <c r="K236" i="1"/>
  <c r="L236" i="1"/>
  <c r="M236" i="1"/>
  <c r="N236" i="1"/>
  <c r="O236" i="1" s="1"/>
  <c r="Q236" i="1"/>
  <c r="I237" i="1"/>
  <c r="J237" i="1"/>
  <c r="K237" i="1" s="1"/>
  <c r="M237" i="1"/>
  <c r="I238" i="1"/>
  <c r="J238" i="1" s="1"/>
  <c r="L238" i="1"/>
  <c r="I239" i="1"/>
  <c r="J239" i="1"/>
  <c r="K239" i="1" s="1"/>
  <c r="L239" i="1"/>
  <c r="M239" i="1"/>
  <c r="I240" i="1"/>
  <c r="J240" i="1"/>
  <c r="I241" i="1"/>
  <c r="J241" i="1" s="1"/>
  <c r="I242" i="1"/>
  <c r="J242" i="1" s="1"/>
  <c r="L242" i="1" s="1"/>
  <c r="K242" i="1"/>
  <c r="M242" i="1"/>
  <c r="I243" i="1"/>
  <c r="J243" i="1"/>
  <c r="K243" i="1" s="1"/>
  <c r="L243" i="1"/>
  <c r="M243" i="1"/>
  <c r="I244" i="1"/>
  <c r="J244" i="1"/>
  <c r="K244" i="1"/>
  <c r="I245" i="1"/>
  <c r="J245" i="1"/>
  <c r="L245" i="1" s="1"/>
  <c r="K245" i="1"/>
  <c r="M245" i="1"/>
  <c r="N245" i="1"/>
  <c r="O245" i="1"/>
  <c r="P245" i="1"/>
  <c r="I246" i="1"/>
  <c r="J246" i="1" s="1"/>
  <c r="I247" i="1"/>
  <c r="J247" i="1"/>
  <c r="M247" i="1"/>
  <c r="I248" i="1"/>
  <c r="J248" i="1"/>
  <c r="M248" i="1" s="1"/>
  <c r="K248" i="1"/>
  <c r="L248" i="1"/>
  <c r="I249" i="1"/>
  <c r="J249" i="1"/>
  <c r="M249" i="1"/>
  <c r="I250" i="1"/>
  <c r="J250" i="1" s="1"/>
  <c r="K250" i="1"/>
  <c r="I251" i="1"/>
  <c r="J251" i="1"/>
  <c r="M251" i="1" s="1"/>
  <c r="I252" i="1"/>
  <c r="J252" i="1" s="1"/>
  <c r="K252" i="1" s="1"/>
  <c r="L252" i="1"/>
  <c r="M252" i="1"/>
  <c r="N252" i="1"/>
  <c r="O252" i="1"/>
  <c r="I253" i="1"/>
  <c r="J253" i="1"/>
  <c r="I254" i="1"/>
  <c r="J254" i="1"/>
  <c r="M254" i="1" s="1"/>
  <c r="K254" i="1"/>
  <c r="L254" i="1"/>
  <c r="N254" i="1" s="1"/>
  <c r="I255" i="1"/>
  <c r="J255" i="1" s="1"/>
  <c r="I256" i="1"/>
  <c r="J256" i="1"/>
  <c r="L256" i="1" s="1"/>
  <c r="K256" i="1"/>
  <c r="I257" i="1"/>
  <c r="J257" i="1" s="1"/>
  <c r="K257" i="1"/>
  <c r="I258" i="1"/>
  <c r="J258" i="1" s="1"/>
  <c r="K258" i="1"/>
  <c r="L258" i="1"/>
  <c r="M258" i="1"/>
  <c r="N258" i="1"/>
  <c r="I259" i="1"/>
  <c r="J259" i="1"/>
  <c r="I260" i="1"/>
  <c r="J260" i="1"/>
  <c r="K260" i="1" s="1"/>
  <c r="L260" i="1"/>
  <c r="M260" i="1"/>
  <c r="I261" i="1"/>
  <c r="J261" i="1" s="1"/>
  <c r="M261" i="1"/>
  <c r="I262" i="1"/>
  <c r="J262" i="1"/>
  <c r="K262" i="1"/>
  <c r="I263" i="1"/>
  <c r="J263" i="1"/>
  <c r="K263" i="1"/>
  <c r="L263" i="1"/>
  <c r="N263" i="1" s="1"/>
  <c r="M263" i="1"/>
  <c r="P263" i="1"/>
  <c r="I264" i="1"/>
  <c r="J264" i="1"/>
  <c r="K264" i="1"/>
  <c r="L264" i="1"/>
  <c r="M264" i="1"/>
  <c r="I265" i="1"/>
  <c r="J265" i="1"/>
  <c r="K265" i="1"/>
  <c r="L265" i="1"/>
  <c r="M265" i="1"/>
  <c r="I266" i="1"/>
  <c r="J266" i="1" s="1"/>
  <c r="M266" i="1" s="1"/>
  <c r="K266" i="1"/>
  <c r="L266" i="1"/>
  <c r="I267" i="1"/>
  <c r="J267" i="1" s="1"/>
  <c r="M267" i="1" s="1"/>
  <c r="I268" i="1"/>
  <c r="J268" i="1" s="1"/>
  <c r="I269" i="1"/>
  <c r="J269" i="1" s="1"/>
  <c r="K269" i="1"/>
  <c r="I270" i="1"/>
  <c r="J270" i="1" s="1"/>
  <c r="L270" i="1"/>
  <c r="I271" i="1"/>
  <c r="J271" i="1"/>
  <c r="K271" i="1"/>
  <c r="I272" i="1"/>
  <c r="J272" i="1"/>
  <c r="K272" i="1" s="1"/>
  <c r="I273" i="1"/>
  <c r="J273" i="1" s="1"/>
  <c r="L273" i="1" s="1"/>
  <c r="K273" i="1"/>
  <c r="M273" i="1"/>
  <c r="I274" i="1"/>
  <c r="J274" i="1" s="1"/>
  <c r="I275" i="1"/>
  <c r="J275" i="1" s="1"/>
  <c r="K275" i="1" s="1"/>
  <c r="M275" i="1"/>
  <c r="I276" i="1"/>
  <c r="J276" i="1"/>
  <c r="K276" i="1"/>
  <c r="L276" i="1"/>
  <c r="M276" i="1"/>
  <c r="I277" i="1"/>
  <c r="J277" i="1"/>
  <c r="K277" i="1"/>
  <c r="I278" i="1"/>
  <c r="J278" i="1" s="1"/>
  <c r="L278" i="1"/>
  <c r="I279" i="1"/>
  <c r="J279" i="1"/>
  <c r="M279" i="1" s="1"/>
  <c r="I280" i="1"/>
  <c r="J280" i="1"/>
  <c r="I281" i="1"/>
  <c r="J281" i="1"/>
  <c r="I282" i="1"/>
  <c r="J282" i="1" s="1"/>
  <c r="K282" i="1" s="1"/>
  <c r="L282" i="1"/>
  <c r="I283" i="1"/>
  <c r="J283" i="1" s="1"/>
  <c r="I284" i="1"/>
  <c r="J284" i="1"/>
  <c r="L284" i="1"/>
  <c r="I285" i="1"/>
  <c r="J285" i="1"/>
  <c r="L285" i="1" s="1"/>
  <c r="K285" i="1"/>
  <c r="M285" i="1"/>
  <c r="N285" i="1"/>
  <c r="O285" i="1" s="1"/>
  <c r="P285" i="1"/>
  <c r="I286" i="1"/>
  <c r="J286" i="1"/>
  <c r="K286" i="1"/>
  <c r="I287" i="1"/>
  <c r="J287" i="1"/>
  <c r="M287" i="1" s="1"/>
  <c r="K287" i="1"/>
  <c r="L287" i="1"/>
  <c r="I288" i="1"/>
  <c r="J288" i="1"/>
  <c r="K288" i="1"/>
  <c r="L288" i="1"/>
  <c r="M288" i="1"/>
  <c r="I289" i="1"/>
  <c r="J289" i="1"/>
  <c r="L289" i="1" s="1"/>
  <c r="K289" i="1"/>
  <c r="M289" i="1"/>
  <c r="I290" i="1"/>
  <c r="J290" i="1" s="1"/>
  <c r="K290" i="1"/>
  <c r="L290" i="1"/>
  <c r="M290" i="1"/>
  <c r="I291" i="1"/>
  <c r="J291" i="1" s="1"/>
  <c r="I292" i="1"/>
  <c r="J292" i="1"/>
  <c r="I293" i="1"/>
  <c r="J293" i="1"/>
  <c r="L293" i="1" s="1"/>
  <c r="K293" i="1"/>
  <c r="M293" i="1"/>
  <c r="N293" i="1"/>
  <c r="Q293" i="1"/>
  <c r="I294" i="1"/>
  <c r="J294" i="1"/>
  <c r="K294" i="1"/>
  <c r="I295" i="1"/>
  <c r="J295" i="1" s="1"/>
  <c r="L295" i="1"/>
  <c r="I296" i="1"/>
  <c r="J296" i="1"/>
  <c r="M296" i="1" s="1"/>
  <c r="K296" i="1"/>
  <c r="L296" i="1"/>
  <c r="I297" i="1"/>
  <c r="J297" i="1" s="1"/>
  <c r="I298" i="1"/>
  <c r="J298" i="1" s="1"/>
  <c r="M298" i="1" s="1"/>
  <c r="K298" i="1"/>
  <c r="L298" i="1"/>
  <c r="I299" i="1"/>
  <c r="J299" i="1"/>
  <c r="K299" i="1" s="1"/>
  <c r="L299" i="1"/>
  <c r="I300" i="1"/>
  <c r="J300" i="1"/>
  <c r="L300" i="1"/>
  <c r="I301" i="1"/>
  <c r="J301" i="1"/>
  <c r="K301" i="1"/>
  <c r="I302" i="1"/>
  <c r="J302" i="1"/>
  <c r="I303" i="1"/>
  <c r="J303" i="1" s="1"/>
  <c r="I304" i="1"/>
  <c r="J304" i="1"/>
  <c r="K304" i="1"/>
  <c r="I305" i="1"/>
  <c r="J305" i="1" s="1"/>
  <c r="M305" i="1" s="1"/>
  <c r="K305" i="1"/>
  <c r="L305" i="1"/>
  <c r="I306" i="1"/>
  <c r="J306" i="1" s="1"/>
  <c r="I307" i="1"/>
  <c r="J307" i="1" s="1"/>
  <c r="I308" i="1"/>
  <c r="J308" i="1"/>
  <c r="K308" i="1"/>
  <c r="L308" i="1"/>
  <c r="M308" i="1"/>
  <c r="I309" i="1"/>
  <c r="J309" i="1" s="1"/>
  <c r="I310" i="1"/>
  <c r="J310" i="1" s="1"/>
  <c r="L310" i="1"/>
  <c r="I311" i="1"/>
  <c r="J311" i="1" s="1"/>
  <c r="K311" i="1"/>
  <c r="I312" i="1"/>
  <c r="J312" i="1"/>
  <c r="M312" i="1"/>
  <c r="I313" i="1"/>
  <c r="J313" i="1" s="1"/>
  <c r="I314" i="1"/>
  <c r="J314" i="1" s="1"/>
  <c r="L314" i="1"/>
  <c r="I315" i="1"/>
  <c r="J315" i="1" s="1"/>
  <c r="K315" i="1" s="1"/>
  <c r="L315" i="1"/>
  <c r="M315" i="1"/>
  <c r="N315" i="1"/>
  <c r="O315" i="1"/>
  <c r="Q315" i="1"/>
  <c r="I316" i="1"/>
  <c r="J316" i="1"/>
  <c r="L316" i="1"/>
  <c r="I317" i="1"/>
  <c r="J317" i="1"/>
  <c r="L317" i="1" s="1"/>
  <c r="K317" i="1"/>
  <c r="M317" i="1"/>
  <c r="N317" i="1" s="1"/>
  <c r="I318" i="1"/>
  <c r="J318" i="1" s="1"/>
  <c r="L318" i="1"/>
  <c r="I319" i="1"/>
  <c r="J319" i="1"/>
  <c r="K319" i="1"/>
  <c r="L319" i="1"/>
  <c r="M319" i="1"/>
  <c r="I320" i="1"/>
  <c r="J320" i="1"/>
  <c r="L320" i="1" s="1"/>
  <c r="K320" i="1"/>
  <c r="I321" i="1"/>
  <c r="J321" i="1" s="1"/>
  <c r="M321" i="1"/>
  <c r="I322" i="1"/>
  <c r="J322" i="1" s="1"/>
  <c r="L322" i="1"/>
  <c r="I323" i="1"/>
  <c r="J323" i="1"/>
  <c r="K323" i="1" s="1"/>
  <c r="L323" i="1"/>
  <c r="M323" i="1"/>
  <c r="N323" i="1"/>
  <c r="I324" i="1"/>
  <c r="J324" i="1"/>
  <c r="M324" i="1"/>
  <c r="I325" i="1"/>
  <c r="J325" i="1"/>
  <c r="L325" i="1" s="1"/>
  <c r="K325" i="1"/>
  <c r="M325" i="1"/>
  <c r="I326" i="1"/>
  <c r="J326" i="1"/>
  <c r="L326" i="1"/>
  <c r="I327" i="1"/>
  <c r="J327" i="1"/>
  <c r="K327" i="1" s="1"/>
  <c r="I328" i="1"/>
  <c r="J328" i="1"/>
  <c r="L328" i="1"/>
  <c r="I329" i="1"/>
  <c r="J329" i="1"/>
  <c r="K329" i="1"/>
  <c r="L329" i="1"/>
  <c r="M329" i="1"/>
  <c r="I330" i="1"/>
  <c r="J330" i="1" s="1"/>
  <c r="L330" i="1"/>
  <c r="I331" i="1"/>
  <c r="J331" i="1"/>
  <c r="L331" i="1"/>
  <c r="I332" i="1"/>
  <c r="J332" i="1"/>
  <c r="M332" i="1" s="1"/>
  <c r="K332" i="1"/>
  <c r="L332" i="1"/>
  <c r="I333" i="1"/>
  <c r="J333" i="1"/>
  <c r="M333" i="1" s="1"/>
  <c r="I334" i="1"/>
  <c r="J334" i="1"/>
  <c r="I335" i="1"/>
  <c r="J335" i="1" s="1"/>
  <c r="K335" i="1"/>
  <c r="I336" i="1"/>
  <c r="J336" i="1"/>
  <c r="K336" i="1" s="1"/>
  <c r="L336" i="1"/>
  <c r="M336" i="1"/>
  <c r="I337" i="1"/>
  <c r="J337" i="1"/>
  <c r="K337" i="1"/>
  <c r="L337" i="1"/>
  <c r="M337" i="1"/>
  <c r="I338" i="1"/>
  <c r="J338" i="1" s="1"/>
  <c r="K338" i="1"/>
  <c r="L338" i="1"/>
  <c r="M338" i="1"/>
  <c r="I339" i="1"/>
  <c r="J339" i="1" s="1"/>
  <c r="I340" i="1"/>
  <c r="J340" i="1"/>
  <c r="M340" i="1" s="1"/>
  <c r="K340" i="1"/>
  <c r="L340" i="1"/>
  <c r="N340" i="1"/>
  <c r="I341" i="1"/>
  <c r="J341" i="1"/>
  <c r="L341" i="1" s="1"/>
  <c r="K341" i="1"/>
  <c r="M341" i="1"/>
  <c r="N341" i="1"/>
  <c r="I342" i="1"/>
  <c r="J342" i="1"/>
  <c r="I343" i="1"/>
  <c r="J343" i="1" s="1"/>
  <c r="I344" i="1"/>
  <c r="J344" i="1"/>
  <c r="M344" i="1" s="1"/>
  <c r="K344" i="1"/>
  <c r="L344" i="1"/>
  <c r="I345" i="1"/>
  <c r="J345" i="1"/>
  <c r="I346" i="1"/>
  <c r="J346" i="1" s="1"/>
  <c r="K346" i="1"/>
  <c r="L346" i="1"/>
  <c r="M346" i="1"/>
  <c r="N346" i="1"/>
  <c r="Q346" i="1"/>
  <c r="I347" i="1"/>
  <c r="J347" i="1"/>
  <c r="K347" i="1" s="1"/>
  <c r="L347" i="1"/>
  <c r="M347" i="1"/>
  <c r="N347" i="1"/>
  <c r="I348" i="1"/>
  <c r="J348" i="1"/>
  <c r="K348" i="1"/>
  <c r="I349" i="1"/>
  <c r="J349" i="1"/>
  <c r="I350" i="1"/>
  <c r="J350" i="1"/>
  <c r="M350" i="1" s="1"/>
  <c r="K350" i="1"/>
  <c r="L350" i="1"/>
  <c r="N350" i="1"/>
  <c r="I351" i="1"/>
  <c r="J351" i="1"/>
  <c r="L351" i="1" s="1"/>
  <c r="K351" i="1"/>
  <c r="M351" i="1"/>
  <c r="N351" i="1"/>
  <c r="I352" i="1"/>
  <c r="J352" i="1"/>
  <c r="M352" i="1" s="1"/>
  <c r="K352" i="1"/>
  <c r="L352" i="1"/>
  <c r="I353" i="1"/>
  <c r="J353" i="1"/>
  <c r="K353" i="1"/>
  <c r="L353" i="1"/>
  <c r="M353" i="1"/>
  <c r="I354" i="1"/>
  <c r="J354" i="1" s="1"/>
  <c r="L354" i="1" s="1"/>
  <c r="M354" i="1"/>
  <c r="I355" i="1"/>
  <c r="J355" i="1"/>
  <c r="K355" i="1" s="1"/>
  <c r="L355" i="1"/>
  <c r="M355" i="1"/>
  <c r="I356" i="1"/>
  <c r="J356" i="1" s="1"/>
  <c r="K356" i="1"/>
  <c r="L356" i="1"/>
  <c r="M356" i="1"/>
  <c r="N356" i="1"/>
  <c r="I357" i="1"/>
  <c r="J357" i="1" s="1"/>
  <c r="I358" i="1"/>
  <c r="J358" i="1" s="1"/>
  <c r="M358" i="1" s="1"/>
  <c r="K358" i="1"/>
  <c r="L358" i="1"/>
  <c r="I359" i="1"/>
  <c r="J359" i="1"/>
  <c r="K359" i="1"/>
  <c r="I360" i="1"/>
  <c r="J360" i="1"/>
  <c r="K360" i="1" s="1"/>
  <c r="L360" i="1"/>
  <c r="M360" i="1"/>
  <c r="I361" i="1"/>
  <c r="J361" i="1"/>
  <c r="M361" i="1" s="1"/>
  <c r="K361" i="1"/>
  <c r="L361" i="1"/>
  <c r="I362" i="1"/>
  <c r="J362" i="1" s="1"/>
  <c r="K362" i="1"/>
  <c r="L362" i="1"/>
  <c r="M362" i="1"/>
  <c r="I363" i="1"/>
  <c r="J363" i="1" s="1"/>
  <c r="M363" i="1"/>
  <c r="I364" i="1"/>
  <c r="J364" i="1" s="1"/>
  <c r="I365" i="1"/>
  <c r="J365" i="1"/>
  <c r="L365" i="1" s="1"/>
  <c r="K365" i="1"/>
  <c r="M365" i="1"/>
  <c r="I366" i="1"/>
  <c r="J366" i="1"/>
  <c r="K366" i="1"/>
  <c r="L366" i="1"/>
  <c r="M366" i="1"/>
  <c r="I367" i="1"/>
  <c r="J367" i="1" s="1"/>
  <c r="M367" i="1"/>
  <c r="I368" i="1"/>
  <c r="J368" i="1" s="1"/>
  <c r="I369" i="1"/>
  <c r="J369" i="1"/>
  <c r="M369" i="1" s="1"/>
  <c r="K369" i="1"/>
  <c r="L369" i="1"/>
  <c r="I370" i="1"/>
  <c r="J370" i="1"/>
  <c r="K370" i="1"/>
  <c r="I371" i="1"/>
  <c r="J371" i="1"/>
  <c r="M371" i="1" s="1"/>
  <c r="K371" i="1"/>
  <c r="L371" i="1"/>
  <c r="I372" i="1"/>
  <c r="J372" i="1" s="1"/>
  <c r="I373" i="1"/>
  <c r="J373" i="1" s="1"/>
  <c r="I374" i="1"/>
  <c r="J374" i="1"/>
  <c r="K374" i="1"/>
  <c r="L374" i="1"/>
  <c r="M374" i="1"/>
  <c r="N374" i="1"/>
  <c r="O374" i="1"/>
  <c r="P374" i="1"/>
  <c r="I375" i="1"/>
  <c r="J375" i="1"/>
  <c r="M375" i="1"/>
  <c r="I376" i="1"/>
  <c r="J376" i="1"/>
  <c r="M376" i="1" s="1"/>
  <c r="K376" i="1"/>
  <c r="L376" i="1"/>
  <c r="I377" i="1"/>
  <c r="J377" i="1" s="1"/>
  <c r="K377" i="1"/>
  <c r="N377" i="1" s="1"/>
  <c r="L377" i="1"/>
  <c r="M377" i="1"/>
  <c r="I378" i="1"/>
  <c r="J378" i="1"/>
  <c r="K378" i="1"/>
  <c r="L378" i="1"/>
  <c r="M378" i="1"/>
  <c r="I379" i="1"/>
  <c r="J379" i="1"/>
  <c r="K379" i="1"/>
  <c r="I380" i="1"/>
  <c r="J380" i="1" s="1"/>
  <c r="I381" i="1"/>
  <c r="J381" i="1" s="1"/>
  <c r="M381" i="1"/>
  <c r="I382" i="1"/>
  <c r="J382" i="1"/>
  <c r="K382" i="1"/>
  <c r="I383" i="1"/>
  <c r="J383" i="1"/>
  <c r="L383" i="1" s="1"/>
  <c r="K383" i="1"/>
  <c r="M383" i="1"/>
  <c r="N383" i="1" s="1"/>
  <c r="I384" i="1"/>
  <c r="J384" i="1"/>
  <c r="I385" i="1"/>
  <c r="J385" i="1"/>
  <c r="K385" i="1"/>
  <c r="L385" i="1"/>
  <c r="M385" i="1"/>
  <c r="I386" i="1"/>
  <c r="J386" i="1"/>
  <c r="M386" i="1"/>
  <c r="I387" i="1"/>
  <c r="J387" i="1"/>
  <c r="K387" i="1"/>
  <c r="L387" i="1"/>
  <c r="M387" i="1"/>
  <c r="I388" i="1"/>
  <c r="J388" i="1" s="1"/>
  <c r="M388" i="1" s="1"/>
  <c r="K388" i="1"/>
  <c r="I389" i="1"/>
  <c r="J389" i="1" s="1"/>
  <c r="M389" i="1"/>
  <c r="I390" i="1"/>
  <c r="J390" i="1"/>
  <c r="M390" i="1" s="1"/>
  <c r="I391" i="1"/>
  <c r="J391" i="1" s="1"/>
  <c r="I392" i="1"/>
  <c r="J392" i="1"/>
  <c r="M392" i="1" s="1"/>
  <c r="K392" i="1"/>
  <c r="L392" i="1"/>
  <c r="N392" i="1"/>
  <c r="Q392" i="1" s="1"/>
  <c r="O392" i="1"/>
  <c r="I393" i="1"/>
  <c r="J393" i="1"/>
  <c r="I394" i="1"/>
  <c r="J394" i="1"/>
  <c r="K394" i="1" s="1"/>
  <c r="I395" i="1"/>
  <c r="J395" i="1"/>
  <c r="K395" i="1"/>
  <c r="I396" i="1"/>
  <c r="J396" i="1" s="1"/>
  <c r="I397" i="1"/>
  <c r="J397" i="1"/>
  <c r="L397" i="1"/>
  <c r="I398" i="1"/>
  <c r="J398" i="1"/>
  <c r="K398" i="1"/>
  <c r="L398" i="1"/>
  <c r="M398" i="1"/>
  <c r="N398" i="1"/>
  <c r="I399" i="1"/>
  <c r="J399" i="1" s="1"/>
  <c r="I400" i="1"/>
  <c r="J400" i="1"/>
  <c r="M400" i="1" s="1"/>
  <c r="K400" i="1"/>
  <c r="L400" i="1"/>
  <c r="I401" i="1"/>
  <c r="J401" i="1" s="1"/>
  <c r="K401" i="1" s="1"/>
  <c r="L401" i="1"/>
  <c r="M401" i="1"/>
  <c r="D5" i="1"/>
  <c r="C5" i="1"/>
  <c r="B5" i="1"/>
  <c r="I10" i="1"/>
  <c r="J10" i="1" s="1"/>
  <c r="L10" i="1" s="1"/>
  <c r="N202" i="1" l="1"/>
  <c r="O202" i="1" s="1"/>
  <c r="O383" i="1"/>
  <c r="P383" i="1"/>
  <c r="P398" i="1"/>
  <c r="Q341" i="1"/>
  <c r="N219" i="1"/>
  <c r="O219" i="1" s="1"/>
  <c r="N298" i="1"/>
  <c r="O254" i="1"/>
  <c r="Q254" i="1"/>
  <c r="K190" i="1"/>
  <c r="L190" i="1"/>
  <c r="M190" i="1"/>
  <c r="N29" i="1"/>
  <c r="P29" i="1" s="1"/>
  <c r="P319" i="1"/>
  <c r="L309" i="1"/>
  <c r="K309" i="1"/>
  <c r="M309" i="1"/>
  <c r="Q350" i="1"/>
  <c r="N319" i="1"/>
  <c r="P152" i="1"/>
  <c r="P401" i="1"/>
  <c r="K274" i="1"/>
  <c r="L274" i="1"/>
  <c r="M274" i="1"/>
  <c r="P239" i="1"/>
  <c r="O230" i="1"/>
  <c r="Q230" i="1"/>
  <c r="P230" i="1"/>
  <c r="N401" i="1"/>
  <c r="O401" i="1" s="1"/>
  <c r="R401" i="1" s="1"/>
  <c r="K396" i="1"/>
  <c r="L396" i="1"/>
  <c r="M396" i="1"/>
  <c r="L391" i="1"/>
  <c r="M391" i="1"/>
  <c r="K391" i="1"/>
  <c r="N361" i="1"/>
  <c r="Q361" i="1" s="1"/>
  <c r="P344" i="1"/>
  <c r="Q273" i="1"/>
  <c r="N266" i="1"/>
  <c r="N239" i="1"/>
  <c r="O239" i="1"/>
  <c r="K173" i="1"/>
  <c r="L173" i="1"/>
  <c r="M72" i="1"/>
  <c r="K72" i="1"/>
  <c r="L72" i="1"/>
  <c r="Q377" i="1"/>
  <c r="N344" i="1"/>
  <c r="Q344" i="1" s="1"/>
  <c r="O344" i="1"/>
  <c r="O317" i="1"/>
  <c r="P317" i="1"/>
  <c r="L313" i="1"/>
  <c r="M313" i="1"/>
  <c r="K313" i="1"/>
  <c r="K291" i="1"/>
  <c r="M291" i="1"/>
  <c r="L291" i="1"/>
  <c r="K178" i="1"/>
  <c r="M178" i="1"/>
  <c r="L178" i="1"/>
  <c r="N156" i="1"/>
  <c r="P156" i="1" s="1"/>
  <c r="O156" i="1"/>
  <c r="Q115" i="1"/>
  <c r="K372" i="1"/>
  <c r="L372" i="1"/>
  <c r="M372" i="1"/>
  <c r="L393" i="1"/>
  <c r="M393" i="1"/>
  <c r="K393" i="1"/>
  <c r="Q398" i="1"/>
  <c r="L368" i="1"/>
  <c r="K368" i="1"/>
  <c r="M368" i="1"/>
  <c r="Q260" i="1"/>
  <c r="K281" i="1"/>
  <c r="L281" i="1"/>
  <c r="M281" i="1"/>
  <c r="K14" i="1"/>
  <c r="L14" i="1"/>
  <c r="M14" i="1"/>
  <c r="O398" i="1"/>
  <c r="R398" i="1" s="1"/>
  <c r="R392" i="1"/>
  <c r="O341" i="1"/>
  <c r="N387" i="1"/>
  <c r="P387" i="1" s="1"/>
  <c r="P366" i="1"/>
  <c r="Q401" i="1"/>
  <c r="K345" i="1"/>
  <c r="L345" i="1"/>
  <c r="M345" i="1"/>
  <c r="O263" i="1"/>
  <c r="Q263" i="1"/>
  <c r="N116" i="1"/>
  <c r="O116" i="1" s="1"/>
  <c r="N385" i="1"/>
  <c r="P385" i="1"/>
  <c r="P377" i="1"/>
  <c r="K307" i="1"/>
  <c r="M307" i="1"/>
  <c r="L307" i="1"/>
  <c r="O377" i="1"/>
  <c r="K380" i="1"/>
  <c r="L380" i="1"/>
  <c r="M380" i="1"/>
  <c r="Q347" i="1"/>
  <c r="K92" i="1"/>
  <c r="M92" i="1"/>
  <c r="L92" i="1"/>
  <c r="K373" i="1"/>
  <c r="M373" i="1"/>
  <c r="L373" i="1"/>
  <c r="K364" i="1"/>
  <c r="L364" i="1"/>
  <c r="M364" i="1"/>
  <c r="P347" i="1"/>
  <c r="M257" i="1"/>
  <c r="L257" i="1"/>
  <c r="N243" i="1"/>
  <c r="N120" i="1"/>
  <c r="M88" i="1"/>
  <c r="K88" i="1"/>
  <c r="L88" i="1"/>
  <c r="L359" i="1"/>
  <c r="M359" i="1"/>
  <c r="Q202" i="1"/>
  <c r="Q387" i="1"/>
  <c r="K255" i="1"/>
  <c r="M255" i="1"/>
  <c r="L255" i="1"/>
  <c r="P350" i="1"/>
  <c r="M219" i="1"/>
  <c r="L219" i="1"/>
  <c r="L206" i="1"/>
  <c r="M206" i="1"/>
  <c r="K206" i="1"/>
  <c r="O350" i="1"/>
  <c r="N332" i="1"/>
  <c r="O332" i="1" s="1"/>
  <c r="K241" i="1"/>
  <c r="L241" i="1"/>
  <c r="M241" i="1"/>
  <c r="N353" i="1"/>
  <c r="Q353" i="1" s="1"/>
  <c r="L268" i="1"/>
  <c r="M268" i="1"/>
  <c r="K268" i="1"/>
  <c r="Q152" i="1"/>
  <c r="N366" i="1"/>
  <c r="Q366" i="1" s="1"/>
  <c r="L357" i="1"/>
  <c r="K357" i="1"/>
  <c r="M357" i="1"/>
  <c r="Q239" i="1"/>
  <c r="K390" i="1"/>
  <c r="L390" i="1"/>
  <c r="K339" i="1"/>
  <c r="L339" i="1"/>
  <c r="M339" i="1"/>
  <c r="N139" i="1"/>
  <c r="O139" i="1"/>
  <c r="K58" i="1"/>
  <c r="L58" i="1"/>
  <c r="M58" i="1"/>
  <c r="K343" i="1"/>
  <c r="L343" i="1"/>
  <c r="M343" i="1"/>
  <c r="K283" i="1"/>
  <c r="L283" i="1"/>
  <c r="M283" i="1"/>
  <c r="N215" i="1"/>
  <c r="L202" i="1"/>
  <c r="N182" i="1"/>
  <c r="Q182" i="1" s="1"/>
  <c r="L149" i="1"/>
  <c r="K149" i="1"/>
  <c r="M149" i="1"/>
  <c r="M145" i="1"/>
  <c r="K145" i="1"/>
  <c r="M97" i="1"/>
  <c r="L97" i="1"/>
  <c r="K97" i="1"/>
  <c r="P287" i="1"/>
  <c r="M270" i="1"/>
  <c r="K270" i="1"/>
  <c r="L253" i="1"/>
  <c r="M253" i="1"/>
  <c r="K253" i="1"/>
  <c r="Q232" i="1"/>
  <c r="L163" i="1"/>
  <c r="M163" i="1"/>
  <c r="K163" i="1"/>
  <c r="O152" i="1"/>
  <c r="R152" i="1" s="1"/>
  <c r="M57" i="1"/>
  <c r="K57" i="1"/>
  <c r="L57" i="1"/>
  <c r="P392" i="1"/>
  <c r="N369" i="1"/>
  <c r="Q369" i="1" s="1"/>
  <c r="P338" i="1"/>
  <c r="N335" i="1"/>
  <c r="O335" i="1" s="1"/>
  <c r="N325" i="1"/>
  <c r="N308" i="1"/>
  <c r="P308" i="1" s="1"/>
  <c r="L301" i="1"/>
  <c r="M301" i="1"/>
  <c r="N290" i="1"/>
  <c r="O290" i="1" s="1"/>
  <c r="P290" i="1"/>
  <c r="N287" i="1"/>
  <c r="Q287" i="1" s="1"/>
  <c r="K249" i="1"/>
  <c r="L249" i="1"/>
  <c r="R91" i="1"/>
  <c r="K46" i="1"/>
  <c r="L46" i="1"/>
  <c r="M13" i="1"/>
  <c r="K13" i="1"/>
  <c r="L13" i="1"/>
  <c r="M382" i="1"/>
  <c r="L382" i="1"/>
  <c r="K363" i="1"/>
  <c r="L363" i="1"/>
  <c r="N358" i="1"/>
  <c r="O358" i="1" s="1"/>
  <c r="N338" i="1"/>
  <c r="Q338" i="1" s="1"/>
  <c r="R315" i="1"/>
  <c r="K312" i="1"/>
  <c r="L312" i="1"/>
  <c r="Q276" i="1"/>
  <c r="R252" i="1"/>
  <c r="M222" i="1"/>
  <c r="L222" i="1"/>
  <c r="N209" i="1"/>
  <c r="M185" i="1"/>
  <c r="K185" i="1"/>
  <c r="L185" i="1"/>
  <c r="N167" i="1"/>
  <c r="Q167" i="1" s="1"/>
  <c r="O167" i="1"/>
  <c r="L111" i="1"/>
  <c r="K111" i="1"/>
  <c r="M384" i="1"/>
  <c r="K384" i="1"/>
  <c r="L384" i="1"/>
  <c r="N371" i="1"/>
  <c r="Q371" i="1" s="1"/>
  <c r="Q360" i="1"/>
  <c r="M334" i="1"/>
  <c r="K334" i="1"/>
  <c r="L334" i="1"/>
  <c r="K331" i="1"/>
  <c r="M331" i="1"/>
  <c r="M318" i="1"/>
  <c r="K318" i="1"/>
  <c r="P276" i="1"/>
  <c r="N265" i="1"/>
  <c r="Q242" i="1"/>
  <c r="L225" i="1"/>
  <c r="M225" i="1"/>
  <c r="N218" i="1"/>
  <c r="Q218" i="1" s="1"/>
  <c r="O218" i="1"/>
  <c r="N200" i="1"/>
  <c r="O200" i="1"/>
  <c r="P188" i="1"/>
  <c r="Q184" i="1"/>
  <c r="P176" i="1"/>
  <c r="N171" i="1"/>
  <c r="Q171" i="1" s="1"/>
  <c r="O171" i="1"/>
  <c r="R147" i="1"/>
  <c r="O114" i="1"/>
  <c r="Q75" i="1"/>
  <c r="K23" i="1"/>
  <c r="L23" i="1"/>
  <c r="N400" i="1"/>
  <c r="K389" i="1"/>
  <c r="L389" i="1"/>
  <c r="N355" i="1"/>
  <c r="Q355" i="1" s="1"/>
  <c r="O355" i="1"/>
  <c r="N352" i="1"/>
  <c r="O352" i="1" s="1"/>
  <c r="Q337" i="1"/>
  <c r="K328" i="1"/>
  <c r="M328" i="1"/>
  <c r="K321" i="1"/>
  <c r="L321" i="1"/>
  <c r="K300" i="1"/>
  <c r="M300" i="1"/>
  <c r="L280" i="1"/>
  <c r="K280" i="1"/>
  <c r="M280" i="1"/>
  <c r="N276" i="1"/>
  <c r="O276" i="1" s="1"/>
  <c r="R276" i="1" s="1"/>
  <c r="N262" i="1"/>
  <c r="O262" i="1" s="1"/>
  <c r="N248" i="1"/>
  <c r="P248" i="1" s="1"/>
  <c r="O248" i="1"/>
  <c r="Q245" i="1"/>
  <c r="R245" i="1" s="1"/>
  <c r="N242" i="1"/>
  <c r="O242" i="1"/>
  <c r="M200" i="1"/>
  <c r="L200" i="1"/>
  <c r="O188" i="1"/>
  <c r="N133" i="1"/>
  <c r="N100" i="1"/>
  <c r="O100" i="1" s="1"/>
  <c r="P75" i="1"/>
  <c r="K70" i="1"/>
  <c r="L70" i="1"/>
  <c r="M70" i="1"/>
  <c r="Q50" i="1"/>
  <c r="K397" i="1"/>
  <c r="M397" i="1"/>
  <c r="M394" i="1"/>
  <c r="K386" i="1"/>
  <c r="L386" i="1"/>
  <c r="N376" i="1"/>
  <c r="O376" i="1"/>
  <c r="Q352" i="1"/>
  <c r="L349" i="1"/>
  <c r="K349" i="1"/>
  <c r="M349" i="1"/>
  <c r="P340" i="1"/>
  <c r="P315" i="1"/>
  <c r="N304" i="1"/>
  <c r="O304" i="1" s="1"/>
  <c r="N296" i="1"/>
  <c r="P296" i="1" s="1"/>
  <c r="O296" i="1"/>
  <c r="N289" i="1"/>
  <c r="O289" i="1" s="1"/>
  <c r="M286" i="1"/>
  <c r="L286" i="1"/>
  <c r="M272" i="1"/>
  <c r="L269" i="1"/>
  <c r="M269" i="1"/>
  <c r="M262" i="1"/>
  <c r="L262" i="1"/>
  <c r="P252" i="1"/>
  <c r="P242" i="1"/>
  <c r="Q221" i="1"/>
  <c r="L213" i="1"/>
  <c r="N213" i="1" s="1"/>
  <c r="O213" i="1" s="1"/>
  <c r="M213" i="1"/>
  <c r="P192" i="1"/>
  <c r="Q188" i="1"/>
  <c r="N162" i="1"/>
  <c r="Q154" i="1"/>
  <c r="K142" i="1"/>
  <c r="L142" i="1"/>
  <c r="M142" i="1"/>
  <c r="M100" i="1"/>
  <c r="L100" i="1"/>
  <c r="K80" i="1"/>
  <c r="L80" i="1"/>
  <c r="O75" i="1"/>
  <c r="Q44" i="1"/>
  <c r="P36" i="1"/>
  <c r="K22" i="1"/>
  <c r="L22" i="1"/>
  <c r="L394" i="1"/>
  <c r="Q383" i="1"/>
  <c r="Q378" i="1"/>
  <c r="N365" i="1"/>
  <c r="Q365" i="1" s="1"/>
  <c r="O365" i="1"/>
  <c r="P362" i="1"/>
  <c r="N362" i="1"/>
  <c r="O362" i="1" s="1"/>
  <c r="N337" i="1"/>
  <c r="P337" i="1" s="1"/>
  <c r="L311" i="1"/>
  <c r="N311" i="1" s="1"/>
  <c r="O311" i="1" s="1"/>
  <c r="M311" i="1"/>
  <c r="L304" i="1"/>
  <c r="M304" i="1"/>
  <c r="O293" i="1"/>
  <c r="L272" i="1"/>
  <c r="N272" i="1" s="1"/>
  <c r="O272" i="1" s="1"/>
  <c r="Q264" i="1"/>
  <c r="K259" i="1"/>
  <c r="L259" i="1"/>
  <c r="M259" i="1"/>
  <c r="L231" i="1"/>
  <c r="K231" i="1"/>
  <c r="M231" i="1"/>
  <c r="N228" i="1"/>
  <c r="K217" i="1"/>
  <c r="M217" i="1"/>
  <c r="O192" i="1"/>
  <c r="K180" i="1"/>
  <c r="L180" i="1"/>
  <c r="M180" i="1"/>
  <c r="N154" i="1"/>
  <c r="P154" i="1" s="1"/>
  <c r="O154" i="1"/>
  <c r="P105" i="1"/>
  <c r="M79" i="1"/>
  <c r="K79" i="1"/>
  <c r="L79" i="1"/>
  <c r="N69" i="1"/>
  <c r="O69" i="1" s="1"/>
  <c r="N44" i="1"/>
  <c r="N40" i="1"/>
  <c r="O40" i="1" s="1"/>
  <c r="O36" i="1"/>
  <c r="L388" i="1"/>
  <c r="P293" i="1"/>
  <c r="P264" i="1"/>
  <c r="M234" i="1"/>
  <c r="K208" i="1"/>
  <c r="L208" i="1"/>
  <c r="M208" i="1"/>
  <c r="K195" i="1"/>
  <c r="L195" i="1"/>
  <c r="M195" i="1"/>
  <c r="M137" i="1"/>
  <c r="L137" i="1"/>
  <c r="K137" i="1"/>
  <c r="M109" i="1"/>
  <c r="K109" i="1"/>
  <c r="L109" i="1"/>
  <c r="P44" i="1"/>
  <c r="M31" i="1"/>
  <c r="L31" i="1"/>
  <c r="K31" i="1"/>
  <c r="N348" i="1"/>
  <c r="O348" i="1"/>
  <c r="K175" i="1"/>
  <c r="L175" i="1"/>
  <c r="K141" i="1"/>
  <c r="M141" i="1"/>
  <c r="P35" i="1"/>
  <c r="Q35" i="1"/>
  <c r="N378" i="1"/>
  <c r="P378" i="1" s="1"/>
  <c r="O378" i="1"/>
  <c r="O170" i="1"/>
  <c r="R170" i="1" s="1"/>
  <c r="N170" i="1"/>
  <c r="P170" i="1" s="1"/>
  <c r="L128" i="1"/>
  <c r="M128" i="1"/>
  <c r="K128" i="1"/>
  <c r="M113" i="1"/>
  <c r="K113" i="1"/>
  <c r="P74" i="1"/>
  <c r="K381" i="1"/>
  <c r="L381" i="1"/>
  <c r="K354" i="1"/>
  <c r="Q351" i="1"/>
  <c r="L348" i="1"/>
  <c r="M348" i="1"/>
  <c r="Q323" i="1"/>
  <c r="M310" i="1"/>
  <c r="K310" i="1"/>
  <c r="M303" i="1"/>
  <c r="K303" i="1"/>
  <c r="L303" i="1"/>
  <c r="L275" i="1"/>
  <c r="K240" i="1"/>
  <c r="L240" i="1"/>
  <c r="M240" i="1"/>
  <c r="P227" i="1"/>
  <c r="K216" i="1"/>
  <c r="M216" i="1"/>
  <c r="Q198" i="1"/>
  <c r="N183" i="1"/>
  <c r="Q170" i="1"/>
  <c r="K127" i="1"/>
  <c r="L127" i="1"/>
  <c r="M127" i="1"/>
  <c r="M121" i="1"/>
  <c r="K121" i="1"/>
  <c r="L121" i="1"/>
  <c r="K84" i="1"/>
  <c r="O16" i="1"/>
  <c r="R16" i="1" s="1"/>
  <c r="P182" i="1"/>
  <c r="L379" i="1"/>
  <c r="M379" i="1"/>
  <c r="L327" i="1"/>
  <c r="M327" i="1"/>
  <c r="P355" i="1"/>
  <c r="L277" i="1"/>
  <c r="N277" i="1" s="1"/>
  <c r="O277" i="1" s="1"/>
  <c r="M277" i="1"/>
  <c r="L144" i="1"/>
  <c r="M144" i="1"/>
  <c r="K144" i="1"/>
  <c r="L395" i="1"/>
  <c r="M395" i="1"/>
  <c r="P341" i="1"/>
  <c r="P209" i="1"/>
  <c r="O182" i="1"/>
  <c r="P167" i="1"/>
  <c r="N18" i="1"/>
  <c r="L335" i="1"/>
  <c r="M335" i="1"/>
  <c r="N388" i="1"/>
  <c r="Q388" i="1" s="1"/>
  <c r="Q317" i="1"/>
  <c r="N299" i="1"/>
  <c r="O299" i="1" s="1"/>
  <c r="K279" i="1"/>
  <c r="L279" i="1"/>
  <c r="Q275" i="1"/>
  <c r="K251" i="1"/>
  <c r="L251" i="1"/>
  <c r="N179" i="1"/>
  <c r="P16" i="1"/>
  <c r="L399" i="1"/>
  <c r="K399" i="1"/>
  <c r="M399" i="1"/>
  <c r="O351" i="1"/>
  <c r="Q336" i="1"/>
  <c r="L333" i="1"/>
  <c r="K333" i="1"/>
  <c r="P323" i="1"/>
  <c r="L292" i="1"/>
  <c r="K292" i="1"/>
  <c r="M292" i="1"/>
  <c r="N275" i="1"/>
  <c r="O275" i="1"/>
  <c r="K267" i="1"/>
  <c r="L267" i="1"/>
  <c r="P254" i="1"/>
  <c r="N227" i="1"/>
  <c r="Q227" i="1" s="1"/>
  <c r="O227" i="1"/>
  <c r="R227" i="1" s="1"/>
  <c r="N198" i="1"/>
  <c r="O198" i="1" s="1"/>
  <c r="R198" i="1" s="1"/>
  <c r="Q131" i="1"/>
  <c r="L116" i="1"/>
  <c r="M116" i="1"/>
  <c r="N89" i="1"/>
  <c r="O89" i="1"/>
  <c r="K53" i="1"/>
  <c r="M53" i="1"/>
  <c r="L375" i="1"/>
  <c r="K375" i="1"/>
  <c r="P351" i="1"/>
  <c r="M342" i="1"/>
  <c r="K342" i="1"/>
  <c r="L342" i="1"/>
  <c r="P336" i="1"/>
  <c r="M326" i="1"/>
  <c r="K326" i="1"/>
  <c r="O323" i="1"/>
  <c r="M302" i="1"/>
  <c r="K302" i="1"/>
  <c r="L302" i="1"/>
  <c r="Q285" i="1"/>
  <c r="R285" i="1" s="1"/>
  <c r="N203" i="1"/>
  <c r="Q203" i="1" s="1"/>
  <c r="O203" i="1"/>
  <c r="P198" i="1"/>
  <c r="L174" i="1"/>
  <c r="M174" i="1"/>
  <c r="N146" i="1"/>
  <c r="O146" i="1" s="1"/>
  <c r="K136" i="1"/>
  <c r="L136" i="1"/>
  <c r="M136" i="1"/>
  <c r="P131" i="1"/>
  <c r="N131" i="1"/>
  <c r="O131" i="1" s="1"/>
  <c r="K126" i="1"/>
  <c r="L126" i="1"/>
  <c r="M126" i="1"/>
  <c r="N98" i="1"/>
  <c r="O98" i="1" s="1"/>
  <c r="N25" i="1"/>
  <c r="O25" i="1"/>
  <c r="K20" i="1"/>
  <c r="M20" i="1"/>
  <c r="K367" i="1"/>
  <c r="L367" i="1"/>
  <c r="Q356" i="1"/>
  <c r="N336" i="1"/>
  <c r="O336" i="1" s="1"/>
  <c r="R336" i="1" s="1"/>
  <c r="Q319" i="1"/>
  <c r="K306" i="1"/>
  <c r="L306" i="1"/>
  <c r="M306" i="1"/>
  <c r="M278" i="1"/>
  <c r="K278" i="1"/>
  <c r="P236" i="1"/>
  <c r="R236" i="1" s="1"/>
  <c r="N223" i="1"/>
  <c r="K211" i="1"/>
  <c r="L211" i="1"/>
  <c r="M211" i="1"/>
  <c r="P159" i="1"/>
  <c r="K103" i="1"/>
  <c r="M103" i="1"/>
  <c r="O347" i="1"/>
  <c r="O340" i="1"/>
  <c r="Q258" i="1"/>
  <c r="L250" i="1"/>
  <c r="M250" i="1"/>
  <c r="N244" i="1"/>
  <c r="O244" i="1" s="1"/>
  <c r="L233" i="1"/>
  <c r="K233" i="1"/>
  <c r="M233" i="1"/>
  <c r="K224" i="1"/>
  <c r="L224" i="1"/>
  <c r="P221" i="1"/>
  <c r="R221" i="1" s="1"/>
  <c r="P205" i="1"/>
  <c r="R205" i="1" s="1"/>
  <c r="N194" i="1"/>
  <c r="N184" i="1"/>
  <c r="P184" i="1" s="1"/>
  <c r="O184" i="1"/>
  <c r="K181" i="1"/>
  <c r="L181" i="1"/>
  <c r="M181" i="1"/>
  <c r="P162" i="1"/>
  <c r="K87" i="1"/>
  <c r="M87" i="1"/>
  <c r="K82" i="1"/>
  <c r="L82" i="1"/>
  <c r="M82" i="1"/>
  <c r="P73" i="1"/>
  <c r="L69" i="1"/>
  <c r="M69" i="1"/>
  <c r="Q374" i="1"/>
  <c r="R374" i="1" s="1"/>
  <c r="L370" i="1"/>
  <c r="M370" i="1"/>
  <c r="P356" i="1"/>
  <c r="Q340" i="1"/>
  <c r="K330" i="1"/>
  <c r="M330" i="1"/>
  <c r="M322" i="1"/>
  <c r="K322" i="1"/>
  <c r="O319" i="1"/>
  <c r="P258" i="1"/>
  <c r="K247" i="1"/>
  <c r="L247" i="1"/>
  <c r="L244" i="1"/>
  <c r="M244" i="1"/>
  <c r="M201" i="1"/>
  <c r="K201" i="1"/>
  <c r="L201" i="1"/>
  <c r="L191" i="1"/>
  <c r="K191" i="1"/>
  <c r="M191" i="1"/>
  <c r="M165" i="1"/>
  <c r="K165" i="1"/>
  <c r="K158" i="1"/>
  <c r="M158" i="1"/>
  <c r="N123" i="1"/>
  <c r="O123" i="1" s="1"/>
  <c r="N95" i="1"/>
  <c r="O95" i="1"/>
  <c r="N73" i="1"/>
  <c r="O73" i="1"/>
  <c r="O42" i="1"/>
  <c r="P42" i="1"/>
  <c r="L39" i="1"/>
  <c r="M39" i="1"/>
  <c r="N26" i="1"/>
  <c r="O26" i="1" s="1"/>
  <c r="N21" i="1"/>
  <c r="P21" i="1" s="1"/>
  <c r="O21" i="1"/>
  <c r="O356" i="1"/>
  <c r="K314" i="1"/>
  <c r="M314" i="1"/>
  <c r="M295" i="1"/>
  <c r="K295" i="1"/>
  <c r="M271" i="1"/>
  <c r="L271" i="1"/>
  <c r="O258" i="1"/>
  <c r="K214" i="1"/>
  <c r="L214" i="1"/>
  <c r="N204" i="1"/>
  <c r="O204" i="1"/>
  <c r="M197" i="1"/>
  <c r="K197" i="1"/>
  <c r="L197" i="1"/>
  <c r="M177" i="1"/>
  <c r="K177" i="1"/>
  <c r="K169" i="1"/>
  <c r="M169" i="1"/>
  <c r="K161" i="1"/>
  <c r="L161" i="1"/>
  <c r="M161" i="1"/>
  <c r="M123" i="1"/>
  <c r="L123" i="1"/>
  <c r="N68" i="1"/>
  <c r="P68" i="1" s="1"/>
  <c r="L55" i="1"/>
  <c r="N55" i="1" s="1"/>
  <c r="O55" i="1" s="1"/>
  <c r="M55" i="1"/>
  <c r="N51" i="1"/>
  <c r="O51" i="1" s="1"/>
  <c r="Q42" i="1"/>
  <c r="Q21" i="1"/>
  <c r="O337" i="1"/>
  <c r="Q332" i="1"/>
  <c r="K324" i="1"/>
  <c r="L324" i="1"/>
  <c r="K284" i="1"/>
  <c r="M284" i="1"/>
  <c r="N273" i="1"/>
  <c r="O273" i="1" s="1"/>
  <c r="Q252" i="1"/>
  <c r="M246" i="1"/>
  <c r="L246" i="1"/>
  <c r="K246" i="1"/>
  <c r="M238" i="1"/>
  <c r="K238" i="1"/>
  <c r="N229" i="1"/>
  <c r="O229" i="1" s="1"/>
  <c r="N220" i="1"/>
  <c r="P220" i="1" s="1"/>
  <c r="L207" i="1"/>
  <c r="K207" i="1"/>
  <c r="M207" i="1"/>
  <c r="Q186" i="1"/>
  <c r="N176" i="1"/>
  <c r="Q176" i="1" s="1"/>
  <c r="O176" i="1"/>
  <c r="P122" i="1"/>
  <c r="K94" i="1"/>
  <c r="L94" i="1"/>
  <c r="M94" i="1"/>
  <c r="K76" i="1"/>
  <c r="L76" i="1"/>
  <c r="M76" i="1"/>
  <c r="N59" i="1"/>
  <c r="O59" i="1"/>
  <c r="P50" i="1"/>
  <c r="M25" i="1"/>
  <c r="L25" i="1"/>
  <c r="Q358" i="1"/>
  <c r="P346" i="1"/>
  <c r="N329" i="1"/>
  <c r="P329" i="1" s="1"/>
  <c r="M316" i="1"/>
  <c r="K316" i="1"/>
  <c r="N305" i="1"/>
  <c r="P305" i="1" s="1"/>
  <c r="K297" i="1"/>
  <c r="L297" i="1"/>
  <c r="M297" i="1"/>
  <c r="M294" i="1"/>
  <c r="L294" i="1"/>
  <c r="N260" i="1"/>
  <c r="P260" i="1" s="1"/>
  <c r="L229" i="1"/>
  <c r="M229" i="1"/>
  <c r="K210" i="1"/>
  <c r="L210" i="1"/>
  <c r="M210" i="1"/>
  <c r="Q196" i="1"/>
  <c r="N186" i="1"/>
  <c r="P186" i="1" s="1"/>
  <c r="O186" i="1"/>
  <c r="K143" i="1"/>
  <c r="L143" i="1"/>
  <c r="N122" i="1"/>
  <c r="O122" i="1"/>
  <c r="K118" i="1"/>
  <c r="L118" i="1"/>
  <c r="M118" i="1"/>
  <c r="O50" i="1"/>
  <c r="N34" i="1"/>
  <c r="Q34" i="1" s="1"/>
  <c r="O34" i="1"/>
  <c r="O24" i="1"/>
  <c r="P24" i="1"/>
  <c r="Q24" i="1"/>
  <c r="P19" i="1"/>
  <c r="Q362" i="1"/>
  <c r="O346" i="1"/>
  <c r="R346" i="1" s="1"/>
  <c r="O232" i="1"/>
  <c r="M160" i="1"/>
  <c r="L160" i="1"/>
  <c r="K160" i="1"/>
  <c r="K150" i="1"/>
  <c r="L150" i="1"/>
  <c r="M150" i="1"/>
  <c r="P147" i="1"/>
  <c r="K106" i="1"/>
  <c r="L106" i="1"/>
  <c r="P98" i="1"/>
  <c r="M67" i="1"/>
  <c r="K67" i="1"/>
  <c r="L67" i="1"/>
  <c r="M37" i="1"/>
  <c r="K37" i="1"/>
  <c r="L37" i="1"/>
  <c r="N19" i="1"/>
  <c r="M320" i="1"/>
  <c r="O196" i="1"/>
  <c r="R196" i="1" s="1"/>
  <c r="M193" i="1"/>
  <c r="K193" i="1"/>
  <c r="L193" i="1"/>
  <c r="L155" i="1"/>
  <c r="K155" i="1"/>
  <c r="L125" i="1"/>
  <c r="M125" i="1"/>
  <c r="K125" i="1"/>
  <c r="K78" i="1"/>
  <c r="L78" i="1"/>
  <c r="N61" i="1"/>
  <c r="O61" i="1"/>
  <c r="P52" i="1"/>
  <c r="Q48" i="1"/>
  <c r="O28" i="1"/>
  <c r="R28" i="1" s="1"/>
  <c r="O12" i="1"/>
  <c r="R12" i="1" s="1"/>
  <c r="L135" i="1"/>
  <c r="M135" i="1"/>
  <c r="K135" i="1"/>
  <c r="N108" i="1"/>
  <c r="Q108" i="1" s="1"/>
  <c r="N105" i="1"/>
  <c r="K71" i="1"/>
  <c r="M71" i="1"/>
  <c r="N32" i="1"/>
  <c r="P32" i="1" s="1"/>
  <c r="P12" i="1"/>
  <c r="L261" i="1"/>
  <c r="K261" i="1"/>
  <c r="M256" i="1"/>
  <c r="N256" i="1" s="1"/>
  <c r="M226" i="1"/>
  <c r="K226" i="1"/>
  <c r="K101" i="1"/>
  <c r="M101" i="1"/>
  <c r="L101" i="1"/>
  <c r="M299" i="1"/>
  <c r="M282" i="1"/>
  <c r="N282" i="1" s="1"/>
  <c r="M215" i="1"/>
  <c r="M204" i="1"/>
  <c r="K124" i="1"/>
  <c r="L124" i="1"/>
  <c r="M124" i="1"/>
  <c r="K64" i="1"/>
  <c r="L64" i="1"/>
  <c r="K56" i="1"/>
  <c r="L56" i="1"/>
  <c r="M56" i="1"/>
  <c r="O52" i="1"/>
  <c r="P28" i="1"/>
  <c r="M19" i="1"/>
  <c r="P228" i="1"/>
  <c r="K212" i="1"/>
  <c r="L212" i="1"/>
  <c r="M212" i="1"/>
  <c r="P204" i="1"/>
  <c r="Q192" i="1"/>
  <c r="N157" i="1"/>
  <c r="N148" i="1"/>
  <c r="K134" i="1"/>
  <c r="L134" i="1"/>
  <c r="N104" i="1"/>
  <c r="O104" i="1" s="1"/>
  <c r="N93" i="1"/>
  <c r="Q93" i="1" s="1"/>
  <c r="K86" i="1"/>
  <c r="L86" i="1"/>
  <c r="O74" i="1"/>
  <c r="R74" i="1" s="1"/>
  <c r="M47" i="1"/>
  <c r="O44" i="1"/>
  <c r="R44" i="1" s="1"/>
  <c r="M41" i="1"/>
  <c r="K41" i="1"/>
  <c r="L27" i="1"/>
  <c r="K27" i="1"/>
  <c r="M27" i="1"/>
  <c r="O19" i="1"/>
  <c r="N16" i="1"/>
  <c r="Q16" i="1" s="1"/>
  <c r="N360" i="1"/>
  <c r="N264" i="1"/>
  <c r="O264" i="1" s="1"/>
  <c r="N159" i="1"/>
  <c r="Q159" i="1" s="1"/>
  <c r="O159" i="1"/>
  <c r="R159" i="1" s="1"/>
  <c r="N107" i="1"/>
  <c r="P107" i="1" s="1"/>
  <c r="O107" i="1"/>
  <c r="K96" i="1"/>
  <c r="L96" i="1"/>
  <c r="M96" i="1"/>
  <c r="K85" i="1"/>
  <c r="L85" i="1"/>
  <c r="M85" i="1"/>
  <c r="M81" i="1"/>
  <c r="L81" i="1"/>
  <c r="N77" i="1"/>
  <c r="Q77" i="1" s="1"/>
  <c r="O77" i="1"/>
  <c r="Q73" i="1"/>
  <c r="N288" i="1"/>
  <c r="O288" i="1" s="1"/>
  <c r="L203" i="1"/>
  <c r="M199" i="1"/>
  <c r="L189" i="1"/>
  <c r="M187" i="1"/>
  <c r="L168" i="1"/>
  <c r="L166" i="1"/>
  <c r="L164" i="1"/>
  <c r="K164" i="1"/>
  <c r="L151" i="1"/>
  <c r="K151" i="1"/>
  <c r="M151" i="1"/>
  <c r="Q112" i="1"/>
  <c r="K102" i="1"/>
  <c r="L102" i="1"/>
  <c r="P99" i="1"/>
  <c r="P77" i="1"/>
  <c r="M49" i="1"/>
  <c r="L49" i="1"/>
  <c r="K199" i="1"/>
  <c r="L187" i="1"/>
  <c r="K168" i="1"/>
  <c r="P138" i="1"/>
  <c r="N112" i="1"/>
  <c r="N99" i="1"/>
  <c r="L66" i="1"/>
  <c r="K63" i="1"/>
  <c r="K43" i="1"/>
  <c r="M153" i="1"/>
  <c r="K153" i="1"/>
  <c r="O138" i="1"/>
  <c r="Q122" i="1"/>
  <c r="M117" i="1"/>
  <c r="K117" i="1"/>
  <c r="Q114" i="1"/>
  <c r="K60" i="1"/>
  <c r="L60" i="1"/>
  <c r="M60" i="1"/>
  <c r="M33" i="1"/>
  <c r="K33" i="1"/>
  <c r="L33" i="1"/>
  <c r="L237" i="1"/>
  <c r="L146" i="1"/>
  <c r="M146" i="1"/>
  <c r="L132" i="1"/>
  <c r="N114" i="1"/>
  <c r="P114" i="1" s="1"/>
  <c r="N74" i="1"/>
  <c r="Q74" i="1" s="1"/>
  <c r="L48" i="1"/>
  <c r="K38" i="1"/>
  <c r="L38" i="1"/>
  <c r="P11" i="1"/>
  <c r="N235" i="1"/>
  <c r="O235" i="1" s="1"/>
  <c r="L172" i="1"/>
  <c r="M172" i="1"/>
  <c r="N130" i="1"/>
  <c r="K119" i="1"/>
  <c r="M119" i="1"/>
  <c r="L104" i="1"/>
  <c r="M104" i="1"/>
  <c r="M90" i="1"/>
  <c r="L90" i="1"/>
  <c r="K90" i="1"/>
  <c r="L51" i="1"/>
  <c r="M51" i="1"/>
  <c r="N48" i="1"/>
  <c r="O48" i="1" s="1"/>
  <c r="L45" i="1"/>
  <c r="K45" i="1"/>
  <c r="L140" i="1"/>
  <c r="M140" i="1"/>
  <c r="M65" i="1"/>
  <c r="K65" i="1"/>
  <c r="O35" i="1"/>
  <c r="M129" i="1"/>
  <c r="K129" i="1"/>
  <c r="O115" i="1"/>
  <c r="K15" i="1"/>
  <c r="L15" i="1"/>
  <c r="P17" i="1"/>
  <c r="Q11" i="1"/>
  <c r="K83" i="1"/>
  <c r="M83" i="1"/>
  <c r="K30" i="1"/>
  <c r="L30" i="1"/>
  <c r="K110" i="1"/>
  <c r="L110" i="1"/>
  <c r="P108" i="1"/>
  <c r="K54" i="1"/>
  <c r="L54" i="1"/>
  <c r="M54" i="1"/>
  <c r="K62" i="1"/>
  <c r="L62" i="1"/>
  <c r="O17" i="1"/>
  <c r="O11" i="1"/>
  <c r="B6" i="1"/>
  <c r="D6" i="1"/>
  <c r="O130" i="1" l="1"/>
  <c r="Q130" i="1"/>
  <c r="N310" i="1"/>
  <c r="P310" i="1" s="1"/>
  <c r="R40" i="1"/>
  <c r="N142" i="1"/>
  <c r="O142" i="1"/>
  <c r="R139" i="1"/>
  <c r="Q65" i="1"/>
  <c r="Q310" i="1"/>
  <c r="N231" i="1"/>
  <c r="O231" i="1" s="1"/>
  <c r="P139" i="1"/>
  <c r="Q139" i="1"/>
  <c r="O168" i="1"/>
  <c r="N168" i="1"/>
  <c r="Q168" i="1" s="1"/>
  <c r="N292" i="1"/>
  <c r="O292" i="1" s="1"/>
  <c r="R69" i="1"/>
  <c r="N187" i="1"/>
  <c r="O187" i="1" s="1"/>
  <c r="P187" i="1"/>
  <c r="N101" i="1"/>
  <c r="O101" i="1"/>
  <c r="Q223" i="1"/>
  <c r="P223" i="1"/>
  <c r="P79" i="1"/>
  <c r="N226" i="1"/>
  <c r="P226" i="1" s="1"/>
  <c r="O226" i="1"/>
  <c r="N297" i="1"/>
  <c r="O297" i="1" s="1"/>
  <c r="R297" i="1" s="1"/>
  <c r="P95" i="1"/>
  <c r="Q95" i="1"/>
  <c r="R98" i="1"/>
  <c r="P183" i="1"/>
  <c r="Q183" i="1"/>
  <c r="O183" i="1"/>
  <c r="R183" i="1" s="1"/>
  <c r="R332" i="1"/>
  <c r="Q226" i="1"/>
  <c r="R230" i="1"/>
  <c r="R48" i="1"/>
  <c r="N117" i="1"/>
  <c r="P117" i="1" s="1"/>
  <c r="O117" i="1"/>
  <c r="P256" i="1"/>
  <c r="O256" i="1"/>
  <c r="O143" i="1"/>
  <c r="N143" i="1"/>
  <c r="Q143" i="1" s="1"/>
  <c r="R114" i="1"/>
  <c r="P215" i="1"/>
  <c r="O215" i="1"/>
  <c r="N56" i="1"/>
  <c r="P56" i="1" s="1"/>
  <c r="N327" i="1"/>
  <c r="O327" i="1" s="1"/>
  <c r="R272" i="1"/>
  <c r="R100" i="1"/>
  <c r="N169" i="1"/>
  <c r="P169" i="1" s="1"/>
  <c r="P321" i="1"/>
  <c r="N382" i="1"/>
  <c r="O382" i="1" s="1"/>
  <c r="O243" i="1"/>
  <c r="Q243" i="1"/>
  <c r="P243" i="1"/>
  <c r="Q148" i="1"/>
  <c r="P148" i="1"/>
  <c r="N324" i="1"/>
  <c r="Q324" i="1" s="1"/>
  <c r="O324" i="1"/>
  <c r="P18" i="1"/>
  <c r="O18" i="1"/>
  <c r="Q18" i="1"/>
  <c r="N321" i="1"/>
  <c r="Q321" i="1" s="1"/>
  <c r="P130" i="1"/>
  <c r="O148" i="1"/>
  <c r="Q207" i="1"/>
  <c r="N330" i="1"/>
  <c r="P330" i="1" s="1"/>
  <c r="O330" i="1"/>
  <c r="Q313" i="1"/>
  <c r="R219" i="1"/>
  <c r="Q265" i="1"/>
  <c r="P265" i="1"/>
  <c r="N132" i="1"/>
  <c r="Q27" i="1"/>
  <c r="O157" i="1"/>
  <c r="Q157" i="1"/>
  <c r="P157" i="1"/>
  <c r="N207" i="1"/>
  <c r="O207" i="1" s="1"/>
  <c r="R207" i="1" s="1"/>
  <c r="P313" i="1"/>
  <c r="N54" i="1"/>
  <c r="P54" i="1" s="1"/>
  <c r="O54" i="1"/>
  <c r="P135" i="1"/>
  <c r="N140" i="1"/>
  <c r="O140" i="1" s="1"/>
  <c r="N106" i="1"/>
  <c r="Q106" i="1" s="1"/>
  <c r="R146" i="1"/>
  <c r="O179" i="1"/>
  <c r="R179" i="1" s="1"/>
  <c r="Q179" i="1"/>
  <c r="P179" i="1"/>
  <c r="N269" i="1"/>
  <c r="O269" i="1" s="1"/>
  <c r="N268" i="1"/>
  <c r="Q268" i="1" s="1"/>
  <c r="O268" i="1"/>
  <c r="N193" i="1"/>
  <c r="P193" i="1" s="1"/>
  <c r="O193" i="1"/>
  <c r="Q169" i="1"/>
  <c r="O266" i="1"/>
  <c r="P266" i="1"/>
  <c r="Q266" i="1"/>
  <c r="P155" i="1"/>
  <c r="R59" i="1"/>
  <c r="N174" i="1"/>
  <c r="O174" i="1" s="1"/>
  <c r="N57" i="1"/>
  <c r="O57" i="1"/>
  <c r="N65" i="1"/>
  <c r="P65" i="1" s="1"/>
  <c r="O65" i="1"/>
  <c r="R55" i="1"/>
  <c r="R365" i="1"/>
  <c r="N166" i="1"/>
  <c r="N20" i="1"/>
  <c r="P20" i="1" s="1"/>
  <c r="R289" i="1"/>
  <c r="N384" i="1"/>
  <c r="Q384" i="1" s="1"/>
  <c r="O384" i="1"/>
  <c r="P168" i="1"/>
  <c r="Q297" i="1"/>
  <c r="P297" i="1"/>
  <c r="R95" i="1"/>
  <c r="P292" i="1"/>
  <c r="N60" i="1"/>
  <c r="P60" i="1" s="1"/>
  <c r="O223" i="1"/>
  <c r="R290" i="1"/>
  <c r="Q56" i="1"/>
  <c r="P143" i="1"/>
  <c r="R273" i="1"/>
  <c r="N70" i="1"/>
  <c r="O70" i="1" s="1"/>
  <c r="R70" i="1" s="1"/>
  <c r="O265" i="1"/>
  <c r="Q290" i="1"/>
  <c r="N195" i="1"/>
  <c r="O195" i="1" s="1"/>
  <c r="O120" i="1"/>
  <c r="P120" i="1"/>
  <c r="Q120" i="1"/>
  <c r="P324" i="1"/>
  <c r="Q250" i="1"/>
  <c r="N349" i="1"/>
  <c r="O349" i="1" s="1"/>
  <c r="N81" i="1"/>
  <c r="O81" i="1" s="1"/>
  <c r="N27" i="1"/>
  <c r="O27" i="1" s="1"/>
  <c r="R27" i="1" s="1"/>
  <c r="R311" i="1"/>
  <c r="Q269" i="1"/>
  <c r="N222" i="1"/>
  <c r="O222" i="1" s="1"/>
  <c r="P85" i="1"/>
  <c r="N119" i="1"/>
  <c r="P119" i="1" s="1"/>
  <c r="O282" i="1"/>
  <c r="P282" i="1"/>
  <c r="N135" i="1"/>
  <c r="O135" i="1" s="1"/>
  <c r="P59" i="1"/>
  <c r="Q59" i="1"/>
  <c r="N201" i="1"/>
  <c r="O201" i="1" s="1"/>
  <c r="P142" i="1"/>
  <c r="R248" i="1"/>
  <c r="Q57" i="1"/>
  <c r="R202" i="1"/>
  <c r="N314" i="1"/>
  <c r="P314" i="1" s="1"/>
  <c r="P250" i="1"/>
  <c r="N250" i="1"/>
  <c r="O250" i="1" s="1"/>
  <c r="N342" i="1"/>
  <c r="P342" i="1" s="1"/>
  <c r="O342" i="1"/>
  <c r="N79" i="1"/>
  <c r="O79" i="1"/>
  <c r="Q272" i="1"/>
  <c r="Q301" i="1"/>
  <c r="P268" i="1"/>
  <c r="N110" i="1"/>
  <c r="Q110" i="1" s="1"/>
  <c r="O110" i="1"/>
  <c r="Q146" i="1"/>
  <c r="P27" i="1"/>
  <c r="R186" i="1"/>
  <c r="P207" i="1"/>
  <c r="R356" i="1"/>
  <c r="N278" i="1"/>
  <c r="P278" i="1" s="1"/>
  <c r="N251" i="1"/>
  <c r="Q251" i="1" s="1"/>
  <c r="O251" i="1"/>
  <c r="Q348" i="1"/>
  <c r="Q79" i="1"/>
  <c r="O162" i="1"/>
  <c r="Q162" i="1"/>
  <c r="N318" i="1"/>
  <c r="P318" i="1" s="1"/>
  <c r="O318" i="1"/>
  <c r="P13" i="1"/>
  <c r="Q339" i="1"/>
  <c r="P146" i="1"/>
  <c r="N41" i="1"/>
  <c r="P41" i="1" s="1"/>
  <c r="O41" i="1"/>
  <c r="R21" i="1"/>
  <c r="Q278" i="1"/>
  <c r="Q216" i="1"/>
  <c r="N31" i="1"/>
  <c r="Q31" i="1" s="1"/>
  <c r="R376" i="1"/>
  <c r="N163" i="1"/>
  <c r="P163" i="1" s="1"/>
  <c r="O163" i="1"/>
  <c r="P353" i="1"/>
  <c r="N30" i="1"/>
  <c r="Q30" i="1" s="1"/>
  <c r="R138" i="1"/>
  <c r="Q41" i="1"/>
  <c r="P150" i="1"/>
  <c r="N316" i="1"/>
  <c r="P316" i="1" s="1"/>
  <c r="O316" i="1"/>
  <c r="N76" i="1"/>
  <c r="P76" i="1" s="1"/>
  <c r="N197" i="1"/>
  <c r="O197" i="1" s="1"/>
  <c r="N216" i="1"/>
  <c r="P216" i="1" s="1"/>
  <c r="O216" i="1"/>
  <c r="R154" i="1"/>
  <c r="N111" i="1"/>
  <c r="Q111" i="1" s="1"/>
  <c r="O111" i="1"/>
  <c r="N339" i="1"/>
  <c r="P339" i="1" s="1"/>
  <c r="O339" i="1"/>
  <c r="N380" i="1"/>
  <c r="P380" i="1" s="1"/>
  <c r="N96" i="1"/>
  <c r="O96" i="1" s="1"/>
  <c r="R96" i="1" s="1"/>
  <c r="N150" i="1"/>
  <c r="O150" i="1"/>
  <c r="N238" i="1"/>
  <c r="P238" i="1" s="1"/>
  <c r="N158" i="1"/>
  <c r="P158" i="1" s="1"/>
  <c r="N247" i="1"/>
  <c r="Q247" i="1" s="1"/>
  <c r="O247" i="1"/>
  <c r="P26" i="1"/>
  <c r="R26" i="1" s="1"/>
  <c r="R347" i="1"/>
  <c r="N375" i="1"/>
  <c r="Q375" i="1" s="1"/>
  <c r="N279" i="1"/>
  <c r="Q279" i="1" s="1"/>
  <c r="O279" i="1"/>
  <c r="Q220" i="1"/>
  <c r="P133" i="1"/>
  <c r="O133" i="1"/>
  <c r="Q133" i="1"/>
  <c r="R355" i="1"/>
  <c r="P312" i="1"/>
  <c r="Q145" i="1"/>
  <c r="N343" i="1"/>
  <c r="Q343" i="1" s="1"/>
  <c r="O343" i="1"/>
  <c r="P241" i="1"/>
  <c r="P281" i="1"/>
  <c r="O29" i="1"/>
  <c r="R29" i="1" s="1"/>
  <c r="N83" i="1"/>
  <c r="P83" i="1" s="1"/>
  <c r="O83" i="1"/>
  <c r="O153" i="1"/>
  <c r="N153" i="1"/>
  <c r="P153" i="1" s="1"/>
  <c r="N47" i="1"/>
  <c r="N165" i="1"/>
  <c r="P165" i="1" s="1"/>
  <c r="O165" i="1"/>
  <c r="P289" i="1"/>
  <c r="N386" i="1"/>
  <c r="Q386" i="1" s="1"/>
  <c r="O386" i="1"/>
  <c r="R200" i="1"/>
  <c r="N46" i="1"/>
  <c r="Q46" i="1" s="1"/>
  <c r="O46" i="1"/>
  <c r="N390" i="1"/>
  <c r="Q390" i="1" s="1"/>
  <c r="N281" i="1"/>
  <c r="O281" i="1" s="1"/>
  <c r="R281" i="1" s="1"/>
  <c r="N172" i="1"/>
  <c r="O172" i="1" s="1"/>
  <c r="Q153" i="1"/>
  <c r="O220" i="1"/>
  <c r="R220" i="1" s="1"/>
  <c r="N212" i="1"/>
  <c r="P212" i="1" s="1"/>
  <c r="P61" i="1"/>
  <c r="Q61" i="1"/>
  <c r="R61" i="1" s="1"/>
  <c r="N94" i="1"/>
  <c r="O94" i="1" s="1"/>
  <c r="R94" i="1" s="1"/>
  <c r="Q98" i="1"/>
  <c r="N49" i="1"/>
  <c r="O49" i="1" s="1"/>
  <c r="N381" i="1"/>
  <c r="Q381" i="1" s="1"/>
  <c r="O381" i="1"/>
  <c r="R381" i="1" s="1"/>
  <c r="P299" i="1"/>
  <c r="R299" i="1" s="1"/>
  <c r="Q394" i="1"/>
  <c r="P58" i="1"/>
  <c r="N364" i="1"/>
  <c r="O364" i="1" s="1"/>
  <c r="R235" i="1"/>
  <c r="P102" i="1"/>
  <c r="N37" i="1"/>
  <c r="P37" i="1" s="1"/>
  <c r="R50" i="1"/>
  <c r="Q107" i="1"/>
  <c r="R107" i="1" s="1"/>
  <c r="P214" i="1"/>
  <c r="Q103" i="1"/>
  <c r="P332" i="1"/>
  <c r="N126" i="1"/>
  <c r="P126" i="1" s="1"/>
  <c r="O126" i="1"/>
  <c r="P302" i="1"/>
  <c r="Q53" i="1"/>
  <c r="N370" i="1"/>
  <c r="O370" i="1" s="1"/>
  <c r="N84" i="1"/>
  <c r="P240" i="1"/>
  <c r="N109" i="1"/>
  <c r="O109" i="1" s="1"/>
  <c r="R109" i="1" s="1"/>
  <c r="P365" i="1"/>
  <c r="P180" i="1"/>
  <c r="Q296" i="1"/>
  <c r="R296" i="1" s="1"/>
  <c r="R304" i="1"/>
  <c r="Q397" i="1"/>
  <c r="R188" i="1"/>
  <c r="N280" i="1"/>
  <c r="Q280" i="1" s="1"/>
  <c r="O280" i="1"/>
  <c r="N389" i="1"/>
  <c r="Q389" i="1" s="1"/>
  <c r="N334" i="1"/>
  <c r="O334" i="1" s="1"/>
  <c r="R334" i="1" s="1"/>
  <c r="P171" i="1"/>
  <c r="N58" i="1"/>
  <c r="O58" i="1"/>
  <c r="P373" i="1"/>
  <c r="P307" i="1"/>
  <c r="Q368" i="1"/>
  <c r="Q178" i="1"/>
  <c r="Q72" i="1"/>
  <c r="P396" i="1"/>
  <c r="R11" i="1"/>
  <c r="P15" i="1"/>
  <c r="O68" i="1"/>
  <c r="N102" i="1"/>
  <c r="Q102" i="1" s="1"/>
  <c r="O102" i="1"/>
  <c r="Q26" i="1"/>
  <c r="N86" i="1"/>
  <c r="Q86" i="1" s="1"/>
  <c r="O86" i="1"/>
  <c r="P235" i="1"/>
  <c r="Q204" i="1"/>
  <c r="R204" i="1" s="1"/>
  <c r="N71" i="1"/>
  <c r="P71" i="1" s="1"/>
  <c r="Q37" i="1"/>
  <c r="P229" i="1"/>
  <c r="R229" i="1" s="1"/>
  <c r="O353" i="1"/>
  <c r="R353" i="1" s="1"/>
  <c r="Q246" i="1"/>
  <c r="Q68" i="1"/>
  <c r="N214" i="1"/>
  <c r="Q214" i="1" s="1"/>
  <c r="R42" i="1"/>
  <c r="N103" i="1"/>
  <c r="P103" i="1" s="1"/>
  <c r="R131" i="1"/>
  <c r="N302" i="1"/>
  <c r="Q302" i="1" s="1"/>
  <c r="N53" i="1"/>
  <c r="P53" i="1" s="1"/>
  <c r="O53" i="1"/>
  <c r="P267" i="1"/>
  <c r="O388" i="1"/>
  <c r="R388" i="1" s="1"/>
  <c r="P144" i="1"/>
  <c r="P121" i="1"/>
  <c r="N240" i="1"/>
  <c r="O240" i="1"/>
  <c r="Q109" i="1"/>
  <c r="N180" i="1"/>
  <c r="O180" i="1" s="1"/>
  <c r="R180" i="1" s="1"/>
  <c r="Q304" i="1"/>
  <c r="R75" i="1"/>
  <c r="N397" i="1"/>
  <c r="P397" i="1" s="1"/>
  <c r="O397" i="1"/>
  <c r="P200" i="1"/>
  <c r="Q334" i="1"/>
  <c r="P185" i="1"/>
  <c r="O338" i="1"/>
  <c r="R338" i="1" s="1"/>
  <c r="P358" i="1"/>
  <c r="R358" i="1" s="1"/>
  <c r="N253" i="1"/>
  <c r="O253" i="1" s="1"/>
  <c r="R253" i="1" s="1"/>
  <c r="R350" i="1"/>
  <c r="N368" i="1"/>
  <c r="O368" i="1"/>
  <c r="N178" i="1"/>
  <c r="O178" i="1"/>
  <c r="Q156" i="1"/>
  <c r="N396" i="1"/>
  <c r="O396" i="1" s="1"/>
  <c r="R396" i="1" s="1"/>
  <c r="N190" i="1"/>
  <c r="P190" i="1" s="1"/>
  <c r="R383" i="1"/>
  <c r="R317" i="1"/>
  <c r="O305" i="1"/>
  <c r="N208" i="1"/>
  <c r="Q208" i="1" s="1"/>
  <c r="O208" i="1"/>
  <c r="R344" i="1"/>
  <c r="R24" i="1"/>
  <c r="R340" i="1"/>
  <c r="P22" i="1"/>
  <c r="P46" i="1"/>
  <c r="N22" i="1"/>
  <c r="Q22" i="1" s="1"/>
  <c r="N331" i="1"/>
  <c r="P331" i="1" s="1"/>
  <c r="O331" i="1"/>
  <c r="R331" i="1" s="1"/>
  <c r="N124" i="1"/>
  <c r="Q124" i="1" s="1"/>
  <c r="N39" i="1"/>
  <c r="O39" i="1" s="1"/>
  <c r="N144" i="1"/>
  <c r="Q144" i="1" s="1"/>
  <c r="O144" i="1"/>
  <c r="Q190" i="1"/>
  <c r="Q229" i="1"/>
  <c r="R17" i="1"/>
  <c r="N15" i="1"/>
  <c r="Q15" i="1" s="1"/>
  <c r="O15" i="1"/>
  <c r="N90" i="1"/>
  <c r="O90" i="1" s="1"/>
  <c r="R90" i="1" s="1"/>
  <c r="N33" i="1"/>
  <c r="P33" i="1" s="1"/>
  <c r="O33" i="1"/>
  <c r="N43" i="1"/>
  <c r="O43" i="1"/>
  <c r="O93" i="1"/>
  <c r="R93" i="1" s="1"/>
  <c r="Q19" i="1"/>
  <c r="R19" i="1" s="1"/>
  <c r="Q215" i="1"/>
  <c r="N78" i="1"/>
  <c r="Q78" i="1" s="1"/>
  <c r="O78" i="1"/>
  <c r="O260" i="1"/>
  <c r="R260" i="1" s="1"/>
  <c r="P123" i="1"/>
  <c r="Q235" i="1"/>
  <c r="O308" i="1"/>
  <c r="P224" i="1"/>
  <c r="N267" i="1"/>
  <c r="Q267" i="1" s="1"/>
  <c r="O267" i="1"/>
  <c r="Q399" i="1"/>
  <c r="N121" i="1"/>
  <c r="Q121" i="1" s="1"/>
  <c r="O121" i="1"/>
  <c r="P275" i="1"/>
  <c r="R275" i="1" s="1"/>
  <c r="N113" i="1"/>
  <c r="P113" i="1" s="1"/>
  <c r="N141" i="1"/>
  <c r="P141" i="1" s="1"/>
  <c r="P388" i="1"/>
  <c r="R192" i="1"/>
  <c r="P304" i="1"/>
  <c r="Q200" i="1"/>
  <c r="P400" i="1"/>
  <c r="O400" i="1"/>
  <c r="Q400" i="1"/>
  <c r="P352" i="1"/>
  <c r="R352" i="1" s="1"/>
  <c r="N185" i="1"/>
  <c r="Q185" i="1" s="1"/>
  <c r="O185" i="1"/>
  <c r="Q253" i="1"/>
  <c r="P202" i="1"/>
  <c r="N357" i="1"/>
  <c r="Q357" i="1" s="1"/>
  <c r="O357" i="1"/>
  <c r="N206" i="1"/>
  <c r="O206" i="1" s="1"/>
  <c r="R206" i="1" s="1"/>
  <c r="N373" i="1"/>
  <c r="Q373" i="1" s="1"/>
  <c r="O373" i="1"/>
  <c r="N307" i="1"/>
  <c r="Q307" i="1" s="1"/>
  <c r="O307" i="1"/>
  <c r="P368" i="1"/>
  <c r="Q259" i="1"/>
  <c r="N199" i="1"/>
  <c r="P199" i="1" s="1"/>
  <c r="O199" i="1"/>
  <c r="Q76" i="1"/>
  <c r="Q342" i="1"/>
  <c r="N259" i="1"/>
  <c r="P259" i="1" s="1"/>
  <c r="N13" i="1"/>
  <c r="O13" i="1" s="1"/>
  <c r="R13" i="1" s="1"/>
  <c r="N372" i="1"/>
  <c r="P372" i="1" s="1"/>
  <c r="O372" i="1"/>
  <c r="N237" i="1"/>
  <c r="P237" i="1" s="1"/>
  <c r="N181" i="1"/>
  <c r="Q181" i="1" s="1"/>
  <c r="O181" i="1"/>
  <c r="Q234" i="1"/>
  <c r="P274" i="1"/>
  <c r="Q94" i="1"/>
  <c r="P395" i="1"/>
  <c r="N274" i="1"/>
  <c r="O274" i="1"/>
  <c r="N160" i="1"/>
  <c r="Q160" i="1" s="1"/>
  <c r="R182" i="1"/>
  <c r="N328" i="1"/>
  <c r="P328" i="1" s="1"/>
  <c r="O328" i="1"/>
  <c r="N261" i="1"/>
  <c r="Q261" i="1" s="1"/>
  <c r="O261" i="1"/>
  <c r="P244" i="1"/>
  <c r="R244" i="1" s="1"/>
  <c r="O361" i="1"/>
  <c r="R361" i="1" s="1"/>
  <c r="P394" i="1"/>
  <c r="N391" i="1"/>
  <c r="P391" i="1" s="1"/>
  <c r="O391" i="1"/>
  <c r="P94" i="1"/>
  <c r="P375" i="1"/>
  <c r="R167" i="1"/>
  <c r="N210" i="1"/>
  <c r="P210" i="1" s="1"/>
  <c r="O210" i="1"/>
  <c r="P109" i="1"/>
  <c r="N189" i="1"/>
  <c r="P189" i="1" s="1"/>
  <c r="Q396" i="1"/>
  <c r="N38" i="1"/>
  <c r="Q38" i="1" s="1"/>
  <c r="O38" i="1"/>
  <c r="R264" i="1"/>
  <c r="N125" i="1"/>
  <c r="P125" i="1" s="1"/>
  <c r="O125" i="1"/>
  <c r="R258" i="1"/>
  <c r="N224" i="1"/>
  <c r="Q224" i="1" s="1"/>
  <c r="N137" i="1"/>
  <c r="Q137" i="1" s="1"/>
  <c r="O137" i="1"/>
  <c r="N80" i="1"/>
  <c r="Q80" i="1" s="1"/>
  <c r="O80" i="1"/>
  <c r="P253" i="1"/>
  <c r="P88" i="1"/>
  <c r="Q90" i="1"/>
  <c r="R104" i="1"/>
  <c r="Q299" i="1"/>
  <c r="O105" i="1"/>
  <c r="Q105" i="1"/>
  <c r="Q125" i="1"/>
  <c r="O67" i="1"/>
  <c r="N67" i="1"/>
  <c r="R232" i="1"/>
  <c r="N118" i="1"/>
  <c r="Q118" i="1" s="1"/>
  <c r="P273" i="1"/>
  <c r="Q25" i="1"/>
  <c r="Q161" i="1"/>
  <c r="N271" i="1"/>
  <c r="O271" i="1" s="1"/>
  <c r="N322" i="1"/>
  <c r="P322" i="1" s="1"/>
  <c r="N326" i="1"/>
  <c r="P326" i="1" s="1"/>
  <c r="O326" i="1"/>
  <c r="Q89" i="1"/>
  <c r="P89" i="1"/>
  <c r="R89" i="1" s="1"/>
  <c r="P399" i="1"/>
  <c r="Q335" i="1"/>
  <c r="R335" i="1" s="1"/>
  <c r="Q277" i="1"/>
  <c r="R277" i="1" s="1"/>
  <c r="Q127" i="1"/>
  <c r="P303" i="1"/>
  <c r="N128" i="1"/>
  <c r="P128" i="1" s="1"/>
  <c r="N175" i="1"/>
  <c r="Q175" i="1" s="1"/>
  <c r="O175" i="1"/>
  <c r="N217" i="1"/>
  <c r="P217" i="1" s="1"/>
  <c r="O217" i="1"/>
  <c r="P311" i="1"/>
  <c r="P100" i="1"/>
  <c r="Q289" i="1"/>
  <c r="N23" i="1"/>
  <c r="Q23" i="1" s="1"/>
  <c r="N225" i="1"/>
  <c r="O225" i="1" s="1"/>
  <c r="Q209" i="1"/>
  <c r="O209" i="1"/>
  <c r="R209" i="1" s="1"/>
  <c r="N363" i="1"/>
  <c r="Q363" i="1" s="1"/>
  <c r="O363" i="1"/>
  <c r="N249" i="1"/>
  <c r="Q249" i="1" s="1"/>
  <c r="N270" i="1"/>
  <c r="P270" i="1" s="1"/>
  <c r="P206" i="1"/>
  <c r="N88" i="1"/>
  <c r="O88" i="1" s="1"/>
  <c r="R239" i="1"/>
  <c r="O298" i="1"/>
  <c r="Q298" i="1"/>
  <c r="R171" i="1"/>
  <c r="Q372" i="1"/>
  <c r="R123" i="1"/>
  <c r="N45" i="1"/>
  <c r="Q45" i="1" s="1"/>
  <c r="Q150" i="1"/>
  <c r="P348" i="1"/>
  <c r="R348" i="1" s="1"/>
  <c r="Q274" i="1"/>
  <c r="P279" i="1"/>
  <c r="R34" i="1"/>
  <c r="P306" i="1"/>
  <c r="N354" i="1"/>
  <c r="O354" i="1" s="1"/>
  <c r="P325" i="1"/>
  <c r="O325" i="1"/>
  <c r="Q325" i="1"/>
  <c r="R156" i="1"/>
  <c r="Q55" i="1"/>
  <c r="R351" i="1"/>
  <c r="Q213" i="1"/>
  <c r="P361" i="1"/>
  <c r="N246" i="1"/>
  <c r="P246" i="1" s="1"/>
  <c r="R293" i="1"/>
  <c r="P334" i="1"/>
  <c r="N72" i="1"/>
  <c r="P72" i="1" s="1"/>
  <c r="O72" i="1"/>
  <c r="R115" i="1"/>
  <c r="Q151" i="1"/>
  <c r="Q282" i="1"/>
  <c r="N191" i="1"/>
  <c r="O191" i="1" s="1"/>
  <c r="N399" i="1"/>
  <c r="O399" i="1" s="1"/>
  <c r="R399" i="1" s="1"/>
  <c r="Q311" i="1"/>
  <c r="N129" i="1"/>
  <c r="P129" i="1" s="1"/>
  <c r="O129" i="1"/>
  <c r="R129" i="1" s="1"/>
  <c r="Q60" i="1"/>
  <c r="R122" i="1"/>
  <c r="P161" i="1"/>
  <c r="N87" i="1"/>
  <c r="P87" i="1" s="1"/>
  <c r="O87" i="1"/>
  <c r="N136" i="1"/>
  <c r="O136" i="1" s="1"/>
  <c r="P335" i="1"/>
  <c r="N303" i="1"/>
  <c r="O303" i="1" s="1"/>
  <c r="R303" i="1" s="1"/>
  <c r="O228" i="1"/>
  <c r="Q228" i="1"/>
  <c r="Q100" i="1"/>
  <c r="P262" i="1"/>
  <c r="R262" i="1" s="1"/>
  <c r="Q70" i="1"/>
  <c r="R242" i="1"/>
  <c r="Q300" i="1"/>
  <c r="Q32" i="1"/>
  <c r="O371" i="1"/>
  <c r="R371" i="1" s="1"/>
  <c r="P218" i="1"/>
  <c r="R218" i="1" s="1"/>
  <c r="N394" i="1"/>
  <c r="O394" i="1" s="1"/>
  <c r="N395" i="1"/>
  <c r="O395" i="1" s="1"/>
  <c r="O366" i="1"/>
  <c r="R366" i="1" s="1"/>
  <c r="P219" i="1"/>
  <c r="N92" i="1"/>
  <c r="Q92" i="1" s="1"/>
  <c r="O387" i="1"/>
  <c r="R387" i="1" s="1"/>
  <c r="N359" i="1"/>
  <c r="O359" i="1" s="1"/>
  <c r="N291" i="1"/>
  <c r="P291" i="1" s="1"/>
  <c r="O291" i="1"/>
  <c r="Q308" i="1"/>
  <c r="P298" i="1"/>
  <c r="N177" i="1"/>
  <c r="P177" i="1" s="1"/>
  <c r="Q382" i="1"/>
  <c r="N97" i="1"/>
  <c r="O97" i="1"/>
  <c r="N309" i="1"/>
  <c r="Q309" i="1" s="1"/>
  <c r="O309" i="1"/>
  <c r="N85" i="1"/>
  <c r="Q85" i="1" s="1"/>
  <c r="O85" i="1"/>
  <c r="Q256" i="1"/>
  <c r="Q193" i="1"/>
  <c r="R337" i="1"/>
  <c r="Q244" i="1"/>
  <c r="R378" i="1"/>
  <c r="N301" i="1"/>
  <c r="O301" i="1" s="1"/>
  <c r="P97" i="1"/>
  <c r="N283" i="1"/>
  <c r="Q283" i="1" s="1"/>
  <c r="R263" i="1"/>
  <c r="P309" i="1"/>
  <c r="P30" i="1"/>
  <c r="Q96" i="1"/>
  <c r="N64" i="1"/>
  <c r="Q64" i="1" s="1"/>
  <c r="N333" i="1"/>
  <c r="Q333" i="1" s="1"/>
  <c r="N379" i="1"/>
  <c r="O379" i="1" s="1"/>
  <c r="Q286" i="1"/>
  <c r="Q97" i="1"/>
  <c r="N255" i="1"/>
  <c r="Q255" i="1" s="1"/>
  <c r="N14" i="1"/>
  <c r="Q14" i="1" s="1"/>
  <c r="O14" i="1"/>
  <c r="P45" i="1"/>
  <c r="P96" i="1"/>
  <c r="P333" i="1"/>
  <c r="P376" i="1"/>
  <c r="Q376" i="1"/>
  <c r="Q13" i="1"/>
  <c r="N145" i="1"/>
  <c r="P145" i="1" s="1"/>
  <c r="O145" i="1"/>
  <c r="R145" i="1" s="1"/>
  <c r="Q241" i="1"/>
  <c r="P345" i="1"/>
  <c r="Q281" i="1"/>
  <c r="Q212" i="1"/>
  <c r="Q210" i="1"/>
  <c r="R184" i="1"/>
  <c r="P272" i="1"/>
  <c r="Q331" i="1"/>
  <c r="P390" i="1"/>
  <c r="N345" i="1"/>
  <c r="O345" i="1" s="1"/>
  <c r="Q51" i="1"/>
  <c r="P203" i="1"/>
  <c r="R203" i="1" s="1"/>
  <c r="P124" i="1"/>
  <c r="Q39" i="1"/>
  <c r="Q69" i="1"/>
  <c r="Q29" i="1"/>
  <c r="N306" i="1"/>
  <c r="Q306" i="1" s="1"/>
  <c r="O306" i="1"/>
  <c r="P381" i="1"/>
  <c r="N312" i="1"/>
  <c r="Q312" i="1" s="1"/>
  <c r="O312" i="1"/>
  <c r="Q58" i="1"/>
  <c r="N241" i="1"/>
  <c r="O241" i="1" s="1"/>
  <c r="R241" i="1" s="1"/>
  <c r="N234" i="1"/>
  <c r="P51" i="1"/>
  <c r="R51" i="1" s="1"/>
  <c r="O32" i="1"/>
  <c r="P160" i="1"/>
  <c r="O329" i="1"/>
  <c r="R329" i="1" s="1"/>
  <c r="P55" i="1"/>
  <c r="P69" i="1"/>
  <c r="O194" i="1"/>
  <c r="P194" i="1"/>
  <c r="Q240" i="1"/>
  <c r="Q180" i="1"/>
  <c r="P213" i="1"/>
  <c r="R213" i="1" s="1"/>
  <c r="N149" i="1"/>
  <c r="Q149" i="1" s="1"/>
  <c r="O149" i="1"/>
  <c r="Q359" i="1"/>
  <c r="R377" i="1"/>
  <c r="P178" i="1"/>
  <c r="P90" i="1"/>
  <c r="Q33" i="1"/>
  <c r="N63" i="1"/>
  <c r="O63" i="1"/>
  <c r="P67" i="1"/>
  <c r="P25" i="1"/>
  <c r="R25" i="1" s="1"/>
  <c r="Q123" i="1"/>
  <c r="R73" i="1"/>
  <c r="R319" i="1"/>
  <c r="N82" i="1"/>
  <c r="P82" i="1" s="1"/>
  <c r="R323" i="1"/>
  <c r="Q288" i="1"/>
  <c r="P175" i="1"/>
  <c r="R36" i="1"/>
  <c r="Q217" i="1"/>
  <c r="Q248" i="1"/>
  <c r="N286" i="1"/>
  <c r="O286" i="1" s="1"/>
  <c r="P249" i="1"/>
  <c r="O369" i="1"/>
  <c r="P369" i="1"/>
  <c r="P357" i="1"/>
  <c r="Q206" i="1"/>
  <c r="P92" i="1"/>
  <c r="N173" i="1"/>
  <c r="Q173" i="1" s="1"/>
  <c r="O173" i="1"/>
  <c r="R254" i="1"/>
  <c r="N62" i="1"/>
  <c r="Q62" i="1" s="1"/>
  <c r="P48" i="1"/>
  <c r="N66" i="1"/>
  <c r="P66" i="1"/>
  <c r="N151" i="1"/>
  <c r="O151" i="1" s="1"/>
  <c r="R151" i="1" s="1"/>
  <c r="R77" i="1"/>
  <c r="P360" i="1"/>
  <c r="O360" i="1"/>
  <c r="R360" i="1" s="1"/>
  <c r="Q54" i="1"/>
  <c r="Q129" i="1"/>
  <c r="Q104" i="1"/>
  <c r="O99" i="1"/>
  <c r="Q99" i="1"/>
  <c r="P151" i="1"/>
  <c r="P134" i="1"/>
  <c r="P101" i="1"/>
  <c r="Q67" i="1"/>
  <c r="N294" i="1"/>
  <c r="O294" i="1" s="1"/>
  <c r="R176" i="1"/>
  <c r="Q194" i="1"/>
  <c r="N233" i="1"/>
  <c r="Q233" i="1" s="1"/>
  <c r="O233" i="1"/>
  <c r="P211" i="1"/>
  <c r="P367" i="1"/>
  <c r="Q326" i="1"/>
  <c r="Q116" i="1"/>
  <c r="P288" i="1"/>
  <c r="R288" i="1" s="1"/>
  <c r="P277" i="1"/>
  <c r="Q40" i="1"/>
  <c r="P40" i="1"/>
  <c r="R35" i="1"/>
  <c r="P104" i="1"/>
  <c r="O112" i="1"/>
  <c r="P112" i="1"/>
  <c r="N164" i="1"/>
  <c r="Q164" i="1" s="1"/>
  <c r="O164" i="1"/>
  <c r="P81" i="1"/>
  <c r="N134" i="1"/>
  <c r="Q134" i="1" s="1"/>
  <c r="R52" i="1"/>
  <c r="Q101" i="1"/>
  <c r="O108" i="1"/>
  <c r="R108" i="1" s="1"/>
  <c r="N155" i="1"/>
  <c r="Q155" i="1" s="1"/>
  <c r="O155" i="1"/>
  <c r="P93" i="1"/>
  <c r="Q305" i="1"/>
  <c r="P34" i="1"/>
  <c r="N284" i="1"/>
  <c r="P284" i="1" s="1"/>
  <c r="O284" i="1"/>
  <c r="N161" i="1"/>
  <c r="O161" i="1" s="1"/>
  <c r="R161" i="1" s="1"/>
  <c r="N295" i="1"/>
  <c r="P295" i="1" s="1"/>
  <c r="O295" i="1"/>
  <c r="P201" i="1"/>
  <c r="Q330" i="1"/>
  <c r="P233" i="1"/>
  <c r="N211" i="1"/>
  <c r="O211" i="1" s="1"/>
  <c r="N367" i="1"/>
  <c r="Q367" i="1" s="1"/>
  <c r="O367" i="1"/>
  <c r="Q329" i="1"/>
  <c r="P116" i="1"/>
  <c r="R116" i="1" s="1"/>
  <c r="N127" i="1"/>
  <c r="P127" i="1" s="1"/>
  <c r="O127" i="1"/>
  <c r="Q303" i="1"/>
  <c r="N320" i="1"/>
  <c r="Q320" i="1" s="1"/>
  <c r="Q195" i="1"/>
  <c r="R362" i="1"/>
  <c r="Q142" i="1"/>
  <c r="Q262" i="1"/>
  <c r="P70" i="1"/>
  <c r="N300" i="1"/>
  <c r="P300" i="1" s="1"/>
  <c r="O300" i="1"/>
  <c r="P371" i="1"/>
  <c r="O287" i="1"/>
  <c r="R287" i="1" s="1"/>
  <c r="P57" i="1"/>
  <c r="Q219" i="1"/>
  <c r="N257" i="1"/>
  <c r="O257" i="1" s="1"/>
  <c r="O385" i="1"/>
  <c r="Q385" i="1"/>
  <c r="R341" i="1"/>
  <c r="N393" i="1"/>
  <c r="Q393" i="1" s="1"/>
  <c r="O393" i="1"/>
  <c r="N313" i="1"/>
  <c r="O313" i="1" s="1"/>
  <c r="R313" i="1" s="1"/>
  <c r="M10" i="1"/>
  <c r="K10" i="1"/>
  <c r="R364" i="1" l="1"/>
  <c r="R191" i="1"/>
  <c r="R345" i="1"/>
  <c r="R354" i="1"/>
  <c r="R78" i="1"/>
  <c r="Q174" i="1"/>
  <c r="Q231" i="1"/>
  <c r="R85" i="1"/>
  <c r="Q197" i="1"/>
  <c r="P191" i="1"/>
  <c r="O119" i="1"/>
  <c r="R119" i="1" s="1"/>
  <c r="R32" i="1"/>
  <c r="R121" i="1"/>
  <c r="O190" i="1"/>
  <c r="R190" i="1" s="1"/>
  <c r="R247" i="1"/>
  <c r="O76" i="1"/>
  <c r="R76" i="1" s="1"/>
  <c r="R110" i="1"/>
  <c r="O314" i="1"/>
  <c r="R314" i="1" s="1"/>
  <c r="R295" i="1"/>
  <c r="O212" i="1"/>
  <c r="R212" i="1" s="1"/>
  <c r="R101" i="1"/>
  <c r="R385" i="1"/>
  <c r="P234" i="1"/>
  <c r="O234" i="1"/>
  <c r="R234" i="1" s="1"/>
  <c r="R72" i="1"/>
  <c r="O20" i="1"/>
  <c r="R233" i="1"/>
  <c r="R359" i="1"/>
  <c r="P225" i="1"/>
  <c r="R225" i="1" s="1"/>
  <c r="R261" i="1"/>
  <c r="P173" i="1"/>
  <c r="O158" i="1"/>
  <c r="R162" i="1"/>
  <c r="P393" i="1"/>
  <c r="R223" i="1"/>
  <c r="Q166" i="1"/>
  <c r="O166" i="1"/>
  <c r="R166" i="1" s="1"/>
  <c r="R400" i="1"/>
  <c r="R178" i="1"/>
  <c r="P389" i="1"/>
  <c r="P261" i="1"/>
  <c r="Q349" i="1"/>
  <c r="R266" i="1"/>
  <c r="R187" i="1"/>
  <c r="R284" i="1"/>
  <c r="Q364" i="1"/>
  <c r="O283" i="1"/>
  <c r="R210" i="1"/>
  <c r="R33" i="1"/>
  <c r="O124" i="1"/>
  <c r="R124" i="1" s="1"/>
  <c r="O302" i="1"/>
  <c r="R302" i="1" s="1"/>
  <c r="P172" i="1"/>
  <c r="O238" i="1"/>
  <c r="Q222" i="1"/>
  <c r="O60" i="1"/>
  <c r="R60" i="1" s="1"/>
  <c r="R228" i="1"/>
  <c r="Q316" i="1"/>
  <c r="R316" i="1" s="1"/>
  <c r="R251" i="1"/>
  <c r="Q20" i="1"/>
  <c r="Q292" i="1"/>
  <c r="R292" i="1" s="1"/>
  <c r="Q88" i="1"/>
  <c r="R88" i="1" s="1"/>
  <c r="O246" i="1"/>
  <c r="R246" i="1" s="1"/>
  <c r="R373" i="1"/>
  <c r="P38" i="1"/>
  <c r="R58" i="1"/>
  <c r="P47" i="1"/>
  <c r="O47" i="1"/>
  <c r="R150" i="1"/>
  <c r="R41" i="1"/>
  <c r="O310" i="1"/>
  <c r="R310" i="1" s="1"/>
  <c r="P222" i="1"/>
  <c r="R222" i="1" s="1"/>
  <c r="Q294" i="1"/>
  <c r="Q284" i="1"/>
  <c r="R369" i="1"/>
  <c r="P31" i="1"/>
  <c r="P379" i="1"/>
  <c r="R379" i="1" s="1"/>
  <c r="P301" i="1"/>
  <c r="R301" i="1" s="1"/>
  <c r="Q128" i="1"/>
  <c r="O224" i="1"/>
  <c r="R224" i="1" s="1"/>
  <c r="R308" i="1"/>
  <c r="R305" i="1"/>
  <c r="O103" i="1"/>
  <c r="R103" i="1" s="1"/>
  <c r="P364" i="1"/>
  <c r="Q47" i="1"/>
  <c r="R216" i="1"/>
  <c r="R79" i="1"/>
  <c r="P106" i="1"/>
  <c r="R65" i="1"/>
  <c r="R268" i="1"/>
  <c r="R148" i="1"/>
  <c r="R382" i="1"/>
  <c r="Q327" i="1"/>
  <c r="Q201" i="1"/>
  <c r="R201" i="1" s="1"/>
  <c r="O189" i="1"/>
  <c r="Q189" i="1"/>
  <c r="P280" i="1"/>
  <c r="R330" i="1"/>
  <c r="R372" i="1"/>
  <c r="P384" i="1"/>
  <c r="R384" i="1" s="1"/>
  <c r="P386" i="1"/>
  <c r="P208" i="1"/>
  <c r="R208" i="1" s="1"/>
  <c r="Q113" i="1"/>
  <c r="P181" i="1"/>
  <c r="R181" i="1" s="1"/>
  <c r="R217" i="1"/>
  <c r="P136" i="1"/>
  <c r="R136" i="1" s="1"/>
  <c r="R67" i="1"/>
  <c r="O160" i="1"/>
  <c r="R160" i="1" s="1"/>
  <c r="Q191" i="1"/>
  <c r="O22" i="1"/>
  <c r="R22" i="1" s="1"/>
  <c r="Q187" i="1"/>
  <c r="Q82" i="1"/>
  <c r="P149" i="1"/>
  <c r="O390" i="1"/>
  <c r="R390" i="1" s="1"/>
  <c r="O30" i="1"/>
  <c r="R30" i="1" s="1"/>
  <c r="P49" i="1"/>
  <c r="R49" i="1" s="1"/>
  <c r="O278" i="1"/>
  <c r="R278" i="1" s="1"/>
  <c r="P382" i="1"/>
  <c r="Q135" i="1"/>
  <c r="R135" i="1" s="1"/>
  <c r="O62" i="1"/>
  <c r="R62" i="1" s="1"/>
  <c r="R18" i="1"/>
  <c r="R185" i="1"/>
  <c r="P271" i="1"/>
  <c r="R271" i="1" s="1"/>
  <c r="R324" i="1"/>
  <c r="P39" i="1"/>
  <c r="R309" i="1"/>
  <c r="R127" i="1"/>
  <c r="R312" i="1"/>
  <c r="R97" i="1"/>
  <c r="P118" i="1"/>
  <c r="R194" i="1"/>
  <c r="R306" i="1"/>
  <c r="Q158" i="1"/>
  <c r="O333" i="1"/>
  <c r="R333" i="1" s="1"/>
  <c r="P349" i="1"/>
  <c r="R349" i="1" s="1"/>
  <c r="R395" i="1"/>
  <c r="O270" i="1"/>
  <c r="Q211" i="1"/>
  <c r="R211" i="1" s="1"/>
  <c r="O259" i="1"/>
  <c r="R259" i="1" s="1"/>
  <c r="R15" i="1"/>
  <c r="R102" i="1"/>
  <c r="R153" i="1"/>
  <c r="R279" i="1"/>
  <c r="Q395" i="1"/>
  <c r="Q345" i="1"/>
  <c r="Q370" i="1"/>
  <c r="P251" i="1"/>
  <c r="Q295" i="1"/>
  <c r="P231" i="1"/>
  <c r="R231" i="1" s="1"/>
  <c r="R269" i="1"/>
  <c r="R143" i="1"/>
  <c r="R168" i="1"/>
  <c r="P164" i="1"/>
  <c r="R38" i="1"/>
  <c r="O132" i="1"/>
  <c r="Q132" i="1"/>
  <c r="R99" i="1"/>
  <c r="P257" i="1"/>
  <c r="O56" i="1"/>
  <c r="R56" i="1" s="1"/>
  <c r="Q318" i="1"/>
  <c r="R318" i="1" s="1"/>
  <c r="R326" i="1"/>
  <c r="R243" i="1"/>
  <c r="R367" i="1"/>
  <c r="Q379" i="1"/>
  <c r="R394" i="1"/>
  <c r="P137" i="1"/>
  <c r="R137" i="1" s="1"/>
  <c r="R125" i="1"/>
  <c r="Q391" i="1"/>
  <c r="R391" i="1" s="1"/>
  <c r="R274" i="1"/>
  <c r="R357" i="1"/>
  <c r="P286" i="1"/>
  <c r="Q141" i="1"/>
  <c r="O214" i="1"/>
  <c r="R214" i="1" s="1"/>
  <c r="Q84" i="1"/>
  <c r="P84" i="1"/>
  <c r="O37" i="1"/>
  <c r="R37" i="1" s="1"/>
  <c r="Q172" i="1"/>
  <c r="Q257" i="1"/>
  <c r="R257" i="1" s="1"/>
  <c r="P14" i="1"/>
  <c r="R14" i="1" s="1"/>
  <c r="R342" i="1"/>
  <c r="R81" i="1"/>
  <c r="R265" i="1"/>
  <c r="P269" i="1"/>
  <c r="O169" i="1"/>
  <c r="R169" i="1" s="1"/>
  <c r="R256" i="1"/>
  <c r="Q140" i="1"/>
  <c r="P132" i="1"/>
  <c r="Q314" i="1"/>
  <c r="O320" i="1"/>
  <c r="P320" i="1"/>
  <c r="Q117" i="1"/>
  <c r="R117" i="1" s="1"/>
  <c r="P78" i="1"/>
  <c r="P140" i="1"/>
  <c r="R140" i="1" s="1"/>
  <c r="R215" i="1"/>
  <c r="Q291" i="1"/>
  <c r="R291" i="1" s="1"/>
  <c r="P195" i="1"/>
  <c r="R195" i="1" s="1"/>
  <c r="Q66" i="1"/>
  <c r="O66" i="1"/>
  <c r="R66" i="1" s="1"/>
  <c r="O45" i="1"/>
  <c r="R45" i="1" s="1"/>
  <c r="P197" i="1"/>
  <c r="R197" i="1" s="1"/>
  <c r="Q177" i="1"/>
  <c r="R240" i="1"/>
  <c r="O84" i="1"/>
  <c r="R46" i="1"/>
  <c r="P247" i="1"/>
  <c r="Q380" i="1"/>
  <c r="Q81" i="1"/>
  <c r="R57" i="1"/>
  <c r="O321" i="1"/>
  <c r="R321" i="1" s="1"/>
  <c r="R226" i="1"/>
  <c r="R130" i="1"/>
  <c r="R393" i="1"/>
  <c r="R363" i="1"/>
  <c r="R163" i="1"/>
  <c r="P64" i="1"/>
  <c r="O128" i="1"/>
  <c r="R128" i="1" s="1"/>
  <c r="O389" i="1"/>
  <c r="R386" i="1"/>
  <c r="O380" i="1"/>
  <c r="R380" i="1" s="1"/>
  <c r="P62" i="1"/>
  <c r="R325" i="1"/>
  <c r="R199" i="1"/>
  <c r="R144" i="1"/>
  <c r="R280" i="1"/>
  <c r="R339" i="1"/>
  <c r="O134" i="1"/>
  <c r="R134" i="1" s="1"/>
  <c r="R173" i="1"/>
  <c r="Q119" i="1"/>
  <c r="O106" i="1"/>
  <c r="Q354" i="1"/>
  <c r="P354" i="1"/>
  <c r="R39" i="1"/>
  <c r="R53" i="1"/>
  <c r="Q126" i="1"/>
  <c r="R126" i="1" s="1"/>
  <c r="P343" i="1"/>
  <c r="R343" i="1" s="1"/>
  <c r="O31" i="1"/>
  <c r="R31" i="1" s="1"/>
  <c r="R164" i="1"/>
  <c r="O255" i="1"/>
  <c r="R255" i="1" s="1"/>
  <c r="R298" i="1"/>
  <c r="R267" i="1"/>
  <c r="Q163" i="1"/>
  <c r="R120" i="1"/>
  <c r="R142" i="1"/>
  <c r="R149" i="1"/>
  <c r="Q237" i="1"/>
  <c r="O237" i="1"/>
  <c r="R237" i="1" s="1"/>
  <c r="Q43" i="1"/>
  <c r="P43" i="1"/>
  <c r="R43" i="1" s="1"/>
  <c r="R397" i="1"/>
  <c r="O71" i="1"/>
  <c r="R71" i="1" s="1"/>
  <c r="R172" i="1"/>
  <c r="R111" i="1"/>
  <c r="P283" i="1"/>
  <c r="P166" i="1"/>
  <c r="R54" i="1"/>
  <c r="Q322" i="1"/>
  <c r="O82" i="1"/>
  <c r="R82" i="1" s="1"/>
  <c r="O23" i="1"/>
  <c r="R328" i="1"/>
  <c r="R307" i="1"/>
  <c r="Q238" i="1"/>
  <c r="P370" i="1"/>
  <c r="R370" i="1" s="1"/>
  <c r="R112" i="1"/>
  <c r="P255" i="1"/>
  <c r="O92" i="1"/>
  <c r="R92" i="1" s="1"/>
  <c r="P363" i="1"/>
  <c r="O118" i="1"/>
  <c r="R118" i="1" s="1"/>
  <c r="R368" i="1"/>
  <c r="P359" i="1"/>
  <c r="Q328" i="1"/>
  <c r="R193" i="1"/>
  <c r="Q271" i="1"/>
  <c r="P23" i="1"/>
  <c r="P80" i="1"/>
  <c r="R80" i="1" s="1"/>
  <c r="R86" i="1"/>
  <c r="R133" i="1"/>
  <c r="R300" i="1"/>
  <c r="R155" i="1"/>
  <c r="P294" i="1"/>
  <c r="R294" i="1" s="1"/>
  <c r="Q225" i="1"/>
  <c r="P327" i="1"/>
  <c r="R327" i="1" s="1"/>
  <c r="R286" i="1"/>
  <c r="Q165" i="1"/>
  <c r="R165" i="1" s="1"/>
  <c r="P174" i="1"/>
  <c r="R174" i="1" s="1"/>
  <c r="Q270" i="1"/>
  <c r="Q136" i="1"/>
  <c r="R175" i="1"/>
  <c r="Q87" i="1"/>
  <c r="R87" i="1" s="1"/>
  <c r="R105" i="1"/>
  <c r="O141" i="1"/>
  <c r="R141" i="1" s="1"/>
  <c r="Q71" i="1"/>
  <c r="P63" i="1"/>
  <c r="R63" i="1" s="1"/>
  <c r="Q63" i="1"/>
  <c r="Q49" i="1"/>
  <c r="O64" i="1"/>
  <c r="R64" i="1" s="1"/>
  <c r="O177" i="1"/>
  <c r="R177" i="1" s="1"/>
  <c r="O249" i="1"/>
  <c r="R249" i="1" s="1"/>
  <c r="O322" i="1"/>
  <c r="Q199" i="1"/>
  <c r="P111" i="1"/>
  <c r="O113" i="1"/>
  <c r="R68" i="1"/>
  <c r="P86" i="1"/>
  <c r="O375" i="1"/>
  <c r="R375" i="1" s="1"/>
  <c r="Q83" i="1"/>
  <c r="R83" i="1" s="1"/>
  <c r="R250" i="1"/>
  <c r="R282" i="1"/>
  <c r="P110" i="1"/>
  <c r="R157" i="1"/>
  <c r="N10" i="1"/>
  <c r="P10" i="1" s="1"/>
  <c r="R106" i="1" l="1"/>
  <c r="R47" i="1"/>
  <c r="R84" i="1"/>
  <c r="R20" i="1"/>
  <c r="R389" i="1"/>
  <c r="R23" i="1"/>
  <c r="R158" i="1"/>
  <c r="R238" i="1"/>
  <c r="R283" i="1"/>
  <c r="R320" i="1"/>
  <c r="R113" i="1"/>
  <c r="R132" i="1"/>
  <c r="R189" i="1"/>
  <c r="R322" i="1"/>
  <c r="R270" i="1"/>
  <c r="Q10" i="1"/>
  <c r="O10" i="1"/>
  <c r="R10" i="1" l="1"/>
</calcChain>
</file>

<file path=xl/sharedStrings.xml><?xml version="1.0" encoding="utf-8"?>
<sst xmlns="http://schemas.openxmlformats.org/spreadsheetml/2006/main" count="826" uniqueCount="33">
  <si>
    <t>취사용</t>
  </si>
  <si>
    <t>상품</t>
  </si>
  <si>
    <t>상품</t>
    <phoneticPr fontId="1" type="noConversion"/>
  </si>
  <si>
    <t>서비스</t>
    <phoneticPr fontId="1" type="noConversion"/>
  </si>
  <si>
    <t>이전일수</t>
    <phoneticPr fontId="1" type="noConversion"/>
  </si>
  <si>
    <t>당월일수</t>
    <phoneticPr fontId="1" type="noConversion"/>
  </si>
  <si>
    <t>이후일수</t>
    <phoneticPr fontId="1" type="noConversion"/>
  </si>
  <si>
    <t>사용기간시작일</t>
    <phoneticPr fontId="1" type="noConversion"/>
  </si>
  <si>
    <t>사용기간종료일</t>
    <phoneticPr fontId="1" type="noConversion"/>
  </si>
  <si>
    <t>사용열량</t>
    <phoneticPr fontId="1" type="noConversion"/>
  </si>
  <si>
    <t>총일수</t>
    <phoneticPr fontId="1" type="noConversion"/>
  </si>
  <si>
    <t>일평균</t>
    <phoneticPr fontId="1" type="noConversion"/>
  </si>
  <si>
    <t>공급량 합계</t>
    <phoneticPr fontId="1" type="noConversion"/>
  </si>
  <si>
    <t>보정공급량합계</t>
    <phoneticPr fontId="1" type="noConversion"/>
  </si>
  <si>
    <t>공급량</t>
    <phoneticPr fontId="1" type="noConversion"/>
  </si>
  <si>
    <t>일수</t>
    <phoneticPr fontId="1" type="noConversion"/>
  </si>
  <si>
    <t>요율</t>
    <phoneticPr fontId="1" type="noConversion"/>
  </si>
  <si>
    <t>총합계</t>
  </si>
  <si>
    <t>합계 : 보정공급량합계</t>
  </si>
  <si>
    <t>공급월</t>
    <phoneticPr fontId="1" type="noConversion"/>
  </si>
  <si>
    <t>서비스</t>
  </si>
  <si>
    <t>2026년 2월</t>
    <phoneticPr fontId="1" type="noConversion"/>
  </si>
  <si>
    <t>2월 공급량</t>
    <phoneticPr fontId="1" type="noConversion"/>
  </si>
  <si>
    <t>2월보정공급량</t>
    <phoneticPr fontId="1" type="noConversion"/>
  </si>
  <si>
    <t>합계 : 2월보정공급량</t>
  </si>
  <si>
    <t>2026년 3월</t>
    <phoneticPr fontId="1" type="noConversion"/>
  </si>
  <si>
    <t>3월 공급량</t>
    <phoneticPr fontId="1" type="noConversion"/>
  </si>
  <si>
    <t>3월보정공급량</t>
    <phoneticPr fontId="1" type="noConversion"/>
  </si>
  <si>
    <t>합계 : 3월보정공급량</t>
  </si>
  <si>
    <t>2026년 4월</t>
    <phoneticPr fontId="1" type="noConversion"/>
  </si>
  <si>
    <t>4월 공급량</t>
    <phoneticPr fontId="1" type="noConversion"/>
  </si>
  <si>
    <t>4월보정공급량</t>
    <phoneticPr fontId="1" type="noConversion"/>
  </si>
  <si>
    <t>합계 : 4월보정공급량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</si>
</sst>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NumberFormat="1" applyBorder="1">
      <alignment vertical="center"/>
    </xf>
    <xf numFmtId="0" fontId="0" fillId="0" borderId="4" xfId="0" applyNumberFormat="1" applyBorder="1">
      <alignment vertical="center"/>
    </xf>
  </cellXfs>
  <cellStyles count="1">
    <cellStyle name="표준" xfId="0" builtinId="0"/>
  </cellStyles>
  <dxfs count="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전상우" refreshedDate="46156.361392708335" createdVersion="8" refreshedVersion="8" minRefreshableVersion="3" recordCount="392" xr:uid="{6637AE74-1567-4257-BA97-1964C6F9B3BA}">
  <cacheSource type="worksheet">
    <worksheetSource ref="A9:R401" sheet="3월계산내역"/>
  </cacheSource>
  <cacheFields count="18">
    <cacheField name="상품" numFmtId="0">
      <sharedItems count="1">
        <s v="취사용"/>
      </sharedItems>
    </cacheField>
    <cacheField name="서비스" numFmtId="0">
      <sharedItems count="1">
        <s v="취사용"/>
      </sharedItems>
    </cacheField>
    <cacheField name="이전일수" numFmtId="0">
      <sharedItems containsSemiMixedTypes="0" containsString="0" containsNumber="1" containsInteger="1" minValue="0" maxValue="28"/>
    </cacheField>
    <cacheField name="당월일수" numFmtId="0">
      <sharedItems containsSemiMixedTypes="0" containsString="0" containsNumber="1" containsInteger="1" minValue="3" maxValue="31"/>
    </cacheField>
    <cacheField name="이후일수" numFmtId="0">
      <sharedItems containsSemiMixedTypes="0" containsString="0" containsNumber="1" containsInteger="1" minValue="0" maxValue="17"/>
    </cacheField>
    <cacheField name="사용기간시작일" numFmtId="0">
      <sharedItems containsSemiMixedTypes="0" containsString="0" containsNumber="1" containsInteger="1" minValue="20250404" maxValue="20260325"/>
    </cacheField>
    <cacheField name="사용기간종료일" numFmtId="0">
      <sharedItems containsSemiMixedTypes="0" containsString="0" containsNumber="1" containsInteger="1" minValue="20260303" maxValue="20260417"/>
    </cacheField>
    <cacheField name="사용열량" numFmtId="0">
      <sharedItems containsSemiMixedTypes="0" containsString="0" containsNumber="1" minValue="42.099299999999999" maxValue="7068846.5913000004"/>
    </cacheField>
    <cacheField name="총일수" numFmtId="0">
      <sharedItems containsSemiMixedTypes="0" containsString="0" containsNumber="1" containsInteger="1" minValue="8" maxValue="72"/>
    </cacheField>
    <cacheField name="일평균" numFmtId="0">
      <sharedItems containsSemiMixedTypes="0" containsString="0" containsNumber="1" minValue="0.69173934426229511" maxValue="119810.95917457627"/>
    </cacheField>
    <cacheField name="2월 공급량" numFmtId="0">
      <sharedItems containsSemiMixedTypes="0" containsString="0" containsNumber="1" minValue="0" maxValue="4387679.5015598312"/>
    </cacheField>
    <cacheField name="3월 공급량" numFmtId="0">
      <sharedItems containsSemiMixedTypes="0" containsString="0" containsNumber="1" minValue="5.0668559999999996" maxValue="3714139.7344118645"/>
    </cacheField>
    <cacheField name="4월 공급량" numFmtId="0">
      <sharedItems containsSemiMixedTypes="0" containsString="0" containsNumber="1" minValue="0" maxValue="74356.772540110615"/>
    </cacheField>
    <cacheField name="공급량 합계" numFmtId="0">
      <sharedItems containsSemiMixedTypes="0" containsString="0" containsNumber="1" minValue="35.332063904182604" maxValue="8176176.0085118059"/>
    </cacheField>
    <cacheField name="2월보정공급량" numFmtId="0">
      <sharedItems containsSemiMixedTypes="0" containsString="0" containsNumber="1" minValue="0" maxValue="3793440.020864164"/>
    </cacheField>
    <cacheField name="3월보정공급량" numFmtId="0">
      <sharedItems containsSemiMixedTypes="0" containsString="0" containsNumber="1" minValue="3.8572414994028459" maxValue="3211120.2075244915"/>
    </cacheField>
    <cacheField name="4월보정공급량" numFmtId="0">
      <sharedItems containsSemiMixedTypes="0" containsString="0" containsNumber="1" minValue="0" maxValue="64286.362911346012"/>
    </cacheField>
    <cacheField name="보정공급량합계" numFmtId="0">
      <sharedItems containsSemiMixedTypes="0" containsString="0" containsNumber="1" minValue="42.099299999999999" maxValue="7068846.59130000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">
  <r>
    <x v="0"/>
    <x v="0"/>
    <n v="27"/>
    <n v="10"/>
    <n v="0"/>
    <n v="20260202"/>
    <n v="20260310"/>
    <n v="2281.0464000000002"/>
    <n v="37"/>
    <n v="61.649902702702704"/>
    <n v="2257.7234689162428"/>
    <n v="616.49902702702707"/>
    <n v="0"/>
    <n v="2874.2224959432697"/>
    <n v="1791.7791674916166"/>
    <n v="489.26723250838376"/>
    <n v="0"/>
    <n v="2281.0464000000002"/>
  </r>
  <r>
    <x v="0"/>
    <x v="0"/>
    <n v="24"/>
    <n v="6"/>
    <n v="0"/>
    <n v="20260205"/>
    <n v="20260306"/>
    <n v="126.7011"/>
    <n v="30"/>
    <n v="4.2233700000000001"/>
    <n v="137.48172105025378"/>
    <n v="25.340220000000002"/>
    <n v="0"/>
    <n v="162.82194105025377"/>
    <n v="106.98242002645109"/>
    <n v="19.718679973548909"/>
    <n v="0"/>
    <n v="126.7011"/>
  </r>
  <r>
    <x v="0"/>
    <x v="0"/>
    <n v="25"/>
    <n v="4"/>
    <n v="0"/>
    <n v="20260204"/>
    <n v="20260304"/>
    <n v="295.51130000000001"/>
    <n v="29"/>
    <n v="10.190044827586208"/>
    <n v="345.5339230667168"/>
    <n v="40.760179310344832"/>
    <n v="0"/>
    <n v="386.29410237706162"/>
    <n v="264.33015200391725"/>
    <n v="31.181147996082764"/>
    <n v="0"/>
    <n v="295.51130000000001"/>
  </r>
  <r>
    <x v="0"/>
    <x v="0"/>
    <n v="23"/>
    <n v="9"/>
    <n v="0"/>
    <n v="20260206"/>
    <n v="20260309"/>
    <n v="84.498999999999995"/>
    <n v="32"/>
    <n v="2.6405937499999999"/>
    <n v="82.376628803188183"/>
    <n v="23.76534375"/>
    <n v="0"/>
    <n v="106.14197255318818"/>
    <n v="65.579549633417074"/>
    <n v="18.919450366582915"/>
    <n v="0"/>
    <n v="84.498999999999995"/>
  </r>
  <r>
    <x v="0"/>
    <x v="0"/>
    <n v="25"/>
    <n v="10"/>
    <n v="0"/>
    <n v="20260204"/>
    <n v="20260310"/>
    <n v="802.55280000000005"/>
    <n v="35"/>
    <n v="22.93008"/>
    <n v="777.53539191352786"/>
    <n v="229.30080000000001"/>
    <n v="0"/>
    <n v="1006.8361919135278"/>
    <n v="619.77629617519017"/>
    <n v="182.77650382480996"/>
    <n v="0"/>
    <n v="802.55280000000016"/>
  </r>
  <r>
    <x v="0"/>
    <x v="0"/>
    <n v="27"/>
    <n v="11"/>
    <n v="0"/>
    <n v="20260202"/>
    <n v="20260311"/>
    <n v="802.47760000000005"/>
    <n v="38"/>
    <n v="21.117831578947371"/>
    <n v="773.37062798510851"/>
    <n v="232.29614736842109"/>
    <n v="0"/>
    <n v="1005.6667753535296"/>
    <n v="617.11555026545852"/>
    <n v="185.36204973454144"/>
    <n v="0"/>
    <n v="802.47759999999994"/>
  </r>
  <r>
    <x v="0"/>
    <x v="0"/>
    <n v="25"/>
    <n v="5"/>
    <n v="0"/>
    <n v="20260204"/>
    <n v="20260305"/>
    <n v="380.01429999999999"/>
    <n v="30"/>
    <n v="12.667143333333334"/>
    <n v="429.52978167141879"/>
    <n v="63.33571666666667"/>
    <n v="0"/>
    <n v="492.86549833808544"/>
    <n v="331.18053477350475"/>
    <n v="48.833765226495288"/>
    <n v="0"/>
    <n v="380.01430000000005"/>
  </r>
  <r>
    <x v="0"/>
    <x v="0"/>
    <n v="23"/>
    <n v="17"/>
    <n v="0"/>
    <n v="20260206"/>
    <n v="20260317"/>
    <n v="168.8398"/>
    <n v="40"/>
    <n v="4.2209950000000003"/>
    <n v="131.67922490731993"/>
    <n v="71.756915000000006"/>
    <n v="0"/>
    <n v="203.43613990731996"/>
    <n v="109.28586242166969"/>
    <n v="59.553937578330292"/>
    <n v="0"/>
    <n v="168.83979999999997"/>
  </r>
  <r>
    <x v="0"/>
    <x v="0"/>
    <n v="26"/>
    <n v="20"/>
    <n v="0"/>
    <n v="20260203"/>
    <n v="20260320"/>
    <n v="970.48860000000002"/>
    <n v="46"/>
    <n v="21.097578260869565"/>
    <n v="744.01303147443036"/>
    <n v="421.95156521739131"/>
    <n v="0"/>
    <n v="1165.9645966918217"/>
    <n v="619.27795007331929"/>
    <n v="351.21064992668067"/>
    <n v="0"/>
    <n v="970.48859999999991"/>
  </r>
  <r>
    <x v="0"/>
    <x v="0"/>
    <n v="27"/>
    <n v="19"/>
    <n v="0"/>
    <n v="20260202"/>
    <n v="20260319"/>
    <n v="1139.4024999999999"/>
    <n v="46"/>
    <n v="24.76961956521739"/>
    <n v="907.10526630022741"/>
    <n v="470.62277173913043"/>
    <n v="0"/>
    <n v="1377.7280380393579"/>
    <n v="750.19015338941585"/>
    <n v="389.21234661058406"/>
    <n v="0"/>
    <n v="1139.4024999999999"/>
  </r>
  <r>
    <x v="0"/>
    <x v="0"/>
    <n v="25"/>
    <n v="18"/>
    <n v="0"/>
    <n v="20260204"/>
    <n v="20260318"/>
    <n v="548.63969999999995"/>
    <n v="43"/>
    <n v="12.759062790697673"/>
    <n v="432.64667578196099"/>
    <n v="229.6631302325581"/>
    <n v="0"/>
    <n v="662.30980601451915"/>
    <n v="358.39291559848766"/>
    <n v="190.2467844015122"/>
    <n v="0"/>
    <n v="548.63969999999983"/>
  </r>
  <r>
    <x v="0"/>
    <x v="0"/>
    <n v="27"/>
    <n v="27"/>
    <n v="0"/>
    <n v="20260202"/>
    <n v="20260327"/>
    <n v="2152.1543000000001"/>
    <n v="54"/>
    <n v="39.854709259259259"/>
    <n v="1459.5467064300558"/>
    <n v="1076.0771500000001"/>
    <n v="0"/>
    <n v="2535.6238564300556"/>
    <n v="1238.8153362450155"/>
    <n v="913.33896375498477"/>
    <n v="0"/>
    <n v="2152.1543000000001"/>
  </r>
  <r>
    <x v="0"/>
    <x v="0"/>
    <n v="26"/>
    <n v="23"/>
    <n v="0"/>
    <n v="20260203"/>
    <n v="20260323"/>
    <n v="717.23360000000002"/>
    <n v="49"/>
    <n v="14.637420408163266"/>
    <n v="516.19344154974033"/>
    <n v="336.66066938775509"/>
    <n v="0"/>
    <n v="852.85411093749542"/>
    <n v="434.10857218256831"/>
    <n v="283.12502781743171"/>
    <n v="0"/>
    <n v="717.23360000000002"/>
  </r>
  <r>
    <x v="0"/>
    <x v="0"/>
    <n v="23"/>
    <n v="20"/>
    <n v="0"/>
    <n v="20260206"/>
    <n v="20260320"/>
    <n v="379.76530000000002"/>
    <n v="43"/>
    <n v="8.8317511627906988"/>
    <n v="275.51753737936212"/>
    <n v="176.63502325581396"/>
    <n v="0"/>
    <n v="452.15256063517609"/>
    <n v="231.40862033635165"/>
    <n v="148.35667966364841"/>
    <n v="0"/>
    <n v="379.76530000000002"/>
  </r>
  <r>
    <x v="0"/>
    <x v="0"/>
    <n v="25"/>
    <n v="27"/>
    <n v="0"/>
    <n v="20260204"/>
    <n v="20260327"/>
    <n v="295.37299999999999"/>
    <n v="52"/>
    <n v="5.68025"/>
    <n v="192.61142612310192"/>
    <n v="153.36675"/>
    <n v="0"/>
    <n v="345.97817612310189"/>
    <n v="164.43873832092885"/>
    <n v="130.93426167907117"/>
    <n v="0"/>
    <n v="295.37300000000005"/>
  </r>
  <r>
    <x v="0"/>
    <x v="0"/>
    <n v="28"/>
    <n v="24"/>
    <n v="0"/>
    <n v="20260129"/>
    <n v="20260324"/>
    <n v="126.54689999999999"/>
    <n v="52"/>
    <n v="2.4335942307692306"/>
    <n v="92.423154269728357"/>
    <n v="58.406261538461536"/>
    <n v="0"/>
    <n v="150.82941580818988"/>
    <n v="77.543651537638667"/>
    <n v="49.003248462361327"/>
    <n v="0"/>
    <n v="126.54689999999999"/>
  </r>
  <r>
    <x v="0"/>
    <x v="0"/>
    <n v="24"/>
    <n v="14"/>
    <n v="0"/>
    <n v="20260205"/>
    <n v="20260314"/>
    <n v="211.10919999999999"/>
    <n v="38"/>
    <n v="5.5555052631578947"/>
    <n v="180.84620217567735"/>
    <n v="77.777073684210521"/>
    <n v="0"/>
    <n v="258.62327585988788"/>
    <n v="147.6212724373232"/>
    <n v="63.487927562676774"/>
    <n v="0"/>
    <n v="211.10919999999999"/>
  </r>
  <r>
    <x v="0"/>
    <x v="0"/>
    <n v="27"/>
    <n v="23"/>
    <n v="0"/>
    <n v="20260202"/>
    <n v="20260323"/>
    <n v="1139.1891000000001"/>
    <n v="50"/>
    <n v="22.783782000000002"/>
    <n v="834.38054363411629"/>
    <n v="524.02698600000008"/>
    <n v="0"/>
    <n v="1358.4075296341164"/>
    <n v="699.72905760915432"/>
    <n v="439.46004239084567"/>
    <n v="0"/>
    <n v="1139.1891000000001"/>
  </r>
  <r>
    <x v="0"/>
    <x v="0"/>
    <n v="26"/>
    <n v="31"/>
    <n v="0"/>
    <n v="20260203"/>
    <n v="20260331"/>
    <n v="590.81510000000003"/>
    <n v="57"/>
    <n v="10.365177192982456"/>
    <n v="365.53138041553831"/>
    <n v="321.32049298245613"/>
    <n v="0"/>
    <n v="686.8518733979945"/>
    <n v="314.42217374313839"/>
    <n v="276.39292625686159"/>
    <n v="0"/>
    <n v="590.81510000000003"/>
  </r>
  <r>
    <x v="0"/>
    <x v="0"/>
    <n v="20"/>
    <n v="28"/>
    <n v="0"/>
    <n v="20260209"/>
    <n v="20260328"/>
    <n v="42.210999999999999"/>
    <n v="48"/>
    <n v="0.87939583333333327"/>
    <n v="23.855525455400304"/>
    <n v="24.62308333333333"/>
    <n v="0"/>
    <n v="48.478608788733638"/>
    <n v="20.771338331637924"/>
    <n v="21.439661668362067"/>
    <n v="0"/>
    <n v="42.210999999999991"/>
  </r>
  <r>
    <x v="0"/>
    <x v="0"/>
    <n v="27"/>
    <n v="31"/>
    <n v="5"/>
    <n v="20260202"/>
    <n v="20260405"/>
    <n v="208528.44570000001"/>
    <n v="63"/>
    <n v="3309.9753285714287"/>
    <n v="121216.8819939087"/>
    <n v="102609.23518571429"/>
    <n v="10271.142319349272"/>
    <n v="234097.25949897227"/>
    <n v="107977.20592240024"/>
    <n v="91401.94282298589"/>
    <n v="9149.2969546138575"/>
    <n v="208528.44569999998"/>
  </r>
  <r>
    <x v="0"/>
    <x v="0"/>
    <n v="26"/>
    <n v="31"/>
    <n v="4"/>
    <n v="20260203"/>
    <n v="20260404"/>
    <n v="262158.48609999998"/>
    <n v="61"/>
    <n v="4297.6800999999996"/>
    <n v="151559.10123764802"/>
    <n v="133228.08309999999"/>
    <n v="10668.861140831945"/>
    <n v="295456.04547847994"/>
    <n v="134478.5633707144"/>
    <n v="118213.43007193586"/>
    <n v="9466.4926573497414"/>
    <n v="262158.48609999998"/>
  </r>
  <r>
    <x v="0"/>
    <x v="0"/>
    <n v="26"/>
    <n v="31"/>
    <n v="3"/>
    <n v="20260203"/>
    <n v="20260403"/>
    <n v="345383.49619999999"/>
    <n v="60"/>
    <n v="5756.3916033333335"/>
    <n v="203001.04183490621"/>
    <n v="178448.13970333335"/>
    <n v="10717.551317084006"/>
    <n v="392166.73285532359"/>
    <n v="178784.18460101311"/>
    <n v="157160.30253861612"/>
    <n v="9439.009060370734"/>
    <n v="345383.49619999994"/>
  </r>
  <r>
    <x v="0"/>
    <x v="0"/>
    <n v="25"/>
    <n v="31"/>
    <n v="1"/>
    <n v="20260204"/>
    <n v="20260401"/>
    <n v="482082.55979999999"/>
    <n v="57"/>
    <n v="8457.588768421052"/>
    <n v="286788.12274958112"/>
    <n v="262185.25182105263"/>
    <n v="5248.9272152052499"/>
    <n v="554222.30178583902"/>
    <n v="249458.65925976215"/>
    <n v="228058.19421633781"/>
    <n v="4565.7063239000227"/>
    <n v="482082.55979999999"/>
  </r>
  <r>
    <x v="0"/>
    <x v="0"/>
    <n v="21"/>
    <n v="31"/>
    <n v="5"/>
    <n v="20260208"/>
    <n v="20260405"/>
    <n v="40387.379999999997"/>
    <n v="57"/>
    <n v="708.5505263157894"/>
    <n v="20182.023498494833"/>
    <n v="21965.066315789471"/>
    <n v="2198.6941211976632"/>
    <n v="44345.783935481973"/>
    <n v="18380.530906579887"/>
    <n v="20004.415330928296"/>
    <n v="2002.433762491811"/>
    <n v="40387.37999999999"/>
  </r>
  <r>
    <x v="0"/>
    <x v="0"/>
    <n v="22"/>
    <n v="31"/>
    <n v="2"/>
    <n v="20260207"/>
    <n v="20260402"/>
    <n v="52123.2166"/>
    <n v="55"/>
    <n v="947.69484727272732"/>
    <n v="28279.11330226477"/>
    <n v="29378.540265454547"/>
    <n v="1176.3119280835567"/>
    <n v="58833.965495802877"/>
    <n v="25053.52708232867"/>
    <n v="26027.55066301539"/>
    <n v="1042.1388546559358"/>
    <n v="52123.2166"/>
  </r>
  <r>
    <x v="0"/>
    <x v="0"/>
    <n v="0"/>
    <n v="28"/>
    <n v="3"/>
    <n v="20260304"/>
    <n v="20260403"/>
    <n v="295.25529999999998"/>
    <n v="31"/>
    <n v="9.5243645161290313"/>
    <n v="0"/>
    <n v="266.6822064516129"/>
    <n v="17.732960593771452"/>
    <n v="284.41516704538435"/>
    <n v="0"/>
    <n v="276.84646950620743"/>
    <n v="18.408830493792529"/>
    <n v="295.25529999999998"/>
  </r>
  <r>
    <x v="0"/>
    <x v="0"/>
    <n v="5"/>
    <n v="31"/>
    <n v="4"/>
    <n v="20260224"/>
    <n v="20260404"/>
    <n v="1097.7675999999999"/>
    <n v="40"/>
    <n v="27.444189999999999"/>
    <n v="186.12084238170405"/>
    <n v="850.76988999999992"/>
    <n v="68.129373387425616"/>
    <n v="1105.0201057691295"/>
    <n v="184.899287700408"/>
    <n v="845.18608794679471"/>
    <n v="67.682224352797348"/>
    <n v="1097.7676000000001"/>
  </r>
  <r>
    <x v="0"/>
    <x v="0"/>
    <n v="6"/>
    <n v="31"/>
    <n v="2"/>
    <n v="20260223"/>
    <n v="20260402"/>
    <n v="211.1635"/>
    <n v="39"/>
    <n v="5.4144487179487175"/>
    <n v="44.063610829854468"/>
    <n v="167.84791025641024"/>
    <n v="6.7206027649603817"/>
    <n v="218.63212385122509"/>
    <n v="42.558367551703384"/>
    <n v="162.11411010006927"/>
    <n v="6.4910223482273484"/>
    <n v="211.1635"/>
  </r>
  <r>
    <x v="0"/>
    <x v="0"/>
    <n v="4"/>
    <n v="31"/>
    <n v="1"/>
    <n v="20260225"/>
    <n v="20260401"/>
    <n v="1013.5848"/>
    <n v="36"/>
    <n v="28.155133333333332"/>
    <n v="152.75385087682881"/>
    <n v="872.80913333333331"/>
    <n v="17.473567188896993"/>
    <n v="1043.0365513990591"/>
    <n v="148.44060947101343"/>
    <n v="848.16401655455729"/>
    <n v="16.980173974429231"/>
    <n v="1013.5848"/>
  </r>
  <r>
    <x v="0"/>
    <x v="0"/>
    <n v="9"/>
    <n v="31"/>
    <n v="3"/>
    <n v="20260220"/>
    <n v="20260403"/>
    <n v="422.1986"/>
    <n v="43"/>
    <n v="9.8185720930232563"/>
    <n v="119.85755950859411"/>
    <n v="304.37573488372095"/>
    <n v="18.280731666436644"/>
    <n v="442.51402605875171"/>
    <n v="114.35500536479394"/>
    <n v="290.40211512937793"/>
    <n v="17.441479505828141"/>
    <n v="422.19860000000006"/>
  </r>
  <r>
    <x v="0"/>
    <x v="0"/>
    <n v="0"/>
    <n v="26"/>
    <n v="3"/>
    <n v="20260306"/>
    <n v="20260403"/>
    <n v="421.56610000000001"/>
    <n v="29"/>
    <n v="14.536762068965517"/>
    <n v="0"/>
    <n v="377.95581379310346"/>
    <n v="27.065304828837657"/>
    <n v="405.02111862194113"/>
    <n v="0"/>
    <n v="393.39518624413108"/>
    <n v="28.170913755868924"/>
    <n v="421.56610000000001"/>
  </r>
  <r>
    <x v="0"/>
    <x v="0"/>
    <n v="10"/>
    <n v="31"/>
    <n v="6"/>
    <n v="20260219"/>
    <n v="20260406"/>
    <n v="84.414000000000001"/>
    <n v="47"/>
    <n v="1.7960425531914894"/>
    <n v="24.36078113097064"/>
    <n v="55.677319148936171"/>
    <n v="6.6879321484486276"/>
    <n v="86.726032428355438"/>
    <n v="23.711346187646075"/>
    <n v="54.193015488410964"/>
    <n v="6.5096383239429594"/>
    <n v="84.414000000000001"/>
  </r>
  <r>
    <x v="0"/>
    <x v="0"/>
    <n v="8"/>
    <n v="31"/>
    <n v="3"/>
    <n v="20260221"/>
    <n v="20260403"/>
    <n v="126.67140000000001"/>
    <n v="42"/>
    <n v="3.0159857142857143"/>
    <n v="32.726069991734796"/>
    <n v="93.495557142857137"/>
    <n v="5.6153201331423794"/>
    <n v="131.8369472677343"/>
    <n v="31.443818961709166"/>
    <n v="89.832276630423877"/>
    <n v="5.3953044078669663"/>
    <n v="126.67140000000001"/>
  </r>
  <r>
    <x v="0"/>
    <x v="0"/>
    <n v="8"/>
    <n v="31"/>
    <n v="8"/>
    <n v="20260221"/>
    <n v="20260408"/>
    <n v="295.46289999999999"/>
    <n v="47"/>
    <n v="6.2864446808510639"/>
    <n v="68.21339625390921"/>
    <n v="194.87978510638297"/>
    <n v="31.211818380582397"/>
    <n v="294.30499974087456"/>
    <n v="68.481771950101148"/>
    <n v="195.64651130495815"/>
    <n v="31.334616744940707"/>
    <n v="295.46289999999999"/>
  </r>
  <r>
    <x v="0"/>
    <x v="0"/>
    <n v="3"/>
    <n v="31"/>
    <n v="2"/>
    <n v="20260226"/>
    <n v="20260402"/>
    <n v="337.81420000000003"/>
    <n v="36"/>
    <n v="9.3837277777777786"/>
    <n v="38.183105101967222"/>
    <n v="290.89556111111114"/>
    <n v="11.647410499967023"/>
    <n v="340.72607671304536"/>
    <n v="37.856788737658484"/>
    <n v="288.40954061482529"/>
    <n v="11.547870647516291"/>
    <n v="337.81420000000003"/>
  </r>
  <r>
    <x v="0"/>
    <x v="0"/>
    <n v="3"/>
    <n v="31"/>
    <n v="3"/>
    <n v="20260226"/>
    <n v="20260403"/>
    <n v="253.33099999999999"/>
    <n v="37"/>
    <n v="6.8467837837837831"/>
    <n v="27.86008620644068"/>
    <n v="212.25029729729727"/>
    <n v="12.747700576379994"/>
    <n v="252.85808408011795"/>
    <n v="27.912192423824411"/>
    <n v="212.64726520503393"/>
    <n v="12.771542371141633"/>
    <n v="253.33099999999999"/>
  </r>
  <r>
    <x v="0"/>
    <x v="0"/>
    <n v="28"/>
    <n v="31"/>
    <n v="3"/>
    <n v="20260130"/>
    <n v="20260403"/>
    <n v="1898.604"/>
    <n v="62"/>
    <n v="30.622645161290322"/>
    <n v="1162.9882344824921"/>
    <n v="949.30200000000002"/>
    <n v="57.014844297760035"/>
    <n v="2169.3050787802522"/>
    <n v="1017.8624184952965"/>
    <n v="830.84144873777609"/>
    <n v="49.900132766927356"/>
    <n v="1898.604"/>
  </r>
  <r>
    <x v="0"/>
    <x v="0"/>
    <n v="16"/>
    <n v="31"/>
    <n v="1"/>
    <n v="20260213"/>
    <n v="20260401"/>
    <n v="1139.7228"/>
    <n v="48"/>
    <n v="23.744225"/>
    <n v="515.29101452228304"/>
    <n v="736.07097499999998"/>
    <n v="14.736080485706138"/>
    <n v="1266.0980700079892"/>
    <n v="463.85736760697472"/>
    <n v="662.60023018630488"/>
    <n v="13.265202206720353"/>
    <n v="1139.7228"/>
  </r>
  <r>
    <x v="0"/>
    <x v="0"/>
    <n v="16"/>
    <n v="31"/>
    <n v="6"/>
    <n v="20260213"/>
    <n v="20260406"/>
    <n v="210.9906"/>
    <n v="53"/>
    <n v="3.9809547169811319"/>
    <n v="86.393647081784124"/>
    <n v="123.40959622641509"/>
    <n v="14.823899904768959"/>
    <n v="224.62714321296818"/>
    <n v="81.148908245214812"/>
    <n v="115.91771315402552"/>
    <n v="13.923978600759666"/>
    <n v="210.99059999999997"/>
  </r>
  <r>
    <x v="0"/>
    <x v="0"/>
    <n v="18"/>
    <n v="31"/>
    <n v="7"/>
    <n v="20260211"/>
    <n v="20260407"/>
    <n v="633.00139999999999"/>
    <n v="56"/>
    <n v="11.303596428571428"/>
    <n v="275.97118374500138"/>
    <n v="350.41148928571425"/>
    <n v="49.106464719129939"/>
    <n v="675.48913774984555"/>
    <n v="258.61281241643928"/>
    <n v="328.37088103715081"/>
    <n v="46.017706546409919"/>
    <n v="633.0014000000001"/>
  </r>
  <r>
    <x v="0"/>
    <x v="0"/>
    <n v="0"/>
    <n v="10"/>
    <n v="17"/>
    <n v="20260322"/>
    <n v="20260417"/>
    <n v="126.54989999999999"/>
    <n v="27"/>
    <n v="4.6870333333333329"/>
    <n v="0"/>
    <n v="46.870333333333328"/>
    <n v="49.45052986425911"/>
    <n v="96.320863197592445"/>
    <n v="0"/>
    <n v="61.579971351920527"/>
    <n v="64.96992864807946"/>
    <n v="126.54989999999998"/>
  </r>
  <r>
    <x v="0"/>
    <x v="0"/>
    <n v="24"/>
    <n v="31"/>
    <n v="10"/>
    <n v="20260205"/>
    <n v="20260410"/>
    <n v="210.93129999999999"/>
    <n v="65"/>
    <n v="3.2450969230769231"/>
    <n v="105.63637804869059"/>
    <n v="100.59800461538461"/>
    <n v="20.139637929803513"/>
    <n v="226.37402059387873"/>
    <n v="98.43010470303183"/>
    <n v="93.735437641040221"/>
    <n v="18.765757655927917"/>
    <n v="210.93129999999996"/>
  </r>
  <r>
    <x v="0"/>
    <x v="0"/>
    <n v="24"/>
    <n v="31"/>
    <n v="9"/>
    <n v="20260205"/>
    <n v="20260409"/>
    <n v="632.79390000000001"/>
    <n v="64"/>
    <n v="9.8874046875000001"/>
    <n v="321.86083936710412"/>
    <n v="306.50954531249999"/>
    <n v="55.22666338563306"/>
    <n v="683.59704806523712"/>
    <n v="297.94098201100854"/>
    <n v="283.73055605561046"/>
    <n v="51.122361933381079"/>
    <n v="632.79390000000001"/>
  </r>
  <r>
    <x v="0"/>
    <x v="0"/>
    <n v="0"/>
    <n v="20"/>
    <n v="1"/>
    <n v="20260312"/>
    <n v="20260401"/>
    <n v="252.70249999999999"/>
    <n v="21"/>
    <n v="12.033452380952379"/>
    <n v="0"/>
    <n v="240.6690476190476"/>
    <n v="7.4681705891275207"/>
    <n v="248.13721820817511"/>
    <n v="0"/>
    <n v="245.0969284056747"/>
    <n v="7.6055715943253084"/>
    <n v="252.70250000000001"/>
  </r>
  <r>
    <x v="0"/>
    <x v="0"/>
    <n v="0"/>
    <n v="11"/>
    <n v="5"/>
    <n v="20260321"/>
    <n v="20260405"/>
    <n v="42.185299999999998"/>
    <n v="16"/>
    <n v="2.6365812499999999"/>
    <n v="0"/>
    <n v="29.00239375"/>
    <n v="8.1815417237462356"/>
    <n v="37.183935473746232"/>
    <n v="0"/>
    <n v="32.903313365679402"/>
    <n v="9.2819866343205977"/>
    <n v="42.185299999999998"/>
  </r>
  <r>
    <x v="0"/>
    <x v="0"/>
    <n v="0"/>
    <n v="12"/>
    <n v="1"/>
    <n v="20260320"/>
    <n v="20260401"/>
    <n v="211.0598"/>
    <n v="13"/>
    <n v="16.23536923076923"/>
    <n v="0"/>
    <n v="194.82443076923076"/>
    <n v="10.075953529743435"/>
    <n v="204.90038429897419"/>
    <n v="0"/>
    <n v="200.68095789058776"/>
    <n v="10.378842109412238"/>
    <n v="211.0598"/>
  </r>
  <r>
    <x v="0"/>
    <x v="0"/>
    <n v="0"/>
    <n v="15"/>
    <n v="3"/>
    <n v="20260317"/>
    <n v="20260403"/>
    <n v="168.5592"/>
    <n v="18"/>
    <n v="9.3643999999999998"/>
    <n v="0"/>
    <n v="140.46600000000001"/>
    <n v="17.435130281196361"/>
    <n v="157.90113028119637"/>
    <n v="0"/>
    <n v="149.94722675534612"/>
    <n v="18.611973244653882"/>
    <n v="168.5592"/>
  </r>
  <r>
    <x v="0"/>
    <x v="0"/>
    <n v="0"/>
    <n v="15"/>
    <n v="1"/>
    <n v="20260317"/>
    <n v="20260401"/>
    <n v="252.916"/>
    <n v="16"/>
    <n v="15.80725"/>
    <n v="0"/>
    <n v="237.10874999999999"/>
    <n v="9.8102552623923636"/>
    <n v="246.91900526239235"/>
    <n v="0"/>
    <n v="242.86748017340111"/>
    <n v="10.048519826598897"/>
    <n v="252.916"/>
  </r>
  <r>
    <x v="0"/>
    <x v="0"/>
    <n v="0"/>
    <n v="23"/>
    <n v="1"/>
    <n v="20260309"/>
    <n v="20260401"/>
    <n v="421.24990000000003"/>
    <n v="24"/>
    <n v="17.552079166666669"/>
    <n v="0"/>
    <n v="403.69782083333337"/>
    <n v="10.893126698870397"/>
    <n v="414.59094753220376"/>
    <n v="0"/>
    <n v="410.18181334760141"/>
    <n v="11.068086652398629"/>
    <n v="421.24990000000003"/>
  </r>
  <r>
    <x v="0"/>
    <x v="0"/>
    <n v="0"/>
    <n v="23"/>
    <n v="4"/>
    <n v="20260309"/>
    <n v="20260404"/>
    <n v="126.34829999999999"/>
    <n v="27"/>
    <n v="4.6795666666666662"/>
    <n v="0"/>
    <n v="107.63003333333333"/>
    <n v="11.616883016940342"/>
    <n v="119.24691635027366"/>
    <n v="0"/>
    <n v="114.03960921442135"/>
    <n v="12.308690785578666"/>
    <n v="126.34830000000001"/>
  </r>
  <r>
    <x v="0"/>
    <x v="0"/>
    <n v="0"/>
    <n v="19"/>
    <n v="3"/>
    <n v="20260313"/>
    <n v="20260403"/>
    <n v="84.230199999999996"/>
    <n v="22"/>
    <n v="3.8286454545454545"/>
    <n v="0"/>
    <n v="72.744263636363641"/>
    <n v="7.1283725919984464"/>
    <n v="79.872636228362083"/>
    <n v="0"/>
    <n v="76.712929036488944"/>
    <n v="7.5172709635110566"/>
    <n v="84.230199999999996"/>
  </r>
  <r>
    <x v="0"/>
    <x v="0"/>
    <n v="0"/>
    <n v="13"/>
    <n v="3"/>
    <n v="20260319"/>
    <n v="20260403"/>
    <n v="84.331000000000003"/>
    <n v="16"/>
    <n v="5.2706875000000002"/>
    <n v="0"/>
    <n v="68.518937500000007"/>
    <n v="9.8132419838935903"/>
    <n v="78.332179483893597"/>
    <n v="0"/>
    <n v="73.766242129144501"/>
    <n v="10.564757870855498"/>
    <n v="84.331000000000003"/>
  </r>
  <r>
    <x v="0"/>
    <x v="0"/>
    <n v="0"/>
    <n v="9"/>
    <n v="4"/>
    <n v="20260323"/>
    <n v="20260404"/>
    <n v="84.445599999999999"/>
    <n v="13"/>
    <n v="6.4958153846153843"/>
    <n v="0"/>
    <n v="58.462338461538458"/>
    <n v="16.125665643411057"/>
    <n v="74.588004104949519"/>
    <n v="0"/>
    <n v="66.188756597390835"/>
    <n v="18.25684340260916"/>
    <n v="84.445599999999999"/>
  </r>
  <r>
    <x v="0"/>
    <x v="0"/>
    <n v="20"/>
    <n v="31"/>
    <n v="10"/>
    <n v="20260209"/>
    <n v="20260410"/>
    <n v="42.196100000000001"/>
    <n v="61"/>
    <n v="0.69173934426229511"/>
    <n v="18.764934867841387"/>
    <n v="21.443919672131148"/>
    <n v="4.2930551122130822"/>
    <n v="44.501909652185617"/>
    <n v="17.792653716783455"/>
    <n v="20.332830342546288"/>
    <n v="4.0706159406702591"/>
    <n v="42.196100000000001"/>
  </r>
  <r>
    <x v="0"/>
    <x v="0"/>
    <n v="26"/>
    <n v="11"/>
    <n v="0"/>
    <n v="20260203"/>
    <n v="20260311"/>
    <n v="211.16849999999999"/>
    <n v="37"/>
    <n v="5.7072567567567569"/>
    <n v="201.26828532131745"/>
    <n v="62.779824324324323"/>
    <n v="0"/>
    <n v="264.04810964564177"/>
    <n v="160.96128075263474"/>
    <n v="50.207219247365266"/>
    <n v="0"/>
    <n v="211.16849999999999"/>
  </r>
  <r>
    <x v="0"/>
    <x v="0"/>
    <n v="27"/>
    <n v="12"/>
    <n v="0"/>
    <n v="20260202"/>
    <n v="20260312"/>
    <n v="1520.3062"/>
    <n v="39"/>
    <n v="38.982210256410255"/>
    <n v="1427.5943206357492"/>
    <n v="467.78652307692306"/>
    <n v="0"/>
    <n v="1895.3808437126722"/>
    <n v="1145.0893913731743"/>
    <n v="375.2168086268257"/>
    <n v="0"/>
    <n v="1520.3062"/>
  </r>
  <r>
    <x v="0"/>
    <x v="0"/>
    <n v="24"/>
    <n v="5"/>
    <n v="0"/>
    <n v="20260205"/>
    <n v="20260305"/>
    <n v="337.79840000000002"/>
    <n v="29"/>
    <n v="11.648220689655172"/>
    <n v="379.1799978659144"/>
    <n v="58.241103448275865"/>
    <n v="0"/>
    <n v="437.42110131419025"/>
    <n v="292.82171391888932"/>
    <n v="44.976686081110742"/>
    <n v="0"/>
    <n v="337.79840000000007"/>
  </r>
  <r>
    <x v="0"/>
    <x v="0"/>
    <n v="23"/>
    <n v="6"/>
    <n v="0"/>
    <n v="20260206"/>
    <n v="20260306"/>
    <n v="253.4436"/>
    <n v="29"/>
    <n v="8.7394344827586217"/>
    <n v="272.63760293910792"/>
    <n v="52.43660689655173"/>
    <n v="0"/>
    <n v="325.07420983565964"/>
    <n v="212.56148132818819"/>
    <n v="40.882118671811831"/>
    <n v="0"/>
    <n v="253.44360000000003"/>
  </r>
  <r>
    <x v="0"/>
    <x v="0"/>
    <n v="20"/>
    <n v="31"/>
    <n v="0"/>
    <n v="20260209"/>
    <n v="20260331"/>
    <n v="337.70350000000002"/>
    <n v="51"/>
    <n v="6.6216372549019615"/>
    <n v="179.62631855098329"/>
    <n v="205.2707549019608"/>
    <n v="0"/>
    <n v="384.89707345294408"/>
    <n v="157.60170874408604"/>
    <n v="180.10179125591398"/>
    <n v="0"/>
    <n v="337.70350000000002"/>
  </r>
  <r>
    <x v="0"/>
    <x v="0"/>
    <n v="27"/>
    <n v="20"/>
    <n v="0"/>
    <n v="20260202"/>
    <n v="20260320"/>
    <n v="4557.2897999999996"/>
    <n v="47"/>
    <n v="96.963612765957436"/>
    <n v="3550.9711220194913"/>
    <n v="1939.2722553191488"/>
    <n v="0"/>
    <n v="5490.2433773386401"/>
    <n v="2947.5568498966054"/>
    <n v="1609.7329501033944"/>
    <n v="0"/>
    <n v="4557.2897999999996"/>
  </r>
  <r>
    <x v="0"/>
    <x v="0"/>
    <n v="22"/>
    <n v="28"/>
    <n v="0"/>
    <n v="20260207"/>
    <n v="20260328"/>
    <n v="168.81620000000001"/>
    <n v="50"/>
    <n v="3.3763240000000003"/>
    <n v="100.74914854283129"/>
    <n v="94.537072000000009"/>
    <n v="0"/>
    <n v="195.2862205428313"/>
    <n v="87.093131112678819"/>
    <n v="81.723068887321205"/>
    <n v="0"/>
    <n v="168.81620000000004"/>
  </r>
  <r>
    <x v="0"/>
    <x v="0"/>
    <n v="23"/>
    <n v="16"/>
    <n v="0"/>
    <n v="20260206"/>
    <n v="20260316"/>
    <n v="591.02260000000001"/>
    <n v="39"/>
    <n v="15.154425641025641"/>
    <n v="472.76128550871806"/>
    <n v="242.47081025641026"/>
    <n v="0"/>
    <n v="715.23209576512829"/>
    <n v="390.66004699048051"/>
    <n v="200.36255300951953"/>
    <n v="0"/>
    <n v="591.02260000000001"/>
  </r>
  <r>
    <x v="0"/>
    <x v="0"/>
    <n v="26"/>
    <n v="17"/>
    <n v="0"/>
    <n v="20260203"/>
    <n v="20260317"/>
    <n v="464.27710000000002"/>
    <n v="43"/>
    <n v="10.797141860465116"/>
    <n v="380.76475638740078"/>
    <n v="183.55141162790696"/>
    <n v="0"/>
    <n v="564.31616801530777"/>
    <n v="313.2647386295576"/>
    <n v="151.01236137044236"/>
    <n v="0"/>
    <n v="464.27709999999996"/>
  </r>
  <r>
    <x v="0"/>
    <x v="0"/>
    <n v="27"/>
    <n v="21"/>
    <n v="0"/>
    <n v="20260202"/>
    <n v="20260321"/>
    <n v="506.31819999999999"/>
    <n v="48"/>
    <n v="10.548295833333333"/>
    <n v="386.29639327790926"/>
    <n v="221.51421249999999"/>
    <n v="0"/>
    <n v="607.81060577790925"/>
    <n v="321.79250024872096"/>
    <n v="184.52569975127901"/>
    <n v="0"/>
    <n v="506.31819999999993"/>
  </r>
  <r>
    <x v="0"/>
    <x v="0"/>
    <n v="26"/>
    <n v="25"/>
    <n v="0"/>
    <n v="20260203"/>
    <n v="20260325"/>
    <n v="126.5825"/>
    <n v="51"/>
    <n v="2.4820098039215686"/>
    <n v="87.528891493199794"/>
    <n v="62.050245098039213"/>
    <n v="0"/>
    <n v="149.57913659123901"/>
    <n v="74.072000680921875"/>
    <n v="52.510499319078114"/>
    <n v="0"/>
    <n v="126.58249999999998"/>
  </r>
  <r>
    <x v="0"/>
    <x v="0"/>
    <n v="23"/>
    <n v="26"/>
    <n v="0"/>
    <n v="20260206"/>
    <n v="20260326"/>
    <n v="84.394300000000001"/>
    <n v="49"/>
    <n v="1.7223326530612244"/>
    <n v="53.730323960978396"/>
    <n v="44.780648979591831"/>
    <n v="0"/>
    <n v="98.510972940570227"/>
    <n v="46.030740983500337"/>
    <n v="38.363559016499664"/>
    <n v="0"/>
    <n v="84.394300000000001"/>
  </r>
  <r>
    <x v="0"/>
    <x v="0"/>
    <n v="23"/>
    <n v="30"/>
    <n v="0"/>
    <n v="20260206"/>
    <n v="20260330"/>
    <n v="295.4076"/>
    <n v="53"/>
    <n v="5.5737283018867929"/>
    <n v="173.87943426524916"/>
    <n v="167.2118490566038"/>
    <n v="0"/>
    <n v="341.09128332185298"/>
    <n v="150.59108478356166"/>
    <n v="144.81651521643829"/>
    <n v="0"/>
    <n v="295.40759999999995"/>
  </r>
  <r>
    <x v="0"/>
    <x v="0"/>
    <n v="22"/>
    <n v="31"/>
    <n v="3"/>
    <n v="20260207"/>
    <n v="20260403"/>
    <n v="30132.2772"/>
    <n v="56"/>
    <n v="538.07637857142856"/>
    <n v="16056.141825275527"/>
    <n v="16680.367735714284"/>
    <n v="1001.818777671521"/>
    <n v="33738.328338661333"/>
    <n v="14340.014460269274"/>
    <n v="14897.521280997231"/>
    <n v="894.74145873349471"/>
    <n v="30132.277199999997"/>
  </r>
  <r>
    <x v="0"/>
    <x v="0"/>
    <n v="27"/>
    <n v="31"/>
    <n v="4"/>
    <n v="20260202"/>
    <n v="20260404"/>
    <n v="471288.68420000002"/>
    <n v="62"/>
    <n v="7601.4303903225809"/>
    <n v="278377.20802780887"/>
    <n v="235644.34210000001"/>
    <n v="18870.321526735224"/>
    <n v="532891.87165454414"/>
    <n v="246196.33937247537"/>
    <n v="208403.46388221488"/>
    <n v="16688.880945309767"/>
    <n v="471288.68420000002"/>
  </r>
  <r>
    <x v="0"/>
    <x v="0"/>
    <n v="27"/>
    <n v="31"/>
    <n v="6"/>
    <n v="20260202"/>
    <n v="20260406"/>
    <n v="339351.75949999999"/>
    <n v="64"/>
    <n v="5302.3712421874998"/>
    <n v="194181.78244535127"/>
    <n v="164373.50850781248"/>
    <n v="19744.464868396917"/>
    <n v="378299.75582156068"/>
    <n v="174189.72262503509"/>
    <n v="147450.37095298927"/>
    <n v="17711.665921975607"/>
    <n v="339351.75949999999"/>
  </r>
  <r>
    <x v="0"/>
    <x v="0"/>
    <n v="23"/>
    <n v="31"/>
    <n v="4"/>
    <n v="20260206"/>
    <n v="20260404"/>
    <n v="229420.41399999999"/>
    <n v="58"/>
    <n v="3955.5243793103446"/>
    <n v="123397.53645043264"/>
    <n v="122621.25575862068"/>
    <n v="9819.4698907528127"/>
    <n v="255838.26209980613"/>
    <n v="110655.51206720693"/>
    <n v="109959.39008672604"/>
    <n v="8805.5118460670328"/>
    <n v="229420.41399999999"/>
  </r>
  <r>
    <x v="0"/>
    <x v="0"/>
    <n v="22"/>
    <n v="31"/>
    <n v="7"/>
    <n v="20260207"/>
    <n v="20260407"/>
    <n v="129111.1198"/>
    <n v="60"/>
    <n v="2151.8519966666668"/>
    <n v="64211.034383654551"/>
    <n v="66707.411896666672"/>
    <n v="9348.3383649477801"/>
    <n v="140266.78464526901"/>
    <n v="59104.21753629014"/>
    <n v="61402.053741516116"/>
    <n v="8604.8485221937281"/>
    <n v="129111.11979999999"/>
  </r>
  <r>
    <x v="0"/>
    <x v="0"/>
    <n v="25"/>
    <n v="31"/>
    <n v="5"/>
    <n v="20260204"/>
    <n v="20260405"/>
    <n v="166195.02439999999"/>
    <n v="61"/>
    <n v="2724.5085967213113"/>
    <n v="92385.279925908719"/>
    <n v="84459.766498360652"/>
    <n v="8454.3879543938638"/>
    <n v="185299.43437866325"/>
    <n v="82860.33847308495"/>
    <n v="75751.947117814037"/>
    <n v="7582.7388091010016"/>
    <n v="166195.02439999999"/>
  </r>
  <r>
    <x v="0"/>
    <x v="0"/>
    <n v="21"/>
    <n v="31"/>
    <n v="1"/>
    <n v="20260208"/>
    <n v="20260401"/>
    <n v="26635.117900000001"/>
    <n v="53"/>
    <n v="502.54939433962267"/>
    <n v="14314.383108927761"/>
    <n v="15579.031224528302"/>
    <n v="311.89092602649913"/>
    <n v="30205.305259482564"/>
    <n v="12622.460806032284"/>
    <n v="13737.630852210134"/>
    <n v="275.02624175758098"/>
    <n v="26635.117899999997"/>
  </r>
  <r>
    <x v="0"/>
    <x v="0"/>
    <n v="27"/>
    <n v="31"/>
    <n v="8"/>
    <n v="20260202"/>
    <n v="20260408"/>
    <n v="32529.415099999998"/>
    <n v="66"/>
    <n v="492.86992575757574"/>
    <n v="18049.728381113924"/>
    <n v="15278.967698484848"/>
    <n v="2447.0694309703163"/>
    <n v="35775.765510569086"/>
    <n v="16411.867043852559"/>
    <n v="13892.529634807504"/>
    <n v="2225.0184213399375"/>
    <n v="32529.415100000002"/>
  </r>
  <r>
    <x v="0"/>
    <x v="0"/>
    <n v="27"/>
    <n v="31"/>
    <n v="7"/>
    <n v="20260202"/>
    <n v="20260407"/>
    <n v="52359.2791"/>
    <n v="65"/>
    <n v="805.52737076923074"/>
    <n v="29499.771615379352"/>
    <n v="24971.348493846152"/>
    <n v="3499.470426331558"/>
    <n v="57970.590535557065"/>
    <n v="26644.316732438867"/>
    <n v="22554.226086254774"/>
    <n v="3160.7362813063551"/>
    <n v="52359.279099999992"/>
  </r>
  <r>
    <x v="0"/>
    <x v="0"/>
    <n v="20"/>
    <n v="31"/>
    <n v="3"/>
    <n v="20260209"/>
    <n v="20260403"/>
    <n v="13590.976000000001"/>
    <n v="54"/>
    <n v="251.68474074074075"/>
    <n v="6827.4962330879453"/>
    <n v="7802.2269629629636"/>
    <n v="468.59982963179107"/>
    <n v="15098.323025682699"/>
    <n v="6145.8704576757382"/>
    <n v="7023.2885612399159"/>
    <n v="421.81698108434711"/>
    <n v="13590.976000000001"/>
  </r>
  <r>
    <x v="0"/>
    <x v="0"/>
    <n v="21"/>
    <n v="31"/>
    <n v="6"/>
    <n v="20260208"/>
    <n v="20260406"/>
    <n v="47853.783600000002"/>
    <n v="58"/>
    <n v="825.06523448275868"/>
    <n v="23500.774230885112"/>
    <n v="25577.02226896552"/>
    <n v="3072.2993152135155"/>
    <n v="52150.095815064153"/>
    <n v="21564.696035560853"/>
    <n v="23469.895302433997"/>
    <n v="2819.1922620051455"/>
    <n v="47853.783599999995"/>
  </r>
  <r>
    <x v="0"/>
    <x v="0"/>
    <n v="0"/>
    <n v="28"/>
    <n v="1"/>
    <n v="20260304"/>
    <n v="20260401"/>
    <n v="632.80859999999996"/>
    <n v="29"/>
    <n v="21.820986206896549"/>
    <n v="0"/>
    <n v="610.98761379310338"/>
    <n v="13.542484920957033"/>
    <n v="624.53009871406039"/>
    <n v="0"/>
    <n v="619.08660174723752"/>
    <n v="13.721998252762502"/>
    <n v="632.80860000000007"/>
  </r>
  <r>
    <x v="0"/>
    <x v="0"/>
    <n v="6"/>
    <n v="31"/>
    <n v="3"/>
    <n v="20260223"/>
    <n v="20260403"/>
    <n v="168.911"/>
    <n v="40"/>
    <n v="4.2227750000000004"/>
    <n v="34.365588061665534"/>
    <n v="130.906025"/>
    <n v="7.8621836180832698"/>
    <n v="173.1337966797488"/>
    <n v="33.527398788701994"/>
    <n v="127.71317912975303"/>
    <n v="7.6704220815449746"/>
    <n v="168.911"/>
  </r>
  <r>
    <x v="0"/>
    <x v="0"/>
    <n v="0"/>
    <n v="27"/>
    <n v="4"/>
    <n v="20260305"/>
    <n v="20260404"/>
    <n v="42.165500000000002"/>
    <n v="31"/>
    <n v="1.3601774193548388"/>
    <n v="0"/>
    <n v="36.724790322580645"/>
    <n v="3.3765993923074724"/>
    <n v="40.101389714888114"/>
    <n v="0"/>
    <n v="38.615099310931569"/>
    <n v="3.5504006890684381"/>
    <n v="42.165500000000009"/>
  </r>
  <r>
    <x v="0"/>
    <x v="0"/>
    <n v="3"/>
    <n v="31"/>
    <n v="1"/>
    <n v="20260226"/>
    <n v="20260401"/>
    <n v="1055.7681"/>
    <n v="35"/>
    <n v="30.164802857142856"/>
    <n v="122.74288695821146"/>
    <n v="935.10888857142857"/>
    <n v="18.720803173753431"/>
    <n v="1076.5725787033934"/>
    <n v="120.37091331869088"/>
    <n v="917.03815804895066"/>
    <n v="18.359028632358502"/>
    <n v="1055.7681"/>
  </r>
  <r>
    <x v="0"/>
    <x v="0"/>
    <n v="3"/>
    <n v="31"/>
    <n v="6"/>
    <n v="20260226"/>
    <n v="20260406"/>
    <n v="42.21"/>
    <n v="40"/>
    <n v="1.05525"/>
    <n v="4.2938928550624356"/>
    <n v="32.71275"/>
    <n v="3.9294394150682286"/>
    <n v="40.936082270130669"/>
    <n v="4.4275174213344881"/>
    <n v="33.730760271300198"/>
    <n v="4.051722307365309"/>
    <n v="42.209999999999994"/>
  </r>
  <r>
    <x v="0"/>
    <x v="0"/>
    <n v="28"/>
    <n v="31"/>
    <n v="7"/>
    <n v="20260130"/>
    <n v="20260407"/>
    <n v="464.02710000000002"/>
    <n v="66"/>
    <n v="7.0307136363636369"/>
    <n v="267.01276770964603"/>
    <n v="217.95212272727275"/>
    <n v="30.54368521700934"/>
    <n v="515.50857565392812"/>
    <n v="240.34742798625754"/>
    <n v="196.18624446681369"/>
    <n v="27.493427546928757"/>
    <n v="464.02710000000002"/>
  </r>
  <r>
    <x v="0"/>
    <x v="0"/>
    <n v="28"/>
    <n v="31"/>
    <n v="6"/>
    <n v="20260130"/>
    <n v="20260406"/>
    <n v="590.59379999999999"/>
    <n v="65"/>
    <n v="9.0860584615384621"/>
    <n v="345.07074855659113"/>
    <n v="281.66781230769232"/>
    <n v="33.83379885940149"/>
    <n v="660.57235972368494"/>
    <n v="308.51524690516732"/>
    <n v="251.82898006521333"/>
    <n v="30.249573029619352"/>
    <n v="590.59379999999999"/>
  </r>
  <r>
    <x v="0"/>
    <x v="0"/>
    <n v="28"/>
    <n v="31"/>
    <n v="1"/>
    <n v="20260131"/>
    <n v="20260401"/>
    <n v="506.37740000000002"/>
    <n v="60"/>
    <n v="8.4396233333333335"/>
    <n v="320.52040535472167"/>
    <n v="261.62832333333336"/>
    <n v="5.2377775526067296"/>
    <n v="587.38650624066179"/>
    <n v="276.31599940767336"/>
    <n v="225.54598842216575"/>
    <n v="4.5154121701608716"/>
    <n v="506.37739999999997"/>
  </r>
  <r>
    <x v="0"/>
    <x v="0"/>
    <n v="17"/>
    <n v="31"/>
    <n v="1"/>
    <n v="20260212"/>
    <n v="20260401"/>
    <n v="1139.8293000000001"/>
    <n v="49"/>
    <n v="23.261822448979594"/>
    <n v="536.37341690274832"/>
    <n v="721.11649591836738"/>
    <n v="14.436693042302672"/>
    <n v="1271.9266058634184"/>
    <n v="480.66777871341907"/>
    <n v="646.22416652973766"/>
    <n v="12.93735475684336"/>
    <n v="1139.8293000000001"/>
  </r>
  <r>
    <x v="0"/>
    <x v="0"/>
    <n v="28"/>
    <n v="31"/>
    <n v="6"/>
    <n v="20260126"/>
    <n v="20260406"/>
    <n v="84.3429"/>
    <n v="65"/>
    <n v="1.297583076923077"/>
    <n v="49.279670119181255"/>
    <n v="40.225075384615387"/>
    <n v="4.8318162395518094"/>
    <n v="94.336561743348454"/>
    <n v="44.059166584880906"/>
    <n v="35.963781676580894"/>
    <n v="4.3199517385381991"/>
    <n v="84.3429"/>
  </r>
  <r>
    <x v="0"/>
    <x v="0"/>
    <n v="18"/>
    <n v="31"/>
    <n v="2"/>
    <n v="20260211"/>
    <n v="20260402"/>
    <n v="42.212899999999998"/>
    <n v="51"/>
    <n v="0.82770392156862738"/>
    <n v="20.207942885178038"/>
    <n v="25.658821568627449"/>
    <n v="1.0273750022643311"/>
    <n v="46.894139456069816"/>
    <n v="18.190671203527501"/>
    <n v="23.097412204546092"/>
    <n v="0.92481659192640353"/>
    <n v="42.212899999999991"/>
  </r>
  <r>
    <x v="0"/>
    <x v="0"/>
    <n v="25"/>
    <n v="31"/>
    <n v="13"/>
    <n v="20260204"/>
    <n v="20260413"/>
    <n v="759.37040000000002"/>
    <n v="69"/>
    <n v="11.00536811594203"/>
    <n v="373.18069588861584"/>
    <n v="341.16641159420294"/>
    <n v="88.79160614033502"/>
    <n v="803.13871362315376"/>
    <n v="352.84362402455969"/>
    <n v="322.5740087538793"/>
    <n v="83.952767221561103"/>
    <n v="759.37040000000002"/>
  </r>
  <r>
    <x v="0"/>
    <x v="0"/>
    <n v="26"/>
    <n v="31"/>
    <n v="9"/>
    <n v="20260203"/>
    <n v="20260409"/>
    <n v="759.38819999999998"/>
    <n v="66"/>
    <n v="11.505881818181818"/>
    <n v="405.75870393662666"/>
    <n v="356.68233636363635"/>
    <n v="64.266759803099546"/>
    <n v="826.70780010336262"/>
    <n v="372.71738790687925"/>
    <n v="327.63735548292988"/>
    <n v="59.033456610190768"/>
    <n v="759.38819999999987"/>
  </r>
  <r>
    <x v="0"/>
    <x v="0"/>
    <n v="27"/>
    <n v="31"/>
    <n v="11"/>
    <n v="20260202"/>
    <n v="20260411"/>
    <n v="337.5138"/>
    <n v="69"/>
    <n v="4.8915043478260873"/>
    <n v="179.13514345106415"/>
    <n v="151.6366347826087"/>
    <n v="33.393282763417801"/>
    <n v="364.16506099709068"/>
    <n v="166.02521618677966"/>
    <n v="140.53917386956383"/>
    <n v="30.949409943656526"/>
    <n v="337.5138"/>
  </r>
  <r>
    <x v="0"/>
    <x v="0"/>
    <n v="0"/>
    <n v="21"/>
    <n v="1"/>
    <n v="20260311"/>
    <n v="20260401"/>
    <n v="126.3305"/>
    <n v="22"/>
    <n v="5.742295454545455"/>
    <n v="0"/>
    <n v="120.58820454545456"/>
    <n v="3.5637687897114492"/>
    <n v="124.15197333516601"/>
    <n v="0"/>
    <n v="122.70419684110273"/>
    <n v="3.626303158897271"/>
    <n v="126.3305"/>
  </r>
  <r>
    <x v="0"/>
    <x v="0"/>
    <n v="0"/>
    <n v="11"/>
    <n v="1"/>
    <n v="20260321"/>
    <n v="20260401"/>
    <n v="211.17840000000001"/>
    <n v="12"/>
    <n v="17.598200000000002"/>
    <n v="0"/>
    <n v="193.58020000000002"/>
    <n v="10.921750093066999"/>
    <n v="204.50195009306702"/>
    <n v="0"/>
    <n v="199.90008353991686"/>
    <n v="11.278316460083147"/>
    <n v="211.17840000000001"/>
  </r>
  <r>
    <x v="0"/>
    <x v="0"/>
    <n v="0"/>
    <n v="18"/>
    <n v="6"/>
    <n v="20260314"/>
    <n v="20260406"/>
    <n v="42.099299999999999"/>
    <n v="24"/>
    <n v="1.7541374999999999"/>
    <n v="0"/>
    <n v="31.574475"/>
    <n v="6.5318901037187818"/>
    <n v="38.10636510371878"/>
    <n v="0"/>
    <n v="34.882972746140453"/>
    <n v="7.2163272538595447"/>
    <n v="42.099299999999999"/>
  </r>
  <r>
    <x v="0"/>
    <x v="0"/>
    <n v="27"/>
    <n v="5"/>
    <n v="0"/>
    <n v="20260202"/>
    <n v="20260305"/>
    <n v="548.93520000000001"/>
    <n v="32"/>
    <n v="17.154225"/>
    <n v="628.21666662373912"/>
    <n v="85.771124999999998"/>
    <n v="0"/>
    <n v="713.9877916237391"/>
    <n v="482.99179003072715"/>
    <n v="65.943409969272878"/>
    <n v="0"/>
    <n v="548.93520000000001"/>
  </r>
  <r>
    <x v="0"/>
    <x v="0"/>
    <n v="22"/>
    <n v="10"/>
    <n v="0"/>
    <n v="20260207"/>
    <n v="20260310"/>
    <n v="169.02170000000001"/>
    <n v="32"/>
    <n v="5.2819281250000003"/>
    <n v="157.61217266417063"/>
    <n v="52.819281250000003"/>
    <n v="0"/>
    <n v="210.43145391417062"/>
    <n v="126.59646107495577"/>
    <n v="42.425238925044255"/>
    <n v="0"/>
    <n v="169.02170000000001"/>
  </r>
  <r>
    <x v="0"/>
    <x v="0"/>
    <n v="27"/>
    <n v="7"/>
    <n v="0"/>
    <n v="20260202"/>
    <n v="20260307"/>
    <n v="253.42"/>
    <n v="34"/>
    <n v="7.4535294117647055"/>
    <n v="272.96082461555812"/>
    <n v="52.174705882352939"/>
    <n v="0"/>
    <n v="325.13553049791108"/>
    <n v="212.75353102179389"/>
    <n v="40.66646897820609"/>
    <n v="0"/>
    <n v="253.42"/>
  </r>
  <r>
    <x v="0"/>
    <x v="0"/>
    <n v="20"/>
    <n v="5"/>
    <n v="0"/>
    <n v="20260209"/>
    <n v="20260305"/>
    <n v="42.253500000000003"/>
    <n v="25"/>
    <n v="1.6901400000000002"/>
    <n v="45.848725073396352"/>
    <n v="8.4507000000000012"/>
    <n v="0"/>
    <n v="54.29942507339635"/>
    <n v="35.677525172138616"/>
    <n v="6.5759748278613905"/>
    <n v="0"/>
    <n v="42.253500000000003"/>
  </r>
  <r>
    <x v="0"/>
    <x v="0"/>
    <n v="25"/>
    <n v="12"/>
    <n v="0"/>
    <n v="20260204"/>
    <n v="20260312"/>
    <n v="211.1438"/>
    <n v="37"/>
    <n v="5.7065891891891889"/>
    <n v="193.50456089580663"/>
    <n v="68.47907027027027"/>
    <n v="0"/>
    <n v="261.98363116607692"/>
    <n v="155.95359192106062"/>
    <n v="55.190208078939378"/>
    <n v="0"/>
    <n v="211.1438"/>
  </r>
  <r>
    <x v="0"/>
    <x v="0"/>
    <n v="27"/>
    <n v="16"/>
    <n v="0"/>
    <n v="20260202"/>
    <n v="20260316"/>
    <n v="2321.7660000000001"/>
    <n v="43"/>
    <n v="53.994558139534888"/>
    <n v="1977.3718329006576"/>
    <n v="863.91293023255821"/>
    <n v="0"/>
    <n v="2841.2847631332161"/>
    <n v="1615.8164611151915"/>
    <n v="705.94953888480836"/>
    <n v="0"/>
    <n v="2321.7659999999996"/>
  </r>
  <r>
    <x v="0"/>
    <x v="0"/>
    <n v="22"/>
    <n v="13"/>
    <n v="0"/>
    <n v="20260207"/>
    <n v="20260313"/>
    <n v="84.4773"/>
    <n v="35"/>
    <n v="2.413637142857143"/>
    <n v="72.022675262862563"/>
    <n v="31.377282857142859"/>
    <n v="0"/>
    <n v="103.39995812000542"/>
    <n v="58.842201250430257"/>
    <n v="25.635098749569739"/>
    <n v="0"/>
    <n v="84.4773"/>
  </r>
  <r>
    <x v="0"/>
    <x v="0"/>
    <n v="27"/>
    <n v="14"/>
    <n v="0"/>
    <n v="20260202"/>
    <n v="20260314"/>
    <n v="1731.1356000000001"/>
    <n v="41"/>
    <n v="42.222819512195123"/>
    <n v="1546.2708999915176"/>
    <n v="591.11947317073168"/>
    <n v="0"/>
    <n v="2137.3903731622495"/>
    <n v="1252.3704774898222"/>
    <n v="478.76512251017755"/>
    <n v="0"/>
    <n v="1731.1355999999996"/>
  </r>
  <r>
    <x v="0"/>
    <x v="0"/>
    <n v="26"/>
    <n v="16"/>
    <n v="0"/>
    <n v="20260203"/>
    <n v="20260316"/>
    <n v="211.06469999999999"/>
    <n v="42"/>
    <n v="5.0253499999999995"/>
    <n v="177.22061942316614"/>
    <n v="80.405599999999993"/>
    <n v="0"/>
    <n v="257.62621942316616"/>
    <n v="145.1910327920653"/>
    <n v="65.873667207934645"/>
    <n v="0"/>
    <n v="211.06469999999996"/>
  </r>
  <r>
    <x v="0"/>
    <x v="0"/>
    <n v="26"/>
    <n v="26"/>
    <n v="0"/>
    <n v="20260203"/>
    <n v="20260326"/>
    <n v="1308.0803000000001"/>
    <n v="52"/>
    <n v="25.155390384615387"/>
    <n v="887.11310969247847"/>
    <n v="654.04015000000004"/>
    <n v="0"/>
    <n v="1541.1532596924785"/>
    <n v="752.95248889913739"/>
    <n v="555.1278111008628"/>
    <n v="0"/>
    <n v="1308.0803000000001"/>
  </r>
  <r>
    <x v="0"/>
    <x v="0"/>
    <n v="23"/>
    <n v="27"/>
    <n v="0"/>
    <n v="20260206"/>
    <n v="20260327"/>
    <n v="421.99099999999999"/>
    <n v="50"/>
    <n v="8.4398199999999992"/>
    <n v="263.29075394718467"/>
    <n v="227.87513999999999"/>
    <n v="0"/>
    <n v="491.16589394718466"/>
    <n v="226.20937226735398"/>
    <n v="195.781627732646"/>
    <n v="0"/>
    <n v="421.99099999999999"/>
  </r>
  <r>
    <x v="0"/>
    <x v="0"/>
    <n v="24"/>
    <n v="16"/>
    <n v="0"/>
    <n v="20260205"/>
    <n v="20260316"/>
    <n v="379.9076"/>
    <n v="40"/>
    <n v="9.4976900000000004"/>
    <n v="309.17460871336988"/>
    <n v="151.96304000000001"/>
    <n v="0"/>
    <n v="461.13764871336991"/>
    <n v="254.71306432028902"/>
    <n v="125.19453567971095"/>
    <n v="0"/>
    <n v="379.9076"/>
  </r>
  <r>
    <x v="0"/>
    <x v="0"/>
    <n v="23"/>
    <n v="25"/>
    <n v="0"/>
    <n v="20260206"/>
    <n v="20260325"/>
    <n v="253.17679999999999"/>
    <n v="48"/>
    <n v="5.2745166666666661"/>
    <n v="164.54515260676862"/>
    <n v="131.86291666666665"/>
    <n v="0"/>
    <n v="296.40806927343527"/>
    <n v="140.54615751389366"/>
    <n v="112.63064248610632"/>
    <n v="0"/>
    <n v="253.17679999999999"/>
  </r>
  <r>
    <x v="0"/>
    <x v="0"/>
    <n v="23"/>
    <n v="31"/>
    <n v="1"/>
    <n v="20260206"/>
    <n v="20260401"/>
    <n v="95123.463399999993"/>
    <n v="55"/>
    <n v="1729.5175163636363"/>
    <n v="53954.464769182778"/>
    <n v="53615.043007272725"/>
    <n v="1073.3687590381714"/>
    <n v="108642.87653549368"/>
    <n v="47240.424024130203"/>
    <n v="46943.239573793355"/>
    <n v="939.79980207642939"/>
    <n v="95123.463399999993"/>
  </r>
  <r>
    <x v="0"/>
    <x v="0"/>
    <n v="24"/>
    <n v="31"/>
    <n v="5"/>
    <n v="20260205"/>
    <n v="20260405"/>
    <n v="240785.1783"/>
    <n v="60"/>
    <n v="4013.0863049999998"/>
    <n v="130636.43771078631"/>
    <n v="124405.67545499999"/>
    <n v="12452.957042515611"/>
    <n v="267495.07020830194"/>
    <n v="117592.140753001"/>
    <n v="111983.53196803859"/>
    <n v="11209.50557896039"/>
    <n v="240785.17829999997"/>
  </r>
  <r>
    <x v="0"/>
    <x v="0"/>
    <n v="20"/>
    <n v="31"/>
    <n v="5"/>
    <n v="20260209"/>
    <n v="20260405"/>
    <n v="31694.4961"/>
    <n v="56"/>
    <n v="565.97314464285716"/>
    <n v="15353.253048656292"/>
    <n v="17545.167483928573"/>
    <n v="1756.264062567918"/>
    <n v="34654.684595152787"/>
    <n v="14041.784669453131"/>
    <n v="16046.466701099385"/>
    <n v="1606.2447294474825"/>
    <n v="31694.4961"/>
  </r>
  <r>
    <x v="0"/>
    <x v="0"/>
    <n v="26"/>
    <n v="31"/>
    <n v="6"/>
    <n v="20260203"/>
    <n v="20260406"/>
    <n v="114208.90119999999"/>
    <n v="63"/>
    <n v="1812.8397015873015"/>
    <n v="63930.387899391935"/>
    <n v="56198.030749206344"/>
    <n v="6750.4797693605005"/>
    <n v="126878.89841795879"/>
    <n v="57546.364654170618"/>
    <n v="50586.152792150999"/>
    <n v="6076.3837536783631"/>
    <n v="114208.90119999998"/>
  </r>
  <r>
    <x v="0"/>
    <x v="0"/>
    <n v="22"/>
    <n v="31"/>
    <n v="5"/>
    <n v="20260207"/>
    <n v="20260405"/>
    <n v="47135.295100000003"/>
    <n v="58"/>
    <n v="812.67750172413798"/>
    <n v="24250.210091988265"/>
    <n v="25193.002553448277"/>
    <n v="2521.8092134675876"/>
    <n v="51965.021858904132"/>
    <n v="21996.350006865374"/>
    <n v="22851.517565721282"/>
    <n v="2287.4275274133479"/>
    <n v="47135.295100000003"/>
  </r>
  <r>
    <x v="0"/>
    <x v="0"/>
    <n v="24"/>
    <n v="31"/>
    <n v="6"/>
    <n v="20260205"/>
    <n v="20260406"/>
    <n v="68346.539799999999"/>
    <n v="61"/>
    <n v="1120.4350786885245"/>
    <n v="36473.087355163028"/>
    <n v="34733.487439344259"/>
    <n v="4172.1694008280128"/>
    <n v="75378.744195335312"/>
    <n v="33070.454319173841"/>
    <n v="31493.144480017065"/>
    <n v="3782.9410008090872"/>
    <n v="68346.539799999999"/>
  </r>
  <r>
    <x v="0"/>
    <x v="0"/>
    <n v="19"/>
    <n v="31"/>
    <n v="7"/>
    <n v="20260210"/>
    <n v="20260407"/>
    <n v="31437.596399999999"/>
    <n v="57"/>
    <n v="551.53677894736836"/>
    <n v="14213.553456242229"/>
    <n v="17097.64014736842"/>
    <n v="2396.0534638535787"/>
    <n v="33707.247067464225"/>
    <n v="13256.495141024987"/>
    <n v="15946.384149070213"/>
    <n v="2234.7171099048028"/>
    <n v="31437.596400000002"/>
  </r>
  <r>
    <x v="0"/>
    <x v="0"/>
    <n v="20"/>
    <n v="31"/>
    <n v="2"/>
    <n v="20260209"/>
    <n v="20260402"/>
    <n v="13971.8292"/>
    <n v="53"/>
    <n v="263.61941886792454"/>
    <n v="7151.2503459381987"/>
    <n v="8172.2019849056605"/>
    <n v="327.21362554750175"/>
    <n v="15650.66595639136"/>
    <n v="6384.1403732143481"/>
    <n v="7295.5751939983247"/>
    <n v="292.11363278732858"/>
    <n v="13971.8292"/>
  </r>
  <r>
    <x v="0"/>
    <x v="0"/>
    <n v="19"/>
    <n v="31"/>
    <n v="2"/>
    <n v="20260210"/>
    <n v="20260402"/>
    <n v="2912.4881"/>
    <n v="52"/>
    <n v="56.009386538461541"/>
    <n v="1443.4076565757475"/>
    <n v="1736.2909826923078"/>
    <n v="69.520805836854663"/>
    <n v="3249.2194451049104"/>
    <n v="1293.8207758048229"/>
    <n v="1556.3512747183424"/>
    <n v="62.316049476834323"/>
    <n v="2912.4880999999996"/>
  </r>
  <r>
    <x v="0"/>
    <x v="0"/>
    <n v="8"/>
    <n v="31"/>
    <n v="1"/>
    <n v="20260221"/>
    <n v="20260401"/>
    <n v="84.461399999999998"/>
    <n v="40"/>
    <n v="2.1115349999999999"/>
    <n v="22.911992544488374"/>
    <n v="65.457584999999995"/>
    <n v="1.3104554774217945"/>
    <n v="89.680033021910162"/>
    <n v="21.578704889908519"/>
    <n v="61.648497256555096"/>
    <n v="1.2341978535363793"/>
    <n v="84.461399999999998"/>
  </r>
  <r>
    <x v="0"/>
    <x v="0"/>
    <n v="6"/>
    <n v="31"/>
    <n v="1"/>
    <n v="20260223"/>
    <n v="20260401"/>
    <n v="1689.4268"/>
    <n v="38"/>
    <n v="44.458599999999997"/>
    <n v="361.8108787227269"/>
    <n v="1378.2166"/>
    <n v="27.591783175985523"/>
    <n v="1767.6192618987122"/>
    <n v="345.80580118205933"/>
    <n v="1317.2497666402446"/>
    <n v="26.371232177696275"/>
    <n v="1689.4268000000004"/>
  </r>
  <r>
    <x v="0"/>
    <x v="0"/>
    <n v="0"/>
    <n v="27"/>
    <n v="1"/>
    <n v="20260305"/>
    <n v="20260401"/>
    <n v="168.70949999999999"/>
    <n v="28"/>
    <n v="6.0253392857142858"/>
    <n v="0"/>
    <n v="162.68416071428572"/>
    <n v="3.7394307318083806"/>
    <n v="166.42359144609409"/>
    <n v="0"/>
    <n v="164.91870637773658"/>
    <n v="3.7907936222634162"/>
    <n v="168.70949999999999"/>
  </r>
  <r>
    <x v="0"/>
    <x v="0"/>
    <n v="9"/>
    <n v="31"/>
    <n v="6"/>
    <n v="20260220"/>
    <n v="20260406"/>
    <n v="84.418000000000006"/>
    <n v="46"/>
    <n v="1.8351739130434783"/>
    <n v="22.40238849471034"/>
    <n v="56.89039130434783"/>
    <n v="6.8336457781739277"/>
    <n v="86.126425577232098"/>
    <n v="21.958009046254851"/>
    <n v="55.761899102892954"/>
    <n v="6.6980918508521992"/>
    <n v="84.418000000000006"/>
  </r>
  <r>
    <x v="0"/>
    <x v="0"/>
    <n v="0"/>
    <n v="29"/>
    <n v="3"/>
    <n v="20260303"/>
    <n v="20260403"/>
    <n v="42.1892"/>
    <n v="32"/>
    <n v="1.3184125"/>
    <n v="0"/>
    <n v="38.233962499999997"/>
    <n v="2.4546894303807822"/>
    <n v="40.688651930380779"/>
    <n v="0"/>
    <n v="39.643984604478497"/>
    <n v="2.5452153955215033"/>
    <n v="42.1892"/>
  </r>
  <r>
    <x v="0"/>
    <x v="0"/>
    <n v="2"/>
    <n v="31"/>
    <n v="7"/>
    <n v="20260227"/>
    <n v="20260407"/>
    <n v="295.42829999999998"/>
    <n v="40"/>
    <n v="7.3857074999999996"/>
    <n v="20.035338648870592"/>
    <n v="228.95693249999999"/>
    <n v="32.085892933847454"/>
    <n v="281.07816408271805"/>
    <n v="21.058220784515441"/>
    <n v="240.64607637676176"/>
    <n v="33.724002838722761"/>
    <n v="295.42829999999992"/>
  </r>
  <r>
    <x v="0"/>
    <x v="0"/>
    <n v="2"/>
    <n v="31"/>
    <n v="5"/>
    <n v="20260227"/>
    <n v="20260405"/>
    <n v="802.02710000000002"/>
    <n v="38"/>
    <n v="21.105976315789473"/>
    <n v="57.254553203181175"/>
    <n v="654.28526578947367"/>
    <n v="65.493686510905533"/>
    <n v="777.03350550356038"/>
    <n v="59.096168880883226"/>
    <n v="675.33061390163743"/>
    <n v="67.600317217479372"/>
    <n v="802.02710000000002"/>
  </r>
  <r>
    <x v="0"/>
    <x v="0"/>
    <n v="0"/>
    <n v="29"/>
    <n v="5"/>
    <n v="20260303"/>
    <n v="20260405"/>
    <n v="84.364599999999996"/>
    <n v="34"/>
    <n v="2.4813117647058824"/>
    <n v="0"/>
    <n v="71.958041176470587"/>
    <n v="7.699726959889281"/>
    <n v="79.657768136359863"/>
    <n v="0"/>
    <n v="76.209910253128072"/>
    <n v="8.154689746871929"/>
    <n v="84.364599999999996"/>
  </r>
  <r>
    <x v="0"/>
    <x v="0"/>
    <n v="0"/>
    <n v="25"/>
    <n v="6"/>
    <n v="20260307"/>
    <n v="20260406"/>
    <n v="84.255899999999997"/>
    <n v="31"/>
    <n v="2.7179322580645162"/>
    <n v="0"/>
    <n v="67.948306451612908"/>
    <n v="10.120777201918125"/>
    <n v="78.069083653531038"/>
    <n v="0"/>
    <n v="73.333071756856853"/>
    <n v="10.92282824314314"/>
    <n v="84.255899999999997"/>
  </r>
  <r>
    <x v="0"/>
    <x v="0"/>
    <n v="18"/>
    <n v="31"/>
    <n v="8"/>
    <n v="20260211"/>
    <n v="20260408"/>
    <n v="717.38480000000004"/>
    <n v="57"/>
    <n v="12.585698245614036"/>
    <n v="307.27300510484116"/>
    <n v="390.15664561403514"/>
    <n v="62.487232096622726"/>
    <n v="759.91688281549898"/>
    <n v="290.07512307902579"/>
    <n v="368.31981695878557"/>
    <n v="58.989859962188739"/>
    <n v="717.38480000000004"/>
  </r>
  <r>
    <x v="0"/>
    <x v="0"/>
    <n v="18"/>
    <n v="31"/>
    <n v="6"/>
    <n v="20260211"/>
    <n v="20260406"/>
    <n v="126.6062"/>
    <n v="55"/>
    <n v="2.3019309090909092"/>
    <n v="56.200396209767348"/>
    <n v="71.359858181818183"/>
    <n v="8.5717110115571256"/>
    <n v="136.13196540314266"/>
    <n v="52.267801919568747"/>
    <n v="66.366488210052253"/>
    <n v="7.9719098703789877"/>
    <n v="126.6062"/>
  </r>
  <r>
    <x v="0"/>
    <x v="0"/>
    <n v="19"/>
    <n v="31"/>
    <n v="10"/>
    <n v="20260210"/>
    <n v="20260410"/>
    <n v="168.78460000000001"/>
    <n v="60"/>
    <n v="2.8130766666666669"/>
    <n v="72.495284275484238"/>
    <n v="87.20537666666668"/>
    <n v="17.458444810248363"/>
    <n v="177.15910575239928"/>
    <n v="69.068352464057199"/>
    <n v="83.083082611085771"/>
    <n v="16.633164924857038"/>
    <n v="168.78459999999998"/>
  </r>
  <r>
    <x v="0"/>
    <x v="0"/>
    <n v="28"/>
    <n v="31"/>
    <n v="3"/>
    <n v="20260126"/>
    <n v="20260403"/>
    <n v="1180.9385"/>
    <n v="62"/>
    <n v="19.047395161290321"/>
    <n v="723.38285453280537"/>
    <n v="590.46924999999999"/>
    <n v="35.46343771672781"/>
    <n v="1349.3155422495331"/>
    <n v="633.11407629195344"/>
    <n v="516.7863620903654"/>
    <n v="31.038061617681223"/>
    <n v="1180.9385000000002"/>
  </r>
  <r>
    <x v="0"/>
    <x v="0"/>
    <n v="17"/>
    <n v="31"/>
    <n v="4"/>
    <n v="20260212"/>
    <n v="20260404"/>
    <n v="464.28800000000001"/>
    <n v="52"/>
    <n v="8.9286153846153855"/>
    <n v="205.87690205960965"/>
    <n v="276.78707692307694"/>
    <n v="22.165018219563937"/>
    <n v="504.82899720225049"/>
    <n v="189.34367010054535"/>
    <n v="254.55930440338156"/>
    <n v="20.385025496073119"/>
    <n v="464.28800000000001"/>
  </r>
  <r>
    <x v="0"/>
    <x v="0"/>
    <n v="28"/>
    <n v="31"/>
    <n v="4"/>
    <n v="20260126"/>
    <n v="20260404"/>
    <n v="2066.5455999999999"/>
    <n v="63"/>
    <n v="32.802311111111109"/>
    <n v="1245.7676887521072"/>
    <n v="1016.8716444444444"/>
    <n v="81.43074733338419"/>
    <n v="2344.0700805299361"/>
    <n v="1098.2759249377136"/>
    <n v="896.47986211929037"/>
    <n v="71.789812942995638"/>
    <n v="2066.5455999999995"/>
  </r>
  <r>
    <x v="0"/>
    <x v="0"/>
    <n v="28"/>
    <n v="31"/>
    <n v="6"/>
    <n v="20260127"/>
    <n v="20260406"/>
    <n v="885.64170000000001"/>
    <n v="65"/>
    <n v="13.625256923076924"/>
    <n v="517.46063770383626"/>
    <n v="422.38296461538465"/>
    <n v="50.736433635602666"/>
    <n v="990.58003595482364"/>
    <n v="462.64279737615283"/>
    <n v="377.63729658899501"/>
    <n v="45.361606034852088"/>
    <n v="885.64170000000001"/>
  </r>
  <r>
    <x v="0"/>
    <x v="0"/>
    <n v="0"/>
    <n v="7"/>
    <n v="1"/>
    <n v="20260325"/>
    <n v="20260401"/>
    <n v="42.287100000000002"/>
    <n v="8"/>
    <n v="5.2858875000000003"/>
    <n v="0"/>
    <n v="37.001212500000001"/>
    <n v="3.2805140466108287"/>
    <n v="40.281726546610827"/>
    <n v="0"/>
    <n v="38.843269821074657"/>
    <n v="3.4438301789253498"/>
    <n v="42.287100000000009"/>
  </r>
  <r>
    <x v="0"/>
    <x v="0"/>
    <n v="25"/>
    <n v="31"/>
    <n v="10"/>
    <n v="20260204"/>
    <n v="20260410"/>
    <n v="379.67630000000003"/>
    <n v="66"/>
    <n v="5.7526712121212125"/>
    <n v="195.06715482311168"/>
    <n v="178.33280757575758"/>
    <n v="35.702081659697413"/>
    <n v="409.10204405856666"/>
    <n v="181.03643496868841"/>
    <n v="165.50574980574407"/>
    <n v="33.134115225567584"/>
    <n v="379.67630000000008"/>
  </r>
  <r>
    <x v="0"/>
    <x v="0"/>
    <n v="25"/>
    <n v="31"/>
    <n v="14"/>
    <n v="20260204"/>
    <n v="20260414"/>
    <n v="337.49790000000002"/>
    <n v="70"/>
    <n v="4.8213985714285714"/>
    <n v="163.4886589059889"/>
    <n v="149.46335571428571"/>
    <n v="41.891417539690607"/>
    <n v="354.84343215996523"/>
    <n v="155.49697149167875"/>
    <n v="142.15725615511522"/>
    <n v="39.843672353206038"/>
    <n v="337.49790000000002"/>
  </r>
  <r>
    <x v="0"/>
    <x v="0"/>
    <n v="22"/>
    <n v="31"/>
    <n v="9"/>
    <n v="20260207"/>
    <n v="20260409"/>
    <n v="168.7687"/>
    <n v="62"/>
    <n v="2.7220758064516128"/>
    <n v="81.226452132271888"/>
    <n v="84.384349999999998"/>
    <n v="15.204309828961765"/>
    <n v="180.81511196123364"/>
    <n v="75.814917145392272"/>
    <n v="78.762426964060026"/>
    <n v="14.191355890547726"/>
    <n v="168.76870000000002"/>
  </r>
  <r>
    <x v="0"/>
    <x v="0"/>
    <n v="0"/>
    <n v="15"/>
    <n v="7"/>
    <n v="20260317"/>
    <n v="20260407"/>
    <n v="210.59030000000001"/>
    <n v="22"/>
    <n v="9.5722863636363638"/>
    <n v="0"/>
    <n v="143.58429545454547"/>
    <n v="41.585095997338698"/>
    <n v="185.16939145188417"/>
    <n v="0"/>
    <n v="163.29621012400693"/>
    <n v="47.294089875993087"/>
    <n v="210.59030000000001"/>
  </r>
  <r>
    <x v="0"/>
    <x v="0"/>
    <n v="0"/>
    <n v="22"/>
    <n v="1"/>
    <n v="20260310"/>
    <n v="20260401"/>
    <n v="842.26250000000005"/>
    <n v="23"/>
    <n v="36.620108695652178"/>
    <n v="0"/>
    <n v="805.64239130434794"/>
    <n v="22.727078653206735"/>
    <n v="828.36946995755466"/>
    <n v="0"/>
    <n v="819.15425328355911"/>
    <n v="23.108246716440885"/>
    <n v="842.26250000000005"/>
  </r>
  <r>
    <x v="0"/>
    <x v="0"/>
    <n v="0"/>
    <n v="9"/>
    <n v="3"/>
    <n v="20260323"/>
    <n v="20260403"/>
    <n v="42.240600000000001"/>
    <n v="12"/>
    <n v="3.5200499999999999"/>
    <n v="0"/>
    <n v="31.68045"/>
    <n v="6.5538134153096035"/>
    <n v="38.234263415309606"/>
    <n v="0"/>
    <n v="35.00005222368592"/>
    <n v="7.2405477763140818"/>
    <n v="42.240600000000001"/>
  </r>
  <r>
    <x v="0"/>
    <x v="0"/>
    <n v="0"/>
    <n v="12"/>
    <n v="3"/>
    <n v="20260320"/>
    <n v="20260403"/>
    <n v="84.378399999999999"/>
    <n v="15"/>
    <n v="5.6252266666666664"/>
    <n v="0"/>
    <n v="67.502719999999997"/>
    <n v="10.473341569624671"/>
    <n v="77.976061569624662"/>
    <n v="0"/>
    <n v="73.045129422986534"/>
    <n v="11.333270577013474"/>
    <n v="84.378400000000013"/>
  </r>
  <r>
    <x v="0"/>
    <x v="0"/>
    <n v="0"/>
    <n v="19"/>
    <n v="4"/>
    <n v="20260313"/>
    <n v="20260404"/>
    <n v="168.44069999999999"/>
    <n v="23"/>
    <n v="7.3235086956521736"/>
    <n v="0"/>
    <n v="139.1466652173913"/>
    <n v="18.180389307614664"/>
    <n v="157.32705452500596"/>
    <n v="0"/>
    <n v="148.976040787427"/>
    <n v="19.464659212572982"/>
    <n v="168.44069999999999"/>
  </r>
  <r>
    <x v="0"/>
    <x v="0"/>
    <n v="0"/>
    <n v="18"/>
    <n v="2"/>
    <n v="20260314"/>
    <n v="20260402"/>
    <n v="84.238100000000003"/>
    <n v="20"/>
    <n v="4.2119049999999998"/>
    <n v="0"/>
    <n v="75.81429"/>
    <n v="5.2279635219214864"/>
    <n v="81.042253521921481"/>
    <n v="0"/>
    <n v="78.803975271017123"/>
    <n v="5.4341247289828916"/>
    <n v="84.238100000000017"/>
  </r>
  <r>
    <x v="0"/>
    <x v="0"/>
    <n v="0"/>
    <n v="14"/>
    <n v="5"/>
    <n v="20260318"/>
    <n v="20260405"/>
    <n v="126.4254"/>
    <n v="19"/>
    <n v="6.6539684210526318"/>
    <n v="0"/>
    <n v="93.155557894736845"/>
    <n v="20.647844728976953"/>
    <n v="113.80340262371379"/>
    <n v="0"/>
    <n v="103.48749156478368"/>
    <n v="22.937908435216311"/>
    <n v="126.4254"/>
  </r>
  <r>
    <x v="0"/>
    <x v="0"/>
    <n v="23"/>
    <n v="31"/>
    <n v="10"/>
    <n v="20260206"/>
    <n v="20260410"/>
    <n v="379.69409999999999"/>
    <n v="64"/>
    <n v="5.9327203124999999"/>
    <n v="185.07863959609355"/>
    <n v="183.91432968749999"/>
    <n v="36.819497803859115"/>
    <n v="405.81246708745266"/>
    <n v="173.16685215469047"/>
    <n v="172.0774780257058"/>
    <n v="34.449769819603745"/>
    <n v="379.69410000000005"/>
  </r>
  <r>
    <x v="0"/>
    <x v="0"/>
    <n v="19"/>
    <n v="11"/>
    <n v="0"/>
    <n v="20260210"/>
    <n v="20260311"/>
    <n v="211.3117"/>
    <n v="30"/>
    <n v="7.0437233333333333"/>
    <n v="181.52250575272674"/>
    <n v="77.480956666666671"/>
    <n v="0"/>
    <n v="259.00346241939343"/>
    <n v="148.09774711334649"/>
    <n v="63.213952886653502"/>
    <n v="0"/>
    <n v="211.31169999999997"/>
  </r>
  <r>
    <x v="0"/>
    <x v="0"/>
    <n v="24"/>
    <n v="3"/>
    <n v="0"/>
    <n v="20260205"/>
    <n v="20260303"/>
    <n v="379.8809"/>
    <n v="27"/>
    <n v="14.069662962962964"/>
    <n v="458.00426643774074"/>
    <n v="42.208988888888889"/>
    <n v="0"/>
    <n v="500.21325532662962"/>
    <n v="347.82579446959784"/>
    <n v="32.055105530402152"/>
    <n v="0"/>
    <n v="379.8809"/>
  </r>
  <r>
    <x v="0"/>
    <x v="0"/>
    <n v="23"/>
    <n v="3"/>
    <n v="0"/>
    <n v="20260206"/>
    <n v="20260303"/>
    <n v="295.50439999999998"/>
    <n v="26"/>
    <n v="11.365553846153846"/>
    <n v="354.56268512612479"/>
    <n v="34.096661538461539"/>
    <n v="0"/>
    <n v="388.65934666458634"/>
    <n v="269.58012055993413"/>
    <n v="25.924279440065831"/>
    <n v="0"/>
    <n v="295.50439999999998"/>
  </r>
  <r>
    <x v="0"/>
    <x v="0"/>
    <n v="26"/>
    <n v="4"/>
    <n v="0"/>
    <n v="20260203"/>
    <n v="20260304"/>
    <n v="42.216900000000003"/>
    <n v="30"/>
    <n v="1.40723"/>
    <n v="49.626428461870738"/>
    <n v="5.6289199999999999"/>
    <n v="0"/>
    <n v="55.255348461870739"/>
    <n v="37.916220348834983"/>
    <n v="4.300679651165022"/>
    <n v="0"/>
    <n v="42.216900000000003"/>
  </r>
  <r>
    <x v="0"/>
    <x v="0"/>
    <n v="22"/>
    <n v="4"/>
    <n v="0"/>
    <n v="20260207"/>
    <n v="20260304"/>
    <n v="126.6922"/>
    <n v="26"/>
    <n v="4.8727769230769233"/>
    <n v="145.40314437807427"/>
    <n v="19.491107692307693"/>
    <n v="0"/>
    <n v="164.89425207038198"/>
    <n v="111.71671551239407"/>
    <n v="14.975484487605915"/>
    <n v="0"/>
    <n v="126.69219999999999"/>
  </r>
  <r>
    <x v="0"/>
    <x v="0"/>
    <n v="25"/>
    <n v="6"/>
    <n v="0"/>
    <n v="20260204"/>
    <n v="20260306"/>
    <n v="42.232700000000001"/>
    <n v="31"/>
    <n v="1.3623451612903226"/>
    <n v="46.19572103129903"/>
    <n v="8.174070967741935"/>
    <n v="0"/>
    <n v="54.369791999040963"/>
    <n v="35.883345436248057"/>
    <n v="6.3493545637519473"/>
    <n v="0"/>
    <n v="42.232700000000001"/>
  </r>
  <r>
    <x v="0"/>
    <x v="0"/>
    <n v="23"/>
    <n v="4"/>
    <n v="0"/>
    <n v="20260206"/>
    <n v="20260304"/>
    <n v="253.33099999999999"/>
    <n v="27"/>
    <n v="9.3826296296296299"/>
    <n v="292.7028810084077"/>
    <n v="37.530518518518519"/>
    <n v="0"/>
    <n v="330.23339952692623"/>
    <n v="224.5403210425265"/>
    <n v="28.790678957473499"/>
    <n v="0"/>
    <n v="253.33099999999999"/>
  </r>
  <r>
    <x v="0"/>
    <x v="0"/>
    <n v="26"/>
    <n v="6"/>
    <n v="0"/>
    <n v="20260203"/>
    <n v="20260306"/>
    <n v="126.6981"/>
    <n v="32"/>
    <n v="3.9593156249999999"/>
    <n v="139.62656681710135"/>
    <n v="23.755893749999998"/>
    <n v="0"/>
    <n v="163.38246056710136"/>
    <n v="108.27613113333125"/>
    <n v="18.421968866668742"/>
    <n v="0"/>
    <n v="126.69809999999998"/>
  </r>
  <r>
    <x v="0"/>
    <x v="0"/>
    <n v="19"/>
    <n v="7"/>
    <n v="0"/>
    <n v="20260210"/>
    <n v="20260307"/>
    <n v="42.268300000000004"/>
    <n v="26"/>
    <n v="1.6257038461538462"/>
    <n v="41.89571648408841"/>
    <n v="11.379926923076923"/>
    <n v="0"/>
    <n v="53.275643407165333"/>
    <n v="33.239593176386144"/>
    <n v="9.0287068236138577"/>
    <n v="0"/>
    <n v="42.268300000000004"/>
  </r>
  <r>
    <x v="0"/>
    <x v="0"/>
    <n v="22"/>
    <n v="12"/>
    <n v="0"/>
    <n v="20260207"/>
    <n v="20260312"/>
    <n v="295.69119999999998"/>
    <n v="34"/>
    <n v="8.6967999999999996"/>
    <n v="259.51158569121179"/>
    <n v="104.3616"/>
    <n v="0"/>
    <n v="363.8731856912118"/>
    <n v="210.88471259889963"/>
    <n v="84.806487401100341"/>
    <n v="0"/>
    <n v="295.69119999999998"/>
  </r>
  <r>
    <x v="0"/>
    <x v="0"/>
    <n v="27"/>
    <n v="30"/>
    <n v="0"/>
    <n v="20260202"/>
    <n v="20260330"/>
    <n v="3038.4778999999999"/>
    <n v="57"/>
    <n v="53.306629824561398"/>
    <n v="1952.1787371525998"/>
    <n v="1599.198894736842"/>
    <n v="0"/>
    <n v="3551.3776318894415"/>
    <n v="1670.2397110420111"/>
    <n v="1368.2381889579888"/>
    <n v="0"/>
    <n v="3038.4778999999999"/>
  </r>
  <r>
    <x v="0"/>
    <x v="0"/>
    <n v="27"/>
    <n v="24"/>
    <n v="0"/>
    <n v="20260202"/>
    <n v="20260324"/>
    <n v="2278.4847"/>
    <n v="51"/>
    <n v="44.676170588235294"/>
    <n v="1636.1167563358129"/>
    <n v="1072.2280941176471"/>
    <n v="0"/>
    <n v="2708.3448504534599"/>
    <n v="1376.4373455251161"/>
    <n v="902.04735447488395"/>
    <n v="0"/>
    <n v="2278.4847"/>
  </r>
  <r>
    <x v="0"/>
    <x v="0"/>
    <n v="25"/>
    <n v="16"/>
    <n v="0"/>
    <n v="20260204"/>
    <n v="20260316"/>
    <n v="295.4837"/>
    <n v="41"/>
    <n v="7.2069195121951219"/>
    <n v="244.37921661868978"/>
    <n v="115.31071219512195"/>
    <n v="0"/>
    <n v="359.68992881381172"/>
    <n v="200.75645533842692"/>
    <n v="94.727244661573096"/>
    <n v="0"/>
    <n v="295.4837"/>
  </r>
  <r>
    <x v="0"/>
    <x v="0"/>
    <n v="24"/>
    <n v="21"/>
    <n v="0"/>
    <n v="20260205"/>
    <n v="20260321"/>
    <n v="42.1892"/>
    <n v="45"/>
    <n v="0.9375377777777778"/>
    <n v="30.519302651323294"/>
    <n v="19.688293333333334"/>
    <n v="0"/>
    <n v="50.207595984656628"/>
    <n v="25.645222364573939"/>
    <n v="16.543977635426064"/>
    <n v="0"/>
    <n v="42.1892"/>
  </r>
  <r>
    <x v="0"/>
    <x v="0"/>
    <n v="23"/>
    <n v="24"/>
    <n v="0"/>
    <n v="20260206"/>
    <n v="20260324"/>
    <n v="970.44299999999998"/>
    <n v="47"/>
    <n v="20.64772340425532"/>
    <n v="644.13158839872347"/>
    <n v="495.54536170212771"/>
    <n v="0"/>
    <n v="1139.6769501008512"/>
    <n v="548.48261253779617"/>
    <n v="421.96038746220387"/>
    <n v="0"/>
    <n v="970.44299999999998"/>
  </r>
  <r>
    <x v="0"/>
    <x v="0"/>
    <n v="22"/>
    <n v="17"/>
    <n v="0"/>
    <n v="20260207"/>
    <n v="20260317"/>
    <n v="84.431799999999996"/>
    <n v="39"/>
    <n v="2.1649179487179486"/>
    <n v="64.600921001191281"/>
    <n v="36.803605128205128"/>
    <n v="0"/>
    <n v="101.4045261293964"/>
    <n v="53.788250386658042"/>
    <n v="30.643549613341957"/>
    <n v="0"/>
    <n v="84.431799999999996"/>
  </r>
  <r>
    <x v="0"/>
    <x v="0"/>
    <n v="24"/>
    <n v="25"/>
    <n v="0"/>
    <n v="20260205"/>
    <n v="20260325"/>
    <n v="42.193199999999997"/>
    <n v="49"/>
    <n v="0.86108571428571423"/>
    <n v="28.030588362323712"/>
    <n v="21.527142857142856"/>
    <n v="0"/>
    <n v="49.557731219466568"/>
    <n v="23.865100192977057"/>
    <n v="18.328099807022941"/>
    <n v="0"/>
    <n v="42.193199999999997"/>
  </r>
  <r>
    <x v="0"/>
    <x v="0"/>
    <n v="26"/>
    <n v="31"/>
    <n v="1"/>
    <n v="20260203"/>
    <n v="20260401"/>
    <n v="1064328.5390999999"/>
    <n v="58"/>
    <n v="18350.492053448274"/>
    <n v="647136.13348960597"/>
    <n v="568865.25365689653"/>
    <n v="11388.635672544573"/>
    <n v="1227390.0228190471"/>
    <n v="561162.66447552736"/>
    <n v="493290.24443166581"/>
    <n v="9875.6301928067205"/>
    <n v="1064328.5390999999"/>
  </r>
  <r>
    <x v="0"/>
    <x v="0"/>
    <n v="22"/>
    <n v="31"/>
    <n v="6"/>
    <n v="20260207"/>
    <n v="20260406"/>
    <n v="130467.41409999999"/>
    <n v="59"/>
    <n v="2211.3121033898306"/>
    <n v="65985.317635091502"/>
    <n v="68550.675205084743"/>
    <n v="8234.2733362496365"/>
    <n v="142770.26617642588"/>
    <n v="60299.20648728899"/>
    <n v="62643.501117834006"/>
    <n v="7524.7064948769994"/>
    <n v="130467.41409999999"/>
  </r>
  <r>
    <x v="0"/>
    <x v="0"/>
    <n v="21"/>
    <n v="31"/>
    <n v="3"/>
    <n v="20260208"/>
    <n v="20260403"/>
    <n v="12830.6304"/>
    <n v="55"/>
    <n v="233.28418909090908"/>
    <n v="6644.7582934427101"/>
    <n v="7231.8098618181812"/>
    <n v="434.34071903627"/>
    <n v="14310.908874297162"/>
    <n v="5957.4439687489994"/>
    <n v="6483.7726433095741"/>
    <n v="389.41378794142588"/>
    <n v="12830.6304"/>
  </r>
  <r>
    <x v="0"/>
    <x v="0"/>
    <n v="19"/>
    <n v="31"/>
    <n v="1"/>
    <n v="20260210"/>
    <n v="20260401"/>
    <n v="24103.0255"/>
    <n v="51"/>
    <n v="472.60834313725491"/>
    <n v="12179.50317269498"/>
    <n v="14650.858637254902"/>
    <n v="293.30898703523962"/>
    <n v="27123.67079698512"/>
    <n v="10823.124854524795"/>
    <n v="13019.25620517049"/>
    <n v="260.64444030471577"/>
    <n v="24103.0255"/>
  </r>
  <r>
    <x v="0"/>
    <x v="0"/>
    <n v="20"/>
    <n v="31"/>
    <n v="8"/>
    <n v="20260209"/>
    <n v="20260408"/>
    <n v="27977.3505"/>
    <n v="59"/>
    <n v="474.19238135593218"/>
    <n v="12863.500138856694"/>
    <n v="14699.963822033898"/>
    <n v="2354.3365504225721"/>
    <n v="29917.800511313166"/>
    <n v="12029.18148697142"/>
    <n v="13746.533273087545"/>
    <n v="2201.6357399410349"/>
    <n v="27977.3505"/>
  </r>
  <r>
    <x v="0"/>
    <x v="0"/>
    <n v="25"/>
    <n v="31"/>
    <n v="7"/>
    <n v="20260204"/>
    <n v="20260407"/>
    <n v="27211.410800000001"/>
    <n v="63"/>
    <n v="431.9271555555556"/>
    <n v="14646.20490521552"/>
    <n v="13389.741822222224"/>
    <n v="1876.4307235802169"/>
    <n v="29912.377451017961"/>
    <n v="13323.711864408542"/>
    <n v="12180.702313852022"/>
    <n v="1706.9966217394356"/>
    <n v="27211.410800000001"/>
  </r>
  <r>
    <x v="0"/>
    <x v="0"/>
    <n v="23"/>
    <n v="31"/>
    <n v="9"/>
    <n v="20260206"/>
    <n v="20260409"/>
    <n v="801.59519999999998"/>
    <n v="63"/>
    <n v="12.723733333333334"/>
    <n v="396.93279505442757"/>
    <n v="394.43573333333336"/>
    <n v="71.06913897202196"/>
    <n v="862.43766735978295"/>
    <n v="368.93034161212955"/>
    <n v="366.60944032791207"/>
    <n v="66.055418059958328"/>
    <n v="801.59519999999998"/>
  </r>
  <r>
    <x v="0"/>
    <x v="0"/>
    <n v="5"/>
    <n v="31"/>
    <n v="6"/>
    <n v="20260224"/>
    <n v="20260406"/>
    <n v="337.71140000000003"/>
    <n v="42"/>
    <n v="8.0407476190476199"/>
    <n v="54.530693754700884"/>
    <n v="249.26317619047623"/>
    <n v="29.941369932150419"/>
    <n v="333.7352398773275"/>
    <n v="55.180378726682889"/>
    <n v="252.23292640799468"/>
    <n v="30.298094865322483"/>
    <n v="337.71140000000003"/>
  </r>
  <r>
    <x v="0"/>
    <x v="0"/>
    <n v="0"/>
    <n v="29"/>
    <n v="2"/>
    <n v="20260303"/>
    <n v="20260402"/>
    <n v="210.9708"/>
    <n v="31"/>
    <n v="6.8055096774193551"/>
    <n v="0"/>
    <n v="197.35978064516129"/>
    <n v="8.4472361892378984"/>
    <n v="205.80701683439918"/>
    <n v="0"/>
    <n v="202.31161916134843"/>
    <n v="8.6591808386515723"/>
    <n v="210.9708"/>
  </r>
  <r>
    <x v="0"/>
    <x v="0"/>
    <n v="0"/>
    <n v="29"/>
    <n v="8"/>
    <n v="20260303"/>
    <n v="20260408"/>
    <n v="126.5232"/>
    <n v="37"/>
    <n v="3.4195459459459459"/>
    <n v="0"/>
    <n v="99.166832432432429"/>
    <n v="16.977839212365815"/>
    <n v="116.14467164479825"/>
    <n v="0"/>
    <n v="108.02824439150301"/>
    <n v="18.494955608496987"/>
    <n v="126.5232"/>
  </r>
  <r>
    <x v="0"/>
    <x v="0"/>
    <n v="3"/>
    <n v="31"/>
    <n v="4"/>
    <n v="20260226"/>
    <n v="20260404"/>
    <n v="84.4358"/>
    <n v="38"/>
    <n v="2.2219947368421051"/>
    <n v="9.0414663108388069"/>
    <n v="68.881836842105258"/>
    <n v="5.51603487263462"/>
    <n v="83.439338025578692"/>
    <n v="9.149442687269314"/>
    <n v="69.704448008080817"/>
    <n v="5.581909304649856"/>
    <n v="84.435799999999986"/>
  </r>
  <r>
    <x v="0"/>
    <x v="0"/>
    <n v="0"/>
    <n v="26"/>
    <n v="4"/>
    <n v="20260306"/>
    <n v="20260404"/>
    <n v="168.61060000000001"/>
    <n v="30"/>
    <n v="5.6203533333333331"/>
    <n v="0"/>
    <n v="146.12918666666667"/>
    <n v="13.952357523247318"/>
    <n v="160.08154418991398"/>
    <n v="0"/>
    <n v="153.91486861313683"/>
    <n v="14.695731386863184"/>
    <n v="168.61060000000001"/>
  </r>
  <r>
    <x v="0"/>
    <x v="0"/>
    <n v="18"/>
    <n v="31"/>
    <n v="1"/>
    <n v="20260211"/>
    <n v="20260401"/>
    <n v="1688.5967000000001"/>
    <n v="50"/>
    <n v="33.771934000000002"/>
    <n v="824.52347465097444"/>
    <n v="1046.929954"/>
    <n v="20.959451722764403"/>
    <n v="1892.4128803737387"/>
    <n v="735.72085288977837"/>
    <n v="934.17376503293235"/>
    <n v="18.702082077289386"/>
    <n v="1688.5967000000001"/>
  </r>
  <r>
    <x v="0"/>
    <x v="0"/>
    <n v="28"/>
    <n v="31"/>
    <n v="3"/>
    <n v="20260131"/>
    <n v="20260403"/>
    <n v="464.13580000000002"/>
    <n v="62"/>
    <n v="7.4860612903225805"/>
    <n v="284.30598197524029"/>
    <n v="232.06790000000001"/>
    <n v="13.937940913437606"/>
    <n v="530.31182288867785"/>
    <n v="248.82829062735007"/>
    <n v="203.10884232997859"/>
    <n v="12.198667042671376"/>
    <n v="464.13580000000007"/>
  </r>
  <r>
    <x v="0"/>
    <x v="0"/>
    <n v="28"/>
    <n v="31"/>
    <n v="4"/>
    <n v="20260129"/>
    <n v="20260404"/>
    <n v="253.11160000000001"/>
    <n v="63"/>
    <n v="4.0176444444444446"/>
    <n v="152.58228655992295"/>
    <n v="124.54697777777778"/>
    <n v="9.9736810776150335"/>
    <n v="287.10294541531579"/>
    <n v="134.51741718279271"/>
    <n v="109.801328491756"/>
    <n v="8.792854325451291"/>
    <n v="253.11160000000001"/>
  </r>
  <r>
    <x v="0"/>
    <x v="0"/>
    <n v="28"/>
    <n v="31"/>
    <n v="6"/>
    <n v="20260129"/>
    <n v="20260406"/>
    <n v="717.08240000000001"/>
    <n v="65"/>
    <n v="11.032036923076923"/>
    <n v="418.97520858626837"/>
    <n v="341.99314461538461"/>
    <n v="41.080048058778949"/>
    <n v="802.04840126043189"/>
    <n v="374.59054546009446"/>
    <n v="305.76367278951341"/>
    <n v="36.728181750392096"/>
    <n v="717.08239999999989"/>
  </r>
  <r>
    <x v="0"/>
    <x v="0"/>
    <n v="28"/>
    <n v="31"/>
    <n v="4"/>
    <n v="20260130"/>
    <n v="20260404"/>
    <n v="3037.6239999999998"/>
    <n v="63"/>
    <n v="48.216253968253966"/>
    <n v="1831.1591236012073"/>
    <n v="1494.7038730158729"/>
    <n v="119.6953952711345"/>
    <n v="3445.5583918882148"/>
    <n v="1614.3603645682911"/>
    <n v="1317.7394898473315"/>
    <n v="105.52414558437722"/>
    <n v="3037.6239999999998"/>
  </r>
  <r>
    <x v="0"/>
    <x v="0"/>
    <n v="28"/>
    <n v="31"/>
    <n v="4"/>
    <n v="20260127"/>
    <n v="20260404"/>
    <n v="590.46929999999998"/>
    <n v="63"/>
    <n v="9.3725285714285711"/>
    <n v="355.95032364157589"/>
    <n v="290.5483857142857"/>
    <n v="23.267019308173129"/>
    <n v="669.76572866403467"/>
    <n v="313.80784271337853"/>
    <n v="256.14911988860734"/>
    <n v="20.512337398014143"/>
    <n v="590.46929999999998"/>
  </r>
  <r>
    <x v="0"/>
    <x v="0"/>
    <n v="16"/>
    <n v="31"/>
    <n v="5"/>
    <n v="20260213"/>
    <n v="20260405"/>
    <n v="168.8083"/>
    <n v="52"/>
    <n v="3.2463134615384615"/>
    <n v="70.450653034727324"/>
    <n v="100.6357173076923"/>
    <n v="10.07359398992009"/>
    <n v="181.15996433233971"/>
    <n v="65.647258302971238"/>
    <n v="93.774275241229333"/>
    <n v="9.3867664557994299"/>
    <n v="168.8083"/>
  </r>
  <r>
    <x v="0"/>
    <x v="0"/>
    <n v="17"/>
    <n v="31"/>
    <n v="5"/>
    <n v="20260212"/>
    <n v="20260405"/>
    <n v="633.09040000000005"/>
    <n v="53"/>
    <n v="11.945101886792454"/>
    <n v="275.4313480090803"/>
    <n v="370.2981584905661"/>
    <n v="37.06669365155819"/>
    <n v="682.79620015120463"/>
    <n v="255.38065713457854"/>
    <n v="343.34140879246411"/>
    <n v="34.368334072957325"/>
    <n v="633.09039999999993"/>
  </r>
  <r>
    <x v="0"/>
    <x v="0"/>
    <n v="23"/>
    <n v="31"/>
    <n v="13"/>
    <n v="20260206"/>
    <n v="20260413"/>
    <n v="2193.8395999999998"/>
    <n v="67"/>
    <n v="32.743874626865669"/>
    <n v="1021.4861735984362"/>
    <n v="1015.0601134328357"/>
    <n v="264.17846170594009"/>
    <n v="2300.7247487372119"/>
    <n v="974.03082212364518"/>
    <n v="967.90329849396517"/>
    <n v="251.90547938238944"/>
    <n v="2193.8395999999998"/>
  </r>
  <r>
    <x v="0"/>
    <x v="0"/>
    <n v="0"/>
    <n v="8"/>
    <n v="6"/>
    <n v="20260324"/>
    <n v="20260406"/>
    <n v="42.1922"/>
    <n v="14"/>
    <n v="3.0137285714285715"/>
    <n v="0"/>
    <n v="24.109828571428572"/>
    <n v="11.222235332754032"/>
    <n v="35.332063904182604"/>
    <n v="0"/>
    <n v="28.791035582017248"/>
    <n v="13.401164417982752"/>
    <n v="42.1922"/>
  </r>
  <r>
    <x v="0"/>
    <x v="0"/>
    <n v="0"/>
    <n v="15"/>
    <n v="6"/>
    <n v="20260317"/>
    <n v="20260406"/>
    <n v="42.12"/>
    <n v="21"/>
    <n v="2.0057142857142858"/>
    <n v="0"/>
    <n v="30.085714285714285"/>
    <n v="7.468687770339856"/>
    <n v="37.554402056054144"/>
    <n v="0"/>
    <n v="33.74332212300525"/>
    <n v="8.3766778769947443"/>
    <n v="42.11999999999999"/>
  </r>
  <r>
    <x v="0"/>
    <x v="0"/>
    <n v="0"/>
    <n v="18"/>
    <n v="1"/>
    <n v="20260314"/>
    <n v="20260401"/>
    <n v="336.9683"/>
    <n v="19"/>
    <n v="17.735173684210526"/>
    <n v="0"/>
    <n v="319.23312631578949"/>
    <n v="11.006758352336357"/>
    <n v="330.23988466812585"/>
    <n v="0"/>
    <n v="325.73728635600946"/>
    <n v="11.231013643990538"/>
    <n v="336.9683"/>
  </r>
  <r>
    <x v="0"/>
    <x v="0"/>
    <n v="0"/>
    <n v="23"/>
    <n v="2"/>
    <n v="20260309"/>
    <n v="20260402"/>
    <n v="168.49600000000001"/>
    <n v="25"/>
    <n v="6.7398400000000001"/>
    <n v="0"/>
    <n v="155.01632000000001"/>
    <n v="8.3657246931227824"/>
    <n v="163.38204469312279"/>
    <n v="0"/>
    <n v="159.86842314147788"/>
    <n v="8.6275768585221417"/>
    <n v="168.49600000000001"/>
  </r>
  <r>
    <x v="0"/>
    <x v="0"/>
    <n v="24"/>
    <n v="31"/>
    <n v="11"/>
    <n v="20260205"/>
    <n v="20260411"/>
    <n v="674.98009999999999"/>
    <n v="66"/>
    <n v="10.226971212121212"/>
    <n v="332.91461637834811"/>
    <n v="317.03610757575757"/>
    <n v="69.817405283810956"/>
    <n v="719.76812923791658"/>
    <n v="312.19879281462568"/>
    <n v="297.30833431270338"/>
    <n v="65.472972872670965"/>
    <n v="674.98010000000011"/>
  </r>
  <r>
    <x v="0"/>
    <x v="0"/>
    <n v="19"/>
    <n v="31"/>
    <n v="9"/>
    <n v="20260210"/>
    <n v="20260409"/>
    <n v="168.78460000000001"/>
    <n v="59"/>
    <n v="2.8607559322033902"/>
    <n v="73.724017907272099"/>
    <n v="88.683433898305097"/>
    <n v="15.978915589040872"/>
    <n v="178.38636739461805"/>
    <n v="69.755772566100148"/>
    <n v="83.909987830176917"/>
    <n v="15.118839603722975"/>
    <n v="168.78460000000001"/>
  </r>
  <r>
    <x v="0"/>
    <x v="0"/>
    <n v="25"/>
    <n v="7"/>
    <n v="0"/>
    <n v="20260204"/>
    <n v="20260307"/>
    <n v="380.12099999999998"/>
    <n v="32"/>
    <n v="11.878781249999999"/>
    <n v="402.79723553837653"/>
    <n v="83.151468749999992"/>
    <n v="0"/>
    <n v="485.94870428837652"/>
    <n v="315.07788089341659"/>
    <n v="65.04311910658339"/>
    <n v="0"/>
    <n v="380.12099999999998"/>
  </r>
  <r>
    <x v="0"/>
    <x v="0"/>
    <n v="25"/>
    <n v="9"/>
    <n v="0"/>
    <n v="20260204"/>
    <n v="20260309"/>
    <n v="337.94069999999999"/>
    <n v="34"/>
    <n v="9.9394323529411768"/>
    <n v="337.03591221409249"/>
    <n v="89.454891176470596"/>
    <n v="0"/>
    <n v="426.49080339056309"/>
    <n v="267.05887018732648"/>
    <n v="70.88182981267353"/>
    <n v="0"/>
    <n v="337.94069999999999"/>
  </r>
  <r>
    <x v="0"/>
    <x v="0"/>
    <n v="24"/>
    <n v="13"/>
    <n v="0"/>
    <n v="20260205"/>
    <n v="20260313"/>
    <n v="337.82209999999998"/>
    <n v="37"/>
    <n v="9.1303270270270271"/>
    <n v="297.21598472956964"/>
    <n v="118.69425135135135"/>
    <n v="0"/>
    <n v="415.91023608092098"/>
    <n v="241.41297665820318"/>
    <n v="96.409123341796828"/>
    <n v="0"/>
    <n v="337.82209999999998"/>
  </r>
  <r>
    <x v="0"/>
    <x v="0"/>
    <n v="26"/>
    <n v="21"/>
    <n v="0"/>
    <n v="20260203"/>
    <n v="20260321"/>
    <n v="717.25040000000001"/>
    <n v="47"/>
    <n v="15.260646808510639"/>
    <n v="538.17172539274259"/>
    <n v="320.47358297872341"/>
    <n v="0"/>
    <n v="858.64530837146594"/>
    <n v="449.54986831377681"/>
    <n v="267.70053168622326"/>
    <n v="0"/>
    <n v="717.25040000000013"/>
  </r>
  <r>
    <x v="0"/>
    <x v="0"/>
    <n v="26"/>
    <n v="14"/>
    <n v="0"/>
    <n v="20260203"/>
    <n v="20260314"/>
    <n v="422.2183"/>
    <n v="40"/>
    <n v="10.555457499999999"/>
    <n v="372.24167798161415"/>
    <n v="147.77640499999998"/>
    <n v="0"/>
    <n v="520.01808298161416"/>
    <n v="302.23419840594539"/>
    <n v="119.98410159405456"/>
    <n v="0"/>
    <n v="422.21829999999994"/>
  </r>
  <r>
    <x v="0"/>
    <x v="0"/>
    <n v="26"/>
    <n v="13"/>
    <n v="0"/>
    <n v="20260203"/>
    <n v="20260313"/>
    <n v="422.26769999999999"/>
    <n v="39"/>
    <n v="10.827376923076923"/>
    <n v="381.8310058077123"/>
    <n v="140.7559"/>
    <n v="0"/>
    <n v="522.58690580771236"/>
    <n v="308.53222462951692"/>
    <n v="113.73547537048302"/>
    <n v="0"/>
    <n v="422.26769999999993"/>
  </r>
  <r>
    <x v="0"/>
    <x v="0"/>
    <n v="27"/>
    <n v="17"/>
    <n v="0"/>
    <n v="20260202"/>
    <n v="20260317"/>
    <n v="1814.9866"/>
    <n v="44"/>
    <n v="41.249695454545453"/>
    <n v="1510.6334548893317"/>
    <n v="701.24482272727266"/>
    <n v="0"/>
    <n v="2211.8782776166045"/>
    <n v="1239.5706878998012"/>
    <n v="575.41591210019885"/>
    <n v="0"/>
    <n v="1814.9866000000002"/>
  </r>
  <r>
    <x v="0"/>
    <x v="0"/>
    <n v="24"/>
    <n v="26"/>
    <n v="0"/>
    <n v="20260205"/>
    <n v="20260326"/>
    <n v="253.16499999999999"/>
    <n v="50"/>
    <n v="5.0632999999999999"/>
    <n v="164.82363567334852"/>
    <n v="131.64580000000001"/>
    <n v="0"/>
    <n v="296.46943567334853"/>
    <n v="140.7483224382662"/>
    <n v="112.41667756173379"/>
    <n v="0"/>
    <n v="253.16499999999999"/>
  </r>
  <r>
    <x v="0"/>
    <x v="0"/>
    <n v="27"/>
    <n v="28"/>
    <n v="0"/>
    <n v="20260202"/>
    <n v="20260328"/>
    <n v="1730.2038"/>
    <n v="55"/>
    <n v="31.458250909090911"/>
    <n v="1152.0542329322543"/>
    <n v="880.83102545454551"/>
    <n v="0"/>
    <n v="2032.8852583867997"/>
    <n v="980.52194702186489"/>
    <n v="749.68185297813534"/>
    <n v="0"/>
    <n v="1730.2038000000002"/>
  </r>
  <r>
    <x v="0"/>
    <x v="0"/>
    <n v="24"/>
    <n v="30"/>
    <n v="0"/>
    <n v="20260205"/>
    <n v="20260330"/>
    <n v="1012.7548"/>
    <n v="54"/>
    <n v="18.754718518518519"/>
    <n v="610.51505781851745"/>
    <n v="562.64155555555556"/>
    <n v="0"/>
    <n v="1173.156613374073"/>
    <n v="527.04135852731986"/>
    <n v="485.71344147268024"/>
    <n v="0"/>
    <n v="1012.7548000000002"/>
  </r>
  <r>
    <x v="0"/>
    <x v="0"/>
    <n v="19"/>
    <n v="17"/>
    <n v="0"/>
    <n v="20260210"/>
    <n v="20260317"/>
    <n v="295.56659999999999"/>
    <n v="36"/>
    <n v="8.2101833333333332"/>
    <n v="211.58313307156317"/>
    <n v="139.57311666666666"/>
    <n v="0"/>
    <n v="351.1562497382298"/>
    <n v="178.08854977215344"/>
    <n v="117.47805022784658"/>
    <n v="0"/>
    <n v="295.56659999999999"/>
  </r>
  <r>
    <x v="0"/>
    <x v="0"/>
    <n v="26"/>
    <n v="30"/>
    <n v="0"/>
    <n v="20260203"/>
    <n v="20260330"/>
    <n v="801.80179999999996"/>
    <n v="56"/>
    <n v="14.317889285714285"/>
    <n v="504.92507149683104"/>
    <n v="429.53667857142858"/>
    <n v="0"/>
    <n v="934.46175006825956"/>
    <n v="433.24387666131304"/>
    <n v="368.55792333868692"/>
    <n v="0"/>
    <n v="801.80179999999996"/>
  </r>
  <r>
    <x v="0"/>
    <x v="0"/>
    <n v="24"/>
    <n v="18"/>
    <n v="0"/>
    <n v="20260205"/>
    <n v="20260318"/>
    <n v="1223.8886"/>
    <n v="42"/>
    <n v="29.140204761904762"/>
    <n v="948.58975235971934"/>
    <n v="524.52368571428576"/>
    <n v="0"/>
    <n v="1473.113438074005"/>
    <n v="788.10508001866447"/>
    <n v="435.78351998133564"/>
    <n v="0"/>
    <n v="1223.8886000000002"/>
  </r>
  <r>
    <x v="0"/>
    <x v="0"/>
    <n v="22"/>
    <n v="25"/>
    <n v="0"/>
    <n v="20260207"/>
    <n v="20260325"/>
    <n v="42.200099999999999"/>
    <n v="47"/>
    <n v="0.8978744680851064"/>
    <n v="26.792478493747044"/>
    <n v="22.446861702127659"/>
    <n v="0"/>
    <n v="49.239340195874703"/>
    <n v="22.962234408224276"/>
    <n v="19.237865591775726"/>
    <n v="0"/>
    <n v="42.200100000000006"/>
  </r>
  <r>
    <x v="0"/>
    <x v="0"/>
    <n v="26"/>
    <n v="18"/>
    <n v="0"/>
    <n v="20260203"/>
    <n v="20260318"/>
    <n v="633.0607"/>
    <n v="44"/>
    <n v="14.387743181818182"/>
    <n v="507.38849210169514"/>
    <n v="258.97937727272728"/>
    <n v="0"/>
    <n v="766.36786937442241"/>
    <n v="419.12993331001974"/>
    <n v="213.93076668998023"/>
    <n v="0"/>
    <n v="633.0607"/>
  </r>
  <r>
    <x v="0"/>
    <x v="0"/>
    <n v="23"/>
    <n v="28"/>
    <n v="0"/>
    <n v="20260206"/>
    <n v="20260328"/>
    <n v="970.60209999999995"/>
    <n v="51"/>
    <n v="19.031413725490196"/>
    <n v="593.70878389173151"/>
    <n v="532.87958431372545"/>
    <n v="0"/>
    <n v="1126.5883682054568"/>
    <n v="511.50447554476136"/>
    <n v="459.09762445523864"/>
    <n v="0"/>
    <n v="970.60210000000006"/>
  </r>
  <r>
    <x v="0"/>
    <x v="0"/>
    <n v="28"/>
    <n v="31"/>
    <n v="0"/>
    <n v="20250404"/>
    <n v="20260331"/>
    <n v="378.60910000000001"/>
    <n v="59"/>
    <n v="6.4171033898305083"/>
    <n v="243.70904938233414"/>
    <n v="198.93020508474575"/>
    <n v="0"/>
    <n v="442.63925446707992"/>
    <n v="208.45522153156313"/>
    <n v="170.15387846843686"/>
    <n v="0"/>
    <n v="378.60910000000001"/>
  </r>
  <r>
    <x v="0"/>
    <x v="0"/>
    <n v="27"/>
    <n v="31"/>
    <n v="1"/>
    <n v="20260202"/>
    <n v="20260401"/>
    <n v="7068846.5913000004"/>
    <n v="59"/>
    <n v="119810.95917457627"/>
    <n v="4387679.5015598312"/>
    <n v="3714139.7344118645"/>
    <n v="74356.772540110615"/>
    <n v="8176176.0085118059"/>
    <n v="3793440.020864164"/>
    <n v="3211120.2075244915"/>
    <n v="64286.362911346012"/>
    <n v="7068846.5913000023"/>
  </r>
  <r>
    <x v="0"/>
    <x v="0"/>
    <n v="25"/>
    <n v="31"/>
    <n v="3"/>
    <n v="20260204"/>
    <n v="20260403"/>
    <n v="444314.96289999998"/>
    <n v="59"/>
    <n v="7530.7620830508467"/>
    <n v="255360.38459754508"/>
    <n v="233453.62457457624"/>
    <n v="14021.167190069327"/>
    <n v="502835.17636219063"/>
    <n v="225641.41321501893"/>
    <n v="206284.17306073508"/>
    <n v="12389.376624246022"/>
    <n v="444314.96290000004"/>
  </r>
  <r>
    <x v="0"/>
    <x v="0"/>
    <n v="24"/>
    <n v="31"/>
    <n v="3"/>
    <n v="20260205"/>
    <n v="20260403"/>
    <n v="547861.86950000003"/>
    <n v="58"/>
    <n v="9445.8943017241381"/>
    <n v="307488.52349186066"/>
    <n v="292822.72335344827"/>
    <n v="17586.860639546652"/>
    <n v="617898.10748485557"/>
    <n v="272635.94966452359"/>
    <n v="259632.45833769362"/>
    <n v="15593.461497782868"/>
    <n v="547861.86950000003"/>
  </r>
  <r>
    <x v="0"/>
    <x v="0"/>
    <n v="26"/>
    <n v="31"/>
    <n v="5"/>
    <n v="20260203"/>
    <n v="20260405"/>
    <n v="77593.251600000003"/>
    <n v="62"/>
    <n v="1251.5040580645161"/>
    <n v="44134.701937337624"/>
    <n v="38796.625800000002"/>
    <n v="3883.5263159413621"/>
    <n v="86814.854053278978"/>
    <n v="39446.648491894819"/>
    <n v="34675.59071265583"/>
    <n v="3471.0123954493688"/>
    <n v="77593.251600000032"/>
  </r>
  <r>
    <x v="0"/>
    <x v="0"/>
    <n v="24"/>
    <n v="31"/>
    <n v="7"/>
    <n v="20260205"/>
    <n v="20260407"/>
    <n v="34677.915500000003"/>
    <n v="62"/>
    <n v="559.32121774193558"/>
    <n v="18207.36606905979"/>
    <n v="17338.957750000001"/>
    <n v="2429.8715739957111"/>
    <n v="37976.195393055503"/>
    <n v="16626.03363726852"/>
    <n v="15833.047662866269"/>
    <n v="2218.8341998652122"/>
    <n v="34677.915500000003"/>
  </r>
  <r>
    <x v="0"/>
    <x v="0"/>
    <n v="24"/>
    <n v="31"/>
    <n v="8"/>
    <n v="20260205"/>
    <n v="20260408"/>
    <n v="17001.460500000001"/>
    <n v="63"/>
    <n v="269.8644523809524"/>
    <n v="8784.7925622471139"/>
    <n v="8365.7980238095242"/>
    <n v="1339.8607166219915"/>
    <n v="18490.45130267863"/>
    <n v="8077.3747110272971"/>
    <n v="7692.1207776130022"/>
    <n v="1231.9650113597015"/>
    <n v="17001.460500000001"/>
  </r>
  <r>
    <x v="0"/>
    <x v="0"/>
    <n v="19"/>
    <n v="31"/>
    <n v="3"/>
    <n v="20260210"/>
    <n v="20260403"/>
    <n v="5824.5673999999999"/>
    <n v="53"/>
    <n v="109.89749811320755"/>
    <n v="2832.1483240348248"/>
    <n v="3406.8224415094342"/>
    <n v="204.61291670382562"/>
    <n v="6443.5836822480842"/>
    <n v="2560.0720986341903"/>
    <n v="3079.5389505178573"/>
    <n v="184.95635084795248"/>
    <n v="5824.5673999999999"/>
  </r>
  <r>
    <x v="0"/>
    <x v="0"/>
    <n v="0"/>
    <n v="28"/>
    <n v="6"/>
    <n v="20260304"/>
    <n v="20260406"/>
    <n v="379.49849999999998"/>
    <n v="34"/>
    <n v="11.161720588235294"/>
    <n v="0"/>
    <n v="312.52817647058822"/>
    <n v="41.562951735977535"/>
    <n v="354.09112820656577"/>
    <n v="0"/>
    <n v="334.95324996997283"/>
    <n v="44.545250030027141"/>
    <n v="379.49849999999998"/>
  </r>
  <r>
    <x v="0"/>
    <x v="0"/>
    <n v="10"/>
    <n v="31"/>
    <n v="1"/>
    <n v="20260219"/>
    <n v="20260401"/>
    <n v="717.80460000000005"/>
    <n v="42"/>
    <n v="17.090585714285716"/>
    <n v="231.8096624414548"/>
    <n v="529.80815714285723"/>
    <n v="10.606715807046717"/>
    <n v="772.2245353913587"/>
    <n v="215.4736535800381"/>
    <n v="492.47170335235819"/>
    <n v="9.8592430676038347"/>
    <n v="717.80460000000016"/>
  </r>
  <r>
    <x v="0"/>
    <x v="0"/>
    <n v="9"/>
    <n v="31"/>
    <n v="1"/>
    <n v="20260220"/>
    <n v="20260401"/>
    <n v="1097.896"/>
    <n v="41"/>
    <n v="26.777951219512193"/>
    <n v="326.88458682210046"/>
    <n v="830.11648780487803"/>
    <n v="16.618863930620794"/>
    <n v="1173.6199385575994"/>
    <n v="305.79344176336457"/>
    <n v="776.55597144602802"/>
    <n v="15.546586790607233"/>
    <n v="1097.896"/>
  </r>
  <r>
    <x v="0"/>
    <x v="0"/>
    <n v="8"/>
    <n v="31"/>
    <n v="4"/>
    <n v="20260221"/>
    <n v="20260404"/>
    <n v="464.41840000000002"/>
    <n v="43"/>
    <n v="10.800427906976745"/>
    <n v="117.19404304543158"/>
    <n v="334.81326511627913"/>
    <n v="26.811736313529035"/>
    <n v="478.81904447523976"/>
    <n v="113.66939262062904"/>
    <n v="324.7436430906601"/>
    <n v="26.005364288710854"/>
    <n v="464.41839999999996"/>
  </r>
  <r>
    <x v="0"/>
    <x v="0"/>
    <n v="9"/>
    <n v="31"/>
    <n v="8"/>
    <n v="20260220"/>
    <n v="20260408"/>
    <n v="84.412000000000006"/>
    <n v="48"/>
    <n v="1.7585833333333334"/>
    <n v="21.467429737119776"/>
    <n v="54.516083333333334"/>
    <n v="8.7312600991007745"/>
    <n v="84.714773169553894"/>
    <n v="21.390704491917575"/>
    <n v="54.321241197482237"/>
    <n v="8.7000543106001889"/>
    <n v="84.412000000000006"/>
  </r>
  <r>
    <x v="0"/>
    <x v="0"/>
    <n v="8"/>
    <n v="31"/>
    <n v="6"/>
    <n v="20260221"/>
    <n v="20260406"/>
    <n v="422.1293"/>
    <n v="45"/>
    <n v="9.3806511111111117"/>
    <n v="101.7882290941066"/>
    <n v="290.80018444444448"/>
    <n v="34.930774901685453"/>
    <n v="427.51918844023658"/>
    <n v="100.50494821647374"/>
    <n v="287.13396174629094"/>
    <n v="34.490390037235287"/>
    <n v="422.12929999999994"/>
  </r>
  <r>
    <x v="0"/>
    <x v="0"/>
    <n v="15"/>
    <n v="31"/>
    <n v="1"/>
    <n v="20260214"/>
    <n v="20260401"/>
    <n v="675.37540000000001"/>
    <n v="47"/>
    <n v="14.369689361702127"/>
    <n v="292.35681819322178"/>
    <n v="445.46037021276595"/>
    <n v="8.9180800379308138"/>
    <n v="746.73526844391859"/>
    <n v="264.41847783811141"/>
    <n v="402.89107590100338"/>
    <n v="8.0658462608852695"/>
    <n v="675.37540000000001"/>
  </r>
  <r>
    <x v="0"/>
    <x v="0"/>
    <n v="4"/>
    <n v="31"/>
    <n v="6"/>
    <n v="20260225"/>
    <n v="20260406"/>
    <n v="211.06469999999999"/>
    <n v="41"/>
    <n v="5.1479195121951218"/>
    <n v="27.929703623913614"/>
    <n v="159.58550487804877"/>
    <n v="19.16933223105266"/>
    <n v="206.68454073301504"/>
    <n v="28.521603481148009"/>
    <n v="162.96751847998044"/>
    <n v="19.575578038871544"/>
    <n v="211.06470000000002"/>
  </r>
  <r>
    <x v="0"/>
    <x v="0"/>
    <n v="5"/>
    <n v="31"/>
    <n v="1"/>
    <n v="20260224"/>
    <n v="20260401"/>
    <n v="211.16849999999999"/>
    <n v="37"/>
    <n v="5.7072567567567569"/>
    <n v="38.705439484868741"/>
    <n v="176.92495945945947"/>
    <n v="3.5420231622703096"/>
    <n v="219.17242210659853"/>
    <n v="37.291961823030981"/>
    <n v="170.4638655836165"/>
    <n v="3.4126725933525157"/>
    <n v="211.16849999999999"/>
  </r>
  <r>
    <x v="0"/>
    <x v="0"/>
    <n v="2"/>
    <n v="31"/>
    <n v="2"/>
    <n v="20260227"/>
    <n v="20260402"/>
    <n v="126.67440000000001"/>
    <n v="35"/>
    <n v="3.6192685714285715"/>
    <n v="9.8180535161710001"/>
    <n v="112.19732571428571"/>
    <n v="4.4923624980775836"/>
    <n v="126.5077417285343"/>
    <n v="9.8309875849149826"/>
    <n v="112.34513178616028"/>
    <n v="4.4982806289247339"/>
    <n v="126.67439999999999"/>
  </r>
  <r>
    <x v="0"/>
    <x v="0"/>
    <n v="2"/>
    <n v="31"/>
    <n v="1"/>
    <n v="20260227"/>
    <n v="20260401"/>
    <n v="844.55529999999999"/>
    <n v="34"/>
    <n v="24.839861764705883"/>
    <n v="67.383529939009193"/>
    <n v="770.03571470588236"/>
    <n v="15.41605178600356"/>
    <n v="852.83529643089514"/>
    <n v="66.7293175843716"/>
    <n v="762.55960179626254"/>
    <n v="15.266380619365881"/>
    <n v="844.5553000000001"/>
  </r>
  <r>
    <x v="0"/>
    <x v="0"/>
    <n v="0"/>
    <n v="25"/>
    <n v="4"/>
    <n v="20260307"/>
    <n v="20260404"/>
    <n v="42.135899999999999"/>
    <n v="29"/>
    <n v="1.4529620689655172"/>
    <n v="0"/>
    <n v="36.324051724137931"/>
    <n v="3.6069344846511475"/>
    <n v="39.930986208789079"/>
    <n v="0"/>
    <n v="38.329797391936687"/>
    <n v="3.8061026080633127"/>
    <n v="42.135899999999999"/>
  </r>
  <r>
    <x v="0"/>
    <x v="0"/>
    <n v="0"/>
    <n v="25"/>
    <n v="3"/>
    <n v="20260307"/>
    <n v="20260403"/>
    <n v="252.8389"/>
    <n v="28"/>
    <n v="9.0299607142857141"/>
    <n v="0"/>
    <n v="225.74901785714286"/>
    <n v="16.812453706340648"/>
    <n v="242.56147156348351"/>
    <n v="0"/>
    <n v="235.31409577609605"/>
    <n v="17.524804223903946"/>
    <n v="252.8389"/>
  </r>
  <r>
    <x v="0"/>
    <x v="0"/>
    <n v="27"/>
    <n v="31"/>
    <n v="9"/>
    <n v="20260202"/>
    <n v="20260409"/>
    <n v="3169.4490000000001"/>
    <n v="67"/>
    <n v="47.305208955223883"/>
    <n v="1732.3965777404808"/>
    <n v="1466.4614776119404"/>
    <n v="264.22594542529532"/>
    <n v="3463.0840007777165"/>
    <n v="1585.506617711241"/>
    <n v="1342.1201630430849"/>
    <n v="241.82221924567457"/>
    <n v="3169.4490000000005"/>
  </r>
  <r>
    <x v="0"/>
    <x v="0"/>
    <n v="20"/>
    <n v="31"/>
    <n v="9"/>
    <n v="20260209"/>
    <n v="20260409"/>
    <n v="1434.7022999999999"/>
    <n v="60"/>
    <n v="23.911704999999998"/>
    <n v="648.65702757236488"/>
    <n v="741.26285499999994"/>
    <n v="133.56019347332483"/>
    <n v="1523.4800760456897"/>
    <n v="610.85782741888988"/>
    <n v="698.0672341534264"/>
    <n v="125.7772384276835"/>
    <n v="1434.7022999999997"/>
  </r>
  <r>
    <x v="0"/>
    <x v="0"/>
    <n v="28"/>
    <n v="31"/>
    <n v="2"/>
    <n v="20260130"/>
    <n v="20260402"/>
    <n v="548.51130000000001"/>
    <n v="61"/>
    <n v="8.9919885245901643"/>
    <n v="341.49815613966717"/>
    <n v="278.75164426229509"/>
    <n v="11.161170063449672"/>
    <n v="631.41097046541188"/>
    <n v="296.66193071321175"/>
    <n v="242.15357971805253"/>
    <n v="9.6957895687357585"/>
    <n v="548.51130000000012"/>
  </r>
  <r>
    <x v="0"/>
    <x v="0"/>
    <n v="28"/>
    <n v="31"/>
    <n v="1"/>
    <n v="20260130"/>
    <n v="20260401"/>
    <n v="1645.5725"/>
    <n v="60"/>
    <n v="27.426208333333332"/>
    <n v="1041.5938087690774"/>
    <n v="850.2124583333333"/>
    <n v="17.021183610656671"/>
    <n v="1908.8274507130675"/>
    <n v="897.94293729397009"/>
    <n v="732.95584683051482"/>
    <n v="14.673715875515082"/>
    <n v="1645.5724999999998"/>
  </r>
  <r>
    <x v="0"/>
    <x v="0"/>
    <n v="28"/>
    <n v="31"/>
    <n v="1"/>
    <n v="20260127"/>
    <n v="20260401"/>
    <n v="1687.2527"/>
    <n v="60"/>
    <n v="28.120878333333334"/>
    <n v="1067.9760181632287"/>
    <n v="871.7472283333334"/>
    <n v="17.452307937982809"/>
    <n v="1957.1755544345449"/>
    <n v="920.68665792311288"/>
    <n v="751.52066016269271"/>
    <n v="15.045381914194413"/>
    <n v="1687.2527"/>
  </r>
  <r>
    <x v="0"/>
    <x v="0"/>
    <n v="28"/>
    <n v="31"/>
    <n v="1"/>
    <n v="20260129"/>
    <n v="20260401"/>
    <n v="885.99440000000004"/>
    <n v="60"/>
    <n v="14.766573333333334"/>
    <n v="560.80560512774343"/>
    <n v="457.76377333333335"/>
    <n v="9.1643931582556171"/>
    <n v="1027.7337716193324"/>
    <n v="483.46239011773025"/>
    <n v="394.63151926705984"/>
    <n v="7.9004906152098817"/>
    <n v="885.99439999999993"/>
  </r>
  <r>
    <x v="0"/>
    <x v="0"/>
    <n v="28"/>
    <n v="31"/>
    <n v="2"/>
    <n v="20260127"/>
    <n v="20260402"/>
    <n v="253.08199999999999"/>
    <n v="61"/>
    <n v="4.1488852459016394"/>
    <n v="157.56655578862137"/>
    <n v="128.61544262295081"/>
    <n v="5.1497412031401533"/>
    <n v="291.33173961471232"/>
    <n v="136.87921242235311"/>
    <n v="111.72916995913151"/>
    <n v="4.4736176185153944"/>
    <n v="253.08199999999999"/>
  </r>
  <r>
    <x v="0"/>
    <x v="0"/>
    <n v="28"/>
    <n v="31"/>
    <n v="6"/>
    <n v="20260131"/>
    <n v="20260406"/>
    <n v="126.5677"/>
    <n v="65"/>
    <n v="1.9471953846153847"/>
    <n v="73.950676390585315"/>
    <n v="60.363056923076925"/>
    <n v="7.2507806615935859"/>
    <n v="141.56451397525581"/>
    <n v="66.116618927796324"/>
    <n v="53.968420935336439"/>
    <n v="6.4826601368672563"/>
    <n v="126.56770000000002"/>
  </r>
  <r>
    <x v="0"/>
    <x v="0"/>
    <n v="28"/>
    <n v="31"/>
    <n v="3"/>
    <n v="20260129"/>
    <n v="20260403"/>
    <n v="1265.6174000000001"/>
    <n v="62"/>
    <n v="20.413183870967742"/>
    <n v="775.2528413277978"/>
    <n v="632.80870000000004"/>
    <n v="38.006334655112859"/>
    <n v="1446.0678759829107"/>
    <n v="678.51136290333818"/>
    <n v="553.84239902777904"/>
    <n v="33.263638068882941"/>
    <n v="1265.6174000000003"/>
  </r>
  <r>
    <x v="0"/>
    <x v="0"/>
    <n v="27"/>
    <n v="31"/>
    <n v="14"/>
    <n v="20260202"/>
    <n v="20260414"/>
    <n v="3839.3090000000002"/>
    <n v="72"/>
    <n v="53.323736111111117"/>
    <n v="1952.8051982322797"/>
    <n v="1653.0358194444445"/>
    <n v="463.31097940010403"/>
    <n v="4069.1519970768281"/>
    <n v="1842.5024619886226"/>
    <n v="1559.6653316156785"/>
    <n v="437.14120639569938"/>
    <n v="3839.3090000000007"/>
  </r>
  <r>
    <x v="0"/>
    <x v="0"/>
    <n v="27"/>
    <n v="31"/>
    <n v="13"/>
    <n v="20260202"/>
    <n v="20260413"/>
    <n v="1307.8965000000001"/>
    <n v="71"/>
    <n v="18.421077464788734"/>
    <n v="674.61094165124086"/>
    <n v="571.05340140845078"/>
    <n v="148.6217487413974"/>
    <n v="1394.286091801089"/>
    <n v="632.81222887880278"/>
    <n v="535.67108601823361"/>
    <n v="139.41318510296372"/>
    <n v="1307.8965000000003"/>
  </r>
  <r>
    <x v="0"/>
    <x v="0"/>
    <n v="21"/>
    <n v="31"/>
    <n v="11"/>
    <n v="20260208"/>
    <n v="20260411"/>
    <n v="801.7079"/>
    <n v="63"/>
    <n v="12.725522222222223"/>
    <n v="362.46785371103317"/>
    <n v="394.49118888888893"/>
    <n v="86.874493338165195"/>
    <n v="843.83353593808727"/>
    <n v="344.37282881051635"/>
    <n v="374.79750346852677"/>
    <n v="82.537567720956915"/>
    <n v="801.7079"/>
  </r>
  <r>
    <x v="0"/>
    <x v="0"/>
    <n v="0"/>
    <n v="15"/>
    <n v="5"/>
    <n v="20260317"/>
    <n v="20260405"/>
    <n v="126.38679999999999"/>
    <n v="20"/>
    <n v="6.3193399999999995"/>
    <n v="0"/>
    <n v="94.790099999999995"/>
    <n v="19.609463534089283"/>
    <n v="114.39956353408928"/>
    <n v="0"/>
    <n v="104.72257970730878"/>
    <n v="21.664220292691219"/>
    <n v="126.38679999999999"/>
  </r>
  <r>
    <x v="0"/>
    <x v="0"/>
    <n v="0"/>
    <n v="16"/>
    <n v="1"/>
    <n v="20260316"/>
    <n v="20260401"/>
    <n v="210.69909999999999"/>
    <n v="17"/>
    <n v="12.394064705882352"/>
    <n v="0"/>
    <n v="198.30503529411763"/>
    <n v="7.6919728923951869"/>
    <n v="205.99700818651283"/>
    <n v="0"/>
    <n v="202.83154998109549"/>
    <n v="7.8675500189044669"/>
    <n v="210.69909999999996"/>
  </r>
  <r>
    <x v="0"/>
    <x v="0"/>
    <n v="0"/>
    <n v="16"/>
    <n v="3"/>
    <n v="20260316"/>
    <n v="20260403"/>
    <n v="126.38979999999999"/>
    <n v="19"/>
    <n v="6.6520947368421046"/>
    <n v="0"/>
    <n v="106.43351578947367"/>
    <n v="12.385218314008661"/>
    <n v="118.81873410348234"/>
    <n v="0"/>
    <n v="113.21540222952235"/>
    <n v="13.174397770477627"/>
    <n v="126.38979999999998"/>
  </r>
  <r>
    <x v="0"/>
    <x v="0"/>
    <n v="0"/>
    <n v="11"/>
    <n v="7"/>
    <n v="20260321"/>
    <n v="20260407"/>
    <n v="126.4965"/>
    <n v="18"/>
    <n v="7.0275833333333333"/>
    <n v="0"/>
    <n v="77.303416666666664"/>
    <n v="30.530086172113393"/>
    <n v="107.83350283878005"/>
    <n v="0"/>
    <n v="90.682500233668819"/>
    <n v="35.813999766331186"/>
    <n v="126.4965"/>
  </r>
  <r>
    <x v="0"/>
    <x v="0"/>
    <n v="26"/>
    <n v="10"/>
    <n v="0"/>
    <n v="20260203"/>
    <n v="20260310"/>
    <n v="295.6773"/>
    <n v="36"/>
    <n v="8.213258333333334"/>
    <n v="289.6432545625309"/>
    <n v="82.132583333333343"/>
    <n v="0"/>
    <n v="371.77583789586424"/>
    <n v="230.35637807169746"/>
    <n v="65.320921928302525"/>
    <n v="0"/>
    <n v="295.6773"/>
  </r>
  <r>
    <x v="0"/>
    <x v="0"/>
    <n v="27"/>
    <n v="6"/>
    <n v="0"/>
    <n v="20260202"/>
    <n v="20260306"/>
    <n v="1604.9179999999999"/>
    <n v="33"/>
    <n v="48.633878787878785"/>
    <n v="1781.054709093776"/>
    <n v="291.80327272727271"/>
    <n v="0"/>
    <n v="2072.8579818210487"/>
    <n v="1378.9882310693374"/>
    <n v="225.92976893066253"/>
    <n v="0"/>
    <n v="1604.9179999999999"/>
  </r>
  <r>
    <x v="0"/>
    <x v="0"/>
    <n v="24"/>
    <n v="4"/>
    <n v="0"/>
    <n v="20260205"/>
    <n v="20260304"/>
    <n v="379.94310000000002"/>
    <n v="28"/>
    <n v="13.569396428571428"/>
    <n v="441.71928450814562"/>
    <n v="54.277585714285713"/>
    <n v="0"/>
    <n v="495.99687022243131"/>
    <n v="338.36543002891079"/>
    <n v="41.577669971089236"/>
    <n v="0"/>
    <n v="379.94310000000002"/>
  </r>
  <r>
    <x v="0"/>
    <x v="0"/>
    <n v="27"/>
    <n v="4"/>
    <n v="0"/>
    <n v="20260202"/>
    <n v="20260304"/>
    <n v="759.93960000000004"/>
    <n v="31"/>
    <n v="24.514180645161293"/>
    <n v="897.75066200399078"/>
    <n v="98.056722580645172"/>
    <n v="0"/>
    <n v="995.807384584636"/>
    <n v="685.10867617999986"/>
    <n v="74.830923820000123"/>
    <n v="0"/>
    <n v="759.93959999999993"/>
  </r>
  <r>
    <x v="0"/>
    <x v="0"/>
    <n v="20"/>
    <n v="7"/>
    <n v="0"/>
    <n v="20260209"/>
    <n v="20260307"/>
    <n v="126.7989"/>
    <n v="27"/>
    <n v="4.6962555555555561"/>
    <n v="127.39615052071244"/>
    <n v="32.873788888888896"/>
    <n v="0"/>
    <n v="160.26993940960134"/>
    <n v="100.79052759218203"/>
    <n v="26.008372407817976"/>
    <n v="0"/>
    <n v="126.7989"/>
  </r>
  <r>
    <x v="0"/>
    <x v="0"/>
    <n v="20"/>
    <n v="10"/>
    <n v="0"/>
    <n v="20260209"/>
    <n v="20260310"/>
    <n v="84.538499999999999"/>
    <n v="30"/>
    <n v="2.8179500000000002"/>
    <n v="76.443025323687536"/>
    <n v="28.179500000000001"/>
    <n v="0"/>
    <n v="104.62252532368754"/>
    <n v="61.768521418622406"/>
    <n v="22.76997858137759"/>
    <n v="0"/>
    <n v="84.538499999999999"/>
  </r>
  <r>
    <x v="0"/>
    <x v="0"/>
    <n v="21"/>
    <n v="6"/>
    <n v="0"/>
    <n v="20260208"/>
    <n v="20260306"/>
    <n v="126.7752"/>
    <n v="27"/>
    <n v="4.6953777777777779"/>
    <n v="133.74095583296145"/>
    <n v="28.172266666666665"/>
    <n v="0"/>
    <n v="161.91322249962812"/>
    <n v="104.7168116486212"/>
    <n v="22.058388351378795"/>
    <n v="0"/>
    <n v="126.7752"/>
  </r>
  <r>
    <x v="0"/>
    <x v="0"/>
    <n v="26"/>
    <n v="28"/>
    <n v="0"/>
    <n v="20260203"/>
    <n v="20260328"/>
    <n v="928.35860000000002"/>
    <n v="54"/>
    <n v="17.191825925925926"/>
    <n v="606.27539168572127"/>
    <n v="481.37112592592592"/>
    <n v="0"/>
    <n v="1087.6465176116471"/>
    <n v="517.48519829378495"/>
    <n v="410.87340170621513"/>
    <n v="0"/>
    <n v="928.35860000000002"/>
  </r>
  <r>
    <x v="0"/>
    <x v="0"/>
    <n v="27"/>
    <n v="25"/>
    <n v="0"/>
    <n v="20260202"/>
    <n v="20260325"/>
    <n v="1054.9034999999999"/>
    <n v="52"/>
    <n v="20.286605769230768"/>
    <n v="742.92973617030589"/>
    <n v="507.16514423076922"/>
    <n v="0"/>
    <n v="1250.094880401075"/>
    <n v="626.92775662651081"/>
    <n v="427.97574337348925"/>
    <n v="0"/>
    <n v="1054.9035000000001"/>
  </r>
  <r>
    <x v="0"/>
    <x v="0"/>
    <n v="24"/>
    <n v="23"/>
    <n v="0"/>
    <n v="20260205"/>
    <n v="20260323"/>
    <n v="337.5059"/>
    <n v="47"/>
    <n v="7.1809765957446805"/>
    <n v="233.7595382844911"/>
    <n v="165.16246170212764"/>
    <n v="0"/>
    <n v="398.92199998661874"/>
    <n v="197.77105137078942"/>
    <n v="139.7348486292106"/>
    <n v="0"/>
    <n v="337.5059"/>
  </r>
  <r>
    <x v="0"/>
    <x v="0"/>
    <n v="22"/>
    <n v="30"/>
    <n v="0"/>
    <n v="20260207"/>
    <n v="20260330"/>
    <n v="379.85419999999999"/>
    <n v="52"/>
    <n v="7.3048884615384617"/>
    <n v="217.9770936380373"/>
    <n v="219.14665384615384"/>
    <n v="0"/>
    <n v="437.12374748419114"/>
    <n v="189.4189345665697"/>
    <n v="190.43526543343026"/>
    <n v="0"/>
    <n v="379.85419999999999"/>
  </r>
  <r>
    <x v="0"/>
    <x v="0"/>
    <n v="25"/>
    <n v="23"/>
    <n v="0"/>
    <n v="20260204"/>
    <n v="20260323"/>
    <n v="210.94120000000001"/>
    <n v="48"/>
    <n v="4.3946083333333332"/>
    <n v="149.01664158017718"/>
    <n v="101.07599166666667"/>
    <n v="0"/>
    <n v="250.09263324684383"/>
    <n v="125.68842507194947"/>
    <n v="85.252774928050542"/>
    <n v="0"/>
    <n v="210.94120000000001"/>
  </r>
  <r>
    <x v="0"/>
    <x v="0"/>
    <n v="22"/>
    <n v="19"/>
    <n v="0"/>
    <n v="20260207"/>
    <n v="20260319"/>
    <n v="84.4101"/>
    <n v="41"/>
    <n v="2.0587829268292683"/>
    <n v="61.433863252628271"/>
    <n v="39.1168756097561"/>
    <n v="0"/>
    <n v="100.55073886238438"/>
    <n v="51.572356396483968"/>
    <n v="32.837743603516031"/>
    <n v="0"/>
    <n v="84.4101"/>
  </r>
  <r>
    <x v="0"/>
    <x v="0"/>
    <n v="24"/>
    <n v="27"/>
    <n v="0"/>
    <n v="20260205"/>
    <n v="20260327"/>
    <n v="168.78450000000001"/>
    <n v="51"/>
    <n v="3.3095000000000003"/>
    <n v="107.73286636402089"/>
    <n v="89.356500000000011"/>
    <n v="0"/>
    <n v="197.08936636402092"/>
    <n v="92.260877987872746"/>
    <n v="76.523622012127248"/>
    <n v="0"/>
    <n v="168.78449999999998"/>
  </r>
  <r>
    <x v="0"/>
    <x v="0"/>
    <n v="25"/>
    <n v="24"/>
    <n v="0"/>
    <n v="20260204"/>
    <n v="20260324"/>
    <n v="253.1472"/>
    <n v="49"/>
    <n v="5.1662693877551016"/>
    <n v="175.18287302700321"/>
    <n v="123.99046530612245"/>
    <n v="0"/>
    <n v="299.17333833312568"/>
    <n v="148.23197161159297"/>
    <n v="104.915228388407"/>
    <n v="0"/>
    <n v="253.14719999999997"/>
  </r>
  <r>
    <x v="0"/>
    <x v="0"/>
    <n v="23"/>
    <n v="31"/>
    <n v="2"/>
    <n v="20260206"/>
    <n v="20260402"/>
    <n v="102295.42019999999"/>
    <n v="56"/>
    <n v="1826.703932142857"/>
    <n v="56986.316714358807"/>
    <n v="56627.821896428562"/>
    <n v="2267.3686900804742"/>
    <n v="115881.50730086784"/>
    <n v="50305.172496681531"/>
    <n v="49988.70804179243"/>
    <n v="2001.539661526034"/>
    <n v="102295.42019999999"/>
  </r>
  <r>
    <x v="0"/>
    <x v="0"/>
    <n v="24"/>
    <n v="31"/>
    <n v="2"/>
    <n v="20260205"/>
    <n v="20260402"/>
    <n v="151660.02530000001"/>
    <n v="57"/>
    <n v="2660.702198245614"/>
    <n v="86612.803854978498"/>
    <n v="82481.768145614027"/>
    <n v="3302.556452513621"/>
    <n v="172397.12845310615"/>
    <n v="76194.424708895473"/>
    <n v="72560.298167351371"/>
    <n v="2905.3024237531595"/>
    <n v="151660.02530000001"/>
  </r>
  <r>
    <x v="0"/>
    <x v="0"/>
    <n v="23"/>
    <n v="31"/>
    <n v="7"/>
    <n v="20260206"/>
    <n v="20260407"/>
    <n v="106108.38"/>
    <n v="61"/>
    <n v="1739.4816393442625"/>
    <n v="54265.308063470045"/>
    <n v="53923.930819672139"/>
    <n v="7556.8686737720745"/>
    <n v="115746.10755691426"/>
    <n v="49746.847218896233"/>
    <n v="49433.895128559634"/>
    <n v="6927.6376525441428"/>
    <n v="106108.38000000002"/>
  </r>
  <r>
    <x v="0"/>
    <x v="0"/>
    <n v="20"/>
    <n v="31"/>
    <n v="4"/>
    <n v="20260209"/>
    <n v="20260404"/>
    <n v="20385.030999999999"/>
    <n v="55"/>
    <n v="370.63692727272723"/>
    <n v="10054.333120673831"/>
    <n v="11489.744745454544"/>
    <n v="920.09498583604568"/>
    <n v="22464.172851964424"/>
    <n v="9123.7675965149028"/>
    <n v="10426.326593979011"/>
    <n v="834.93680950608336"/>
    <n v="20385.030999999995"/>
  </r>
  <r>
    <x v="0"/>
    <x v="0"/>
    <n v="26"/>
    <n v="31"/>
    <n v="8"/>
    <n v="20260203"/>
    <n v="20260408"/>
    <n v="9745.7101999999995"/>
    <n v="65"/>
    <n v="149.93400307692306"/>
    <n v="5287.4718970593494"/>
    <n v="4647.9540953846154"/>
    <n v="744.41327502098716"/>
    <n v="10679.839267464951"/>
    <n v="4824.9947877367485"/>
    <n v="4241.4134241248566"/>
    <n v="679.30198813839479"/>
    <n v="9745.7102000000014"/>
  </r>
  <r>
    <x v="0"/>
    <x v="0"/>
    <n v="21"/>
    <n v="31"/>
    <n v="4"/>
    <n v="20260208"/>
    <n v="20260404"/>
    <n v="19540.472900000001"/>
    <n v="56"/>
    <n v="348.93701607142856"/>
    <n v="9938.959603156969"/>
    <n v="10817.047498214286"/>
    <n v="866.22561119947386"/>
    <n v="21622.232712570731"/>
    <n v="8982.0497892788189"/>
    <n v="9775.5965494711691"/>
    <n v="782.82656125001154"/>
    <n v="19540.472900000001"/>
  </r>
  <r>
    <x v="0"/>
    <x v="0"/>
    <n v="27"/>
    <n v="31"/>
    <n v="10"/>
    <n v="20260202"/>
    <n v="20260410"/>
    <n v="2236.0288"/>
    <n v="68"/>
    <n v="32.882776470588233"/>
    <n v="1204.222762828776"/>
    <n v="1019.3660705882352"/>
    <n v="204.0762503994433"/>
    <n v="2427.6650838164546"/>
    <n v="1109.1632026389907"/>
    <n v="938.89882371865815"/>
    <n v="187.96677364235106"/>
    <n v="2236.0288"/>
  </r>
  <r>
    <x v="0"/>
    <x v="0"/>
    <n v="4"/>
    <n v="31"/>
    <n v="2"/>
    <n v="20260225"/>
    <n v="20260402"/>
    <n v="295.60809999999998"/>
    <n v="37"/>
    <n v="7.9894081081081074"/>
    <n v="43.346015814999028"/>
    <n v="247.67165135135133"/>
    <n v="9.9167322508301936"/>
    <n v="300.93439941718054"/>
    <n v="42.578825825354571"/>
    <n v="243.28806019394398"/>
    <n v="9.7412139807014597"/>
    <n v="295.60809999999998"/>
  </r>
  <r>
    <x v="0"/>
    <x v="0"/>
    <n v="0"/>
    <n v="27"/>
    <n v="3"/>
    <n v="20260305"/>
    <n v="20260403"/>
    <n v="84.338999999999999"/>
    <n v="30"/>
    <n v="2.8113000000000001"/>
    <n v="0"/>
    <n v="75.905100000000004"/>
    <n v="5.2342255520404226"/>
    <n v="81.139325552040432"/>
    <n v="0"/>
    <n v="78.898366301973951"/>
    <n v="5.4406336980260486"/>
    <n v="84.338999999999999"/>
  </r>
  <r>
    <x v="0"/>
    <x v="0"/>
    <n v="0"/>
    <n v="27"/>
    <n v="2"/>
    <n v="20260305"/>
    <n v="20260402"/>
    <n v="379.56959999999998"/>
    <n v="29"/>
    <n v="13.088606896551724"/>
    <n v="0"/>
    <n v="353.39238620689656"/>
    <n v="16.246035798039703"/>
    <n v="369.63842200493627"/>
    <n v="0"/>
    <n v="362.88707745269494"/>
    <n v="16.682522547305055"/>
    <n v="379.56959999999998"/>
  </r>
  <r>
    <x v="0"/>
    <x v="0"/>
    <n v="4"/>
    <n v="31"/>
    <n v="5"/>
    <n v="20260225"/>
    <n v="20260405"/>
    <n v="464.38580000000002"/>
    <n v="40"/>
    <n v="11.609645"/>
    <n v="62.987376407247986"/>
    <n v="359.89899500000001"/>
    <n v="36.025741655176326"/>
    <n v="458.91211306242434"/>
    <n v="63.738660083705696"/>
    <n v="364.19170022983587"/>
    <n v="36.455439686458384"/>
    <n v="464.3857999999999"/>
  </r>
  <r>
    <x v="0"/>
    <x v="0"/>
    <n v="9"/>
    <n v="31"/>
    <n v="5"/>
    <n v="20260220"/>
    <n v="20260405"/>
    <n v="211.06469999999999"/>
    <n v="45"/>
    <n v="4.6903266666666665"/>
    <n v="57.255892429022907"/>
    <n v="145.40012666666667"/>
    <n v="14.554492990243688"/>
    <n v="217.21051208593326"/>
    <n v="55.635878957750528"/>
    <n v="141.28613675345886"/>
    <n v="14.142684288790591"/>
    <n v="211.06469999999996"/>
  </r>
  <r>
    <x v="0"/>
    <x v="0"/>
    <n v="4"/>
    <n v="31"/>
    <n v="4"/>
    <n v="20260225"/>
    <n v="20260404"/>
    <n v="42.220799999999997"/>
    <n v="39"/>
    <n v="1.0825846153846153"/>
    <n v="5.8734926573488293"/>
    <n v="33.56012307692307"/>
    <n v="2.6874836344239346"/>
    <n v="42.12109936869583"/>
    <n v="5.8873952129486309"/>
    <n v="33.639559879560309"/>
    <n v="2.6938449074910573"/>
    <n v="42.220799999999997"/>
  </r>
  <r>
    <x v="0"/>
    <x v="0"/>
    <n v="1"/>
    <n v="31"/>
    <n v="1"/>
    <n v="20260228"/>
    <n v="20260401"/>
    <n v="1140.0696"/>
    <n v="33"/>
    <n v="34.547563636363634"/>
    <n v="46.85889178172522"/>
    <n v="1070.9744727272728"/>
    <n v="21.4408210135521"/>
    <n v="1139.2741855225499"/>
    <n v="46.891607559361624"/>
    <n v="1071.7222019494495"/>
    <n v="21.455790491189106"/>
    <n v="1140.0696000000003"/>
  </r>
  <r>
    <x v="0"/>
    <x v="0"/>
    <n v="1"/>
    <n v="31"/>
    <n v="4"/>
    <n v="20260228"/>
    <n v="20260404"/>
    <n v="126.63590000000001"/>
    <n v="36"/>
    <n v="3.5176638888888889"/>
    <n v="4.7712143533163198"/>
    <n v="109.04758055555556"/>
    <n v="8.7324944382608773"/>
    <n v="122.55128934713275"/>
    <n v="4.9302380003011068"/>
    <n v="112.68211521920121"/>
    <n v="9.023546780497691"/>
    <n v="126.63590000000001"/>
  </r>
  <r>
    <x v="0"/>
    <x v="0"/>
    <n v="1"/>
    <n v="31"/>
    <n v="2"/>
    <n v="20260228"/>
    <n v="20260402"/>
    <n v="253.33099999999999"/>
    <n v="34"/>
    <n v="7.4509117647058822"/>
    <n v="10.106109702336328"/>
    <n v="230.97826470588234"/>
    <n v="9.2483317907070557"/>
    <n v="250.33270619892573"/>
    <n v="10.227152959262623"/>
    <n v="233.74474580124593"/>
    <n v="9.3591012394914266"/>
    <n v="253.33099999999996"/>
  </r>
  <r>
    <x v="0"/>
    <x v="0"/>
    <n v="0"/>
    <n v="26"/>
    <n v="5"/>
    <n v="20260306"/>
    <n v="20260405"/>
    <n v="168.59880000000001"/>
    <n v="31"/>
    <n v="5.4386709677419356"/>
    <n v="0"/>
    <n v="141.40544516129032"/>
    <n v="16.876670667481978"/>
    <n v="158.28211582877231"/>
    <n v="0"/>
    <n v="150.62212330703258"/>
    <n v="17.97667669296742"/>
    <n v="168.59880000000001"/>
  </r>
  <r>
    <x v="0"/>
    <x v="0"/>
    <n v="17"/>
    <n v="31"/>
    <n v="6"/>
    <n v="20260212"/>
    <n v="20260406"/>
    <n v="211.0103"/>
    <n v="54"/>
    <n v="3.9075981481481481"/>
    <n v="90.10178696024802"/>
    <n v="121.13554259259259"/>
    <n v="14.550741702516893"/>
    <n v="225.78807125535749"/>
    <n v="84.204648152185754"/>
    <n v="113.20725245142565"/>
    <n v="13.598399396388604"/>
    <n v="211.0103"/>
  </r>
  <r>
    <x v="0"/>
    <x v="0"/>
    <n v="28"/>
    <n v="31"/>
    <n v="3"/>
    <n v="20260127"/>
    <n v="20260403"/>
    <n v="1813.6692"/>
    <n v="62"/>
    <n v="29.252729032258067"/>
    <n v="1110.9614963643153"/>
    <n v="906.83460000000002"/>
    <n v="54.464262713890328"/>
    <n v="2072.260359078206"/>
    <n v="972.32794108852067"/>
    <n v="793.67342829736094"/>
    <n v="47.667830614118017"/>
    <n v="1813.6691999999996"/>
  </r>
  <r>
    <x v="0"/>
    <x v="0"/>
    <n v="16"/>
    <n v="31"/>
    <n v="3"/>
    <n v="20260213"/>
    <n v="20260403"/>
    <n v="168.828"/>
    <n v="50"/>
    <n v="3.37656"/>
    <n v="73.277229641959678"/>
    <n v="104.67336"/>
    <n v="6.2866562195417099"/>
    <n v="184.23724586150138"/>
    <n v="67.148464297456655"/>
    <n v="95.918683214384373"/>
    <n v="5.7608524881589789"/>
    <n v="168.828"/>
  </r>
  <r>
    <x v="0"/>
    <x v="0"/>
    <n v="28"/>
    <n v="31"/>
    <n v="5"/>
    <n v="20260128"/>
    <n v="20260405"/>
    <n v="970.12480000000005"/>
    <n v="64"/>
    <n v="15.158200000000001"/>
    <n v="575.67882079033643"/>
    <n v="469.9042"/>
    <n v="47.037217516771079"/>
    <n v="1092.6202383071075"/>
    <n v="511.138528560265"/>
    <n v="417.22247315359346"/>
    <n v="41.763798286141636"/>
    <n v="970.12480000000016"/>
  </r>
  <r>
    <x v="0"/>
    <x v="0"/>
    <n v="28"/>
    <n v="31"/>
    <n v="4"/>
    <n v="20260131"/>
    <n v="20260404"/>
    <n v="84.386399999999995"/>
    <n v="63"/>
    <n v="1.3394666666666666"/>
    <n v="50.870327027920808"/>
    <n v="41.523466666666664"/>
    <n v="3.3251855738261429"/>
    <n v="95.718979268413619"/>
    <n v="44.847571479750506"/>
    <n v="36.607325885643796"/>
    <n v="2.9315026346056947"/>
    <n v="84.386399999999995"/>
  </r>
  <r>
    <x v="0"/>
    <x v="0"/>
    <n v="28"/>
    <n v="31"/>
    <n v="5"/>
    <n v="20260127"/>
    <n v="20260405"/>
    <n v="210.87690000000001"/>
    <n v="64"/>
    <n v="3.2949515625000001"/>
    <n v="125.13582285899885"/>
    <n v="102.1434984375"/>
    <n v="10.224522262045445"/>
    <n v="237.50384355854428"/>
    <n v="111.10664150978323"/>
    <n v="90.692024107581844"/>
    <n v="9.0782343826349585"/>
    <n v="210.87690000000003"/>
  </r>
  <r>
    <x v="0"/>
    <x v="0"/>
    <n v="28"/>
    <n v="31"/>
    <n v="3"/>
    <n v="20260128"/>
    <n v="20260403"/>
    <n v="1729.4745"/>
    <n v="62"/>
    <n v="27.894750000000002"/>
    <n v="1059.3881058596164"/>
    <n v="864.73725000000002"/>
    <n v="51.935906241873717"/>
    <n v="1976.06126210149"/>
    <n v="927.19023940534419"/>
    <n v="756.8292804265875"/>
    <n v="45.454980168068396"/>
    <n v="1729.4745"/>
  </r>
  <r>
    <x v="0"/>
    <x v="0"/>
    <n v="28"/>
    <n v="31"/>
    <n v="5"/>
    <n v="20260129"/>
    <n v="20260405"/>
    <n v="464.02710000000002"/>
    <n v="64"/>
    <n v="7.2504234375000003"/>
    <n v="275.35691670057241"/>
    <n v="224.76312656250002"/>
    <n v="22.498696700029203"/>
    <n v="522.61873996310169"/>
    <n v="244.48620332774388"/>
    <n v="199.56456558196413"/>
    <n v="19.976331090291968"/>
    <n v="464.02710000000002"/>
  </r>
  <r>
    <x v="0"/>
    <x v="0"/>
    <n v="25"/>
    <n v="31"/>
    <n v="9"/>
    <n v="20260204"/>
    <n v="20260409"/>
    <n v="674.99590000000001"/>
    <n v="65"/>
    <n v="10.384552307692308"/>
    <n v="352.12947134977594"/>
    <n v="321.92112153846153"/>
    <n v="58.003509801967141"/>
    <n v="732.05410269020467"/>
    <n v="324.68358357230829"/>
    <n v="296.82975119370337"/>
    <n v="53.482565233988289"/>
    <n v="674.99590000000001"/>
  </r>
  <r>
    <x v="0"/>
    <x v="0"/>
    <n v="22"/>
    <n v="31"/>
    <n v="14"/>
    <n v="20260207"/>
    <n v="20260414"/>
    <n v="337.53750000000002"/>
    <n v="67"/>
    <n v="5.0378731343283585"/>
    <n v="150.32959773718005"/>
    <n v="156.17406716417912"/>
    <n v="43.7722880312729"/>
    <n v="350.27595293263209"/>
    <n v="144.86257526782748"/>
    <n v="150.49449941991196"/>
    <n v="42.180425312260546"/>
    <n v="337.53749999999997"/>
  </r>
  <r>
    <x v="0"/>
    <x v="0"/>
    <n v="22"/>
    <n v="31"/>
    <n v="11"/>
    <n v="20260207"/>
    <n v="20260411"/>
    <n v="253.15309999999999"/>
    <n v="64"/>
    <n v="3.9555171874999999"/>
    <n v="118.03221156712438"/>
    <n v="122.6210328125"/>
    <n v="27.003493102576886"/>
    <n v="267.65673748220127"/>
    <n v="111.63634638586439"/>
    <n v="115.97651108539843"/>
    <n v="25.540242528737167"/>
    <n v="253.15309999999999"/>
  </r>
  <r>
    <x v="0"/>
    <x v="0"/>
    <n v="21"/>
    <n v="31"/>
    <n v="10"/>
    <n v="20260208"/>
    <n v="20260410"/>
    <n v="126.5855"/>
    <n v="62"/>
    <n v="2.0417016129032257"/>
    <n v="58.154878725138389"/>
    <n v="63.292749999999998"/>
    <n v="12.671156584617087"/>
    <n v="134.11878530975548"/>
    <n v="54.888391539328552"/>
    <n v="59.737674976856724"/>
    <n v="11.959433483814712"/>
    <n v="126.58549999999998"/>
  </r>
  <r>
    <x v="0"/>
    <x v="0"/>
    <n v="0"/>
    <n v="14"/>
    <n v="4"/>
    <n v="20260318"/>
    <n v="20260404"/>
    <n v="210.7337"/>
    <n v="18"/>
    <n v="11.707427777777777"/>
    <n v="0"/>
    <n v="163.90398888888888"/>
    <n v="29.06333611881206"/>
    <n v="192.96732500770094"/>
    <n v="0"/>
    <n v="178.99452159548784"/>
    <n v="31.739178404512185"/>
    <n v="210.73370000000003"/>
  </r>
  <r>
    <x v="0"/>
    <x v="0"/>
    <n v="0"/>
    <n v="13"/>
    <n v="1"/>
    <n v="20260319"/>
    <n v="20260401"/>
    <n v="84.368600000000001"/>
    <n v="14"/>
    <n v="6.0263285714285715"/>
    <n v="0"/>
    <n v="78.342271428571422"/>
    <n v="3.7400446997904506"/>
    <n v="82.082316128361867"/>
    <n v="0"/>
    <n v="80.52438177928984"/>
    <n v="3.8442182207101658"/>
    <n v="84.368600000000001"/>
  </r>
  <r>
    <x v="0"/>
    <x v="0"/>
    <n v="0"/>
    <n v="12"/>
    <n v="4"/>
    <n v="20260320"/>
    <n v="20260404"/>
    <n v="42.178400000000003"/>
    <n v="16"/>
    <n v="2.6361500000000002"/>
    <n v="0"/>
    <n v="31.633800000000001"/>
    <n v="6.5441628138874588"/>
    <n v="38.177962813887461"/>
    <n v="0"/>
    <n v="34.948514053103274"/>
    <n v="7.2298859468967285"/>
    <n v="42.178400000000003"/>
  </r>
  <r>
    <x v="0"/>
    <x v="0"/>
    <n v="0"/>
    <n v="14"/>
    <n v="1"/>
    <n v="20260318"/>
    <n v="20260401"/>
    <n v="84.340900000000005"/>
    <n v="15"/>
    <n v="5.6227266666666669"/>
    <n v="0"/>
    <n v="78.71817333333334"/>
    <n v="3.4895623129045563"/>
    <n v="82.207735646237893"/>
    <n v="0"/>
    <n v="80.760788909932288"/>
    <n v="3.5801110900677227"/>
    <n v="84.340900000000005"/>
  </r>
  <r>
    <x v="0"/>
    <x v="0"/>
    <n v="0"/>
    <n v="23"/>
    <n v="5"/>
    <n v="20260309"/>
    <n v="20260405"/>
    <n v="168.45249999999999"/>
    <n v="28"/>
    <n v="6.0161607142857134"/>
    <n v="0"/>
    <n v="138.3716964285714"/>
    <n v="18.668671750848386"/>
    <n v="157.04036817941977"/>
    <n v="0"/>
    <n v="148.42717489049156"/>
    <n v="20.025325109508454"/>
    <n v="168.45250000000001"/>
  </r>
  <r>
    <x v="0"/>
    <x v="0"/>
    <n v="27"/>
    <n v="9"/>
    <n v="0"/>
    <n v="20260202"/>
    <n v="20260309"/>
    <n v="844.87149999999997"/>
    <n v="36"/>
    <n v="23.468652777777777"/>
    <n v="859.46166721058557"/>
    <n v="211.21787499999999"/>
    <n v="0"/>
    <n v="1070.6795422105856"/>
    <n v="678.1998154830618"/>
    <n v="166.67168451693814"/>
    <n v="0"/>
    <n v="844.87149999999997"/>
  </r>
  <r>
    <x v="0"/>
    <x v="0"/>
    <n v="24"/>
    <n v="9"/>
    <n v="0"/>
    <n v="20260205"/>
    <n v="20260309"/>
    <n v="211.21780000000001"/>
    <n v="33"/>
    <n v="6.4005393939393942"/>
    <n v="208.35426958299561"/>
    <n v="57.60485454545455"/>
    <n v="0"/>
    <n v="265.95912412845018"/>
    <n v="165.46952689117995"/>
    <n v="45.748273108820044"/>
    <n v="0"/>
    <n v="211.21780000000001"/>
  </r>
  <r>
    <x v="0"/>
    <x v="0"/>
    <n v="27"/>
    <n v="3"/>
    <n v="0"/>
    <n v="20260202"/>
    <n v="20260303"/>
    <n v="1561.8788999999999"/>
    <n v="30"/>
    <n v="52.062629999999999"/>
    <n v="1906.6213643732128"/>
    <n v="156.18788999999998"/>
    <n v="0"/>
    <n v="2062.8092543732128"/>
    <n v="1443.6195072280568"/>
    <n v="118.25939277194315"/>
    <n v="0"/>
    <n v="1561.8788999999999"/>
  </r>
  <r>
    <x v="0"/>
    <x v="0"/>
    <n v="25"/>
    <n v="11"/>
    <n v="0"/>
    <n v="20260204"/>
    <n v="20260311"/>
    <n v="126.7011"/>
    <n v="36"/>
    <n v="3.5194749999999999"/>
    <n v="119.34177174501195"/>
    <n v="38.714224999999999"/>
    <n v="0"/>
    <n v="158.05599674501195"/>
    <n v="95.666941257761081"/>
    <n v="31.034158742238926"/>
    <n v="0"/>
    <n v="126.70110000000001"/>
  </r>
  <r>
    <x v="0"/>
    <x v="0"/>
    <n v="22"/>
    <n v="7"/>
    <n v="0"/>
    <n v="20260207"/>
    <n v="20260307"/>
    <n v="253.50890000000001"/>
    <n v="29"/>
    <n v="8.7416862068965528"/>
    <n v="260.8509853241099"/>
    <n v="61.19180344827587"/>
    <n v="0"/>
    <n v="322.04278877238579"/>
    <n v="205.33931719293795"/>
    <n v="48.169582807062028"/>
    <n v="0"/>
    <n v="253.50889999999998"/>
  </r>
  <r>
    <x v="0"/>
    <x v="0"/>
    <n v="24"/>
    <n v="28"/>
    <n v="0"/>
    <n v="20260205"/>
    <n v="20260328"/>
    <n v="506.36559999999997"/>
    <n v="52"/>
    <n v="9.7378"/>
    <n v="316.99081615940855"/>
    <n v="272.65840000000003"/>
    <n v="0"/>
    <n v="589.64921615940852"/>
    <n v="272.21819417403367"/>
    <n v="234.14740582596639"/>
    <n v="0"/>
    <n v="506.36560000000009"/>
  </r>
  <r>
    <x v="0"/>
    <x v="0"/>
    <n v="21"/>
    <n v="13"/>
    <n v="0"/>
    <n v="20260208"/>
    <n v="20260313"/>
    <n v="84.493099999999998"/>
    <n v="34"/>
    <n v="2.4850911764705881"/>
    <n v="70.784180741796092"/>
    <n v="32.306185294117647"/>
    <n v="0"/>
    <n v="103.09036603591375"/>
    <n v="58.014876576838617"/>
    <n v="26.478223423161378"/>
    <n v="0"/>
    <n v="84.493099999999998"/>
  </r>
  <r>
    <x v="0"/>
    <x v="0"/>
    <n v="25"/>
    <n v="25"/>
    <n v="0"/>
    <n v="20260204"/>
    <n v="20260325"/>
    <n v="1054.8294000000001"/>
    <n v="50"/>
    <n v="21.096588000000001"/>
    <n v="715.36356692249797"/>
    <n v="527.41470000000004"/>
    <n v="0"/>
    <n v="1242.778266922498"/>
    <n v="607.17711450434945"/>
    <n v="447.65228549565069"/>
    <n v="0"/>
    <n v="1054.8294000000001"/>
  </r>
  <r>
    <x v="0"/>
    <x v="0"/>
    <n v="25"/>
    <n v="20"/>
    <n v="0"/>
    <n v="20260204"/>
    <n v="20260320"/>
    <n v="1181.4088999999999"/>
    <n v="45"/>
    <n v="26.253531111111108"/>
    <n v="890.23019551574953"/>
    <n v="525.07062222222214"/>
    <n v="0"/>
    <n v="1415.3008177379716"/>
    <n v="743.11119081523975"/>
    <n v="438.29770918476032"/>
    <n v="0"/>
    <n v="1181.4089000000001"/>
  </r>
  <r>
    <x v="0"/>
    <x v="0"/>
    <n v="27"/>
    <n v="26"/>
    <n v="0"/>
    <n v="20260202"/>
    <n v="20260326"/>
    <n v="3460.2456000000002"/>
    <n v="53"/>
    <n v="65.287652830188676"/>
    <n v="2390.9440171543197"/>
    <n v="1697.4789735849056"/>
    <n v="0"/>
    <n v="4088.4229907392255"/>
    <n v="2023.580616277837"/>
    <n v="1436.6649837221628"/>
    <n v="0"/>
    <n v="3460.2455999999997"/>
  </r>
  <r>
    <x v="0"/>
    <x v="0"/>
    <n v="19"/>
    <n v="28"/>
    <n v="0"/>
    <n v="20260210"/>
    <n v="20260328"/>
    <n v="126.62990000000001"/>
    <n v="47"/>
    <n v="2.6942531914893619"/>
    <n v="69.433106229058311"/>
    <n v="75.439089361702131"/>
    <n v="0"/>
    <n v="144.87219559076044"/>
    <n v="60.690094897932099"/>
    <n v="65.939805102067908"/>
    <n v="0"/>
    <n v="126.62990000000001"/>
  </r>
  <r>
    <x v="0"/>
    <x v="0"/>
    <n v="26"/>
    <n v="27"/>
    <n v="0"/>
    <n v="20260203"/>
    <n v="20260327"/>
    <n v="1012.7311"/>
    <n v="53"/>
    <n v="19.108133962264152"/>
    <n v="673.85462441686468"/>
    <n v="515.91961698113209"/>
    <n v="0"/>
    <n v="1189.7742413979968"/>
    <n v="573.58237494191496"/>
    <n v="439.14872505808506"/>
    <n v="0"/>
    <n v="1012.7311"/>
  </r>
  <r>
    <x v="0"/>
    <x v="0"/>
    <n v="25"/>
    <n v="26"/>
    <n v="0"/>
    <n v="20260204"/>
    <n v="20260326"/>
    <n v="886.09820000000002"/>
    <n v="51"/>
    <n v="17.374474509803921"/>
    <n v="589.15053271824581"/>
    <n v="451.73633725490197"/>
    <n v="0"/>
    <n v="1040.8868699731479"/>
    <n v="501.5388719276919"/>
    <n v="384.55932807230801"/>
    <n v="0"/>
    <n v="886.09819999999991"/>
  </r>
  <r>
    <x v="0"/>
    <x v="0"/>
    <n v="23"/>
    <n v="13"/>
    <n v="0"/>
    <n v="20260206"/>
    <n v="20260313"/>
    <n v="295.62200000000001"/>
    <n v="36"/>
    <n v="8.2117222222222228"/>
    <n v="256.17495812632734"/>
    <n v="106.7523888888889"/>
    <n v="0"/>
    <n v="362.92734701521624"/>
    <n v="208.66698002795039"/>
    <n v="86.955019972049627"/>
    <n v="0"/>
    <n v="295.62200000000001"/>
  </r>
  <r>
    <x v="0"/>
    <x v="0"/>
    <n v="23"/>
    <n v="19"/>
    <n v="0"/>
    <n v="20260206"/>
    <n v="20260319"/>
    <n v="337.60070000000002"/>
    <n v="42"/>
    <n v="8.0381119047619052"/>
    <n v="250.75896686381972"/>
    <n v="152.7241261904762"/>
    <n v="0"/>
    <n v="403.48309305429592"/>
    <n v="209.81400262317882"/>
    <n v="127.78669737682121"/>
    <n v="0"/>
    <n v="337.60070000000002"/>
  </r>
  <r>
    <x v="0"/>
    <x v="0"/>
    <n v="23"/>
    <n v="31"/>
    <n v="3"/>
    <n v="20260206"/>
    <n v="20260403"/>
    <n v="226350.6893"/>
    <n v="57"/>
    <n v="3971.0647245614036"/>
    <n v="123882.33698145711"/>
    <n v="123103.00646140351"/>
    <n v="7393.5362466139004"/>
    <n v="254378.8796894745"/>
    <n v="110232.62781123078"/>
    <n v="109539.16615033348"/>
    <n v="6578.8953384357455"/>
    <n v="226350.6893"/>
  </r>
  <r>
    <x v="0"/>
    <x v="0"/>
    <n v="22"/>
    <n v="31"/>
    <n v="4"/>
    <n v="20260207"/>
    <n v="20260404"/>
    <n v="157659.54939999999"/>
    <n v="57"/>
    <n v="2765.9570070175437"/>
    <n v="82535.862483308912"/>
    <n v="85744.667217543858"/>
    <n v="6866.4047911293592"/>
    <n v="175146.9344919821"/>
    <n v="74295.144966151478"/>
    <n v="77183.569533669259"/>
    <n v="6180.8349001792731"/>
    <n v="157659.54939999999"/>
  </r>
  <r>
    <x v="0"/>
    <x v="0"/>
    <n v="24"/>
    <n v="31"/>
    <n v="1"/>
    <n v="20260205"/>
    <n v="20260401"/>
    <n v="425155.96370000002"/>
    <n v="56"/>
    <n v="7592.0707803571431"/>
    <n v="247141.72739277955"/>
    <n v="235354.19419107144"/>
    <n v="4711.7716443691324"/>
    <n v="487207.6932282201"/>
    <n v="215665.27117818056"/>
    <n v="205379.02137614708"/>
    <n v="4111.6711456724188"/>
    <n v="425155.96370000008"/>
  </r>
  <r>
    <x v="0"/>
    <x v="0"/>
    <n v="27"/>
    <n v="31"/>
    <n v="2"/>
    <n v="20260202"/>
    <n v="20260402"/>
    <n v="646984.76950000005"/>
    <n v="60"/>
    <n v="10783.079491666667"/>
    <n v="394894.56703486381"/>
    <n v="334275.46424166666"/>
    <n v="13384.3346980554"/>
    <n v="742554.36597458587"/>
    <n v="344070.12083826051"/>
    <n v="291252.92920209176"/>
    <n v="11661.719459647751"/>
    <n v="646984.76950000005"/>
  </r>
  <r>
    <x v="0"/>
    <x v="0"/>
    <n v="23"/>
    <n v="31"/>
    <n v="5"/>
    <n v="20260206"/>
    <n v="20260405"/>
    <n v="354473.16960000002"/>
    <n v="59"/>
    <n v="6008.0198237288141"/>
    <n v="187427.70214521058"/>
    <n v="186248.61453559322"/>
    <n v="18643.409856962229"/>
    <n v="392319.72653776599"/>
    <n v="169346.80352827473"/>
    <n v="168281.46091625359"/>
    <n v="16844.905155471755"/>
    <n v="354473.16960000008"/>
  </r>
  <r>
    <x v="0"/>
    <x v="0"/>
    <n v="25"/>
    <n v="31"/>
    <n v="2"/>
    <n v="20260204"/>
    <n v="20260402"/>
    <n v="373157.93579999998"/>
    <n v="58"/>
    <n v="6433.7575137931035"/>
    <n v="218162.08970765589"/>
    <n v="199446.48292758621"/>
    <n v="7985.8044260254264"/>
    <n v="425594.37706126756"/>
    <n v="191282.87273730559"/>
    <n v="174873.17004922262"/>
    <n v="7001.8930134717521"/>
    <n v="373157.93579999998"/>
  </r>
  <r>
    <x v="0"/>
    <x v="0"/>
    <n v="22"/>
    <n v="31"/>
    <n v="1"/>
    <n v="20260207"/>
    <n v="20260401"/>
    <n v="53601.6466"/>
    <n v="54"/>
    <n v="992.62308518518523"/>
    <n v="29619.767136200699"/>
    <n v="30771.31564074074"/>
    <n v="616.0392127036713"/>
    <n v="61007.121989645108"/>
    <n v="26024.310582597271"/>
    <n v="27036.075995717245"/>
    <n v="541.26002168548632"/>
    <n v="53601.6466"/>
  </r>
  <r>
    <x v="0"/>
    <x v="0"/>
    <n v="21"/>
    <n v="31"/>
    <n v="7"/>
    <n v="20260208"/>
    <n v="20260407"/>
    <n v="44897.744400000003"/>
    <n v="59"/>
    <n v="760.97871864406784"/>
    <n v="21675.363733600861"/>
    <n v="23590.340277966105"/>
    <n v="3305.9367286546335"/>
    <n v="48571.640740221599"/>
    <n v="20035.867140933675"/>
    <n v="21805.997326173812"/>
    <n v="3055.8799328925188"/>
    <n v="44897.744400000003"/>
  </r>
  <r>
    <x v="0"/>
    <x v="0"/>
    <n v="20"/>
    <n v="31"/>
    <n v="1"/>
    <n v="20260209"/>
    <n v="20260401"/>
    <n v="36598.618399999999"/>
    <n v="52"/>
    <n v="703.81958461538466"/>
    <n v="19092.637672797988"/>
    <n v="21818.407123076926"/>
    <n v="436.80271924261876"/>
    <n v="41347.84751511753"/>
    <n v="16899.650221954522"/>
    <n v="19312.336781289025"/>
    <n v="386.63139675645823"/>
    <n v="36598.618399999999"/>
  </r>
  <r>
    <x v="0"/>
    <x v="0"/>
    <n v="20"/>
    <n v="31"/>
    <n v="7"/>
    <n v="20260209"/>
    <n v="20260407"/>
    <n v="52622.2811"/>
    <n v="58"/>
    <n v="907.28070862068967"/>
    <n v="24611.9633722332"/>
    <n v="28125.701967241381"/>
    <n v="3941.5197092152248"/>
    <n v="56679.185048689804"/>
    <n v="22850.322457600294"/>
    <n v="26112.559553980595"/>
    <n v="3659.3990884191153"/>
    <n v="52622.281100000007"/>
  </r>
  <r>
    <x v="0"/>
    <x v="0"/>
    <n v="19"/>
    <n v="31"/>
    <n v="6"/>
    <n v="20260210"/>
    <n v="20260406"/>
    <n v="14347.695100000001"/>
    <n v="56"/>
    <n v="256.20884107142859"/>
    <n v="6602.7111836147051"/>
    <n v="7942.4740732142864"/>
    <n v="954.0460730585387"/>
    <n v="15499.231329887529"/>
    <n v="6112.1538790886189"/>
    <n v="7352.3772835359432"/>
    <n v="883.16393737543945"/>
    <n v="14347.695100000001"/>
  </r>
  <r>
    <x v="0"/>
    <x v="0"/>
    <n v="23"/>
    <n v="31"/>
    <n v="6"/>
    <n v="20260206"/>
    <n v="20260406"/>
    <n v="228465.348"/>
    <n v="60"/>
    <n v="3807.7557999999999"/>
    <n v="118787.71057069527"/>
    <n v="118040.4298"/>
    <n v="14178.958278582948"/>
    <n v="251007.09864927822"/>
    <n v="108119.95270132658"/>
    <n v="107439.78165337881"/>
    <n v="12905.613645294605"/>
    <n v="228465.34799999997"/>
  </r>
  <r>
    <x v="0"/>
    <x v="0"/>
    <n v="21"/>
    <n v="31"/>
    <n v="8"/>
    <n v="20260208"/>
    <n v="20260408"/>
    <n v="18060.370699999999"/>
    <n v="60"/>
    <n v="301.00617833333331"/>
    <n v="8573.7199235499102"/>
    <n v="9331.1915283333328"/>
    <n v="1494.4775062112374"/>
    <n v="19399.388958094481"/>
    <n v="7981.9297624154005"/>
    <n v="8687.1178488372861"/>
    <n v="1391.3230887473112"/>
    <n v="18060.370699999999"/>
  </r>
  <r>
    <x v="0"/>
    <x v="0"/>
    <n v="22"/>
    <n v="31"/>
    <n v="8"/>
    <n v="20260207"/>
    <n v="20260408"/>
    <n v="12784.5324"/>
    <n v="61"/>
    <n v="209.58249836065573"/>
    <n v="6253.9194281459349"/>
    <n v="6497.0574491803281"/>
    <n v="1040.5644536262598"/>
    <n v="13791.541330952521"/>
    <n v="5797.2806401762164"/>
    <n v="6022.6655941124272"/>
    <n v="964.58616571135826"/>
    <n v="12784.532400000002"/>
  </r>
  <r>
    <x v="0"/>
    <x v="0"/>
    <n v="19"/>
    <n v="31"/>
    <n v="8"/>
    <n v="20260210"/>
    <n v="20260408"/>
    <n v="22744.2523"/>
    <n v="58"/>
    <n v="392.14228103448278"/>
    <n v="10105.827003185712"/>
    <n v="12156.410712068966"/>
    <n v="1946.9627550017012"/>
    <n v="24209.200470256379"/>
    <n v="9494.3027690238541"/>
    <n v="11420.801469152821"/>
    <n v="1829.148061823325"/>
    <n v="22744.2523"/>
  </r>
  <r>
    <x v="0"/>
    <x v="0"/>
    <n v="21"/>
    <n v="31"/>
    <n v="2"/>
    <n v="20260208"/>
    <n v="20260402"/>
    <n v="12367.233"/>
    <n v="54"/>
    <n v="229.02283333333332"/>
    <n v="6523.3798188799656"/>
    <n v="7099.7078333333329"/>
    <n v="284.27113582898261"/>
    <n v="13907.358788042282"/>
    <n v="5800.969069479439"/>
    <n v="6313.4734887441909"/>
    <n v="252.79044177636897"/>
    <n v="12367.232999999998"/>
  </r>
  <r>
    <x v="0"/>
    <x v="0"/>
    <n v="19"/>
    <n v="31"/>
    <n v="4"/>
    <n v="20260210"/>
    <n v="20260404"/>
    <n v="8567.6218000000008"/>
    <n v="54"/>
    <n v="158.65966296296298"/>
    <n v="4088.7891559606214"/>
    <n v="4918.4495518518524"/>
    <n v="393.86782483020301"/>
    <n v="9401.106532642676"/>
    <n v="3726.2846651695645"/>
    <n v="4482.3889035114107"/>
    <n v="358.94823131902592"/>
    <n v="8567.6218000000008"/>
  </r>
  <r>
    <x v="0"/>
    <x v="0"/>
    <n v="0"/>
    <n v="28"/>
    <n v="5"/>
    <n v="20260304"/>
    <n v="20260405"/>
    <n v="210.8621"/>
    <n v="33"/>
    <n v="6.389760606060606"/>
    <n v="0"/>
    <n v="178.91329696969697"/>
    <n v="19.827984820583428"/>
    <n v="198.7412817902804"/>
    <n v="0"/>
    <n v="189.82484754608723"/>
    <n v="21.037252453912764"/>
    <n v="210.8621"/>
  </r>
  <r>
    <x v="0"/>
    <x v="0"/>
    <n v="15"/>
    <n v="31"/>
    <n v="2"/>
    <n v="20260214"/>
    <n v="20260402"/>
    <n v="84.418000000000006"/>
    <n v="48"/>
    <n v="1.7587083333333335"/>
    <n v="35.781592734606797"/>
    <n v="54.519958333333342"/>
    <n v="2.182970179138894"/>
    <n v="92.48452124707903"/>
    <n v="32.660713973966082"/>
    <n v="49.764715008769059"/>
    <n v="1.9925710172648745"/>
    <n v="84.418000000000021"/>
  </r>
  <r>
    <x v="0"/>
    <x v="0"/>
    <n v="6"/>
    <n v="31"/>
    <n v="7"/>
    <n v="20260223"/>
    <n v="20260407"/>
    <n v="506.56720000000001"/>
    <n v="44"/>
    <n v="11.51289090909091"/>
    <n v="93.693665037969609"/>
    <n v="356.8996181818182"/>
    <n v="50.015707373756229"/>
    <n v="500.60899059354404"/>
    <n v="94.808799777544863"/>
    <n v="361.14740977599274"/>
    <n v="50.610990446462402"/>
    <n v="506.56720000000001"/>
  </r>
  <r>
    <x v="0"/>
    <x v="0"/>
    <n v="0"/>
    <n v="27"/>
    <n v="5"/>
    <n v="20260305"/>
    <n v="20260405"/>
    <n v="210.81270000000001"/>
    <n v="32"/>
    <n v="6.5878968750000002"/>
    <n v="0"/>
    <n v="177.873215625"/>
    <n v="20.442818955247422"/>
    <n v="198.31603458024742"/>
    <n v="0"/>
    <n v="189.08169943472282"/>
    <n v="21.731000565277196"/>
    <n v="210.81270000000001"/>
  </r>
  <r>
    <x v="0"/>
    <x v="0"/>
    <n v="0"/>
    <n v="26"/>
    <n v="6"/>
    <n v="20260306"/>
    <n v="20260406"/>
    <n v="421.43770000000001"/>
    <n v="32"/>
    <n v="13.169928125"/>
    <n v="0"/>
    <n v="342.41813124999999"/>
    <n v="49.040923637043939"/>
    <n v="391.45905488704392"/>
    <n v="0"/>
    <n v="368.64113339756153"/>
    <n v="52.796566602438475"/>
    <n v="421.43770000000001"/>
  </r>
  <r>
    <x v="0"/>
    <x v="0"/>
    <n v="3"/>
    <n v="31"/>
    <n v="5"/>
    <n v="20260226"/>
    <n v="20260405"/>
    <n v="295.50439999999998"/>
    <n v="39"/>
    <n v="7.5770358974358967"/>
    <n v="30.831537837054331"/>
    <n v="234.88811282051279"/>
    <n v="23.51220366798664"/>
    <n v="289.23185432555374"/>
    <n v="31.500178674514309"/>
    <n v="239.98211057358455"/>
    <n v="24.022110751901145"/>
    <n v="295.50440000000003"/>
  </r>
  <r>
    <x v="0"/>
    <x v="0"/>
    <n v="16"/>
    <n v="31"/>
    <n v="2"/>
    <n v="20260213"/>
    <n v="20260402"/>
    <n v="168.8399"/>
    <n v="49"/>
    <n v="3.4457122448979591"/>
    <n v="74.777953730868148"/>
    <n v="106.81707959183673"/>
    <n v="4.2769383268057393"/>
    <n v="185.87197164951061"/>
    <n v="67.925799237400227"/>
    <n v="97.02907262739653"/>
    <n v="3.8850281352032434"/>
    <n v="168.8399"/>
  </r>
  <r>
    <x v="0"/>
    <x v="0"/>
    <n v="23"/>
    <n v="31"/>
    <n v="14"/>
    <n v="20260206"/>
    <n v="20260414"/>
    <n v="717.21680000000003"/>
    <n v="68"/>
    <n v="10.547305882352942"/>
    <n v="329.03641521694567"/>
    <n v="326.96648235294123"/>
    <n v="91.641789843888631"/>
    <n v="747.64468741377561"/>
    <n v="315.64518383952992"/>
    <n v="313.65949377855787"/>
    <n v="87.91212238191217"/>
    <n v="717.21679999999992"/>
  </r>
  <r>
    <x v="0"/>
    <x v="0"/>
    <n v="26"/>
    <n v="31"/>
    <n v="14"/>
    <n v="20260203"/>
    <n v="20260414"/>
    <n v="675.01170000000002"/>
    <n v="71"/>
    <n v="9.5072070422535209"/>
    <n v="335.27478106250436"/>
    <n v="294.72341830985914"/>
    <n v="82.604740915522868"/>
    <n v="712.60294028788633"/>
    <n v="317.58836111551761"/>
    <n v="279.17616441882507"/>
    <n v="78.247174465657352"/>
    <n v="675.01170000000013"/>
  </r>
  <r>
    <x v="0"/>
    <x v="0"/>
    <n v="0"/>
    <n v="8"/>
    <n v="4"/>
    <n v="20260324"/>
    <n v="20260404"/>
    <n v="42.2258"/>
    <n v="12"/>
    <n v="3.5188166666666665"/>
    <n v="0"/>
    <n v="28.150533333333332"/>
    <n v="8.7353561743024564"/>
    <n v="36.885889507635788"/>
    <n v="0"/>
    <n v="32.225840458059089"/>
    <n v="9.9999595419409122"/>
    <n v="42.2258"/>
  </r>
  <r>
    <x v="0"/>
    <x v="0"/>
    <n v="0"/>
    <n v="18"/>
    <n v="8"/>
    <n v="20260314"/>
    <n v="20260408"/>
    <n v="84.202500000000001"/>
    <n v="26"/>
    <n v="3.2385576923076922"/>
    <n v="0"/>
    <n v="58.294038461538463"/>
    <n v="16.079243457791993"/>
    <n v="74.373281919330452"/>
    <n v="0"/>
    <n v="65.998213967238101"/>
    <n v="18.204286032761896"/>
    <n v="84.202500000000001"/>
  </r>
  <r>
    <x v="0"/>
    <x v="0"/>
    <n v="0"/>
    <n v="9"/>
    <n v="2"/>
    <n v="20260323"/>
    <n v="20260402"/>
    <n v="42.264299999999999"/>
    <n v="11"/>
    <n v="3.8422090909090909"/>
    <n v="0"/>
    <n v="34.579881818181818"/>
    <n v="4.7690840536213059"/>
    <n v="39.348965871803124"/>
    <n v="0"/>
    <n v="37.141878236130893"/>
    <n v="5.122421763869105"/>
    <n v="42.264299999999999"/>
  </r>
  <r>
    <x v="0"/>
    <x v="0"/>
    <n v="0"/>
    <n v="14"/>
    <n v="3"/>
    <n v="20260318"/>
    <n v="20260403"/>
    <n v="168.61859999999999"/>
    <n v="17"/>
    <n v="9.9187411764705882"/>
    <n v="0"/>
    <n v="138.86237647058823"/>
    <n v="18.467231711292936"/>
    <n v="157.32960818188116"/>
    <n v="0"/>
    <n v="148.82627487430611"/>
    <n v="19.792325125693875"/>
    <n v="168.61859999999999"/>
  </r>
  <r>
    <x v="0"/>
    <x v="0"/>
    <n v="0"/>
    <n v="19"/>
    <n v="2"/>
    <n v="20260313"/>
    <n v="20260402"/>
    <n v="42.12"/>
    <n v="21"/>
    <n v="2.0057142857142858"/>
    <n v="0"/>
    <n v="38.10857142857143"/>
    <n v="2.4895625901132852"/>
    <n v="40.598134018684718"/>
    <n v="0"/>
    <n v="39.537113401140275"/>
    <n v="2.5828865988597176"/>
    <n v="42.11999999999999"/>
  </r>
  <r>
    <x v="0"/>
    <x v="0"/>
    <n v="0"/>
    <n v="7"/>
    <n v="4"/>
    <n v="20260325"/>
    <n v="20260404"/>
    <n v="84.427800000000005"/>
    <n v="11"/>
    <n v="7.6752545454545462"/>
    <n v="0"/>
    <n v="53.72678181818182"/>
    <n v="19.05358776377836"/>
    <n v="72.780369581960173"/>
    <n v="0"/>
    <n v="62.324965042681271"/>
    <n v="22.102834957318741"/>
    <n v="84.427800000000019"/>
  </r>
  <r>
    <x v="0"/>
    <x v="0"/>
    <n v="0"/>
    <n v="8"/>
    <n v="1"/>
    <n v="20260324"/>
    <n v="20260401"/>
    <n v="42.293999999999997"/>
    <n v="9"/>
    <n v="4.6993333333333327"/>
    <n v="0"/>
    <n v="37.594666666666662"/>
    <n v="2.9164882925916387"/>
    <n v="40.511154959258299"/>
    <n v="0"/>
    <n v="39.249160721264978"/>
    <n v="3.0448392787350222"/>
    <n v="42.293999999999997"/>
  </r>
  <r>
    <x v="0"/>
    <x v="0"/>
    <n v="0"/>
    <n v="25"/>
    <n v="2"/>
    <n v="20260307"/>
    <n v="20260402"/>
    <n v="168.57900000000001"/>
    <n v="27"/>
    <n v="6.2436666666666669"/>
    <n v="0"/>
    <n v="156.09166666666667"/>
    <n v="7.7498570305765346"/>
    <n v="163.84152369724319"/>
    <n v="0"/>
    <n v="160.60505591747471"/>
    <n v="7.9739440825253034"/>
    <n v="168.57900000000001"/>
  </r>
  <r>
    <x v="0"/>
    <x v="0"/>
    <n v="0"/>
    <n v="18"/>
    <n v="5"/>
    <n v="20260314"/>
    <n v="20260405"/>
    <n v="84.212400000000002"/>
    <n v="23"/>
    <n v="3.6614086956521739"/>
    <n v="0"/>
    <n v="65.905356521739122"/>
    <n v="11.361670728397065"/>
    <n v="77.267027250136181"/>
    <n v="0"/>
    <n v="71.829452265377824"/>
    <n v="12.382947734622194"/>
    <n v="84.212400000000017"/>
  </r>
  <r>
    <x v="0"/>
    <x v="0"/>
    <n v="26"/>
    <n v="7"/>
    <n v="0"/>
    <n v="20260203"/>
    <n v="20260307"/>
    <n v="168.9427"/>
    <n v="33"/>
    <n v="5.1194757575757572"/>
    <n v="180.53999520022657"/>
    <n v="35.836330303030302"/>
    <n v="0"/>
    <n v="216.37632550325688"/>
    <n v="140.96234500781472"/>
    <n v="27.980354992185266"/>
    <n v="0"/>
    <n v="168.94269999999997"/>
  </r>
  <r>
    <x v="0"/>
    <x v="0"/>
    <n v="26"/>
    <n v="5"/>
    <n v="0"/>
    <n v="20260203"/>
    <n v="20260305"/>
    <n v="380.01429999999999"/>
    <n v="31"/>
    <n v="12.258525806451612"/>
    <n v="432.30094155316982"/>
    <n v="61.292629032258063"/>
    <n v="0"/>
    <n v="493.59357058542787"/>
    <n v="332.82552586498116"/>
    <n v="47.188774135018818"/>
    <n v="0"/>
    <n v="380.01429999999999"/>
  </r>
  <r>
    <x v="0"/>
    <x v="0"/>
    <n v="23"/>
    <n v="7"/>
    <n v="0"/>
    <n v="20260206"/>
    <n v="20260307"/>
    <n v="211.21299999999999"/>
    <n v="30"/>
    <n v="7.0404333333333335"/>
    <n v="219.63513445170918"/>
    <n v="49.283033333333336"/>
    <n v="0"/>
    <n v="268.9181677850425"/>
    <n v="172.50524958964522"/>
    <n v="38.707750410354777"/>
    <n v="0"/>
    <n v="211.21299999999999"/>
  </r>
  <r>
    <x v="0"/>
    <x v="0"/>
    <n v="22"/>
    <n v="3"/>
    <n v="0"/>
    <n v="20260207"/>
    <n v="20260303"/>
    <n v="42.223799999999997"/>
    <n v="25"/>
    <n v="1.6889519999999998"/>
    <n v="50.398147787271583"/>
    <n v="5.0668559999999996"/>
    <n v="0"/>
    <n v="55.465003787271584"/>
    <n v="38.366558500597151"/>
    <n v="3.8572414994028459"/>
    <n v="0"/>
    <n v="42.223799999999997"/>
  </r>
  <r>
    <x v="0"/>
    <x v="0"/>
    <n v="27"/>
    <n v="13"/>
    <n v="0"/>
    <n v="20260202"/>
    <n v="20260313"/>
    <n v="2026.9801"/>
    <n v="40"/>
    <n v="50.674502500000003"/>
    <n v="1855.7857929091131"/>
    <n v="658.76853249999999"/>
    <n v="0"/>
    <n v="2514.5543254091131"/>
    <n v="1495.9473470422963"/>
    <n v="531.03275295770391"/>
    <n v="0"/>
    <n v="2026.9801000000002"/>
  </r>
  <r>
    <x v="0"/>
    <x v="0"/>
    <n v="25"/>
    <n v="21"/>
    <n v="0"/>
    <n v="20260204"/>
    <n v="20260321"/>
    <n v="84.378399999999999"/>
    <n v="46"/>
    <n v="1.8343130434782609"/>
    <n v="62.199665729599104"/>
    <n v="38.520573913043478"/>
    <n v="0"/>
    <n v="100.72023964264258"/>
    <n v="52.107781846225819"/>
    <n v="32.27061815377418"/>
    <n v="0"/>
    <n v="84.378399999999999"/>
  </r>
  <r>
    <x v="0"/>
    <x v="0"/>
    <n v="27"/>
    <n v="31"/>
    <n v="0"/>
    <n v="20260202"/>
    <n v="20260331"/>
    <n v="3038.5493000000001"/>
    <n v="58"/>
    <n v="52.388781034482761"/>
    <n v="1918.5655656238459"/>
    <n v="1624.0522120689657"/>
    <n v="0"/>
    <n v="3542.6177776928116"/>
    <n v="1645.5786150960664"/>
    <n v="1392.9706849039337"/>
    <n v="0"/>
    <n v="3038.5493000000001"/>
  </r>
  <r>
    <x v="0"/>
    <x v="0"/>
    <n v="25"/>
    <n v="30"/>
    <n v="0"/>
    <n v="20260204"/>
    <n v="20260330"/>
    <n v="1941.1132"/>
    <n v="55"/>
    <n v="35.292967272727275"/>
    <n v="1196.7481639920713"/>
    <n v="1058.7890181818182"/>
    <n v="0"/>
    <n v="2255.5371821738895"/>
    <n v="1029.920356250497"/>
    <n v="911.19284374950303"/>
    <n v="0"/>
    <n v="1941.1132"/>
  </r>
  <r>
    <x v="0"/>
    <x v="0"/>
    <n v="23"/>
    <n v="31"/>
    <n v="0"/>
    <n v="20260206"/>
    <n v="20260331"/>
    <n v="295.41449999999998"/>
    <n v="54"/>
    <n v="5.4706388888888888"/>
    <n v="170.6634309296104"/>
    <n v="169.58980555555556"/>
    <n v="0"/>
    <n v="340.25323648516598"/>
    <n v="148.17332125084252"/>
    <n v="147.24117874915743"/>
    <n v="0"/>
    <n v="295.41449999999998"/>
  </r>
  <r>
    <x v="0"/>
    <x v="0"/>
    <n v="24"/>
    <n v="31"/>
    <n v="0"/>
    <n v="20260205"/>
    <n v="20260331"/>
    <n v="970.57939999999996"/>
    <n v="55"/>
    <n v="17.64689818181818"/>
    <n v="574.45261325315039"/>
    <n v="547.05384363636358"/>
    <n v="0"/>
    <n v="1121.5064568895141"/>
    <n v="497.14548612233472"/>
    <n v="473.43391387766513"/>
    <n v="0"/>
    <n v="970.57939999999985"/>
  </r>
  <r>
    <x v="0"/>
    <x v="0"/>
    <n v="27"/>
    <n v="18"/>
    <n v="0"/>
    <n v="20260202"/>
    <n v="20260318"/>
    <n v="1772.6529"/>
    <n v="45"/>
    <n v="39.392286666666671"/>
    <n v="1442.6120107681984"/>
    <n v="709.06116000000009"/>
    <n v="0"/>
    <n v="2151.6731707681984"/>
    <n v="1188.4938657064163"/>
    <n v="584.15903429358377"/>
    <n v="0"/>
    <n v="1772.6529"/>
  </r>
  <r>
    <x v="0"/>
    <x v="0"/>
    <n v="10"/>
    <n v="19"/>
    <n v="0"/>
    <n v="20260219"/>
    <n v="20260319"/>
    <n v="42.227800000000002"/>
    <n v="29"/>
    <n v="1.4561310344827587"/>
    <n v="19.750361351970909"/>
    <n v="27.666489655172416"/>
    <n v="0"/>
    <n v="47.416851007143322"/>
    <n v="17.588985590230642"/>
    <n v="24.638814409769363"/>
    <n v="0"/>
    <n v="42.227800000000002"/>
  </r>
  <r>
    <x v="0"/>
    <x v="0"/>
    <n v="3"/>
    <n v="27"/>
    <n v="0"/>
    <n v="20260226"/>
    <n v="20260327"/>
    <n v="168.90710000000001"/>
    <n v="30"/>
    <n v="5.6302366666666668"/>
    <n v="22.909863061180328"/>
    <n v="152.01639"/>
    <n v="0"/>
    <n v="174.92625306118032"/>
    <n v="22.121542440560304"/>
    <n v="146.78555755943972"/>
    <n v="0"/>
    <n v="168.90710000000001"/>
  </r>
  <r>
    <x v="0"/>
    <x v="0"/>
    <n v="26"/>
    <n v="19"/>
    <n v="0"/>
    <n v="20260203"/>
    <n v="20260319"/>
    <n v="548.57550000000003"/>
    <n v="45"/>
    <n v="12.190566666666667"/>
    <n v="429.90434015263986"/>
    <n v="231.62076666666667"/>
    <n v="0"/>
    <n v="661.52510681930653"/>
    <n v="356.5019466688542"/>
    <n v="192.07355333114583"/>
    <n v="0"/>
    <n v="548.57550000000003"/>
  </r>
  <r>
    <x v="0"/>
    <x v="0"/>
    <n v="24"/>
    <n v="17"/>
    <n v="0"/>
    <n v="20260205"/>
    <n v="20260317"/>
    <n v="548.67830000000004"/>
    <n v="41"/>
    <n v="13.38239756097561"/>
    <n v="435.63198309919454"/>
    <n v="227.50075853658538"/>
    <n v="0"/>
    <n v="663.13274163577989"/>
    <n v="360.44339376591296"/>
    <n v="188.23490623408716"/>
    <n v="0"/>
    <n v="548.67830000000015"/>
  </r>
  <r>
    <x v="0"/>
    <x v="0"/>
    <n v="21"/>
    <n v="30"/>
    <n v="0"/>
    <n v="20260208"/>
    <n v="20260330"/>
    <n v="42.21"/>
    <n v="51"/>
    <n v="0.8276470588235294"/>
    <n v="23.574313714068271"/>
    <n v="24.829411764705881"/>
    <n v="0"/>
    <n v="48.403725478774149"/>
    <n v="20.557751950460457"/>
    <n v="21.652248049539548"/>
    <n v="0"/>
    <n v="42.210000000000008"/>
  </r>
  <r>
    <x v="0"/>
    <x v="0"/>
    <n v="26"/>
    <n v="31"/>
    <n v="2"/>
    <n v="20260203"/>
    <n v="20260402"/>
    <n v="416589.55160000001"/>
    <n v="59"/>
    <n v="7060.8398576271184"/>
    <n v="249002.83825334717"/>
    <n v="218886.03558644067"/>
    <n v="8764.1609223863979"/>
    <n v="476653.03476217424"/>
    <n v="217625.76375255061"/>
    <n v="191304.00682742739"/>
    <n v="7659.7810200220065"/>
    <n v="416589.55160000001"/>
  </r>
  <r>
    <x v="0"/>
    <x v="0"/>
    <n v="26"/>
    <n v="31"/>
    <n v="7"/>
    <n v="20260203"/>
    <n v="20260407"/>
    <n v="20883.665099999998"/>
    <n v="64"/>
    <n v="326.30726718749997"/>
    <n v="11507.333024217083"/>
    <n v="10115.525282812499"/>
    <n v="1417.5838995132804"/>
    <n v="23040.442206542863"/>
    <n v="10430.150902384881"/>
    <n v="9168.6279465960051"/>
    <n v="1284.8862510191129"/>
    <n v="20883.665100000002"/>
  </r>
  <r>
    <x v="0"/>
    <x v="0"/>
    <n v="27"/>
    <n v="31"/>
    <n v="3"/>
    <n v="20260202"/>
    <n v="20260403"/>
    <n v="1045795.8992"/>
    <n v="61"/>
    <n v="17144.195068852459"/>
    <n v="627849.3536199762"/>
    <n v="531470.04713442619"/>
    <n v="31919.960124694251"/>
    <n v="1191239.3608790967"/>
    <n v="551192.56540229684"/>
    <n v="466580.61687169585"/>
    <n v="28022.716926007291"/>
    <n v="1045795.8992"/>
  </r>
  <r>
    <x v="0"/>
    <x v="0"/>
    <n v="24"/>
    <n v="31"/>
    <n v="4"/>
    <n v="20260205"/>
    <n v="20260404"/>
    <n v="331427.40379999997"/>
    <n v="59"/>
    <n v="5617.413623728813"/>
    <n v="182861.48095984486"/>
    <n v="174139.8223355932"/>
    <n v="13945.059782876882"/>
    <n v="370946.36307831493"/>
    <n v="163380.24016897936"/>
    <n v="155587.74787797031"/>
    <n v="12459.415753050307"/>
    <n v="331427.40379999997"/>
  </r>
  <r>
    <x v="0"/>
    <x v="0"/>
    <n v="25"/>
    <n v="31"/>
    <n v="6"/>
    <n v="20260204"/>
    <n v="20260406"/>
    <n v="157661.1238"/>
    <n v="62"/>
    <n v="2542.9213516129034"/>
    <n v="86227.843502142918"/>
    <n v="78830.561900000001"/>
    <n v="9469.0882619723434"/>
    <n v="174527.49366411526"/>
    <n v="77894.768463025335"/>
    <n v="71212.361548367902"/>
    <n v="8553.9937886067655"/>
    <n v="157661.1238"/>
  </r>
  <r>
    <x v="0"/>
    <x v="0"/>
    <n v="25"/>
    <n v="31"/>
    <n v="4"/>
    <n v="20260204"/>
    <n v="20260404"/>
    <n v="312946.79330000002"/>
    <n v="60"/>
    <n v="5215.7798883333335"/>
    <n v="176861.72309952497"/>
    <n v="161689.17653833333"/>
    <n v="12948.01615638453"/>
    <n v="351498.91579424281"/>
    <n v="157463.66948656013"/>
    <n v="143955.23580678363"/>
    <n v="11527.88800665626"/>
    <n v="312946.79330000002"/>
  </r>
  <r>
    <x v="0"/>
    <x v="0"/>
    <n v="20"/>
    <n v="31"/>
    <n v="6"/>
    <n v="20260209"/>
    <n v="20260406"/>
    <n v="43297.295400000003"/>
    <n v="57"/>
    <n v="759.6016736842106"/>
    <n v="20605.848214963906"/>
    <n v="23547.651884210529"/>
    <n v="2828.5323443037496"/>
    <n v="46982.03244347818"/>
    <n v="18989.759504427373"/>
    <n v="21700.84150432617"/>
    <n v="2606.694391246464"/>
    <n v="43297.295400000003"/>
  </r>
  <r>
    <x v="0"/>
    <x v="0"/>
    <n v="25"/>
    <n v="31"/>
    <n v="8"/>
    <n v="20260204"/>
    <n v="20260408"/>
    <n v="14217.1019"/>
    <n v="64"/>
    <n v="222.14221718749999"/>
    <n v="7532.6137502103284"/>
    <n v="6886.4087328124997"/>
    <n v="1102.9226994768499"/>
    <n v="15521.94518249968"/>
    <n v="6899.3889619467864"/>
    <n v="6307.5067930164169"/>
    <n v="1010.2061450367949"/>
    <n v="14217.101899999998"/>
  </r>
  <r>
    <x v="0"/>
    <x v="0"/>
    <n v="23"/>
    <n v="31"/>
    <n v="8"/>
    <n v="20260206"/>
    <n v="20260408"/>
    <n v="17677.2844"/>
    <n v="62"/>
    <n v="285.11749032258064"/>
    <n v="8894.5971585367224"/>
    <n v="8838.6422000000002"/>
    <n v="1415.5911293044398"/>
    <n v="19148.830487841165"/>
    <n v="8211.0666599050273"/>
    <n v="8159.4117185616433"/>
    <n v="1306.8060215333253"/>
    <n v="17677.284399999997"/>
  </r>
  <r>
    <x v="0"/>
    <x v="0"/>
    <n v="19"/>
    <n v="31"/>
    <n v="5"/>
    <n v="20260210"/>
    <n v="20260405"/>
    <n v="12323.293"/>
    <n v="55"/>
    <n v="224.05987272727273"/>
    <n v="5774.2060003433207"/>
    <n v="6945.8560545454548"/>
    <n v="695.27733967441861"/>
    <n v="13415.339394563192"/>
    <n v="5304.1693759478485"/>
    <n v="6380.4438172229065"/>
    <n v="638.67980682924531"/>
    <n v="12323.293"/>
  </r>
  <r>
    <x v="0"/>
    <x v="0"/>
    <n v="0"/>
    <n v="29"/>
    <n v="1"/>
    <n v="20260303"/>
    <n v="20260401"/>
    <n v="1519.0966000000001"/>
    <n v="30"/>
    <n v="50.636553333333339"/>
    <n v="0"/>
    <n v="1468.4600466666668"/>
    <n v="31.425928849594015"/>
    <n v="1499.8859755162607"/>
    <n v="0"/>
    <n v="1487.2681660746623"/>
    <n v="31.828433925337837"/>
    <n v="1519.0966000000001"/>
  </r>
  <r>
    <x v="0"/>
    <x v="0"/>
    <n v="0"/>
    <n v="25"/>
    <n v="1"/>
    <n v="20260307"/>
    <n v="20260401"/>
    <n v="337.17380000000003"/>
    <n v="26"/>
    <n v="12.968223076923078"/>
    <n v="0"/>
    <n v="324.20557692307693"/>
    <n v="8.048305599282779"/>
    <n v="332.25388252235973"/>
    <n v="0"/>
    <n v="329.00631746564972"/>
    <n v="8.1674825343503077"/>
    <n v="337.17380000000003"/>
  </r>
  <r>
    <x v="0"/>
    <x v="0"/>
    <n v="9"/>
    <n v="31"/>
    <n v="2"/>
    <n v="20260220"/>
    <n v="20260402"/>
    <n v="253.34280000000001"/>
    <n v="42"/>
    <n v="6.0319714285714285"/>
    <n v="73.63365748140329"/>
    <n v="186.99111428571427"/>
    <n v="7.4870935108565053"/>
    <n v="268.11186527797406"/>
    <n v="69.577513629390907"/>
    <n v="176.69062284560755"/>
    <n v="7.0746635250015686"/>
    <n v="253.34280000000004"/>
  </r>
  <r>
    <x v="0"/>
    <x v="0"/>
    <n v="4"/>
    <n v="31"/>
    <n v="8"/>
    <n v="20260225"/>
    <n v="20260408"/>
    <n v="84.418000000000006"/>
    <n v="43"/>
    <n v="1.9632093023255814"/>
    <n v="10.651264814022488"/>
    <n v="60.859488372093026"/>
    <n v="9.7472156835969201"/>
    <n v="81.257968869712428"/>
    <n v="11.065480537814635"/>
    <n v="63.226245509938153"/>
    <n v="10.126273952247226"/>
    <n v="84.418000000000021"/>
  </r>
  <r>
    <x v="0"/>
    <x v="0"/>
    <n v="0"/>
    <n v="26"/>
    <n v="1"/>
    <n v="20260306"/>
    <n v="20260401"/>
    <n v="758.9434"/>
    <n v="27"/>
    <n v="28.109014814814813"/>
    <n v="0"/>
    <n v="730.83438518518517"/>
    <n v="17.444945231314868"/>
    <n v="748.27933041649999"/>
    <n v="0"/>
    <n v="741.24983890791623"/>
    <n v="17.693561092083787"/>
    <n v="758.9434"/>
  </r>
  <r>
    <x v="0"/>
    <x v="0"/>
    <n v="4"/>
    <n v="31"/>
    <n v="3"/>
    <n v="20260225"/>
    <n v="20260403"/>
    <n v="168.89920000000001"/>
    <n v="38"/>
    <n v="4.4447157894736842"/>
    <n v="24.114517408139296"/>
    <n v="137.7861894736842"/>
    <n v="8.2754046017218634"/>
    <n v="170.17611148354538"/>
    <n v="23.933574830886993"/>
    <n v="136.75231482418667"/>
    <n v="8.2133103449263398"/>
    <n v="168.89919999999998"/>
  </r>
  <r>
    <x v="0"/>
    <x v="0"/>
    <n v="2"/>
    <n v="31"/>
    <n v="6"/>
    <n v="20260227"/>
    <n v="20260406"/>
    <n v="42.207000000000001"/>
    <n v="39"/>
    <n v="1.0822307692307693"/>
    <n v="2.9357864439887695"/>
    <n v="33.54915384615385"/>
    <n v="4.0299078330395579"/>
    <n v="40.514848123182176"/>
    <n v="3.0584031332091692"/>
    <n v="34.950375034835432"/>
    <n v="4.198221831955399"/>
    <n v="42.207000000000001"/>
  </r>
  <r>
    <x v="0"/>
    <x v="0"/>
    <n v="2"/>
    <n v="31"/>
    <n v="4"/>
    <n v="20260227"/>
    <n v="20260404"/>
    <n v="844.29830000000004"/>
    <n v="37"/>
    <n v="22.818872972972976"/>
    <n v="61.901158094749093"/>
    <n v="707.38506216216228"/>
    <n v="56.64716346359323"/>
    <n v="825.93338372050459"/>
    <n v="63.277551891659193"/>
    <n v="723.11401524728171"/>
    <n v="57.906732861059105"/>
    <n v="844.29830000000004"/>
  </r>
  <r>
    <x v="0"/>
    <x v="0"/>
    <n v="0"/>
    <n v="29"/>
    <n v="4"/>
    <n v="20260303"/>
    <n v="20260404"/>
    <n v="295.29680000000002"/>
    <n v="33"/>
    <n v="8.9483878787878801"/>
    <n v="0"/>
    <n v="259.50324848484854"/>
    <n v="22.214102839597487"/>
    <n v="281.71735132444604"/>
    <n v="0"/>
    <n v="272.01192438774365"/>
    <n v="23.284875612256364"/>
    <n v="295.29680000000002"/>
  </r>
  <r>
    <x v="0"/>
    <x v="0"/>
    <n v="28"/>
    <n v="31"/>
    <n v="1"/>
    <n v="20260126"/>
    <n v="20260401"/>
    <n v="1687.1341"/>
    <n v="60"/>
    <n v="28.118901666666666"/>
    <n v="1067.9009482251251"/>
    <n v="871.6859516666666"/>
    <n v="17.451081184147153"/>
    <n v="1957.0379810759389"/>
    <n v="920.62194121670052"/>
    <n v="751.46783443582001"/>
    <n v="15.044324347479586"/>
    <n v="1687.1341000000002"/>
  </r>
  <r>
    <x v="0"/>
    <x v="0"/>
    <n v="17"/>
    <n v="31"/>
    <n v="2"/>
    <n v="20260212"/>
    <n v="20260402"/>
    <n v="126.6418"/>
    <n v="50"/>
    <n v="2.5328360000000001"/>
    <n v="58.402384540334403"/>
    <n v="78.517916"/>
    <n v="3.1438444634932488"/>
    <n v="140.06414500382766"/>
    <n v="52.805684868729244"/>
    <n v="70.993545237555708"/>
    <n v="2.842569893715047"/>
    <n v="126.6418"/>
  </r>
  <r>
    <x v="0"/>
    <x v="0"/>
    <n v="17"/>
    <n v="31"/>
    <n v="3"/>
    <n v="20260212"/>
    <n v="20260403"/>
    <n v="928.6413"/>
    <n v="51"/>
    <n v="18.208652941176471"/>
    <n v="419.85693153132661"/>
    <n v="564.46824117647054"/>
    <n v="33.901823531085931"/>
    <n v="1018.2269962388831"/>
    <n v="382.91705891854951"/>
    <n v="514.80516940826897"/>
    <n v="30.919071673181392"/>
    <n v="928.64129999999989"/>
  </r>
  <r>
    <x v="0"/>
    <x v="0"/>
    <n v="28"/>
    <n v="31"/>
    <n v="4"/>
    <n v="20260128"/>
    <n v="20260404"/>
    <n v="1349.8022000000001"/>
    <n v="63"/>
    <n v="21.425431746031748"/>
    <n v="813.69603795169587"/>
    <n v="664.18838412698415"/>
    <n v="53.18798767288083"/>
    <n v="1531.0724097515608"/>
    <n v="717.35908449731835"/>
    <n v="585.55228113249234"/>
    <n v="46.890834370189552"/>
    <n v="1349.8022000000003"/>
  </r>
  <r>
    <x v="0"/>
    <x v="0"/>
    <n v="28"/>
    <n v="31"/>
    <n v="1"/>
    <n v="20260128"/>
    <n v="20260401"/>
    <n v="84.370500000000007"/>
    <n v="60"/>
    <n v="1.4061750000000002"/>
    <n v="53.403779197058441"/>
    <n v="43.591425000000008"/>
    <n v="0.87269674950384057"/>
    <n v="97.867900946562301"/>
    <n v="46.038624606913942"/>
    <n v="37.579536164474035"/>
    <n v="0.75233922861201519"/>
    <n v="84.370499999999993"/>
  </r>
  <r>
    <x v="0"/>
    <x v="0"/>
    <n v="22"/>
    <n v="31"/>
    <n v="10"/>
    <n v="20260207"/>
    <n v="20260410"/>
    <n v="421.92189999999999"/>
    <n v="63"/>
    <n v="6.6971730158730161"/>
    <n v="199.84292946803438"/>
    <n v="207.61236349206351"/>
    <n v="41.563824714684976"/>
    <n v="449.01911767478288"/>
    <n v="187.78289205002017"/>
    <n v="195.08345952322358"/>
    <n v="39.055548426756246"/>
    <n v="421.92189999999994"/>
  </r>
  <r>
    <x v="0"/>
    <x v="0"/>
    <n v="24"/>
    <n v="31"/>
    <n v="14"/>
    <n v="20260205"/>
    <n v="20260414"/>
    <n v="548.43420000000003"/>
    <n v="69"/>
    <n v="7.948321739130435"/>
    <n v="258.73862630003964"/>
    <n v="246.39797391304347"/>
    <n v="69.060140907424611"/>
    <n v="574.19674112050768"/>
    <n v="247.12977514823646"/>
    <n v="235.34281201407978"/>
    <n v="65.961612837683816"/>
    <n v="548.43420000000003"/>
  </r>
  <r>
    <x v="0"/>
    <x v="0"/>
    <n v="0"/>
    <n v="8"/>
    <n v="7"/>
    <n v="20260324"/>
    <n v="20260407"/>
    <n v="126.5528"/>
    <n v="15"/>
    <n v="8.4368533333333335"/>
    <n v="0"/>
    <n v="67.494826666666668"/>
    <n v="36.652409095798525"/>
    <n v="104.14723576246519"/>
    <n v="0"/>
    <n v="82.015228130133053"/>
    <n v="44.537571869866966"/>
    <n v="126.55280000000002"/>
  </r>
  <r>
    <x v="0"/>
    <x v="0"/>
    <n v="0"/>
    <n v="14"/>
    <n v="2"/>
    <n v="20260318"/>
    <n v="20260402"/>
    <n v="126.4936"/>
    <n v="16"/>
    <n v="7.90585"/>
    <n v="0"/>
    <n v="110.6819"/>
    <n v="9.8130170100662255"/>
    <n v="120.49491701006622"/>
    <n v="0"/>
    <n v="116.19205467953795"/>
    <n v="10.30154532046207"/>
    <n v="126.49360000000001"/>
  </r>
  <r>
    <x v="0"/>
    <x v="0"/>
    <n v="0"/>
    <n v="11"/>
    <n v="2"/>
    <n v="20260321"/>
    <n v="20260402"/>
    <n v="42.223799999999997"/>
    <n v="13"/>
    <n v="3.247984615384615"/>
    <n v="0"/>
    <n v="35.727830769230764"/>
    <n v="4.0315118904611946"/>
    <n v="39.75934265969196"/>
    <n v="0"/>
    <n v="37.942397432119257"/>
    <n v="4.2814025678807397"/>
    <n v="42.223799999999997"/>
  </r>
  <r>
    <x v="0"/>
    <x v="0"/>
    <n v="0"/>
    <n v="18"/>
    <n v="4"/>
    <n v="20260314"/>
    <n v="20260404"/>
    <n v="168.43680000000001"/>
    <n v="22"/>
    <n v="7.6562181818181818"/>
    <n v="0"/>
    <n v="137.81192727272727"/>
    <n v="19.006330565583745"/>
    <n v="156.81825783831101"/>
    <n v="0"/>
    <n v="148.02230525723917"/>
    <n v="20.414494742760855"/>
    <n v="168.43680000000003"/>
  </r>
  <r>
    <x v="0"/>
    <x v="0"/>
    <n v="0"/>
    <n v="19"/>
    <n v="1"/>
    <n v="20260313"/>
    <n v="20260401"/>
    <n v="547.58630000000005"/>
    <n v="20"/>
    <n v="27.379315000000002"/>
    <n v="0"/>
    <n v="520.20698500000003"/>
    <n v="16.992080789476233"/>
    <n v="537.19906578947621"/>
    <n v="0"/>
    <n v="530.2656618206762"/>
    <n v="17.320638179323968"/>
    <n v="547.58630000000016"/>
  </r>
  <r>
    <x v="0"/>
    <x v="0"/>
    <n v="0"/>
    <n v="23"/>
    <n v="3"/>
    <n v="20260309"/>
    <n v="20260403"/>
    <n v="42.119100000000003"/>
    <n v="26"/>
    <n v="1.6199653846153848"/>
    <n v="0"/>
    <n v="37.259203846153852"/>
    <n v="3.0161363815938667"/>
    <n v="40.275340227747719"/>
    <n v="0"/>
    <n v="38.964888287532133"/>
    <n v="3.1542117124678701"/>
    <n v="42.119100000000003"/>
  </r>
  <r>
    <x v="0"/>
    <x v="0"/>
    <n v="0"/>
    <n v="20"/>
    <n v="2"/>
    <n v="20260312"/>
    <n v="20260402"/>
    <n v="126.34529999999999"/>
    <n v="22"/>
    <n v="5.7429681818181813"/>
    <n v="0"/>
    <n v="114.85936363636363"/>
    <n v="7.1283725919984464"/>
    <n v="121.98773622836207"/>
    <n v="0"/>
    <n v="118.96229248224574"/>
    <n v="7.3830075177542636"/>
    <n v="126.34530000000001"/>
  </r>
  <r>
    <x v="0"/>
    <x v="0"/>
    <n v="0"/>
    <n v="8"/>
    <n v="2"/>
    <n v="20260324"/>
    <n v="20260402"/>
    <n v="84.544499999999999"/>
    <n v="10"/>
    <n v="8.4544499999999996"/>
    <n v="0"/>
    <n v="67.635599999999997"/>
    <n v="10.493958481473136"/>
    <n v="78.12955848147314"/>
    <n v="0"/>
    <n v="73.188919729476794"/>
    <n v="11.355580270523207"/>
    <n v="84.5444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1EB60-67C1-458D-B909-6B4DC7972829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8:F10" firstHeaderRow="0" firstDataRow="1" firstDataCol="2"/>
  <pivotFields count="1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2">
    <i>
      <x/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2월보정공급량" fld="14" baseField="0" baseItem="0"/>
    <dataField name="합계 : 3월보정공급량" fld="15" baseField="0" baseItem="0"/>
    <dataField name="합계 : 4월보정공급량" fld="16" baseField="0" baseItem="0"/>
    <dataField name="합계 : 보정공급량합계" fld="17" baseField="0" baseItem="0"/>
  </dataFields>
  <formats count="2"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3089-DA37-4322-B79E-49022DA59CED}">
  <dimension ref="A2:F10"/>
  <sheetViews>
    <sheetView tabSelected="1" workbookViewId="0">
      <selection activeCell="C10" sqref="C10"/>
    </sheetView>
  </sheetViews>
  <sheetFormatPr defaultRowHeight="16.5" x14ac:dyDescent="0.3"/>
  <cols>
    <col min="1" max="1" width="11.875" bestFit="1" customWidth="1"/>
    <col min="2" max="2" width="20.625" customWidth="1"/>
    <col min="3" max="5" width="20.625" bestFit="1" customWidth="1"/>
    <col min="6" max="6" width="21.5" bestFit="1" customWidth="1"/>
  </cols>
  <sheetData>
    <row r="2" spans="1:6" x14ac:dyDescent="0.3">
      <c r="A2" s="3" t="s">
        <v>19</v>
      </c>
      <c r="B2" s="4" t="s">
        <v>21</v>
      </c>
      <c r="C2" s="4" t="s">
        <v>25</v>
      </c>
      <c r="D2" s="4" t="s">
        <v>29</v>
      </c>
    </row>
    <row r="3" spans="1:6" x14ac:dyDescent="0.3">
      <c r="A3" s="3" t="s">
        <v>14</v>
      </c>
      <c r="B3" s="5">
        <v>5709938</v>
      </c>
      <c r="C3" s="5">
        <v>4660800</v>
      </c>
      <c r="D3" s="5">
        <v>2799265</v>
      </c>
    </row>
    <row r="4" spans="1:6" x14ac:dyDescent="0.3">
      <c r="A4" s="3" t="s">
        <v>15</v>
      </c>
      <c r="B4" s="5">
        <v>28</v>
      </c>
      <c r="C4" s="5">
        <v>31</v>
      </c>
      <c r="D4" s="5">
        <v>30</v>
      </c>
    </row>
    <row r="5" spans="1:6" x14ac:dyDescent="0.3">
      <c r="A5" s="3" t="s">
        <v>11</v>
      </c>
      <c r="B5" s="5">
        <f>B3/B4</f>
        <v>203926.35714285713</v>
      </c>
      <c r="C5" s="5">
        <f>C3/C4</f>
        <v>150348.38709677418</v>
      </c>
      <c r="D5" s="5">
        <f>D3/D4</f>
        <v>93308.833333333328</v>
      </c>
    </row>
    <row r="6" spans="1:6" x14ac:dyDescent="0.3">
      <c r="A6" s="3" t="s">
        <v>16</v>
      </c>
      <c r="B6" s="5">
        <f>B5/C5</f>
        <v>1.3563587949340394</v>
      </c>
      <c r="C6" s="5">
        <v>1</v>
      </c>
      <c r="D6" s="5">
        <f>D5/C5</f>
        <v>0.62061745480032038</v>
      </c>
    </row>
    <row r="7" spans="1:6" ht="17.25" thickBot="1" x14ac:dyDescent="0.35"/>
    <row r="8" spans="1:6" x14ac:dyDescent="0.3">
      <c r="A8" s="2" t="s">
        <v>1</v>
      </c>
      <c r="B8" s="2" t="s">
        <v>20</v>
      </c>
      <c r="C8" s="7" t="s">
        <v>24</v>
      </c>
      <c r="D8" t="s">
        <v>28</v>
      </c>
      <c r="E8" t="s">
        <v>32</v>
      </c>
      <c r="F8" t="s">
        <v>18</v>
      </c>
    </row>
    <row r="9" spans="1:6" x14ac:dyDescent="0.3">
      <c r="A9" t="s">
        <v>0</v>
      </c>
      <c r="B9" t="s">
        <v>0</v>
      </c>
      <c r="C9" s="8">
        <v>9660215.1850740891</v>
      </c>
      <c r="D9" s="6">
        <v>8616858.3500754591</v>
      </c>
      <c r="E9" s="6">
        <v>427913.40285044844</v>
      </c>
      <c r="F9" s="6">
        <v>18704986.938000001</v>
      </c>
    </row>
    <row r="10" spans="1:6" ht="17.25" thickBot="1" x14ac:dyDescent="0.35">
      <c r="A10" t="s">
        <v>17</v>
      </c>
      <c r="C10" s="9">
        <v>9660215.1850740891</v>
      </c>
      <c r="D10" s="6">
        <v>8616858.3500754591</v>
      </c>
      <c r="E10" s="6">
        <v>427913.40285044844</v>
      </c>
      <c r="F10" s="6">
        <v>18704986.938000001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D250-BD35-43B0-BC0C-0A915CDB444C}">
  <dimension ref="A2:R401"/>
  <sheetViews>
    <sheetView workbookViewId="0"/>
  </sheetViews>
  <sheetFormatPr defaultRowHeight="16.5" x14ac:dyDescent="0.3"/>
  <cols>
    <col min="1" max="1" width="10.375" customWidth="1"/>
    <col min="2" max="2" width="13.625" customWidth="1"/>
    <col min="3" max="4" width="12.75" bestFit="1" customWidth="1"/>
    <col min="6" max="7" width="15.125" bestFit="1" customWidth="1"/>
    <col min="8" max="9" width="12.75" bestFit="1" customWidth="1"/>
    <col min="11" max="13" width="10.625" bestFit="1" customWidth="1"/>
    <col min="14" max="14" width="11.625" bestFit="1" customWidth="1"/>
    <col min="15" max="17" width="14.125" bestFit="1" customWidth="1"/>
    <col min="18" max="18" width="15.125" bestFit="1" customWidth="1"/>
  </cols>
  <sheetData>
    <row r="2" spans="1:18" x14ac:dyDescent="0.3">
      <c r="B2" s="1" t="s">
        <v>21</v>
      </c>
      <c r="C2" s="1" t="s">
        <v>25</v>
      </c>
      <c r="D2" s="1" t="s">
        <v>29</v>
      </c>
    </row>
    <row r="3" spans="1:18" x14ac:dyDescent="0.3">
      <c r="A3" t="s">
        <v>14</v>
      </c>
      <c r="B3">
        <v>5709938</v>
      </c>
      <c r="C3">
        <v>4660800</v>
      </c>
      <c r="D3">
        <v>2799265</v>
      </c>
    </row>
    <row r="4" spans="1:18" x14ac:dyDescent="0.3">
      <c r="A4" t="s">
        <v>15</v>
      </c>
      <c r="B4">
        <v>28</v>
      </c>
      <c r="C4">
        <v>31</v>
      </c>
      <c r="D4">
        <v>30</v>
      </c>
    </row>
    <row r="5" spans="1:18" x14ac:dyDescent="0.3">
      <c r="A5" t="s">
        <v>11</v>
      </c>
      <c r="B5">
        <f>B3/B4</f>
        <v>203926.35714285713</v>
      </c>
      <c r="C5">
        <f>C3/C4</f>
        <v>150348.38709677418</v>
      </c>
      <c r="D5">
        <f>D3/D4</f>
        <v>93308.833333333328</v>
      </c>
    </row>
    <row r="6" spans="1:18" x14ac:dyDescent="0.3">
      <c r="A6" t="s">
        <v>16</v>
      </c>
      <c r="B6">
        <f>B5/C5</f>
        <v>1.3563587949340394</v>
      </c>
      <c r="C6">
        <v>1</v>
      </c>
      <c r="D6">
        <f>D5/C5</f>
        <v>0.62061745480032038</v>
      </c>
    </row>
    <row r="9" spans="1:18" x14ac:dyDescent="0.3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  <c r="J9" t="s">
        <v>11</v>
      </c>
      <c r="K9" t="s">
        <v>22</v>
      </c>
      <c r="L9" t="s">
        <v>26</v>
      </c>
      <c r="M9" t="s">
        <v>30</v>
      </c>
      <c r="N9" t="s">
        <v>12</v>
      </c>
      <c r="O9" t="s">
        <v>23</v>
      </c>
      <c r="P9" t="s">
        <v>27</v>
      </c>
      <c r="Q9" t="s">
        <v>31</v>
      </c>
      <c r="R9" t="s">
        <v>13</v>
      </c>
    </row>
    <row r="10" spans="1:18" x14ac:dyDescent="0.3">
      <c r="A10" t="s">
        <v>0</v>
      </c>
      <c r="B10" t="s">
        <v>0</v>
      </c>
      <c r="C10">
        <v>27</v>
      </c>
      <c r="D10">
        <v>10</v>
      </c>
      <c r="E10">
        <v>0</v>
      </c>
      <c r="F10">
        <v>20260202</v>
      </c>
      <c r="G10">
        <v>20260310</v>
      </c>
      <c r="H10">
        <v>2281.0464000000002</v>
      </c>
      <c r="I10">
        <f>IF(C10&lt;0,0,C10)+D10+E10</f>
        <v>37</v>
      </c>
      <c r="J10">
        <f>H10/I10</f>
        <v>61.649902702702704</v>
      </c>
      <c r="K10">
        <f t="shared" ref="K10" si="0">IF(C10&lt;0,0,C10)*$J10*$B$6</f>
        <v>2257.7234689162428</v>
      </c>
      <c r="L10">
        <f t="shared" ref="L10" si="1">IF(D10&lt;0,0,D10)*$J10*$C$6</f>
        <v>616.49902702702707</v>
      </c>
      <c r="M10">
        <f t="shared" ref="M10" si="2">IF(E10&lt;0,0,E10)*$J10*$D$6</f>
        <v>0</v>
      </c>
      <c r="N10">
        <f>K10+L10+M10</f>
        <v>2874.2224959432697</v>
      </c>
      <c r="O10">
        <f>K10/$N10*$H10</f>
        <v>1791.7791674916166</v>
      </c>
      <c r="P10">
        <f>L10/$N10*$H10</f>
        <v>489.26723250838376</v>
      </c>
      <c r="Q10">
        <f>M10/$N10*$H10</f>
        <v>0</v>
      </c>
      <c r="R10">
        <f>O10+P10+Q10</f>
        <v>2281.0464000000002</v>
      </c>
    </row>
    <row r="11" spans="1:18" x14ac:dyDescent="0.3">
      <c r="A11" t="s">
        <v>0</v>
      </c>
      <c r="B11" t="s">
        <v>0</v>
      </c>
      <c r="C11">
        <v>24</v>
      </c>
      <c r="D11">
        <v>6</v>
      </c>
      <c r="E11">
        <v>0</v>
      </c>
      <c r="F11">
        <v>20260205</v>
      </c>
      <c r="G11">
        <v>20260306</v>
      </c>
      <c r="H11">
        <v>126.7011</v>
      </c>
      <c r="I11">
        <f t="shared" ref="I11:I74" si="3">IF(C11&lt;0,0,C11)+D11+E11</f>
        <v>30</v>
      </c>
      <c r="J11">
        <f t="shared" ref="J11:J74" si="4">H11/I11</f>
        <v>4.2233700000000001</v>
      </c>
      <c r="K11">
        <f t="shared" ref="K11:K74" si="5">IF(C11&lt;0,0,C11)*$J11*$B$6</f>
        <v>137.48172105025378</v>
      </c>
      <c r="L11">
        <f t="shared" ref="L11:L74" si="6">IF(D11&lt;0,0,D11)*$J11*$C$6</f>
        <v>25.340220000000002</v>
      </c>
      <c r="M11">
        <f t="shared" ref="M11:M74" si="7">IF(E11&lt;0,0,E11)*$J11*$D$6</f>
        <v>0</v>
      </c>
      <c r="N11">
        <f t="shared" ref="N11:N74" si="8">K11+L11+M11</f>
        <v>162.82194105025377</v>
      </c>
      <c r="O11">
        <f t="shared" ref="O11:O74" si="9">K11/$N11*$H11</f>
        <v>106.98242002645109</v>
      </c>
      <c r="P11">
        <f t="shared" ref="P11:P74" si="10">L11/$N11*$H11</f>
        <v>19.718679973548909</v>
      </c>
      <c r="Q11">
        <f t="shared" ref="Q11:Q74" si="11">M11/$N11*$H11</f>
        <v>0</v>
      </c>
      <c r="R11">
        <f t="shared" ref="R11:R74" si="12">O11+P11+Q11</f>
        <v>126.7011</v>
      </c>
    </row>
    <row r="12" spans="1:18" x14ac:dyDescent="0.3">
      <c r="A12" t="s">
        <v>0</v>
      </c>
      <c r="B12" t="s">
        <v>0</v>
      </c>
      <c r="C12">
        <v>25</v>
      </c>
      <c r="D12">
        <v>4</v>
      </c>
      <c r="E12">
        <v>0</v>
      </c>
      <c r="F12">
        <v>20260204</v>
      </c>
      <c r="G12">
        <v>20260304</v>
      </c>
      <c r="H12">
        <v>295.51130000000001</v>
      </c>
      <c r="I12">
        <f t="shared" si="3"/>
        <v>29</v>
      </c>
      <c r="J12">
        <f t="shared" si="4"/>
        <v>10.190044827586208</v>
      </c>
      <c r="K12">
        <f t="shared" si="5"/>
        <v>345.5339230667168</v>
      </c>
      <c r="L12">
        <f t="shared" si="6"/>
        <v>40.760179310344832</v>
      </c>
      <c r="M12">
        <f t="shared" si="7"/>
        <v>0</v>
      </c>
      <c r="N12">
        <f t="shared" si="8"/>
        <v>386.29410237706162</v>
      </c>
      <c r="O12">
        <f t="shared" si="9"/>
        <v>264.33015200391725</v>
      </c>
      <c r="P12">
        <f t="shared" si="10"/>
        <v>31.181147996082764</v>
      </c>
      <c r="Q12">
        <f t="shared" si="11"/>
        <v>0</v>
      </c>
      <c r="R12">
        <f t="shared" si="12"/>
        <v>295.51130000000001</v>
      </c>
    </row>
    <row r="13" spans="1:18" x14ac:dyDescent="0.3">
      <c r="A13" t="s">
        <v>0</v>
      </c>
      <c r="B13" t="s">
        <v>0</v>
      </c>
      <c r="C13">
        <v>23</v>
      </c>
      <c r="D13">
        <v>9</v>
      </c>
      <c r="E13">
        <v>0</v>
      </c>
      <c r="F13">
        <v>20260206</v>
      </c>
      <c r="G13">
        <v>20260309</v>
      </c>
      <c r="H13">
        <v>84.498999999999995</v>
      </c>
      <c r="I13">
        <f t="shared" si="3"/>
        <v>32</v>
      </c>
      <c r="J13">
        <f t="shared" si="4"/>
        <v>2.6405937499999999</v>
      </c>
      <c r="K13">
        <f t="shared" si="5"/>
        <v>82.376628803188183</v>
      </c>
      <c r="L13">
        <f t="shared" si="6"/>
        <v>23.76534375</v>
      </c>
      <c r="M13">
        <f t="shared" si="7"/>
        <v>0</v>
      </c>
      <c r="N13">
        <f t="shared" si="8"/>
        <v>106.14197255318818</v>
      </c>
      <c r="O13">
        <f t="shared" si="9"/>
        <v>65.579549633417074</v>
      </c>
      <c r="P13">
        <f t="shared" si="10"/>
        <v>18.919450366582915</v>
      </c>
      <c r="Q13">
        <f t="shared" si="11"/>
        <v>0</v>
      </c>
      <c r="R13">
        <f t="shared" si="12"/>
        <v>84.498999999999995</v>
      </c>
    </row>
    <row r="14" spans="1:18" x14ac:dyDescent="0.3">
      <c r="A14" t="s">
        <v>0</v>
      </c>
      <c r="B14" t="s">
        <v>0</v>
      </c>
      <c r="C14">
        <v>25</v>
      </c>
      <c r="D14">
        <v>10</v>
      </c>
      <c r="E14">
        <v>0</v>
      </c>
      <c r="F14">
        <v>20260204</v>
      </c>
      <c r="G14">
        <v>20260310</v>
      </c>
      <c r="H14">
        <v>802.55280000000005</v>
      </c>
      <c r="I14">
        <f t="shared" si="3"/>
        <v>35</v>
      </c>
      <c r="J14">
        <f t="shared" si="4"/>
        <v>22.93008</v>
      </c>
      <c r="K14">
        <f t="shared" si="5"/>
        <v>777.53539191352786</v>
      </c>
      <c r="L14">
        <f t="shared" si="6"/>
        <v>229.30080000000001</v>
      </c>
      <c r="M14">
        <f t="shared" si="7"/>
        <v>0</v>
      </c>
      <c r="N14">
        <f t="shared" si="8"/>
        <v>1006.8361919135278</v>
      </c>
      <c r="O14">
        <f t="shared" si="9"/>
        <v>619.77629617519017</v>
      </c>
      <c r="P14">
        <f t="shared" si="10"/>
        <v>182.77650382480996</v>
      </c>
      <c r="Q14">
        <f t="shared" si="11"/>
        <v>0</v>
      </c>
      <c r="R14">
        <f t="shared" si="12"/>
        <v>802.55280000000016</v>
      </c>
    </row>
    <row r="15" spans="1:18" x14ac:dyDescent="0.3">
      <c r="A15" t="s">
        <v>0</v>
      </c>
      <c r="B15" t="s">
        <v>0</v>
      </c>
      <c r="C15">
        <v>27</v>
      </c>
      <c r="D15">
        <v>11</v>
      </c>
      <c r="E15">
        <v>0</v>
      </c>
      <c r="F15">
        <v>20260202</v>
      </c>
      <c r="G15">
        <v>20260311</v>
      </c>
      <c r="H15">
        <v>802.47760000000005</v>
      </c>
      <c r="I15">
        <f t="shared" si="3"/>
        <v>38</v>
      </c>
      <c r="J15">
        <f t="shared" si="4"/>
        <v>21.117831578947371</v>
      </c>
      <c r="K15">
        <f t="shared" si="5"/>
        <v>773.37062798510851</v>
      </c>
      <c r="L15">
        <f t="shared" si="6"/>
        <v>232.29614736842109</v>
      </c>
      <c r="M15">
        <f t="shared" si="7"/>
        <v>0</v>
      </c>
      <c r="N15">
        <f t="shared" si="8"/>
        <v>1005.6667753535296</v>
      </c>
      <c r="O15">
        <f t="shared" si="9"/>
        <v>617.11555026545852</v>
      </c>
      <c r="P15">
        <f t="shared" si="10"/>
        <v>185.36204973454144</v>
      </c>
      <c r="Q15">
        <f t="shared" si="11"/>
        <v>0</v>
      </c>
      <c r="R15">
        <f t="shared" si="12"/>
        <v>802.47759999999994</v>
      </c>
    </row>
    <row r="16" spans="1:18" x14ac:dyDescent="0.3">
      <c r="A16" t="s">
        <v>0</v>
      </c>
      <c r="B16" t="s">
        <v>0</v>
      </c>
      <c r="C16">
        <v>25</v>
      </c>
      <c r="D16">
        <v>5</v>
      </c>
      <c r="E16">
        <v>0</v>
      </c>
      <c r="F16">
        <v>20260204</v>
      </c>
      <c r="G16">
        <v>20260305</v>
      </c>
      <c r="H16">
        <v>380.01429999999999</v>
      </c>
      <c r="I16">
        <f t="shared" si="3"/>
        <v>30</v>
      </c>
      <c r="J16">
        <f t="shared" si="4"/>
        <v>12.667143333333334</v>
      </c>
      <c r="K16">
        <f t="shared" si="5"/>
        <v>429.52978167141879</v>
      </c>
      <c r="L16">
        <f t="shared" si="6"/>
        <v>63.33571666666667</v>
      </c>
      <c r="M16">
        <f t="shared" si="7"/>
        <v>0</v>
      </c>
      <c r="N16">
        <f t="shared" si="8"/>
        <v>492.86549833808544</v>
      </c>
      <c r="O16">
        <f t="shared" si="9"/>
        <v>331.18053477350475</v>
      </c>
      <c r="P16">
        <f t="shared" si="10"/>
        <v>48.833765226495288</v>
      </c>
      <c r="Q16">
        <f t="shared" si="11"/>
        <v>0</v>
      </c>
      <c r="R16">
        <f t="shared" si="12"/>
        <v>380.01430000000005</v>
      </c>
    </row>
    <row r="17" spans="1:18" x14ac:dyDescent="0.3">
      <c r="A17" t="s">
        <v>0</v>
      </c>
      <c r="B17" t="s">
        <v>0</v>
      </c>
      <c r="C17">
        <v>23</v>
      </c>
      <c r="D17">
        <v>17</v>
      </c>
      <c r="E17">
        <v>0</v>
      </c>
      <c r="F17">
        <v>20260206</v>
      </c>
      <c r="G17">
        <v>20260317</v>
      </c>
      <c r="H17">
        <v>168.8398</v>
      </c>
      <c r="I17">
        <f t="shared" si="3"/>
        <v>40</v>
      </c>
      <c r="J17">
        <f t="shared" si="4"/>
        <v>4.2209950000000003</v>
      </c>
      <c r="K17">
        <f t="shared" si="5"/>
        <v>131.67922490731993</v>
      </c>
      <c r="L17">
        <f t="shared" si="6"/>
        <v>71.756915000000006</v>
      </c>
      <c r="M17">
        <f t="shared" si="7"/>
        <v>0</v>
      </c>
      <c r="N17">
        <f t="shared" si="8"/>
        <v>203.43613990731996</v>
      </c>
      <c r="O17">
        <f t="shared" si="9"/>
        <v>109.28586242166969</v>
      </c>
      <c r="P17">
        <f t="shared" si="10"/>
        <v>59.553937578330292</v>
      </c>
      <c r="Q17">
        <f t="shared" si="11"/>
        <v>0</v>
      </c>
      <c r="R17">
        <f t="shared" si="12"/>
        <v>168.83979999999997</v>
      </c>
    </row>
    <row r="18" spans="1:18" x14ac:dyDescent="0.3">
      <c r="A18" t="s">
        <v>0</v>
      </c>
      <c r="B18" t="s">
        <v>0</v>
      </c>
      <c r="C18">
        <v>26</v>
      </c>
      <c r="D18">
        <v>20</v>
      </c>
      <c r="E18">
        <v>0</v>
      </c>
      <c r="F18">
        <v>20260203</v>
      </c>
      <c r="G18">
        <v>20260320</v>
      </c>
      <c r="H18">
        <v>970.48860000000002</v>
      </c>
      <c r="I18">
        <f t="shared" si="3"/>
        <v>46</v>
      </c>
      <c r="J18">
        <f t="shared" si="4"/>
        <v>21.097578260869565</v>
      </c>
      <c r="K18">
        <f t="shared" si="5"/>
        <v>744.01303147443036</v>
      </c>
      <c r="L18">
        <f t="shared" si="6"/>
        <v>421.95156521739131</v>
      </c>
      <c r="M18">
        <f t="shared" si="7"/>
        <v>0</v>
      </c>
      <c r="N18">
        <f t="shared" si="8"/>
        <v>1165.9645966918217</v>
      </c>
      <c r="O18">
        <f t="shared" si="9"/>
        <v>619.27795007331929</v>
      </c>
      <c r="P18">
        <f t="shared" si="10"/>
        <v>351.21064992668067</v>
      </c>
      <c r="Q18">
        <f t="shared" si="11"/>
        <v>0</v>
      </c>
      <c r="R18">
        <f t="shared" si="12"/>
        <v>970.48859999999991</v>
      </c>
    </row>
    <row r="19" spans="1:18" x14ac:dyDescent="0.3">
      <c r="A19" t="s">
        <v>0</v>
      </c>
      <c r="B19" t="s">
        <v>0</v>
      </c>
      <c r="C19">
        <v>27</v>
      </c>
      <c r="D19">
        <v>19</v>
      </c>
      <c r="E19">
        <v>0</v>
      </c>
      <c r="F19">
        <v>20260202</v>
      </c>
      <c r="G19">
        <v>20260319</v>
      </c>
      <c r="H19">
        <v>1139.4024999999999</v>
      </c>
      <c r="I19">
        <f t="shared" si="3"/>
        <v>46</v>
      </c>
      <c r="J19">
        <f t="shared" si="4"/>
        <v>24.76961956521739</v>
      </c>
      <c r="K19">
        <f t="shared" si="5"/>
        <v>907.10526630022741</v>
      </c>
      <c r="L19">
        <f t="shared" si="6"/>
        <v>470.62277173913043</v>
      </c>
      <c r="M19">
        <f t="shared" si="7"/>
        <v>0</v>
      </c>
      <c r="N19">
        <f t="shared" si="8"/>
        <v>1377.7280380393579</v>
      </c>
      <c r="O19">
        <f t="shared" si="9"/>
        <v>750.19015338941585</v>
      </c>
      <c r="P19">
        <f t="shared" si="10"/>
        <v>389.21234661058406</v>
      </c>
      <c r="Q19">
        <f t="shared" si="11"/>
        <v>0</v>
      </c>
      <c r="R19">
        <f t="shared" si="12"/>
        <v>1139.4024999999999</v>
      </c>
    </row>
    <row r="20" spans="1:18" x14ac:dyDescent="0.3">
      <c r="A20" t="s">
        <v>0</v>
      </c>
      <c r="B20" t="s">
        <v>0</v>
      </c>
      <c r="C20">
        <v>25</v>
      </c>
      <c r="D20">
        <v>18</v>
      </c>
      <c r="E20">
        <v>0</v>
      </c>
      <c r="F20">
        <v>20260204</v>
      </c>
      <c r="G20">
        <v>20260318</v>
      </c>
      <c r="H20">
        <v>548.63969999999995</v>
      </c>
      <c r="I20">
        <f t="shared" si="3"/>
        <v>43</v>
      </c>
      <c r="J20">
        <f t="shared" si="4"/>
        <v>12.759062790697673</v>
      </c>
      <c r="K20">
        <f t="shared" si="5"/>
        <v>432.64667578196099</v>
      </c>
      <c r="L20">
        <f t="shared" si="6"/>
        <v>229.6631302325581</v>
      </c>
      <c r="M20">
        <f t="shared" si="7"/>
        <v>0</v>
      </c>
      <c r="N20">
        <f t="shared" si="8"/>
        <v>662.30980601451915</v>
      </c>
      <c r="O20">
        <f t="shared" si="9"/>
        <v>358.39291559848766</v>
      </c>
      <c r="P20">
        <f t="shared" si="10"/>
        <v>190.2467844015122</v>
      </c>
      <c r="Q20">
        <f t="shared" si="11"/>
        <v>0</v>
      </c>
      <c r="R20">
        <f t="shared" si="12"/>
        <v>548.63969999999983</v>
      </c>
    </row>
    <row r="21" spans="1:18" x14ac:dyDescent="0.3">
      <c r="A21" t="s">
        <v>0</v>
      </c>
      <c r="B21" t="s">
        <v>0</v>
      </c>
      <c r="C21">
        <v>27</v>
      </c>
      <c r="D21">
        <v>27</v>
      </c>
      <c r="E21">
        <v>0</v>
      </c>
      <c r="F21">
        <v>20260202</v>
      </c>
      <c r="G21">
        <v>20260327</v>
      </c>
      <c r="H21">
        <v>2152.1543000000001</v>
      </c>
      <c r="I21">
        <f t="shared" si="3"/>
        <v>54</v>
      </c>
      <c r="J21">
        <f t="shared" si="4"/>
        <v>39.854709259259259</v>
      </c>
      <c r="K21">
        <f t="shared" si="5"/>
        <v>1459.5467064300558</v>
      </c>
      <c r="L21">
        <f t="shared" si="6"/>
        <v>1076.0771500000001</v>
      </c>
      <c r="M21">
        <f t="shared" si="7"/>
        <v>0</v>
      </c>
      <c r="N21">
        <f t="shared" si="8"/>
        <v>2535.6238564300556</v>
      </c>
      <c r="O21">
        <f t="shared" si="9"/>
        <v>1238.8153362450155</v>
      </c>
      <c r="P21">
        <f t="shared" si="10"/>
        <v>913.33896375498477</v>
      </c>
      <c r="Q21">
        <f t="shared" si="11"/>
        <v>0</v>
      </c>
      <c r="R21">
        <f t="shared" si="12"/>
        <v>2152.1543000000001</v>
      </c>
    </row>
    <row r="22" spans="1:18" x14ac:dyDescent="0.3">
      <c r="A22" t="s">
        <v>0</v>
      </c>
      <c r="B22" t="s">
        <v>0</v>
      </c>
      <c r="C22">
        <v>26</v>
      </c>
      <c r="D22">
        <v>23</v>
      </c>
      <c r="E22">
        <v>0</v>
      </c>
      <c r="F22">
        <v>20260203</v>
      </c>
      <c r="G22">
        <v>20260323</v>
      </c>
      <c r="H22">
        <v>717.23360000000002</v>
      </c>
      <c r="I22">
        <f t="shared" si="3"/>
        <v>49</v>
      </c>
      <c r="J22">
        <f t="shared" si="4"/>
        <v>14.637420408163266</v>
      </c>
      <c r="K22">
        <f t="shared" si="5"/>
        <v>516.19344154974033</v>
      </c>
      <c r="L22">
        <f t="shared" si="6"/>
        <v>336.66066938775509</v>
      </c>
      <c r="M22">
        <f t="shared" si="7"/>
        <v>0</v>
      </c>
      <c r="N22">
        <f t="shared" si="8"/>
        <v>852.85411093749542</v>
      </c>
      <c r="O22">
        <f t="shared" si="9"/>
        <v>434.10857218256831</v>
      </c>
      <c r="P22">
        <f t="shared" si="10"/>
        <v>283.12502781743171</v>
      </c>
      <c r="Q22">
        <f t="shared" si="11"/>
        <v>0</v>
      </c>
      <c r="R22">
        <f t="shared" si="12"/>
        <v>717.23360000000002</v>
      </c>
    </row>
    <row r="23" spans="1:18" x14ac:dyDescent="0.3">
      <c r="A23" t="s">
        <v>0</v>
      </c>
      <c r="B23" t="s">
        <v>0</v>
      </c>
      <c r="C23">
        <v>23</v>
      </c>
      <c r="D23">
        <v>20</v>
      </c>
      <c r="E23">
        <v>0</v>
      </c>
      <c r="F23">
        <v>20260206</v>
      </c>
      <c r="G23">
        <v>20260320</v>
      </c>
      <c r="H23">
        <v>379.76530000000002</v>
      </c>
      <c r="I23">
        <f t="shared" si="3"/>
        <v>43</v>
      </c>
      <c r="J23">
        <f t="shared" si="4"/>
        <v>8.8317511627906988</v>
      </c>
      <c r="K23">
        <f t="shared" si="5"/>
        <v>275.51753737936212</v>
      </c>
      <c r="L23">
        <f t="shared" si="6"/>
        <v>176.63502325581396</v>
      </c>
      <c r="M23">
        <f t="shared" si="7"/>
        <v>0</v>
      </c>
      <c r="N23">
        <f t="shared" si="8"/>
        <v>452.15256063517609</v>
      </c>
      <c r="O23">
        <f t="shared" si="9"/>
        <v>231.40862033635165</v>
      </c>
      <c r="P23">
        <f t="shared" si="10"/>
        <v>148.35667966364841</v>
      </c>
      <c r="Q23">
        <f t="shared" si="11"/>
        <v>0</v>
      </c>
      <c r="R23">
        <f t="shared" si="12"/>
        <v>379.76530000000002</v>
      </c>
    </row>
    <row r="24" spans="1:18" x14ac:dyDescent="0.3">
      <c r="A24" t="s">
        <v>0</v>
      </c>
      <c r="B24" t="s">
        <v>0</v>
      </c>
      <c r="C24">
        <v>25</v>
      </c>
      <c r="D24">
        <v>27</v>
      </c>
      <c r="E24">
        <v>0</v>
      </c>
      <c r="F24">
        <v>20260204</v>
      </c>
      <c r="G24">
        <v>20260327</v>
      </c>
      <c r="H24">
        <v>295.37299999999999</v>
      </c>
      <c r="I24">
        <f t="shared" si="3"/>
        <v>52</v>
      </c>
      <c r="J24">
        <f t="shared" si="4"/>
        <v>5.68025</v>
      </c>
      <c r="K24">
        <f t="shared" si="5"/>
        <v>192.61142612310192</v>
      </c>
      <c r="L24">
        <f t="shared" si="6"/>
        <v>153.36675</v>
      </c>
      <c r="M24">
        <f t="shared" si="7"/>
        <v>0</v>
      </c>
      <c r="N24">
        <f t="shared" si="8"/>
        <v>345.97817612310189</v>
      </c>
      <c r="O24">
        <f t="shared" si="9"/>
        <v>164.43873832092885</v>
      </c>
      <c r="P24">
        <f t="shared" si="10"/>
        <v>130.93426167907117</v>
      </c>
      <c r="Q24">
        <f t="shared" si="11"/>
        <v>0</v>
      </c>
      <c r="R24">
        <f t="shared" si="12"/>
        <v>295.37300000000005</v>
      </c>
    </row>
    <row r="25" spans="1:18" x14ac:dyDescent="0.3">
      <c r="A25" t="s">
        <v>0</v>
      </c>
      <c r="B25" t="s">
        <v>0</v>
      </c>
      <c r="C25">
        <v>28</v>
      </c>
      <c r="D25">
        <v>24</v>
      </c>
      <c r="E25">
        <v>0</v>
      </c>
      <c r="F25">
        <v>20260129</v>
      </c>
      <c r="G25">
        <v>20260324</v>
      </c>
      <c r="H25">
        <v>126.54689999999999</v>
      </c>
      <c r="I25">
        <f t="shared" si="3"/>
        <v>52</v>
      </c>
      <c r="J25">
        <f t="shared" si="4"/>
        <v>2.4335942307692306</v>
      </c>
      <c r="K25">
        <f t="shared" si="5"/>
        <v>92.423154269728357</v>
      </c>
      <c r="L25">
        <f t="shared" si="6"/>
        <v>58.406261538461536</v>
      </c>
      <c r="M25">
        <f t="shared" si="7"/>
        <v>0</v>
      </c>
      <c r="N25">
        <f t="shared" si="8"/>
        <v>150.82941580818988</v>
      </c>
      <c r="O25">
        <f t="shared" si="9"/>
        <v>77.543651537638667</v>
      </c>
      <c r="P25">
        <f t="shared" si="10"/>
        <v>49.003248462361327</v>
      </c>
      <c r="Q25">
        <f t="shared" si="11"/>
        <v>0</v>
      </c>
      <c r="R25">
        <f t="shared" si="12"/>
        <v>126.54689999999999</v>
      </c>
    </row>
    <row r="26" spans="1:18" x14ac:dyDescent="0.3">
      <c r="A26" t="s">
        <v>0</v>
      </c>
      <c r="B26" t="s">
        <v>0</v>
      </c>
      <c r="C26">
        <v>24</v>
      </c>
      <c r="D26">
        <v>14</v>
      </c>
      <c r="E26">
        <v>0</v>
      </c>
      <c r="F26">
        <v>20260205</v>
      </c>
      <c r="G26">
        <v>20260314</v>
      </c>
      <c r="H26">
        <v>211.10919999999999</v>
      </c>
      <c r="I26">
        <f t="shared" si="3"/>
        <v>38</v>
      </c>
      <c r="J26">
        <f t="shared" si="4"/>
        <v>5.5555052631578947</v>
      </c>
      <c r="K26">
        <f t="shared" si="5"/>
        <v>180.84620217567735</v>
      </c>
      <c r="L26">
        <f t="shared" si="6"/>
        <v>77.777073684210521</v>
      </c>
      <c r="M26">
        <f t="shared" si="7"/>
        <v>0</v>
      </c>
      <c r="N26">
        <f t="shared" si="8"/>
        <v>258.62327585988788</v>
      </c>
      <c r="O26">
        <f t="shared" si="9"/>
        <v>147.6212724373232</v>
      </c>
      <c r="P26">
        <f t="shared" si="10"/>
        <v>63.487927562676774</v>
      </c>
      <c r="Q26">
        <f t="shared" si="11"/>
        <v>0</v>
      </c>
      <c r="R26">
        <f t="shared" si="12"/>
        <v>211.10919999999999</v>
      </c>
    </row>
    <row r="27" spans="1:18" x14ac:dyDescent="0.3">
      <c r="A27" t="s">
        <v>0</v>
      </c>
      <c r="B27" t="s">
        <v>0</v>
      </c>
      <c r="C27">
        <v>27</v>
      </c>
      <c r="D27">
        <v>23</v>
      </c>
      <c r="E27">
        <v>0</v>
      </c>
      <c r="F27">
        <v>20260202</v>
      </c>
      <c r="G27">
        <v>20260323</v>
      </c>
      <c r="H27">
        <v>1139.1891000000001</v>
      </c>
      <c r="I27">
        <f t="shared" si="3"/>
        <v>50</v>
      </c>
      <c r="J27">
        <f t="shared" si="4"/>
        <v>22.783782000000002</v>
      </c>
      <c r="K27">
        <f t="shared" si="5"/>
        <v>834.38054363411629</v>
      </c>
      <c r="L27">
        <f t="shared" si="6"/>
        <v>524.02698600000008</v>
      </c>
      <c r="M27">
        <f t="shared" si="7"/>
        <v>0</v>
      </c>
      <c r="N27">
        <f t="shared" si="8"/>
        <v>1358.4075296341164</v>
      </c>
      <c r="O27">
        <f t="shared" si="9"/>
        <v>699.72905760915432</v>
      </c>
      <c r="P27">
        <f t="shared" si="10"/>
        <v>439.46004239084567</v>
      </c>
      <c r="Q27">
        <f t="shared" si="11"/>
        <v>0</v>
      </c>
      <c r="R27">
        <f t="shared" si="12"/>
        <v>1139.1891000000001</v>
      </c>
    </row>
    <row r="28" spans="1:18" x14ac:dyDescent="0.3">
      <c r="A28" t="s">
        <v>0</v>
      </c>
      <c r="B28" t="s">
        <v>0</v>
      </c>
      <c r="C28">
        <v>26</v>
      </c>
      <c r="D28">
        <v>31</v>
      </c>
      <c r="E28">
        <v>0</v>
      </c>
      <c r="F28">
        <v>20260203</v>
      </c>
      <c r="G28">
        <v>20260331</v>
      </c>
      <c r="H28">
        <v>590.81510000000003</v>
      </c>
      <c r="I28">
        <f t="shared" si="3"/>
        <v>57</v>
      </c>
      <c r="J28">
        <f t="shared" si="4"/>
        <v>10.365177192982456</v>
      </c>
      <c r="K28">
        <f t="shared" si="5"/>
        <v>365.53138041553831</v>
      </c>
      <c r="L28">
        <f t="shared" si="6"/>
        <v>321.32049298245613</v>
      </c>
      <c r="M28">
        <f t="shared" si="7"/>
        <v>0</v>
      </c>
      <c r="N28">
        <f t="shared" si="8"/>
        <v>686.8518733979945</v>
      </c>
      <c r="O28">
        <f t="shared" si="9"/>
        <v>314.42217374313839</v>
      </c>
      <c r="P28">
        <f t="shared" si="10"/>
        <v>276.39292625686159</v>
      </c>
      <c r="Q28">
        <f t="shared" si="11"/>
        <v>0</v>
      </c>
      <c r="R28">
        <f t="shared" si="12"/>
        <v>590.81510000000003</v>
      </c>
    </row>
    <row r="29" spans="1:18" x14ac:dyDescent="0.3">
      <c r="A29" t="s">
        <v>0</v>
      </c>
      <c r="B29" t="s">
        <v>0</v>
      </c>
      <c r="C29">
        <v>20</v>
      </c>
      <c r="D29">
        <v>28</v>
      </c>
      <c r="E29">
        <v>0</v>
      </c>
      <c r="F29">
        <v>20260209</v>
      </c>
      <c r="G29">
        <v>20260328</v>
      </c>
      <c r="H29">
        <v>42.210999999999999</v>
      </c>
      <c r="I29">
        <f t="shared" si="3"/>
        <v>48</v>
      </c>
      <c r="J29">
        <f t="shared" si="4"/>
        <v>0.87939583333333327</v>
      </c>
      <c r="K29">
        <f t="shared" si="5"/>
        <v>23.855525455400304</v>
      </c>
      <c r="L29">
        <f t="shared" si="6"/>
        <v>24.62308333333333</v>
      </c>
      <c r="M29">
        <f t="shared" si="7"/>
        <v>0</v>
      </c>
      <c r="N29">
        <f t="shared" si="8"/>
        <v>48.478608788733638</v>
      </c>
      <c r="O29">
        <f t="shared" si="9"/>
        <v>20.771338331637924</v>
      </c>
      <c r="P29">
        <f t="shared" si="10"/>
        <v>21.439661668362067</v>
      </c>
      <c r="Q29">
        <f t="shared" si="11"/>
        <v>0</v>
      </c>
      <c r="R29">
        <f t="shared" si="12"/>
        <v>42.210999999999991</v>
      </c>
    </row>
    <row r="30" spans="1:18" x14ac:dyDescent="0.3">
      <c r="A30" t="s">
        <v>0</v>
      </c>
      <c r="B30" t="s">
        <v>0</v>
      </c>
      <c r="C30">
        <v>27</v>
      </c>
      <c r="D30">
        <v>31</v>
      </c>
      <c r="E30">
        <v>5</v>
      </c>
      <c r="F30">
        <v>20260202</v>
      </c>
      <c r="G30">
        <v>20260405</v>
      </c>
      <c r="H30">
        <v>208528.44570000001</v>
      </c>
      <c r="I30">
        <f t="shared" si="3"/>
        <v>63</v>
      </c>
      <c r="J30">
        <f t="shared" si="4"/>
        <v>3309.9753285714287</v>
      </c>
      <c r="K30">
        <f t="shared" si="5"/>
        <v>121216.8819939087</v>
      </c>
      <c r="L30">
        <f t="shared" si="6"/>
        <v>102609.23518571429</v>
      </c>
      <c r="M30">
        <f t="shared" si="7"/>
        <v>10271.142319349272</v>
      </c>
      <c r="N30">
        <f t="shared" si="8"/>
        <v>234097.25949897227</v>
      </c>
      <c r="O30">
        <f t="shared" si="9"/>
        <v>107977.20592240024</v>
      </c>
      <c r="P30">
        <f t="shared" si="10"/>
        <v>91401.94282298589</v>
      </c>
      <c r="Q30">
        <f t="shared" si="11"/>
        <v>9149.2969546138575</v>
      </c>
      <c r="R30">
        <f t="shared" si="12"/>
        <v>208528.44569999998</v>
      </c>
    </row>
    <row r="31" spans="1:18" x14ac:dyDescent="0.3">
      <c r="A31" t="s">
        <v>0</v>
      </c>
      <c r="B31" t="s">
        <v>0</v>
      </c>
      <c r="C31">
        <v>26</v>
      </c>
      <c r="D31">
        <v>31</v>
      </c>
      <c r="E31">
        <v>4</v>
      </c>
      <c r="F31">
        <v>20260203</v>
      </c>
      <c r="G31">
        <v>20260404</v>
      </c>
      <c r="H31">
        <v>262158.48609999998</v>
      </c>
      <c r="I31">
        <f t="shared" si="3"/>
        <v>61</v>
      </c>
      <c r="J31">
        <f t="shared" si="4"/>
        <v>4297.6800999999996</v>
      </c>
      <c r="K31">
        <f t="shared" si="5"/>
        <v>151559.10123764802</v>
      </c>
      <c r="L31">
        <f t="shared" si="6"/>
        <v>133228.08309999999</v>
      </c>
      <c r="M31">
        <f t="shared" si="7"/>
        <v>10668.861140831945</v>
      </c>
      <c r="N31">
        <f t="shared" si="8"/>
        <v>295456.04547847994</v>
      </c>
      <c r="O31">
        <f t="shared" si="9"/>
        <v>134478.5633707144</v>
      </c>
      <c r="P31">
        <f t="shared" si="10"/>
        <v>118213.43007193586</v>
      </c>
      <c r="Q31">
        <f t="shared" si="11"/>
        <v>9466.4926573497414</v>
      </c>
      <c r="R31">
        <f t="shared" si="12"/>
        <v>262158.48609999998</v>
      </c>
    </row>
    <row r="32" spans="1:18" x14ac:dyDescent="0.3">
      <c r="A32" t="s">
        <v>0</v>
      </c>
      <c r="B32" t="s">
        <v>0</v>
      </c>
      <c r="C32">
        <v>26</v>
      </c>
      <c r="D32">
        <v>31</v>
      </c>
      <c r="E32">
        <v>3</v>
      </c>
      <c r="F32">
        <v>20260203</v>
      </c>
      <c r="G32">
        <v>20260403</v>
      </c>
      <c r="H32">
        <v>345383.49619999999</v>
      </c>
      <c r="I32">
        <f t="shared" si="3"/>
        <v>60</v>
      </c>
      <c r="J32">
        <f t="shared" si="4"/>
        <v>5756.3916033333335</v>
      </c>
      <c r="K32">
        <f t="shared" si="5"/>
        <v>203001.04183490621</v>
      </c>
      <c r="L32">
        <f t="shared" si="6"/>
        <v>178448.13970333335</v>
      </c>
      <c r="M32">
        <f t="shared" si="7"/>
        <v>10717.551317084006</v>
      </c>
      <c r="N32">
        <f t="shared" si="8"/>
        <v>392166.73285532359</v>
      </c>
      <c r="O32">
        <f t="shared" si="9"/>
        <v>178784.18460101311</v>
      </c>
      <c r="P32">
        <f t="shared" si="10"/>
        <v>157160.30253861612</v>
      </c>
      <c r="Q32">
        <f t="shared" si="11"/>
        <v>9439.009060370734</v>
      </c>
      <c r="R32">
        <f t="shared" si="12"/>
        <v>345383.49619999994</v>
      </c>
    </row>
    <row r="33" spans="1:18" x14ac:dyDescent="0.3">
      <c r="A33" t="s">
        <v>0</v>
      </c>
      <c r="B33" t="s">
        <v>0</v>
      </c>
      <c r="C33">
        <v>25</v>
      </c>
      <c r="D33">
        <v>31</v>
      </c>
      <c r="E33">
        <v>1</v>
      </c>
      <c r="F33">
        <v>20260204</v>
      </c>
      <c r="G33">
        <v>20260401</v>
      </c>
      <c r="H33">
        <v>482082.55979999999</v>
      </c>
      <c r="I33">
        <f t="shared" si="3"/>
        <v>57</v>
      </c>
      <c r="J33">
        <f t="shared" si="4"/>
        <v>8457.588768421052</v>
      </c>
      <c r="K33">
        <f t="shared" si="5"/>
        <v>286788.12274958112</v>
      </c>
      <c r="L33">
        <f t="shared" si="6"/>
        <v>262185.25182105263</v>
      </c>
      <c r="M33">
        <f t="shared" si="7"/>
        <v>5248.9272152052499</v>
      </c>
      <c r="N33">
        <f t="shared" si="8"/>
        <v>554222.30178583902</v>
      </c>
      <c r="O33">
        <f t="shared" si="9"/>
        <v>249458.65925976215</v>
      </c>
      <c r="P33">
        <f t="shared" si="10"/>
        <v>228058.19421633781</v>
      </c>
      <c r="Q33">
        <f t="shared" si="11"/>
        <v>4565.7063239000227</v>
      </c>
      <c r="R33">
        <f t="shared" si="12"/>
        <v>482082.55979999999</v>
      </c>
    </row>
    <row r="34" spans="1:18" x14ac:dyDescent="0.3">
      <c r="A34" t="s">
        <v>0</v>
      </c>
      <c r="B34" t="s">
        <v>0</v>
      </c>
      <c r="C34">
        <v>21</v>
      </c>
      <c r="D34">
        <v>31</v>
      </c>
      <c r="E34">
        <v>5</v>
      </c>
      <c r="F34">
        <v>20260208</v>
      </c>
      <c r="G34">
        <v>20260405</v>
      </c>
      <c r="H34">
        <v>40387.379999999997</v>
      </c>
      <c r="I34">
        <f t="shared" si="3"/>
        <v>57</v>
      </c>
      <c r="J34">
        <f t="shared" si="4"/>
        <v>708.5505263157894</v>
      </c>
      <c r="K34">
        <f t="shared" si="5"/>
        <v>20182.023498494833</v>
      </c>
      <c r="L34">
        <f t="shared" si="6"/>
        <v>21965.066315789471</v>
      </c>
      <c r="M34">
        <f t="shared" si="7"/>
        <v>2198.6941211976632</v>
      </c>
      <c r="N34">
        <f t="shared" si="8"/>
        <v>44345.783935481973</v>
      </c>
      <c r="O34">
        <f t="shared" si="9"/>
        <v>18380.530906579887</v>
      </c>
      <c r="P34">
        <f t="shared" si="10"/>
        <v>20004.415330928296</v>
      </c>
      <c r="Q34">
        <f t="shared" si="11"/>
        <v>2002.433762491811</v>
      </c>
      <c r="R34">
        <f t="shared" si="12"/>
        <v>40387.37999999999</v>
      </c>
    </row>
    <row r="35" spans="1:18" x14ac:dyDescent="0.3">
      <c r="A35" t="s">
        <v>0</v>
      </c>
      <c r="B35" t="s">
        <v>0</v>
      </c>
      <c r="C35">
        <v>22</v>
      </c>
      <c r="D35">
        <v>31</v>
      </c>
      <c r="E35">
        <v>2</v>
      </c>
      <c r="F35">
        <v>20260207</v>
      </c>
      <c r="G35">
        <v>20260402</v>
      </c>
      <c r="H35">
        <v>52123.2166</v>
      </c>
      <c r="I35">
        <f t="shared" si="3"/>
        <v>55</v>
      </c>
      <c r="J35">
        <f t="shared" si="4"/>
        <v>947.69484727272732</v>
      </c>
      <c r="K35">
        <f t="shared" si="5"/>
        <v>28279.11330226477</v>
      </c>
      <c r="L35">
        <f t="shared" si="6"/>
        <v>29378.540265454547</v>
      </c>
      <c r="M35">
        <f t="shared" si="7"/>
        <v>1176.3119280835567</v>
      </c>
      <c r="N35">
        <f t="shared" si="8"/>
        <v>58833.965495802877</v>
      </c>
      <c r="O35">
        <f t="shared" si="9"/>
        <v>25053.52708232867</v>
      </c>
      <c r="P35">
        <f t="shared" si="10"/>
        <v>26027.55066301539</v>
      </c>
      <c r="Q35">
        <f t="shared" si="11"/>
        <v>1042.1388546559358</v>
      </c>
      <c r="R35">
        <f t="shared" si="12"/>
        <v>52123.2166</v>
      </c>
    </row>
    <row r="36" spans="1:18" x14ac:dyDescent="0.3">
      <c r="A36" t="s">
        <v>0</v>
      </c>
      <c r="B36" t="s">
        <v>0</v>
      </c>
      <c r="C36">
        <v>0</v>
      </c>
      <c r="D36">
        <v>28</v>
      </c>
      <c r="E36">
        <v>3</v>
      </c>
      <c r="F36">
        <v>20260304</v>
      </c>
      <c r="G36">
        <v>20260403</v>
      </c>
      <c r="H36">
        <v>295.25529999999998</v>
      </c>
      <c r="I36">
        <f t="shared" si="3"/>
        <v>31</v>
      </c>
      <c r="J36">
        <f t="shared" si="4"/>
        <v>9.5243645161290313</v>
      </c>
      <c r="K36">
        <f t="shared" si="5"/>
        <v>0</v>
      </c>
      <c r="L36">
        <f t="shared" si="6"/>
        <v>266.6822064516129</v>
      </c>
      <c r="M36">
        <f t="shared" si="7"/>
        <v>17.732960593771452</v>
      </c>
      <c r="N36">
        <f t="shared" si="8"/>
        <v>284.41516704538435</v>
      </c>
      <c r="O36">
        <f t="shared" si="9"/>
        <v>0</v>
      </c>
      <c r="P36">
        <f t="shared" si="10"/>
        <v>276.84646950620743</v>
      </c>
      <c r="Q36">
        <f t="shared" si="11"/>
        <v>18.408830493792529</v>
      </c>
      <c r="R36">
        <f t="shared" si="12"/>
        <v>295.25529999999998</v>
      </c>
    </row>
    <row r="37" spans="1:18" x14ac:dyDescent="0.3">
      <c r="A37" t="s">
        <v>0</v>
      </c>
      <c r="B37" t="s">
        <v>0</v>
      </c>
      <c r="C37">
        <v>5</v>
      </c>
      <c r="D37">
        <v>31</v>
      </c>
      <c r="E37">
        <v>4</v>
      </c>
      <c r="F37">
        <v>20260224</v>
      </c>
      <c r="G37">
        <v>20260404</v>
      </c>
      <c r="H37">
        <v>1097.7675999999999</v>
      </c>
      <c r="I37">
        <f t="shared" si="3"/>
        <v>40</v>
      </c>
      <c r="J37">
        <f t="shared" si="4"/>
        <v>27.444189999999999</v>
      </c>
      <c r="K37">
        <f t="shared" si="5"/>
        <v>186.12084238170405</v>
      </c>
      <c r="L37">
        <f t="shared" si="6"/>
        <v>850.76988999999992</v>
      </c>
      <c r="M37">
        <f t="shared" si="7"/>
        <v>68.129373387425616</v>
      </c>
      <c r="N37">
        <f t="shared" si="8"/>
        <v>1105.0201057691295</v>
      </c>
      <c r="O37">
        <f t="shared" si="9"/>
        <v>184.899287700408</v>
      </c>
      <c r="P37">
        <f t="shared" si="10"/>
        <v>845.18608794679471</v>
      </c>
      <c r="Q37">
        <f t="shared" si="11"/>
        <v>67.682224352797348</v>
      </c>
      <c r="R37">
        <f t="shared" si="12"/>
        <v>1097.7676000000001</v>
      </c>
    </row>
    <row r="38" spans="1:18" x14ac:dyDescent="0.3">
      <c r="A38" t="s">
        <v>0</v>
      </c>
      <c r="B38" t="s">
        <v>0</v>
      </c>
      <c r="C38">
        <v>6</v>
      </c>
      <c r="D38">
        <v>31</v>
      </c>
      <c r="E38">
        <v>2</v>
      </c>
      <c r="F38">
        <v>20260223</v>
      </c>
      <c r="G38">
        <v>20260402</v>
      </c>
      <c r="H38">
        <v>211.1635</v>
      </c>
      <c r="I38">
        <f t="shared" si="3"/>
        <v>39</v>
      </c>
      <c r="J38">
        <f t="shared" si="4"/>
        <v>5.4144487179487175</v>
      </c>
      <c r="K38">
        <f t="shared" si="5"/>
        <v>44.063610829854468</v>
      </c>
      <c r="L38">
        <f t="shared" si="6"/>
        <v>167.84791025641024</v>
      </c>
      <c r="M38">
        <f t="shared" si="7"/>
        <v>6.7206027649603817</v>
      </c>
      <c r="N38">
        <f t="shared" si="8"/>
        <v>218.63212385122509</v>
      </c>
      <c r="O38">
        <f t="shared" si="9"/>
        <v>42.558367551703384</v>
      </c>
      <c r="P38">
        <f t="shared" si="10"/>
        <v>162.11411010006927</v>
      </c>
      <c r="Q38">
        <f t="shared" si="11"/>
        <v>6.4910223482273484</v>
      </c>
      <c r="R38">
        <f t="shared" si="12"/>
        <v>211.1635</v>
      </c>
    </row>
    <row r="39" spans="1:18" x14ac:dyDescent="0.3">
      <c r="A39" t="s">
        <v>0</v>
      </c>
      <c r="B39" t="s">
        <v>0</v>
      </c>
      <c r="C39">
        <v>4</v>
      </c>
      <c r="D39">
        <v>31</v>
      </c>
      <c r="E39">
        <v>1</v>
      </c>
      <c r="F39">
        <v>20260225</v>
      </c>
      <c r="G39">
        <v>20260401</v>
      </c>
      <c r="H39">
        <v>1013.5848</v>
      </c>
      <c r="I39">
        <f t="shared" si="3"/>
        <v>36</v>
      </c>
      <c r="J39">
        <f t="shared" si="4"/>
        <v>28.155133333333332</v>
      </c>
      <c r="K39">
        <f t="shared" si="5"/>
        <v>152.75385087682881</v>
      </c>
      <c r="L39">
        <f t="shared" si="6"/>
        <v>872.80913333333331</v>
      </c>
      <c r="M39">
        <f t="shared" si="7"/>
        <v>17.473567188896993</v>
      </c>
      <c r="N39">
        <f t="shared" si="8"/>
        <v>1043.0365513990591</v>
      </c>
      <c r="O39">
        <f t="shared" si="9"/>
        <v>148.44060947101343</v>
      </c>
      <c r="P39">
        <f t="shared" si="10"/>
        <v>848.16401655455729</v>
      </c>
      <c r="Q39">
        <f t="shared" si="11"/>
        <v>16.980173974429231</v>
      </c>
      <c r="R39">
        <f t="shared" si="12"/>
        <v>1013.5848</v>
      </c>
    </row>
    <row r="40" spans="1:18" x14ac:dyDescent="0.3">
      <c r="A40" t="s">
        <v>0</v>
      </c>
      <c r="B40" t="s">
        <v>0</v>
      </c>
      <c r="C40">
        <v>9</v>
      </c>
      <c r="D40">
        <v>31</v>
      </c>
      <c r="E40">
        <v>3</v>
      </c>
      <c r="F40">
        <v>20260220</v>
      </c>
      <c r="G40">
        <v>20260403</v>
      </c>
      <c r="H40">
        <v>422.1986</v>
      </c>
      <c r="I40">
        <f t="shared" si="3"/>
        <v>43</v>
      </c>
      <c r="J40">
        <f t="shared" si="4"/>
        <v>9.8185720930232563</v>
      </c>
      <c r="K40">
        <f t="shared" si="5"/>
        <v>119.85755950859411</v>
      </c>
      <c r="L40">
        <f t="shared" si="6"/>
        <v>304.37573488372095</v>
      </c>
      <c r="M40">
        <f t="shared" si="7"/>
        <v>18.280731666436644</v>
      </c>
      <c r="N40">
        <f t="shared" si="8"/>
        <v>442.51402605875171</v>
      </c>
      <c r="O40">
        <f t="shared" si="9"/>
        <v>114.35500536479394</v>
      </c>
      <c r="P40">
        <f t="shared" si="10"/>
        <v>290.40211512937793</v>
      </c>
      <c r="Q40">
        <f t="shared" si="11"/>
        <v>17.441479505828141</v>
      </c>
      <c r="R40">
        <f t="shared" si="12"/>
        <v>422.19860000000006</v>
      </c>
    </row>
    <row r="41" spans="1:18" x14ac:dyDescent="0.3">
      <c r="A41" t="s">
        <v>0</v>
      </c>
      <c r="B41" t="s">
        <v>0</v>
      </c>
      <c r="C41">
        <v>0</v>
      </c>
      <c r="D41">
        <v>26</v>
      </c>
      <c r="E41">
        <v>3</v>
      </c>
      <c r="F41">
        <v>20260306</v>
      </c>
      <c r="G41">
        <v>20260403</v>
      </c>
      <c r="H41">
        <v>421.56610000000001</v>
      </c>
      <c r="I41">
        <f t="shared" si="3"/>
        <v>29</v>
      </c>
      <c r="J41">
        <f t="shared" si="4"/>
        <v>14.536762068965517</v>
      </c>
      <c r="K41">
        <f t="shared" si="5"/>
        <v>0</v>
      </c>
      <c r="L41">
        <f t="shared" si="6"/>
        <v>377.95581379310346</v>
      </c>
      <c r="M41">
        <f t="shared" si="7"/>
        <v>27.065304828837657</v>
      </c>
      <c r="N41">
        <f t="shared" si="8"/>
        <v>405.02111862194113</v>
      </c>
      <c r="O41">
        <f t="shared" si="9"/>
        <v>0</v>
      </c>
      <c r="P41">
        <f t="shared" si="10"/>
        <v>393.39518624413108</v>
      </c>
      <c r="Q41">
        <f t="shared" si="11"/>
        <v>28.170913755868924</v>
      </c>
      <c r="R41">
        <f t="shared" si="12"/>
        <v>421.56610000000001</v>
      </c>
    </row>
    <row r="42" spans="1:18" x14ac:dyDescent="0.3">
      <c r="A42" t="s">
        <v>0</v>
      </c>
      <c r="B42" t="s">
        <v>0</v>
      </c>
      <c r="C42">
        <v>10</v>
      </c>
      <c r="D42">
        <v>31</v>
      </c>
      <c r="E42">
        <v>6</v>
      </c>
      <c r="F42">
        <v>20260219</v>
      </c>
      <c r="G42">
        <v>20260406</v>
      </c>
      <c r="H42">
        <v>84.414000000000001</v>
      </c>
      <c r="I42">
        <f t="shared" si="3"/>
        <v>47</v>
      </c>
      <c r="J42">
        <f t="shared" si="4"/>
        <v>1.7960425531914894</v>
      </c>
      <c r="K42">
        <f t="shared" si="5"/>
        <v>24.36078113097064</v>
      </c>
      <c r="L42">
        <f t="shared" si="6"/>
        <v>55.677319148936171</v>
      </c>
      <c r="M42">
        <f t="shared" si="7"/>
        <v>6.6879321484486276</v>
      </c>
      <c r="N42">
        <f t="shared" si="8"/>
        <v>86.726032428355438</v>
      </c>
      <c r="O42">
        <f t="shared" si="9"/>
        <v>23.711346187646075</v>
      </c>
      <c r="P42">
        <f t="shared" si="10"/>
        <v>54.193015488410964</v>
      </c>
      <c r="Q42">
        <f t="shared" si="11"/>
        <v>6.5096383239429594</v>
      </c>
      <c r="R42">
        <f t="shared" si="12"/>
        <v>84.414000000000001</v>
      </c>
    </row>
    <row r="43" spans="1:18" x14ac:dyDescent="0.3">
      <c r="A43" t="s">
        <v>0</v>
      </c>
      <c r="B43" t="s">
        <v>0</v>
      </c>
      <c r="C43">
        <v>8</v>
      </c>
      <c r="D43">
        <v>31</v>
      </c>
      <c r="E43">
        <v>3</v>
      </c>
      <c r="F43">
        <v>20260221</v>
      </c>
      <c r="G43">
        <v>20260403</v>
      </c>
      <c r="H43">
        <v>126.67140000000001</v>
      </c>
      <c r="I43">
        <f t="shared" si="3"/>
        <v>42</v>
      </c>
      <c r="J43">
        <f t="shared" si="4"/>
        <v>3.0159857142857143</v>
      </c>
      <c r="K43">
        <f t="shared" si="5"/>
        <v>32.726069991734796</v>
      </c>
      <c r="L43">
        <f t="shared" si="6"/>
        <v>93.495557142857137</v>
      </c>
      <c r="M43">
        <f t="shared" si="7"/>
        <v>5.6153201331423794</v>
      </c>
      <c r="N43">
        <f t="shared" si="8"/>
        <v>131.8369472677343</v>
      </c>
      <c r="O43">
        <f t="shared" si="9"/>
        <v>31.443818961709166</v>
      </c>
      <c r="P43">
        <f t="shared" si="10"/>
        <v>89.832276630423877</v>
      </c>
      <c r="Q43">
        <f t="shared" si="11"/>
        <v>5.3953044078669663</v>
      </c>
      <c r="R43">
        <f t="shared" si="12"/>
        <v>126.67140000000001</v>
      </c>
    </row>
    <row r="44" spans="1:18" x14ac:dyDescent="0.3">
      <c r="A44" t="s">
        <v>0</v>
      </c>
      <c r="B44" t="s">
        <v>0</v>
      </c>
      <c r="C44">
        <v>8</v>
      </c>
      <c r="D44">
        <v>31</v>
      </c>
      <c r="E44">
        <v>8</v>
      </c>
      <c r="F44">
        <v>20260221</v>
      </c>
      <c r="G44">
        <v>20260408</v>
      </c>
      <c r="H44">
        <v>295.46289999999999</v>
      </c>
      <c r="I44">
        <f t="shared" si="3"/>
        <v>47</v>
      </c>
      <c r="J44">
        <f t="shared" si="4"/>
        <v>6.2864446808510639</v>
      </c>
      <c r="K44">
        <f t="shared" si="5"/>
        <v>68.21339625390921</v>
      </c>
      <c r="L44">
        <f t="shared" si="6"/>
        <v>194.87978510638297</v>
      </c>
      <c r="M44">
        <f t="shared" si="7"/>
        <v>31.211818380582397</v>
      </c>
      <c r="N44">
        <f t="shared" si="8"/>
        <v>294.30499974087456</v>
      </c>
      <c r="O44">
        <f t="shared" si="9"/>
        <v>68.481771950101148</v>
      </c>
      <c r="P44">
        <f t="shared" si="10"/>
        <v>195.64651130495815</v>
      </c>
      <c r="Q44">
        <f t="shared" si="11"/>
        <v>31.334616744940707</v>
      </c>
      <c r="R44">
        <f t="shared" si="12"/>
        <v>295.46289999999999</v>
      </c>
    </row>
    <row r="45" spans="1:18" x14ac:dyDescent="0.3">
      <c r="A45" t="s">
        <v>0</v>
      </c>
      <c r="B45" t="s">
        <v>0</v>
      </c>
      <c r="C45">
        <v>3</v>
      </c>
      <c r="D45">
        <v>31</v>
      </c>
      <c r="E45">
        <v>2</v>
      </c>
      <c r="F45">
        <v>20260226</v>
      </c>
      <c r="G45">
        <v>20260402</v>
      </c>
      <c r="H45">
        <v>337.81420000000003</v>
      </c>
      <c r="I45">
        <f t="shared" si="3"/>
        <v>36</v>
      </c>
      <c r="J45">
        <f t="shared" si="4"/>
        <v>9.3837277777777786</v>
      </c>
      <c r="K45">
        <f t="shared" si="5"/>
        <v>38.183105101967222</v>
      </c>
      <c r="L45">
        <f t="shared" si="6"/>
        <v>290.89556111111114</v>
      </c>
      <c r="M45">
        <f t="shared" si="7"/>
        <v>11.647410499967023</v>
      </c>
      <c r="N45">
        <f t="shared" si="8"/>
        <v>340.72607671304536</v>
      </c>
      <c r="O45">
        <f t="shared" si="9"/>
        <v>37.856788737658484</v>
      </c>
      <c r="P45">
        <f t="shared" si="10"/>
        <v>288.40954061482529</v>
      </c>
      <c r="Q45">
        <f t="shared" si="11"/>
        <v>11.547870647516291</v>
      </c>
      <c r="R45">
        <f t="shared" si="12"/>
        <v>337.81420000000003</v>
      </c>
    </row>
    <row r="46" spans="1:18" x14ac:dyDescent="0.3">
      <c r="A46" t="s">
        <v>0</v>
      </c>
      <c r="B46" t="s">
        <v>0</v>
      </c>
      <c r="C46">
        <v>3</v>
      </c>
      <c r="D46">
        <v>31</v>
      </c>
      <c r="E46">
        <v>3</v>
      </c>
      <c r="F46">
        <v>20260226</v>
      </c>
      <c r="G46">
        <v>20260403</v>
      </c>
      <c r="H46">
        <v>253.33099999999999</v>
      </c>
      <c r="I46">
        <f t="shared" si="3"/>
        <v>37</v>
      </c>
      <c r="J46">
        <f t="shared" si="4"/>
        <v>6.8467837837837831</v>
      </c>
      <c r="K46">
        <f t="shared" si="5"/>
        <v>27.86008620644068</v>
      </c>
      <c r="L46">
        <f t="shared" si="6"/>
        <v>212.25029729729727</v>
      </c>
      <c r="M46">
        <f t="shared" si="7"/>
        <v>12.747700576379994</v>
      </c>
      <c r="N46">
        <f t="shared" si="8"/>
        <v>252.85808408011795</v>
      </c>
      <c r="O46">
        <f t="shared" si="9"/>
        <v>27.912192423824411</v>
      </c>
      <c r="P46">
        <f t="shared" si="10"/>
        <v>212.64726520503393</v>
      </c>
      <c r="Q46">
        <f t="shared" si="11"/>
        <v>12.771542371141633</v>
      </c>
      <c r="R46">
        <f t="shared" si="12"/>
        <v>253.33099999999999</v>
      </c>
    </row>
    <row r="47" spans="1:18" x14ac:dyDescent="0.3">
      <c r="A47" t="s">
        <v>0</v>
      </c>
      <c r="B47" t="s">
        <v>0</v>
      </c>
      <c r="C47">
        <v>28</v>
      </c>
      <c r="D47">
        <v>31</v>
      </c>
      <c r="E47">
        <v>3</v>
      </c>
      <c r="F47">
        <v>20260130</v>
      </c>
      <c r="G47">
        <v>20260403</v>
      </c>
      <c r="H47">
        <v>1898.604</v>
      </c>
      <c r="I47">
        <f t="shared" si="3"/>
        <v>62</v>
      </c>
      <c r="J47">
        <f t="shared" si="4"/>
        <v>30.622645161290322</v>
      </c>
      <c r="K47">
        <f t="shared" si="5"/>
        <v>1162.9882344824921</v>
      </c>
      <c r="L47">
        <f t="shared" si="6"/>
        <v>949.30200000000002</v>
      </c>
      <c r="M47">
        <f t="shared" si="7"/>
        <v>57.014844297760035</v>
      </c>
      <c r="N47">
        <f t="shared" si="8"/>
        <v>2169.3050787802522</v>
      </c>
      <c r="O47">
        <f t="shared" si="9"/>
        <v>1017.8624184952965</v>
      </c>
      <c r="P47">
        <f t="shared" si="10"/>
        <v>830.84144873777609</v>
      </c>
      <c r="Q47">
        <f t="shared" si="11"/>
        <v>49.900132766927356</v>
      </c>
      <c r="R47">
        <f t="shared" si="12"/>
        <v>1898.604</v>
      </c>
    </row>
    <row r="48" spans="1:18" x14ac:dyDescent="0.3">
      <c r="A48" t="s">
        <v>0</v>
      </c>
      <c r="B48" t="s">
        <v>0</v>
      </c>
      <c r="C48">
        <v>16</v>
      </c>
      <c r="D48">
        <v>31</v>
      </c>
      <c r="E48">
        <v>1</v>
      </c>
      <c r="F48">
        <v>20260213</v>
      </c>
      <c r="G48">
        <v>20260401</v>
      </c>
      <c r="H48">
        <v>1139.7228</v>
      </c>
      <c r="I48">
        <f t="shared" si="3"/>
        <v>48</v>
      </c>
      <c r="J48">
        <f t="shared" si="4"/>
        <v>23.744225</v>
      </c>
      <c r="K48">
        <f t="shared" si="5"/>
        <v>515.29101452228304</v>
      </c>
      <c r="L48">
        <f t="shared" si="6"/>
        <v>736.07097499999998</v>
      </c>
      <c r="M48">
        <f t="shared" si="7"/>
        <v>14.736080485706138</v>
      </c>
      <c r="N48">
        <f t="shared" si="8"/>
        <v>1266.0980700079892</v>
      </c>
      <c r="O48">
        <f t="shared" si="9"/>
        <v>463.85736760697472</v>
      </c>
      <c r="P48">
        <f t="shared" si="10"/>
        <v>662.60023018630488</v>
      </c>
      <c r="Q48">
        <f t="shared" si="11"/>
        <v>13.265202206720353</v>
      </c>
      <c r="R48">
        <f t="shared" si="12"/>
        <v>1139.7228</v>
      </c>
    </row>
    <row r="49" spans="1:18" x14ac:dyDescent="0.3">
      <c r="A49" t="s">
        <v>0</v>
      </c>
      <c r="B49" t="s">
        <v>0</v>
      </c>
      <c r="C49">
        <v>16</v>
      </c>
      <c r="D49">
        <v>31</v>
      </c>
      <c r="E49">
        <v>6</v>
      </c>
      <c r="F49">
        <v>20260213</v>
      </c>
      <c r="G49">
        <v>20260406</v>
      </c>
      <c r="H49">
        <v>210.9906</v>
      </c>
      <c r="I49">
        <f t="shared" si="3"/>
        <v>53</v>
      </c>
      <c r="J49">
        <f t="shared" si="4"/>
        <v>3.9809547169811319</v>
      </c>
      <c r="K49">
        <f t="shared" si="5"/>
        <v>86.393647081784124</v>
      </c>
      <c r="L49">
        <f t="shared" si="6"/>
        <v>123.40959622641509</v>
      </c>
      <c r="M49">
        <f t="shared" si="7"/>
        <v>14.823899904768959</v>
      </c>
      <c r="N49">
        <f t="shared" si="8"/>
        <v>224.62714321296818</v>
      </c>
      <c r="O49">
        <f t="shared" si="9"/>
        <v>81.148908245214812</v>
      </c>
      <c r="P49">
        <f t="shared" si="10"/>
        <v>115.91771315402552</v>
      </c>
      <c r="Q49">
        <f t="shared" si="11"/>
        <v>13.923978600759666</v>
      </c>
      <c r="R49">
        <f t="shared" si="12"/>
        <v>210.99059999999997</v>
      </c>
    </row>
    <row r="50" spans="1:18" x14ac:dyDescent="0.3">
      <c r="A50" t="s">
        <v>0</v>
      </c>
      <c r="B50" t="s">
        <v>0</v>
      </c>
      <c r="C50">
        <v>18</v>
      </c>
      <c r="D50">
        <v>31</v>
      </c>
      <c r="E50">
        <v>7</v>
      </c>
      <c r="F50">
        <v>20260211</v>
      </c>
      <c r="G50">
        <v>20260407</v>
      </c>
      <c r="H50">
        <v>633.00139999999999</v>
      </c>
      <c r="I50">
        <f t="shared" si="3"/>
        <v>56</v>
      </c>
      <c r="J50">
        <f t="shared" si="4"/>
        <v>11.303596428571428</v>
      </c>
      <c r="K50">
        <f t="shared" si="5"/>
        <v>275.97118374500138</v>
      </c>
      <c r="L50">
        <f t="shared" si="6"/>
        <v>350.41148928571425</v>
      </c>
      <c r="M50">
        <f t="shared" si="7"/>
        <v>49.106464719129939</v>
      </c>
      <c r="N50">
        <f t="shared" si="8"/>
        <v>675.48913774984555</v>
      </c>
      <c r="O50">
        <f t="shared" si="9"/>
        <v>258.61281241643928</v>
      </c>
      <c r="P50">
        <f t="shared" si="10"/>
        <v>328.37088103715081</v>
      </c>
      <c r="Q50">
        <f t="shared" si="11"/>
        <v>46.017706546409919</v>
      </c>
      <c r="R50">
        <f t="shared" si="12"/>
        <v>633.0014000000001</v>
      </c>
    </row>
    <row r="51" spans="1:18" x14ac:dyDescent="0.3">
      <c r="A51" t="s">
        <v>0</v>
      </c>
      <c r="B51" t="s">
        <v>0</v>
      </c>
      <c r="C51">
        <v>0</v>
      </c>
      <c r="D51">
        <v>10</v>
      </c>
      <c r="E51">
        <v>17</v>
      </c>
      <c r="F51">
        <v>20260322</v>
      </c>
      <c r="G51">
        <v>20260417</v>
      </c>
      <c r="H51">
        <v>126.54989999999999</v>
      </c>
      <c r="I51">
        <f t="shared" si="3"/>
        <v>27</v>
      </c>
      <c r="J51">
        <f t="shared" si="4"/>
        <v>4.6870333333333329</v>
      </c>
      <c r="K51">
        <f t="shared" si="5"/>
        <v>0</v>
      </c>
      <c r="L51">
        <f t="shared" si="6"/>
        <v>46.870333333333328</v>
      </c>
      <c r="M51">
        <f t="shared" si="7"/>
        <v>49.45052986425911</v>
      </c>
      <c r="N51">
        <f t="shared" si="8"/>
        <v>96.320863197592445</v>
      </c>
      <c r="O51">
        <f t="shared" si="9"/>
        <v>0</v>
      </c>
      <c r="P51">
        <f t="shared" si="10"/>
        <v>61.579971351920527</v>
      </c>
      <c r="Q51">
        <f t="shared" si="11"/>
        <v>64.96992864807946</v>
      </c>
      <c r="R51">
        <f t="shared" si="12"/>
        <v>126.54989999999998</v>
      </c>
    </row>
    <row r="52" spans="1:18" x14ac:dyDescent="0.3">
      <c r="A52" t="s">
        <v>0</v>
      </c>
      <c r="B52" t="s">
        <v>0</v>
      </c>
      <c r="C52">
        <v>24</v>
      </c>
      <c r="D52">
        <v>31</v>
      </c>
      <c r="E52">
        <v>10</v>
      </c>
      <c r="F52">
        <v>20260205</v>
      </c>
      <c r="G52">
        <v>20260410</v>
      </c>
      <c r="H52">
        <v>210.93129999999999</v>
      </c>
      <c r="I52">
        <f t="shared" si="3"/>
        <v>65</v>
      </c>
      <c r="J52">
        <f t="shared" si="4"/>
        <v>3.2450969230769231</v>
      </c>
      <c r="K52">
        <f t="shared" si="5"/>
        <v>105.63637804869059</v>
      </c>
      <c r="L52">
        <f t="shared" si="6"/>
        <v>100.59800461538461</v>
      </c>
      <c r="M52">
        <f t="shared" si="7"/>
        <v>20.139637929803513</v>
      </c>
      <c r="N52">
        <f t="shared" si="8"/>
        <v>226.37402059387873</v>
      </c>
      <c r="O52">
        <f t="shared" si="9"/>
        <v>98.43010470303183</v>
      </c>
      <c r="P52">
        <f t="shared" si="10"/>
        <v>93.735437641040221</v>
      </c>
      <c r="Q52">
        <f t="shared" si="11"/>
        <v>18.765757655927917</v>
      </c>
      <c r="R52">
        <f t="shared" si="12"/>
        <v>210.93129999999996</v>
      </c>
    </row>
    <row r="53" spans="1:18" x14ac:dyDescent="0.3">
      <c r="A53" t="s">
        <v>0</v>
      </c>
      <c r="B53" t="s">
        <v>0</v>
      </c>
      <c r="C53">
        <v>24</v>
      </c>
      <c r="D53">
        <v>31</v>
      </c>
      <c r="E53">
        <v>9</v>
      </c>
      <c r="F53">
        <v>20260205</v>
      </c>
      <c r="G53">
        <v>20260409</v>
      </c>
      <c r="H53">
        <v>632.79390000000001</v>
      </c>
      <c r="I53">
        <f t="shared" si="3"/>
        <v>64</v>
      </c>
      <c r="J53">
        <f t="shared" si="4"/>
        <v>9.8874046875000001</v>
      </c>
      <c r="K53">
        <f t="shared" si="5"/>
        <v>321.86083936710412</v>
      </c>
      <c r="L53">
        <f t="shared" si="6"/>
        <v>306.50954531249999</v>
      </c>
      <c r="M53">
        <f t="shared" si="7"/>
        <v>55.22666338563306</v>
      </c>
      <c r="N53">
        <f t="shared" si="8"/>
        <v>683.59704806523712</v>
      </c>
      <c r="O53">
        <f t="shared" si="9"/>
        <v>297.94098201100854</v>
      </c>
      <c r="P53">
        <f t="shared" si="10"/>
        <v>283.73055605561046</v>
      </c>
      <c r="Q53">
        <f t="shared" si="11"/>
        <v>51.122361933381079</v>
      </c>
      <c r="R53">
        <f t="shared" si="12"/>
        <v>632.79390000000001</v>
      </c>
    </row>
    <row r="54" spans="1:18" x14ac:dyDescent="0.3">
      <c r="A54" t="s">
        <v>0</v>
      </c>
      <c r="B54" t="s">
        <v>0</v>
      </c>
      <c r="C54">
        <v>0</v>
      </c>
      <c r="D54">
        <v>20</v>
      </c>
      <c r="E54">
        <v>1</v>
      </c>
      <c r="F54">
        <v>20260312</v>
      </c>
      <c r="G54">
        <v>20260401</v>
      </c>
      <c r="H54">
        <v>252.70249999999999</v>
      </c>
      <c r="I54">
        <f t="shared" si="3"/>
        <v>21</v>
      </c>
      <c r="J54">
        <f t="shared" si="4"/>
        <v>12.033452380952379</v>
      </c>
      <c r="K54">
        <f t="shared" si="5"/>
        <v>0</v>
      </c>
      <c r="L54">
        <f t="shared" si="6"/>
        <v>240.6690476190476</v>
      </c>
      <c r="M54">
        <f t="shared" si="7"/>
        <v>7.4681705891275207</v>
      </c>
      <c r="N54">
        <f t="shared" si="8"/>
        <v>248.13721820817511</v>
      </c>
      <c r="O54">
        <f t="shared" si="9"/>
        <v>0</v>
      </c>
      <c r="P54">
        <f t="shared" si="10"/>
        <v>245.0969284056747</v>
      </c>
      <c r="Q54">
        <f t="shared" si="11"/>
        <v>7.6055715943253084</v>
      </c>
      <c r="R54">
        <f t="shared" si="12"/>
        <v>252.70250000000001</v>
      </c>
    </row>
    <row r="55" spans="1:18" x14ac:dyDescent="0.3">
      <c r="A55" t="s">
        <v>0</v>
      </c>
      <c r="B55" t="s">
        <v>0</v>
      </c>
      <c r="C55">
        <v>0</v>
      </c>
      <c r="D55">
        <v>11</v>
      </c>
      <c r="E55">
        <v>5</v>
      </c>
      <c r="F55">
        <v>20260321</v>
      </c>
      <c r="G55">
        <v>20260405</v>
      </c>
      <c r="H55">
        <v>42.185299999999998</v>
      </c>
      <c r="I55">
        <f t="shared" si="3"/>
        <v>16</v>
      </c>
      <c r="J55">
        <f t="shared" si="4"/>
        <v>2.6365812499999999</v>
      </c>
      <c r="K55">
        <f t="shared" si="5"/>
        <v>0</v>
      </c>
      <c r="L55">
        <f t="shared" si="6"/>
        <v>29.00239375</v>
      </c>
      <c r="M55">
        <f t="shared" si="7"/>
        <v>8.1815417237462356</v>
      </c>
      <c r="N55">
        <f t="shared" si="8"/>
        <v>37.183935473746232</v>
      </c>
      <c r="O55">
        <f t="shared" si="9"/>
        <v>0</v>
      </c>
      <c r="P55">
        <f t="shared" si="10"/>
        <v>32.903313365679402</v>
      </c>
      <c r="Q55">
        <f t="shared" si="11"/>
        <v>9.2819866343205977</v>
      </c>
      <c r="R55">
        <f t="shared" si="12"/>
        <v>42.185299999999998</v>
      </c>
    </row>
    <row r="56" spans="1:18" x14ac:dyDescent="0.3">
      <c r="A56" t="s">
        <v>0</v>
      </c>
      <c r="B56" t="s">
        <v>0</v>
      </c>
      <c r="C56">
        <v>0</v>
      </c>
      <c r="D56">
        <v>12</v>
      </c>
      <c r="E56">
        <v>1</v>
      </c>
      <c r="F56">
        <v>20260320</v>
      </c>
      <c r="G56">
        <v>20260401</v>
      </c>
      <c r="H56">
        <v>211.0598</v>
      </c>
      <c r="I56">
        <f t="shared" si="3"/>
        <v>13</v>
      </c>
      <c r="J56">
        <f t="shared" si="4"/>
        <v>16.23536923076923</v>
      </c>
      <c r="K56">
        <f t="shared" si="5"/>
        <v>0</v>
      </c>
      <c r="L56">
        <f t="shared" si="6"/>
        <v>194.82443076923076</v>
      </c>
      <c r="M56">
        <f t="shared" si="7"/>
        <v>10.075953529743435</v>
      </c>
      <c r="N56">
        <f t="shared" si="8"/>
        <v>204.90038429897419</v>
      </c>
      <c r="O56">
        <f t="shared" si="9"/>
        <v>0</v>
      </c>
      <c r="P56">
        <f t="shared" si="10"/>
        <v>200.68095789058776</v>
      </c>
      <c r="Q56">
        <f t="shared" si="11"/>
        <v>10.378842109412238</v>
      </c>
      <c r="R56">
        <f t="shared" si="12"/>
        <v>211.0598</v>
      </c>
    </row>
    <row r="57" spans="1:18" x14ac:dyDescent="0.3">
      <c r="A57" t="s">
        <v>0</v>
      </c>
      <c r="B57" t="s">
        <v>0</v>
      </c>
      <c r="C57">
        <v>0</v>
      </c>
      <c r="D57">
        <v>15</v>
      </c>
      <c r="E57">
        <v>3</v>
      </c>
      <c r="F57">
        <v>20260317</v>
      </c>
      <c r="G57">
        <v>20260403</v>
      </c>
      <c r="H57">
        <v>168.5592</v>
      </c>
      <c r="I57">
        <f t="shared" si="3"/>
        <v>18</v>
      </c>
      <c r="J57">
        <f t="shared" si="4"/>
        <v>9.3643999999999998</v>
      </c>
      <c r="K57">
        <f t="shared" si="5"/>
        <v>0</v>
      </c>
      <c r="L57">
        <f t="shared" si="6"/>
        <v>140.46600000000001</v>
      </c>
      <c r="M57">
        <f t="shared" si="7"/>
        <v>17.435130281196361</v>
      </c>
      <c r="N57">
        <f t="shared" si="8"/>
        <v>157.90113028119637</v>
      </c>
      <c r="O57">
        <f t="shared" si="9"/>
        <v>0</v>
      </c>
      <c r="P57">
        <f t="shared" si="10"/>
        <v>149.94722675534612</v>
      </c>
      <c r="Q57">
        <f t="shared" si="11"/>
        <v>18.611973244653882</v>
      </c>
      <c r="R57">
        <f t="shared" si="12"/>
        <v>168.5592</v>
      </c>
    </row>
    <row r="58" spans="1:18" x14ac:dyDescent="0.3">
      <c r="A58" t="s">
        <v>0</v>
      </c>
      <c r="B58" t="s">
        <v>0</v>
      </c>
      <c r="C58">
        <v>0</v>
      </c>
      <c r="D58">
        <v>15</v>
      </c>
      <c r="E58">
        <v>1</v>
      </c>
      <c r="F58">
        <v>20260317</v>
      </c>
      <c r="G58">
        <v>20260401</v>
      </c>
      <c r="H58">
        <v>252.916</v>
      </c>
      <c r="I58">
        <f t="shared" si="3"/>
        <v>16</v>
      </c>
      <c r="J58">
        <f t="shared" si="4"/>
        <v>15.80725</v>
      </c>
      <c r="K58">
        <f t="shared" si="5"/>
        <v>0</v>
      </c>
      <c r="L58">
        <f t="shared" si="6"/>
        <v>237.10874999999999</v>
      </c>
      <c r="M58">
        <f t="shared" si="7"/>
        <v>9.8102552623923636</v>
      </c>
      <c r="N58">
        <f t="shared" si="8"/>
        <v>246.91900526239235</v>
      </c>
      <c r="O58">
        <f t="shared" si="9"/>
        <v>0</v>
      </c>
      <c r="P58">
        <f t="shared" si="10"/>
        <v>242.86748017340111</v>
      </c>
      <c r="Q58">
        <f t="shared" si="11"/>
        <v>10.048519826598897</v>
      </c>
      <c r="R58">
        <f t="shared" si="12"/>
        <v>252.916</v>
      </c>
    </row>
    <row r="59" spans="1:18" x14ac:dyDescent="0.3">
      <c r="A59" t="s">
        <v>0</v>
      </c>
      <c r="B59" t="s">
        <v>0</v>
      </c>
      <c r="C59">
        <v>0</v>
      </c>
      <c r="D59">
        <v>23</v>
      </c>
      <c r="E59">
        <v>1</v>
      </c>
      <c r="F59">
        <v>20260309</v>
      </c>
      <c r="G59">
        <v>20260401</v>
      </c>
      <c r="H59">
        <v>421.24990000000003</v>
      </c>
      <c r="I59">
        <f t="shared" si="3"/>
        <v>24</v>
      </c>
      <c r="J59">
        <f t="shared" si="4"/>
        <v>17.552079166666669</v>
      </c>
      <c r="K59">
        <f t="shared" si="5"/>
        <v>0</v>
      </c>
      <c r="L59">
        <f t="shared" si="6"/>
        <v>403.69782083333337</v>
      </c>
      <c r="M59">
        <f t="shared" si="7"/>
        <v>10.893126698870397</v>
      </c>
      <c r="N59">
        <f t="shared" si="8"/>
        <v>414.59094753220376</v>
      </c>
      <c r="O59">
        <f t="shared" si="9"/>
        <v>0</v>
      </c>
      <c r="P59">
        <f t="shared" si="10"/>
        <v>410.18181334760141</v>
      </c>
      <c r="Q59">
        <f t="shared" si="11"/>
        <v>11.068086652398629</v>
      </c>
      <c r="R59">
        <f t="shared" si="12"/>
        <v>421.24990000000003</v>
      </c>
    </row>
    <row r="60" spans="1:18" x14ac:dyDescent="0.3">
      <c r="A60" t="s">
        <v>0</v>
      </c>
      <c r="B60" t="s">
        <v>0</v>
      </c>
      <c r="C60">
        <v>0</v>
      </c>
      <c r="D60">
        <v>23</v>
      </c>
      <c r="E60">
        <v>4</v>
      </c>
      <c r="F60">
        <v>20260309</v>
      </c>
      <c r="G60">
        <v>20260404</v>
      </c>
      <c r="H60">
        <v>126.34829999999999</v>
      </c>
      <c r="I60">
        <f t="shared" si="3"/>
        <v>27</v>
      </c>
      <c r="J60">
        <f t="shared" si="4"/>
        <v>4.6795666666666662</v>
      </c>
      <c r="K60">
        <f t="shared" si="5"/>
        <v>0</v>
      </c>
      <c r="L60">
        <f t="shared" si="6"/>
        <v>107.63003333333333</v>
      </c>
      <c r="M60">
        <f t="shared" si="7"/>
        <v>11.616883016940342</v>
      </c>
      <c r="N60">
        <f t="shared" si="8"/>
        <v>119.24691635027366</v>
      </c>
      <c r="O60">
        <f t="shared" si="9"/>
        <v>0</v>
      </c>
      <c r="P60">
        <f t="shared" si="10"/>
        <v>114.03960921442135</v>
      </c>
      <c r="Q60">
        <f t="shared" si="11"/>
        <v>12.308690785578666</v>
      </c>
      <c r="R60">
        <f t="shared" si="12"/>
        <v>126.34830000000001</v>
      </c>
    </row>
    <row r="61" spans="1:18" x14ac:dyDescent="0.3">
      <c r="A61" t="s">
        <v>0</v>
      </c>
      <c r="B61" t="s">
        <v>0</v>
      </c>
      <c r="C61">
        <v>0</v>
      </c>
      <c r="D61">
        <v>19</v>
      </c>
      <c r="E61">
        <v>3</v>
      </c>
      <c r="F61">
        <v>20260313</v>
      </c>
      <c r="G61">
        <v>20260403</v>
      </c>
      <c r="H61">
        <v>84.230199999999996</v>
      </c>
      <c r="I61">
        <f t="shared" si="3"/>
        <v>22</v>
      </c>
      <c r="J61">
        <f t="shared" si="4"/>
        <v>3.8286454545454545</v>
      </c>
      <c r="K61">
        <f t="shared" si="5"/>
        <v>0</v>
      </c>
      <c r="L61">
        <f t="shared" si="6"/>
        <v>72.744263636363641</v>
      </c>
      <c r="M61">
        <f t="shared" si="7"/>
        <v>7.1283725919984464</v>
      </c>
      <c r="N61">
        <f t="shared" si="8"/>
        <v>79.872636228362083</v>
      </c>
      <c r="O61">
        <f t="shared" si="9"/>
        <v>0</v>
      </c>
      <c r="P61">
        <f t="shared" si="10"/>
        <v>76.712929036488944</v>
      </c>
      <c r="Q61">
        <f t="shared" si="11"/>
        <v>7.5172709635110566</v>
      </c>
      <c r="R61">
        <f t="shared" si="12"/>
        <v>84.230199999999996</v>
      </c>
    </row>
    <row r="62" spans="1:18" x14ac:dyDescent="0.3">
      <c r="A62" t="s">
        <v>0</v>
      </c>
      <c r="B62" t="s">
        <v>0</v>
      </c>
      <c r="C62">
        <v>0</v>
      </c>
      <c r="D62">
        <v>13</v>
      </c>
      <c r="E62">
        <v>3</v>
      </c>
      <c r="F62">
        <v>20260319</v>
      </c>
      <c r="G62">
        <v>20260403</v>
      </c>
      <c r="H62">
        <v>84.331000000000003</v>
      </c>
      <c r="I62">
        <f t="shared" si="3"/>
        <v>16</v>
      </c>
      <c r="J62">
        <f t="shared" si="4"/>
        <v>5.2706875000000002</v>
      </c>
      <c r="K62">
        <f t="shared" si="5"/>
        <v>0</v>
      </c>
      <c r="L62">
        <f t="shared" si="6"/>
        <v>68.518937500000007</v>
      </c>
      <c r="M62">
        <f t="shared" si="7"/>
        <v>9.8132419838935903</v>
      </c>
      <c r="N62">
        <f t="shared" si="8"/>
        <v>78.332179483893597</v>
      </c>
      <c r="O62">
        <f t="shared" si="9"/>
        <v>0</v>
      </c>
      <c r="P62">
        <f t="shared" si="10"/>
        <v>73.766242129144501</v>
      </c>
      <c r="Q62">
        <f t="shared" si="11"/>
        <v>10.564757870855498</v>
      </c>
      <c r="R62">
        <f t="shared" si="12"/>
        <v>84.331000000000003</v>
      </c>
    </row>
    <row r="63" spans="1:18" x14ac:dyDescent="0.3">
      <c r="A63" t="s">
        <v>0</v>
      </c>
      <c r="B63" t="s">
        <v>0</v>
      </c>
      <c r="C63">
        <v>0</v>
      </c>
      <c r="D63">
        <v>9</v>
      </c>
      <c r="E63">
        <v>4</v>
      </c>
      <c r="F63">
        <v>20260323</v>
      </c>
      <c r="G63">
        <v>20260404</v>
      </c>
      <c r="H63">
        <v>84.445599999999999</v>
      </c>
      <c r="I63">
        <f t="shared" si="3"/>
        <v>13</v>
      </c>
      <c r="J63">
        <f t="shared" si="4"/>
        <v>6.4958153846153843</v>
      </c>
      <c r="K63">
        <f t="shared" si="5"/>
        <v>0</v>
      </c>
      <c r="L63">
        <f t="shared" si="6"/>
        <v>58.462338461538458</v>
      </c>
      <c r="M63">
        <f t="shared" si="7"/>
        <v>16.125665643411057</v>
      </c>
      <c r="N63">
        <f t="shared" si="8"/>
        <v>74.588004104949519</v>
      </c>
      <c r="O63">
        <f t="shared" si="9"/>
        <v>0</v>
      </c>
      <c r="P63">
        <f t="shared" si="10"/>
        <v>66.188756597390835</v>
      </c>
      <c r="Q63">
        <f t="shared" si="11"/>
        <v>18.25684340260916</v>
      </c>
      <c r="R63">
        <f t="shared" si="12"/>
        <v>84.445599999999999</v>
      </c>
    </row>
    <row r="64" spans="1:18" x14ac:dyDescent="0.3">
      <c r="A64" t="s">
        <v>0</v>
      </c>
      <c r="B64" t="s">
        <v>0</v>
      </c>
      <c r="C64">
        <v>20</v>
      </c>
      <c r="D64">
        <v>31</v>
      </c>
      <c r="E64">
        <v>10</v>
      </c>
      <c r="F64">
        <v>20260209</v>
      </c>
      <c r="G64">
        <v>20260410</v>
      </c>
      <c r="H64">
        <v>42.196100000000001</v>
      </c>
      <c r="I64">
        <f t="shared" si="3"/>
        <v>61</v>
      </c>
      <c r="J64">
        <f t="shared" si="4"/>
        <v>0.69173934426229511</v>
      </c>
      <c r="K64">
        <f t="shared" si="5"/>
        <v>18.764934867841387</v>
      </c>
      <c r="L64">
        <f t="shared" si="6"/>
        <v>21.443919672131148</v>
      </c>
      <c r="M64">
        <f t="shared" si="7"/>
        <v>4.2930551122130822</v>
      </c>
      <c r="N64">
        <f t="shared" si="8"/>
        <v>44.501909652185617</v>
      </c>
      <c r="O64">
        <f t="shared" si="9"/>
        <v>17.792653716783455</v>
      </c>
      <c r="P64">
        <f t="shared" si="10"/>
        <v>20.332830342546288</v>
      </c>
      <c r="Q64">
        <f t="shared" si="11"/>
        <v>4.0706159406702591</v>
      </c>
      <c r="R64">
        <f t="shared" si="12"/>
        <v>42.196100000000001</v>
      </c>
    </row>
    <row r="65" spans="1:18" x14ac:dyDescent="0.3">
      <c r="A65" t="s">
        <v>0</v>
      </c>
      <c r="B65" t="s">
        <v>0</v>
      </c>
      <c r="C65">
        <v>26</v>
      </c>
      <c r="D65">
        <v>11</v>
      </c>
      <c r="E65">
        <v>0</v>
      </c>
      <c r="F65">
        <v>20260203</v>
      </c>
      <c r="G65">
        <v>20260311</v>
      </c>
      <c r="H65">
        <v>211.16849999999999</v>
      </c>
      <c r="I65">
        <f t="shared" si="3"/>
        <v>37</v>
      </c>
      <c r="J65">
        <f t="shared" si="4"/>
        <v>5.7072567567567569</v>
      </c>
      <c r="K65">
        <f t="shared" si="5"/>
        <v>201.26828532131745</v>
      </c>
      <c r="L65">
        <f t="shared" si="6"/>
        <v>62.779824324324323</v>
      </c>
      <c r="M65">
        <f t="shared" si="7"/>
        <v>0</v>
      </c>
      <c r="N65">
        <f t="shared" si="8"/>
        <v>264.04810964564177</v>
      </c>
      <c r="O65">
        <f t="shared" si="9"/>
        <v>160.96128075263474</v>
      </c>
      <c r="P65">
        <f t="shared" si="10"/>
        <v>50.207219247365266</v>
      </c>
      <c r="Q65">
        <f t="shared" si="11"/>
        <v>0</v>
      </c>
      <c r="R65">
        <f t="shared" si="12"/>
        <v>211.16849999999999</v>
      </c>
    </row>
    <row r="66" spans="1:18" x14ac:dyDescent="0.3">
      <c r="A66" t="s">
        <v>0</v>
      </c>
      <c r="B66" t="s">
        <v>0</v>
      </c>
      <c r="C66">
        <v>27</v>
      </c>
      <c r="D66">
        <v>12</v>
      </c>
      <c r="E66">
        <v>0</v>
      </c>
      <c r="F66">
        <v>20260202</v>
      </c>
      <c r="G66">
        <v>20260312</v>
      </c>
      <c r="H66">
        <v>1520.3062</v>
      </c>
      <c r="I66">
        <f t="shared" si="3"/>
        <v>39</v>
      </c>
      <c r="J66">
        <f t="shared" si="4"/>
        <v>38.982210256410255</v>
      </c>
      <c r="K66">
        <f t="shared" si="5"/>
        <v>1427.5943206357492</v>
      </c>
      <c r="L66">
        <f t="shared" si="6"/>
        <v>467.78652307692306</v>
      </c>
      <c r="M66">
        <f t="shared" si="7"/>
        <v>0</v>
      </c>
      <c r="N66">
        <f t="shared" si="8"/>
        <v>1895.3808437126722</v>
      </c>
      <c r="O66">
        <f t="shared" si="9"/>
        <v>1145.0893913731743</v>
      </c>
      <c r="P66">
        <f t="shared" si="10"/>
        <v>375.2168086268257</v>
      </c>
      <c r="Q66">
        <f t="shared" si="11"/>
        <v>0</v>
      </c>
      <c r="R66">
        <f t="shared" si="12"/>
        <v>1520.3062</v>
      </c>
    </row>
    <row r="67" spans="1:18" x14ac:dyDescent="0.3">
      <c r="A67" t="s">
        <v>0</v>
      </c>
      <c r="B67" t="s">
        <v>0</v>
      </c>
      <c r="C67">
        <v>24</v>
      </c>
      <c r="D67">
        <v>5</v>
      </c>
      <c r="E67">
        <v>0</v>
      </c>
      <c r="F67">
        <v>20260205</v>
      </c>
      <c r="G67">
        <v>20260305</v>
      </c>
      <c r="H67">
        <v>337.79840000000002</v>
      </c>
      <c r="I67">
        <f t="shared" si="3"/>
        <v>29</v>
      </c>
      <c r="J67">
        <f t="shared" si="4"/>
        <v>11.648220689655172</v>
      </c>
      <c r="K67">
        <f t="shared" si="5"/>
        <v>379.1799978659144</v>
      </c>
      <c r="L67">
        <f t="shared" si="6"/>
        <v>58.241103448275865</v>
      </c>
      <c r="M67">
        <f t="shared" si="7"/>
        <v>0</v>
      </c>
      <c r="N67">
        <f t="shared" si="8"/>
        <v>437.42110131419025</v>
      </c>
      <c r="O67">
        <f t="shared" si="9"/>
        <v>292.82171391888932</v>
      </c>
      <c r="P67">
        <f t="shared" si="10"/>
        <v>44.976686081110742</v>
      </c>
      <c r="Q67">
        <f t="shared" si="11"/>
        <v>0</v>
      </c>
      <c r="R67">
        <f t="shared" si="12"/>
        <v>337.79840000000007</v>
      </c>
    </row>
    <row r="68" spans="1:18" x14ac:dyDescent="0.3">
      <c r="A68" t="s">
        <v>0</v>
      </c>
      <c r="B68" t="s">
        <v>0</v>
      </c>
      <c r="C68">
        <v>23</v>
      </c>
      <c r="D68">
        <v>6</v>
      </c>
      <c r="E68">
        <v>0</v>
      </c>
      <c r="F68">
        <v>20260206</v>
      </c>
      <c r="G68">
        <v>20260306</v>
      </c>
      <c r="H68">
        <v>253.4436</v>
      </c>
      <c r="I68">
        <f t="shared" si="3"/>
        <v>29</v>
      </c>
      <c r="J68">
        <f t="shared" si="4"/>
        <v>8.7394344827586217</v>
      </c>
      <c r="K68">
        <f t="shared" si="5"/>
        <v>272.63760293910792</v>
      </c>
      <c r="L68">
        <f t="shared" si="6"/>
        <v>52.43660689655173</v>
      </c>
      <c r="M68">
        <f t="shared" si="7"/>
        <v>0</v>
      </c>
      <c r="N68">
        <f t="shared" si="8"/>
        <v>325.07420983565964</v>
      </c>
      <c r="O68">
        <f t="shared" si="9"/>
        <v>212.56148132818819</v>
      </c>
      <c r="P68">
        <f t="shared" si="10"/>
        <v>40.882118671811831</v>
      </c>
      <c r="Q68">
        <f t="shared" si="11"/>
        <v>0</v>
      </c>
      <c r="R68">
        <f t="shared" si="12"/>
        <v>253.44360000000003</v>
      </c>
    </row>
    <row r="69" spans="1:18" x14ac:dyDescent="0.3">
      <c r="A69" t="s">
        <v>0</v>
      </c>
      <c r="B69" t="s">
        <v>0</v>
      </c>
      <c r="C69">
        <v>20</v>
      </c>
      <c r="D69">
        <v>31</v>
      </c>
      <c r="E69">
        <v>0</v>
      </c>
      <c r="F69">
        <v>20260209</v>
      </c>
      <c r="G69">
        <v>20260331</v>
      </c>
      <c r="H69">
        <v>337.70350000000002</v>
      </c>
      <c r="I69">
        <f t="shared" si="3"/>
        <v>51</v>
      </c>
      <c r="J69">
        <f t="shared" si="4"/>
        <v>6.6216372549019615</v>
      </c>
      <c r="K69">
        <f t="shared" si="5"/>
        <v>179.62631855098329</v>
      </c>
      <c r="L69">
        <f t="shared" si="6"/>
        <v>205.2707549019608</v>
      </c>
      <c r="M69">
        <f t="shared" si="7"/>
        <v>0</v>
      </c>
      <c r="N69">
        <f t="shared" si="8"/>
        <v>384.89707345294408</v>
      </c>
      <c r="O69">
        <f t="shared" si="9"/>
        <v>157.60170874408604</v>
      </c>
      <c r="P69">
        <f t="shared" si="10"/>
        <v>180.10179125591398</v>
      </c>
      <c r="Q69">
        <f t="shared" si="11"/>
        <v>0</v>
      </c>
      <c r="R69">
        <f t="shared" si="12"/>
        <v>337.70350000000002</v>
      </c>
    </row>
    <row r="70" spans="1:18" x14ac:dyDescent="0.3">
      <c r="A70" t="s">
        <v>0</v>
      </c>
      <c r="B70" t="s">
        <v>0</v>
      </c>
      <c r="C70">
        <v>27</v>
      </c>
      <c r="D70">
        <v>20</v>
      </c>
      <c r="E70">
        <v>0</v>
      </c>
      <c r="F70">
        <v>20260202</v>
      </c>
      <c r="G70">
        <v>20260320</v>
      </c>
      <c r="H70">
        <v>4557.2897999999996</v>
      </c>
      <c r="I70">
        <f t="shared" si="3"/>
        <v>47</v>
      </c>
      <c r="J70">
        <f t="shared" si="4"/>
        <v>96.963612765957436</v>
      </c>
      <c r="K70">
        <f t="shared" si="5"/>
        <v>3550.9711220194913</v>
      </c>
      <c r="L70">
        <f t="shared" si="6"/>
        <v>1939.2722553191488</v>
      </c>
      <c r="M70">
        <f t="shared" si="7"/>
        <v>0</v>
      </c>
      <c r="N70">
        <f t="shared" si="8"/>
        <v>5490.2433773386401</v>
      </c>
      <c r="O70">
        <f t="shared" si="9"/>
        <v>2947.5568498966054</v>
      </c>
      <c r="P70">
        <f t="shared" si="10"/>
        <v>1609.7329501033944</v>
      </c>
      <c r="Q70">
        <f t="shared" si="11"/>
        <v>0</v>
      </c>
      <c r="R70">
        <f t="shared" si="12"/>
        <v>4557.2897999999996</v>
      </c>
    </row>
    <row r="71" spans="1:18" x14ac:dyDescent="0.3">
      <c r="A71" t="s">
        <v>0</v>
      </c>
      <c r="B71" t="s">
        <v>0</v>
      </c>
      <c r="C71">
        <v>22</v>
      </c>
      <c r="D71">
        <v>28</v>
      </c>
      <c r="E71">
        <v>0</v>
      </c>
      <c r="F71">
        <v>20260207</v>
      </c>
      <c r="G71">
        <v>20260328</v>
      </c>
      <c r="H71">
        <v>168.81620000000001</v>
      </c>
      <c r="I71">
        <f t="shared" si="3"/>
        <v>50</v>
      </c>
      <c r="J71">
        <f t="shared" si="4"/>
        <v>3.3763240000000003</v>
      </c>
      <c r="K71">
        <f t="shared" si="5"/>
        <v>100.74914854283129</v>
      </c>
      <c r="L71">
        <f t="shared" si="6"/>
        <v>94.537072000000009</v>
      </c>
      <c r="M71">
        <f t="shared" si="7"/>
        <v>0</v>
      </c>
      <c r="N71">
        <f t="shared" si="8"/>
        <v>195.2862205428313</v>
      </c>
      <c r="O71">
        <f t="shared" si="9"/>
        <v>87.093131112678819</v>
      </c>
      <c r="P71">
        <f t="shared" si="10"/>
        <v>81.723068887321205</v>
      </c>
      <c r="Q71">
        <f t="shared" si="11"/>
        <v>0</v>
      </c>
      <c r="R71">
        <f t="shared" si="12"/>
        <v>168.81620000000004</v>
      </c>
    </row>
    <row r="72" spans="1:18" x14ac:dyDescent="0.3">
      <c r="A72" t="s">
        <v>0</v>
      </c>
      <c r="B72" t="s">
        <v>0</v>
      </c>
      <c r="C72">
        <v>23</v>
      </c>
      <c r="D72">
        <v>16</v>
      </c>
      <c r="E72">
        <v>0</v>
      </c>
      <c r="F72">
        <v>20260206</v>
      </c>
      <c r="G72">
        <v>20260316</v>
      </c>
      <c r="H72">
        <v>591.02260000000001</v>
      </c>
      <c r="I72">
        <f t="shared" si="3"/>
        <v>39</v>
      </c>
      <c r="J72">
        <f t="shared" si="4"/>
        <v>15.154425641025641</v>
      </c>
      <c r="K72">
        <f t="shared" si="5"/>
        <v>472.76128550871806</v>
      </c>
      <c r="L72">
        <f t="shared" si="6"/>
        <v>242.47081025641026</v>
      </c>
      <c r="M72">
        <f t="shared" si="7"/>
        <v>0</v>
      </c>
      <c r="N72">
        <f t="shared" si="8"/>
        <v>715.23209576512829</v>
      </c>
      <c r="O72">
        <f t="shared" si="9"/>
        <v>390.66004699048051</v>
      </c>
      <c r="P72">
        <f t="shared" si="10"/>
        <v>200.36255300951953</v>
      </c>
      <c r="Q72">
        <f t="shared" si="11"/>
        <v>0</v>
      </c>
      <c r="R72">
        <f t="shared" si="12"/>
        <v>591.02260000000001</v>
      </c>
    </row>
    <row r="73" spans="1:18" x14ac:dyDescent="0.3">
      <c r="A73" t="s">
        <v>0</v>
      </c>
      <c r="B73" t="s">
        <v>0</v>
      </c>
      <c r="C73">
        <v>26</v>
      </c>
      <c r="D73">
        <v>17</v>
      </c>
      <c r="E73">
        <v>0</v>
      </c>
      <c r="F73">
        <v>20260203</v>
      </c>
      <c r="G73">
        <v>20260317</v>
      </c>
      <c r="H73">
        <v>464.27710000000002</v>
      </c>
      <c r="I73">
        <f t="shared" si="3"/>
        <v>43</v>
      </c>
      <c r="J73">
        <f t="shared" si="4"/>
        <v>10.797141860465116</v>
      </c>
      <c r="K73">
        <f t="shared" si="5"/>
        <v>380.76475638740078</v>
      </c>
      <c r="L73">
        <f t="shared" si="6"/>
        <v>183.55141162790696</v>
      </c>
      <c r="M73">
        <f t="shared" si="7"/>
        <v>0</v>
      </c>
      <c r="N73">
        <f t="shared" si="8"/>
        <v>564.31616801530777</v>
      </c>
      <c r="O73">
        <f t="shared" si="9"/>
        <v>313.2647386295576</v>
      </c>
      <c r="P73">
        <f t="shared" si="10"/>
        <v>151.01236137044236</v>
      </c>
      <c r="Q73">
        <f t="shared" si="11"/>
        <v>0</v>
      </c>
      <c r="R73">
        <f t="shared" si="12"/>
        <v>464.27709999999996</v>
      </c>
    </row>
    <row r="74" spans="1:18" x14ac:dyDescent="0.3">
      <c r="A74" t="s">
        <v>0</v>
      </c>
      <c r="B74" t="s">
        <v>0</v>
      </c>
      <c r="C74">
        <v>27</v>
      </c>
      <c r="D74">
        <v>21</v>
      </c>
      <c r="E74">
        <v>0</v>
      </c>
      <c r="F74">
        <v>20260202</v>
      </c>
      <c r="G74">
        <v>20260321</v>
      </c>
      <c r="H74">
        <v>506.31819999999999</v>
      </c>
      <c r="I74">
        <f t="shared" si="3"/>
        <v>48</v>
      </c>
      <c r="J74">
        <f t="shared" si="4"/>
        <v>10.548295833333333</v>
      </c>
      <c r="K74">
        <f t="shared" si="5"/>
        <v>386.29639327790926</v>
      </c>
      <c r="L74">
        <f t="shared" si="6"/>
        <v>221.51421249999999</v>
      </c>
      <c r="M74">
        <f t="shared" si="7"/>
        <v>0</v>
      </c>
      <c r="N74">
        <f t="shared" si="8"/>
        <v>607.81060577790925</v>
      </c>
      <c r="O74">
        <f t="shared" si="9"/>
        <v>321.79250024872096</v>
      </c>
      <c r="P74">
        <f t="shared" si="10"/>
        <v>184.52569975127901</v>
      </c>
      <c r="Q74">
        <f t="shared" si="11"/>
        <v>0</v>
      </c>
      <c r="R74">
        <f t="shared" si="12"/>
        <v>506.31819999999993</v>
      </c>
    </row>
    <row r="75" spans="1:18" x14ac:dyDescent="0.3">
      <c r="A75" t="s">
        <v>0</v>
      </c>
      <c r="B75" t="s">
        <v>0</v>
      </c>
      <c r="C75">
        <v>26</v>
      </c>
      <c r="D75">
        <v>25</v>
      </c>
      <c r="E75">
        <v>0</v>
      </c>
      <c r="F75">
        <v>20260203</v>
      </c>
      <c r="G75">
        <v>20260325</v>
      </c>
      <c r="H75">
        <v>126.5825</v>
      </c>
      <c r="I75">
        <f t="shared" ref="I75:I138" si="13">IF(C75&lt;0,0,C75)+D75+E75</f>
        <v>51</v>
      </c>
      <c r="J75">
        <f t="shared" ref="J75:J138" si="14">H75/I75</f>
        <v>2.4820098039215686</v>
      </c>
      <c r="K75">
        <f t="shared" ref="K75:K138" si="15">IF(C75&lt;0,0,C75)*$J75*$B$6</f>
        <v>87.528891493199794</v>
      </c>
      <c r="L75">
        <f t="shared" ref="L75:L138" si="16">IF(D75&lt;0,0,D75)*$J75*$C$6</f>
        <v>62.050245098039213</v>
      </c>
      <c r="M75">
        <f t="shared" ref="M75:M138" si="17">IF(E75&lt;0,0,E75)*$J75*$D$6</f>
        <v>0</v>
      </c>
      <c r="N75">
        <f t="shared" ref="N75:N138" si="18">K75+L75+M75</f>
        <v>149.57913659123901</v>
      </c>
      <c r="O75">
        <f t="shared" ref="O75:O138" si="19">K75/$N75*$H75</f>
        <v>74.072000680921875</v>
      </c>
      <c r="P75">
        <f t="shared" ref="P75:P138" si="20">L75/$N75*$H75</f>
        <v>52.510499319078114</v>
      </c>
      <c r="Q75">
        <f t="shared" ref="Q75:Q138" si="21">M75/$N75*$H75</f>
        <v>0</v>
      </c>
      <c r="R75">
        <f t="shared" ref="R75:R138" si="22">O75+P75+Q75</f>
        <v>126.58249999999998</v>
      </c>
    </row>
    <row r="76" spans="1:18" x14ac:dyDescent="0.3">
      <c r="A76" t="s">
        <v>0</v>
      </c>
      <c r="B76" t="s">
        <v>0</v>
      </c>
      <c r="C76">
        <v>23</v>
      </c>
      <c r="D76">
        <v>26</v>
      </c>
      <c r="E76">
        <v>0</v>
      </c>
      <c r="F76">
        <v>20260206</v>
      </c>
      <c r="G76">
        <v>20260326</v>
      </c>
      <c r="H76">
        <v>84.394300000000001</v>
      </c>
      <c r="I76">
        <f t="shared" si="13"/>
        <v>49</v>
      </c>
      <c r="J76">
        <f t="shared" si="14"/>
        <v>1.7223326530612244</v>
      </c>
      <c r="K76">
        <f t="shared" si="15"/>
        <v>53.730323960978396</v>
      </c>
      <c r="L76">
        <f t="shared" si="16"/>
        <v>44.780648979591831</v>
      </c>
      <c r="M76">
        <f t="shared" si="17"/>
        <v>0</v>
      </c>
      <c r="N76">
        <f t="shared" si="18"/>
        <v>98.510972940570227</v>
      </c>
      <c r="O76">
        <f t="shared" si="19"/>
        <v>46.030740983500337</v>
      </c>
      <c r="P76">
        <f t="shared" si="20"/>
        <v>38.363559016499664</v>
      </c>
      <c r="Q76">
        <f t="shared" si="21"/>
        <v>0</v>
      </c>
      <c r="R76">
        <f t="shared" si="22"/>
        <v>84.394300000000001</v>
      </c>
    </row>
    <row r="77" spans="1:18" x14ac:dyDescent="0.3">
      <c r="A77" t="s">
        <v>0</v>
      </c>
      <c r="B77" t="s">
        <v>0</v>
      </c>
      <c r="C77">
        <v>23</v>
      </c>
      <c r="D77">
        <v>30</v>
      </c>
      <c r="E77">
        <v>0</v>
      </c>
      <c r="F77">
        <v>20260206</v>
      </c>
      <c r="G77">
        <v>20260330</v>
      </c>
      <c r="H77">
        <v>295.4076</v>
      </c>
      <c r="I77">
        <f t="shared" si="13"/>
        <v>53</v>
      </c>
      <c r="J77">
        <f t="shared" si="14"/>
        <v>5.5737283018867929</v>
      </c>
      <c r="K77">
        <f t="shared" si="15"/>
        <v>173.87943426524916</v>
      </c>
      <c r="L77">
        <f t="shared" si="16"/>
        <v>167.2118490566038</v>
      </c>
      <c r="M77">
        <f t="shared" si="17"/>
        <v>0</v>
      </c>
      <c r="N77">
        <f t="shared" si="18"/>
        <v>341.09128332185298</v>
      </c>
      <c r="O77">
        <f t="shared" si="19"/>
        <v>150.59108478356166</v>
      </c>
      <c r="P77">
        <f t="shared" si="20"/>
        <v>144.81651521643829</v>
      </c>
      <c r="Q77">
        <f t="shared" si="21"/>
        <v>0</v>
      </c>
      <c r="R77">
        <f t="shared" si="22"/>
        <v>295.40759999999995</v>
      </c>
    </row>
    <row r="78" spans="1:18" x14ac:dyDescent="0.3">
      <c r="A78" t="s">
        <v>0</v>
      </c>
      <c r="B78" t="s">
        <v>0</v>
      </c>
      <c r="C78">
        <v>22</v>
      </c>
      <c r="D78">
        <v>31</v>
      </c>
      <c r="E78">
        <v>3</v>
      </c>
      <c r="F78">
        <v>20260207</v>
      </c>
      <c r="G78">
        <v>20260403</v>
      </c>
      <c r="H78">
        <v>30132.2772</v>
      </c>
      <c r="I78">
        <f t="shared" si="13"/>
        <v>56</v>
      </c>
      <c r="J78">
        <f t="shared" si="14"/>
        <v>538.07637857142856</v>
      </c>
      <c r="K78">
        <f t="shared" si="15"/>
        <v>16056.141825275527</v>
      </c>
      <c r="L78">
        <f t="shared" si="16"/>
        <v>16680.367735714284</v>
      </c>
      <c r="M78">
        <f t="shared" si="17"/>
        <v>1001.818777671521</v>
      </c>
      <c r="N78">
        <f t="shared" si="18"/>
        <v>33738.328338661333</v>
      </c>
      <c r="O78">
        <f t="shared" si="19"/>
        <v>14340.014460269274</v>
      </c>
      <c r="P78">
        <f t="shared" si="20"/>
        <v>14897.521280997231</v>
      </c>
      <c r="Q78">
        <f t="shared" si="21"/>
        <v>894.74145873349471</v>
      </c>
      <c r="R78">
        <f t="shared" si="22"/>
        <v>30132.277199999997</v>
      </c>
    </row>
    <row r="79" spans="1:18" x14ac:dyDescent="0.3">
      <c r="A79" t="s">
        <v>0</v>
      </c>
      <c r="B79" t="s">
        <v>0</v>
      </c>
      <c r="C79">
        <v>27</v>
      </c>
      <c r="D79">
        <v>31</v>
      </c>
      <c r="E79">
        <v>4</v>
      </c>
      <c r="F79">
        <v>20260202</v>
      </c>
      <c r="G79">
        <v>20260404</v>
      </c>
      <c r="H79">
        <v>471288.68420000002</v>
      </c>
      <c r="I79">
        <f t="shared" si="13"/>
        <v>62</v>
      </c>
      <c r="J79">
        <f t="shared" si="14"/>
        <v>7601.4303903225809</v>
      </c>
      <c r="K79">
        <f t="shared" si="15"/>
        <v>278377.20802780887</v>
      </c>
      <c r="L79">
        <f t="shared" si="16"/>
        <v>235644.34210000001</v>
      </c>
      <c r="M79">
        <f t="shared" si="17"/>
        <v>18870.321526735224</v>
      </c>
      <c r="N79">
        <f t="shared" si="18"/>
        <v>532891.87165454414</v>
      </c>
      <c r="O79">
        <f t="shared" si="19"/>
        <v>246196.33937247537</v>
      </c>
      <c r="P79">
        <f t="shared" si="20"/>
        <v>208403.46388221488</v>
      </c>
      <c r="Q79">
        <f t="shared" si="21"/>
        <v>16688.880945309767</v>
      </c>
      <c r="R79">
        <f t="shared" si="22"/>
        <v>471288.68420000002</v>
      </c>
    </row>
    <row r="80" spans="1:18" x14ac:dyDescent="0.3">
      <c r="A80" t="s">
        <v>0</v>
      </c>
      <c r="B80" t="s">
        <v>0</v>
      </c>
      <c r="C80">
        <v>27</v>
      </c>
      <c r="D80">
        <v>31</v>
      </c>
      <c r="E80">
        <v>6</v>
      </c>
      <c r="F80">
        <v>20260202</v>
      </c>
      <c r="G80">
        <v>20260406</v>
      </c>
      <c r="H80">
        <v>339351.75949999999</v>
      </c>
      <c r="I80">
        <f t="shared" si="13"/>
        <v>64</v>
      </c>
      <c r="J80">
        <f t="shared" si="14"/>
        <v>5302.3712421874998</v>
      </c>
      <c r="K80">
        <f t="shared" si="15"/>
        <v>194181.78244535127</v>
      </c>
      <c r="L80">
        <f t="shared" si="16"/>
        <v>164373.50850781248</v>
      </c>
      <c r="M80">
        <f t="shared" si="17"/>
        <v>19744.464868396917</v>
      </c>
      <c r="N80">
        <f t="shared" si="18"/>
        <v>378299.75582156068</v>
      </c>
      <c r="O80">
        <f t="shared" si="19"/>
        <v>174189.72262503509</v>
      </c>
      <c r="P80">
        <f t="shared" si="20"/>
        <v>147450.37095298927</v>
      </c>
      <c r="Q80">
        <f t="shared" si="21"/>
        <v>17711.665921975607</v>
      </c>
      <c r="R80">
        <f t="shared" si="22"/>
        <v>339351.75949999999</v>
      </c>
    </row>
    <row r="81" spans="1:18" x14ac:dyDescent="0.3">
      <c r="A81" t="s">
        <v>0</v>
      </c>
      <c r="B81" t="s">
        <v>0</v>
      </c>
      <c r="C81">
        <v>23</v>
      </c>
      <c r="D81">
        <v>31</v>
      </c>
      <c r="E81">
        <v>4</v>
      </c>
      <c r="F81">
        <v>20260206</v>
      </c>
      <c r="G81">
        <v>20260404</v>
      </c>
      <c r="H81">
        <v>229420.41399999999</v>
      </c>
      <c r="I81">
        <f t="shared" si="13"/>
        <v>58</v>
      </c>
      <c r="J81">
        <f t="shared" si="14"/>
        <v>3955.5243793103446</v>
      </c>
      <c r="K81">
        <f t="shared" si="15"/>
        <v>123397.53645043264</v>
      </c>
      <c r="L81">
        <f t="shared" si="16"/>
        <v>122621.25575862068</v>
      </c>
      <c r="M81">
        <f t="shared" si="17"/>
        <v>9819.4698907528127</v>
      </c>
      <c r="N81">
        <f t="shared" si="18"/>
        <v>255838.26209980613</v>
      </c>
      <c r="O81">
        <f t="shared" si="19"/>
        <v>110655.51206720693</v>
      </c>
      <c r="P81">
        <f t="shared" si="20"/>
        <v>109959.39008672604</v>
      </c>
      <c r="Q81">
        <f t="shared" si="21"/>
        <v>8805.5118460670328</v>
      </c>
      <c r="R81">
        <f t="shared" si="22"/>
        <v>229420.41399999999</v>
      </c>
    </row>
    <row r="82" spans="1:18" x14ac:dyDescent="0.3">
      <c r="A82" t="s">
        <v>0</v>
      </c>
      <c r="B82" t="s">
        <v>0</v>
      </c>
      <c r="C82">
        <v>22</v>
      </c>
      <c r="D82">
        <v>31</v>
      </c>
      <c r="E82">
        <v>7</v>
      </c>
      <c r="F82">
        <v>20260207</v>
      </c>
      <c r="G82">
        <v>20260407</v>
      </c>
      <c r="H82">
        <v>129111.1198</v>
      </c>
      <c r="I82">
        <f t="shared" si="13"/>
        <v>60</v>
      </c>
      <c r="J82">
        <f t="shared" si="14"/>
        <v>2151.8519966666668</v>
      </c>
      <c r="K82">
        <f t="shared" si="15"/>
        <v>64211.034383654551</v>
      </c>
      <c r="L82">
        <f t="shared" si="16"/>
        <v>66707.411896666672</v>
      </c>
      <c r="M82">
        <f t="shared" si="17"/>
        <v>9348.3383649477801</v>
      </c>
      <c r="N82">
        <f t="shared" si="18"/>
        <v>140266.78464526901</v>
      </c>
      <c r="O82">
        <f t="shared" si="19"/>
        <v>59104.21753629014</v>
      </c>
      <c r="P82">
        <f t="shared" si="20"/>
        <v>61402.053741516116</v>
      </c>
      <c r="Q82">
        <f t="shared" si="21"/>
        <v>8604.8485221937281</v>
      </c>
      <c r="R82">
        <f t="shared" si="22"/>
        <v>129111.11979999999</v>
      </c>
    </row>
    <row r="83" spans="1:18" x14ac:dyDescent="0.3">
      <c r="A83" t="s">
        <v>0</v>
      </c>
      <c r="B83" t="s">
        <v>0</v>
      </c>
      <c r="C83">
        <v>25</v>
      </c>
      <c r="D83">
        <v>31</v>
      </c>
      <c r="E83">
        <v>5</v>
      </c>
      <c r="F83">
        <v>20260204</v>
      </c>
      <c r="G83">
        <v>20260405</v>
      </c>
      <c r="H83">
        <v>166195.02439999999</v>
      </c>
      <c r="I83">
        <f t="shared" si="13"/>
        <v>61</v>
      </c>
      <c r="J83">
        <f t="shared" si="14"/>
        <v>2724.5085967213113</v>
      </c>
      <c r="K83">
        <f t="shared" si="15"/>
        <v>92385.279925908719</v>
      </c>
      <c r="L83">
        <f t="shared" si="16"/>
        <v>84459.766498360652</v>
      </c>
      <c r="M83">
        <f t="shared" si="17"/>
        <v>8454.3879543938638</v>
      </c>
      <c r="N83">
        <f t="shared" si="18"/>
        <v>185299.43437866325</v>
      </c>
      <c r="O83">
        <f t="shared" si="19"/>
        <v>82860.33847308495</v>
      </c>
      <c r="P83">
        <f t="shared" si="20"/>
        <v>75751.947117814037</v>
      </c>
      <c r="Q83">
        <f t="shared" si="21"/>
        <v>7582.7388091010016</v>
      </c>
      <c r="R83">
        <f t="shared" si="22"/>
        <v>166195.02439999999</v>
      </c>
    </row>
    <row r="84" spans="1:18" x14ac:dyDescent="0.3">
      <c r="A84" t="s">
        <v>0</v>
      </c>
      <c r="B84" t="s">
        <v>0</v>
      </c>
      <c r="C84">
        <v>21</v>
      </c>
      <c r="D84">
        <v>31</v>
      </c>
      <c r="E84">
        <v>1</v>
      </c>
      <c r="F84">
        <v>20260208</v>
      </c>
      <c r="G84">
        <v>20260401</v>
      </c>
      <c r="H84">
        <v>26635.117900000001</v>
      </c>
      <c r="I84">
        <f t="shared" si="13"/>
        <v>53</v>
      </c>
      <c r="J84">
        <f t="shared" si="14"/>
        <v>502.54939433962267</v>
      </c>
      <c r="K84">
        <f t="shared" si="15"/>
        <v>14314.383108927761</v>
      </c>
      <c r="L84">
        <f t="shared" si="16"/>
        <v>15579.031224528302</v>
      </c>
      <c r="M84">
        <f t="shared" si="17"/>
        <v>311.89092602649913</v>
      </c>
      <c r="N84">
        <f t="shared" si="18"/>
        <v>30205.305259482564</v>
      </c>
      <c r="O84">
        <f t="shared" si="19"/>
        <v>12622.460806032284</v>
      </c>
      <c r="P84">
        <f t="shared" si="20"/>
        <v>13737.630852210134</v>
      </c>
      <c r="Q84">
        <f t="shared" si="21"/>
        <v>275.02624175758098</v>
      </c>
      <c r="R84">
        <f t="shared" si="22"/>
        <v>26635.117899999997</v>
      </c>
    </row>
    <row r="85" spans="1:18" x14ac:dyDescent="0.3">
      <c r="A85" t="s">
        <v>0</v>
      </c>
      <c r="B85" t="s">
        <v>0</v>
      </c>
      <c r="C85">
        <v>27</v>
      </c>
      <c r="D85">
        <v>31</v>
      </c>
      <c r="E85">
        <v>8</v>
      </c>
      <c r="F85">
        <v>20260202</v>
      </c>
      <c r="G85">
        <v>20260408</v>
      </c>
      <c r="H85">
        <v>32529.415099999998</v>
      </c>
      <c r="I85">
        <f t="shared" si="13"/>
        <v>66</v>
      </c>
      <c r="J85">
        <f t="shared" si="14"/>
        <v>492.86992575757574</v>
      </c>
      <c r="K85">
        <f t="shared" si="15"/>
        <v>18049.728381113924</v>
      </c>
      <c r="L85">
        <f t="shared" si="16"/>
        <v>15278.967698484848</v>
      </c>
      <c r="M85">
        <f t="shared" si="17"/>
        <v>2447.0694309703163</v>
      </c>
      <c r="N85">
        <f t="shared" si="18"/>
        <v>35775.765510569086</v>
      </c>
      <c r="O85">
        <f t="shared" si="19"/>
        <v>16411.867043852559</v>
      </c>
      <c r="P85">
        <f t="shared" si="20"/>
        <v>13892.529634807504</v>
      </c>
      <c r="Q85">
        <f t="shared" si="21"/>
        <v>2225.0184213399375</v>
      </c>
      <c r="R85">
        <f t="shared" si="22"/>
        <v>32529.415100000002</v>
      </c>
    </row>
    <row r="86" spans="1:18" x14ac:dyDescent="0.3">
      <c r="A86" t="s">
        <v>0</v>
      </c>
      <c r="B86" t="s">
        <v>0</v>
      </c>
      <c r="C86">
        <v>27</v>
      </c>
      <c r="D86">
        <v>31</v>
      </c>
      <c r="E86">
        <v>7</v>
      </c>
      <c r="F86">
        <v>20260202</v>
      </c>
      <c r="G86">
        <v>20260407</v>
      </c>
      <c r="H86">
        <v>52359.2791</v>
      </c>
      <c r="I86">
        <f t="shared" si="13"/>
        <v>65</v>
      </c>
      <c r="J86">
        <f t="shared" si="14"/>
        <v>805.52737076923074</v>
      </c>
      <c r="K86">
        <f t="shared" si="15"/>
        <v>29499.771615379352</v>
      </c>
      <c r="L86">
        <f t="shared" si="16"/>
        <v>24971.348493846152</v>
      </c>
      <c r="M86">
        <f t="shared" si="17"/>
        <v>3499.470426331558</v>
      </c>
      <c r="N86">
        <f t="shared" si="18"/>
        <v>57970.590535557065</v>
      </c>
      <c r="O86">
        <f t="shared" si="19"/>
        <v>26644.316732438867</v>
      </c>
      <c r="P86">
        <f t="shared" si="20"/>
        <v>22554.226086254774</v>
      </c>
      <c r="Q86">
        <f t="shared" si="21"/>
        <v>3160.7362813063551</v>
      </c>
      <c r="R86">
        <f t="shared" si="22"/>
        <v>52359.279099999992</v>
      </c>
    </row>
    <row r="87" spans="1:18" x14ac:dyDescent="0.3">
      <c r="A87" t="s">
        <v>0</v>
      </c>
      <c r="B87" t="s">
        <v>0</v>
      </c>
      <c r="C87">
        <v>20</v>
      </c>
      <c r="D87">
        <v>31</v>
      </c>
      <c r="E87">
        <v>3</v>
      </c>
      <c r="F87">
        <v>20260209</v>
      </c>
      <c r="G87">
        <v>20260403</v>
      </c>
      <c r="H87">
        <v>13590.976000000001</v>
      </c>
      <c r="I87">
        <f t="shared" si="13"/>
        <v>54</v>
      </c>
      <c r="J87">
        <f t="shared" si="14"/>
        <v>251.68474074074075</v>
      </c>
      <c r="K87">
        <f t="shared" si="15"/>
        <v>6827.4962330879453</v>
      </c>
      <c r="L87">
        <f t="shared" si="16"/>
        <v>7802.2269629629636</v>
      </c>
      <c r="M87">
        <f t="shared" si="17"/>
        <v>468.59982963179107</v>
      </c>
      <c r="N87">
        <f t="shared" si="18"/>
        <v>15098.323025682699</v>
      </c>
      <c r="O87">
        <f t="shared" si="19"/>
        <v>6145.8704576757382</v>
      </c>
      <c r="P87">
        <f t="shared" si="20"/>
        <v>7023.2885612399159</v>
      </c>
      <c r="Q87">
        <f t="shared" si="21"/>
        <v>421.81698108434711</v>
      </c>
      <c r="R87">
        <f t="shared" si="22"/>
        <v>13590.976000000001</v>
      </c>
    </row>
    <row r="88" spans="1:18" x14ac:dyDescent="0.3">
      <c r="A88" t="s">
        <v>0</v>
      </c>
      <c r="B88" t="s">
        <v>0</v>
      </c>
      <c r="C88">
        <v>21</v>
      </c>
      <c r="D88">
        <v>31</v>
      </c>
      <c r="E88">
        <v>6</v>
      </c>
      <c r="F88">
        <v>20260208</v>
      </c>
      <c r="G88">
        <v>20260406</v>
      </c>
      <c r="H88">
        <v>47853.783600000002</v>
      </c>
      <c r="I88">
        <f t="shared" si="13"/>
        <v>58</v>
      </c>
      <c r="J88">
        <f t="shared" si="14"/>
        <v>825.06523448275868</v>
      </c>
      <c r="K88">
        <f t="shared" si="15"/>
        <v>23500.774230885112</v>
      </c>
      <c r="L88">
        <f t="shared" si="16"/>
        <v>25577.02226896552</v>
      </c>
      <c r="M88">
        <f t="shared" si="17"/>
        <v>3072.2993152135155</v>
      </c>
      <c r="N88">
        <f t="shared" si="18"/>
        <v>52150.095815064153</v>
      </c>
      <c r="O88">
        <f t="shared" si="19"/>
        <v>21564.696035560853</v>
      </c>
      <c r="P88">
        <f t="shared" si="20"/>
        <v>23469.895302433997</v>
      </c>
      <c r="Q88">
        <f t="shared" si="21"/>
        <v>2819.1922620051455</v>
      </c>
      <c r="R88">
        <f t="shared" si="22"/>
        <v>47853.783599999995</v>
      </c>
    </row>
    <row r="89" spans="1:18" x14ac:dyDescent="0.3">
      <c r="A89" t="s">
        <v>0</v>
      </c>
      <c r="B89" t="s">
        <v>0</v>
      </c>
      <c r="C89">
        <v>0</v>
      </c>
      <c r="D89">
        <v>28</v>
      </c>
      <c r="E89">
        <v>1</v>
      </c>
      <c r="F89">
        <v>20260304</v>
      </c>
      <c r="G89">
        <v>20260401</v>
      </c>
      <c r="H89">
        <v>632.80859999999996</v>
      </c>
      <c r="I89">
        <f t="shared" si="13"/>
        <v>29</v>
      </c>
      <c r="J89">
        <f t="shared" si="14"/>
        <v>21.820986206896549</v>
      </c>
      <c r="K89">
        <f t="shared" si="15"/>
        <v>0</v>
      </c>
      <c r="L89">
        <f t="shared" si="16"/>
        <v>610.98761379310338</v>
      </c>
      <c r="M89">
        <f t="shared" si="17"/>
        <v>13.542484920957033</v>
      </c>
      <c r="N89">
        <f t="shared" si="18"/>
        <v>624.53009871406039</v>
      </c>
      <c r="O89">
        <f t="shared" si="19"/>
        <v>0</v>
      </c>
      <c r="P89">
        <f t="shared" si="20"/>
        <v>619.08660174723752</v>
      </c>
      <c r="Q89">
        <f t="shared" si="21"/>
        <v>13.721998252762502</v>
      </c>
      <c r="R89">
        <f t="shared" si="22"/>
        <v>632.80860000000007</v>
      </c>
    </row>
    <row r="90" spans="1:18" x14ac:dyDescent="0.3">
      <c r="A90" t="s">
        <v>0</v>
      </c>
      <c r="B90" t="s">
        <v>0</v>
      </c>
      <c r="C90">
        <v>6</v>
      </c>
      <c r="D90">
        <v>31</v>
      </c>
      <c r="E90">
        <v>3</v>
      </c>
      <c r="F90">
        <v>20260223</v>
      </c>
      <c r="G90">
        <v>20260403</v>
      </c>
      <c r="H90">
        <v>168.911</v>
      </c>
      <c r="I90">
        <f t="shared" si="13"/>
        <v>40</v>
      </c>
      <c r="J90">
        <f t="shared" si="14"/>
        <v>4.2227750000000004</v>
      </c>
      <c r="K90">
        <f t="shared" si="15"/>
        <v>34.365588061665534</v>
      </c>
      <c r="L90">
        <f t="shared" si="16"/>
        <v>130.906025</v>
      </c>
      <c r="M90">
        <f t="shared" si="17"/>
        <v>7.8621836180832698</v>
      </c>
      <c r="N90">
        <f t="shared" si="18"/>
        <v>173.1337966797488</v>
      </c>
      <c r="O90">
        <f t="shared" si="19"/>
        <v>33.527398788701994</v>
      </c>
      <c r="P90">
        <f t="shared" si="20"/>
        <v>127.71317912975303</v>
      </c>
      <c r="Q90">
        <f t="shared" si="21"/>
        <v>7.6704220815449746</v>
      </c>
      <c r="R90">
        <f t="shared" si="22"/>
        <v>168.911</v>
      </c>
    </row>
    <row r="91" spans="1:18" x14ac:dyDescent="0.3">
      <c r="A91" t="s">
        <v>0</v>
      </c>
      <c r="B91" t="s">
        <v>0</v>
      </c>
      <c r="C91">
        <v>0</v>
      </c>
      <c r="D91">
        <v>27</v>
      </c>
      <c r="E91">
        <v>4</v>
      </c>
      <c r="F91">
        <v>20260305</v>
      </c>
      <c r="G91">
        <v>20260404</v>
      </c>
      <c r="H91">
        <v>42.165500000000002</v>
      </c>
      <c r="I91">
        <f t="shared" si="13"/>
        <v>31</v>
      </c>
      <c r="J91">
        <f t="shared" si="14"/>
        <v>1.3601774193548388</v>
      </c>
      <c r="K91">
        <f t="shared" si="15"/>
        <v>0</v>
      </c>
      <c r="L91">
        <f t="shared" si="16"/>
        <v>36.724790322580645</v>
      </c>
      <c r="M91">
        <f t="shared" si="17"/>
        <v>3.3765993923074724</v>
      </c>
      <c r="N91">
        <f t="shared" si="18"/>
        <v>40.101389714888114</v>
      </c>
      <c r="O91">
        <f t="shared" si="19"/>
        <v>0</v>
      </c>
      <c r="P91">
        <f t="shared" si="20"/>
        <v>38.615099310931569</v>
      </c>
      <c r="Q91">
        <f t="shared" si="21"/>
        <v>3.5504006890684381</v>
      </c>
      <c r="R91">
        <f t="shared" si="22"/>
        <v>42.165500000000009</v>
      </c>
    </row>
    <row r="92" spans="1:18" x14ac:dyDescent="0.3">
      <c r="A92" t="s">
        <v>0</v>
      </c>
      <c r="B92" t="s">
        <v>0</v>
      </c>
      <c r="C92">
        <v>3</v>
      </c>
      <c r="D92">
        <v>31</v>
      </c>
      <c r="E92">
        <v>1</v>
      </c>
      <c r="F92">
        <v>20260226</v>
      </c>
      <c r="G92">
        <v>20260401</v>
      </c>
      <c r="H92">
        <v>1055.7681</v>
      </c>
      <c r="I92">
        <f t="shared" si="13"/>
        <v>35</v>
      </c>
      <c r="J92">
        <f t="shared" si="14"/>
        <v>30.164802857142856</v>
      </c>
      <c r="K92">
        <f t="shared" si="15"/>
        <v>122.74288695821146</v>
      </c>
      <c r="L92">
        <f t="shared" si="16"/>
        <v>935.10888857142857</v>
      </c>
      <c r="M92">
        <f t="shared" si="17"/>
        <v>18.720803173753431</v>
      </c>
      <c r="N92">
        <f t="shared" si="18"/>
        <v>1076.5725787033934</v>
      </c>
      <c r="O92">
        <f t="shared" si="19"/>
        <v>120.37091331869088</v>
      </c>
      <c r="P92">
        <f t="shared" si="20"/>
        <v>917.03815804895066</v>
      </c>
      <c r="Q92">
        <f t="shared" si="21"/>
        <v>18.359028632358502</v>
      </c>
      <c r="R92">
        <f t="shared" si="22"/>
        <v>1055.7681</v>
      </c>
    </row>
    <row r="93" spans="1:18" x14ac:dyDescent="0.3">
      <c r="A93" t="s">
        <v>0</v>
      </c>
      <c r="B93" t="s">
        <v>0</v>
      </c>
      <c r="C93">
        <v>3</v>
      </c>
      <c r="D93">
        <v>31</v>
      </c>
      <c r="E93">
        <v>6</v>
      </c>
      <c r="F93">
        <v>20260226</v>
      </c>
      <c r="G93">
        <v>20260406</v>
      </c>
      <c r="H93">
        <v>42.21</v>
      </c>
      <c r="I93">
        <f t="shared" si="13"/>
        <v>40</v>
      </c>
      <c r="J93">
        <f t="shared" si="14"/>
        <v>1.05525</v>
      </c>
      <c r="K93">
        <f t="shared" si="15"/>
        <v>4.2938928550624356</v>
      </c>
      <c r="L93">
        <f t="shared" si="16"/>
        <v>32.71275</v>
      </c>
      <c r="M93">
        <f t="shared" si="17"/>
        <v>3.9294394150682286</v>
      </c>
      <c r="N93">
        <f t="shared" si="18"/>
        <v>40.936082270130669</v>
      </c>
      <c r="O93">
        <f t="shared" si="19"/>
        <v>4.4275174213344881</v>
      </c>
      <c r="P93">
        <f t="shared" si="20"/>
        <v>33.730760271300198</v>
      </c>
      <c r="Q93">
        <f t="shared" si="21"/>
        <v>4.051722307365309</v>
      </c>
      <c r="R93">
        <f t="shared" si="22"/>
        <v>42.209999999999994</v>
      </c>
    </row>
    <row r="94" spans="1:18" x14ac:dyDescent="0.3">
      <c r="A94" t="s">
        <v>0</v>
      </c>
      <c r="B94" t="s">
        <v>0</v>
      </c>
      <c r="C94">
        <v>28</v>
      </c>
      <c r="D94">
        <v>31</v>
      </c>
      <c r="E94">
        <v>7</v>
      </c>
      <c r="F94">
        <v>20260130</v>
      </c>
      <c r="G94">
        <v>20260407</v>
      </c>
      <c r="H94">
        <v>464.02710000000002</v>
      </c>
      <c r="I94">
        <f t="shared" si="13"/>
        <v>66</v>
      </c>
      <c r="J94">
        <f t="shared" si="14"/>
        <v>7.0307136363636369</v>
      </c>
      <c r="K94">
        <f t="shared" si="15"/>
        <v>267.01276770964603</v>
      </c>
      <c r="L94">
        <f t="shared" si="16"/>
        <v>217.95212272727275</v>
      </c>
      <c r="M94">
        <f t="shared" si="17"/>
        <v>30.54368521700934</v>
      </c>
      <c r="N94">
        <f t="shared" si="18"/>
        <v>515.50857565392812</v>
      </c>
      <c r="O94">
        <f t="shared" si="19"/>
        <v>240.34742798625754</v>
      </c>
      <c r="P94">
        <f t="shared" si="20"/>
        <v>196.18624446681369</v>
      </c>
      <c r="Q94">
        <f t="shared" si="21"/>
        <v>27.493427546928757</v>
      </c>
      <c r="R94">
        <f t="shared" si="22"/>
        <v>464.02710000000002</v>
      </c>
    </row>
    <row r="95" spans="1:18" x14ac:dyDescent="0.3">
      <c r="A95" t="s">
        <v>0</v>
      </c>
      <c r="B95" t="s">
        <v>0</v>
      </c>
      <c r="C95">
        <v>28</v>
      </c>
      <c r="D95">
        <v>31</v>
      </c>
      <c r="E95">
        <v>6</v>
      </c>
      <c r="F95">
        <v>20260130</v>
      </c>
      <c r="G95">
        <v>20260406</v>
      </c>
      <c r="H95">
        <v>590.59379999999999</v>
      </c>
      <c r="I95">
        <f t="shared" si="13"/>
        <v>65</v>
      </c>
      <c r="J95">
        <f t="shared" si="14"/>
        <v>9.0860584615384621</v>
      </c>
      <c r="K95">
        <f t="shared" si="15"/>
        <v>345.07074855659113</v>
      </c>
      <c r="L95">
        <f t="shared" si="16"/>
        <v>281.66781230769232</v>
      </c>
      <c r="M95">
        <f t="shared" si="17"/>
        <v>33.83379885940149</v>
      </c>
      <c r="N95">
        <f t="shared" si="18"/>
        <v>660.57235972368494</v>
      </c>
      <c r="O95">
        <f t="shared" si="19"/>
        <v>308.51524690516732</v>
      </c>
      <c r="P95">
        <f t="shared" si="20"/>
        <v>251.82898006521333</v>
      </c>
      <c r="Q95">
        <f t="shared" si="21"/>
        <v>30.249573029619352</v>
      </c>
      <c r="R95">
        <f t="shared" si="22"/>
        <v>590.59379999999999</v>
      </c>
    </row>
    <row r="96" spans="1:18" x14ac:dyDescent="0.3">
      <c r="A96" t="s">
        <v>0</v>
      </c>
      <c r="B96" t="s">
        <v>0</v>
      </c>
      <c r="C96">
        <v>28</v>
      </c>
      <c r="D96">
        <v>31</v>
      </c>
      <c r="E96">
        <v>1</v>
      </c>
      <c r="F96">
        <v>20260131</v>
      </c>
      <c r="G96">
        <v>20260401</v>
      </c>
      <c r="H96">
        <v>506.37740000000002</v>
      </c>
      <c r="I96">
        <f t="shared" si="13"/>
        <v>60</v>
      </c>
      <c r="J96">
        <f t="shared" si="14"/>
        <v>8.4396233333333335</v>
      </c>
      <c r="K96">
        <f t="shared" si="15"/>
        <v>320.52040535472167</v>
      </c>
      <c r="L96">
        <f t="shared" si="16"/>
        <v>261.62832333333336</v>
      </c>
      <c r="M96">
        <f t="shared" si="17"/>
        <v>5.2377775526067296</v>
      </c>
      <c r="N96">
        <f t="shared" si="18"/>
        <v>587.38650624066179</v>
      </c>
      <c r="O96">
        <f t="shared" si="19"/>
        <v>276.31599940767336</v>
      </c>
      <c r="P96">
        <f t="shared" si="20"/>
        <v>225.54598842216575</v>
      </c>
      <c r="Q96">
        <f t="shared" si="21"/>
        <v>4.5154121701608716</v>
      </c>
      <c r="R96">
        <f t="shared" si="22"/>
        <v>506.37739999999997</v>
      </c>
    </row>
    <row r="97" spans="1:18" x14ac:dyDescent="0.3">
      <c r="A97" t="s">
        <v>0</v>
      </c>
      <c r="B97" t="s">
        <v>0</v>
      </c>
      <c r="C97">
        <v>17</v>
      </c>
      <c r="D97">
        <v>31</v>
      </c>
      <c r="E97">
        <v>1</v>
      </c>
      <c r="F97">
        <v>20260212</v>
      </c>
      <c r="G97">
        <v>20260401</v>
      </c>
      <c r="H97">
        <v>1139.8293000000001</v>
      </c>
      <c r="I97">
        <f t="shared" si="13"/>
        <v>49</v>
      </c>
      <c r="J97">
        <f t="shared" si="14"/>
        <v>23.261822448979594</v>
      </c>
      <c r="K97">
        <f t="shared" si="15"/>
        <v>536.37341690274832</v>
      </c>
      <c r="L97">
        <f t="shared" si="16"/>
        <v>721.11649591836738</v>
      </c>
      <c r="M97">
        <f t="shared" si="17"/>
        <v>14.436693042302672</v>
      </c>
      <c r="N97">
        <f t="shared" si="18"/>
        <v>1271.9266058634184</v>
      </c>
      <c r="O97">
        <f t="shared" si="19"/>
        <v>480.66777871341907</v>
      </c>
      <c r="P97">
        <f t="shared" si="20"/>
        <v>646.22416652973766</v>
      </c>
      <c r="Q97">
        <f t="shared" si="21"/>
        <v>12.93735475684336</v>
      </c>
      <c r="R97">
        <f t="shared" si="22"/>
        <v>1139.8293000000001</v>
      </c>
    </row>
    <row r="98" spans="1:18" x14ac:dyDescent="0.3">
      <c r="A98" t="s">
        <v>0</v>
      </c>
      <c r="B98" t="s">
        <v>0</v>
      </c>
      <c r="C98">
        <v>28</v>
      </c>
      <c r="D98">
        <v>31</v>
      </c>
      <c r="E98">
        <v>6</v>
      </c>
      <c r="F98">
        <v>20260126</v>
      </c>
      <c r="G98">
        <v>20260406</v>
      </c>
      <c r="H98">
        <v>84.3429</v>
      </c>
      <c r="I98">
        <f t="shared" si="13"/>
        <v>65</v>
      </c>
      <c r="J98">
        <f t="shared" si="14"/>
        <v>1.297583076923077</v>
      </c>
      <c r="K98">
        <f t="shared" si="15"/>
        <v>49.279670119181255</v>
      </c>
      <c r="L98">
        <f t="shared" si="16"/>
        <v>40.225075384615387</v>
      </c>
      <c r="M98">
        <f t="shared" si="17"/>
        <v>4.8318162395518094</v>
      </c>
      <c r="N98">
        <f t="shared" si="18"/>
        <v>94.336561743348454</v>
      </c>
      <c r="O98">
        <f t="shared" si="19"/>
        <v>44.059166584880906</v>
      </c>
      <c r="P98">
        <f t="shared" si="20"/>
        <v>35.963781676580894</v>
      </c>
      <c r="Q98">
        <f t="shared" si="21"/>
        <v>4.3199517385381991</v>
      </c>
      <c r="R98">
        <f t="shared" si="22"/>
        <v>84.3429</v>
      </c>
    </row>
    <row r="99" spans="1:18" x14ac:dyDescent="0.3">
      <c r="A99" t="s">
        <v>0</v>
      </c>
      <c r="B99" t="s">
        <v>0</v>
      </c>
      <c r="C99">
        <v>18</v>
      </c>
      <c r="D99">
        <v>31</v>
      </c>
      <c r="E99">
        <v>2</v>
      </c>
      <c r="F99">
        <v>20260211</v>
      </c>
      <c r="G99">
        <v>20260402</v>
      </c>
      <c r="H99">
        <v>42.212899999999998</v>
      </c>
      <c r="I99">
        <f t="shared" si="13"/>
        <v>51</v>
      </c>
      <c r="J99">
        <f t="shared" si="14"/>
        <v>0.82770392156862738</v>
      </c>
      <c r="K99">
        <f t="shared" si="15"/>
        <v>20.207942885178038</v>
      </c>
      <c r="L99">
        <f t="shared" si="16"/>
        <v>25.658821568627449</v>
      </c>
      <c r="M99">
        <f t="shared" si="17"/>
        <v>1.0273750022643311</v>
      </c>
      <c r="N99">
        <f t="shared" si="18"/>
        <v>46.894139456069816</v>
      </c>
      <c r="O99">
        <f t="shared" si="19"/>
        <v>18.190671203527501</v>
      </c>
      <c r="P99">
        <f t="shared" si="20"/>
        <v>23.097412204546092</v>
      </c>
      <c r="Q99">
        <f t="shared" si="21"/>
        <v>0.92481659192640353</v>
      </c>
      <c r="R99">
        <f t="shared" si="22"/>
        <v>42.212899999999991</v>
      </c>
    </row>
    <row r="100" spans="1:18" x14ac:dyDescent="0.3">
      <c r="A100" t="s">
        <v>0</v>
      </c>
      <c r="B100" t="s">
        <v>0</v>
      </c>
      <c r="C100">
        <v>25</v>
      </c>
      <c r="D100">
        <v>31</v>
      </c>
      <c r="E100">
        <v>13</v>
      </c>
      <c r="F100">
        <v>20260204</v>
      </c>
      <c r="G100">
        <v>20260413</v>
      </c>
      <c r="H100">
        <v>759.37040000000002</v>
      </c>
      <c r="I100">
        <f t="shared" si="13"/>
        <v>69</v>
      </c>
      <c r="J100">
        <f t="shared" si="14"/>
        <v>11.00536811594203</v>
      </c>
      <c r="K100">
        <f t="shared" si="15"/>
        <v>373.18069588861584</v>
      </c>
      <c r="L100">
        <f t="shared" si="16"/>
        <v>341.16641159420294</v>
      </c>
      <c r="M100">
        <f t="shared" si="17"/>
        <v>88.79160614033502</v>
      </c>
      <c r="N100">
        <f t="shared" si="18"/>
        <v>803.13871362315376</v>
      </c>
      <c r="O100">
        <f t="shared" si="19"/>
        <v>352.84362402455969</v>
      </c>
      <c r="P100">
        <f t="shared" si="20"/>
        <v>322.5740087538793</v>
      </c>
      <c r="Q100">
        <f t="shared" si="21"/>
        <v>83.952767221561103</v>
      </c>
      <c r="R100">
        <f t="shared" si="22"/>
        <v>759.37040000000002</v>
      </c>
    </row>
    <row r="101" spans="1:18" x14ac:dyDescent="0.3">
      <c r="A101" t="s">
        <v>0</v>
      </c>
      <c r="B101" t="s">
        <v>0</v>
      </c>
      <c r="C101">
        <v>26</v>
      </c>
      <c r="D101">
        <v>31</v>
      </c>
      <c r="E101">
        <v>9</v>
      </c>
      <c r="F101">
        <v>20260203</v>
      </c>
      <c r="G101">
        <v>20260409</v>
      </c>
      <c r="H101">
        <v>759.38819999999998</v>
      </c>
      <c r="I101">
        <f t="shared" si="13"/>
        <v>66</v>
      </c>
      <c r="J101">
        <f t="shared" si="14"/>
        <v>11.505881818181818</v>
      </c>
      <c r="K101">
        <f t="shared" si="15"/>
        <v>405.75870393662666</v>
      </c>
      <c r="L101">
        <f t="shared" si="16"/>
        <v>356.68233636363635</v>
      </c>
      <c r="M101">
        <f t="shared" si="17"/>
        <v>64.266759803099546</v>
      </c>
      <c r="N101">
        <f t="shared" si="18"/>
        <v>826.70780010336262</v>
      </c>
      <c r="O101">
        <f t="shared" si="19"/>
        <v>372.71738790687925</v>
      </c>
      <c r="P101">
        <f t="shared" si="20"/>
        <v>327.63735548292988</v>
      </c>
      <c r="Q101">
        <f t="shared" si="21"/>
        <v>59.033456610190768</v>
      </c>
      <c r="R101">
        <f t="shared" si="22"/>
        <v>759.38819999999987</v>
      </c>
    </row>
    <row r="102" spans="1:18" x14ac:dyDescent="0.3">
      <c r="A102" t="s">
        <v>0</v>
      </c>
      <c r="B102" t="s">
        <v>0</v>
      </c>
      <c r="C102">
        <v>27</v>
      </c>
      <c r="D102">
        <v>31</v>
      </c>
      <c r="E102">
        <v>11</v>
      </c>
      <c r="F102">
        <v>20260202</v>
      </c>
      <c r="G102">
        <v>20260411</v>
      </c>
      <c r="H102">
        <v>337.5138</v>
      </c>
      <c r="I102">
        <f t="shared" si="13"/>
        <v>69</v>
      </c>
      <c r="J102">
        <f t="shared" si="14"/>
        <v>4.8915043478260873</v>
      </c>
      <c r="K102">
        <f t="shared" si="15"/>
        <v>179.13514345106415</v>
      </c>
      <c r="L102">
        <f t="shared" si="16"/>
        <v>151.6366347826087</v>
      </c>
      <c r="M102">
        <f t="shared" si="17"/>
        <v>33.393282763417801</v>
      </c>
      <c r="N102">
        <f t="shared" si="18"/>
        <v>364.16506099709068</v>
      </c>
      <c r="O102">
        <f t="shared" si="19"/>
        <v>166.02521618677966</v>
      </c>
      <c r="P102">
        <f t="shared" si="20"/>
        <v>140.53917386956383</v>
      </c>
      <c r="Q102">
        <f t="shared" si="21"/>
        <v>30.949409943656526</v>
      </c>
      <c r="R102">
        <f t="shared" si="22"/>
        <v>337.5138</v>
      </c>
    </row>
    <row r="103" spans="1:18" x14ac:dyDescent="0.3">
      <c r="A103" t="s">
        <v>0</v>
      </c>
      <c r="B103" t="s">
        <v>0</v>
      </c>
      <c r="C103">
        <v>0</v>
      </c>
      <c r="D103">
        <v>21</v>
      </c>
      <c r="E103">
        <v>1</v>
      </c>
      <c r="F103">
        <v>20260311</v>
      </c>
      <c r="G103">
        <v>20260401</v>
      </c>
      <c r="H103">
        <v>126.3305</v>
      </c>
      <c r="I103">
        <f t="shared" si="13"/>
        <v>22</v>
      </c>
      <c r="J103">
        <f t="shared" si="14"/>
        <v>5.742295454545455</v>
      </c>
      <c r="K103">
        <f t="shared" si="15"/>
        <v>0</v>
      </c>
      <c r="L103">
        <f t="shared" si="16"/>
        <v>120.58820454545456</v>
      </c>
      <c r="M103">
        <f t="shared" si="17"/>
        <v>3.5637687897114492</v>
      </c>
      <c r="N103">
        <f t="shared" si="18"/>
        <v>124.15197333516601</v>
      </c>
      <c r="O103">
        <f t="shared" si="19"/>
        <v>0</v>
      </c>
      <c r="P103">
        <f t="shared" si="20"/>
        <v>122.70419684110273</v>
      </c>
      <c r="Q103">
        <f t="shared" si="21"/>
        <v>3.626303158897271</v>
      </c>
      <c r="R103">
        <f t="shared" si="22"/>
        <v>126.3305</v>
      </c>
    </row>
    <row r="104" spans="1:18" x14ac:dyDescent="0.3">
      <c r="A104" t="s">
        <v>0</v>
      </c>
      <c r="B104" t="s">
        <v>0</v>
      </c>
      <c r="C104">
        <v>0</v>
      </c>
      <c r="D104">
        <v>11</v>
      </c>
      <c r="E104">
        <v>1</v>
      </c>
      <c r="F104">
        <v>20260321</v>
      </c>
      <c r="G104">
        <v>20260401</v>
      </c>
      <c r="H104">
        <v>211.17840000000001</v>
      </c>
      <c r="I104">
        <f t="shared" si="13"/>
        <v>12</v>
      </c>
      <c r="J104">
        <f t="shared" si="14"/>
        <v>17.598200000000002</v>
      </c>
      <c r="K104">
        <f t="shared" si="15"/>
        <v>0</v>
      </c>
      <c r="L104">
        <f t="shared" si="16"/>
        <v>193.58020000000002</v>
      </c>
      <c r="M104">
        <f t="shared" si="17"/>
        <v>10.921750093066999</v>
      </c>
      <c r="N104">
        <f t="shared" si="18"/>
        <v>204.50195009306702</v>
      </c>
      <c r="O104">
        <f t="shared" si="19"/>
        <v>0</v>
      </c>
      <c r="P104">
        <f t="shared" si="20"/>
        <v>199.90008353991686</v>
      </c>
      <c r="Q104">
        <f t="shared" si="21"/>
        <v>11.278316460083147</v>
      </c>
      <c r="R104">
        <f t="shared" si="22"/>
        <v>211.17840000000001</v>
      </c>
    </row>
    <row r="105" spans="1:18" x14ac:dyDescent="0.3">
      <c r="A105" t="s">
        <v>0</v>
      </c>
      <c r="B105" t="s">
        <v>0</v>
      </c>
      <c r="C105">
        <v>0</v>
      </c>
      <c r="D105">
        <v>18</v>
      </c>
      <c r="E105">
        <v>6</v>
      </c>
      <c r="F105">
        <v>20260314</v>
      </c>
      <c r="G105">
        <v>20260406</v>
      </c>
      <c r="H105">
        <v>42.099299999999999</v>
      </c>
      <c r="I105">
        <f t="shared" si="13"/>
        <v>24</v>
      </c>
      <c r="J105">
        <f t="shared" si="14"/>
        <v>1.7541374999999999</v>
      </c>
      <c r="K105">
        <f t="shared" si="15"/>
        <v>0</v>
      </c>
      <c r="L105">
        <f t="shared" si="16"/>
        <v>31.574475</v>
      </c>
      <c r="M105">
        <f t="shared" si="17"/>
        <v>6.5318901037187818</v>
      </c>
      <c r="N105">
        <f t="shared" si="18"/>
        <v>38.10636510371878</v>
      </c>
      <c r="O105">
        <f t="shared" si="19"/>
        <v>0</v>
      </c>
      <c r="P105">
        <f t="shared" si="20"/>
        <v>34.882972746140453</v>
      </c>
      <c r="Q105">
        <f t="shared" si="21"/>
        <v>7.2163272538595447</v>
      </c>
      <c r="R105">
        <f t="shared" si="22"/>
        <v>42.099299999999999</v>
      </c>
    </row>
    <row r="106" spans="1:18" x14ac:dyDescent="0.3">
      <c r="A106" t="s">
        <v>0</v>
      </c>
      <c r="B106" t="s">
        <v>0</v>
      </c>
      <c r="C106">
        <v>27</v>
      </c>
      <c r="D106">
        <v>5</v>
      </c>
      <c r="E106">
        <v>0</v>
      </c>
      <c r="F106">
        <v>20260202</v>
      </c>
      <c r="G106">
        <v>20260305</v>
      </c>
      <c r="H106">
        <v>548.93520000000001</v>
      </c>
      <c r="I106">
        <f t="shared" si="13"/>
        <v>32</v>
      </c>
      <c r="J106">
        <f t="shared" si="14"/>
        <v>17.154225</v>
      </c>
      <c r="K106">
        <f t="shared" si="15"/>
        <v>628.21666662373912</v>
      </c>
      <c r="L106">
        <f t="shared" si="16"/>
        <v>85.771124999999998</v>
      </c>
      <c r="M106">
        <f t="shared" si="17"/>
        <v>0</v>
      </c>
      <c r="N106">
        <f t="shared" si="18"/>
        <v>713.9877916237391</v>
      </c>
      <c r="O106">
        <f t="shared" si="19"/>
        <v>482.99179003072715</v>
      </c>
      <c r="P106">
        <f t="shared" si="20"/>
        <v>65.943409969272878</v>
      </c>
      <c r="Q106">
        <f t="shared" si="21"/>
        <v>0</v>
      </c>
      <c r="R106">
        <f t="shared" si="22"/>
        <v>548.93520000000001</v>
      </c>
    </row>
    <row r="107" spans="1:18" x14ac:dyDescent="0.3">
      <c r="A107" t="s">
        <v>0</v>
      </c>
      <c r="B107" t="s">
        <v>0</v>
      </c>
      <c r="C107">
        <v>22</v>
      </c>
      <c r="D107">
        <v>10</v>
      </c>
      <c r="E107">
        <v>0</v>
      </c>
      <c r="F107">
        <v>20260207</v>
      </c>
      <c r="G107">
        <v>20260310</v>
      </c>
      <c r="H107">
        <v>169.02170000000001</v>
      </c>
      <c r="I107">
        <f t="shared" si="13"/>
        <v>32</v>
      </c>
      <c r="J107">
        <f t="shared" si="14"/>
        <v>5.2819281250000003</v>
      </c>
      <c r="K107">
        <f t="shared" si="15"/>
        <v>157.61217266417063</v>
      </c>
      <c r="L107">
        <f t="shared" si="16"/>
        <v>52.819281250000003</v>
      </c>
      <c r="M107">
        <f t="shared" si="17"/>
        <v>0</v>
      </c>
      <c r="N107">
        <f t="shared" si="18"/>
        <v>210.43145391417062</v>
      </c>
      <c r="O107">
        <f t="shared" si="19"/>
        <v>126.59646107495577</v>
      </c>
      <c r="P107">
        <f t="shared" si="20"/>
        <v>42.425238925044255</v>
      </c>
      <c r="Q107">
        <f t="shared" si="21"/>
        <v>0</v>
      </c>
      <c r="R107">
        <f t="shared" si="22"/>
        <v>169.02170000000001</v>
      </c>
    </row>
    <row r="108" spans="1:18" x14ac:dyDescent="0.3">
      <c r="A108" t="s">
        <v>0</v>
      </c>
      <c r="B108" t="s">
        <v>0</v>
      </c>
      <c r="C108">
        <v>27</v>
      </c>
      <c r="D108">
        <v>7</v>
      </c>
      <c r="E108">
        <v>0</v>
      </c>
      <c r="F108">
        <v>20260202</v>
      </c>
      <c r="G108">
        <v>20260307</v>
      </c>
      <c r="H108">
        <v>253.42</v>
      </c>
      <c r="I108">
        <f t="shared" si="13"/>
        <v>34</v>
      </c>
      <c r="J108">
        <f t="shared" si="14"/>
        <v>7.4535294117647055</v>
      </c>
      <c r="K108">
        <f t="shared" si="15"/>
        <v>272.96082461555812</v>
      </c>
      <c r="L108">
        <f t="shared" si="16"/>
        <v>52.174705882352939</v>
      </c>
      <c r="M108">
        <f t="shared" si="17"/>
        <v>0</v>
      </c>
      <c r="N108">
        <f t="shared" si="18"/>
        <v>325.13553049791108</v>
      </c>
      <c r="O108">
        <f t="shared" si="19"/>
        <v>212.75353102179389</v>
      </c>
      <c r="P108">
        <f t="shared" si="20"/>
        <v>40.66646897820609</v>
      </c>
      <c r="Q108">
        <f t="shared" si="21"/>
        <v>0</v>
      </c>
      <c r="R108">
        <f t="shared" si="22"/>
        <v>253.42</v>
      </c>
    </row>
    <row r="109" spans="1:18" x14ac:dyDescent="0.3">
      <c r="A109" t="s">
        <v>0</v>
      </c>
      <c r="B109" t="s">
        <v>0</v>
      </c>
      <c r="C109">
        <v>20</v>
      </c>
      <c r="D109">
        <v>5</v>
      </c>
      <c r="E109">
        <v>0</v>
      </c>
      <c r="F109">
        <v>20260209</v>
      </c>
      <c r="G109">
        <v>20260305</v>
      </c>
      <c r="H109">
        <v>42.253500000000003</v>
      </c>
      <c r="I109">
        <f t="shared" si="13"/>
        <v>25</v>
      </c>
      <c r="J109">
        <f t="shared" si="14"/>
        <v>1.6901400000000002</v>
      </c>
      <c r="K109">
        <f t="shared" si="15"/>
        <v>45.848725073396352</v>
      </c>
      <c r="L109">
        <f t="shared" si="16"/>
        <v>8.4507000000000012</v>
      </c>
      <c r="M109">
        <f t="shared" si="17"/>
        <v>0</v>
      </c>
      <c r="N109">
        <f t="shared" si="18"/>
        <v>54.29942507339635</v>
      </c>
      <c r="O109">
        <f t="shared" si="19"/>
        <v>35.677525172138616</v>
      </c>
      <c r="P109">
        <f t="shared" si="20"/>
        <v>6.5759748278613905</v>
      </c>
      <c r="Q109">
        <f t="shared" si="21"/>
        <v>0</v>
      </c>
      <c r="R109">
        <f t="shared" si="22"/>
        <v>42.253500000000003</v>
      </c>
    </row>
    <row r="110" spans="1:18" x14ac:dyDescent="0.3">
      <c r="A110" t="s">
        <v>0</v>
      </c>
      <c r="B110" t="s">
        <v>0</v>
      </c>
      <c r="C110">
        <v>25</v>
      </c>
      <c r="D110">
        <v>12</v>
      </c>
      <c r="E110">
        <v>0</v>
      </c>
      <c r="F110">
        <v>20260204</v>
      </c>
      <c r="G110">
        <v>20260312</v>
      </c>
      <c r="H110">
        <v>211.1438</v>
      </c>
      <c r="I110">
        <f t="shared" si="13"/>
        <v>37</v>
      </c>
      <c r="J110">
        <f t="shared" si="14"/>
        <v>5.7065891891891889</v>
      </c>
      <c r="K110">
        <f t="shared" si="15"/>
        <v>193.50456089580663</v>
      </c>
      <c r="L110">
        <f t="shared" si="16"/>
        <v>68.47907027027027</v>
      </c>
      <c r="M110">
        <f t="shared" si="17"/>
        <v>0</v>
      </c>
      <c r="N110">
        <f t="shared" si="18"/>
        <v>261.98363116607692</v>
      </c>
      <c r="O110">
        <f t="shared" si="19"/>
        <v>155.95359192106062</v>
      </c>
      <c r="P110">
        <f t="shared" si="20"/>
        <v>55.190208078939378</v>
      </c>
      <c r="Q110">
        <f t="shared" si="21"/>
        <v>0</v>
      </c>
      <c r="R110">
        <f t="shared" si="22"/>
        <v>211.1438</v>
      </c>
    </row>
    <row r="111" spans="1:18" x14ac:dyDescent="0.3">
      <c r="A111" t="s">
        <v>0</v>
      </c>
      <c r="B111" t="s">
        <v>0</v>
      </c>
      <c r="C111">
        <v>27</v>
      </c>
      <c r="D111">
        <v>16</v>
      </c>
      <c r="E111">
        <v>0</v>
      </c>
      <c r="F111">
        <v>20260202</v>
      </c>
      <c r="G111">
        <v>20260316</v>
      </c>
      <c r="H111">
        <v>2321.7660000000001</v>
      </c>
      <c r="I111">
        <f t="shared" si="13"/>
        <v>43</v>
      </c>
      <c r="J111">
        <f t="shared" si="14"/>
        <v>53.994558139534888</v>
      </c>
      <c r="K111">
        <f t="shared" si="15"/>
        <v>1977.3718329006576</v>
      </c>
      <c r="L111">
        <f t="shared" si="16"/>
        <v>863.91293023255821</v>
      </c>
      <c r="M111">
        <f t="shared" si="17"/>
        <v>0</v>
      </c>
      <c r="N111">
        <f t="shared" si="18"/>
        <v>2841.2847631332161</v>
      </c>
      <c r="O111">
        <f t="shared" si="19"/>
        <v>1615.8164611151915</v>
      </c>
      <c r="P111">
        <f t="shared" si="20"/>
        <v>705.94953888480836</v>
      </c>
      <c r="Q111">
        <f t="shared" si="21"/>
        <v>0</v>
      </c>
      <c r="R111">
        <f t="shared" si="22"/>
        <v>2321.7659999999996</v>
      </c>
    </row>
    <row r="112" spans="1:18" x14ac:dyDescent="0.3">
      <c r="A112" t="s">
        <v>0</v>
      </c>
      <c r="B112" t="s">
        <v>0</v>
      </c>
      <c r="C112">
        <v>22</v>
      </c>
      <c r="D112">
        <v>13</v>
      </c>
      <c r="E112">
        <v>0</v>
      </c>
      <c r="F112">
        <v>20260207</v>
      </c>
      <c r="G112">
        <v>20260313</v>
      </c>
      <c r="H112">
        <v>84.4773</v>
      </c>
      <c r="I112">
        <f t="shared" si="13"/>
        <v>35</v>
      </c>
      <c r="J112">
        <f t="shared" si="14"/>
        <v>2.413637142857143</v>
      </c>
      <c r="K112">
        <f t="shared" si="15"/>
        <v>72.022675262862563</v>
      </c>
      <c r="L112">
        <f t="shared" si="16"/>
        <v>31.377282857142859</v>
      </c>
      <c r="M112">
        <f t="shared" si="17"/>
        <v>0</v>
      </c>
      <c r="N112">
        <f t="shared" si="18"/>
        <v>103.39995812000542</v>
      </c>
      <c r="O112">
        <f t="shared" si="19"/>
        <v>58.842201250430257</v>
      </c>
      <c r="P112">
        <f t="shared" si="20"/>
        <v>25.635098749569739</v>
      </c>
      <c r="Q112">
        <f t="shared" si="21"/>
        <v>0</v>
      </c>
      <c r="R112">
        <f t="shared" si="22"/>
        <v>84.4773</v>
      </c>
    </row>
    <row r="113" spans="1:18" x14ac:dyDescent="0.3">
      <c r="A113" t="s">
        <v>0</v>
      </c>
      <c r="B113" t="s">
        <v>0</v>
      </c>
      <c r="C113">
        <v>27</v>
      </c>
      <c r="D113">
        <v>14</v>
      </c>
      <c r="E113">
        <v>0</v>
      </c>
      <c r="F113">
        <v>20260202</v>
      </c>
      <c r="G113">
        <v>20260314</v>
      </c>
      <c r="H113">
        <v>1731.1356000000001</v>
      </c>
      <c r="I113">
        <f t="shared" si="13"/>
        <v>41</v>
      </c>
      <c r="J113">
        <f t="shared" si="14"/>
        <v>42.222819512195123</v>
      </c>
      <c r="K113">
        <f t="shared" si="15"/>
        <v>1546.2708999915176</v>
      </c>
      <c r="L113">
        <f t="shared" si="16"/>
        <v>591.11947317073168</v>
      </c>
      <c r="M113">
        <f t="shared" si="17"/>
        <v>0</v>
      </c>
      <c r="N113">
        <f t="shared" si="18"/>
        <v>2137.3903731622495</v>
      </c>
      <c r="O113">
        <f t="shared" si="19"/>
        <v>1252.3704774898222</v>
      </c>
      <c r="P113">
        <f t="shared" si="20"/>
        <v>478.76512251017755</v>
      </c>
      <c r="Q113">
        <f t="shared" si="21"/>
        <v>0</v>
      </c>
      <c r="R113">
        <f t="shared" si="22"/>
        <v>1731.1355999999996</v>
      </c>
    </row>
    <row r="114" spans="1:18" x14ac:dyDescent="0.3">
      <c r="A114" t="s">
        <v>0</v>
      </c>
      <c r="B114" t="s">
        <v>0</v>
      </c>
      <c r="C114">
        <v>26</v>
      </c>
      <c r="D114">
        <v>16</v>
      </c>
      <c r="E114">
        <v>0</v>
      </c>
      <c r="F114">
        <v>20260203</v>
      </c>
      <c r="G114">
        <v>20260316</v>
      </c>
      <c r="H114">
        <v>211.06469999999999</v>
      </c>
      <c r="I114">
        <f t="shared" si="13"/>
        <v>42</v>
      </c>
      <c r="J114">
        <f t="shared" si="14"/>
        <v>5.0253499999999995</v>
      </c>
      <c r="K114">
        <f t="shared" si="15"/>
        <v>177.22061942316614</v>
      </c>
      <c r="L114">
        <f t="shared" si="16"/>
        <v>80.405599999999993</v>
      </c>
      <c r="M114">
        <f t="shared" si="17"/>
        <v>0</v>
      </c>
      <c r="N114">
        <f t="shared" si="18"/>
        <v>257.62621942316616</v>
      </c>
      <c r="O114">
        <f t="shared" si="19"/>
        <v>145.1910327920653</v>
      </c>
      <c r="P114">
        <f t="shared" si="20"/>
        <v>65.873667207934645</v>
      </c>
      <c r="Q114">
        <f t="shared" si="21"/>
        <v>0</v>
      </c>
      <c r="R114">
        <f t="shared" si="22"/>
        <v>211.06469999999996</v>
      </c>
    </row>
    <row r="115" spans="1:18" x14ac:dyDescent="0.3">
      <c r="A115" t="s">
        <v>0</v>
      </c>
      <c r="B115" t="s">
        <v>0</v>
      </c>
      <c r="C115">
        <v>26</v>
      </c>
      <c r="D115">
        <v>26</v>
      </c>
      <c r="E115">
        <v>0</v>
      </c>
      <c r="F115">
        <v>20260203</v>
      </c>
      <c r="G115">
        <v>20260326</v>
      </c>
      <c r="H115">
        <v>1308.0803000000001</v>
      </c>
      <c r="I115">
        <f t="shared" si="13"/>
        <v>52</v>
      </c>
      <c r="J115">
        <f t="shared" si="14"/>
        <v>25.155390384615387</v>
      </c>
      <c r="K115">
        <f t="shared" si="15"/>
        <v>887.11310969247847</v>
      </c>
      <c r="L115">
        <f t="shared" si="16"/>
        <v>654.04015000000004</v>
      </c>
      <c r="M115">
        <f t="shared" si="17"/>
        <v>0</v>
      </c>
      <c r="N115">
        <f t="shared" si="18"/>
        <v>1541.1532596924785</v>
      </c>
      <c r="O115">
        <f t="shared" si="19"/>
        <v>752.95248889913739</v>
      </c>
      <c r="P115">
        <f t="shared" si="20"/>
        <v>555.1278111008628</v>
      </c>
      <c r="Q115">
        <f t="shared" si="21"/>
        <v>0</v>
      </c>
      <c r="R115">
        <f t="shared" si="22"/>
        <v>1308.0803000000001</v>
      </c>
    </row>
    <row r="116" spans="1:18" x14ac:dyDescent="0.3">
      <c r="A116" t="s">
        <v>0</v>
      </c>
      <c r="B116" t="s">
        <v>0</v>
      </c>
      <c r="C116">
        <v>23</v>
      </c>
      <c r="D116">
        <v>27</v>
      </c>
      <c r="E116">
        <v>0</v>
      </c>
      <c r="F116">
        <v>20260206</v>
      </c>
      <c r="G116">
        <v>20260327</v>
      </c>
      <c r="H116">
        <v>421.99099999999999</v>
      </c>
      <c r="I116">
        <f t="shared" si="13"/>
        <v>50</v>
      </c>
      <c r="J116">
        <f t="shared" si="14"/>
        <v>8.4398199999999992</v>
      </c>
      <c r="K116">
        <f t="shared" si="15"/>
        <v>263.29075394718467</v>
      </c>
      <c r="L116">
        <f t="shared" si="16"/>
        <v>227.87513999999999</v>
      </c>
      <c r="M116">
        <f t="shared" si="17"/>
        <v>0</v>
      </c>
      <c r="N116">
        <f t="shared" si="18"/>
        <v>491.16589394718466</v>
      </c>
      <c r="O116">
        <f t="shared" si="19"/>
        <v>226.20937226735398</v>
      </c>
      <c r="P116">
        <f t="shared" si="20"/>
        <v>195.781627732646</v>
      </c>
      <c r="Q116">
        <f t="shared" si="21"/>
        <v>0</v>
      </c>
      <c r="R116">
        <f t="shared" si="22"/>
        <v>421.99099999999999</v>
      </c>
    </row>
    <row r="117" spans="1:18" x14ac:dyDescent="0.3">
      <c r="A117" t="s">
        <v>0</v>
      </c>
      <c r="B117" t="s">
        <v>0</v>
      </c>
      <c r="C117">
        <v>24</v>
      </c>
      <c r="D117">
        <v>16</v>
      </c>
      <c r="E117">
        <v>0</v>
      </c>
      <c r="F117">
        <v>20260205</v>
      </c>
      <c r="G117">
        <v>20260316</v>
      </c>
      <c r="H117">
        <v>379.9076</v>
      </c>
      <c r="I117">
        <f t="shared" si="13"/>
        <v>40</v>
      </c>
      <c r="J117">
        <f t="shared" si="14"/>
        <v>9.4976900000000004</v>
      </c>
      <c r="K117">
        <f t="shared" si="15"/>
        <v>309.17460871336988</v>
      </c>
      <c r="L117">
        <f t="shared" si="16"/>
        <v>151.96304000000001</v>
      </c>
      <c r="M117">
        <f t="shared" si="17"/>
        <v>0</v>
      </c>
      <c r="N117">
        <f t="shared" si="18"/>
        <v>461.13764871336991</v>
      </c>
      <c r="O117">
        <f t="shared" si="19"/>
        <v>254.71306432028902</v>
      </c>
      <c r="P117">
        <f t="shared" si="20"/>
        <v>125.19453567971095</v>
      </c>
      <c r="Q117">
        <f t="shared" si="21"/>
        <v>0</v>
      </c>
      <c r="R117">
        <f t="shared" si="22"/>
        <v>379.9076</v>
      </c>
    </row>
    <row r="118" spans="1:18" x14ac:dyDescent="0.3">
      <c r="A118" t="s">
        <v>0</v>
      </c>
      <c r="B118" t="s">
        <v>0</v>
      </c>
      <c r="C118">
        <v>23</v>
      </c>
      <c r="D118">
        <v>25</v>
      </c>
      <c r="E118">
        <v>0</v>
      </c>
      <c r="F118">
        <v>20260206</v>
      </c>
      <c r="G118">
        <v>20260325</v>
      </c>
      <c r="H118">
        <v>253.17679999999999</v>
      </c>
      <c r="I118">
        <f t="shared" si="13"/>
        <v>48</v>
      </c>
      <c r="J118">
        <f t="shared" si="14"/>
        <v>5.2745166666666661</v>
      </c>
      <c r="K118">
        <f t="shared" si="15"/>
        <v>164.54515260676862</v>
      </c>
      <c r="L118">
        <f t="shared" si="16"/>
        <v>131.86291666666665</v>
      </c>
      <c r="M118">
        <f t="shared" si="17"/>
        <v>0</v>
      </c>
      <c r="N118">
        <f t="shared" si="18"/>
        <v>296.40806927343527</v>
      </c>
      <c r="O118">
        <f t="shared" si="19"/>
        <v>140.54615751389366</v>
      </c>
      <c r="P118">
        <f t="shared" si="20"/>
        <v>112.63064248610632</v>
      </c>
      <c r="Q118">
        <f t="shared" si="21"/>
        <v>0</v>
      </c>
      <c r="R118">
        <f t="shared" si="22"/>
        <v>253.17679999999999</v>
      </c>
    </row>
    <row r="119" spans="1:18" x14ac:dyDescent="0.3">
      <c r="A119" t="s">
        <v>0</v>
      </c>
      <c r="B119" t="s">
        <v>0</v>
      </c>
      <c r="C119">
        <v>23</v>
      </c>
      <c r="D119">
        <v>31</v>
      </c>
      <c r="E119">
        <v>1</v>
      </c>
      <c r="F119">
        <v>20260206</v>
      </c>
      <c r="G119">
        <v>20260401</v>
      </c>
      <c r="H119">
        <v>95123.463399999993</v>
      </c>
      <c r="I119">
        <f t="shared" si="13"/>
        <v>55</v>
      </c>
      <c r="J119">
        <f t="shared" si="14"/>
        <v>1729.5175163636363</v>
      </c>
      <c r="K119">
        <f t="shared" si="15"/>
        <v>53954.464769182778</v>
      </c>
      <c r="L119">
        <f t="shared" si="16"/>
        <v>53615.043007272725</v>
      </c>
      <c r="M119">
        <f t="shared" si="17"/>
        <v>1073.3687590381714</v>
      </c>
      <c r="N119">
        <f t="shared" si="18"/>
        <v>108642.87653549368</v>
      </c>
      <c r="O119">
        <f t="shared" si="19"/>
        <v>47240.424024130203</v>
      </c>
      <c r="P119">
        <f t="shared" si="20"/>
        <v>46943.239573793355</v>
      </c>
      <c r="Q119">
        <f t="shared" si="21"/>
        <v>939.79980207642939</v>
      </c>
      <c r="R119">
        <f t="shared" si="22"/>
        <v>95123.463399999993</v>
      </c>
    </row>
    <row r="120" spans="1:18" x14ac:dyDescent="0.3">
      <c r="A120" t="s">
        <v>0</v>
      </c>
      <c r="B120" t="s">
        <v>0</v>
      </c>
      <c r="C120">
        <v>24</v>
      </c>
      <c r="D120">
        <v>31</v>
      </c>
      <c r="E120">
        <v>5</v>
      </c>
      <c r="F120">
        <v>20260205</v>
      </c>
      <c r="G120">
        <v>20260405</v>
      </c>
      <c r="H120">
        <v>240785.1783</v>
      </c>
      <c r="I120">
        <f t="shared" si="13"/>
        <v>60</v>
      </c>
      <c r="J120">
        <f t="shared" si="14"/>
        <v>4013.0863049999998</v>
      </c>
      <c r="K120">
        <f t="shared" si="15"/>
        <v>130636.43771078631</v>
      </c>
      <c r="L120">
        <f t="shared" si="16"/>
        <v>124405.67545499999</v>
      </c>
      <c r="M120">
        <f t="shared" si="17"/>
        <v>12452.957042515611</v>
      </c>
      <c r="N120">
        <f t="shared" si="18"/>
        <v>267495.07020830194</v>
      </c>
      <c r="O120">
        <f t="shared" si="19"/>
        <v>117592.140753001</v>
      </c>
      <c r="P120">
        <f t="shared" si="20"/>
        <v>111983.53196803859</v>
      </c>
      <c r="Q120">
        <f t="shared" si="21"/>
        <v>11209.50557896039</v>
      </c>
      <c r="R120">
        <f t="shared" si="22"/>
        <v>240785.17829999997</v>
      </c>
    </row>
    <row r="121" spans="1:18" x14ac:dyDescent="0.3">
      <c r="A121" t="s">
        <v>0</v>
      </c>
      <c r="B121" t="s">
        <v>0</v>
      </c>
      <c r="C121">
        <v>20</v>
      </c>
      <c r="D121">
        <v>31</v>
      </c>
      <c r="E121">
        <v>5</v>
      </c>
      <c r="F121">
        <v>20260209</v>
      </c>
      <c r="G121">
        <v>20260405</v>
      </c>
      <c r="H121">
        <v>31694.4961</v>
      </c>
      <c r="I121">
        <f t="shared" si="13"/>
        <v>56</v>
      </c>
      <c r="J121">
        <f t="shared" si="14"/>
        <v>565.97314464285716</v>
      </c>
      <c r="K121">
        <f t="shared" si="15"/>
        <v>15353.253048656292</v>
      </c>
      <c r="L121">
        <f t="shared" si="16"/>
        <v>17545.167483928573</v>
      </c>
      <c r="M121">
        <f t="shared" si="17"/>
        <v>1756.264062567918</v>
      </c>
      <c r="N121">
        <f t="shared" si="18"/>
        <v>34654.684595152787</v>
      </c>
      <c r="O121">
        <f t="shared" si="19"/>
        <v>14041.784669453131</v>
      </c>
      <c r="P121">
        <f t="shared" si="20"/>
        <v>16046.466701099385</v>
      </c>
      <c r="Q121">
        <f t="shared" si="21"/>
        <v>1606.2447294474825</v>
      </c>
      <c r="R121">
        <f t="shared" si="22"/>
        <v>31694.4961</v>
      </c>
    </row>
    <row r="122" spans="1:18" x14ac:dyDescent="0.3">
      <c r="A122" t="s">
        <v>0</v>
      </c>
      <c r="B122" t="s">
        <v>0</v>
      </c>
      <c r="C122">
        <v>26</v>
      </c>
      <c r="D122">
        <v>31</v>
      </c>
      <c r="E122">
        <v>6</v>
      </c>
      <c r="F122">
        <v>20260203</v>
      </c>
      <c r="G122">
        <v>20260406</v>
      </c>
      <c r="H122">
        <v>114208.90119999999</v>
      </c>
      <c r="I122">
        <f t="shared" si="13"/>
        <v>63</v>
      </c>
      <c r="J122">
        <f t="shared" si="14"/>
        <v>1812.8397015873015</v>
      </c>
      <c r="K122">
        <f t="shared" si="15"/>
        <v>63930.387899391935</v>
      </c>
      <c r="L122">
        <f t="shared" si="16"/>
        <v>56198.030749206344</v>
      </c>
      <c r="M122">
        <f t="shared" si="17"/>
        <v>6750.4797693605005</v>
      </c>
      <c r="N122">
        <f t="shared" si="18"/>
        <v>126878.89841795879</v>
      </c>
      <c r="O122">
        <f t="shared" si="19"/>
        <v>57546.364654170618</v>
      </c>
      <c r="P122">
        <f t="shared" si="20"/>
        <v>50586.152792150999</v>
      </c>
      <c r="Q122">
        <f t="shared" si="21"/>
        <v>6076.3837536783631</v>
      </c>
      <c r="R122">
        <f t="shared" si="22"/>
        <v>114208.90119999998</v>
      </c>
    </row>
    <row r="123" spans="1:18" x14ac:dyDescent="0.3">
      <c r="A123" t="s">
        <v>0</v>
      </c>
      <c r="B123" t="s">
        <v>0</v>
      </c>
      <c r="C123">
        <v>22</v>
      </c>
      <c r="D123">
        <v>31</v>
      </c>
      <c r="E123">
        <v>5</v>
      </c>
      <c r="F123">
        <v>20260207</v>
      </c>
      <c r="G123">
        <v>20260405</v>
      </c>
      <c r="H123">
        <v>47135.295100000003</v>
      </c>
      <c r="I123">
        <f t="shared" si="13"/>
        <v>58</v>
      </c>
      <c r="J123">
        <f t="shared" si="14"/>
        <v>812.67750172413798</v>
      </c>
      <c r="K123">
        <f t="shared" si="15"/>
        <v>24250.210091988265</v>
      </c>
      <c r="L123">
        <f t="shared" si="16"/>
        <v>25193.002553448277</v>
      </c>
      <c r="M123">
        <f t="shared" si="17"/>
        <v>2521.8092134675876</v>
      </c>
      <c r="N123">
        <f t="shared" si="18"/>
        <v>51965.021858904132</v>
      </c>
      <c r="O123">
        <f t="shared" si="19"/>
        <v>21996.350006865374</v>
      </c>
      <c r="P123">
        <f t="shared" si="20"/>
        <v>22851.517565721282</v>
      </c>
      <c r="Q123">
        <f t="shared" si="21"/>
        <v>2287.4275274133479</v>
      </c>
      <c r="R123">
        <f t="shared" si="22"/>
        <v>47135.295100000003</v>
      </c>
    </row>
    <row r="124" spans="1:18" x14ac:dyDescent="0.3">
      <c r="A124" t="s">
        <v>0</v>
      </c>
      <c r="B124" t="s">
        <v>0</v>
      </c>
      <c r="C124">
        <v>24</v>
      </c>
      <c r="D124">
        <v>31</v>
      </c>
      <c r="E124">
        <v>6</v>
      </c>
      <c r="F124">
        <v>20260205</v>
      </c>
      <c r="G124">
        <v>20260406</v>
      </c>
      <c r="H124">
        <v>68346.539799999999</v>
      </c>
      <c r="I124">
        <f t="shared" si="13"/>
        <v>61</v>
      </c>
      <c r="J124">
        <f t="shared" si="14"/>
        <v>1120.4350786885245</v>
      </c>
      <c r="K124">
        <f t="shared" si="15"/>
        <v>36473.087355163028</v>
      </c>
      <c r="L124">
        <f t="shared" si="16"/>
        <v>34733.487439344259</v>
      </c>
      <c r="M124">
        <f t="shared" si="17"/>
        <v>4172.1694008280128</v>
      </c>
      <c r="N124">
        <f t="shared" si="18"/>
        <v>75378.744195335312</v>
      </c>
      <c r="O124">
        <f t="shared" si="19"/>
        <v>33070.454319173841</v>
      </c>
      <c r="P124">
        <f t="shared" si="20"/>
        <v>31493.144480017065</v>
      </c>
      <c r="Q124">
        <f t="shared" si="21"/>
        <v>3782.9410008090872</v>
      </c>
      <c r="R124">
        <f t="shared" si="22"/>
        <v>68346.539799999999</v>
      </c>
    </row>
    <row r="125" spans="1:18" x14ac:dyDescent="0.3">
      <c r="A125" t="s">
        <v>0</v>
      </c>
      <c r="B125" t="s">
        <v>0</v>
      </c>
      <c r="C125">
        <v>19</v>
      </c>
      <c r="D125">
        <v>31</v>
      </c>
      <c r="E125">
        <v>7</v>
      </c>
      <c r="F125">
        <v>20260210</v>
      </c>
      <c r="G125">
        <v>20260407</v>
      </c>
      <c r="H125">
        <v>31437.596399999999</v>
      </c>
      <c r="I125">
        <f t="shared" si="13"/>
        <v>57</v>
      </c>
      <c r="J125">
        <f t="shared" si="14"/>
        <v>551.53677894736836</v>
      </c>
      <c r="K125">
        <f t="shared" si="15"/>
        <v>14213.553456242229</v>
      </c>
      <c r="L125">
        <f t="shared" si="16"/>
        <v>17097.64014736842</v>
      </c>
      <c r="M125">
        <f t="shared" si="17"/>
        <v>2396.0534638535787</v>
      </c>
      <c r="N125">
        <f t="shared" si="18"/>
        <v>33707.247067464225</v>
      </c>
      <c r="O125">
        <f t="shared" si="19"/>
        <v>13256.495141024987</v>
      </c>
      <c r="P125">
        <f t="shared" si="20"/>
        <v>15946.384149070213</v>
      </c>
      <c r="Q125">
        <f t="shared" si="21"/>
        <v>2234.7171099048028</v>
      </c>
      <c r="R125">
        <f t="shared" si="22"/>
        <v>31437.596400000002</v>
      </c>
    </row>
    <row r="126" spans="1:18" x14ac:dyDescent="0.3">
      <c r="A126" t="s">
        <v>0</v>
      </c>
      <c r="B126" t="s">
        <v>0</v>
      </c>
      <c r="C126">
        <v>20</v>
      </c>
      <c r="D126">
        <v>31</v>
      </c>
      <c r="E126">
        <v>2</v>
      </c>
      <c r="F126">
        <v>20260209</v>
      </c>
      <c r="G126">
        <v>20260402</v>
      </c>
      <c r="H126">
        <v>13971.8292</v>
      </c>
      <c r="I126">
        <f t="shared" si="13"/>
        <v>53</v>
      </c>
      <c r="J126">
        <f t="shared" si="14"/>
        <v>263.61941886792454</v>
      </c>
      <c r="K126">
        <f t="shared" si="15"/>
        <v>7151.2503459381987</v>
      </c>
      <c r="L126">
        <f t="shared" si="16"/>
        <v>8172.2019849056605</v>
      </c>
      <c r="M126">
        <f t="shared" si="17"/>
        <v>327.21362554750175</v>
      </c>
      <c r="N126">
        <f t="shared" si="18"/>
        <v>15650.66595639136</v>
      </c>
      <c r="O126">
        <f t="shared" si="19"/>
        <v>6384.1403732143481</v>
      </c>
      <c r="P126">
        <f t="shared" si="20"/>
        <v>7295.5751939983247</v>
      </c>
      <c r="Q126">
        <f t="shared" si="21"/>
        <v>292.11363278732858</v>
      </c>
      <c r="R126">
        <f t="shared" si="22"/>
        <v>13971.8292</v>
      </c>
    </row>
    <row r="127" spans="1:18" x14ac:dyDescent="0.3">
      <c r="A127" t="s">
        <v>0</v>
      </c>
      <c r="B127" t="s">
        <v>0</v>
      </c>
      <c r="C127">
        <v>19</v>
      </c>
      <c r="D127">
        <v>31</v>
      </c>
      <c r="E127">
        <v>2</v>
      </c>
      <c r="F127">
        <v>20260210</v>
      </c>
      <c r="G127">
        <v>20260402</v>
      </c>
      <c r="H127">
        <v>2912.4881</v>
      </c>
      <c r="I127">
        <f t="shared" si="13"/>
        <v>52</v>
      </c>
      <c r="J127">
        <f t="shared" si="14"/>
        <v>56.009386538461541</v>
      </c>
      <c r="K127">
        <f t="shared" si="15"/>
        <v>1443.4076565757475</v>
      </c>
      <c r="L127">
        <f t="shared" si="16"/>
        <v>1736.2909826923078</v>
      </c>
      <c r="M127">
        <f t="shared" si="17"/>
        <v>69.520805836854663</v>
      </c>
      <c r="N127">
        <f t="shared" si="18"/>
        <v>3249.2194451049104</v>
      </c>
      <c r="O127">
        <f t="shared" si="19"/>
        <v>1293.8207758048229</v>
      </c>
      <c r="P127">
        <f t="shared" si="20"/>
        <v>1556.3512747183424</v>
      </c>
      <c r="Q127">
        <f t="shared" si="21"/>
        <v>62.316049476834323</v>
      </c>
      <c r="R127">
        <f t="shared" si="22"/>
        <v>2912.4880999999996</v>
      </c>
    </row>
    <row r="128" spans="1:18" x14ac:dyDescent="0.3">
      <c r="A128" t="s">
        <v>0</v>
      </c>
      <c r="B128" t="s">
        <v>0</v>
      </c>
      <c r="C128">
        <v>8</v>
      </c>
      <c r="D128">
        <v>31</v>
      </c>
      <c r="E128">
        <v>1</v>
      </c>
      <c r="F128">
        <v>20260221</v>
      </c>
      <c r="G128">
        <v>20260401</v>
      </c>
      <c r="H128">
        <v>84.461399999999998</v>
      </c>
      <c r="I128">
        <f t="shared" si="13"/>
        <v>40</v>
      </c>
      <c r="J128">
        <f t="shared" si="14"/>
        <v>2.1115349999999999</v>
      </c>
      <c r="K128">
        <f t="shared" si="15"/>
        <v>22.911992544488374</v>
      </c>
      <c r="L128">
        <f t="shared" si="16"/>
        <v>65.457584999999995</v>
      </c>
      <c r="M128">
        <f t="shared" si="17"/>
        <v>1.3104554774217945</v>
      </c>
      <c r="N128">
        <f t="shared" si="18"/>
        <v>89.680033021910162</v>
      </c>
      <c r="O128">
        <f t="shared" si="19"/>
        <v>21.578704889908519</v>
      </c>
      <c r="P128">
        <f t="shared" si="20"/>
        <v>61.648497256555096</v>
      </c>
      <c r="Q128">
        <f t="shared" si="21"/>
        <v>1.2341978535363793</v>
      </c>
      <c r="R128">
        <f t="shared" si="22"/>
        <v>84.461399999999998</v>
      </c>
    </row>
    <row r="129" spans="1:18" x14ac:dyDescent="0.3">
      <c r="A129" t="s">
        <v>0</v>
      </c>
      <c r="B129" t="s">
        <v>0</v>
      </c>
      <c r="C129">
        <v>6</v>
      </c>
      <c r="D129">
        <v>31</v>
      </c>
      <c r="E129">
        <v>1</v>
      </c>
      <c r="F129">
        <v>20260223</v>
      </c>
      <c r="G129">
        <v>20260401</v>
      </c>
      <c r="H129">
        <v>1689.4268</v>
      </c>
      <c r="I129">
        <f t="shared" si="13"/>
        <v>38</v>
      </c>
      <c r="J129">
        <f t="shared" si="14"/>
        <v>44.458599999999997</v>
      </c>
      <c r="K129">
        <f t="shared" si="15"/>
        <v>361.8108787227269</v>
      </c>
      <c r="L129">
        <f t="shared" si="16"/>
        <v>1378.2166</v>
      </c>
      <c r="M129">
        <f t="shared" si="17"/>
        <v>27.591783175985523</v>
      </c>
      <c r="N129">
        <f t="shared" si="18"/>
        <v>1767.6192618987122</v>
      </c>
      <c r="O129">
        <f t="shared" si="19"/>
        <v>345.80580118205933</v>
      </c>
      <c r="P129">
        <f t="shared" si="20"/>
        <v>1317.2497666402446</v>
      </c>
      <c r="Q129">
        <f t="shared" si="21"/>
        <v>26.371232177696275</v>
      </c>
      <c r="R129">
        <f t="shared" si="22"/>
        <v>1689.4268000000004</v>
      </c>
    </row>
    <row r="130" spans="1:18" x14ac:dyDescent="0.3">
      <c r="A130" t="s">
        <v>0</v>
      </c>
      <c r="B130" t="s">
        <v>0</v>
      </c>
      <c r="C130">
        <v>0</v>
      </c>
      <c r="D130">
        <v>27</v>
      </c>
      <c r="E130">
        <v>1</v>
      </c>
      <c r="F130">
        <v>20260305</v>
      </c>
      <c r="G130">
        <v>20260401</v>
      </c>
      <c r="H130">
        <v>168.70949999999999</v>
      </c>
      <c r="I130">
        <f t="shared" si="13"/>
        <v>28</v>
      </c>
      <c r="J130">
        <f t="shared" si="14"/>
        <v>6.0253392857142858</v>
      </c>
      <c r="K130">
        <f t="shared" si="15"/>
        <v>0</v>
      </c>
      <c r="L130">
        <f t="shared" si="16"/>
        <v>162.68416071428572</v>
      </c>
      <c r="M130">
        <f t="shared" si="17"/>
        <v>3.7394307318083806</v>
      </c>
      <c r="N130">
        <f t="shared" si="18"/>
        <v>166.42359144609409</v>
      </c>
      <c r="O130">
        <f t="shared" si="19"/>
        <v>0</v>
      </c>
      <c r="P130">
        <f t="shared" si="20"/>
        <v>164.91870637773658</v>
      </c>
      <c r="Q130">
        <f t="shared" si="21"/>
        <v>3.7907936222634162</v>
      </c>
      <c r="R130">
        <f t="shared" si="22"/>
        <v>168.70949999999999</v>
      </c>
    </row>
    <row r="131" spans="1:18" x14ac:dyDescent="0.3">
      <c r="A131" t="s">
        <v>0</v>
      </c>
      <c r="B131" t="s">
        <v>0</v>
      </c>
      <c r="C131">
        <v>9</v>
      </c>
      <c r="D131">
        <v>31</v>
      </c>
      <c r="E131">
        <v>6</v>
      </c>
      <c r="F131">
        <v>20260220</v>
      </c>
      <c r="G131">
        <v>20260406</v>
      </c>
      <c r="H131">
        <v>84.418000000000006</v>
      </c>
      <c r="I131">
        <f t="shared" si="13"/>
        <v>46</v>
      </c>
      <c r="J131">
        <f t="shared" si="14"/>
        <v>1.8351739130434783</v>
      </c>
      <c r="K131">
        <f t="shared" si="15"/>
        <v>22.40238849471034</v>
      </c>
      <c r="L131">
        <f t="shared" si="16"/>
        <v>56.89039130434783</v>
      </c>
      <c r="M131">
        <f t="shared" si="17"/>
        <v>6.8336457781739277</v>
      </c>
      <c r="N131">
        <f t="shared" si="18"/>
        <v>86.126425577232098</v>
      </c>
      <c r="O131">
        <f t="shared" si="19"/>
        <v>21.958009046254851</v>
      </c>
      <c r="P131">
        <f t="shared" si="20"/>
        <v>55.761899102892954</v>
      </c>
      <c r="Q131">
        <f t="shared" si="21"/>
        <v>6.6980918508521992</v>
      </c>
      <c r="R131">
        <f t="shared" si="22"/>
        <v>84.418000000000006</v>
      </c>
    </row>
    <row r="132" spans="1:18" x14ac:dyDescent="0.3">
      <c r="A132" t="s">
        <v>0</v>
      </c>
      <c r="B132" t="s">
        <v>0</v>
      </c>
      <c r="C132">
        <v>0</v>
      </c>
      <c r="D132">
        <v>29</v>
      </c>
      <c r="E132">
        <v>3</v>
      </c>
      <c r="F132">
        <v>20260303</v>
      </c>
      <c r="G132">
        <v>20260403</v>
      </c>
      <c r="H132">
        <v>42.1892</v>
      </c>
      <c r="I132">
        <f t="shared" si="13"/>
        <v>32</v>
      </c>
      <c r="J132">
        <f t="shared" si="14"/>
        <v>1.3184125</v>
      </c>
      <c r="K132">
        <f t="shared" si="15"/>
        <v>0</v>
      </c>
      <c r="L132">
        <f t="shared" si="16"/>
        <v>38.233962499999997</v>
      </c>
      <c r="M132">
        <f t="shared" si="17"/>
        <v>2.4546894303807822</v>
      </c>
      <c r="N132">
        <f t="shared" si="18"/>
        <v>40.688651930380779</v>
      </c>
      <c r="O132">
        <f t="shared" si="19"/>
        <v>0</v>
      </c>
      <c r="P132">
        <f t="shared" si="20"/>
        <v>39.643984604478497</v>
      </c>
      <c r="Q132">
        <f t="shared" si="21"/>
        <v>2.5452153955215033</v>
      </c>
      <c r="R132">
        <f t="shared" si="22"/>
        <v>42.1892</v>
      </c>
    </row>
    <row r="133" spans="1:18" x14ac:dyDescent="0.3">
      <c r="A133" t="s">
        <v>0</v>
      </c>
      <c r="B133" t="s">
        <v>0</v>
      </c>
      <c r="C133">
        <v>2</v>
      </c>
      <c r="D133">
        <v>31</v>
      </c>
      <c r="E133">
        <v>7</v>
      </c>
      <c r="F133">
        <v>20260227</v>
      </c>
      <c r="G133">
        <v>20260407</v>
      </c>
      <c r="H133">
        <v>295.42829999999998</v>
      </c>
      <c r="I133">
        <f t="shared" si="13"/>
        <v>40</v>
      </c>
      <c r="J133">
        <f t="shared" si="14"/>
        <v>7.3857074999999996</v>
      </c>
      <c r="K133">
        <f t="shared" si="15"/>
        <v>20.035338648870592</v>
      </c>
      <c r="L133">
        <f t="shared" si="16"/>
        <v>228.95693249999999</v>
      </c>
      <c r="M133">
        <f t="shared" si="17"/>
        <v>32.085892933847454</v>
      </c>
      <c r="N133">
        <f t="shared" si="18"/>
        <v>281.07816408271805</v>
      </c>
      <c r="O133">
        <f t="shared" si="19"/>
        <v>21.058220784515441</v>
      </c>
      <c r="P133">
        <f t="shared" si="20"/>
        <v>240.64607637676176</v>
      </c>
      <c r="Q133">
        <f t="shared" si="21"/>
        <v>33.724002838722761</v>
      </c>
      <c r="R133">
        <f t="shared" si="22"/>
        <v>295.42829999999992</v>
      </c>
    </row>
    <row r="134" spans="1:18" x14ac:dyDescent="0.3">
      <c r="A134" t="s">
        <v>0</v>
      </c>
      <c r="B134" t="s">
        <v>0</v>
      </c>
      <c r="C134">
        <v>2</v>
      </c>
      <c r="D134">
        <v>31</v>
      </c>
      <c r="E134">
        <v>5</v>
      </c>
      <c r="F134">
        <v>20260227</v>
      </c>
      <c r="G134">
        <v>20260405</v>
      </c>
      <c r="H134">
        <v>802.02710000000002</v>
      </c>
      <c r="I134">
        <f t="shared" si="13"/>
        <v>38</v>
      </c>
      <c r="J134">
        <f t="shared" si="14"/>
        <v>21.105976315789473</v>
      </c>
      <c r="K134">
        <f t="shared" si="15"/>
        <v>57.254553203181175</v>
      </c>
      <c r="L134">
        <f t="shared" si="16"/>
        <v>654.28526578947367</v>
      </c>
      <c r="M134">
        <f t="shared" si="17"/>
        <v>65.493686510905533</v>
      </c>
      <c r="N134">
        <f t="shared" si="18"/>
        <v>777.03350550356038</v>
      </c>
      <c r="O134">
        <f t="shared" si="19"/>
        <v>59.096168880883226</v>
      </c>
      <c r="P134">
        <f t="shared" si="20"/>
        <v>675.33061390163743</v>
      </c>
      <c r="Q134">
        <f t="shared" si="21"/>
        <v>67.600317217479372</v>
      </c>
      <c r="R134">
        <f t="shared" si="22"/>
        <v>802.02710000000002</v>
      </c>
    </row>
    <row r="135" spans="1:18" x14ac:dyDescent="0.3">
      <c r="A135" t="s">
        <v>0</v>
      </c>
      <c r="B135" t="s">
        <v>0</v>
      </c>
      <c r="C135">
        <v>0</v>
      </c>
      <c r="D135">
        <v>29</v>
      </c>
      <c r="E135">
        <v>5</v>
      </c>
      <c r="F135">
        <v>20260303</v>
      </c>
      <c r="G135">
        <v>20260405</v>
      </c>
      <c r="H135">
        <v>84.364599999999996</v>
      </c>
      <c r="I135">
        <f t="shared" si="13"/>
        <v>34</v>
      </c>
      <c r="J135">
        <f t="shared" si="14"/>
        <v>2.4813117647058824</v>
      </c>
      <c r="K135">
        <f t="shared" si="15"/>
        <v>0</v>
      </c>
      <c r="L135">
        <f t="shared" si="16"/>
        <v>71.958041176470587</v>
      </c>
      <c r="M135">
        <f t="shared" si="17"/>
        <v>7.699726959889281</v>
      </c>
      <c r="N135">
        <f t="shared" si="18"/>
        <v>79.657768136359863</v>
      </c>
      <c r="O135">
        <f t="shared" si="19"/>
        <v>0</v>
      </c>
      <c r="P135">
        <f t="shared" si="20"/>
        <v>76.209910253128072</v>
      </c>
      <c r="Q135">
        <f t="shared" si="21"/>
        <v>8.154689746871929</v>
      </c>
      <c r="R135">
        <f t="shared" si="22"/>
        <v>84.364599999999996</v>
      </c>
    </row>
    <row r="136" spans="1:18" x14ac:dyDescent="0.3">
      <c r="A136" t="s">
        <v>0</v>
      </c>
      <c r="B136" t="s">
        <v>0</v>
      </c>
      <c r="C136">
        <v>0</v>
      </c>
      <c r="D136">
        <v>25</v>
      </c>
      <c r="E136">
        <v>6</v>
      </c>
      <c r="F136">
        <v>20260307</v>
      </c>
      <c r="G136">
        <v>20260406</v>
      </c>
      <c r="H136">
        <v>84.255899999999997</v>
      </c>
      <c r="I136">
        <f t="shared" si="13"/>
        <v>31</v>
      </c>
      <c r="J136">
        <f t="shared" si="14"/>
        <v>2.7179322580645162</v>
      </c>
      <c r="K136">
        <f t="shared" si="15"/>
        <v>0</v>
      </c>
      <c r="L136">
        <f t="shared" si="16"/>
        <v>67.948306451612908</v>
      </c>
      <c r="M136">
        <f t="shared" si="17"/>
        <v>10.120777201918125</v>
      </c>
      <c r="N136">
        <f t="shared" si="18"/>
        <v>78.069083653531038</v>
      </c>
      <c r="O136">
        <f t="shared" si="19"/>
        <v>0</v>
      </c>
      <c r="P136">
        <f t="shared" si="20"/>
        <v>73.333071756856853</v>
      </c>
      <c r="Q136">
        <f t="shared" si="21"/>
        <v>10.92282824314314</v>
      </c>
      <c r="R136">
        <f t="shared" si="22"/>
        <v>84.255899999999997</v>
      </c>
    </row>
    <row r="137" spans="1:18" x14ac:dyDescent="0.3">
      <c r="A137" t="s">
        <v>0</v>
      </c>
      <c r="B137" t="s">
        <v>0</v>
      </c>
      <c r="C137">
        <v>18</v>
      </c>
      <c r="D137">
        <v>31</v>
      </c>
      <c r="E137">
        <v>8</v>
      </c>
      <c r="F137">
        <v>20260211</v>
      </c>
      <c r="G137">
        <v>20260408</v>
      </c>
      <c r="H137">
        <v>717.38480000000004</v>
      </c>
      <c r="I137">
        <f t="shared" si="13"/>
        <v>57</v>
      </c>
      <c r="J137">
        <f t="shared" si="14"/>
        <v>12.585698245614036</v>
      </c>
      <c r="K137">
        <f t="shared" si="15"/>
        <v>307.27300510484116</v>
      </c>
      <c r="L137">
        <f t="shared" si="16"/>
        <v>390.15664561403514</v>
      </c>
      <c r="M137">
        <f t="shared" si="17"/>
        <v>62.487232096622726</v>
      </c>
      <c r="N137">
        <f t="shared" si="18"/>
        <v>759.91688281549898</v>
      </c>
      <c r="O137">
        <f t="shared" si="19"/>
        <v>290.07512307902579</v>
      </c>
      <c r="P137">
        <f t="shared" si="20"/>
        <v>368.31981695878557</v>
      </c>
      <c r="Q137">
        <f t="shared" si="21"/>
        <v>58.989859962188739</v>
      </c>
      <c r="R137">
        <f t="shared" si="22"/>
        <v>717.38480000000004</v>
      </c>
    </row>
    <row r="138" spans="1:18" x14ac:dyDescent="0.3">
      <c r="A138" t="s">
        <v>0</v>
      </c>
      <c r="B138" t="s">
        <v>0</v>
      </c>
      <c r="C138">
        <v>18</v>
      </c>
      <c r="D138">
        <v>31</v>
      </c>
      <c r="E138">
        <v>6</v>
      </c>
      <c r="F138">
        <v>20260211</v>
      </c>
      <c r="G138">
        <v>20260406</v>
      </c>
      <c r="H138">
        <v>126.6062</v>
      </c>
      <c r="I138">
        <f t="shared" si="13"/>
        <v>55</v>
      </c>
      <c r="J138">
        <f t="shared" si="14"/>
        <v>2.3019309090909092</v>
      </c>
      <c r="K138">
        <f t="shared" si="15"/>
        <v>56.200396209767348</v>
      </c>
      <c r="L138">
        <f t="shared" si="16"/>
        <v>71.359858181818183</v>
      </c>
      <c r="M138">
        <f t="shared" si="17"/>
        <v>8.5717110115571256</v>
      </c>
      <c r="N138">
        <f t="shared" si="18"/>
        <v>136.13196540314266</v>
      </c>
      <c r="O138">
        <f t="shared" si="19"/>
        <v>52.267801919568747</v>
      </c>
      <c r="P138">
        <f t="shared" si="20"/>
        <v>66.366488210052253</v>
      </c>
      <c r="Q138">
        <f t="shared" si="21"/>
        <v>7.9719098703789877</v>
      </c>
      <c r="R138">
        <f t="shared" si="22"/>
        <v>126.6062</v>
      </c>
    </row>
    <row r="139" spans="1:18" x14ac:dyDescent="0.3">
      <c r="A139" t="s">
        <v>0</v>
      </c>
      <c r="B139" t="s">
        <v>0</v>
      </c>
      <c r="C139">
        <v>19</v>
      </c>
      <c r="D139">
        <v>31</v>
      </c>
      <c r="E139">
        <v>10</v>
      </c>
      <c r="F139">
        <v>20260210</v>
      </c>
      <c r="G139">
        <v>20260410</v>
      </c>
      <c r="H139">
        <v>168.78460000000001</v>
      </c>
      <c r="I139">
        <f t="shared" ref="I139:I202" si="23">IF(C139&lt;0,0,C139)+D139+E139</f>
        <v>60</v>
      </c>
      <c r="J139">
        <f t="shared" ref="J139:J202" si="24">H139/I139</f>
        <v>2.8130766666666669</v>
      </c>
      <c r="K139">
        <f t="shared" ref="K139:K202" si="25">IF(C139&lt;0,0,C139)*$J139*$B$6</f>
        <v>72.495284275484238</v>
      </c>
      <c r="L139">
        <f t="shared" ref="L139:L202" si="26">IF(D139&lt;0,0,D139)*$J139*$C$6</f>
        <v>87.20537666666668</v>
      </c>
      <c r="M139">
        <f t="shared" ref="M139:M202" si="27">IF(E139&lt;0,0,E139)*$J139*$D$6</f>
        <v>17.458444810248363</v>
      </c>
      <c r="N139">
        <f t="shared" ref="N139:N202" si="28">K139+L139+M139</f>
        <v>177.15910575239928</v>
      </c>
      <c r="O139">
        <f t="shared" ref="O139:O202" si="29">K139/$N139*$H139</f>
        <v>69.068352464057199</v>
      </c>
      <c r="P139">
        <f t="shared" ref="P139:P202" si="30">L139/$N139*$H139</f>
        <v>83.083082611085771</v>
      </c>
      <c r="Q139">
        <f t="shared" ref="Q139:Q202" si="31">M139/$N139*$H139</f>
        <v>16.633164924857038</v>
      </c>
      <c r="R139">
        <f t="shared" ref="R139:R202" si="32">O139+P139+Q139</f>
        <v>168.78459999999998</v>
      </c>
    </row>
    <row r="140" spans="1:18" x14ac:dyDescent="0.3">
      <c r="A140" t="s">
        <v>0</v>
      </c>
      <c r="B140" t="s">
        <v>0</v>
      </c>
      <c r="C140">
        <v>28</v>
      </c>
      <c r="D140">
        <v>31</v>
      </c>
      <c r="E140">
        <v>3</v>
      </c>
      <c r="F140">
        <v>20260126</v>
      </c>
      <c r="G140">
        <v>20260403</v>
      </c>
      <c r="H140">
        <v>1180.9385</v>
      </c>
      <c r="I140">
        <f t="shared" si="23"/>
        <v>62</v>
      </c>
      <c r="J140">
        <f t="shared" si="24"/>
        <v>19.047395161290321</v>
      </c>
      <c r="K140">
        <f t="shared" si="25"/>
        <v>723.38285453280537</v>
      </c>
      <c r="L140">
        <f t="shared" si="26"/>
        <v>590.46924999999999</v>
      </c>
      <c r="M140">
        <f t="shared" si="27"/>
        <v>35.46343771672781</v>
      </c>
      <c r="N140">
        <f t="shared" si="28"/>
        <v>1349.3155422495331</v>
      </c>
      <c r="O140">
        <f t="shared" si="29"/>
        <v>633.11407629195344</v>
      </c>
      <c r="P140">
        <f t="shared" si="30"/>
        <v>516.7863620903654</v>
      </c>
      <c r="Q140">
        <f t="shared" si="31"/>
        <v>31.038061617681223</v>
      </c>
      <c r="R140">
        <f t="shared" si="32"/>
        <v>1180.9385000000002</v>
      </c>
    </row>
    <row r="141" spans="1:18" x14ac:dyDescent="0.3">
      <c r="A141" t="s">
        <v>0</v>
      </c>
      <c r="B141" t="s">
        <v>0</v>
      </c>
      <c r="C141">
        <v>17</v>
      </c>
      <c r="D141">
        <v>31</v>
      </c>
      <c r="E141">
        <v>4</v>
      </c>
      <c r="F141">
        <v>20260212</v>
      </c>
      <c r="G141">
        <v>20260404</v>
      </c>
      <c r="H141">
        <v>464.28800000000001</v>
      </c>
      <c r="I141">
        <f t="shared" si="23"/>
        <v>52</v>
      </c>
      <c r="J141">
        <f t="shared" si="24"/>
        <v>8.9286153846153855</v>
      </c>
      <c r="K141">
        <f t="shared" si="25"/>
        <v>205.87690205960965</v>
      </c>
      <c r="L141">
        <f t="shared" si="26"/>
        <v>276.78707692307694</v>
      </c>
      <c r="M141">
        <f t="shared" si="27"/>
        <v>22.165018219563937</v>
      </c>
      <c r="N141">
        <f t="shared" si="28"/>
        <v>504.82899720225049</v>
      </c>
      <c r="O141">
        <f t="shared" si="29"/>
        <v>189.34367010054535</v>
      </c>
      <c r="P141">
        <f t="shared" si="30"/>
        <v>254.55930440338156</v>
      </c>
      <c r="Q141">
        <f t="shared" si="31"/>
        <v>20.385025496073119</v>
      </c>
      <c r="R141">
        <f t="shared" si="32"/>
        <v>464.28800000000001</v>
      </c>
    </row>
    <row r="142" spans="1:18" x14ac:dyDescent="0.3">
      <c r="A142" t="s">
        <v>0</v>
      </c>
      <c r="B142" t="s">
        <v>0</v>
      </c>
      <c r="C142">
        <v>28</v>
      </c>
      <c r="D142">
        <v>31</v>
      </c>
      <c r="E142">
        <v>4</v>
      </c>
      <c r="F142">
        <v>20260126</v>
      </c>
      <c r="G142">
        <v>20260404</v>
      </c>
      <c r="H142">
        <v>2066.5455999999999</v>
      </c>
      <c r="I142">
        <f t="shared" si="23"/>
        <v>63</v>
      </c>
      <c r="J142">
        <f t="shared" si="24"/>
        <v>32.802311111111109</v>
      </c>
      <c r="K142">
        <f t="shared" si="25"/>
        <v>1245.7676887521072</v>
      </c>
      <c r="L142">
        <f t="shared" si="26"/>
        <v>1016.8716444444444</v>
      </c>
      <c r="M142">
        <f t="shared" si="27"/>
        <v>81.43074733338419</v>
      </c>
      <c r="N142">
        <f t="shared" si="28"/>
        <v>2344.0700805299361</v>
      </c>
      <c r="O142">
        <f t="shared" si="29"/>
        <v>1098.2759249377136</v>
      </c>
      <c r="P142">
        <f t="shared" si="30"/>
        <v>896.47986211929037</v>
      </c>
      <c r="Q142">
        <f t="shared" si="31"/>
        <v>71.789812942995638</v>
      </c>
      <c r="R142">
        <f t="shared" si="32"/>
        <v>2066.5455999999995</v>
      </c>
    </row>
    <row r="143" spans="1:18" x14ac:dyDescent="0.3">
      <c r="A143" t="s">
        <v>0</v>
      </c>
      <c r="B143" t="s">
        <v>0</v>
      </c>
      <c r="C143">
        <v>28</v>
      </c>
      <c r="D143">
        <v>31</v>
      </c>
      <c r="E143">
        <v>6</v>
      </c>
      <c r="F143">
        <v>20260127</v>
      </c>
      <c r="G143">
        <v>20260406</v>
      </c>
      <c r="H143">
        <v>885.64170000000001</v>
      </c>
      <c r="I143">
        <f t="shared" si="23"/>
        <v>65</v>
      </c>
      <c r="J143">
        <f t="shared" si="24"/>
        <v>13.625256923076924</v>
      </c>
      <c r="K143">
        <f t="shared" si="25"/>
        <v>517.46063770383626</v>
      </c>
      <c r="L143">
        <f t="shared" si="26"/>
        <v>422.38296461538465</v>
      </c>
      <c r="M143">
        <f t="shared" si="27"/>
        <v>50.736433635602666</v>
      </c>
      <c r="N143">
        <f t="shared" si="28"/>
        <v>990.58003595482364</v>
      </c>
      <c r="O143">
        <f t="shared" si="29"/>
        <v>462.64279737615283</v>
      </c>
      <c r="P143">
        <f t="shared" si="30"/>
        <v>377.63729658899501</v>
      </c>
      <c r="Q143">
        <f t="shared" si="31"/>
        <v>45.361606034852088</v>
      </c>
      <c r="R143">
        <f t="shared" si="32"/>
        <v>885.64170000000001</v>
      </c>
    </row>
    <row r="144" spans="1:18" x14ac:dyDescent="0.3">
      <c r="A144" t="s">
        <v>0</v>
      </c>
      <c r="B144" t="s">
        <v>0</v>
      </c>
      <c r="C144">
        <v>0</v>
      </c>
      <c r="D144">
        <v>7</v>
      </c>
      <c r="E144">
        <v>1</v>
      </c>
      <c r="F144">
        <v>20260325</v>
      </c>
      <c r="G144">
        <v>20260401</v>
      </c>
      <c r="H144">
        <v>42.287100000000002</v>
      </c>
      <c r="I144">
        <f t="shared" si="23"/>
        <v>8</v>
      </c>
      <c r="J144">
        <f t="shared" si="24"/>
        <v>5.2858875000000003</v>
      </c>
      <c r="K144">
        <f t="shared" si="25"/>
        <v>0</v>
      </c>
      <c r="L144">
        <f t="shared" si="26"/>
        <v>37.001212500000001</v>
      </c>
      <c r="M144">
        <f t="shared" si="27"/>
        <v>3.2805140466108287</v>
      </c>
      <c r="N144">
        <f t="shared" si="28"/>
        <v>40.281726546610827</v>
      </c>
      <c r="O144">
        <f t="shared" si="29"/>
        <v>0</v>
      </c>
      <c r="P144">
        <f t="shared" si="30"/>
        <v>38.843269821074657</v>
      </c>
      <c r="Q144">
        <f t="shared" si="31"/>
        <v>3.4438301789253498</v>
      </c>
      <c r="R144">
        <f t="shared" si="32"/>
        <v>42.287100000000009</v>
      </c>
    </row>
    <row r="145" spans="1:18" x14ac:dyDescent="0.3">
      <c r="A145" t="s">
        <v>0</v>
      </c>
      <c r="B145" t="s">
        <v>0</v>
      </c>
      <c r="C145">
        <v>25</v>
      </c>
      <c r="D145">
        <v>31</v>
      </c>
      <c r="E145">
        <v>10</v>
      </c>
      <c r="F145">
        <v>20260204</v>
      </c>
      <c r="G145">
        <v>20260410</v>
      </c>
      <c r="H145">
        <v>379.67630000000003</v>
      </c>
      <c r="I145">
        <f t="shared" si="23"/>
        <v>66</v>
      </c>
      <c r="J145">
        <f t="shared" si="24"/>
        <v>5.7526712121212125</v>
      </c>
      <c r="K145">
        <f t="shared" si="25"/>
        <v>195.06715482311168</v>
      </c>
      <c r="L145">
        <f t="shared" si="26"/>
        <v>178.33280757575758</v>
      </c>
      <c r="M145">
        <f t="shared" si="27"/>
        <v>35.702081659697413</v>
      </c>
      <c r="N145">
        <f t="shared" si="28"/>
        <v>409.10204405856666</v>
      </c>
      <c r="O145">
        <f t="shared" si="29"/>
        <v>181.03643496868841</v>
      </c>
      <c r="P145">
        <f t="shared" si="30"/>
        <v>165.50574980574407</v>
      </c>
      <c r="Q145">
        <f t="shared" si="31"/>
        <v>33.134115225567584</v>
      </c>
      <c r="R145">
        <f t="shared" si="32"/>
        <v>379.67630000000008</v>
      </c>
    </row>
    <row r="146" spans="1:18" x14ac:dyDescent="0.3">
      <c r="A146" t="s">
        <v>0</v>
      </c>
      <c r="B146" t="s">
        <v>0</v>
      </c>
      <c r="C146">
        <v>25</v>
      </c>
      <c r="D146">
        <v>31</v>
      </c>
      <c r="E146">
        <v>14</v>
      </c>
      <c r="F146">
        <v>20260204</v>
      </c>
      <c r="G146">
        <v>20260414</v>
      </c>
      <c r="H146">
        <v>337.49790000000002</v>
      </c>
      <c r="I146">
        <f t="shared" si="23"/>
        <v>70</v>
      </c>
      <c r="J146">
        <f t="shared" si="24"/>
        <v>4.8213985714285714</v>
      </c>
      <c r="K146">
        <f t="shared" si="25"/>
        <v>163.4886589059889</v>
      </c>
      <c r="L146">
        <f t="shared" si="26"/>
        <v>149.46335571428571</v>
      </c>
      <c r="M146">
        <f t="shared" si="27"/>
        <v>41.891417539690607</v>
      </c>
      <c r="N146">
        <f t="shared" si="28"/>
        <v>354.84343215996523</v>
      </c>
      <c r="O146">
        <f t="shared" si="29"/>
        <v>155.49697149167875</v>
      </c>
      <c r="P146">
        <f t="shared" si="30"/>
        <v>142.15725615511522</v>
      </c>
      <c r="Q146">
        <f t="shared" si="31"/>
        <v>39.843672353206038</v>
      </c>
      <c r="R146">
        <f t="shared" si="32"/>
        <v>337.49790000000002</v>
      </c>
    </row>
    <row r="147" spans="1:18" x14ac:dyDescent="0.3">
      <c r="A147" t="s">
        <v>0</v>
      </c>
      <c r="B147" t="s">
        <v>0</v>
      </c>
      <c r="C147">
        <v>22</v>
      </c>
      <c r="D147">
        <v>31</v>
      </c>
      <c r="E147">
        <v>9</v>
      </c>
      <c r="F147">
        <v>20260207</v>
      </c>
      <c r="G147">
        <v>20260409</v>
      </c>
      <c r="H147">
        <v>168.7687</v>
      </c>
      <c r="I147">
        <f t="shared" si="23"/>
        <v>62</v>
      </c>
      <c r="J147">
        <f t="shared" si="24"/>
        <v>2.7220758064516128</v>
      </c>
      <c r="K147">
        <f t="shared" si="25"/>
        <v>81.226452132271888</v>
      </c>
      <c r="L147">
        <f t="shared" si="26"/>
        <v>84.384349999999998</v>
      </c>
      <c r="M147">
        <f t="shared" si="27"/>
        <v>15.204309828961765</v>
      </c>
      <c r="N147">
        <f t="shared" si="28"/>
        <v>180.81511196123364</v>
      </c>
      <c r="O147">
        <f t="shared" si="29"/>
        <v>75.814917145392272</v>
      </c>
      <c r="P147">
        <f t="shared" si="30"/>
        <v>78.762426964060026</v>
      </c>
      <c r="Q147">
        <f t="shared" si="31"/>
        <v>14.191355890547726</v>
      </c>
      <c r="R147">
        <f t="shared" si="32"/>
        <v>168.76870000000002</v>
      </c>
    </row>
    <row r="148" spans="1:18" x14ac:dyDescent="0.3">
      <c r="A148" t="s">
        <v>0</v>
      </c>
      <c r="B148" t="s">
        <v>0</v>
      </c>
      <c r="C148">
        <v>0</v>
      </c>
      <c r="D148">
        <v>15</v>
      </c>
      <c r="E148">
        <v>7</v>
      </c>
      <c r="F148">
        <v>20260317</v>
      </c>
      <c r="G148">
        <v>20260407</v>
      </c>
      <c r="H148">
        <v>210.59030000000001</v>
      </c>
      <c r="I148">
        <f t="shared" si="23"/>
        <v>22</v>
      </c>
      <c r="J148">
        <f t="shared" si="24"/>
        <v>9.5722863636363638</v>
      </c>
      <c r="K148">
        <f t="shared" si="25"/>
        <v>0</v>
      </c>
      <c r="L148">
        <f t="shared" si="26"/>
        <v>143.58429545454547</v>
      </c>
      <c r="M148">
        <f t="shared" si="27"/>
        <v>41.585095997338698</v>
      </c>
      <c r="N148">
        <f t="shared" si="28"/>
        <v>185.16939145188417</v>
      </c>
      <c r="O148">
        <f t="shared" si="29"/>
        <v>0</v>
      </c>
      <c r="P148">
        <f t="shared" si="30"/>
        <v>163.29621012400693</v>
      </c>
      <c r="Q148">
        <f t="shared" si="31"/>
        <v>47.294089875993087</v>
      </c>
      <c r="R148">
        <f t="shared" si="32"/>
        <v>210.59030000000001</v>
      </c>
    </row>
    <row r="149" spans="1:18" x14ac:dyDescent="0.3">
      <c r="A149" t="s">
        <v>0</v>
      </c>
      <c r="B149" t="s">
        <v>0</v>
      </c>
      <c r="C149">
        <v>0</v>
      </c>
      <c r="D149">
        <v>22</v>
      </c>
      <c r="E149">
        <v>1</v>
      </c>
      <c r="F149">
        <v>20260310</v>
      </c>
      <c r="G149">
        <v>20260401</v>
      </c>
      <c r="H149">
        <v>842.26250000000005</v>
      </c>
      <c r="I149">
        <f t="shared" si="23"/>
        <v>23</v>
      </c>
      <c r="J149">
        <f t="shared" si="24"/>
        <v>36.620108695652178</v>
      </c>
      <c r="K149">
        <f t="shared" si="25"/>
        <v>0</v>
      </c>
      <c r="L149">
        <f t="shared" si="26"/>
        <v>805.64239130434794</v>
      </c>
      <c r="M149">
        <f t="shared" si="27"/>
        <v>22.727078653206735</v>
      </c>
      <c r="N149">
        <f t="shared" si="28"/>
        <v>828.36946995755466</v>
      </c>
      <c r="O149">
        <f t="shared" si="29"/>
        <v>0</v>
      </c>
      <c r="P149">
        <f t="shared" si="30"/>
        <v>819.15425328355911</v>
      </c>
      <c r="Q149">
        <f t="shared" si="31"/>
        <v>23.108246716440885</v>
      </c>
      <c r="R149">
        <f t="shared" si="32"/>
        <v>842.26250000000005</v>
      </c>
    </row>
    <row r="150" spans="1:18" x14ac:dyDescent="0.3">
      <c r="A150" t="s">
        <v>0</v>
      </c>
      <c r="B150" t="s">
        <v>0</v>
      </c>
      <c r="C150">
        <v>0</v>
      </c>
      <c r="D150">
        <v>9</v>
      </c>
      <c r="E150">
        <v>3</v>
      </c>
      <c r="F150">
        <v>20260323</v>
      </c>
      <c r="G150">
        <v>20260403</v>
      </c>
      <c r="H150">
        <v>42.240600000000001</v>
      </c>
      <c r="I150">
        <f t="shared" si="23"/>
        <v>12</v>
      </c>
      <c r="J150">
        <f t="shared" si="24"/>
        <v>3.5200499999999999</v>
      </c>
      <c r="K150">
        <f t="shared" si="25"/>
        <v>0</v>
      </c>
      <c r="L150">
        <f t="shared" si="26"/>
        <v>31.68045</v>
      </c>
      <c r="M150">
        <f t="shared" si="27"/>
        <v>6.5538134153096035</v>
      </c>
      <c r="N150">
        <f t="shared" si="28"/>
        <v>38.234263415309606</v>
      </c>
      <c r="O150">
        <f t="shared" si="29"/>
        <v>0</v>
      </c>
      <c r="P150">
        <f t="shared" si="30"/>
        <v>35.00005222368592</v>
      </c>
      <c r="Q150">
        <f t="shared" si="31"/>
        <v>7.2405477763140818</v>
      </c>
      <c r="R150">
        <f t="shared" si="32"/>
        <v>42.240600000000001</v>
      </c>
    </row>
    <row r="151" spans="1:18" x14ac:dyDescent="0.3">
      <c r="A151" t="s">
        <v>0</v>
      </c>
      <c r="B151" t="s">
        <v>0</v>
      </c>
      <c r="C151">
        <v>0</v>
      </c>
      <c r="D151">
        <v>12</v>
      </c>
      <c r="E151">
        <v>3</v>
      </c>
      <c r="F151">
        <v>20260320</v>
      </c>
      <c r="G151">
        <v>20260403</v>
      </c>
      <c r="H151">
        <v>84.378399999999999</v>
      </c>
      <c r="I151">
        <f t="shared" si="23"/>
        <v>15</v>
      </c>
      <c r="J151">
        <f t="shared" si="24"/>
        <v>5.6252266666666664</v>
      </c>
      <c r="K151">
        <f t="shared" si="25"/>
        <v>0</v>
      </c>
      <c r="L151">
        <f t="shared" si="26"/>
        <v>67.502719999999997</v>
      </c>
      <c r="M151">
        <f t="shared" si="27"/>
        <v>10.473341569624671</v>
      </c>
      <c r="N151">
        <f t="shared" si="28"/>
        <v>77.976061569624662</v>
      </c>
      <c r="O151">
        <f t="shared" si="29"/>
        <v>0</v>
      </c>
      <c r="P151">
        <f t="shared" si="30"/>
        <v>73.045129422986534</v>
      </c>
      <c r="Q151">
        <f t="shared" si="31"/>
        <v>11.333270577013474</v>
      </c>
      <c r="R151">
        <f t="shared" si="32"/>
        <v>84.378400000000013</v>
      </c>
    </row>
    <row r="152" spans="1:18" x14ac:dyDescent="0.3">
      <c r="A152" t="s">
        <v>0</v>
      </c>
      <c r="B152" t="s">
        <v>0</v>
      </c>
      <c r="C152">
        <v>0</v>
      </c>
      <c r="D152">
        <v>19</v>
      </c>
      <c r="E152">
        <v>4</v>
      </c>
      <c r="F152">
        <v>20260313</v>
      </c>
      <c r="G152">
        <v>20260404</v>
      </c>
      <c r="H152">
        <v>168.44069999999999</v>
      </c>
      <c r="I152">
        <f t="shared" si="23"/>
        <v>23</v>
      </c>
      <c r="J152">
        <f t="shared" si="24"/>
        <v>7.3235086956521736</v>
      </c>
      <c r="K152">
        <f t="shared" si="25"/>
        <v>0</v>
      </c>
      <c r="L152">
        <f t="shared" si="26"/>
        <v>139.1466652173913</v>
      </c>
      <c r="M152">
        <f t="shared" si="27"/>
        <v>18.180389307614664</v>
      </c>
      <c r="N152">
        <f t="shared" si="28"/>
        <v>157.32705452500596</v>
      </c>
      <c r="O152">
        <f t="shared" si="29"/>
        <v>0</v>
      </c>
      <c r="P152">
        <f t="shared" si="30"/>
        <v>148.976040787427</v>
      </c>
      <c r="Q152">
        <f t="shared" si="31"/>
        <v>19.464659212572982</v>
      </c>
      <c r="R152">
        <f t="shared" si="32"/>
        <v>168.44069999999999</v>
      </c>
    </row>
    <row r="153" spans="1:18" x14ac:dyDescent="0.3">
      <c r="A153" t="s">
        <v>0</v>
      </c>
      <c r="B153" t="s">
        <v>0</v>
      </c>
      <c r="C153">
        <v>0</v>
      </c>
      <c r="D153">
        <v>18</v>
      </c>
      <c r="E153">
        <v>2</v>
      </c>
      <c r="F153">
        <v>20260314</v>
      </c>
      <c r="G153">
        <v>20260402</v>
      </c>
      <c r="H153">
        <v>84.238100000000003</v>
      </c>
      <c r="I153">
        <f t="shared" si="23"/>
        <v>20</v>
      </c>
      <c r="J153">
        <f t="shared" si="24"/>
        <v>4.2119049999999998</v>
      </c>
      <c r="K153">
        <f t="shared" si="25"/>
        <v>0</v>
      </c>
      <c r="L153">
        <f t="shared" si="26"/>
        <v>75.81429</v>
      </c>
      <c r="M153">
        <f t="shared" si="27"/>
        <v>5.2279635219214864</v>
      </c>
      <c r="N153">
        <f t="shared" si="28"/>
        <v>81.042253521921481</v>
      </c>
      <c r="O153">
        <f t="shared" si="29"/>
        <v>0</v>
      </c>
      <c r="P153">
        <f t="shared" si="30"/>
        <v>78.803975271017123</v>
      </c>
      <c r="Q153">
        <f t="shared" si="31"/>
        <v>5.4341247289828916</v>
      </c>
      <c r="R153">
        <f t="shared" si="32"/>
        <v>84.238100000000017</v>
      </c>
    </row>
    <row r="154" spans="1:18" x14ac:dyDescent="0.3">
      <c r="A154" t="s">
        <v>0</v>
      </c>
      <c r="B154" t="s">
        <v>0</v>
      </c>
      <c r="C154">
        <v>0</v>
      </c>
      <c r="D154">
        <v>14</v>
      </c>
      <c r="E154">
        <v>5</v>
      </c>
      <c r="F154">
        <v>20260318</v>
      </c>
      <c r="G154">
        <v>20260405</v>
      </c>
      <c r="H154">
        <v>126.4254</v>
      </c>
      <c r="I154">
        <f t="shared" si="23"/>
        <v>19</v>
      </c>
      <c r="J154">
        <f t="shared" si="24"/>
        <v>6.6539684210526318</v>
      </c>
      <c r="K154">
        <f t="shared" si="25"/>
        <v>0</v>
      </c>
      <c r="L154">
        <f t="shared" si="26"/>
        <v>93.155557894736845</v>
      </c>
      <c r="M154">
        <f t="shared" si="27"/>
        <v>20.647844728976953</v>
      </c>
      <c r="N154">
        <f t="shared" si="28"/>
        <v>113.80340262371379</v>
      </c>
      <c r="O154">
        <f t="shared" si="29"/>
        <v>0</v>
      </c>
      <c r="P154">
        <f t="shared" si="30"/>
        <v>103.48749156478368</v>
      </c>
      <c r="Q154">
        <f t="shared" si="31"/>
        <v>22.937908435216311</v>
      </c>
      <c r="R154">
        <f t="shared" si="32"/>
        <v>126.4254</v>
      </c>
    </row>
    <row r="155" spans="1:18" x14ac:dyDescent="0.3">
      <c r="A155" t="s">
        <v>0</v>
      </c>
      <c r="B155" t="s">
        <v>0</v>
      </c>
      <c r="C155">
        <v>23</v>
      </c>
      <c r="D155">
        <v>31</v>
      </c>
      <c r="E155">
        <v>10</v>
      </c>
      <c r="F155">
        <v>20260206</v>
      </c>
      <c r="G155">
        <v>20260410</v>
      </c>
      <c r="H155">
        <v>379.69409999999999</v>
      </c>
      <c r="I155">
        <f t="shared" si="23"/>
        <v>64</v>
      </c>
      <c r="J155">
        <f t="shared" si="24"/>
        <v>5.9327203124999999</v>
      </c>
      <c r="K155">
        <f t="shared" si="25"/>
        <v>185.07863959609355</v>
      </c>
      <c r="L155">
        <f t="shared" si="26"/>
        <v>183.91432968749999</v>
      </c>
      <c r="M155">
        <f t="shared" si="27"/>
        <v>36.819497803859115</v>
      </c>
      <c r="N155">
        <f t="shared" si="28"/>
        <v>405.81246708745266</v>
      </c>
      <c r="O155">
        <f t="shared" si="29"/>
        <v>173.16685215469047</v>
      </c>
      <c r="P155">
        <f t="shared" si="30"/>
        <v>172.0774780257058</v>
      </c>
      <c r="Q155">
        <f t="shared" si="31"/>
        <v>34.449769819603745</v>
      </c>
      <c r="R155">
        <f t="shared" si="32"/>
        <v>379.69410000000005</v>
      </c>
    </row>
    <row r="156" spans="1:18" x14ac:dyDescent="0.3">
      <c r="A156" t="s">
        <v>0</v>
      </c>
      <c r="B156" t="s">
        <v>0</v>
      </c>
      <c r="C156">
        <v>19</v>
      </c>
      <c r="D156">
        <v>11</v>
      </c>
      <c r="E156">
        <v>0</v>
      </c>
      <c r="F156">
        <v>20260210</v>
      </c>
      <c r="G156">
        <v>20260311</v>
      </c>
      <c r="H156">
        <v>211.3117</v>
      </c>
      <c r="I156">
        <f t="shared" si="23"/>
        <v>30</v>
      </c>
      <c r="J156">
        <f t="shared" si="24"/>
        <v>7.0437233333333333</v>
      </c>
      <c r="K156">
        <f t="shared" si="25"/>
        <v>181.52250575272674</v>
      </c>
      <c r="L156">
        <f t="shared" si="26"/>
        <v>77.480956666666671</v>
      </c>
      <c r="M156">
        <f t="shared" si="27"/>
        <v>0</v>
      </c>
      <c r="N156">
        <f t="shared" si="28"/>
        <v>259.00346241939343</v>
      </c>
      <c r="O156">
        <f t="shared" si="29"/>
        <v>148.09774711334649</v>
      </c>
      <c r="P156">
        <f t="shared" si="30"/>
        <v>63.213952886653502</v>
      </c>
      <c r="Q156">
        <f t="shared" si="31"/>
        <v>0</v>
      </c>
      <c r="R156">
        <f t="shared" si="32"/>
        <v>211.31169999999997</v>
      </c>
    </row>
    <row r="157" spans="1:18" x14ac:dyDescent="0.3">
      <c r="A157" t="s">
        <v>0</v>
      </c>
      <c r="B157" t="s">
        <v>0</v>
      </c>
      <c r="C157">
        <v>24</v>
      </c>
      <c r="D157">
        <v>3</v>
      </c>
      <c r="E157">
        <v>0</v>
      </c>
      <c r="F157">
        <v>20260205</v>
      </c>
      <c r="G157">
        <v>20260303</v>
      </c>
      <c r="H157">
        <v>379.8809</v>
      </c>
      <c r="I157">
        <f t="shared" si="23"/>
        <v>27</v>
      </c>
      <c r="J157">
        <f t="shared" si="24"/>
        <v>14.069662962962964</v>
      </c>
      <c r="K157">
        <f t="shared" si="25"/>
        <v>458.00426643774074</v>
      </c>
      <c r="L157">
        <f t="shared" si="26"/>
        <v>42.208988888888889</v>
      </c>
      <c r="M157">
        <f t="shared" si="27"/>
        <v>0</v>
      </c>
      <c r="N157">
        <f t="shared" si="28"/>
        <v>500.21325532662962</v>
      </c>
      <c r="O157">
        <f t="shared" si="29"/>
        <v>347.82579446959784</v>
      </c>
      <c r="P157">
        <f t="shared" si="30"/>
        <v>32.055105530402152</v>
      </c>
      <c r="Q157">
        <f t="shared" si="31"/>
        <v>0</v>
      </c>
      <c r="R157">
        <f t="shared" si="32"/>
        <v>379.8809</v>
      </c>
    </row>
    <row r="158" spans="1:18" x14ac:dyDescent="0.3">
      <c r="A158" t="s">
        <v>0</v>
      </c>
      <c r="B158" t="s">
        <v>0</v>
      </c>
      <c r="C158">
        <v>23</v>
      </c>
      <c r="D158">
        <v>3</v>
      </c>
      <c r="E158">
        <v>0</v>
      </c>
      <c r="F158">
        <v>20260206</v>
      </c>
      <c r="G158">
        <v>20260303</v>
      </c>
      <c r="H158">
        <v>295.50439999999998</v>
      </c>
      <c r="I158">
        <f t="shared" si="23"/>
        <v>26</v>
      </c>
      <c r="J158">
        <f t="shared" si="24"/>
        <v>11.365553846153846</v>
      </c>
      <c r="K158">
        <f t="shared" si="25"/>
        <v>354.56268512612479</v>
      </c>
      <c r="L158">
        <f t="shared" si="26"/>
        <v>34.096661538461539</v>
      </c>
      <c r="M158">
        <f t="shared" si="27"/>
        <v>0</v>
      </c>
      <c r="N158">
        <f t="shared" si="28"/>
        <v>388.65934666458634</v>
      </c>
      <c r="O158">
        <f t="shared" si="29"/>
        <v>269.58012055993413</v>
      </c>
      <c r="P158">
        <f t="shared" si="30"/>
        <v>25.924279440065831</v>
      </c>
      <c r="Q158">
        <f t="shared" si="31"/>
        <v>0</v>
      </c>
      <c r="R158">
        <f t="shared" si="32"/>
        <v>295.50439999999998</v>
      </c>
    </row>
    <row r="159" spans="1:18" x14ac:dyDescent="0.3">
      <c r="A159" t="s">
        <v>0</v>
      </c>
      <c r="B159" t="s">
        <v>0</v>
      </c>
      <c r="C159">
        <v>26</v>
      </c>
      <c r="D159">
        <v>4</v>
      </c>
      <c r="E159">
        <v>0</v>
      </c>
      <c r="F159">
        <v>20260203</v>
      </c>
      <c r="G159">
        <v>20260304</v>
      </c>
      <c r="H159">
        <v>42.216900000000003</v>
      </c>
      <c r="I159">
        <f t="shared" si="23"/>
        <v>30</v>
      </c>
      <c r="J159">
        <f t="shared" si="24"/>
        <v>1.40723</v>
      </c>
      <c r="K159">
        <f t="shared" si="25"/>
        <v>49.626428461870738</v>
      </c>
      <c r="L159">
        <f t="shared" si="26"/>
        <v>5.6289199999999999</v>
      </c>
      <c r="M159">
        <f t="shared" si="27"/>
        <v>0</v>
      </c>
      <c r="N159">
        <f t="shared" si="28"/>
        <v>55.255348461870739</v>
      </c>
      <c r="O159">
        <f t="shared" si="29"/>
        <v>37.916220348834983</v>
      </c>
      <c r="P159">
        <f t="shared" si="30"/>
        <v>4.300679651165022</v>
      </c>
      <c r="Q159">
        <f t="shared" si="31"/>
        <v>0</v>
      </c>
      <c r="R159">
        <f t="shared" si="32"/>
        <v>42.216900000000003</v>
      </c>
    </row>
    <row r="160" spans="1:18" x14ac:dyDescent="0.3">
      <c r="A160" t="s">
        <v>0</v>
      </c>
      <c r="B160" t="s">
        <v>0</v>
      </c>
      <c r="C160">
        <v>22</v>
      </c>
      <c r="D160">
        <v>4</v>
      </c>
      <c r="E160">
        <v>0</v>
      </c>
      <c r="F160">
        <v>20260207</v>
      </c>
      <c r="G160">
        <v>20260304</v>
      </c>
      <c r="H160">
        <v>126.6922</v>
      </c>
      <c r="I160">
        <f t="shared" si="23"/>
        <v>26</v>
      </c>
      <c r="J160">
        <f t="shared" si="24"/>
        <v>4.8727769230769233</v>
      </c>
      <c r="K160">
        <f t="shared" si="25"/>
        <v>145.40314437807427</v>
      </c>
      <c r="L160">
        <f t="shared" si="26"/>
        <v>19.491107692307693</v>
      </c>
      <c r="M160">
        <f t="shared" si="27"/>
        <v>0</v>
      </c>
      <c r="N160">
        <f t="shared" si="28"/>
        <v>164.89425207038198</v>
      </c>
      <c r="O160">
        <f t="shared" si="29"/>
        <v>111.71671551239407</v>
      </c>
      <c r="P160">
        <f t="shared" si="30"/>
        <v>14.975484487605915</v>
      </c>
      <c r="Q160">
        <f t="shared" si="31"/>
        <v>0</v>
      </c>
      <c r="R160">
        <f t="shared" si="32"/>
        <v>126.69219999999999</v>
      </c>
    </row>
    <row r="161" spans="1:18" x14ac:dyDescent="0.3">
      <c r="A161" t="s">
        <v>0</v>
      </c>
      <c r="B161" t="s">
        <v>0</v>
      </c>
      <c r="C161">
        <v>25</v>
      </c>
      <c r="D161">
        <v>6</v>
      </c>
      <c r="E161">
        <v>0</v>
      </c>
      <c r="F161">
        <v>20260204</v>
      </c>
      <c r="G161">
        <v>20260306</v>
      </c>
      <c r="H161">
        <v>42.232700000000001</v>
      </c>
      <c r="I161">
        <f t="shared" si="23"/>
        <v>31</v>
      </c>
      <c r="J161">
        <f t="shared" si="24"/>
        <v>1.3623451612903226</v>
      </c>
      <c r="K161">
        <f t="shared" si="25"/>
        <v>46.19572103129903</v>
      </c>
      <c r="L161">
        <f t="shared" si="26"/>
        <v>8.174070967741935</v>
      </c>
      <c r="M161">
        <f t="shared" si="27"/>
        <v>0</v>
      </c>
      <c r="N161">
        <f t="shared" si="28"/>
        <v>54.369791999040963</v>
      </c>
      <c r="O161">
        <f t="shared" si="29"/>
        <v>35.883345436248057</v>
      </c>
      <c r="P161">
        <f t="shared" si="30"/>
        <v>6.3493545637519473</v>
      </c>
      <c r="Q161">
        <f t="shared" si="31"/>
        <v>0</v>
      </c>
      <c r="R161">
        <f t="shared" si="32"/>
        <v>42.232700000000001</v>
      </c>
    </row>
    <row r="162" spans="1:18" x14ac:dyDescent="0.3">
      <c r="A162" t="s">
        <v>0</v>
      </c>
      <c r="B162" t="s">
        <v>0</v>
      </c>
      <c r="C162">
        <v>23</v>
      </c>
      <c r="D162">
        <v>4</v>
      </c>
      <c r="E162">
        <v>0</v>
      </c>
      <c r="F162">
        <v>20260206</v>
      </c>
      <c r="G162">
        <v>20260304</v>
      </c>
      <c r="H162">
        <v>253.33099999999999</v>
      </c>
      <c r="I162">
        <f t="shared" si="23"/>
        <v>27</v>
      </c>
      <c r="J162">
        <f t="shared" si="24"/>
        <v>9.3826296296296299</v>
      </c>
      <c r="K162">
        <f t="shared" si="25"/>
        <v>292.7028810084077</v>
      </c>
      <c r="L162">
        <f t="shared" si="26"/>
        <v>37.530518518518519</v>
      </c>
      <c r="M162">
        <f t="shared" si="27"/>
        <v>0</v>
      </c>
      <c r="N162">
        <f t="shared" si="28"/>
        <v>330.23339952692623</v>
      </c>
      <c r="O162">
        <f t="shared" si="29"/>
        <v>224.5403210425265</v>
      </c>
      <c r="P162">
        <f t="shared" si="30"/>
        <v>28.790678957473499</v>
      </c>
      <c r="Q162">
        <f t="shared" si="31"/>
        <v>0</v>
      </c>
      <c r="R162">
        <f t="shared" si="32"/>
        <v>253.33099999999999</v>
      </c>
    </row>
    <row r="163" spans="1:18" x14ac:dyDescent="0.3">
      <c r="A163" t="s">
        <v>0</v>
      </c>
      <c r="B163" t="s">
        <v>0</v>
      </c>
      <c r="C163">
        <v>26</v>
      </c>
      <c r="D163">
        <v>6</v>
      </c>
      <c r="E163">
        <v>0</v>
      </c>
      <c r="F163">
        <v>20260203</v>
      </c>
      <c r="G163">
        <v>20260306</v>
      </c>
      <c r="H163">
        <v>126.6981</v>
      </c>
      <c r="I163">
        <f t="shared" si="23"/>
        <v>32</v>
      </c>
      <c r="J163">
        <f t="shared" si="24"/>
        <v>3.9593156249999999</v>
      </c>
      <c r="K163">
        <f t="shared" si="25"/>
        <v>139.62656681710135</v>
      </c>
      <c r="L163">
        <f t="shared" si="26"/>
        <v>23.755893749999998</v>
      </c>
      <c r="M163">
        <f t="shared" si="27"/>
        <v>0</v>
      </c>
      <c r="N163">
        <f t="shared" si="28"/>
        <v>163.38246056710136</v>
      </c>
      <c r="O163">
        <f t="shared" si="29"/>
        <v>108.27613113333125</v>
      </c>
      <c r="P163">
        <f t="shared" si="30"/>
        <v>18.421968866668742</v>
      </c>
      <c r="Q163">
        <f t="shared" si="31"/>
        <v>0</v>
      </c>
      <c r="R163">
        <f t="shared" si="32"/>
        <v>126.69809999999998</v>
      </c>
    </row>
    <row r="164" spans="1:18" x14ac:dyDescent="0.3">
      <c r="A164" t="s">
        <v>0</v>
      </c>
      <c r="B164" t="s">
        <v>0</v>
      </c>
      <c r="C164">
        <v>19</v>
      </c>
      <c r="D164">
        <v>7</v>
      </c>
      <c r="E164">
        <v>0</v>
      </c>
      <c r="F164">
        <v>20260210</v>
      </c>
      <c r="G164">
        <v>20260307</v>
      </c>
      <c r="H164">
        <v>42.268300000000004</v>
      </c>
      <c r="I164">
        <f t="shared" si="23"/>
        <v>26</v>
      </c>
      <c r="J164">
        <f t="shared" si="24"/>
        <v>1.6257038461538462</v>
      </c>
      <c r="K164">
        <f t="shared" si="25"/>
        <v>41.89571648408841</v>
      </c>
      <c r="L164">
        <f t="shared" si="26"/>
        <v>11.379926923076923</v>
      </c>
      <c r="M164">
        <f t="shared" si="27"/>
        <v>0</v>
      </c>
      <c r="N164">
        <f t="shared" si="28"/>
        <v>53.275643407165333</v>
      </c>
      <c r="O164">
        <f t="shared" si="29"/>
        <v>33.239593176386144</v>
      </c>
      <c r="P164">
        <f t="shared" si="30"/>
        <v>9.0287068236138577</v>
      </c>
      <c r="Q164">
        <f t="shared" si="31"/>
        <v>0</v>
      </c>
      <c r="R164">
        <f t="shared" si="32"/>
        <v>42.268300000000004</v>
      </c>
    </row>
    <row r="165" spans="1:18" x14ac:dyDescent="0.3">
      <c r="A165" t="s">
        <v>0</v>
      </c>
      <c r="B165" t="s">
        <v>0</v>
      </c>
      <c r="C165">
        <v>22</v>
      </c>
      <c r="D165">
        <v>12</v>
      </c>
      <c r="E165">
        <v>0</v>
      </c>
      <c r="F165">
        <v>20260207</v>
      </c>
      <c r="G165">
        <v>20260312</v>
      </c>
      <c r="H165">
        <v>295.69119999999998</v>
      </c>
      <c r="I165">
        <f t="shared" si="23"/>
        <v>34</v>
      </c>
      <c r="J165">
        <f t="shared" si="24"/>
        <v>8.6967999999999996</v>
      </c>
      <c r="K165">
        <f t="shared" si="25"/>
        <v>259.51158569121179</v>
      </c>
      <c r="L165">
        <f t="shared" si="26"/>
        <v>104.3616</v>
      </c>
      <c r="M165">
        <f t="shared" si="27"/>
        <v>0</v>
      </c>
      <c r="N165">
        <f t="shared" si="28"/>
        <v>363.8731856912118</v>
      </c>
      <c r="O165">
        <f t="shared" si="29"/>
        <v>210.88471259889963</v>
      </c>
      <c r="P165">
        <f t="shared" si="30"/>
        <v>84.806487401100341</v>
      </c>
      <c r="Q165">
        <f t="shared" si="31"/>
        <v>0</v>
      </c>
      <c r="R165">
        <f t="shared" si="32"/>
        <v>295.69119999999998</v>
      </c>
    </row>
    <row r="166" spans="1:18" x14ac:dyDescent="0.3">
      <c r="A166" t="s">
        <v>0</v>
      </c>
      <c r="B166" t="s">
        <v>0</v>
      </c>
      <c r="C166">
        <v>27</v>
      </c>
      <c r="D166">
        <v>30</v>
      </c>
      <c r="E166">
        <v>0</v>
      </c>
      <c r="F166">
        <v>20260202</v>
      </c>
      <c r="G166">
        <v>20260330</v>
      </c>
      <c r="H166">
        <v>3038.4778999999999</v>
      </c>
      <c r="I166">
        <f t="shared" si="23"/>
        <v>57</v>
      </c>
      <c r="J166">
        <f t="shared" si="24"/>
        <v>53.306629824561398</v>
      </c>
      <c r="K166">
        <f t="shared" si="25"/>
        <v>1952.1787371525998</v>
      </c>
      <c r="L166">
        <f t="shared" si="26"/>
        <v>1599.198894736842</v>
      </c>
      <c r="M166">
        <f t="shared" si="27"/>
        <v>0</v>
      </c>
      <c r="N166">
        <f t="shared" si="28"/>
        <v>3551.3776318894415</v>
      </c>
      <c r="O166">
        <f t="shared" si="29"/>
        <v>1670.2397110420111</v>
      </c>
      <c r="P166">
        <f t="shared" si="30"/>
        <v>1368.2381889579888</v>
      </c>
      <c r="Q166">
        <f t="shared" si="31"/>
        <v>0</v>
      </c>
      <c r="R166">
        <f t="shared" si="32"/>
        <v>3038.4778999999999</v>
      </c>
    </row>
    <row r="167" spans="1:18" x14ac:dyDescent="0.3">
      <c r="A167" t="s">
        <v>0</v>
      </c>
      <c r="B167" t="s">
        <v>0</v>
      </c>
      <c r="C167">
        <v>27</v>
      </c>
      <c r="D167">
        <v>24</v>
      </c>
      <c r="E167">
        <v>0</v>
      </c>
      <c r="F167">
        <v>20260202</v>
      </c>
      <c r="G167">
        <v>20260324</v>
      </c>
      <c r="H167">
        <v>2278.4847</v>
      </c>
      <c r="I167">
        <f t="shared" si="23"/>
        <v>51</v>
      </c>
      <c r="J167">
        <f t="shared" si="24"/>
        <v>44.676170588235294</v>
      </c>
      <c r="K167">
        <f t="shared" si="25"/>
        <v>1636.1167563358129</v>
      </c>
      <c r="L167">
        <f t="shared" si="26"/>
        <v>1072.2280941176471</v>
      </c>
      <c r="M167">
        <f t="shared" si="27"/>
        <v>0</v>
      </c>
      <c r="N167">
        <f t="shared" si="28"/>
        <v>2708.3448504534599</v>
      </c>
      <c r="O167">
        <f t="shared" si="29"/>
        <v>1376.4373455251161</v>
      </c>
      <c r="P167">
        <f t="shared" si="30"/>
        <v>902.04735447488395</v>
      </c>
      <c r="Q167">
        <f t="shared" si="31"/>
        <v>0</v>
      </c>
      <c r="R167">
        <f t="shared" si="32"/>
        <v>2278.4847</v>
      </c>
    </row>
    <row r="168" spans="1:18" x14ac:dyDescent="0.3">
      <c r="A168" t="s">
        <v>0</v>
      </c>
      <c r="B168" t="s">
        <v>0</v>
      </c>
      <c r="C168">
        <v>25</v>
      </c>
      <c r="D168">
        <v>16</v>
      </c>
      <c r="E168">
        <v>0</v>
      </c>
      <c r="F168">
        <v>20260204</v>
      </c>
      <c r="G168">
        <v>20260316</v>
      </c>
      <c r="H168">
        <v>295.4837</v>
      </c>
      <c r="I168">
        <f t="shared" si="23"/>
        <v>41</v>
      </c>
      <c r="J168">
        <f t="shared" si="24"/>
        <v>7.2069195121951219</v>
      </c>
      <c r="K168">
        <f t="shared" si="25"/>
        <v>244.37921661868978</v>
      </c>
      <c r="L168">
        <f t="shared" si="26"/>
        <v>115.31071219512195</v>
      </c>
      <c r="M168">
        <f t="shared" si="27"/>
        <v>0</v>
      </c>
      <c r="N168">
        <f t="shared" si="28"/>
        <v>359.68992881381172</v>
      </c>
      <c r="O168">
        <f t="shared" si="29"/>
        <v>200.75645533842692</v>
      </c>
      <c r="P168">
        <f t="shared" si="30"/>
        <v>94.727244661573096</v>
      </c>
      <c r="Q168">
        <f t="shared" si="31"/>
        <v>0</v>
      </c>
      <c r="R168">
        <f t="shared" si="32"/>
        <v>295.4837</v>
      </c>
    </row>
    <row r="169" spans="1:18" x14ac:dyDescent="0.3">
      <c r="A169" t="s">
        <v>0</v>
      </c>
      <c r="B169" t="s">
        <v>0</v>
      </c>
      <c r="C169">
        <v>24</v>
      </c>
      <c r="D169">
        <v>21</v>
      </c>
      <c r="E169">
        <v>0</v>
      </c>
      <c r="F169">
        <v>20260205</v>
      </c>
      <c r="G169">
        <v>20260321</v>
      </c>
      <c r="H169">
        <v>42.1892</v>
      </c>
      <c r="I169">
        <f t="shared" si="23"/>
        <v>45</v>
      </c>
      <c r="J169">
        <f t="shared" si="24"/>
        <v>0.9375377777777778</v>
      </c>
      <c r="K169">
        <f t="shared" si="25"/>
        <v>30.519302651323294</v>
      </c>
      <c r="L169">
        <f t="shared" si="26"/>
        <v>19.688293333333334</v>
      </c>
      <c r="M169">
        <f t="shared" si="27"/>
        <v>0</v>
      </c>
      <c r="N169">
        <f t="shared" si="28"/>
        <v>50.207595984656628</v>
      </c>
      <c r="O169">
        <f t="shared" si="29"/>
        <v>25.645222364573939</v>
      </c>
      <c r="P169">
        <f t="shared" si="30"/>
        <v>16.543977635426064</v>
      </c>
      <c r="Q169">
        <f t="shared" si="31"/>
        <v>0</v>
      </c>
      <c r="R169">
        <f t="shared" si="32"/>
        <v>42.1892</v>
      </c>
    </row>
    <row r="170" spans="1:18" x14ac:dyDescent="0.3">
      <c r="A170" t="s">
        <v>0</v>
      </c>
      <c r="B170" t="s">
        <v>0</v>
      </c>
      <c r="C170">
        <v>23</v>
      </c>
      <c r="D170">
        <v>24</v>
      </c>
      <c r="E170">
        <v>0</v>
      </c>
      <c r="F170">
        <v>20260206</v>
      </c>
      <c r="G170">
        <v>20260324</v>
      </c>
      <c r="H170">
        <v>970.44299999999998</v>
      </c>
      <c r="I170">
        <f t="shared" si="23"/>
        <v>47</v>
      </c>
      <c r="J170">
        <f t="shared" si="24"/>
        <v>20.64772340425532</v>
      </c>
      <c r="K170">
        <f t="shared" si="25"/>
        <v>644.13158839872347</v>
      </c>
      <c r="L170">
        <f t="shared" si="26"/>
        <v>495.54536170212771</v>
      </c>
      <c r="M170">
        <f t="shared" si="27"/>
        <v>0</v>
      </c>
      <c r="N170">
        <f t="shared" si="28"/>
        <v>1139.6769501008512</v>
      </c>
      <c r="O170">
        <f t="shared" si="29"/>
        <v>548.48261253779617</v>
      </c>
      <c r="P170">
        <f t="shared" si="30"/>
        <v>421.96038746220387</v>
      </c>
      <c r="Q170">
        <f t="shared" si="31"/>
        <v>0</v>
      </c>
      <c r="R170">
        <f t="shared" si="32"/>
        <v>970.44299999999998</v>
      </c>
    </row>
    <row r="171" spans="1:18" x14ac:dyDescent="0.3">
      <c r="A171" t="s">
        <v>0</v>
      </c>
      <c r="B171" t="s">
        <v>0</v>
      </c>
      <c r="C171">
        <v>22</v>
      </c>
      <c r="D171">
        <v>17</v>
      </c>
      <c r="E171">
        <v>0</v>
      </c>
      <c r="F171">
        <v>20260207</v>
      </c>
      <c r="G171">
        <v>20260317</v>
      </c>
      <c r="H171">
        <v>84.431799999999996</v>
      </c>
      <c r="I171">
        <f t="shared" si="23"/>
        <v>39</v>
      </c>
      <c r="J171">
        <f t="shared" si="24"/>
        <v>2.1649179487179486</v>
      </c>
      <c r="K171">
        <f t="shared" si="25"/>
        <v>64.600921001191281</v>
      </c>
      <c r="L171">
        <f t="shared" si="26"/>
        <v>36.803605128205128</v>
      </c>
      <c r="M171">
        <f t="shared" si="27"/>
        <v>0</v>
      </c>
      <c r="N171">
        <f t="shared" si="28"/>
        <v>101.4045261293964</v>
      </c>
      <c r="O171">
        <f t="shared" si="29"/>
        <v>53.788250386658042</v>
      </c>
      <c r="P171">
        <f t="shared" si="30"/>
        <v>30.643549613341957</v>
      </c>
      <c r="Q171">
        <f t="shared" si="31"/>
        <v>0</v>
      </c>
      <c r="R171">
        <f t="shared" si="32"/>
        <v>84.431799999999996</v>
      </c>
    </row>
    <row r="172" spans="1:18" x14ac:dyDescent="0.3">
      <c r="A172" t="s">
        <v>0</v>
      </c>
      <c r="B172" t="s">
        <v>0</v>
      </c>
      <c r="C172">
        <v>24</v>
      </c>
      <c r="D172">
        <v>25</v>
      </c>
      <c r="E172">
        <v>0</v>
      </c>
      <c r="F172">
        <v>20260205</v>
      </c>
      <c r="G172">
        <v>20260325</v>
      </c>
      <c r="H172">
        <v>42.193199999999997</v>
      </c>
      <c r="I172">
        <f t="shared" si="23"/>
        <v>49</v>
      </c>
      <c r="J172">
        <f t="shared" si="24"/>
        <v>0.86108571428571423</v>
      </c>
      <c r="K172">
        <f t="shared" si="25"/>
        <v>28.030588362323712</v>
      </c>
      <c r="L172">
        <f t="shared" si="26"/>
        <v>21.527142857142856</v>
      </c>
      <c r="M172">
        <f t="shared" si="27"/>
        <v>0</v>
      </c>
      <c r="N172">
        <f t="shared" si="28"/>
        <v>49.557731219466568</v>
      </c>
      <c r="O172">
        <f t="shared" si="29"/>
        <v>23.865100192977057</v>
      </c>
      <c r="P172">
        <f t="shared" si="30"/>
        <v>18.328099807022941</v>
      </c>
      <c r="Q172">
        <f t="shared" si="31"/>
        <v>0</v>
      </c>
      <c r="R172">
        <f t="shared" si="32"/>
        <v>42.193199999999997</v>
      </c>
    </row>
    <row r="173" spans="1:18" x14ac:dyDescent="0.3">
      <c r="A173" t="s">
        <v>0</v>
      </c>
      <c r="B173" t="s">
        <v>0</v>
      </c>
      <c r="C173">
        <v>26</v>
      </c>
      <c r="D173">
        <v>31</v>
      </c>
      <c r="E173">
        <v>1</v>
      </c>
      <c r="F173">
        <v>20260203</v>
      </c>
      <c r="G173">
        <v>20260401</v>
      </c>
      <c r="H173">
        <v>1064328.5390999999</v>
      </c>
      <c r="I173">
        <f t="shared" si="23"/>
        <v>58</v>
      </c>
      <c r="J173">
        <f t="shared" si="24"/>
        <v>18350.492053448274</v>
      </c>
      <c r="K173">
        <f t="shared" si="25"/>
        <v>647136.13348960597</v>
      </c>
      <c r="L173">
        <f t="shared" si="26"/>
        <v>568865.25365689653</v>
      </c>
      <c r="M173">
        <f t="shared" si="27"/>
        <v>11388.635672544573</v>
      </c>
      <c r="N173">
        <f t="shared" si="28"/>
        <v>1227390.0228190471</v>
      </c>
      <c r="O173">
        <f t="shared" si="29"/>
        <v>561162.66447552736</v>
      </c>
      <c r="P173">
        <f t="shared" si="30"/>
        <v>493290.24443166581</v>
      </c>
      <c r="Q173">
        <f t="shared" si="31"/>
        <v>9875.6301928067205</v>
      </c>
      <c r="R173">
        <f t="shared" si="32"/>
        <v>1064328.5390999999</v>
      </c>
    </row>
    <row r="174" spans="1:18" x14ac:dyDescent="0.3">
      <c r="A174" t="s">
        <v>0</v>
      </c>
      <c r="B174" t="s">
        <v>0</v>
      </c>
      <c r="C174">
        <v>22</v>
      </c>
      <c r="D174">
        <v>31</v>
      </c>
      <c r="E174">
        <v>6</v>
      </c>
      <c r="F174">
        <v>20260207</v>
      </c>
      <c r="G174">
        <v>20260406</v>
      </c>
      <c r="H174">
        <v>130467.41409999999</v>
      </c>
      <c r="I174">
        <f t="shared" si="23"/>
        <v>59</v>
      </c>
      <c r="J174">
        <f t="shared" si="24"/>
        <v>2211.3121033898306</v>
      </c>
      <c r="K174">
        <f t="shared" si="25"/>
        <v>65985.317635091502</v>
      </c>
      <c r="L174">
        <f t="shared" si="26"/>
        <v>68550.675205084743</v>
      </c>
      <c r="M174">
        <f t="shared" si="27"/>
        <v>8234.2733362496365</v>
      </c>
      <c r="N174">
        <f t="shared" si="28"/>
        <v>142770.26617642588</v>
      </c>
      <c r="O174">
        <f t="shared" si="29"/>
        <v>60299.20648728899</v>
      </c>
      <c r="P174">
        <f t="shared" si="30"/>
        <v>62643.501117834006</v>
      </c>
      <c r="Q174">
        <f t="shared" si="31"/>
        <v>7524.7064948769994</v>
      </c>
      <c r="R174">
        <f t="shared" si="32"/>
        <v>130467.41409999999</v>
      </c>
    </row>
    <row r="175" spans="1:18" x14ac:dyDescent="0.3">
      <c r="A175" t="s">
        <v>0</v>
      </c>
      <c r="B175" t="s">
        <v>0</v>
      </c>
      <c r="C175">
        <v>21</v>
      </c>
      <c r="D175">
        <v>31</v>
      </c>
      <c r="E175">
        <v>3</v>
      </c>
      <c r="F175">
        <v>20260208</v>
      </c>
      <c r="G175">
        <v>20260403</v>
      </c>
      <c r="H175">
        <v>12830.6304</v>
      </c>
      <c r="I175">
        <f t="shared" si="23"/>
        <v>55</v>
      </c>
      <c r="J175">
        <f t="shared" si="24"/>
        <v>233.28418909090908</v>
      </c>
      <c r="K175">
        <f t="shared" si="25"/>
        <v>6644.7582934427101</v>
      </c>
      <c r="L175">
        <f t="shared" si="26"/>
        <v>7231.8098618181812</v>
      </c>
      <c r="M175">
        <f t="shared" si="27"/>
        <v>434.34071903627</v>
      </c>
      <c r="N175">
        <f t="shared" si="28"/>
        <v>14310.908874297162</v>
      </c>
      <c r="O175">
        <f t="shared" si="29"/>
        <v>5957.4439687489994</v>
      </c>
      <c r="P175">
        <f t="shared" si="30"/>
        <v>6483.7726433095741</v>
      </c>
      <c r="Q175">
        <f t="shared" si="31"/>
        <v>389.41378794142588</v>
      </c>
      <c r="R175">
        <f t="shared" si="32"/>
        <v>12830.6304</v>
      </c>
    </row>
    <row r="176" spans="1:18" x14ac:dyDescent="0.3">
      <c r="A176" t="s">
        <v>0</v>
      </c>
      <c r="B176" t="s">
        <v>0</v>
      </c>
      <c r="C176">
        <v>19</v>
      </c>
      <c r="D176">
        <v>31</v>
      </c>
      <c r="E176">
        <v>1</v>
      </c>
      <c r="F176">
        <v>20260210</v>
      </c>
      <c r="G176">
        <v>20260401</v>
      </c>
      <c r="H176">
        <v>24103.0255</v>
      </c>
      <c r="I176">
        <f t="shared" si="23"/>
        <v>51</v>
      </c>
      <c r="J176">
        <f t="shared" si="24"/>
        <v>472.60834313725491</v>
      </c>
      <c r="K176">
        <f t="shared" si="25"/>
        <v>12179.50317269498</v>
      </c>
      <c r="L176">
        <f t="shared" si="26"/>
        <v>14650.858637254902</v>
      </c>
      <c r="M176">
        <f t="shared" si="27"/>
        <v>293.30898703523962</v>
      </c>
      <c r="N176">
        <f t="shared" si="28"/>
        <v>27123.67079698512</v>
      </c>
      <c r="O176">
        <f t="shared" si="29"/>
        <v>10823.124854524795</v>
      </c>
      <c r="P176">
        <f t="shared" si="30"/>
        <v>13019.25620517049</v>
      </c>
      <c r="Q176">
        <f t="shared" si="31"/>
        <v>260.64444030471577</v>
      </c>
      <c r="R176">
        <f t="shared" si="32"/>
        <v>24103.0255</v>
      </c>
    </row>
    <row r="177" spans="1:18" x14ac:dyDescent="0.3">
      <c r="A177" t="s">
        <v>0</v>
      </c>
      <c r="B177" t="s">
        <v>0</v>
      </c>
      <c r="C177">
        <v>20</v>
      </c>
      <c r="D177">
        <v>31</v>
      </c>
      <c r="E177">
        <v>8</v>
      </c>
      <c r="F177">
        <v>20260209</v>
      </c>
      <c r="G177">
        <v>20260408</v>
      </c>
      <c r="H177">
        <v>27977.3505</v>
      </c>
      <c r="I177">
        <f t="shared" si="23"/>
        <v>59</v>
      </c>
      <c r="J177">
        <f t="shared" si="24"/>
        <v>474.19238135593218</v>
      </c>
      <c r="K177">
        <f t="shared" si="25"/>
        <v>12863.500138856694</v>
      </c>
      <c r="L177">
        <f t="shared" si="26"/>
        <v>14699.963822033898</v>
      </c>
      <c r="M177">
        <f t="shared" si="27"/>
        <v>2354.3365504225721</v>
      </c>
      <c r="N177">
        <f t="shared" si="28"/>
        <v>29917.800511313166</v>
      </c>
      <c r="O177">
        <f t="shared" si="29"/>
        <v>12029.18148697142</v>
      </c>
      <c r="P177">
        <f t="shared" si="30"/>
        <v>13746.533273087545</v>
      </c>
      <c r="Q177">
        <f t="shared" si="31"/>
        <v>2201.6357399410349</v>
      </c>
      <c r="R177">
        <f t="shared" si="32"/>
        <v>27977.3505</v>
      </c>
    </row>
    <row r="178" spans="1:18" x14ac:dyDescent="0.3">
      <c r="A178" t="s">
        <v>0</v>
      </c>
      <c r="B178" t="s">
        <v>0</v>
      </c>
      <c r="C178">
        <v>25</v>
      </c>
      <c r="D178">
        <v>31</v>
      </c>
      <c r="E178">
        <v>7</v>
      </c>
      <c r="F178">
        <v>20260204</v>
      </c>
      <c r="G178">
        <v>20260407</v>
      </c>
      <c r="H178">
        <v>27211.410800000001</v>
      </c>
      <c r="I178">
        <f t="shared" si="23"/>
        <v>63</v>
      </c>
      <c r="J178">
        <f t="shared" si="24"/>
        <v>431.9271555555556</v>
      </c>
      <c r="K178">
        <f t="shared" si="25"/>
        <v>14646.20490521552</v>
      </c>
      <c r="L178">
        <f t="shared" si="26"/>
        <v>13389.741822222224</v>
      </c>
      <c r="M178">
        <f t="shared" si="27"/>
        <v>1876.4307235802169</v>
      </c>
      <c r="N178">
        <f t="shared" si="28"/>
        <v>29912.377451017961</v>
      </c>
      <c r="O178">
        <f t="shared" si="29"/>
        <v>13323.711864408542</v>
      </c>
      <c r="P178">
        <f t="shared" si="30"/>
        <v>12180.702313852022</v>
      </c>
      <c r="Q178">
        <f t="shared" si="31"/>
        <v>1706.9966217394356</v>
      </c>
      <c r="R178">
        <f t="shared" si="32"/>
        <v>27211.410800000001</v>
      </c>
    </row>
    <row r="179" spans="1:18" x14ac:dyDescent="0.3">
      <c r="A179" t="s">
        <v>0</v>
      </c>
      <c r="B179" t="s">
        <v>0</v>
      </c>
      <c r="C179">
        <v>23</v>
      </c>
      <c r="D179">
        <v>31</v>
      </c>
      <c r="E179">
        <v>9</v>
      </c>
      <c r="F179">
        <v>20260206</v>
      </c>
      <c r="G179">
        <v>20260409</v>
      </c>
      <c r="H179">
        <v>801.59519999999998</v>
      </c>
      <c r="I179">
        <f t="shared" si="23"/>
        <v>63</v>
      </c>
      <c r="J179">
        <f t="shared" si="24"/>
        <v>12.723733333333334</v>
      </c>
      <c r="K179">
        <f t="shared" si="25"/>
        <v>396.93279505442757</v>
      </c>
      <c r="L179">
        <f t="shared" si="26"/>
        <v>394.43573333333336</v>
      </c>
      <c r="M179">
        <f t="shared" si="27"/>
        <v>71.06913897202196</v>
      </c>
      <c r="N179">
        <f t="shared" si="28"/>
        <v>862.43766735978295</v>
      </c>
      <c r="O179">
        <f t="shared" si="29"/>
        <v>368.93034161212955</v>
      </c>
      <c r="P179">
        <f t="shared" si="30"/>
        <v>366.60944032791207</v>
      </c>
      <c r="Q179">
        <f t="shared" si="31"/>
        <v>66.055418059958328</v>
      </c>
      <c r="R179">
        <f t="shared" si="32"/>
        <v>801.59519999999998</v>
      </c>
    </row>
    <row r="180" spans="1:18" x14ac:dyDescent="0.3">
      <c r="A180" t="s">
        <v>0</v>
      </c>
      <c r="B180" t="s">
        <v>0</v>
      </c>
      <c r="C180">
        <v>5</v>
      </c>
      <c r="D180">
        <v>31</v>
      </c>
      <c r="E180">
        <v>6</v>
      </c>
      <c r="F180">
        <v>20260224</v>
      </c>
      <c r="G180">
        <v>20260406</v>
      </c>
      <c r="H180">
        <v>337.71140000000003</v>
      </c>
      <c r="I180">
        <f t="shared" si="23"/>
        <v>42</v>
      </c>
      <c r="J180">
        <f t="shared" si="24"/>
        <v>8.0407476190476199</v>
      </c>
      <c r="K180">
        <f t="shared" si="25"/>
        <v>54.530693754700884</v>
      </c>
      <c r="L180">
        <f t="shared" si="26"/>
        <v>249.26317619047623</v>
      </c>
      <c r="M180">
        <f t="shared" si="27"/>
        <v>29.941369932150419</v>
      </c>
      <c r="N180">
        <f t="shared" si="28"/>
        <v>333.7352398773275</v>
      </c>
      <c r="O180">
        <f t="shared" si="29"/>
        <v>55.180378726682889</v>
      </c>
      <c r="P180">
        <f t="shared" si="30"/>
        <v>252.23292640799468</v>
      </c>
      <c r="Q180">
        <f t="shared" si="31"/>
        <v>30.298094865322483</v>
      </c>
      <c r="R180">
        <f t="shared" si="32"/>
        <v>337.71140000000003</v>
      </c>
    </row>
    <row r="181" spans="1:18" x14ac:dyDescent="0.3">
      <c r="A181" t="s">
        <v>0</v>
      </c>
      <c r="B181" t="s">
        <v>0</v>
      </c>
      <c r="C181">
        <v>0</v>
      </c>
      <c r="D181">
        <v>29</v>
      </c>
      <c r="E181">
        <v>2</v>
      </c>
      <c r="F181">
        <v>20260303</v>
      </c>
      <c r="G181">
        <v>20260402</v>
      </c>
      <c r="H181">
        <v>210.9708</v>
      </c>
      <c r="I181">
        <f t="shared" si="23"/>
        <v>31</v>
      </c>
      <c r="J181">
        <f t="shared" si="24"/>
        <v>6.8055096774193551</v>
      </c>
      <c r="K181">
        <f t="shared" si="25"/>
        <v>0</v>
      </c>
      <c r="L181">
        <f t="shared" si="26"/>
        <v>197.35978064516129</v>
      </c>
      <c r="M181">
        <f t="shared" si="27"/>
        <v>8.4472361892378984</v>
      </c>
      <c r="N181">
        <f t="shared" si="28"/>
        <v>205.80701683439918</v>
      </c>
      <c r="O181">
        <f t="shared" si="29"/>
        <v>0</v>
      </c>
      <c r="P181">
        <f t="shared" si="30"/>
        <v>202.31161916134843</v>
      </c>
      <c r="Q181">
        <f t="shared" si="31"/>
        <v>8.6591808386515723</v>
      </c>
      <c r="R181">
        <f t="shared" si="32"/>
        <v>210.9708</v>
      </c>
    </row>
    <row r="182" spans="1:18" x14ac:dyDescent="0.3">
      <c r="A182" t="s">
        <v>0</v>
      </c>
      <c r="B182" t="s">
        <v>0</v>
      </c>
      <c r="C182">
        <v>0</v>
      </c>
      <c r="D182">
        <v>29</v>
      </c>
      <c r="E182">
        <v>8</v>
      </c>
      <c r="F182">
        <v>20260303</v>
      </c>
      <c r="G182">
        <v>20260408</v>
      </c>
      <c r="H182">
        <v>126.5232</v>
      </c>
      <c r="I182">
        <f t="shared" si="23"/>
        <v>37</v>
      </c>
      <c r="J182">
        <f t="shared" si="24"/>
        <v>3.4195459459459459</v>
      </c>
      <c r="K182">
        <f t="shared" si="25"/>
        <v>0</v>
      </c>
      <c r="L182">
        <f t="shared" si="26"/>
        <v>99.166832432432429</v>
      </c>
      <c r="M182">
        <f t="shared" si="27"/>
        <v>16.977839212365815</v>
      </c>
      <c r="N182">
        <f t="shared" si="28"/>
        <v>116.14467164479825</v>
      </c>
      <c r="O182">
        <f t="shared" si="29"/>
        <v>0</v>
      </c>
      <c r="P182">
        <f t="shared" si="30"/>
        <v>108.02824439150301</v>
      </c>
      <c r="Q182">
        <f t="shared" si="31"/>
        <v>18.494955608496987</v>
      </c>
      <c r="R182">
        <f t="shared" si="32"/>
        <v>126.5232</v>
      </c>
    </row>
    <row r="183" spans="1:18" x14ac:dyDescent="0.3">
      <c r="A183" t="s">
        <v>0</v>
      </c>
      <c r="B183" t="s">
        <v>0</v>
      </c>
      <c r="C183">
        <v>3</v>
      </c>
      <c r="D183">
        <v>31</v>
      </c>
      <c r="E183">
        <v>4</v>
      </c>
      <c r="F183">
        <v>20260226</v>
      </c>
      <c r="G183">
        <v>20260404</v>
      </c>
      <c r="H183">
        <v>84.4358</v>
      </c>
      <c r="I183">
        <f t="shared" si="23"/>
        <v>38</v>
      </c>
      <c r="J183">
        <f t="shared" si="24"/>
        <v>2.2219947368421051</v>
      </c>
      <c r="K183">
        <f t="shared" si="25"/>
        <v>9.0414663108388069</v>
      </c>
      <c r="L183">
        <f t="shared" si="26"/>
        <v>68.881836842105258</v>
      </c>
      <c r="M183">
        <f t="shared" si="27"/>
        <v>5.51603487263462</v>
      </c>
      <c r="N183">
        <f t="shared" si="28"/>
        <v>83.439338025578692</v>
      </c>
      <c r="O183">
        <f t="shared" si="29"/>
        <v>9.149442687269314</v>
      </c>
      <c r="P183">
        <f t="shared" si="30"/>
        <v>69.704448008080817</v>
      </c>
      <c r="Q183">
        <f t="shared" si="31"/>
        <v>5.581909304649856</v>
      </c>
      <c r="R183">
        <f t="shared" si="32"/>
        <v>84.435799999999986</v>
      </c>
    </row>
    <row r="184" spans="1:18" x14ac:dyDescent="0.3">
      <c r="A184" t="s">
        <v>0</v>
      </c>
      <c r="B184" t="s">
        <v>0</v>
      </c>
      <c r="C184">
        <v>0</v>
      </c>
      <c r="D184">
        <v>26</v>
      </c>
      <c r="E184">
        <v>4</v>
      </c>
      <c r="F184">
        <v>20260306</v>
      </c>
      <c r="G184">
        <v>20260404</v>
      </c>
      <c r="H184">
        <v>168.61060000000001</v>
      </c>
      <c r="I184">
        <f t="shared" si="23"/>
        <v>30</v>
      </c>
      <c r="J184">
        <f t="shared" si="24"/>
        <v>5.6203533333333331</v>
      </c>
      <c r="K184">
        <f t="shared" si="25"/>
        <v>0</v>
      </c>
      <c r="L184">
        <f t="shared" si="26"/>
        <v>146.12918666666667</v>
      </c>
      <c r="M184">
        <f t="shared" si="27"/>
        <v>13.952357523247318</v>
      </c>
      <c r="N184">
        <f t="shared" si="28"/>
        <v>160.08154418991398</v>
      </c>
      <c r="O184">
        <f t="shared" si="29"/>
        <v>0</v>
      </c>
      <c r="P184">
        <f t="shared" si="30"/>
        <v>153.91486861313683</v>
      </c>
      <c r="Q184">
        <f t="shared" si="31"/>
        <v>14.695731386863184</v>
      </c>
      <c r="R184">
        <f t="shared" si="32"/>
        <v>168.61060000000001</v>
      </c>
    </row>
    <row r="185" spans="1:18" x14ac:dyDescent="0.3">
      <c r="A185" t="s">
        <v>0</v>
      </c>
      <c r="B185" t="s">
        <v>0</v>
      </c>
      <c r="C185">
        <v>18</v>
      </c>
      <c r="D185">
        <v>31</v>
      </c>
      <c r="E185">
        <v>1</v>
      </c>
      <c r="F185">
        <v>20260211</v>
      </c>
      <c r="G185">
        <v>20260401</v>
      </c>
      <c r="H185">
        <v>1688.5967000000001</v>
      </c>
      <c r="I185">
        <f t="shared" si="23"/>
        <v>50</v>
      </c>
      <c r="J185">
        <f t="shared" si="24"/>
        <v>33.771934000000002</v>
      </c>
      <c r="K185">
        <f t="shared" si="25"/>
        <v>824.52347465097444</v>
      </c>
      <c r="L185">
        <f t="shared" si="26"/>
        <v>1046.929954</v>
      </c>
      <c r="M185">
        <f t="shared" si="27"/>
        <v>20.959451722764403</v>
      </c>
      <c r="N185">
        <f t="shared" si="28"/>
        <v>1892.4128803737387</v>
      </c>
      <c r="O185">
        <f t="shared" si="29"/>
        <v>735.72085288977837</v>
      </c>
      <c r="P185">
        <f t="shared" si="30"/>
        <v>934.17376503293235</v>
      </c>
      <c r="Q185">
        <f t="shared" si="31"/>
        <v>18.702082077289386</v>
      </c>
      <c r="R185">
        <f t="shared" si="32"/>
        <v>1688.5967000000001</v>
      </c>
    </row>
    <row r="186" spans="1:18" x14ac:dyDescent="0.3">
      <c r="A186" t="s">
        <v>0</v>
      </c>
      <c r="B186" t="s">
        <v>0</v>
      </c>
      <c r="C186">
        <v>28</v>
      </c>
      <c r="D186">
        <v>31</v>
      </c>
      <c r="E186">
        <v>3</v>
      </c>
      <c r="F186">
        <v>20260131</v>
      </c>
      <c r="G186">
        <v>20260403</v>
      </c>
      <c r="H186">
        <v>464.13580000000002</v>
      </c>
      <c r="I186">
        <f t="shared" si="23"/>
        <v>62</v>
      </c>
      <c r="J186">
        <f t="shared" si="24"/>
        <v>7.4860612903225805</v>
      </c>
      <c r="K186">
        <f t="shared" si="25"/>
        <v>284.30598197524029</v>
      </c>
      <c r="L186">
        <f t="shared" si="26"/>
        <v>232.06790000000001</v>
      </c>
      <c r="M186">
        <f t="shared" si="27"/>
        <v>13.937940913437606</v>
      </c>
      <c r="N186">
        <f t="shared" si="28"/>
        <v>530.31182288867785</v>
      </c>
      <c r="O186">
        <f t="shared" si="29"/>
        <v>248.82829062735007</v>
      </c>
      <c r="P186">
        <f t="shared" si="30"/>
        <v>203.10884232997859</v>
      </c>
      <c r="Q186">
        <f t="shared" si="31"/>
        <v>12.198667042671376</v>
      </c>
      <c r="R186">
        <f t="shared" si="32"/>
        <v>464.13580000000007</v>
      </c>
    </row>
    <row r="187" spans="1:18" x14ac:dyDescent="0.3">
      <c r="A187" t="s">
        <v>0</v>
      </c>
      <c r="B187" t="s">
        <v>0</v>
      </c>
      <c r="C187">
        <v>28</v>
      </c>
      <c r="D187">
        <v>31</v>
      </c>
      <c r="E187">
        <v>4</v>
      </c>
      <c r="F187">
        <v>20260129</v>
      </c>
      <c r="G187">
        <v>20260404</v>
      </c>
      <c r="H187">
        <v>253.11160000000001</v>
      </c>
      <c r="I187">
        <f t="shared" si="23"/>
        <v>63</v>
      </c>
      <c r="J187">
        <f t="shared" si="24"/>
        <v>4.0176444444444446</v>
      </c>
      <c r="K187">
        <f t="shared" si="25"/>
        <v>152.58228655992295</v>
      </c>
      <c r="L187">
        <f t="shared" si="26"/>
        <v>124.54697777777778</v>
      </c>
      <c r="M187">
        <f t="shared" si="27"/>
        <v>9.9736810776150335</v>
      </c>
      <c r="N187">
        <f t="shared" si="28"/>
        <v>287.10294541531579</v>
      </c>
      <c r="O187">
        <f t="shared" si="29"/>
        <v>134.51741718279271</v>
      </c>
      <c r="P187">
        <f t="shared" si="30"/>
        <v>109.801328491756</v>
      </c>
      <c r="Q187">
        <f t="shared" si="31"/>
        <v>8.792854325451291</v>
      </c>
      <c r="R187">
        <f t="shared" si="32"/>
        <v>253.11160000000001</v>
      </c>
    </row>
    <row r="188" spans="1:18" x14ac:dyDescent="0.3">
      <c r="A188" t="s">
        <v>0</v>
      </c>
      <c r="B188" t="s">
        <v>0</v>
      </c>
      <c r="C188">
        <v>28</v>
      </c>
      <c r="D188">
        <v>31</v>
      </c>
      <c r="E188">
        <v>6</v>
      </c>
      <c r="F188">
        <v>20260129</v>
      </c>
      <c r="G188">
        <v>20260406</v>
      </c>
      <c r="H188">
        <v>717.08240000000001</v>
      </c>
      <c r="I188">
        <f t="shared" si="23"/>
        <v>65</v>
      </c>
      <c r="J188">
        <f t="shared" si="24"/>
        <v>11.032036923076923</v>
      </c>
      <c r="K188">
        <f t="shared" si="25"/>
        <v>418.97520858626837</v>
      </c>
      <c r="L188">
        <f t="shared" si="26"/>
        <v>341.99314461538461</v>
      </c>
      <c r="M188">
        <f t="shared" si="27"/>
        <v>41.080048058778949</v>
      </c>
      <c r="N188">
        <f t="shared" si="28"/>
        <v>802.04840126043189</v>
      </c>
      <c r="O188">
        <f t="shared" si="29"/>
        <v>374.59054546009446</v>
      </c>
      <c r="P188">
        <f t="shared" si="30"/>
        <v>305.76367278951341</v>
      </c>
      <c r="Q188">
        <f t="shared" si="31"/>
        <v>36.728181750392096</v>
      </c>
      <c r="R188">
        <f t="shared" si="32"/>
        <v>717.08239999999989</v>
      </c>
    </row>
    <row r="189" spans="1:18" x14ac:dyDescent="0.3">
      <c r="A189" t="s">
        <v>0</v>
      </c>
      <c r="B189" t="s">
        <v>0</v>
      </c>
      <c r="C189">
        <v>28</v>
      </c>
      <c r="D189">
        <v>31</v>
      </c>
      <c r="E189">
        <v>4</v>
      </c>
      <c r="F189">
        <v>20260130</v>
      </c>
      <c r="G189">
        <v>20260404</v>
      </c>
      <c r="H189">
        <v>3037.6239999999998</v>
      </c>
      <c r="I189">
        <f t="shared" si="23"/>
        <v>63</v>
      </c>
      <c r="J189">
        <f t="shared" si="24"/>
        <v>48.216253968253966</v>
      </c>
      <c r="K189">
        <f t="shared" si="25"/>
        <v>1831.1591236012073</v>
      </c>
      <c r="L189">
        <f t="shared" si="26"/>
        <v>1494.7038730158729</v>
      </c>
      <c r="M189">
        <f t="shared" si="27"/>
        <v>119.6953952711345</v>
      </c>
      <c r="N189">
        <f t="shared" si="28"/>
        <v>3445.5583918882148</v>
      </c>
      <c r="O189">
        <f t="shared" si="29"/>
        <v>1614.3603645682911</v>
      </c>
      <c r="P189">
        <f t="shared" si="30"/>
        <v>1317.7394898473315</v>
      </c>
      <c r="Q189">
        <f t="shared" si="31"/>
        <v>105.52414558437722</v>
      </c>
      <c r="R189">
        <f t="shared" si="32"/>
        <v>3037.6239999999998</v>
      </c>
    </row>
    <row r="190" spans="1:18" x14ac:dyDescent="0.3">
      <c r="A190" t="s">
        <v>0</v>
      </c>
      <c r="B190" t="s">
        <v>0</v>
      </c>
      <c r="C190">
        <v>28</v>
      </c>
      <c r="D190">
        <v>31</v>
      </c>
      <c r="E190">
        <v>4</v>
      </c>
      <c r="F190">
        <v>20260127</v>
      </c>
      <c r="G190">
        <v>20260404</v>
      </c>
      <c r="H190">
        <v>590.46929999999998</v>
      </c>
      <c r="I190">
        <f t="shared" si="23"/>
        <v>63</v>
      </c>
      <c r="J190">
        <f t="shared" si="24"/>
        <v>9.3725285714285711</v>
      </c>
      <c r="K190">
        <f t="shared" si="25"/>
        <v>355.95032364157589</v>
      </c>
      <c r="L190">
        <f t="shared" si="26"/>
        <v>290.5483857142857</v>
      </c>
      <c r="M190">
        <f t="shared" si="27"/>
        <v>23.267019308173129</v>
      </c>
      <c r="N190">
        <f t="shared" si="28"/>
        <v>669.76572866403467</v>
      </c>
      <c r="O190">
        <f t="shared" si="29"/>
        <v>313.80784271337853</v>
      </c>
      <c r="P190">
        <f t="shared" si="30"/>
        <v>256.14911988860734</v>
      </c>
      <c r="Q190">
        <f t="shared" si="31"/>
        <v>20.512337398014143</v>
      </c>
      <c r="R190">
        <f t="shared" si="32"/>
        <v>590.46929999999998</v>
      </c>
    </row>
    <row r="191" spans="1:18" x14ac:dyDescent="0.3">
      <c r="A191" t="s">
        <v>0</v>
      </c>
      <c r="B191" t="s">
        <v>0</v>
      </c>
      <c r="C191">
        <v>16</v>
      </c>
      <c r="D191">
        <v>31</v>
      </c>
      <c r="E191">
        <v>5</v>
      </c>
      <c r="F191">
        <v>20260213</v>
      </c>
      <c r="G191">
        <v>20260405</v>
      </c>
      <c r="H191">
        <v>168.8083</v>
      </c>
      <c r="I191">
        <f t="shared" si="23"/>
        <v>52</v>
      </c>
      <c r="J191">
        <f t="shared" si="24"/>
        <v>3.2463134615384615</v>
      </c>
      <c r="K191">
        <f t="shared" si="25"/>
        <v>70.450653034727324</v>
      </c>
      <c r="L191">
        <f t="shared" si="26"/>
        <v>100.6357173076923</v>
      </c>
      <c r="M191">
        <f t="shared" si="27"/>
        <v>10.07359398992009</v>
      </c>
      <c r="N191">
        <f t="shared" si="28"/>
        <v>181.15996433233971</v>
      </c>
      <c r="O191">
        <f t="shared" si="29"/>
        <v>65.647258302971238</v>
      </c>
      <c r="P191">
        <f t="shared" si="30"/>
        <v>93.774275241229333</v>
      </c>
      <c r="Q191">
        <f t="shared" si="31"/>
        <v>9.3867664557994299</v>
      </c>
      <c r="R191">
        <f t="shared" si="32"/>
        <v>168.8083</v>
      </c>
    </row>
    <row r="192" spans="1:18" x14ac:dyDescent="0.3">
      <c r="A192" t="s">
        <v>0</v>
      </c>
      <c r="B192" t="s">
        <v>0</v>
      </c>
      <c r="C192">
        <v>17</v>
      </c>
      <c r="D192">
        <v>31</v>
      </c>
      <c r="E192">
        <v>5</v>
      </c>
      <c r="F192">
        <v>20260212</v>
      </c>
      <c r="G192">
        <v>20260405</v>
      </c>
      <c r="H192">
        <v>633.09040000000005</v>
      </c>
      <c r="I192">
        <f t="shared" si="23"/>
        <v>53</v>
      </c>
      <c r="J192">
        <f t="shared" si="24"/>
        <v>11.945101886792454</v>
      </c>
      <c r="K192">
        <f t="shared" si="25"/>
        <v>275.4313480090803</v>
      </c>
      <c r="L192">
        <f t="shared" si="26"/>
        <v>370.2981584905661</v>
      </c>
      <c r="M192">
        <f t="shared" si="27"/>
        <v>37.06669365155819</v>
      </c>
      <c r="N192">
        <f t="shared" si="28"/>
        <v>682.79620015120463</v>
      </c>
      <c r="O192">
        <f t="shared" si="29"/>
        <v>255.38065713457854</v>
      </c>
      <c r="P192">
        <f t="shared" si="30"/>
        <v>343.34140879246411</v>
      </c>
      <c r="Q192">
        <f t="shared" si="31"/>
        <v>34.368334072957325</v>
      </c>
      <c r="R192">
        <f t="shared" si="32"/>
        <v>633.09039999999993</v>
      </c>
    </row>
    <row r="193" spans="1:18" x14ac:dyDescent="0.3">
      <c r="A193" t="s">
        <v>0</v>
      </c>
      <c r="B193" t="s">
        <v>0</v>
      </c>
      <c r="C193">
        <v>23</v>
      </c>
      <c r="D193">
        <v>31</v>
      </c>
      <c r="E193">
        <v>13</v>
      </c>
      <c r="F193">
        <v>20260206</v>
      </c>
      <c r="G193">
        <v>20260413</v>
      </c>
      <c r="H193">
        <v>2193.8395999999998</v>
      </c>
      <c r="I193">
        <f t="shared" si="23"/>
        <v>67</v>
      </c>
      <c r="J193">
        <f t="shared" si="24"/>
        <v>32.743874626865669</v>
      </c>
      <c r="K193">
        <f t="shared" si="25"/>
        <v>1021.4861735984362</v>
      </c>
      <c r="L193">
        <f t="shared" si="26"/>
        <v>1015.0601134328357</v>
      </c>
      <c r="M193">
        <f t="shared" si="27"/>
        <v>264.17846170594009</v>
      </c>
      <c r="N193">
        <f t="shared" si="28"/>
        <v>2300.7247487372119</v>
      </c>
      <c r="O193">
        <f t="shared" si="29"/>
        <v>974.03082212364518</v>
      </c>
      <c r="P193">
        <f t="shared" si="30"/>
        <v>967.90329849396517</v>
      </c>
      <c r="Q193">
        <f t="shared" si="31"/>
        <v>251.90547938238944</v>
      </c>
      <c r="R193">
        <f t="shared" si="32"/>
        <v>2193.8395999999998</v>
      </c>
    </row>
    <row r="194" spans="1:18" x14ac:dyDescent="0.3">
      <c r="A194" t="s">
        <v>0</v>
      </c>
      <c r="B194" t="s">
        <v>0</v>
      </c>
      <c r="C194">
        <v>0</v>
      </c>
      <c r="D194">
        <v>8</v>
      </c>
      <c r="E194">
        <v>6</v>
      </c>
      <c r="F194">
        <v>20260324</v>
      </c>
      <c r="G194">
        <v>20260406</v>
      </c>
      <c r="H194">
        <v>42.1922</v>
      </c>
      <c r="I194">
        <f t="shared" si="23"/>
        <v>14</v>
      </c>
      <c r="J194">
        <f t="shared" si="24"/>
        <v>3.0137285714285715</v>
      </c>
      <c r="K194">
        <f t="shared" si="25"/>
        <v>0</v>
      </c>
      <c r="L194">
        <f t="shared" si="26"/>
        <v>24.109828571428572</v>
      </c>
      <c r="M194">
        <f t="shared" si="27"/>
        <v>11.222235332754032</v>
      </c>
      <c r="N194">
        <f t="shared" si="28"/>
        <v>35.332063904182604</v>
      </c>
      <c r="O194">
        <f t="shared" si="29"/>
        <v>0</v>
      </c>
      <c r="P194">
        <f t="shared" si="30"/>
        <v>28.791035582017248</v>
      </c>
      <c r="Q194">
        <f t="shared" si="31"/>
        <v>13.401164417982752</v>
      </c>
      <c r="R194">
        <f t="shared" si="32"/>
        <v>42.1922</v>
      </c>
    </row>
    <row r="195" spans="1:18" x14ac:dyDescent="0.3">
      <c r="A195" t="s">
        <v>0</v>
      </c>
      <c r="B195" t="s">
        <v>0</v>
      </c>
      <c r="C195">
        <v>0</v>
      </c>
      <c r="D195">
        <v>15</v>
      </c>
      <c r="E195">
        <v>6</v>
      </c>
      <c r="F195">
        <v>20260317</v>
      </c>
      <c r="G195">
        <v>20260406</v>
      </c>
      <c r="H195">
        <v>42.12</v>
      </c>
      <c r="I195">
        <f t="shared" si="23"/>
        <v>21</v>
      </c>
      <c r="J195">
        <f t="shared" si="24"/>
        <v>2.0057142857142858</v>
      </c>
      <c r="K195">
        <f t="shared" si="25"/>
        <v>0</v>
      </c>
      <c r="L195">
        <f t="shared" si="26"/>
        <v>30.085714285714285</v>
      </c>
      <c r="M195">
        <f t="shared" si="27"/>
        <v>7.468687770339856</v>
      </c>
      <c r="N195">
        <f t="shared" si="28"/>
        <v>37.554402056054144</v>
      </c>
      <c r="O195">
        <f t="shared" si="29"/>
        <v>0</v>
      </c>
      <c r="P195">
        <f t="shared" si="30"/>
        <v>33.74332212300525</v>
      </c>
      <c r="Q195">
        <f t="shared" si="31"/>
        <v>8.3766778769947443</v>
      </c>
      <c r="R195">
        <f t="shared" si="32"/>
        <v>42.11999999999999</v>
      </c>
    </row>
    <row r="196" spans="1:18" x14ac:dyDescent="0.3">
      <c r="A196" t="s">
        <v>0</v>
      </c>
      <c r="B196" t="s">
        <v>0</v>
      </c>
      <c r="C196">
        <v>0</v>
      </c>
      <c r="D196">
        <v>18</v>
      </c>
      <c r="E196">
        <v>1</v>
      </c>
      <c r="F196">
        <v>20260314</v>
      </c>
      <c r="G196">
        <v>20260401</v>
      </c>
      <c r="H196">
        <v>336.9683</v>
      </c>
      <c r="I196">
        <f t="shared" si="23"/>
        <v>19</v>
      </c>
      <c r="J196">
        <f t="shared" si="24"/>
        <v>17.735173684210526</v>
      </c>
      <c r="K196">
        <f t="shared" si="25"/>
        <v>0</v>
      </c>
      <c r="L196">
        <f t="shared" si="26"/>
        <v>319.23312631578949</v>
      </c>
      <c r="M196">
        <f t="shared" si="27"/>
        <v>11.006758352336357</v>
      </c>
      <c r="N196">
        <f t="shared" si="28"/>
        <v>330.23988466812585</v>
      </c>
      <c r="O196">
        <f t="shared" si="29"/>
        <v>0</v>
      </c>
      <c r="P196">
        <f t="shared" si="30"/>
        <v>325.73728635600946</v>
      </c>
      <c r="Q196">
        <f t="shared" si="31"/>
        <v>11.231013643990538</v>
      </c>
      <c r="R196">
        <f t="shared" si="32"/>
        <v>336.9683</v>
      </c>
    </row>
    <row r="197" spans="1:18" x14ac:dyDescent="0.3">
      <c r="A197" t="s">
        <v>0</v>
      </c>
      <c r="B197" t="s">
        <v>0</v>
      </c>
      <c r="C197">
        <v>0</v>
      </c>
      <c r="D197">
        <v>23</v>
      </c>
      <c r="E197">
        <v>2</v>
      </c>
      <c r="F197">
        <v>20260309</v>
      </c>
      <c r="G197">
        <v>20260402</v>
      </c>
      <c r="H197">
        <v>168.49600000000001</v>
      </c>
      <c r="I197">
        <f t="shared" si="23"/>
        <v>25</v>
      </c>
      <c r="J197">
        <f t="shared" si="24"/>
        <v>6.7398400000000001</v>
      </c>
      <c r="K197">
        <f t="shared" si="25"/>
        <v>0</v>
      </c>
      <c r="L197">
        <f t="shared" si="26"/>
        <v>155.01632000000001</v>
      </c>
      <c r="M197">
        <f t="shared" si="27"/>
        <v>8.3657246931227824</v>
      </c>
      <c r="N197">
        <f t="shared" si="28"/>
        <v>163.38204469312279</v>
      </c>
      <c r="O197">
        <f t="shared" si="29"/>
        <v>0</v>
      </c>
      <c r="P197">
        <f t="shared" si="30"/>
        <v>159.86842314147788</v>
      </c>
      <c r="Q197">
        <f t="shared" si="31"/>
        <v>8.6275768585221417</v>
      </c>
      <c r="R197">
        <f t="shared" si="32"/>
        <v>168.49600000000001</v>
      </c>
    </row>
    <row r="198" spans="1:18" x14ac:dyDescent="0.3">
      <c r="A198" t="s">
        <v>0</v>
      </c>
      <c r="B198" t="s">
        <v>0</v>
      </c>
      <c r="C198">
        <v>24</v>
      </c>
      <c r="D198">
        <v>31</v>
      </c>
      <c r="E198">
        <v>11</v>
      </c>
      <c r="F198">
        <v>20260205</v>
      </c>
      <c r="G198">
        <v>20260411</v>
      </c>
      <c r="H198">
        <v>674.98009999999999</v>
      </c>
      <c r="I198">
        <f t="shared" si="23"/>
        <v>66</v>
      </c>
      <c r="J198">
        <f t="shared" si="24"/>
        <v>10.226971212121212</v>
      </c>
      <c r="K198">
        <f t="shared" si="25"/>
        <v>332.91461637834811</v>
      </c>
      <c r="L198">
        <f t="shared" si="26"/>
        <v>317.03610757575757</v>
      </c>
      <c r="M198">
        <f t="shared" si="27"/>
        <v>69.817405283810956</v>
      </c>
      <c r="N198">
        <f t="shared" si="28"/>
        <v>719.76812923791658</v>
      </c>
      <c r="O198">
        <f t="shared" si="29"/>
        <v>312.19879281462568</v>
      </c>
      <c r="P198">
        <f t="shared" si="30"/>
        <v>297.30833431270338</v>
      </c>
      <c r="Q198">
        <f t="shared" si="31"/>
        <v>65.472972872670965</v>
      </c>
      <c r="R198">
        <f t="shared" si="32"/>
        <v>674.98010000000011</v>
      </c>
    </row>
    <row r="199" spans="1:18" x14ac:dyDescent="0.3">
      <c r="A199" t="s">
        <v>0</v>
      </c>
      <c r="B199" t="s">
        <v>0</v>
      </c>
      <c r="C199">
        <v>19</v>
      </c>
      <c r="D199">
        <v>31</v>
      </c>
      <c r="E199">
        <v>9</v>
      </c>
      <c r="F199">
        <v>20260210</v>
      </c>
      <c r="G199">
        <v>20260409</v>
      </c>
      <c r="H199">
        <v>168.78460000000001</v>
      </c>
      <c r="I199">
        <f t="shared" si="23"/>
        <v>59</v>
      </c>
      <c r="J199">
        <f t="shared" si="24"/>
        <v>2.8607559322033902</v>
      </c>
      <c r="K199">
        <f t="shared" si="25"/>
        <v>73.724017907272099</v>
      </c>
      <c r="L199">
        <f t="shared" si="26"/>
        <v>88.683433898305097</v>
      </c>
      <c r="M199">
        <f t="shared" si="27"/>
        <v>15.978915589040872</v>
      </c>
      <c r="N199">
        <f t="shared" si="28"/>
        <v>178.38636739461805</v>
      </c>
      <c r="O199">
        <f t="shared" si="29"/>
        <v>69.755772566100148</v>
      </c>
      <c r="P199">
        <f t="shared" si="30"/>
        <v>83.909987830176917</v>
      </c>
      <c r="Q199">
        <f t="shared" si="31"/>
        <v>15.118839603722975</v>
      </c>
      <c r="R199">
        <f t="shared" si="32"/>
        <v>168.78460000000001</v>
      </c>
    </row>
    <row r="200" spans="1:18" x14ac:dyDescent="0.3">
      <c r="A200" t="s">
        <v>0</v>
      </c>
      <c r="B200" t="s">
        <v>0</v>
      </c>
      <c r="C200">
        <v>25</v>
      </c>
      <c r="D200">
        <v>7</v>
      </c>
      <c r="E200">
        <v>0</v>
      </c>
      <c r="F200">
        <v>20260204</v>
      </c>
      <c r="G200">
        <v>20260307</v>
      </c>
      <c r="H200">
        <v>380.12099999999998</v>
      </c>
      <c r="I200">
        <f t="shared" si="23"/>
        <v>32</v>
      </c>
      <c r="J200">
        <f t="shared" si="24"/>
        <v>11.878781249999999</v>
      </c>
      <c r="K200">
        <f t="shared" si="25"/>
        <v>402.79723553837653</v>
      </c>
      <c r="L200">
        <f t="shared" si="26"/>
        <v>83.151468749999992</v>
      </c>
      <c r="M200">
        <f t="shared" si="27"/>
        <v>0</v>
      </c>
      <c r="N200">
        <f t="shared" si="28"/>
        <v>485.94870428837652</v>
      </c>
      <c r="O200">
        <f t="shared" si="29"/>
        <v>315.07788089341659</v>
      </c>
      <c r="P200">
        <f t="shared" si="30"/>
        <v>65.04311910658339</v>
      </c>
      <c r="Q200">
        <f t="shared" si="31"/>
        <v>0</v>
      </c>
      <c r="R200">
        <f t="shared" si="32"/>
        <v>380.12099999999998</v>
      </c>
    </row>
    <row r="201" spans="1:18" x14ac:dyDescent="0.3">
      <c r="A201" t="s">
        <v>0</v>
      </c>
      <c r="B201" t="s">
        <v>0</v>
      </c>
      <c r="C201">
        <v>25</v>
      </c>
      <c r="D201">
        <v>9</v>
      </c>
      <c r="E201">
        <v>0</v>
      </c>
      <c r="F201">
        <v>20260204</v>
      </c>
      <c r="G201">
        <v>20260309</v>
      </c>
      <c r="H201">
        <v>337.94069999999999</v>
      </c>
      <c r="I201">
        <f t="shared" si="23"/>
        <v>34</v>
      </c>
      <c r="J201">
        <f t="shared" si="24"/>
        <v>9.9394323529411768</v>
      </c>
      <c r="K201">
        <f t="shared" si="25"/>
        <v>337.03591221409249</v>
      </c>
      <c r="L201">
        <f t="shared" si="26"/>
        <v>89.454891176470596</v>
      </c>
      <c r="M201">
        <f t="shared" si="27"/>
        <v>0</v>
      </c>
      <c r="N201">
        <f t="shared" si="28"/>
        <v>426.49080339056309</v>
      </c>
      <c r="O201">
        <f t="shared" si="29"/>
        <v>267.05887018732648</v>
      </c>
      <c r="P201">
        <f t="shared" si="30"/>
        <v>70.88182981267353</v>
      </c>
      <c r="Q201">
        <f t="shared" si="31"/>
        <v>0</v>
      </c>
      <c r="R201">
        <f t="shared" si="32"/>
        <v>337.94069999999999</v>
      </c>
    </row>
    <row r="202" spans="1:18" x14ac:dyDescent="0.3">
      <c r="A202" t="s">
        <v>0</v>
      </c>
      <c r="B202" t="s">
        <v>0</v>
      </c>
      <c r="C202">
        <v>24</v>
      </c>
      <c r="D202">
        <v>13</v>
      </c>
      <c r="E202">
        <v>0</v>
      </c>
      <c r="F202">
        <v>20260205</v>
      </c>
      <c r="G202">
        <v>20260313</v>
      </c>
      <c r="H202">
        <v>337.82209999999998</v>
      </c>
      <c r="I202">
        <f t="shared" si="23"/>
        <v>37</v>
      </c>
      <c r="J202">
        <f t="shared" si="24"/>
        <v>9.1303270270270271</v>
      </c>
      <c r="K202">
        <f t="shared" si="25"/>
        <v>297.21598472956964</v>
      </c>
      <c r="L202">
        <f t="shared" si="26"/>
        <v>118.69425135135135</v>
      </c>
      <c r="M202">
        <f t="shared" si="27"/>
        <v>0</v>
      </c>
      <c r="N202">
        <f t="shared" si="28"/>
        <v>415.91023608092098</v>
      </c>
      <c r="O202">
        <f t="shared" si="29"/>
        <v>241.41297665820318</v>
      </c>
      <c r="P202">
        <f t="shared" si="30"/>
        <v>96.409123341796828</v>
      </c>
      <c r="Q202">
        <f t="shared" si="31"/>
        <v>0</v>
      </c>
      <c r="R202">
        <f t="shared" si="32"/>
        <v>337.82209999999998</v>
      </c>
    </row>
    <row r="203" spans="1:18" x14ac:dyDescent="0.3">
      <c r="A203" t="s">
        <v>0</v>
      </c>
      <c r="B203" t="s">
        <v>0</v>
      </c>
      <c r="C203">
        <v>26</v>
      </c>
      <c r="D203">
        <v>21</v>
      </c>
      <c r="E203">
        <v>0</v>
      </c>
      <c r="F203">
        <v>20260203</v>
      </c>
      <c r="G203">
        <v>20260321</v>
      </c>
      <c r="H203">
        <v>717.25040000000001</v>
      </c>
      <c r="I203">
        <f t="shared" ref="I203:I266" si="33">IF(C203&lt;0,0,C203)+D203+E203</f>
        <v>47</v>
      </c>
      <c r="J203">
        <f t="shared" ref="J203:J266" si="34">H203/I203</f>
        <v>15.260646808510639</v>
      </c>
      <c r="K203">
        <f t="shared" ref="K203:K266" si="35">IF(C203&lt;0,0,C203)*$J203*$B$6</f>
        <v>538.17172539274259</v>
      </c>
      <c r="L203">
        <f t="shared" ref="L203:L266" si="36">IF(D203&lt;0,0,D203)*$J203*$C$6</f>
        <v>320.47358297872341</v>
      </c>
      <c r="M203">
        <f t="shared" ref="M203:M266" si="37">IF(E203&lt;0,0,E203)*$J203*$D$6</f>
        <v>0</v>
      </c>
      <c r="N203">
        <f t="shared" ref="N203:N266" si="38">K203+L203+M203</f>
        <v>858.64530837146594</v>
      </c>
      <c r="O203">
        <f t="shared" ref="O203:O266" si="39">K203/$N203*$H203</f>
        <v>449.54986831377681</v>
      </c>
      <c r="P203">
        <f t="shared" ref="P203:P266" si="40">L203/$N203*$H203</f>
        <v>267.70053168622326</v>
      </c>
      <c r="Q203">
        <f t="shared" ref="Q203:Q266" si="41">M203/$N203*$H203</f>
        <v>0</v>
      </c>
      <c r="R203">
        <f t="shared" ref="R203:R266" si="42">O203+P203+Q203</f>
        <v>717.25040000000013</v>
      </c>
    </row>
    <row r="204" spans="1:18" x14ac:dyDescent="0.3">
      <c r="A204" t="s">
        <v>0</v>
      </c>
      <c r="B204" t="s">
        <v>0</v>
      </c>
      <c r="C204">
        <v>26</v>
      </c>
      <c r="D204">
        <v>14</v>
      </c>
      <c r="E204">
        <v>0</v>
      </c>
      <c r="F204">
        <v>20260203</v>
      </c>
      <c r="G204">
        <v>20260314</v>
      </c>
      <c r="H204">
        <v>422.2183</v>
      </c>
      <c r="I204">
        <f t="shared" si="33"/>
        <v>40</v>
      </c>
      <c r="J204">
        <f t="shared" si="34"/>
        <v>10.555457499999999</v>
      </c>
      <c r="K204">
        <f t="shared" si="35"/>
        <v>372.24167798161415</v>
      </c>
      <c r="L204">
        <f t="shared" si="36"/>
        <v>147.77640499999998</v>
      </c>
      <c r="M204">
        <f t="shared" si="37"/>
        <v>0</v>
      </c>
      <c r="N204">
        <f t="shared" si="38"/>
        <v>520.01808298161416</v>
      </c>
      <c r="O204">
        <f t="shared" si="39"/>
        <v>302.23419840594539</v>
      </c>
      <c r="P204">
        <f t="shared" si="40"/>
        <v>119.98410159405456</v>
      </c>
      <c r="Q204">
        <f t="shared" si="41"/>
        <v>0</v>
      </c>
      <c r="R204">
        <f t="shared" si="42"/>
        <v>422.21829999999994</v>
      </c>
    </row>
    <row r="205" spans="1:18" x14ac:dyDescent="0.3">
      <c r="A205" t="s">
        <v>0</v>
      </c>
      <c r="B205" t="s">
        <v>0</v>
      </c>
      <c r="C205">
        <v>26</v>
      </c>
      <c r="D205">
        <v>13</v>
      </c>
      <c r="E205">
        <v>0</v>
      </c>
      <c r="F205">
        <v>20260203</v>
      </c>
      <c r="G205">
        <v>20260313</v>
      </c>
      <c r="H205">
        <v>422.26769999999999</v>
      </c>
      <c r="I205">
        <f t="shared" si="33"/>
        <v>39</v>
      </c>
      <c r="J205">
        <f t="shared" si="34"/>
        <v>10.827376923076923</v>
      </c>
      <c r="K205">
        <f t="shared" si="35"/>
        <v>381.8310058077123</v>
      </c>
      <c r="L205">
        <f t="shared" si="36"/>
        <v>140.7559</v>
      </c>
      <c r="M205">
        <f t="shared" si="37"/>
        <v>0</v>
      </c>
      <c r="N205">
        <f t="shared" si="38"/>
        <v>522.58690580771236</v>
      </c>
      <c r="O205">
        <f t="shared" si="39"/>
        <v>308.53222462951692</v>
      </c>
      <c r="P205">
        <f t="shared" si="40"/>
        <v>113.73547537048302</v>
      </c>
      <c r="Q205">
        <f t="shared" si="41"/>
        <v>0</v>
      </c>
      <c r="R205">
        <f t="shared" si="42"/>
        <v>422.26769999999993</v>
      </c>
    </row>
    <row r="206" spans="1:18" x14ac:dyDescent="0.3">
      <c r="A206" t="s">
        <v>0</v>
      </c>
      <c r="B206" t="s">
        <v>0</v>
      </c>
      <c r="C206">
        <v>27</v>
      </c>
      <c r="D206">
        <v>17</v>
      </c>
      <c r="E206">
        <v>0</v>
      </c>
      <c r="F206">
        <v>20260202</v>
      </c>
      <c r="G206">
        <v>20260317</v>
      </c>
      <c r="H206">
        <v>1814.9866</v>
      </c>
      <c r="I206">
        <f t="shared" si="33"/>
        <v>44</v>
      </c>
      <c r="J206">
        <f t="shared" si="34"/>
        <v>41.249695454545453</v>
      </c>
      <c r="K206">
        <f t="shared" si="35"/>
        <v>1510.6334548893317</v>
      </c>
      <c r="L206">
        <f t="shared" si="36"/>
        <v>701.24482272727266</v>
      </c>
      <c r="M206">
        <f t="shared" si="37"/>
        <v>0</v>
      </c>
      <c r="N206">
        <f t="shared" si="38"/>
        <v>2211.8782776166045</v>
      </c>
      <c r="O206">
        <f t="shared" si="39"/>
        <v>1239.5706878998012</v>
      </c>
      <c r="P206">
        <f t="shared" si="40"/>
        <v>575.41591210019885</v>
      </c>
      <c r="Q206">
        <f t="shared" si="41"/>
        <v>0</v>
      </c>
      <c r="R206">
        <f t="shared" si="42"/>
        <v>1814.9866000000002</v>
      </c>
    </row>
    <row r="207" spans="1:18" x14ac:dyDescent="0.3">
      <c r="A207" t="s">
        <v>0</v>
      </c>
      <c r="B207" t="s">
        <v>0</v>
      </c>
      <c r="C207">
        <v>24</v>
      </c>
      <c r="D207">
        <v>26</v>
      </c>
      <c r="E207">
        <v>0</v>
      </c>
      <c r="F207">
        <v>20260205</v>
      </c>
      <c r="G207">
        <v>20260326</v>
      </c>
      <c r="H207">
        <v>253.16499999999999</v>
      </c>
      <c r="I207">
        <f t="shared" si="33"/>
        <v>50</v>
      </c>
      <c r="J207">
        <f t="shared" si="34"/>
        <v>5.0632999999999999</v>
      </c>
      <c r="K207">
        <f t="shared" si="35"/>
        <v>164.82363567334852</v>
      </c>
      <c r="L207">
        <f t="shared" si="36"/>
        <v>131.64580000000001</v>
      </c>
      <c r="M207">
        <f t="shared" si="37"/>
        <v>0</v>
      </c>
      <c r="N207">
        <f t="shared" si="38"/>
        <v>296.46943567334853</v>
      </c>
      <c r="O207">
        <f t="shared" si="39"/>
        <v>140.7483224382662</v>
      </c>
      <c r="P207">
        <f t="shared" si="40"/>
        <v>112.41667756173379</v>
      </c>
      <c r="Q207">
        <f t="shared" si="41"/>
        <v>0</v>
      </c>
      <c r="R207">
        <f t="shared" si="42"/>
        <v>253.16499999999999</v>
      </c>
    </row>
    <row r="208" spans="1:18" x14ac:dyDescent="0.3">
      <c r="A208" t="s">
        <v>0</v>
      </c>
      <c r="B208" t="s">
        <v>0</v>
      </c>
      <c r="C208">
        <v>27</v>
      </c>
      <c r="D208">
        <v>28</v>
      </c>
      <c r="E208">
        <v>0</v>
      </c>
      <c r="F208">
        <v>20260202</v>
      </c>
      <c r="G208">
        <v>20260328</v>
      </c>
      <c r="H208">
        <v>1730.2038</v>
      </c>
      <c r="I208">
        <f t="shared" si="33"/>
        <v>55</v>
      </c>
      <c r="J208">
        <f t="shared" si="34"/>
        <v>31.458250909090911</v>
      </c>
      <c r="K208">
        <f t="shared" si="35"/>
        <v>1152.0542329322543</v>
      </c>
      <c r="L208">
        <f t="shared" si="36"/>
        <v>880.83102545454551</v>
      </c>
      <c r="M208">
        <f t="shared" si="37"/>
        <v>0</v>
      </c>
      <c r="N208">
        <f t="shared" si="38"/>
        <v>2032.8852583867997</v>
      </c>
      <c r="O208">
        <f t="shared" si="39"/>
        <v>980.52194702186489</v>
      </c>
      <c r="P208">
        <f t="shared" si="40"/>
        <v>749.68185297813534</v>
      </c>
      <c r="Q208">
        <f t="shared" si="41"/>
        <v>0</v>
      </c>
      <c r="R208">
        <f t="shared" si="42"/>
        <v>1730.2038000000002</v>
      </c>
    </row>
    <row r="209" spans="1:18" x14ac:dyDescent="0.3">
      <c r="A209" t="s">
        <v>0</v>
      </c>
      <c r="B209" t="s">
        <v>0</v>
      </c>
      <c r="C209">
        <v>24</v>
      </c>
      <c r="D209">
        <v>30</v>
      </c>
      <c r="E209">
        <v>0</v>
      </c>
      <c r="F209">
        <v>20260205</v>
      </c>
      <c r="G209">
        <v>20260330</v>
      </c>
      <c r="H209">
        <v>1012.7548</v>
      </c>
      <c r="I209">
        <f t="shared" si="33"/>
        <v>54</v>
      </c>
      <c r="J209">
        <f t="shared" si="34"/>
        <v>18.754718518518519</v>
      </c>
      <c r="K209">
        <f t="shared" si="35"/>
        <v>610.51505781851745</v>
      </c>
      <c r="L209">
        <f t="shared" si="36"/>
        <v>562.64155555555556</v>
      </c>
      <c r="M209">
        <f t="shared" si="37"/>
        <v>0</v>
      </c>
      <c r="N209">
        <f t="shared" si="38"/>
        <v>1173.156613374073</v>
      </c>
      <c r="O209">
        <f t="shared" si="39"/>
        <v>527.04135852731986</v>
      </c>
      <c r="P209">
        <f t="shared" si="40"/>
        <v>485.71344147268024</v>
      </c>
      <c r="Q209">
        <f t="shared" si="41"/>
        <v>0</v>
      </c>
      <c r="R209">
        <f t="shared" si="42"/>
        <v>1012.7548000000002</v>
      </c>
    </row>
    <row r="210" spans="1:18" x14ac:dyDescent="0.3">
      <c r="A210" t="s">
        <v>0</v>
      </c>
      <c r="B210" t="s">
        <v>0</v>
      </c>
      <c r="C210">
        <v>19</v>
      </c>
      <c r="D210">
        <v>17</v>
      </c>
      <c r="E210">
        <v>0</v>
      </c>
      <c r="F210">
        <v>20260210</v>
      </c>
      <c r="G210">
        <v>20260317</v>
      </c>
      <c r="H210">
        <v>295.56659999999999</v>
      </c>
      <c r="I210">
        <f t="shared" si="33"/>
        <v>36</v>
      </c>
      <c r="J210">
        <f t="shared" si="34"/>
        <v>8.2101833333333332</v>
      </c>
      <c r="K210">
        <f t="shared" si="35"/>
        <v>211.58313307156317</v>
      </c>
      <c r="L210">
        <f t="shared" si="36"/>
        <v>139.57311666666666</v>
      </c>
      <c r="M210">
        <f t="shared" si="37"/>
        <v>0</v>
      </c>
      <c r="N210">
        <f t="shared" si="38"/>
        <v>351.1562497382298</v>
      </c>
      <c r="O210">
        <f t="shared" si="39"/>
        <v>178.08854977215344</v>
      </c>
      <c r="P210">
        <f t="shared" si="40"/>
        <v>117.47805022784658</v>
      </c>
      <c r="Q210">
        <f t="shared" si="41"/>
        <v>0</v>
      </c>
      <c r="R210">
        <f t="shared" si="42"/>
        <v>295.56659999999999</v>
      </c>
    </row>
    <row r="211" spans="1:18" x14ac:dyDescent="0.3">
      <c r="A211" t="s">
        <v>0</v>
      </c>
      <c r="B211" t="s">
        <v>0</v>
      </c>
      <c r="C211">
        <v>26</v>
      </c>
      <c r="D211">
        <v>30</v>
      </c>
      <c r="E211">
        <v>0</v>
      </c>
      <c r="F211">
        <v>20260203</v>
      </c>
      <c r="G211">
        <v>20260330</v>
      </c>
      <c r="H211">
        <v>801.80179999999996</v>
      </c>
      <c r="I211">
        <f t="shared" si="33"/>
        <v>56</v>
      </c>
      <c r="J211">
        <f t="shared" si="34"/>
        <v>14.317889285714285</v>
      </c>
      <c r="K211">
        <f t="shared" si="35"/>
        <v>504.92507149683104</v>
      </c>
      <c r="L211">
        <f t="shared" si="36"/>
        <v>429.53667857142858</v>
      </c>
      <c r="M211">
        <f t="shared" si="37"/>
        <v>0</v>
      </c>
      <c r="N211">
        <f t="shared" si="38"/>
        <v>934.46175006825956</v>
      </c>
      <c r="O211">
        <f t="shared" si="39"/>
        <v>433.24387666131304</v>
      </c>
      <c r="P211">
        <f t="shared" si="40"/>
        <v>368.55792333868692</v>
      </c>
      <c r="Q211">
        <f t="shared" si="41"/>
        <v>0</v>
      </c>
      <c r="R211">
        <f t="shared" si="42"/>
        <v>801.80179999999996</v>
      </c>
    </row>
    <row r="212" spans="1:18" x14ac:dyDescent="0.3">
      <c r="A212" t="s">
        <v>0</v>
      </c>
      <c r="B212" t="s">
        <v>0</v>
      </c>
      <c r="C212">
        <v>24</v>
      </c>
      <c r="D212">
        <v>18</v>
      </c>
      <c r="E212">
        <v>0</v>
      </c>
      <c r="F212">
        <v>20260205</v>
      </c>
      <c r="G212">
        <v>20260318</v>
      </c>
      <c r="H212">
        <v>1223.8886</v>
      </c>
      <c r="I212">
        <f t="shared" si="33"/>
        <v>42</v>
      </c>
      <c r="J212">
        <f t="shared" si="34"/>
        <v>29.140204761904762</v>
      </c>
      <c r="K212">
        <f t="shared" si="35"/>
        <v>948.58975235971934</v>
      </c>
      <c r="L212">
        <f t="shared" si="36"/>
        <v>524.52368571428576</v>
      </c>
      <c r="M212">
        <f t="shared" si="37"/>
        <v>0</v>
      </c>
      <c r="N212">
        <f t="shared" si="38"/>
        <v>1473.113438074005</v>
      </c>
      <c r="O212">
        <f t="shared" si="39"/>
        <v>788.10508001866447</v>
      </c>
      <c r="P212">
        <f t="shared" si="40"/>
        <v>435.78351998133564</v>
      </c>
      <c r="Q212">
        <f t="shared" si="41"/>
        <v>0</v>
      </c>
      <c r="R212">
        <f t="shared" si="42"/>
        <v>1223.8886000000002</v>
      </c>
    </row>
    <row r="213" spans="1:18" x14ac:dyDescent="0.3">
      <c r="A213" t="s">
        <v>0</v>
      </c>
      <c r="B213" t="s">
        <v>0</v>
      </c>
      <c r="C213">
        <v>22</v>
      </c>
      <c r="D213">
        <v>25</v>
      </c>
      <c r="E213">
        <v>0</v>
      </c>
      <c r="F213">
        <v>20260207</v>
      </c>
      <c r="G213">
        <v>20260325</v>
      </c>
      <c r="H213">
        <v>42.200099999999999</v>
      </c>
      <c r="I213">
        <f t="shared" si="33"/>
        <v>47</v>
      </c>
      <c r="J213">
        <f t="shared" si="34"/>
        <v>0.8978744680851064</v>
      </c>
      <c r="K213">
        <f t="shared" si="35"/>
        <v>26.792478493747044</v>
      </c>
      <c r="L213">
        <f t="shared" si="36"/>
        <v>22.446861702127659</v>
      </c>
      <c r="M213">
        <f t="shared" si="37"/>
        <v>0</v>
      </c>
      <c r="N213">
        <f t="shared" si="38"/>
        <v>49.239340195874703</v>
      </c>
      <c r="O213">
        <f t="shared" si="39"/>
        <v>22.962234408224276</v>
      </c>
      <c r="P213">
        <f t="shared" si="40"/>
        <v>19.237865591775726</v>
      </c>
      <c r="Q213">
        <f t="shared" si="41"/>
        <v>0</v>
      </c>
      <c r="R213">
        <f t="shared" si="42"/>
        <v>42.200100000000006</v>
      </c>
    </row>
    <row r="214" spans="1:18" x14ac:dyDescent="0.3">
      <c r="A214" t="s">
        <v>0</v>
      </c>
      <c r="B214" t="s">
        <v>0</v>
      </c>
      <c r="C214">
        <v>26</v>
      </c>
      <c r="D214">
        <v>18</v>
      </c>
      <c r="E214">
        <v>0</v>
      </c>
      <c r="F214">
        <v>20260203</v>
      </c>
      <c r="G214">
        <v>20260318</v>
      </c>
      <c r="H214">
        <v>633.0607</v>
      </c>
      <c r="I214">
        <f t="shared" si="33"/>
        <v>44</v>
      </c>
      <c r="J214">
        <f t="shared" si="34"/>
        <v>14.387743181818182</v>
      </c>
      <c r="K214">
        <f t="shared" si="35"/>
        <v>507.38849210169514</v>
      </c>
      <c r="L214">
        <f t="shared" si="36"/>
        <v>258.97937727272728</v>
      </c>
      <c r="M214">
        <f t="shared" si="37"/>
        <v>0</v>
      </c>
      <c r="N214">
        <f t="shared" si="38"/>
        <v>766.36786937442241</v>
      </c>
      <c r="O214">
        <f t="shared" si="39"/>
        <v>419.12993331001974</v>
      </c>
      <c r="P214">
        <f t="shared" si="40"/>
        <v>213.93076668998023</v>
      </c>
      <c r="Q214">
        <f t="shared" si="41"/>
        <v>0</v>
      </c>
      <c r="R214">
        <f t="shared" si="42"/>
        <v>633.0607</v>
      </c>
    </row>
    <row r="215" spans="1:18" x14ac:dyDescent="0.3">
      <c r="A215" t="s">
        <v>0</v>
      </c>
      <c r="B215" t="s">
        <v>0</v>
      </c>
      <c r="C215">
        <v>23</v>
      </c>
      <c r="D215">
        <v>28</v>
      </c>
      <c r="E215">
        <v>0</v>
      </c>
      <c r="F215">
        <v>20260206</v>
      </c>
      <c r="G215">
        <v>20260328</v>
      </c>
      <c r="H215">
        <v>970.60209999999995</v>
      </c>
      <c r="I215">
        <f t="shared" si="33"/>
        <v>51</v>
      </c>
      <c r="J215">
        <f t="shared" si="34"/>
        <v>19.031413725490196</v>
      </c>
      <c r="K215">
        <f t="shared" si="35"/>
        <v>593.70878389173151</v>
      </c>
      <c r="L215">
        <f t="shared" si="36"/>
        <v>532.87958431372545</v>
      </c>
      <c r="M215">
        <f t="shared" si="37"/>
        <v>0</v>
      </c>
      <c r="N215">
        <f t="shared" si="38"/>
        <v>1126.5883682054568</v>
      </c>
      <c r="O215">
        <f t="shared" si="39"/>
        <v>511.50447554476136</v>
      </c>
      <c r="P215">
        <f t="shared" si="40"/>
        <v>459.09762445523864</v>
      </c>
      <c r="Q215">
        <f t="shared" si="41"/>
        <v>0</v>
      </c>
      <c r="R215">
        <f t="shared" si="42"/>
        <v>970.60210000000006</v>
      </c>
    </row>
    <row r="216" spans="1:18" x14ac:dyDescent="0.3">
      <c r="A216" t="s">
        <v>0</v>
      </c>
      <c r="B216" t="s">
        <v>0</v>
      </c>
      <c r="C216">
        <v>28</v>
      </c>
      <c r="D216">
        <v>31</v>
      </c>
      <c r="E216">
        <v>0</v>
      </c>
      <c r="F216">
        <v>20250404</v>
      </c>
      <c r="G216">
        <v>20260331</v>
      </c>
      <c r="H216">
        <v>378.60910000000001</v>
      </c>
      <c r="I216">
        <f t="shared" si="33"/>
        <v>59</v>
      </c>
      <c r="J216">
        <f t="shared" si="34"/>
        <v>6.4171033898305083</v>
      </c>
      <c r="K216">
        <f t="shared" si="35"/>
        <v>243.70904938233414</v>
      </c>
      <c r="L216">
        <f t="shared" si="36"/>
        <v>198.93020508474575</v>
      </c>
      <c r="M216">
        <f t="shared" si="37"/>
        <v>0</v>
      </c>
      <c r="N216">
        <f t="shared" si="38"/>
        <v>442.63925446707992</v>
      </c>
      <c r="O216">
        <f t="shared" si="39"/>
        <v>208.45522153156313</v>
      </c>
      <c r="P216">
        <f t="shared" si="40"/>
        <v>170.15387846843686</v>
      </c>
      <c r="Q216">
        <f t="shared" si="41"/>
        <v>0</v>
      </c>
      <c r="R216">
        <f t="shared" si="42"/>
        <v>378.60910000000001</v>
      </c>
    </row>
    <row r="217" spans="1:18" x14ac:dyDescent="0.3">
      <c r="A217" t="s">
        <v>0</v>
      </c>
      <c r="B217" t="s">
        <v>0</v>
      </c>
      <c r="C217">
        <v>27</v>
      </c>
      <c r="D217">
        <v>31</v>
      </c>
      <c r="E217">
        <v>1</v>
      </c>
      <c r="F217">
        <v>20260202</v>
      </c>
      <c r="G217">
        <v>20260401</v>
      </c>
      <c r="H217">
        <v>7068846.5913000004</v>
      </c>
      <c r="I217">
        <f t="shared" si="33"/>
        <v>59</v>
      </c>
      <c r="J217">
        <f t="shared" si="34"/>
        <v>119810.95917457627</v>
      </c>
      <c r="K217">
        <f t="shared" si="35"/>
        <v>4387679.5015598312</v>
      </c>
      <c r="L217">
        <f t="shared" si="36"/>
        <v>3714139.7344118645</v>
      </c>
      <c r="M217">
        <f t="shared" si="37"/>
        <v>74356.772540110615</v>
      </c>
      <c r="N217">
        <f t="shared" si="38"/>
        <v>8176176.0085118059</v>
      </c>
      <c r="O217">
        <f t="shared" si="39"/>
        <v>3793440.020864164</v>
      </c>
      <c r="P217">
        <f t="shared" si="40"/>
        <v>3211120.2075244915</v>
      </c>
      <c r="Q217">
        <f t="shared" si="41"/>
        <v>64286.362911346012</v>
      </c>
      <c r="R217">
        <f t="shared" si="42"/>
        <v>7068846.5913000023</v>
      </c>
    </row>
    <row r="218" spans="1:18" x14ac:dyDescent="0.3">
      <c r="A218" t="s">
        <v>0</v>
      </c>
      <c r="B218" t="s">
        <v>0</v>
      </c>
      <c r="C218">
        <v>25</v>
      </c>
      <c r="D218">
        <v>31</v>
      </c>
      <c r="E218">
        <v>3</v>
      </c>
      <c r="F218">
        <v>20260204</v>
      </c>
      <c r="G218">
        <v>20260403</v>
      </c>
      <c r="H218">
        <v>444314.96289999998</v>
      </c>
      <c r="I218">
        <f t="shared" si="33"/>
        <v>59</v>
      </c>
      <c r="J218">
        <f t="shared" si="34"/>
        <v>7530.7620830508467</v>
      </c>
      <c r="K218">
        <f t="shared" si="35"/>
        <v>255360.38459754508</v>
      </c>
      <c r="L218">
        <f t="shared" si="36"/>
        <v>233453.62457457624</v>
      </c>
      <c r="M218">
        <f t="shared" si="37"/>
        <v>14021.167190069327</v>
      </c>
      <c r="N218">
        <f t="shared" si="38"/>
        <v>502835.17636219063</v>
      </c>
      <c r="O218">
        <f t="shared" si="39"/>
        <v>225641.41321501893</v>
      </c>
      <c r="P218">
        <f t="shared" si="40"/>
        <v>206284.17306073508</v>
      </c>
      <c r="Q218">
        <f t="shared" si="41"/>
        <v>12389.376624246022</v>
      </c>
      <c r="R218">
        <f t="shared" si="42"/>
        <v>444314.96290000004</v>
      </c>
    </row>
    <row r="219" spans="1:18" x14ac:dyDescent="0.3">
      <c r="A219" t="s">
        <v>0</v>
      </c>
      <c r="B219" t="s">
        <v>0</v>
      </c>
      <c r="C219">
        <v>24</v>
      </c>
      <c r="D219">
        <v>31</v>
      </c>
      <c r="E219">
        <v>3</v>
      </c>
      <c r="F219">
        <v>20260205</v>
      </c>
      <c r="G219">
        <v>20260403</v>
      </c>
      <c r="H219">
        <v>547861.86950000003</v>
      </c>
      <c r="I219">
        <f t="shared" si="33"/>
        <v>58</v>
      </c>
      <c r="J219">
        <f t="shared" si="34"/>
        <v>9445.8943017241381</v>
      </c>
      <c r="K219">
        <f t="shared" si="35"/>
        <v>307488.52349186066</v>
      </c>
      <c r="L219">
        <f t="shared" si="36"/>
        <v>292822.72335344827</v>
      </c>
      <c r="M219">
        <f t="shared" si="37"/>
        <v>17586.860639546652</v>
      </c>
      <c r="N219">
        <f t="shared" si="38"/>
        <v>617898.10748485557</v>
      </c>
      <c r="O219">
        <f t="shared" si="39"/>
        <v>272635.94966452359</v>
      </c>
      <c r="P219">
        <f t="shared" si="40"/>
        <v>259632.45833769362</v>
      </c>
      <c r="Q219">
        <f t="shared" si="41"/>
        <v>15593.461497782868</v>
      </c>
      <c r="R219">
        <f t="shared" si="42"/>
        <v>547861.86950000003</v>
      </c>
    </row>
    <row r="220" spans="1:18" x14ac:dyDescent="0.3">
      <c r="A220" t="s">
        <v>0</v>
      </c>
      <c r="B220" t="s">
        <v>0</v>
      </c>
      <c r="C220">
        <v>26</v>
      </c>
      <c r="D220">
        <v>31</v>
      </c>
      <c r="E220">
        <v>5</v>
      </c>
      <c r="F220">
        <v>20260203</v>
      </c>
      <c r="G220">
        <v>20260405</v>
      </c>
      <c r="H220">
        <v>77593.251600000003</v>
      </c>
      <c r="I220">
        <f t="shared" si="33"/>
        <v>62</v>
      </c>
      <c r="J220">
        <f t="shared" si="34"/>
        <v>1251.5040580645161</v>
      </c>
      <c r="K220">
        <f t="shared" si="35"/>
        <v>44134.701937337624</v>
      </c>
      <c r="L220">
        <f t="shared" si="36"/>
        <v>38796.625800000002</v>
      </c>
      <c r="M220">
        <f t="shared" si="37"/>
        <v>3883.5263159413621</v>
      </c>
      <c r="N220">
        <f t="shared" si="38"/>
        <v>86814.854053278978</v>
      </c>
      <c r="O220">
        <f t="shared" si="39"/>
        <v>39446.648491894819</v>
      </c>
      <c r="P220">
        <f t="shared" si="40"/>
        <v>34675.59071265583</v>
      </c>
      <c r="Q220">
        <f t="shared" si="41"/>
        <v>3471.0123954493688</v>
      </c>
      <c r="R220">
        <f t="shared" si="42"/>
        <v>77593.251600000032</v>
      </c>
    </row>
    <row r="221" spans="1:18" x14ac:dyDescent="0.3">
      <c r="A221" t="s">
        <v>0</v>
      </c>
      <c r="B221" t="s">
        <v>0</v>
      </c>
      <c r="C221">
        <v>24</v>
      </c>
      <c r="D221">
        <v>31</v>
      </c>
      <c r="E221">
        <v>7</v>
      </c>
      <c r="F221">
        <v>20260205</v>
      </c>
      <c r="G221">
        <v>20260407</v>
      </c>
      <c r="H221">
        <v>34677.915500000003</v>
      </c>
      <c r="I221">
        <f t="shared" si="33"/>
        <v>62</v>
      </c>
      <c r="J221">
        <f t="shared" si="34"/>
        <v>559.32121774193558</v>
      </c>
      <c r="K221">
        <f t="shared" si="35"/>
        <v>18207.36606905979</v>
      </c>
      <c r="L221">
        <f t="shared" si="36"/>
        <v>17338.957750000001</v>
      </c>
      <c r="M221">
        <f t="shared" si="37"/>
        <v>2429.8715739957111</v>
      </c>
      <c r="N221">
        <f t="shared" si="38"/>
        <v>37976.195393055503</v>
      </c>
      <c r="O221">
        <f t="shared" si="39"/>
        <v>16626.03363726852</v>
      </c>
      <c r="P221">
        <f t="shared" si="40"/>
        <v>15833.047662866269</v>
      </c>
      <c r="Q221">
        <f t="shared" si="41"/>
        <v>2218.8341998652122</v>
      </c>
      <c r="R221">
        <f t="shared" si="42"/>
        <v>34677.915500000003</v>
      </c>
    </row>
    <row r="222" spans="1:18" x14ac:dyDescent="0.3">
      <c r="A222" t="s">
        <v>0</v>
      </c>
      <c r="B222" t="s">
        <v>0</v>
      </c>
      <c r="C222">
        <v>24</v>
      </c>
      <c r="D222">
        <v>31</v>
      </c>
      <c r="E222">
        <v>8</v>
      </c>
      <c r="F222">
        <v>20260205</v>
      </c>
      <c r="G222">
        <v>20260408</v>
      </c>
      <c r="H222">
        <v>17001.460500000001</v>
      </c>
      <c r="I222">
        <f t="shared" si="33"/>
        <v>63</v>
      </c>
      <c r="J222">
        <f t="shared" si="34"/>
        <v>269.8644523809524</v>
      </c>
      <c r="K222">
        <f t="shared" si="35"/>
        <v>8784.7925622471139</v>
      </c>
      <c r="L222">
        <f t="shared" si="36"/>
        <v>8365.7980238095242</v>
      </c>
      <c r="M222">
        <f t="shared" si="37"/>
        <v>1339.8607166219915</v>
      </c>
      <c r="N222">
        <f t="shared" si="38"/>
        <v>18490.45130267863</v>
      </c>
      <c r="O222">
        <f t="shared" si="39"/>
        <v>8077.3747110272971</v>
      </c>
      <c r="P222">
        <f t="shared" si="40"/>
        <v>7692.1207776130022</v>
      </c>
      <c r="Q222">
        <f t="shared" si="41"/>
        <v>1231.9650113597015</v>
      </c>
      <c r="R222">
        <f t="shared" si="42"/>
        <v>17001.460500000001</v>
      </c>
    </row>
    <row r="223" spans="1:18" x14ac:dyDescent="0.3">
      <c r="A223" t="s">
        <v>0</v>
      </c>
      <c r="B223" t="s">
        <v>0</v>
      </c>
      <c r="C223">
        <v>19</v>
      </c>
      <c r="D223">
        <v>31</v>
      </c>
      <c r="E223">
        <v>3</v>
      </c>
      <c r="F223">
        <v>20260210</v>
      </c>
      <c r="G223">
        <v>20260403</v>
      </c>
      <c r="H223">
        <v>5824.5673999999999</v>
      </c>
      <c r="I223">
        <f t="shared" si="33"/>
        <v>53</v>
      </c>
      <c r="J223">
        <f t="shared" si="34"/>
        <v>109.89749811320755</v>
      </c>
      <c r="K223">
        <f t="shared" si="35"/>
        <v>2832.1483240348248</v>
      </c>
      <c r="L223">
        <f t="shared" si="36"/>
        <v>3406.8224415094342</v>
      </c>
      <c r="M223">
        <f t="shared" si="37"/>
        <v>204.61291670382562</v>
      </c>
      <c r="N223">
        <f t="shared" si="38"/>
        <v>6443.5836822480842</v>
      </c>
      <c r="O223">
        <f t="shared" si="39"/>
        <v>2560.0720986341903</v>
      </c>
      <c r="P223">
        <f t="shared" si="40"/>
        <v>3079.5389505178573</v>
      </c>
      <c r="Q223">
        <f t="shared" si="41"/>
        <v>184.95635084795248</v>
      </c>
      <c r="R223">
        <f t="shared" si="42"/>
        <v>5824.5673999999999</v>
      </c>
    </row>
    <row r="224" spans="1:18" x14ac:dyDescent="0.3">
      <c r="A224" t="s">
        <v>0</v>
      </c>
      <c r="B224" t="s">
        <v>0</v>
      </c>
      <c r="C224">
        <v>0</v>
      </c>
      <c r="D224">
        <v>28</v>
      </c>
      <c r="E224">
        <v>6</v>
      </c>
      <c r="F224">
        <v>20260304</v>
      </c>
      <c r="G224">
        <v>20260406</v>
      </c>
      <c r="H224">
        <v>379.49849999999998</v>
      </c>
      <c r="I224">
        <f t="shared" si="33"/>
        <v>34</v>
      </c>
      <c r="J224">
        <f t="shared" si="34"/>
        <v>11.161720588235294</v>
      </c>
      <c r="K224">
        <f t="shared" si="35"/>
        <v>0</v>
      </c>
      <c r="L224">
        <f t="shared" si="36"/>
        <v>312.52817647058822</v>
      </c>
      <c r="M224">
        <f t="shared" si="37"/>
        <v>41.562951735977535</v>
      </c>
      <c r="N224">
        <f t="shared" si="38"/>
        <v>354.09112820656577</v>
      </c>
      <c r="O224">
        <f t="shared" si="39"/>
        <v>0</v>
      </c>
      <c r="P224">
        <f t="shared" si="40"/>
        <v>334.95324996997283</v>
      </c>
      <c r="Q224">
        <f t="shared" si="41"/>
        <v>44.545250030027141</v>
      </c>
      <c r="R224">
        <f t="shared" si="42"/>
        <v>379.49849999999998</v>
      </c>
    </row>
    <row r="225" spans="1:18" x14ac:dyDescent="0.3">
      <c r="A225" t="s">
        <v>0</v>
      </c>
      <c r="B225" t="s">
        <v>0</v>
      </c>
      <c r="C225">
        <v>10</v>
      </c>
      <c r="D225">
        <v>31</v>
      </c>
      <c r="E225">
        <v>1</v>
      </c>
      <c r="F225">
        <v>20260219</v>
      </c>
      <c r="G225">
        <v>20260401</v>
      </c>
      <c r="H225">
        <v>717.80460000000005</v>
      </c>
      <c r="I225">
        <f t="shared" si="33"/>
        <v>42</v>
      </c>
      <c r="J225">
        <f t="shared" si="34"/>
        <v>17.090585714285716</v>
      </c>
      <c r="K225">
        <f t="shared" si="35"/>
        <v>231.8096624414548</v>
      </c>
      <c r="L225">
        <f t="shared" si="36"/>
        <v>529.80815714285723</v>
      </c>
      <c r="M225">
        <f t="shared" si="37"/>
        <v>10.606715807046717</v>
      </c>
      <c r="N225">
        <f t="shared" si="38"/>
        <v>772.2245353913587</v>
      </c>
      <c r="O225">
        <f t="shared" si="39"/>
        <v>215.4736535800381</v>
      </c>
      <c r="P225">
        <f t="shared" si="40"/>
        <v>492.47170335235819</v>
      </c>
      <c r="Q225">
        <f t="shared" si="41"/>
        <v>9.8592430676038347</v>
      </c>
      <c r="R225">
        <f t="shared" si="42"/>
        <v>717.80460000000016</v>
      </c>
    </row>
    <row r="226" spans="1:18" x14ac:dyDescent="0.3">
      <c r="A226" t="s">
        <v>0</v>
      </c>
      <c r="B226" t="s">
        <v>0</v>
      </c>
      <c r="C226">
        <v>9</v>
      </c>
      <c r="D226">
        <v>31</v>
      </c>
      <c r="E226">
        <v>1</v>
      </c>
      <c r="F226">
        <v>20260220</v>
      </c>
      <c r="G226">
        <v>20260401</v>
      </c>
      <c r="H226">
        <v>1097.896</v>
      </c>
      <c r="I226">
        <f t="shared" si="33"/>
        <v>41</v>
      </c>
      <c r="J226">
        <f t="shared" si="34"/>
        <v>26.777951219512193</v>
      </c>
      <c r="K226">
        <f t="shared" si="35"/>
        <v>326.88458682210046</v>
      </c>
      <c r="L226">
        <f t="shared" si="36"/>
        <v>830.11648780487803</v>
      </c>
      <c r="M226">
        <f t="shared" si="37"/>
        <v>16.618863930620794</v>
      </c>
      <c r="N226">
        <f t="shared" si="38"/>
        <v>1173.6199385575994</v>
      </c>
      <c r="O226">
        <f t="shared" si="39"/>
        <v>305.79344176336457</v>
      </c>
      <c r="P226">
        <f t="shared" si="40"/>
        <v>776.55597144602802</v>
      </c>
      <c r="Q226">
        <f t="shared" si="41"/>
        <v>15.546586790607233</v>
      </c>
      <c r="R226">
        <f t="shared" si="42"/>
        <v>1097.896</v>
      </c>
    </row>
    <row r="227" spans="1:18" x14ac:dyDescent="0.3">
      <c r="A227" t="s">
        <v>0</v>
      </c>
      <c r="B227" t="s">
        <v>0</v>
      </c>
      <c r="C227">
        <v>8</v>
      </c>
      <c r="D227">
        <v>31</v>
      </c>
      <c r="E227">
        <v>4</v>
      </c>
      <c r="F227">
        <v>20260221</v>
      </c>
      <c r="G227">
        <v>20260404</v>
      </c>
      <c r="H227">
        <v>464.41840000000002</v>
      </c>
      <c r="I227">
        <f t="shared" si="33"/>
        <v>43</v>
      </c>
      <c r="J227">
        <f t="shared" si="34"/>
        <v>10.800427906976745</v>
      </c>
      <c r="K227">
        <f t="shared" si="35"/>
        <v>117.19404304543158</v>
      </c>
      <c r="L227">
        <f t="shared" si="36"/>
        <v>334.81326511627913</v>
      </c>
      <c r="M227">
        <f t="shared" si="37"/>
        <v>26.811736313529035</v>
      </c>
      <c r="N227">
        <f t="shared" si="38"/>
        <v>478.81904447523976</v>
      </c>
      <c r="O227">
        <f t="shared" si="39"/>
        <v>113.66939262062904</v>
      </c>
      <c r="P227">
        <f t="shared" si="40"/>
        <v>324.7436430906601</v>
      </c>
      <c r="Q227">
        <f t="shared" si="41"/>
        <v>26.005364288710854</v>
      </c>
      <c r="R227">
        <f t="shared" si="42"/>
        <v>464.41839999999996</v>
      </c>
    </row>
    <row r="228" spans="1:18" x14ac:dyDescent="0.3">
      <c r="A228" t="s">
        <v>0</v>
      </c>
      <c r="B228" t="s">
        <v>0</v>
      </c>
      <c r="C228">
        <v>9</v>
      </c>
      <c r="D228">
        <v>31</v>
      </c>
      <c r="E228">
        <v>8</v>
      </c>
      <c r="F228">
        <v>20260220</v>
      </c>
      <c r="G228">
        <v>20260408</v>
      </c>
      <c r="H228">
        <v>84.412000000000006</v>
      </c>
      <c r="I228">
        <f t="shared" si="33"/>
        <v>48</v>
      </c>
      <c r="J228">
        <f t="shared" si="34"/>
        <v>1.7585833333333334</v>
      </c>
      <c r="K228">
        <f t="shared" si="35"/>
        <v>21.467429737119776</v>
      </c>
      <c r="L228">
        <f t="shared" si="36"/>
        <v>54.516083333333334</v>
      </c>
      <c r="M228">
        <f t="shared" si="37"/>
        <v>8.7312600991007745</v>
      </c>
      <c r="N228">
        <f t="shared" si="38"/>
        <v>84.714773169553894</v>
      </c>
      <c r="O228">
        <f t="shared" si="39"/>
        <v>21.390704491917575</v>
      </c>
      <c r="P228">
        <f t="shared" si="40"/>
        <v>54.321241197482237</v>
      </c>
      <c r="Q228">
        <f t="shared" si="41"/>
        <v>8.7000543106001889</v>
      </c>
      <c r="R228">
        <f t="shared" si="42"/>
        <v>84.412000000000006</v>
      </c>
    </row>
    <row r="229" spans="1:18" x14ac:dyDescent="0.3">
      <c r="A229" t="s">
        <v>0</v>
      </c>
      <c r="B229" t="s">
        <v>0</v>
      </c>
      <c r="C229">
        <v>8</v>
      </c>
      <c r="D229">
        <v>31</v>
      </c>
      <c r="E229">
        <v>6</v>
      </c>
      <c r="F229">
        <v>20260221</v>
      </c>
      <c r="G229">
        <v>20260406</v>
      </c>
      <c r="H229">
        <v>422.1293</v>
      </c>
      <c r="I229">
        <f t="shared" si="33"/>
        <v>45</v>
      </c>
      <c r="J229">
        <f t="shared" si="34"/>
        <v>9.3806511111111117</v>
      </c>
      <c r="K229">
        <f t="shared" si="35"/>
        <v>101.7882290941066</v>
      </c>
      <c r="L229">
        <f t="shared" si="36"/>
        <v>290.80018444444448</v>
      </c>
      <c r="M229">
        <f t="shared" si="37"/>
        <v>34.930774901685453</v>
      </c>
      <c r="N229">
        <f t="shared" si="38"/>
        <v>427.51918844023658</v>
      </c>
      <c r="O229">
        <f t="shared" si="39"/>
        <v>100.50494821647374</v>
      </c>
      <c r="P229">
        <f t="shared" si="40"/>
        <v>287.13396174629094</v>
      </c>
      <c r="Q229">
        <f t="shared" si="41"/>
        <v>34.490390037235287</v>
      </c>
      <c r="R229">
        <f t="shared" si="42"/>
        <v>422.12929999999994</v>
      </c>
    </row>
    <row r="230" spans="1:18" x14ac:dyDescent="0.3">
      <c r="A230" t="s">
        <v>0</v>
      </c>
      <c r="B230" t="s">
        <v>0</v>
      </c>
      <c r="C230">
        <v>15</v>
      </c>
      <c r="D230">
        <v>31</v>
      </c>
      <c r="E230">
        <v>1</v>
      </c>
      <c r="F230">
        <v>20260214</v>
      </c>
      <c r="G230">
        <v>20260401</v>
      </c>
      <c r="H230">
        <v>675.37540000000001</v>
      </c>
      <c r="I230">
        <f t="shared" si="33"/>
        <v>47</v>
      </c>
      <c r="J230">
        <f t="shared" si="34"/>
        <v>14.369689361702127</v>
      </c>
      <c r="K230">
        <f t="shared" si="35"/>
        <v>292.35681819322178</v>
      </c>
      <c r="L230">
        <f t="shared" si="36"/>
        <v>445.46037021276595</v>
      </c>
      <c r="M230">
        <f t="shared" si="37"/>
        <v>8.9180800379308138</v>
      </c>
      <c r="N230">
        <f t="shared" si="38"/>
        <v>746.73526844391859</v>
      </c>
      <c r="O230">
        <f t="shared" si="39"/>
        <v>264.41847783811141</v>
      </c>
      <c r="P230">
        <f t="shared" si="40"/>
        <v>402.89107590100338</v>
      </c>
      <c r="Q230">
        <f t="shared" si="41"/>
        <v>8.0658462608852695</v>
      </c>
      <c r="R230">
        <f t="shared" si="42"/>
        <v>675.37540000000001</v>
      </c>
    </row>
    <row r="231" spans="1:18" x14ac:dyDescent="0.3">
      <c r="A231" t="s">
        <v>0</v>
      </c>
      <c r="B231" t="s">
        <v>0</v>
      </c>
      <c r="C231">
        <v>4</v>
      </c>
      <c r="D231">
        <v>31</v>
      </c>
      <c r="E231">
        <v>6</v>
      </c>
      <c r="F231">
        <v>20260225</v>
      </c>
      <c r="G231">
        <v>20260406</v>
      </c>
      <c r="H231">
        <v>211.06469999999999</v>
      </c>
      <c r="I231">
        <f t="shared" si="33"/>
        <v>41</v>
      </c>
      <c r="J231">
        <f t="shared" si="34"/>
        <v>5.1479195121951218</v>
      </c>
      <c r="K231">
        <f t="shared" si="35"/>
        <v>27.929703623913614</v>
      </c>
      <c r="L231">
        <f t="shared" si="36"/>
        <v>159.58550487804877</v>
      </c>
      <c r="M231">
        <f t="shared" si="37"/>
        <v>19.16933223105266</v>
      </c>
      <c r="N231">
        <f t="shared" si="38"/>
        <v>206.68454073301504</v>
      </c>
      <c r="O231">
        <f t="shared" si="39"/>
        <v>28.521603481148009</v>
      </c>
      <c r="P231">
        <f t="shared" si="40"/>
        <v>162.96751847998044</v>
      </c>
      <c r="Q231">
        <f t="shared" si="41"/>
        <v>19.575578038871544</v>
      </c>
      <c r="R231">
        <f t="shared" si="42"/>
        <v>211.06470000000002</v>
      </c>
    </row>
    <row r="232" spans="1:18" x14ac:dyDescent="0.3">
      <c r="A232" t="s">
        <v>0</v>
      </c>
      <c r="B232" t="s">
        <v>0</v>
      </c>
      <c r="C232">
        <v>5</v>
      </c>
      <c r="D232">
        <v>31</v>
      </c>
      <c r="E232">
        <v>1</v>
      </c>
      <c r="F232">
        <v>20260224</v>
      </c>
      <c r="G232">
        <v>20260401</v>
      </c>
      <c r="H232">
        <v>211.16849999999999</v>
      </c>
      <c r="I232">
        <f t="shared" si="33"/>
        <v>37</v>
      </c>
      <c r="J232">
        <f t="shared" si="34"/>
        <v>5.7072567567567569</v>
      </c>
      <c r="K232">
        <f t="shared" si="35"/>
        <v>38.705439484868741</v>
      </c>
      <c r="L232">
        <f t="shared" si="36"/>
        <v>176.92495945945947</v>
      </c>
      <c r="M232">
        <f t="shared" si="37"/>
        <v>3.5420231622703096</v>
      </c>
      <c r="N232">
        <f t="shared" si="38"/>
        <v>219.17242210659853</v>
      </c>
      <c r="O232">
        <f t="shared" si="39"/>
        <v>37.291961823030981</v>
      </c>
      <c r="P232">
        <f t="shared" si="40"/>
        <v>170.4638655836165</v>
      </c>
      <c r="Q232">
        <f t="shared" si="41"/>
        <v>3.4126725933525157</v>
      </c>
      <c r="R232">
        <f t="shared" si="42"/>
        <v>211.16849999999999</v>
      </c>
    </row>
    <row r="233" spans="1:18" x14ac:dyDescent="0.3">
      <c r="A233" t="s">
        <v>0</v>
      </c>
      <c r="B233" t="s">
        <v>0</v>
      </c>
      <c r="C233">
        <v>2</v>
      </c>
      <c r="D233">
        <v>31</v>
      </c>
      <c r="E233">
        <v>2</v>
      </c>
      <c r="F233">
        <v>20260227</v>
      </c>
      <c r="G233">
        <v>20260402</v>
      </c>
      <c r="H233">
        <v>126.67440000000001</v>
      </c>
      <c r="I233">
        <f t="shared" si="33"/>
        <v>35</v>
      </c>
      <c r="J233">
        <f t="shared" si="34"/>
        <v>3.6192685714285715</v>
      </c>
      <c r="K233">
        <f t="shared" si="35"/>
        <v>9.8180535161710001</v>
      </c>
      <c r="L233">
        <f t="shared" si="36"/>
        <v>112.19732571428571</v>
      </c>
      <c r="M233">
        <f t="shared" si="37"/>
        <v>4.4923624980775836</v>
      </c>
      <c r="N233">
        <f t="shared" si="38"/>
        <v>126.5077417285343</v>
      </c>
      <c r="O233">
        <f t="shared" si="39"/>
        <v>9.8309875849149826</v>
      </c>
      <c r="P233">
        <f t="shared" si="40"/>
        <v>112.34513178616028</v>
      </c>
      <c r="Q233">
        <f t="shared" si="41"/>
        <v>4.4982806289247339</v>
      </c>
      <c r="R233">
        <f t="shared" si="42"/>
        <v>126.67439999999999</v>
      </c>
    </row>
    <row r="234" spans="1:18" x14ac:dyDescent="0.3">
      <c r="A234" t="s">
        <v>0</v>
      </c>
      <c r="B234" t="s">
        <v>0</v>
      </c>
      <c r="C234">
        <v>2</v>
      </c>
      <c r="D234">
        <v>31</v>
      </c>
      <c r="E234">
        <v>1</v>
      </c>
      <c r="F234">
        <v>20260227</v>
      </c>
      <c r="G234">
        <v>20260401</v>
      </c>
      <c r="H234">
        <v>844.55529999999999</v>
      </c>
      <c r="I234">
        <f t="shared" si="33"/>
        <v>34</v>
      </c>
      <c r="J234">
        <f t="shared" si="34"/>
        <v>24.839861764705883</v>
      </c>
      <c r="K234">
        <f t="shared" si="35"/>
        <v>67.383529939009193</v>
      </c>
      <c r="L234">
        <f t="shared" si="36"/>
        <v>770.03571470588236</v>
      </c>
      <c r="M234">
        <f t="shared" si="37"/>
        <v>15.41605178600356</v>
      </c>
      <c r="N234">
        <f t="shared" si="38"/>
        <v>852.83529643089514</v>
      </c>
      <c r="O234">
        <f t="shared" si="39"/>
        <v>66.7293175843716</v>
      </c>
      <c r="P234">
        <f t="shared" si="40"/>
        <v>762.55960179626254</v>
      </c>
      <c r="Q234">
        <f t="shared" si="41"/>
        <v>15.266380619365881</v>
      </c>
      <c r="R234">
        <f t="shared" si="42"/>
        <v>844.5553000000001</v>
      </c>
    </row>
    <row r="235" spans="1:18" x14ac:dyDescent="0.3">
      <c r="A235" t="s">
        <v>0</v>
      </c>
      <c r="B235" t="s">
        <v>0</v>
      </c>
      <c r="C235">
        <v>0</v>
      </c>
      <c r="D235">
        <v>25</v>
      </c>
      <c r="E235">
        <v>4</v>
      </c>
      <c r="F235">
        <v>20260307</v>
      </c>
      <c r="G235">
        <v>20260404</v>
      </c>
      <c r="H235">
        <v>42.135899999999999</v>
      </c>
      <c r="I235">
        <f t="shared" si="33"/>
        <v>29</v>
      </c>
      <c r="J235">
        <f t="shared" si="34"/>
        <v>1.4529620689655172</v>
      </c>
      <c r="K235">
        <f t="shared" si="35"/>
        <v>0</v>
      </c>
      <c r="L235">
        <f t="shared" si="36"/>
        <v>36.324051724137931</v>
      </c>
      <c r="M235">
        <f t="shared" si="37"/>
        <v>3.6069344846511475</v>
      </c>
      <c r="N235">
        <f t="shared" si="38"/>
        <v>39.930986208789079</v>
      </c>
      <c r="O235">
        <f t="shared" si="39"/>
        <v>0</v>
      </c>
      <c r="P235">
        <f t="shared" si="40"/>
        <v>38.329797391936687</v>
      </c>
      <c r="Q235">
        <f t="shared" si="41"/>
        <v>3.8061026080633127</v>
      </c>
      <c r="R235">
        <f t="shared" si="42"/>
        <v>42.135899999999999</v>
      </c>
    </row>
    <row r="236" spans="1:18" x14ac:dyDescent="0.3">
      <c r="A236" t="s">
        <v>0</v>
      </c>
      <c r="B236" t="s">
        <v>0</v>
      </c>
      <c r="C236">
        <v>0</v>
      </c>
      <c r="D236">
        <v>25</v>
      </c>
      <c r="E236">
        <v>3</v>
      </c>
      <c r="F236">
        <v>20260307</v>
      </c>
      <c r="G236">
        <v>20260403</v>
      </c>
      <c r="H236">
        <v>252.8389</v>
      </c>
      <c r="I236">
        <f t="shared" si="33"/>
        <v>28</v>
      </c>
      <c r="J236">
        <f t="shared" si="34"/>
        <v>9.0299607142857141</v>
      </c>
      <c r="K236">
        <f t="shared" si="35"/>
        <v>0</v>
      </c>
      <c r="L236">
        <f t="shared" si="36"/>
        <v>225.74901785714286</v>
      </c>
      <c r="M236">
        <f t="shared" si="37"/>
        <v>16.812453706340648</v>
      </c>
      <c r="N236">
        <f t="shared" si="38"/>
        <v>242.56147156348351</v>
      </c>
      <c r="O236">
        <f t="shared" si="39"/>
        <v>0</v>
      </c>
      <c r="P236">
        <f t="shared" si="40"/>
        <v>235.31409577609605</v>
      </c>
      <c r="Q236">
        <f t="shared" si="41"/>
        <v>17.524804223903946</v>
      </c>
      <c r="R236">
        <f t="shared" si="42"/>
        <v>252.8389</v>
      </c>
    </row>
    <row r="237" spans="1:18" x14ac:dyDescent="0.3">
      <c r="A237" t="s">
        <v>0</v>
      </c>
      <c r="B237" t="s">
        <v>0</v>
      </c>
      <c r="C237">
        <v>27</v>
      </c>
      <c r="D237">
        <v>31</v>
      </c>
      <c r="E237">
        <v>9</v>
      </c>
      <c r="F237">
        <v>20260202</v>
      </c>
      <c r="G237">
        <v>20260409</v>
      </c>
      <c r="H237">
        <v>3169.4490000000001</v>
      </c>
      <c r="I237">
        <f t="shared" si="33"/>
        <v>67</v>
      </c>
      <c r="J237">
        <f t="shared" si="34"/>
        <v>47.305208955223883</v>
      </c>
      <c r="K237">
        <f t="shared" si="35"/>
        <v>1732.3965777404808</v>
      </c>
      <c r="L237">
        <f t="shared" si="36"/>
        <v>1466.4614776119404</v>
      </c>
      <c r="M237">
        <f t="shared" si="37"/>
        <v>264.22594542529532</v>
      </c>
      <c r="N237">
        <f t="shared" si="38"/>
        <v>3463.0840007777165</v>
      </c>
      <c r="O237">
        <f t="shared" si="39"/>
        <v>1585.506617711241</v>
      </c>
      <c r="P237">
        <f t="shared" si="40"/>
        <v>1342.1201630430849</v>
      </c>
      <c r="Q237">
        <f t="shared" si="41"/>
        <v>241.82221924567457</v>
      </c>
      <c r="R237">
        <f t="shared" si="42"/>
        <v>3169.4490000000005</v>
      </c>
    </row>
    <row r="238" spans="1:18" x14ac:dyDescent="0.3">
      <c r="A238" t="s">
        <v>0</v>
      </c>
      <c r="B238" t="s">
        <v>0</v>
      </c>
      <c r="C238">
        <v>20</v>
      </c>
      <c r="D238">
        <v>31</v>
      </c>
      <c r="E238">
        <v>9</v>
      </c>
      <c r="F238">
        <v>20260209</v>
      </c>
      <c r="G238">
        <v>20260409</v>
      </c>
      <c r="H238">
        <v>1434.7022999999999</v>
      </c>
      <c r="I238">
        <f t="shared" si="33"/>
        <v>60</v>
      </c>
      <c r="J238">
        <f t="shared" si="34"/>
        <v>23.911704999999998</v>
      </c>
      <c r="K238">
        <f t="shared" si="35"/>
        <v>648.65702757236488</v>
      </c>
      <c r="L238">
        <f t="shared" si="36"/>
        <v>741.26285499999994</v>
      </c>
      <c r="M238">
        <f t="shared" si="37"/>
        <v>133.56019347332483</v>
      </c>
      <c r="N238">
        <f t="shared" si="38"/>
        <v>1523.4800760456897</v>
      </c>
      <c r="O238">
        <f t="shared" si="39"/>
        <v>610.85782741888988</v>
      </c>
      <c r="P238">
        <f t="shared" si="40"/>
        <v>698.0672341534264</v>
      </c>
      <c r="Q238">
        <f t="shared" si="41"/>
        <v>125.7772384276835</v>
      </c>
      <c r="R238">
        <f t="shared" si="42"/>
        <v>1434.7022999999997</v>
      </c>
    </row>
    <row r="239" spans="1:18" x14ac:dyDescent="0.3">
      <c r="A239" t="s">
        <v>0</v>
      </c>
      <c r="B239" t="s">
        <v>0</v>
      </c>
      <c r="C239">
        <v>28</v>
      </c>
      <c r="D239">
        <v>31</v>
      </c>
      <c r="E239">
        <v>2</v>
      </c>
      <c r="F239">
        <v>20260130</v>
      </c>
      <c r="G239">
        <v>20260402</v>
      </c>
      <c r="H239">
        <v>548.51130000000001</v>
      </c>
      <c r="I239">
        <f t="shared" si="33"/>
        <v>61</v>
      </c>
      <c r="J239">
        <f t="shared" si="34"/>
        <v>8.9919885245901643</v>
      </c>
      <c r="K239">
        <f t="shared" si="35"/>
        <v>341.49815613966717</v>
      </c>
      <c r="L239">
        <f t="shared" si="36"/>
        <v>278.75164426229509</v>
      </c>
      <c r="M239">
        <f t="shared" si="37"/>
        <v>11.161170063449672</v>
      </c>
      <c r="N239">
        <f t="shared" si="38"/>
        <v>631.41097046541188</v>
      </c>
      <c r="O239">
        <f t="shared" si="39"/>
        <v>296.66193071321175</v>
      </c>
      <c r="P239">
        <f t="shared" si="40"/>
        <v>242.15357971805253</v>
      </c>
      <c r="Q239">
        <f t="shared" si="41"/>
        <v>9.6957895687357585</v>
      </c>
      <c r="R239">
        <f t="shared" si="42"/>
        <v>548.51130000000012</v>
      </c>
    </row>
    <row r="240" spans="1:18" x14ac:dyDescent="0.3">
      <c r="A240" t="s">
        <v>0</v>
      </c>
      <c r="B240" t="s">
        <v>0</v>
      </c>
      <c r="C240">
        <v>28</v>
      </c>
      <c r="D240">
        <v>31</v>
      </c>
      <c r="E240">
        <v>1</v>
      </c>
      <c r="F240">
        <v>20260130</v>
      </c>
      <c r="G240">
        <v>20260401</v>
      </c>
      <c r="H240">
        <v>1645.5725</v>
      </c>
      <c r="I240">
        <f t="shared" si="33"/>
        <v>60</v>
      </c>
      <c r="J240">
        <f t="shared" si="34"/>
        <v>27.426208333333332</v>
      </c>
      <c r="K240">
        <f t="shared" si="35"/>
        <v>1041.5938087690774</v>
      </c>
      <c r="L240">
        <f t="shared" si="36"/>
        <v>850.2124583333333</v>
      </c>
      <c r="M240">
        <f t="shared" si="37"/>
        <v>17.021183610656671</v>
      </c>
      <c r="N240">
        <f t="shared" si="38"/>
        <v>1908.8274507130675</v>
      </c>
      <c r="O240">
        <f t="shared" si="39"/>
        <v>897.94293729397009</v>
      </c>
      <c r="P240">
        <f t="shared" si="40"/>
        <v>732.95584683051482</v>
      </c>
      <c r="Q240">
        <f t="shared" si="41"/>
        <v>14.673715875515082</v>
      </c>
      <c r="R240">
        <f t="shared" si="42"/>
        <v>1645.5724999999998</v>
      </c>
    </row>
    <row r="241" spans="1:18" x14ac:dyDescent="0.3">
      <c r="A241" t="s">
        <v>0</v>
      </c>
      <c r="B241" t="s">
        <v>0</v>
      </c>
      <c r="C241">
        <v>28</v>
      </c>
      <c r="D241">
        <v>31</v>
      </c>
      <c r="E241">
        <v>1</v>
      </c>
      <c r="F241">
        <v>20260127</v>
      </c>
      <c r="G241">
        <v>20260401</v>
      </c>
      <c r="H241">
        <v>1687.2527</v>
      </c>
      <c r="I241">
        <f t="shared" si="33"/>
        <v>60</v>
      </c>
      <c r="J241">
        <f t="shared" si="34"/>
        <v>28.120878333333334</v>
      </c>
      <c r="K241">
        <f t="shared" si="35"/>
        <v>1067.9760181632287</v>
      </c>
      <c r="L241">
        <f t="shared" si="36"/>
        <v>871.7472283333334</v>
      </c>
      <c r="M241">
        <f t="shared" si="37"/>
        <v>17.452307937982809</v>
      </c>
      <c r="N241">
        <f t="shared" si="38"/>
        <v>1957.1755544345449</v>
      </c>
      <c r="O241">
        <f t="shared" si="39"/>
        <v>920.68665792311288</v>
      </c>
      <c r="P241">
        <f t="shared" si="40"/>
        <v>751.52066016269271</v>
      </c>
      <c r="Q241">
        <f t="shared" si="41"/>
        <v>15.045381914194413</v>
      </c>
      <c r="R241">
        <f t="shared" si="42"/>
        <v>1687.2527</v>
      </c>
    </row>
    <row r="242" spans="1:18" x14ac:dyDescent="0.3">
      <c r="A242" t="s">
        <v>0</v>
      </c>
      <c r="B242" t="s">
        <v>0</v>
      </c>
      <c r="C242">
        <v>28</v>
      </c>
      <c r="D242">
        <v>31</v>
      </c>
      <c r="E242">
        <v>1</v>
      </c>
      <c r="F242">
        <v>20260129</v>
      </c>
      <c r="G242">
        <v>20260401</v>
      </c>
      <c r="H242">
        <v>885.99440000000004</v>
      </c>
      <c r="I242">
        <f t="shared" si="33"/>
        <v>60</v>
      </c>
      <c r="J242">
        <f t="shared" si="34"/>
        <v>14.766573333333334</v>
      </c>
      <c r="K242">
        <f t="shared" si="35"/>
        <v>560.80560512774343</v>
      </c>
      <c r="L242">
        <f t="shared" si="36"/>
        <v>457.76377333333335</v>
      </c>
      <c r="M242">
        <f t="shared" si="37"/>
        <v>9.1643931582556171</v>
      </c>
      <c r="N242">
        <f t="shared" si="38"/>
        <v>1027.7337716193324</v>
      </c>
      <c r="O242">
        <f t="shared" si="39"/>
        <v>483.46239011773025</v>
      </c>
      <c r="P242">
        <f t="shared" si="40"/>
        <v>394.63151926705984</v>
      </c>
      <c r="Q242">
        <f t="shared" si="41"/>
        <v>7.9004906152098817</v>
      </c>
      <c r="R242">
        <f t="shared" si="42"/>
        <v>885.99439999999993</v>
      </c>
    </row>
    <row r="243" spans="1:18" x14ac:dyDescent="0.3">
      <c r="A243" t="s">
        <v>0</v>
      </c>
      <c r="B243" t="s">
        <v>0</v>
      </c>
      <c r="C243">
        <v>28</v>
      </c>
      <c r="D243">
        <v>31</v>
      </c>
      <c r="E243">
        <v>2</v>
      </c>
      <c r="F243">
        <v>20260127</v>
      </c>
      <c r="G243">
        <v>20260402</v>
      </c>
      <c r="H243">
        <v>253.08199999999999</v>
      </c>
      <c r="I243">
        <f t="shared" si="33"/>
        <v>61</v>
      </c>
      <c r="J243">
        <f t="shared" si="34"/>
        <v>4.1488852459016394</v>
      </c>
      <c r="K243">
        <f t="shared" si="35"/>
        <v>157.56655578862137</v>
      </c>
      <c r="L243">
        <f t="shared" si="36"/>
        <v>128.61544262295081</v>
      </c>
      <c r="M243">
        <f t="shared" si="37"/>
        <v>5.1497412031401533</v>
      </c>
      <c r="N243">
        <f t="shared" si="38"/>
        <v>291.33173961471232</v>
      </c>
      <c r="O243">
        <f t="shared" si="39"/>
        <v>136.87921242235311</v>
      </c>
      <c r="P243">
        <f t="shared" si="40"/>
        <v>111.72916995913151</v>
      </c>
      <c r="Q243">
        <f t="shared" si="41"/>
        <v>4.4736176185153944</v>
      </c>
      <c r="R243">
        <f t="shared" si="42"/>
        <v>253.08199999999999</v>
      </c>
    </row>
    <row r="244" spans="1:18" x14ac:dyDescent="0.3">
      <c r="A244" t="s">
        <v>0</v>
      </c>
      <c r="B244" t="s">
        <v>0</v>
      </c>
      <c r="C244">
        <v>28</v>
      </c>
      <c r="D244">
        <v>31</v>
      </c>
      <c r="E244">
        <v>6</v>
      </c>
      <c r="F244">
        <v>20260131</v>
      </c>
      <c r="G244">
        <v>20260406</v>
      </c>
      <c r="H244">
        <v>126.5677</v>
      </c>
      <c r="I244">
        <f t="shared" si="33"/>
        <v>65</v>
      </c>
      <c r="J244">
        <f t="shared" si="34"/>
        <v>1.9471953846153847</v>
      </c>
      <c r="K244">
        <f t="shared" si="35"/>
        <v>73.950676390585315</v>
      </c>
      <c r="L244">
        <f t="shared" si="36"/>
        <v>60.363056923076925</v>
      </c>
      <c r="M244">
        <f t="shared" si="37"/>
        <v>7.2507806615935859</v>
      </c>
      <c r="N244">
        <f t="shared" si="38"/>
        <v>141.56451397525581</v>
      </c>
      <c r="O244">
        <f t="shared" si="39"/>
        <v>66.116618927796324</v>
      </c>
      <c r="P244">
        <f t="shared" si="40"/>
        <v>53.968420935336439</v>
      </c>
      <c r="Q244">
        <f t="shared" si="41"/>
        <v>6.4826601368672563</v>
      </c>
      <c r="R244">
        <f t="shared" si="42"/>
        <v>126.56770000000002</v>
      </c>
    </row>
    <row r="245" spans="1:18" x14ac:dyDescent="0.3">
      <c r="A245" t="s">
        <v>0</v>
      </c>
      <c r="B245" t="s">
        <v>0</v>
      </c>
      <c r="C245">
        <v>28</v>
      </c>
      <c r="D245">
        <v>31</v>
      </c>
      <c r="E245">
        <v>3</v>
      </c>
      <c r="F245">
        <v>20260129</v>
      </c>
      <c r="G245">
        <v>20260403</v>
      </c>
      <c r="H245">
        <v>1265.6174000000001</v>
      </c>
      <c r="I245">
        <f t="shared" si="33"/>
        <v>62</v>
      </c>
      <c r="J245">
        <f t="shared" si="34"/>
        <v>20.413183870967742</v>
      </c>
      <c r="K245">
        <f t="shared" si="35"/>
        <v>775.2528413277978</v>
      </c>
      <c r="L245">
        <f t="shared" si="36"/>
        <v>632.80870000000004</v>
      </c>
      <c r="M245">
        <f t="shared" si="37"/>
        <v>38.006334655112859</v>
      </c>
      <c r="N245">
        <f t="shared" si="38"/>
        <v>1446.0678759829107</v>
      </c>
      <c r="O245">
        <f t="shared" si="39"/>
        <v>678.51136290333818</v>
      </c>
      <c r="P245">
        <f t="shared" si="40"/>
        <v>553.84239902777904</v>
      </c>
      <c r="Q245">
        <f t="shared" si="41"/>
        <v>33.263638068882941</v>
      </c>
      <c r="R245">
        <f t="shared" si="42"/>
        <v>1265.6174000000003</v>
      </c>
    </row>
    <row r="246" spans="1:18" x14ac:dyDescent="0.3">
      <c r="A246" t="s">
        <v>0</v>
      </c>
      <c r="B246" t="s">
        <v>0</v>
      </c>
      <c r="C246">
        <v>27</v>
      </c>
      <c r="D246">
        <v>31</v>
      </c>
      <c r="E246">
        <v>14</v>
      </c>
      <c r="F246">
        <v>20260202</v>
      </c>
      <c r="G246">
        <v>20260414</v>
      </c>
      <c r="H246">
        <v>3839.3090000000002</v>
      </c>
      <c r="I246">
        <f t="shared" si="33"/>
        <v>72</v>
      </c>
      <c r="J246">
        <f t="shared" si="34"/>
        <v>53.323736111111117</v>
      </c>
      <c r="K246">
        <f t="shared" si="35"/>
        <v>1952.8051982322797</v>
      </c>
      <c r="L246">
        <f t="shared" si="36"/>
        <v>1653.0358194444445</v>
      </c>
      <c r="M246">
        <f t="shared" si="37"/>
        <v>463.31097940010403</v>
      </c>
      <c r="N246">
        <f t="shared" si="38"/>
        <v>4069.1519970768281</v>
      </c>
      <c r="O246">
        <f t="shared" si="39"/>
        <v>1842.5024619886226</v>
      </c>
      <c r="P246">
        <f t="shared" si="40"/>
        <v>1559.6653316156785</v>
      </c>
      <c r="Q246">
        <f t="shared" si="41"/>
        <v>437.14120639569938</v>
      </c>
      <c r="R246">
        <f t="shared" si="42"/>
        <v>3839.3090000000007</v>
      </c>
    </row>
    <row r="247" spans="1:18" x14ac:dyDescent="0.3">
      <c r="A247" t="s">
        <v>0</v>
      </c>
      <c r="B247" t="s">
        <v>0</v>
      </c>
      <c r="C247">
        <v>27</v>
      </c>
      <c r="D247">
        <v>31</v>
      </c>
      <c r="E247">
        <v>13</v>
      </c>
      <c r="F247">
        <v>20260202</v>
      </c>
      <c r="G247">
        <v>20260413</v>
      </c>
      <c r="H247">
        <v>1307.8965000000001</v>
      </c>
      <c r="I247">
        <f t="shared" si="33"/>
        <v>71</v>
      </c>
      <c r="J247">
        <f t="shared" si="34"/>
        <v>18.421077464788734</v>
      </c>
      <c r="K247">
        <f t="shared" si="35"/>
        <v>674.61094165124086</v>
      </c>
      <c r="L247">
        <f t="shared" si="36"/>
        <v>571.05340140845078</v>
      </c>
      <c r="M247">
        <f t="shared" si="37"/>
        <v>148.6217487413974</v>
      </c>
      <c r="N247">
        <f t="shared" si="38"/>
        <v>1394.286091801089</v>
      </c>
      <c r="O247">
        <f t="shared" si="39"/>
        <v>632.81222887880278</v>
      </c>
      <c r="P247">
        <f t="shared" si="40"/>
        <v>535.67108601823361</v>
      </c>
      <c r="Q247">
        <f t="shared" si="41"/>
        <v>139.41318510296372</v>
      </c>
      <c r="R247">
        <f t="shared" si="42"/>
        <v>1307.8965000000003</v>
      </c>
    </row>
    <row r="248" spans="1:18" x14ac:dyDescent="0.3">
      <c r="A248" t="s">
        <v>0</v>
      </c>
      <c r="B248" t="s">
        <v>0</v>
      </c>
      <c r="C248">
        <v>21</v>
      </c>
      <c r="D248">
        <v>31</v>
      </c>
      <c r="E248">
        <v>11</v>
      </c>
      <c r="F248">
        <v>20260208</v>
      </c>
      <c r="G248">
        <v>20260411</v>
      </c>
      <c r="H248">
        <v>801.7079</v>
      </c>
      <c r="I248">
        <f t="shared" si="33"/>
        <v>63</v>
      </c>
      <c r="J248">
        <f t="shared" si="34"/>
        <v>12.725522222222223</v>
      </c>
      <c r="K248">
        <f t="shared" si="35"/>
        <v>362.46785371103317</v>
      </c>
      <c r="L248">
        <f t="shared" si="36"/>
        <v>394.49118888888893</v>
      </c>
      <c r="M248">
        <f t="shared" si="37"/>
        <v>86.874493338165195</v>
      </c>
      <c r="N248">
        <f t="shared" si="38"/>
        <v>843.83353593808727</v>
      </c>
      <c r="O248">
        <f t="shared" si="39"/>
        <v>344.37282881051635</v>
      </c>
      <c r="P248">
        <f t="shared" si="40"/>
        <v>374.79750346852677</v>
      </c>
      <c r="Q248">
        <f t="shared" si="41"/>
        <v>82.537567720956915</v>
      </c>
      <c r="R248">
        <f t="shared" si="42"/>
        <v>801.7079</v>
      </c>
    </row>
    <row r="249" spans="1:18" x14ac:dyDescent="0.3">
      <c r="A249" t="s">
        <v>0</v>
      </c>
      <c r="B249" t="s">
        <v>0</v>
      </c>
      <c r="C249">
        <v>0</v>
      </c>
      <c r="D249">
        <v>15</v>
      </c>
      <c r="E249">
        <v>5</v>
      </c>
      <c r="F249">
        <v>20260317</v>
      </c>
      <c r="G249">
        <v>20260405</v>
      </c>
      <c r="H249">
        <v>126.38679999999999</v>
      </c>
      <c r="I249">
        <f t="shared" si="33"/>
        <v>20</v>
      </c>
      <c r="J249">
        <f t="shared" si="34"/>
        <v>6.3193399999999995</v>
      </c>
      <c r="K249">
        <f t="shared" si="35"/>
        <v>0</v>
      </c>
      <c r="L249">
        <f t="shared" si="36"/>
        <v>94.790099999999995</v>
      </c>
      <c r="M249">
        <f t="shared" si="37"/>
        <v>19.609463534089283</v>
      </c>
      <c r="N249">
        <f t="shared" si="38"/>
        <v>114.39956353408928</v>
      </c>
      <c r="O249">
        <f t="shared" si="39"/>
        <v>0</v>
      </c>
      <c r="P249">
        <f t="shared" si="40"/>
        <v>104.72257970730878</v>
      </c>
      <c r="Q249">
        <f t="shared" si="41"/>
        <v>21.664220292691219</v>
      </c>
      <c r="R249">
        <f t="shared" si="42"/>
        <v>126.38679999999999</v>
      </c>
    </row>
    <row r="250" spans="1:18" x14ac:dyDescent="0.3">
      <c r="A250" t="s">
        <v>0</v>
      </c>
      <c r="B250" t="s">
        <v>0</v>
      </c>
      <c r="C250">
        <v>0</v>
      </c>
      <c r="D250">
        <v>16</v>
      </c>
      <c r="E250">
        <v>1</v>
      </c>
      <c r="F250">
        <v>20260316</v>
      </c>
      <c r="G250">
        <v>20260401</v>
      </c>
      <c r="H250">
        <v>210.69909999999999</v>
      </c>
      <c r="I250">
        <f t="shared" si="33"/>
        <v>17</v>
      </c>
      <c r="J250">
        <f t="shared" si="34"/>
        <v>12.394064705882352</v>
      </c>
      <c r="K250">
        <f t="shared" si="35"/>
        <v>0</v>
      </c>
      <c r="L250">
        <f t="shared" si="36"/>
        <v>198.30503529411763</v>
      </c>
      <c r="M250">
        <f t="shared" si="37"/>
        <v>7.6919728923951869</v>
      </c>
      <c r="N250">
        <f t="shared" si="38"/>
        <v>205.99700818651283</v>
      </c>
      <c r="O250">
        <f t="shared" si="39"/>
        <v>0</v>
      </c>
      <c r="P250">
        <f t="shared" si="40"/>
        <v>202.83154998109549</v>
      </c>
      <c r="Q250">
        <f t="shared" si="41"/>
        <v>7.8675500189044669</v>
      </c>
      <c r="R250">
        <f t="shared" si="42"/>
        <v>210.69909999999996</v>
      </c>
    </row>
    <row r="251" spans="1:18" x14ac:dyDescent="0.3">
      <c r="A251" t="s">
        <v>0</v>
      </c>
      <c r="B251" t="s">
        <v>0</v>
      </c>
      <c r="C251">
        <v>0</v>
      </c>
      <c r="D251">
        <v>16</v>
      </c>
      <c r="E251">
        <v>3</v>
      </c>
      <c r="F251">
        <v>20260316</v>
      </c>
      <c r="G251">
        <v>20260403</v>
      </c>
      <c r="H251">
        <v>126.38979999999999</v>
      </c>
      <c r="I251">
        <f t="shared" si="33"/>
        <v>19</v>
      </c>
      <c r="J251">
        <f t="shared" si="34"/>
        <v>6.6520947368421046</v>
      </c>
      <c r="K251">
        <f t="shared" si="35"/>
        <v>0</v>
      </c>
      <c r="L251">
        <f t="shared" si="36"/>
        <v>106.43351578947367</v>
      </c>
      <c r="M251">
        <f t="shared" si="37"/>
        <v>12.385218314008661</v>
      </c>
      <c r="N251">
        <f t="shared" si="38"/>
        <v>118.81873410348234</v>
      </c>
      <c r="O251">
        <f t="shared" si="39"/>
        <v>0</v>
      </c>
      <c r="P251">
        <f t="shared" si="40"/>
        <v>113.21540222952235</v>
      </c>
      <c r="Q251">
        <f t="shared" si="41"/>
        <v>13.174397770477627</v>
      </c>
      <c r="R251">
        <f t="shared" si="42"/>
        <v>126.38979999999998</v>
      </c>
    </row>
    <row r="252" spans="1:18" x14ac:dyDescent="0.3">
      <c r="A252" t="s">
        <v>0</v>
      </c>
      <c r="B252" t="s">
        <v>0</v>
      </c>
      <c r="C252">
        <v>0</v>
      </c>
      <c r="D252">
        <v>11</v>
      </c>
      <c r="E252">
        <v>7</v>
      </c>
      <c r="F252">
        <v>20260321</v>
      </c>
      <c r="G252">
        <v>20260407</v>
      </c>
      <c r="H252">
        <v>126.4965</v>
      </c>
      <c r="I252">
        <f t="shared" si="33"/>
        <v>18</v>
      </c>
      <c r="J252">
        <f t="shared" si="34"/>
        <v>7.0275833333333333</v>
      </c>
      <c r="K252">
        <f t="shared" si="35"/>
        <v>0</v>
      </c>
      <c r="L252">
        <f t="shared" si="36"/>
        <v>77.303416666666664</v>
      </c>
      <c r="M252">
        <f t="shared" si="37"/>
        <v>30.530086172113393</v>
      </c>
      <c r="N252">
        <f t="shared" si="38"/>
        <v>107.83350283878005</v>
      </c>
      <c r="O252">
        <f t="shared" si="39"/>
        <v>0</v>
      </c>
      <c r="P252">
        <f t="shared" si="40"/>
        <v>90.682500233668819</v>
      </c>
      <c r="Q252">
        <f t="shared" si="41"/>
        <v>35.813999766331186</v>
      </c>
      <c r="R252">
        <f t="shared" si="42"/>
        <v>126.4965</v>
      </c>
    </row>
    <row r="253" spans="1:18" x14ac:dyDescent="0.3">
      <c r="A253" t="s">
        <v>0</v>
      </c>
      <c r="B253" t="s">
        <v>0</v>
      </c>
      <c r="C253">
        <v>26</v>
      </c>
      <c r="D253">
        <v>10</v>
      </c>
      <c r="E253">
        <v>0</v>
      </c>
      <c r="F253">
        <v>20260203</v>
      </c>
      <c r="G253">
        <v>20260310</v>
      </c>
      <c r="H253">
        <v>295.6773</v>
      </c>
      <c r="I253">
        <f t="shared" si="33"/>
        <v>36</v>
      </c>
      <c r="J253">
        <f t="shared" si="34"/>
        <v>8.213258333333334</v>
      </c>
      <c r="K253">
        <f t="shared" si="35"/>
        <v>289.6432545625309</v>
      </c>
      <c r="L253">
        <f t="shared" si="36"/>
        <v>82.132583333333343</v>
      </c>
      <c r="M253">
        <f t="shared" si="37"/>
        <v>0</v>
      </c>
      <c r="N253">
        <f t="shared" si="38"/>
        <v>371.77583789586424</v>
      </c>
      <c r="O253">
        <f t="shared" si="39"/>
        <v>230.35637807169746</v>
      </c>
      <c r="P253">
        <f t="shared" si="40"/>
        <v>65.320921928302525</v>
      </c>
      <c r="Q253">
        <f t="shared" si="41"/>
        <v>0</v>
      </c>
      <c r="R253">
        <f t="shared" si="42"/>
        <v>295.6773</v>
      </c>
    </row>
    <row r="254" spans="1:18" x14ac:dyDescent="0.3">
      <c r="A254" t="s">
        <v>0</v>
      </c>
      <c r="B254" t="s">
        <v>0</v>
      </c>
      <c r="C254">
        <v>27</v>
      </c>
      <c r="D254">
        <v>6</v>
      </c>
      <c r="E254">
        <v>0</v>
      </c>
      <c r="F254">
        <v>20260202</v>
      </c>
      <c r="G254">
        <v>20260306</v>
      </c>
      <c r="H254">
        <v>1604.9179999999999</v>
      </c>
      <c r="I254">
        <f t="shared" si="33"/>
        <v>33</v>
      </c>
      <c r="J254">
        <f t="shared" si="34"/>
        <v>48.633878787878785</v>
      </c>
      <c r="K254">
        <f t="shared" si="35"/>
        <v>1781.054709093776</v>
      </c>
      <c r="L254">
        <f t="shared" si="36"/>
        <v>291.80327272727271</v>
      </c>
      <c r="M254">
        <f t="shared" si="37"/>
        <v>0</v>
      </c>
      <c r="N254">
        <f t="shared" si="38"/>
        <v>2072.8579818210487</v>
      </c>
      <c r="O254">
        <f t="shared" si="39"/>
        <v>1378.9882310693374</v>
      </c>
      <c r="P254">
        <f t="shared" si="40"/>
        <v>225.92976893066253</v>
      </c>
      <c r="Q254">
        <f t="shared" si="41"/>
        <v>0</v>
      </c>
      <c r="R254">
        <f t="shared" si="42"/>
        <v>1604.9179999999999</v>
      </c>
    </row>
    <row r="255" spans="1:18" x14ac:dyDescent="0.3">
      <c r="A255" t="s">
        <v>0</v>
      </c>
      <c r="B255" t="s">
        <v>0</v>
      </c>
      <c r="C255">
        <v>24</v>
      </c>
      <c r="D255">
        <v>4</v>
      </c>
      <c r="E255">
        <v>0</v>
      </c>
      <c r="F255">
        <v>20260205</v>
      </c>
      <c r="G255">
        <v>20260304</v>
      </c>
      <c r="H255">
        <v>379.94310000000002</v>
      </c>
      <c r="I255">
        <f t="shared" si="33"/>
        <v>28</v>
      </c>
      <c r="J255">
        <f t="shared" si="34"/>
        <v>13.569396428571428</v>
      </c>
      <c r="K255">
        <f t="shared" si="35"/>
        <v>441.71928450814562</v>
      </c>
      <c r="L255">
        <f t="shared" si="36"/>
        <v>54.277585714285713</v>
      </c>
      <c r="M255">
        <f t="shared" si="37"/>
        <v>0</v>
      </c>
      <c r="N255">
        <f t="shared" si="38"/>
        <v>495.99687022243131</v>
      </c>
      <c r="O255">
        <f t="shared" si="39"/>
        <v>338.36543002891079</v>
      </c>
      <c r="P255">
        <f t="shared" si="40"/>
        <v>41.577669971089236</v>
      </c>
      <c r="Q255">
        <f t="shared" si="41"/>
        <v>0</v>
      </c>
      <c r="R255">
        <f t="shared" si="42"/>
        <v>379.94310000000002</v>
      </c>
    </row>
    <row r="256" spans="1:18" x14ac:dyDescent="0.3">
      <c r="A256" t="s">
        <v>0</v>
      </c>
      <c r="B256" t="s">
        <v>0</v>
      </c>
      <c r="C256">
        <v>27</v>
      </c>
      <c r="D256">
        <v>4</v>
      </c>
      <c r="E256">
        <v>0</v>
      </c>
      <c r="F256">
        <v>20260202</v>
      </c>
      <c r="G256">
        <v>20260304</v>
      </c>
      <c r="H256">
        <v>759.93960000000004</v>
      </c>
      <c r="I256">
        <f t="shared" si="33"/>
        <v>31</v>
      </c>
      <c r="J256">
        <f t="shared" si="34"/>
        <v>24.514180645161293</v>
      </c>
      <c r="K256">
        <f t="shared" si="35"/>
        <v>897.75066200399078</v>
      </c>
      <c r="L256">
        <f t="shared" si="36"/>
        <v>98.056722580645172</v>
      </c>
      <c r="M256">
        <f t="shared" si="37"/>
        <v>0</v>
      </c>
      <c r="N256">
        <f t="shared" si="38"/>
        <v>995.807384584636</v>
      </c>
      <c r="O256">
        <f t="shared" si="39"/>
        <v>685.10867617999986</v>
      </c>
      <c r="P256">
        <f t="shared" si="40"/>
        <v>74.830923820000123</v>
      </c>
      <c r="Q256">
        <f t="shared" si="41"/>
        <v>0</v>
      </c>
      <c r="R256">
        <f t="shared" si="42"/>
        <v>759.93959999999993</v>
      </c>
    </row>
    <row r="257" spans="1:18" x14ac:dyDescent="0.3">
      <c r="A257" t="s">
        <v>0</v>
      </c>
      <c r="B257" t="s">
        <v>0</v>
      </c>
      <c r="C257">
        <v>20</v>
      </c>
      <c r="D257">
        <v>7</v>
      </c>
      <c r="E257">
        <v>0</v>
      </c>
      <c r="F257">
        <v>20260209</v>
      </c>
      <c r="G257">
        <v>20260307</v>
      </c>
      <c r="H257">
        <v>126.7989</v>
      </c>
      <c r="I257">
        <f t="shared" si="33"/>
        <v>27</v>
      </c>
      <c r="J257">
        <f t="shared" si="34"/>
        <v>4.6962555555555561</v>
      </c>
      <c r="K257">
        <f t="shared" si="35"/>
        <v>127.39615052071244</v>
      </c>
      <c r="L257">
        <f t="shared" si="36"/>
        <v>32.873788888888896</v>
      </c>
      <c r="M257">
        <f t="shared" si="37"/>
        <v>0</v>
      </c>
      <c r="N257">
        <f t="shared" si="38"/>
        <v>160.26993940960134</v>
      </c>
      <c r="O257">
        <f t="shared" si="39"/>
        <v>100.79052759218203</v>
      </c>
      <c r="P257">
        <f t="shared" si="40"/>
        <v>26.008372407817976</v>
      </c>
      <c r="Q257">
        <f t="shared" si="41"/>
        <v>0</v>
      </c>
      <c r="R257">
        <f t="shared" si="42"/>
        <v>126.7989</v>
      </c>
    </row>
    <row r="258" spans="1:18" x14ac:dyDescent="0.3">
      <c r="A258" t="s">
        <v>0</v>
      </c>
      <c r="B258" t="s">
        <v>0</v>
      </c>
      <c r="C258">
        <v>20</v>
      </c>
      <c r="D258">
        <v>10</v>
      </c>
      <c r="E258">
        <v>0</v>
      </c>
      <c r="F258">
        <v>20260209</v>
      </c>
      <c r="G258">
        <v>20260310</v>
      </c>
      <c r="H258">
        <v>84.538499999999999</v>
      </c>
      <c r="I258">
        <f t="shared" si="33"/>
        <v>30</v>
      </c>
      <c r="J258">
        <f t="shared" si="34"/>
        <v>2.8179500000000002</v>
      </c>
      <c r="K258">
        <f t="shared" si="35"/>
        <v>76.443025323687536</v>
      </c>
      <c r="L258">
        <f t="shared" si="36"/>
        <v>28.179500000000001</v>
      </c>
      <c r="M258">
        <f t="shared" si="37"/>
        <v>0</v>
      </c>
      <c r="N258">
        <f t="shared" si="38"/>
        <v>104.62252532368754</v>
      </c>
      <c r="O258">
        <f t="shared" si="39"/>
        <v>61.768521418622406</v>
      </c>
      <c r="P258">
        <f t="shared" si="40"/>
        <v>22.76997858137759</v>
      </c>
      <c r="Q258">
        <f t="shared" si="41"/>
        <v>0</v>
      </c>
      <c r="R258">
        <f t="shared" si="42"/>
        <v>84.538499999999999</v>
      </c>
    </row>
    <row r="259" spans="1:18" x14ac:dyDescent="0.3">
      <c r="A259" t="s">
        <v>0</v>
      </c>
      <c r="B259" t="s">
        <v>0</v>
      </c>
      <c r="C259">
        <v>21</v>
      </c>
      <c r="D259">
        <v>6</v>
      </c>
      <c r="E259">
        <v>0</v>
      </c>
      <c r="F259">
        <v>20260208</v>
      </c>
      <c r="G259">
        <v>20260306</v>
      </c>
      <c r="H259">
        <v>126.7752</v>
      </c>
      <c r="I259">
        <f t="shared" si="33"/>
        <v>27</v>
      </c>
      <c r="J259">
        <f t="shared" si="34"/>
        <v>4.6953777777777779</v>
      </c>
      <c r="K259">
        <f t="shared" si="35"/>
        <v>133.74095583296145</v>
      </c>
      <c r="L259">
        <f t="shared" si="36"/>
        <v>28.172266666666665</v>
      </c>
      <c r="M259">
        <f t="shared" si="37"/>
        <v>0</v>
      </c>
      <c r="N259">
        <f t="shared" si="38"/>
        <v>161.91322249962812</v>
      </c>
      <c r="O259">
        <f t="shared" si="39"/>
        <v>104.7168116486212</v>
      </c>
      <c r="P259">
        <f t="shared" si="40"/>
        <v>22.058388351378795</v>
      </c>
      <c r="Q259">
        <f t="shared" si="41"/>
        <v>0</v>
      </c>
      <c r="R259">
        <f t="shared" si="42"/>
        <v>126.7752</v>
      </c>
    </row>
    <row r="260" spans="1:18" x14ac:dyDescent="0.3">
      <c r="A260" t="s">
        <v>0</v>
      </c>
      <c r="B260" t="s">
        <v>0</v>
      </c>
      <c r="C260">
        <v>26</v>
      </c>
      <c r="D260">
        <v>28</v>
      </c>
      <c r="E260">
        <v>0</v>
      </c>
      <c r="F260">
        <v>20260203</v>
      </c>
      <c r="G260">
        <v>20260328</v>
      </c>
      <c r="H260">
        <v>928.35860000000002</v>
      </c>
      <c r="I260">
        <f t="shared" si="33"/>
        <v>54</v>
      </c>
      <c r="J260">
        <f t="shared" si="34"/>
        <v>17.191825925925926</v>
      </c>
      <c r="K260">
        <f t="shared" si="35"/>
        <v>606.27539168572127</v>
      </c>
      <c r="L260">
        <f t="shared" si="36"/>
        <v>481.37112592592592</v>
      </c>
      <c r="M260">
        <f t="shared" si="37"/>
        <v>0</v>
      </c>
      <c r="N260">
        <f t="shared" si="38"/>
        <v>1087.6465176116471</v>
      </c>
      <c r="O260">
        <f t="shared" si="39"/>
        <v>517.48519829378495</v>
      </c>
      <c r="P260">
        <f t="shared" si="40"/>
        <v>410.87340170621513</v>
      </c>
      <c r="Q260">
        <f t="shared" si="41"/>
        <v>0</v>
      </c>
      <c r="R260">
        <f t="shared" si="42"/>
        <v>928.35860000000002</v>
      </c>
    </row>
    <row r="261" spans="1:18" x14ac:dyDescent="0.3">
      <c r="A261" t="s">
        <v>0</v>
      </c>
      <c r="B261" t="s">
        <v>0</v>
      </c>
      <c r="C261">
        <v>27</v>
      </c>
      <c r="D261">
        <v>25</v>
      </c>
      <c r="E261">
        <v>0</v>
      </c>
      <c r="F261">
        <v>20260202</v>
      </c>
      <c r="G261">
        <v>20260325</v>
      </c>
      <c r="H261">
        <v>1054.9034999999999</v>
      </c>
      <c r="I261">
        <f t="shared" si="33"/>
        <v>52</v>
      </c>
      <c r="J261">
        <f t="shared" si="34"/>
        <v>20.286605769230768</v>
      </c>
      <c r="K261">
        <f t="shared" si="35"/>
        <v>742.92973617030589</v>
      </c>
      <c r="L261">
        <f t="shared" si="36"/>
        <v>507.16514423076922</v>
      </c>
      <c r="M261">
        <f t="shared" si="37"/>
        <v>0</v>
      </c>
      <c r="N261">
        <f t="shared" si="38"/>
        <v>1250.094880401075</v>
      </c>
      <c r="O261">
        <f t="shared" si="39"/>
        <v>626.92775662651081</v>
      </c>
      <c r="P261">
        <f t="shared" si="40"/>
        <v>427.97574337348925</v>
      </c>
      <c r="Q261">
        <f t="shared" si="41"/>
        <v>0</v>
      </c>
      <c r="R261">
        <f t="shared" si="42"/>
        <v>1054.9035000000001</v>
      </c>
    </row>
    <row r="262" spans="1:18" x14ac:dyDescent="0.3">
      <c r="A262" t="s">
        <v>0</v>
      </c>
      <c r="B262" t="s">
        <v>0</v>
      </c>
      <c r="C262">
        <v>24</v>
      </c>
      <c r="D262">
        <v>23</v>
      </c>
      <c r="E262">
        <v>0</v>
      </c>
      <c r="F262">
        <v>20260205</v>
      </c>
      <c r="G262">
        <v>20260323</v>
      </c>
      <c r="H262">
        <v>337.5059</v>
      </c>
      <c r="I262">
        <f t="shared" si="33"/>
        <v>47</v>
      </c>
      <c r="J262">
        <f t="shared" si="34"/>
        <v>7.1809765957446805</v>
      </c>
      <c r="K262">
        <f t="shared" si="35"/>
        <v>233.7595382844911</v>
      </c>
      <c r="L262">
        <f t="shared" si="36"/>
        <v>165.16246170212764</v>
      </c>
      <c r="M262">
        <f t="shared" si="37"/>
        <v>0</v>
      </c>
      <c r="N262">
        <f t="shared" si="38"/>
        <v>398.92199998661874</v>
      </c>
      <c r="O262">
        <f t="shared" si="39"/>
        <v>197.77105137078942</v>
      </c>
      <c r="P262">
        <f t="shared" si="40"/>
        <v>139.7348486292106</v>
      </c>
      <c r="Q262">
        <f t="shared" si="41"/>
        <v>0</v>
      </c>
      <c r="R262">
        <f t="shared" si="42"/>
        <v>337.5059</v>
      </c>
    </row>
    <row r="263" spans="1:18" x14ac:dyDescent="0.3">
      <c r="A263" t="s">
        <v>0</v>
      </c>
      <c r="B263" t="s">
        <v>0</v>
      </c>
      <c r="C263">
        <v>22</v>
      </c>
      <c r="D263">
        <v>30</v>
      </c>
      <c r="E263">
        <v>0</v>
      </c>
      <c r="F263">
        <v>20260207</v>
      </c>
      <c r="G263">
        <v>20260330</v>
      </c>
      <c r="H263">
        <v>379.85419999999999</v>
      </c>
      <c r="I263">
        <f t="shared" si="33"/>
        <v>52</v>
      </c>
      <c r="J263">
        <f t="shared" si="34"/>
        <v>7.3048884615384617</v>
      </c>
      <c r="K263">
        <f t="shared" si="35"/>
        <v>217.9770936380373</v>
      </c>
      <c r="L263">
        <f t="shared" si="36"/>
        <v>219.14665384615384</v>
      </c>
      <c r="M263">
        <f t="shared" si="37"/>
        <v>0</v>
      </c>
      <c r="N263">
        <f t="shared" si="38"/>
        <v>437.12374748419114</v>
      </c>
      <c r="O263">
        <f t="shared" si="39"/>
        <v>189.4189345665697</v>
      </c>
      <c r="P263">
        <f t="shared" si="40"/>
        <v>190.43526543343026</v>
      </c>
      <c r="Q263">
        <f t="shared" si="41"/>
        <v>0</v>
      </c>
      <c r="R263">
        <f t="shared" si="42"/>
        <v>379.85419999999999</v>
      </c>
    </row>
    <row r="264" spans="1:18" x14ac:dyDescent="0.3">
      <c r="A264" t="s">
        <v>0</v>
      </c>
      <c r="B264" t="s">
        <v>0</v>
      </c>
      <c r="C264">
        <v>25</v>
      </c>
      <c r="D264">
        <v>23</v>
      </c>
      <c r="E264">
        <v>0</v>
      </c>
      <c r="F264">
        <v>20260204</v>
      </c>
      <c r="G264">
        <v>20260323</v>
      </c>
      <c r="H264">
        <v>210.94120000000001</v>
      </c>
      <c r="I264">
        <f t="shared" si="33"/>
        <v>48</v>
      </c>
      <c r="J264">
        <f t="shared" si="34"/>
        <v>4.3946083333333332</v>
      </c>
      <c r="K264">
        <f t="shared" si="35"/>
        <v>149.01664158017718</v>
      </c>
      <c r="L264">
        <f t="shared" si="36"/>
        <v>101.07599166666667</v>
      </c>
      <c r="M264">
        <f t="shared" si="37"/>
        <v>0</v>
      </c>
      <c r="N264">
        <f t="shared" si="38"/>
        <v>250.09263324684383</v>
      </c>
      <c r="O264">
        <f t="shared" si="39"/>
        <v>125.68842507194947</v>
      </c>
      <c r="P264">
        <f t="shared" si="40"/>
        <v>85.252774928050542</v>
      </c>
      <c r="Q264">
        <f t="shared" si="41"/>
        <v>0</v>
      </c>
      <c r="R264">
        <f t="shared" si="42"/>
        <v>210.94120000000001</v>
      </c>
    </row>
    <row r="265" spans="1:18" x14ac:dyDescent="0.3">
      <c r="A265" t="s">
        <v>0</v>
      </c>
      <c r="B265" t="s">
        <v>0</v>
      </c>
      <c r="C265">
        <v>22</v>
      </c>
      <c r="D265">
        <v>19</v>
      </c>
      <c r="E265">
        <v>0</v>
      </c>
      <c r="F265">
        <v>20260207</v>
      </c>
      <c r="G265">
        <v>20260319</v>
      </c>
      <c r="H265">
        <v>84.4101</v>
      </c>
      <c r="I265">
        <f t="shared" si="33"/>
        <v>41</v>
      </c>
      <c r="J265">
        <f t="shared" si="34"/>
        <v>2.0587829268292683</v>
      </c>
      <c r="K265">
        <f t="shared" si="35"/>
        <v>61.433863252628271</v>
      </c>
      <c r="L265">
        <f t="shared" si="36"/>
        <v>39.1168756097561</v>
      </c>
      <c r="M265">
        <f t="shared" si="37"/>
        <v>0</v>
      </c>
      <c r="N265">
        <f t="shared" si="38"/>
        <v>100.55073886238438</v>
      </c>
      <c r="O265">
        <f t="shared" si="39"/>
        <v>51.572356396483968</v>
      </c>
      <c r="P265">
        <f t="shared" si="40"/>
        <v>32.837743603516031</v>
      </c>
      <c r="Q265">
        <f t="shared" si="41"/>
        <v>0</v>
      </c>
      <c r="R265">
        <f t="shared" si="42"/>
        <v>84.4101</v>
      </c>
    </row>
    <row r="266" spans="1:18" x14ac:dyDescent="0.3">
      <c r="A266" t="s">
        <v>0</v>
      </c>
      <c r="B266" t="s">
        <v>0</v>
      </c>
      <c r="C266">
        <v>24</v>
      </c>
      <c r="D266">
        <v>27</v>
      </c>
      <c r="E266">
        <v>0</v>
      </c>
      <c r="F266">
        <v>20260205</v>
      </c>
      <c r="G266">
        <v>20260327</v>
      </c>
      <c r="H266">
        <v>168.78450000000001</v>
      </c>
      <c r="I266">
        <f t="shared" si="33"/>
        <v>51</v>
      </c>
      <c r="J266">
        <f t="shared" si="34"/>
        <v>3.3095000000000003</v>
      </c>
      <c r="K266">
        <f t="shared" si="35"/>
        <v>107.73286636402089</v>
      </c>
      <c r="L266">
        <f t="shared" si="36"/>
        <v>89.356500000000011</v>
      </c>
      <c r="M266">
        <f t="shared" si="37"/>
        <v>0</v>
      </c>
      <c r="N266">
        <f t="shared" si="38"/>
        <v>197.08936636402092</v>
      </c>
      <c r="O266">
        <f t="shared" si="39"/>
        <v>92.260877987872746</v>
      </c>
      <c r="P266">
        <f t="shared" si="40"/>
        <v>76.523622012127248</v>
      </c>
      <c r="Q266">
        <f t="shared" si="41"/>
        <v>0</v>
      </c>
      <c r="R266">
        <f t="shared" si="42"/>
        <v>168.78449999999998</v>
      </c>
    </row>
    <row r="267" spans="1:18" x14ac:dyDescent="0.3">
      <c r="A267" t="s">
        <v>0</v>
      </c>
      <c r="B267" t="s">
        <v>0</v>
      </c>
      <c r="C267">
        <v>25</v>
      </c>
      <c r="D267">
        <v>24</v>
      </c>
      <c r="E267">
        <v>0</v>
      </c>
      <c r="F267">
        <v>20260204</v>
      </c>
      <c r="G267">
        <v>20260324</v>
      </c>
      <c r="H267">
        <v>253.1472</v>
      </c>
      <c r="I267">
        <f t="shared" ref="I267:I330" si="43">IF(C267&lt;0,0,C267)+D267+E267</f>
        <v>49</v>
      </c>
      <c r="J267">
        <f t="shared" ref="J267:J330" si="44">H267/I267</f>
        <v>5.1662693877551016</v>
      </c>
      <c r="K267">
        <f t="shared" ref="K267:K330" si="45">IF(C267&lt;0,0,C267)*$J267*$B$6</f>
        <v>175.18287302700321</v>
      </c>
      <c r="L267">
        <f t="shared" ref="L267:L330" si="46">IF(D267&lt;0,0,D267)*$J267*$C$6</f>
        <v>123.99046530612245</v>
      </c>
      <c r="M267">
        <f t="shared" ref="M267:M330" si="47">IF(E267&lt;0,0,E267)*$J267*$D$6</f>
        <v>0</v>
      </c>
      <c r="N267">
        <f t="shared" ref="N267:N330" si="48">K267+L267+M267</f>
        <v>299.17333833312568</v>
      </c>
      <c r="O267">
        <f t="shared" ref="O267:O330" si="49">K267/$N267*$H267</f>
        <v>148.23197161159297</v>
      </c>
      <c r="P267">
        <f t="shared" ref="P267:P330" si="50">L267/$N267*$H267</f>
        <v>104.915228388407</v>
      </c>
      <c r="Q267">
        <f t="shared" ref="Q267:Q330" si="51">M267/$N267*$H267</f>
        <v>0</v>
      </c>
      <c r="R267">
        <f t="shared" ref="R267:R330" si="52">O267+P267+Q267</f>
        <v>253.14719999999997</v>
      </c>
    </row>
    <row r="268" spans="1:18" x14ac:dyDescent="0.3">
      <c r="A268" t="s">
        <v>0</v>
      </c>
      <c r="B268" t="s">
        <v>0</v>
      </c>
      <c r="C268">
        <v>23</v>
      </c>
      <c r="D268">
        <v>31</v>
      </c>
      <c r="E268">
        <v>2</v>
      </c>
      <c r="F268">
        <v>20260206</v>
      </c>
      <c r="G268">
        <v>20260402</v>
      </c>
      <c r="H268">
        <v>102295.42019999999</v>
      </c>
      <c r="I268">
        <f t="shared" si="43"/>
        <v>56</v>
      </c>
      <c r="J268">
        <f t="shared" si="44"/>
        <v>1826.703932142857</v>
      </c>
      <c r="K268">
        <f t="shared" si="45"/>
        <v>56986.316714358807</v>
      </c>
      <c r="L268">
        <f t="shared" si="46"/>
        <v>56627.821896428562</v>
      </c>
      <c r="M268">
        <f t="shared" si="47"/>
        <v>2267.3686900804742</v>
      </c>
      <c r="N268">
        <f t="shared" si="48"/>
        <v>115881.50730086784</v>
      </c>
      <c r="O268">
        <f t="shared" si="49"/>
        <v>50305.172496681531</v>
      </c>
      <c r="P268">
        <f t="shared" si="50"/>
        <v>49988.70804179243</v>
      </c>
      <c r="Q268">
        <f t="shared" si="51"/>
        <v>2001.539661526034</v>
      </c>
      <c r="R268">
        <f t="shared" si="52"/>
        <v>102295.42019999999</v>
      </c>
    </row>
    <row r="269" spans="1:18" x14ac:dyDescent="0.3">
      <c r="A269" t="s">
        <v>0</v>
      </c>
      <c r="B269" t="s">
        <v>0</v>
      </c>
      <c r="C269">
        <v>24</v>
      </c>
      <c r="D269">
        <v>31</v>
      </c>
      <c r="E269">
        <v>2</v>
      </c>
      <c r="F269">
        <v>20260205</v>
      </c>
      <c r="G269">
        <v>20260402</v>
      </c>
      <c r="H269">
        <v>151660.02530000001</v>
      </c>
      <c r="I269">
        <f t="shared" si="43"/>
        <v>57</v>
      </c>
      <c r="J269">
        <f t="shared" si="44"/>
        <v>2660.702198245614</v>
      </c>
      <c r="K269">
        <f t="shared" si="45"/>
        <v>86612.803854978498</v>
      </c>
      <c r="L269">
        <f t="shared" si="46"/>
        <v>82481.768145614027</v>
      </c>
      <c r="M269">
        <f t="shared" si="47"/>
        <v>3302.556452513621</v>
      </c>
      <c r="N269">
        <f t="shared" si="48"/>
        <v>172397.12845310615</v>
      </c>
      <c r="O269">
        <f t="shared" si="49"/>
        <v>76194.424708895473</v>
      </c>
      <c r="P269">
        <f t="shared" si="50"/>
        <v>72560.298167351371</v>
      </c>
      <c r="Q269">
        <f t="shared" si="51"/>
        <v>2905.3024237531595</v>
      </c>
      <c r="R269">
        <f t="shared" si="52"/>
        <v>151660.02530000001</v>
      </c>
    </row>
    <row r="270" spans="1:18" x14ac:dyDescent="0.3">
      <c r="A270" t="s">
        <v>0</v>
      </c>
      <c r="B270" t="s">
        <v>0</v>
      </c>
      <c r="C270">
        <v>23</v>
      </c>
      <c r="D270">
        <v>31</v>
      </c>
      <c r="E270">
        <v>7</v>
      </c>
      <c r="F270">
        <v>20260206</v>
      </c>
      <c r="G270">
        <v>20260407</v>
      </c>
      <c r="H270">
        <v>106108.38</v>
      </c>
      <c r="I270">
        <f t="shared" si="43"/>
        <v>61</v>
      </c>
      <c r="J270">
        <f t="shared" si="44"/>
        <v>1739.4816393442625</v>
      </c>
      <c r="K270">
        <f t="shared" si="45"/>
        <v>54265.308063470045</v>
      </c>
      <c r="L270">
        <f t="shared" si="46"/>
        <v>53923.930819672139</v>
      </c>
      <c r="M270">
        <f t="shared" si="47"/>
        <v>7556.8686737720745</v>
      </c>
      <c r="N270">
        <f t="shared" si="48"/>
        <v>115746.10755691426</v>
      </c>
      <c r="O270">
        <f t="shared" si="49"/>
        <v>49746.847218896233</v>
      </c>
      <c r="P270">
        <f t="shared" si="50"/>
        <v>49433.895128559634</v>
      </c>
      <c r="Q270">
        <f t="shared" si="51"/>
        <v>6927.6376525441428</v>
      </c>
      <c r="R270">
        <f t="shared" si="52"/>
        <v>106108.38000000002</v>
      </c>
    </row>
    <row r="271" spans="1:18" x14ac:dyDescent="0.3">
      <c r="A271" t="s">
        <v>0</v>
      </c>
      <c r="B271" t="s">
        <v>0</v>
      </c>
      <c r="C271">
        <v>20</v>
      </c>
      <c r="D271">
        <v>31</v>
      </c>
      <c r="E271">
        <v>4</v>
      </c>
      <c r="F271">
        <v>20260209</v>
      </c>
      <c r="G271">
        <v>20260404</v>
      </c>
      <c r="H271">
        <v>20385.030999999999</v>
      </c>
      <c r="I271">
        <f t="shared" si="43"/>
        <v>55</v>
      </c>
      <c r="J271">
        <f t="shared" si="44"/>
        <v>370.63692727272723</v>
      </c>
      <c r="K271">
        <f t="shared" si="45"/>
        <v>10054.333120673831</v>
      </c>
      <c r="L271">
        <f t="shared" si="46"/>
        <v>11489.744745454544</v>
      </c>
      <c r="M271">
        <f t="shared" si="47"/>
        <v>920.09498583604568</v>
      </c>
      <c r="N271">
        <f t="shared" si="48"/>
        <v>22464.172851964424</v>
      </c>
      <c r="O271">
        <f t="shared" si="49"/>
        <v>9123.7675965149028</v>
      </c>
      <c r="P271">
        <f t="shared" si="50"/>
        <v>10426.326593979011</v>
      </c>
      <c r="Q271">
        <f t="shared" si="51"/>
        <v>834.93680950608336</v>
      </c>
      <c r="R271">
        <f t="shared" si="52"/>
        <v>20385.030999999995</v>
      </c>
    </row>
    <row r="272" spans="1:18" x14ac:dyDescent="0.3">
      <c r="A272" t="s">
        <v>0</v>
      </c>
      <c r="B272" t="s">
        <v>0</v>
      </c>
      <c r="C272">
        <v>26</v>
      </c>
      <c r="D272">
        <v>31</v>
      </c>
      <c r="E272">
        <v>8</v>
      </c>
      <c r="F272">
        <v>20260203</v>
      </c>
      <c r="G272">
        <v>20260408</v>
      </c>
      <c r="H272">
        <v>9745.7101999999995</v>
      </c>
      <c r="I272">
        <f t="shared" si="43"/>
        <v>65</v>
      </c>
      <c r="J272">
        <f t="shared" si="44"/>
        <v>149.93400307692306</v>
      </c>
      <c r="K272">
        <f t="shared" si="45"/>
        <v>5287.4718970593494</v>
      </c>
      <c r="L272">
        <f t="shared" si="46"/>
        <v>4647.9540953846154</v>
      </c>
      <c r="M272">
        <f t="shared" si="47"/>
        <v>744.41327502098716</v>
      </c>
      <c r="N272">
        <f t="shared" si="48"/>
        <v>10679.839267464951</v>
      </c>
      <c r="O272">
        <f t="shared" si="49"/>
        <v>4824.9947877367485</v>
      </c>
      <c r="P272">
        <f t="shared" si="50"/>
        <v>4241.4134241248566</v>
      </c>
      <c r="Q272">
        <f t="shared" si="51"/>
        <v>679.30198813839479</v>
      </c>
      <c r="R272">
        <f t="shared" si="52"/>
        <v>9745.7102000000014</v>
      </c>
    </row>
    <row r="273" spans="1:18" x14ac:dyDescent="0.3">
      <c r="A273" t="s">
        <v>0</v>
      </c>
      <c r="B273" t="s">
        <v>0</v>
      </c>
      <c r="C273">
        <v>21</v>
      </c>
      <c r="D273">
        <v>31</v>
      </c>
      <c r="E273">
        <v>4</v>
      </c>
      <c r="F273">
        <v>20260208</v>
      </c>
      <c r="G273">
        <v>20260404</v>
      </c>
      <c r="H273">
        <v>19540.472900000001</v>
      </c>
      <c r="I273">
        <f t="shared" si="43"/>
        <v>56</v>
      </c>
      <c r="J273">
        <f t="shared" si="44"/>
        <v>348.93701607142856</v>
      </c>
      <c r="K273">
        <f t="shared" si="45"/>
        <v>9938.959603156969</v>
      </c>
      <c r="L273">
        <f t="shared" si="46"/>
        <v>10817.047498214286</v>
      </c>
      <c r="M273">
        <f t="shared" si="47"/>
        <v>866.22561119947386</v>
      </c>
      <c r="N273">
        <f t="shared" si="48"/>
        <v>21622.232712570731</v>
      </c>
      <c r="O273">
        <f t="shared" si="49"/>
        <v>8982.0497892788189</v>
      </c>
      <c r="P273">
        <f t="shared" si="50"/>
        <v>9775.5965494711691</v>
      </c>
      <c r="Q273">
        <f t="shared" si="51"/>
        <v>782.82656125001154</v>
      </c>
      <c r="R273">
        <f t="shared" si="52"/>
        <v>19540.472900000001</v>
      </c>
    </row>
    <row r="274" spans="1:18" x14ac:dyDescent="0.3">
      <c r="A274" t="s">
        <v>0</v>
      </c>
      <c r="B274" t="s">
        <v>0</v>
      </c>
      <c r="C274">
        <v>27</v>
      </c>
      <c r="D274">
        <v>31</v>
      </c>
      <c r="E274">
        <v>10</v>
      </c>
      <c r="F274">
        <v>20260202</v>
      </c>
      <c r="G274">
        <v>20260410</v>
      </c>
      <c r="H274">
        <v>2236.0288</v>
      </c>
      <c r="I274">
        <f t="shared" si="43"/>
        <v>68</v>
      </c>
      <c r="J274">
        <f t="shared" si="44"/>
        <v>32.882776470588233</v>
      </c>
      <c r="K274">
        <f t="shared" si="45"/>
        <v>1204.222762828776</v>
      </c>
      <c r="L274">
        <f t="shared" si="46"/>
        <v>1019.3660705882352</v>
      </c>
      <c r="M274">
        <f t="shared" si="47"/>
        <v>204.0762503994433</v>
      </c>
      <c r="N274">
        <f t="shared" si="48"/>
        <v>2427.6650838164546</v>
      </c>
      <c r="O274">
        <f t="shared" si="49"/>
        <v>1109.1632026389907</v>
      </c>
      <c r="P274">
        <f t="shared" si="50"/>
        <v>938.89882371865815</v>
      </c>
      <c r="Q274">
        <f t="shared" si="51"/>
        <v>187.96677364235106</v>
      </c>
      <c r="R274">
        <f t="shared" si="52"/>
        <v>2236.0288</v>
      </c>
    </row>
    <row r="275" spans="1:18" x14ac:dyDescent="0.3">
      <c r="A275" t="s">
        <v>0</v>
      </c>
      <c r="B275" t="s">
        <v>0</v>
      </c>
      <c r="C275">
        <v>4</v>
      </c>
      <c r="D275">
        <v>31</v>
      </c>
      <c r="E275">
        <v>2</v>
      </c>
      <c r="F275">
        <v>20260225</v>
      </c>
      <c r="G275">
        <v>20260402</v>
      </c>
      <c r="H275">
        <v>295.60809999999998</v>
      </c>
      <c r="I275">
        <f t="shared" si="43"/>
        <v>37</v>
      </c>
      <c r="J275">
        <f t="shared" si="44"/>
        <v>7.9894081081081074</v>
      </c>
      <c r="K275">
        <f t="shared" si="45"/>
        <v>43.346015814999028</v>
      </c>
      <c r="L275">
        <f t="shared" si="46"/>
        <v>247.67165135135133</v>
      </c>
      <c r="M275">
        <f t="shared" si="47"/>
        <v>9.9167322508301936</v>
      </c>
      <c r="N275">
        <f t="shared" si="48"/>
        <v>300.93439941718054</v>
      </c>
      <c r="O275">
        <f t="shared" si="49"/>
        <v>42.578825825354571</v>
      </c>
      <c r="P275">
        <f t="shared" si="50"/>
        <v>243.28806019394398</v>
      </c>
      <c r="Q275">
        <f t="shared" si="51"/>
        <v>9.7412139807014597</v>
      </c>
      <c r="R275">
        <f t="shared" si="52"/>
        <v>295.60809999999998</v>
      </c>
    </row>
    <row r="276" spans="1:18" x14ac:dyDescent="0.3">
      <c r="A276" t="s">
        <v>0</v>
      </c>
      <c r="B276" t="s">
        <v>0</v>
      </c>
      <c r="C276">
        <v>0</v>
      </c>
      <c r="D276">
        <v>27</v>
      </c>
      <c r="E276">
        <v>3</v>
      </c>
      <c r="F276">
        <v>20260305</v>
      </c>
      <c r="G276">
        <v>20260403</v>
      </c>
      <c r="H276">
        <v>84.338999999999999</v>
      </c>
      <c r="I276">
        <f t="shared" si="43"/>
        <v>30</v>
      </c>
      <c r="J276">
        <f t="shared" si="44"/>
        <v>2.8113000000000001</v>
      </c>
      <c r="K276">
        <f t="shared" si="45"/>
        <v>0</v>
      </c>
      <c r="L276">
        <f t="shared" si="46"/>
        <v>75.905100000000004</v>
      </c>
      <c r="M276">
        <f t="shared" si="47"/>
        <v>5.2342255520404226</v>
      </c>
      <c r="N276">
        <f t="shared" si="48"/>
        <v>81.139325552040432</v>
      </c>
      <c r="O276">
        <f t="shared" si="49"/>
        <v>0</v>
      </c>
      <c r="P276">
        <f t="shared" si="50"/>
        <v>78.898366301973951</v>
      </c>
      <c r="Q276">
        <f t="shared" si="51"/>
        <v>5.4406336980260486</v>
      </c>
      <c r="R276">
        <f t="shared" si="52"/>
        <v>84.338999999999999</v>
      </c>
    </row>
    <row r="277" spans="1:18" x14ac:dyDescent="0.3">
      <c r="A277" t="s">
        <v>0</v>
      </c>
      <c r="B277" t="s">
        <v>0</v>
      </c>
      <c r="C277">
        <v>0</v>
      </c>
      <c r="D277">
        <v>27</v>
      </c>
      <c r="E277">
        <v>2</v>
      </c>
      <c r="F277">
        <v>20260305</v>
      </c>
      <c r="G277">
        <v>20260402</v>
      </c>
      <c r="H277">
        <v>379.56959999999998</v>
      </c>
      <c r="I277">
        <f t="shared" si="43"/>
        <v>29</v>
      </c>
      <c r="J277">
        <f t="shared" si="44"/>
        <v>13.088606896551724</v>
      </c>
      <c r="K277">
        <f t="shared" si="45"/>
        <v>0</v>
      </c>
      <c r="L277">
        <f t="shared" si="46"/>
        <v>353.39238620689656</v>
      </c>
      <c r="M277">
        <f t="shared" si="47"/>
        <v>16.246035798039703</v>
      </c>
      <c r="N277">
        <f t="shared" si="48"/>
        <v>369.63842200493627</v>
      </c>
      <c r="O277">
        <f t="shared" si="49"/>
        <v>0</v>
      </c>
      <c r="P277">
        <f t="shared" si="50"/>
        <v>362.88707745269494</v>
      </c>
      <c r="Q277">
        <f t="shared" si="51"/>
        <v>16.682522547305055</v>
      </c>
      <c r="R277">
        <f t="shared" si="52"/>
        <v>379.56959999999998</v>
      </c>
    </row>
    <row r="278" spans="1:18" x14ac:dyDescent="0.3">
      <c r="A278" t="s">
        <v>0</v>
      </c>
      <c r="B278" t="s">
        <v>0</v>
      </c>
      <c r="C278">
        <v>4</v>
      </c>
      <c r="D278">
        <v>31</v>
      </c>
      <c r="E278">
        <v>5</v>
      </c>
      <c r="F278">
        <v>20260225</v>
      </c>
      <c r="G278">
        <v>20260405</v>
      </c>
      <c r="H278">
        <v>464.38580000000002</v>
      </c>
      <c r="I278">
        <f t="shared" si="43"/>
        <v>40</v>
      </c>
      <c r="J278">
        <f t="shared" si="44"/>
        <v>11.609645</v>
      </c>
      <c r="K278">
        <f t="shared" si="45"/>
        <v>62.987376407247986</v>
      </c>
      <c r="L278">
        <f t="shared" si="46"/>
        <v>359.89899500000001</v>
      </c>
      <c r="M278">
        <f t="shared" si="47"/>
        <v>36.025741655176326</v>
      </c>
      <c r="N278">
        <f t="shared" si="48"/>
        <v>458.91211306242434</v>
      </c>
      <c r="O278">
        <f t="shared" si="49"/>
        <v>63.738660083705696</v>
      </c>
      <c r="P278">
        <f t="shared" si="50"/>
        <v>364.19170022983587</v>
      </c>
      <c r="Q278">
        <f t="shared" si="51"/>
        <v>36.455439686458384</v>
      </c>
      <c r="R278">
        <f t="shared" si="52"/>
        <v>464.3857999999999</v>
      </c>
    </row>
    <row r="279" spans="1:18" x14ac:dyDescent="0.3">
      <c r="A279" t="s">
        <v>0</v>
      </c>
      <c r="B279" t="s">
        <v>0</v>
      </c>
      <c r="C279">
        <v>9</v>
      </c>
      <c r="D279">
        <v>31</v>
      </c>
      <c r="E279">
        <v>5</v>
      </c>
      <c r="F279">
        <v>20260220</v>
      </c>
      <c r="G279">
        <v>20260405</v>
      </c>
      <c r="H279">
        <v>211.06469999999999</v>
      </c>
      <c r="I279">
        <f t="shared" si="43"/>
        <v>45</v>
      </c>
      <c r="J279">
        <f t="shared" si="44"/>
        <v>4.6903266666666665</v>
      </c>
      <c r="K279">
        <f t="shared" si="45"/>
        <v>57.255892429022907</v>
      </c>
      <c r="L279">
        <f t="shared" si="46"/>
        <v>145.40012666666667</v>
      </c>
      <c r="M279">
        <f t="shared" si="47"/>
        <v>14.554492990243688</v>
      </c>
      <c r="N279">
        <f t="shared" si="48"/>
        <v>217.21051208593326</v>
      </c>
      <c r="O279">
        <f t="shared" si="49"/>
        <v>55.635878957750528</v>
      </c>
      <c r="P279">
        <f t="shared" si="50"/>
        <v>141.28613675345886</v>
      </c>
      <c r="Q279">
        <f t="shared" si="51"/>
        <v>14.142684288790591</v>
      </c>
      <c r="R279">
        <f t="shared" si="52"/>
        <v>211.06469999999996</v>
      </c>
    </row>
    <row r="280" spans="1:18" x14ac:dyDescent="0.3">
      <c r="A280" t="s">
        <v>0</v>
      </c>
      <c r="B280" t="s">
        <v>0</v>
      </c>
      <c r="C280">
        <v>4</v>
      </c>
      <c r="D280">
        <v>31</v>
      </c>
      <c r="E280">
        <v>4</v>
      </c>
      <c r="F280">
        <v>20260225</v>
      </c>
      <c r="G280">
        <v>20260404</v>
      </c>
      <c r="H280">
        <v>42.220799999999997</v>
      </c>
      <c r="I280">
        <f t="shared" si="43"/>
        <v>39</v>
      </c>
      <c r="J280">
        <f t="shared" si="44"/>
        <v>1.0825846153846153</v>
      </c>
      <c r="K280">
        <f t="shared" si="45"/>
        <v>5.8734926573488293</v>
      </c>
      <c r="L280">
        <f t="shared" si="46"/>
        <v>33.56012307692307</v>
      </c>
      <c r="M280">
        <f t="shared" si="47"/>
        <v>2.6874836344239346</v>
      </c>
      <c r="N280">
        <f t="shared" si="48"/>
        <v>42.12109936869583</v>
      </c>
      <c r="O280">
        <f t="shared" si="49"/>
        <v>5.8873952129486309</v>
      </c>
      <c r="P280">
        <f t="shared" si="50"/>
        <v>33.639559879560309</v>
      </c>
      <c r="Q280">
        <f t="shared" si="51"/>
        <v>2.6938449074910573</v>
      </c>
      <c r="R280">
        <f t="shared" si="52"/>
        <v>42.220799999999997</v>
      </c>
    </row>
    <row r="281" spans="1:18" x14ac:dyDescent="0.3">
      <c r="A281" t="s">
        <v>0</v>
      </c>
      <c r="B281" t="s">
        <v>0</v>
      </c>
      <c r="C281">
        <v>1</v>
      </c>
      <c r="D281">
        <v>31</v>
      </c>
      <c r="E281">
        <v>1</v>
      </c>
      <c r="F281">
        <v>20260228</v>
      </c>
      <c r="G281">
        <v>20260401</v>
      </c>
      <c r="H281">
        <v>1140.0696</v>
      </c>
      <c r="I281">
        <f t="shared" si="43"/>
        <v>33</v>
      </c>
      <c r="J281">
        <f t="shared" si="44"/>
        <v>34.547563636363634</v>
      </c>
      <c r="K281">
        <f t="shared" si="45"/>
        <v>46.85889178172522</v>
      </c>
      <c r="L281">
        <f t="shared" si="46"/>
        <v>1070.9744727272728</v>
      </c>
      <c r="M281">
        <f t="shared" si="47"/>
        <v>21.4408210135521</v>
      </c>
      <c r="N281">
        <f t="shared" si="48"/>
        <v>1139.2741855225499</v>
      </c>
      <c r="O281">
        <f t="shared" si="49"/>
        <v>46.891607559361624</v>
      </c>
      <c r="P281">
        <f t="shared" si="50"/>
        <v>1071.7222019494495</v>
      </c>
      <c r="Q281">
        <f t="shared" si="51"/>
        <v>21.455790491189106</v>
      </c>
      <c r="R281">
        <f t="shared" si="52"/>
        <v>1140.0696000000003</v>
      </c>
    </row>
    <row r="282" spans="1:18" x14ac:dyDescent="0.3">
      <c r="A282" t="s">
        <v>0</v>
      </c>
      <c r="B282" t="s">
        <v>0</v>
      </c>
      <c r="C282">
        <v>1</v>
      </c>
      <c r="D282">
        <v>31</v>
      </c>
      <c r="E282">
        <v>4</v>
      </c>
      <c r="F282">
        <v>20260228</v>
      </c>
      <c r="G282">
        <v>20260404</v>
      </c>
      <c r="H282">
        <v>126.63590000000001</v>
      </c>
      <c r="I282">
        <f t="shared" si="43"/>
        <v>36</v>
      </c>
      <c r="J282">
        <f t="shared" si="44"/>
        <v>3.5176638888888889</v>
      </c>
      <c r="K282">
        <f t="shared" si="45"/>
        <v>4.7712143533163198</v>
      </c>
      <c r="L282">
        <f t="shared" si="46"/>
        <v>109.04758055555556</v>
      </c>
      <c r="M282">
        <f t="shared" si="47"/>
        <v>8.7324944382608773</v>
      </c>
      <c r="N282">
        <f t="shared" si="48"/>
        <v>122.55128934713275</v>
      </c>
      <c r="O282">
        <f t="shared" si="49"/>
        <v>4.9302380003011068</v>
      </c>
      <c r="P282">
        <f t="shared" si="50"/>
        <v>112.68211521920121</v>
      </c>
      <c r="Q282">
        <f t="shared" si="51"/>
        <v>9.023546780497691</v>
      </c>
      <c r="R282">
        <f t="shared" si="52"/>
        <v>126.63590000000001</v>
      </c>
    </row>
    <row r="283" spans="1:18" x14ac:dyDescent="0.3">
      <c r="A283" t="s">
        <v>0</v>
      </c>
      <c r="B283" t="s">
        <v>0</v>
      </c>
      <c r="C283">
        <v>1</v>
      </c>
      <c r="D283">
        <v>31</v>
      </c>
      <c r="E283">
        <v>2</v>
      </c>
      <c r="F283">
        <v>20260228</v>
      </c>
      <c r="G283">
        <v>20260402</v>
      </c>
      <c r="H283">
        <v>253.33099999999999</v>
      </c>
      <c r="I283">
        <f t="shared" si="43"/>
        <v>34</v>
      </c>
      <c r="J283">
        <f t="shared" si="44"/>
        <v>7.4509117647058822</v>
      </c>
      <c r="K283">
        <f t="shared" si="45"/>
        <v>10.106109702336328</v>
      </c>
      <c r="L283">
        <f t="shared" si="46"/>
        <v>230.97826470588234</v>
      </c>
      <c r="M283">
        <f t="shared" si="47"/>
        <v>9.2483317907070557</v>
      </c>
      <c r="N283">
        <f t="shared" si="48"/>
        <v>250.33270619892573</v>
      </c>
      <c r="O283">
        <f t="shared" si="49"/>
        <v>10.227152959262623</v>
      </c>
      <c r="P283">
        <f t="shared" si="50"/>
        <v>233.74474580124593</v>
      </c>
      <c r="Q283">
        <f t="shared" si="51"/>
        <v>9.3591012394914266</v>
      </c>
      <c r="R283">
        <f t="shared" si="52"/>
        <v>253.33099999999996</v>
      </c>
    </row>
    <row r="284" spans="1:18" x14ac:dyDescent="0.3">
      <c r="A284" t="s">
        <v>0</v>
      </c>
      <c r="B284" t="s">
        <v>0</v>
      </c>
      <c r="C284">
        <v>0</v>
      </c>
      <c r="D284">
        <v>26</v>
      </c>
      <c r="E284">
        <v>5</v>
      </c>
      <c r="F284">
        <v>20260306</v>
      </c>
      <c r="G284">
        <v>20260405</v>
      </c>
      <c r="H284">
        <v>168.59880000000001</v>
      </c>
      <c r="I284">
        <f t="shared" si="43"/>
        <v>31</v>
      </c>
      <c r="J284">
        <f t="shared" si="44"/>
        <v>5.4386709677419356</v>
      </c>
      <c r="K284">
        <f t="shared" si="45"/>
        <v>0</v>
      </c>
      <c r="L284">
        <f t="shared" si="46"/>
        <v>141.40544516129032</v>
      </c>
      <c r="M284">
        <f t="shared" si="47"/>
        <v>16.876670667481978</v>
      </c>
      <c r="N284">
        <f t="shared" si="48"/>
        <v>158.28211582877231</v>
      </c>
      <c r="O284">
        <f t="shared" si="49"/>
        <v>0</v>
      </c>
      <c r="P284">
        <f t="shared" si="50"/>
        <v>150.62212330703258</v>
      </c>
      <c r="Q284">
        <f t="shared" si="51"/>
        <v>17.97667669296742</v>
      </c>
      <c r="R284">
        <f t="shared" si="52"/>
        <v>168.59880000000001</v>
      </c>
    </row>
    <row r="285" spans="1:18" x14ac:dyDescent="0.3">
      <c r="A285" t="s">
        <v>0</v>
      </c>
      <c r="B285" t="s">
        <v>0</v>
      </c>
      <c r="C285">
        <v>17</v>
      </c>
      <c r="D285">
        <v>31</v>
      </c>
      <c r="E285">
        <v>6</v>
      </c>
      <c r="F285">
        <v>20260212</v>
      </c>
      <c r="G285">
        <v>20260406</v>
      </c>
      <c r="H285">
        <v>211.0103</v>
      </c>
      <c r="I285">
        <f t="shared" si="43"/>
        <v>54</v>
      </c>
      <c r="J285">
        <f t="shared" si="44"/>
        <v>3.9075981481481481</v>
      </c>
      <c r="K285">
        <f t="shared" si="45"/>
        <v>90.10178696024802</v>
      </c>
      <c r="L285">
        <f t="shared" si="46"/>
        <v>121.13554259259259</v>
      </c>
      <c r="M285">
        <f t="shared" si="47"/>
        <v>14.550741702516893</v>
      </c>
      <c r="N285">
        <f t="shared" si="48"/>
        <v>225.78807125535749</v>
      </c>
      <c r="O285">
        <f t="shared" si="49"/>
        <v>84.204648152185754</v>
      </c>
      <c r="P285">
        <f t="shared" si="50"/>
        <v>113.20725245142565</v>
      </c>
      <c r="Q285">
        <f t="shared" si="51"/>
        <v>13.598399396388604</v>
      </c>
      <c r="R285">
        <f t="shared" si="52"/>
        <v>211.0103</v>
      </c>
    </row>
    <row r="286" spans="1:18" x14ac:dyDescent="0.3">
      <c r="A286" t="s">
        <v>0</v>
      </c>
      <c r="B286" t="s">
        <v>0</v>
      </c>
      <c r="C286">
        <v>28</v>
      </c>
      <c r="D286">
        <v>31</v>
      </c>
      <c r="E286">
        <v>3</v>
      </c>
      <c r="F286">
        <v>20260127</v>
      </c>
      <c r="G286">
        <v>20260403</v>
      </c>
      <c r="H286">
        <v>1813.6692</v>
      </c>
      <c r="I286">
        <f t="shared" si="43"/>
        <v>62</v>
      </c>
      <c r="J286">
        <f t="shared" si="44"/>
        <v>29.252729032258067</v>
      </c>
      <c r="K286">
        <f t="shared" si="45"/>
        <v>1110.9614963643153</v>
      </c>
      <c r="L286">
        <f t="shared" si="46"/>
        <v>906.83460000000002</v>
      </c>
      <c r="M286">
        <f t="shared" si="47"/>
        <v>54.464262713890328</v>
      </c>
      <c r="N286">
        <f t="shared" si="48"/>
        <v>2072.260359078206</v>
      </c>
      <c r="O286">
        <f t="shared" si="49"/>
        <v>972.32794108852067</v>
      </c>
      <c r="P286">
        <f t="shared" si="50"/>
        <v>793.67342829736094</v>
      </c>
      <c r="Q286">
        <f t="shared" si="51"/>
        <v>47.667830614118017</v>
      </c>
      <c r="R286">
        <f t="shared" si="52"/>
        <v>1813.6691999999996</v>
      </c>
    </row>
    <row r="287" spans="1:18" x14ac:dyDescent="0.3">
      <c r="A287" t="s">
        <v>0</v>
      </c>
      <c r="B287" t="s">
        <v>0</v>
      </c>
      <c r="C287">
        <v>16</v>
      </c>
      <c r="D287">
        <v>31</v>
      </c>
      <c r="E287">
        <v>3</v>
      </c>
      <c r="F287">
        <v>20260213</v>
      </c>
      <c r="G287">
        <v>20260403</v>
      </c>
      <c r="H287">
        <v>168.828</v>
      </c>
      <c r="I287">
        <f t="shared" si="43"/>
        <v>50</v>
      </c>
      <c r="J287">
        <f t="shared" si="44"/>
        <v>3.37656</v>
      </c>
      <c r="K287">
        <f t="shared" si="45"/>
        <v>73.277229641959678</v>
      </c>
      <c r="L287">
        <f t="shared" si="46"/>
        <v>104.67336</v>
      </c>
      <c r="M287">
        <f t="shared" si="47"/>
        <v>6.2866562195417099</v>
      </c>
      <c r="N287">
        <f t="shared" si="48"/>
        <v>184.23724586150138</v>
      </c>
      <c r="O287">
        <f t="shared" si="49"/>
        <v>67.148464297456655</v>
      </c>
      <c r="P287">
        <f t="shared" si="50"/>
        <v>95.918683214384373</v>
      </c>
      <c r="Q287">
        <f t="shared" si="51"/>
        <v>5.7608524881589789</v>
      </c>
      <c r="R287">
        <f t="shared" si="52"/>
        <v>168.828</v>
      </c>
    </row>
    <row r="288" spans="1:18" x14ac:dyDescent="0.3">
      <c r="A288" t="s">
        <v>0</v>
      </c>
      <c r="B288" t="s">
        <v>0</v>
      </c>
      <c r="C288">
        <v>28</v>
      </c>
      <c r="D288">
        <v>31</v>
      </c>
      <c r="E288">
        <v>5</v>
      </c>
      <c r="F288">
        <v>20260128</v>
      </c>
      <c r="G288">
        <v>20260405</v>
      </c>
      <c r="H288">
        <v>970.12480000000005</v>
      </c>
      <c r="I288">
        <f t="shared" si="43"/>
        <v>64</v>
      </c>
      <c r="J288">
        <f t="shared" si="44"/>
        <v>15.158200000000001</v>
      </c>
      <c r="K288">
        <f t="shared" si="45"/>
        <v>575.67882079033643</v>
      </c>
      <c r="L288">
        <f t="shared" si="46"/>
        <v>469.9042</v>
      </c>
      <c r="M288">
        <f t="shared" si="47"/>
        <v>47.037217516771079</v>
      </c>
      <c r="N288">
        <f t="shared" si="48"/>
        <v>1092.6202383071075</v>
      </c>
      <c r="O288">
        <f t="shared" si="49"/>
        <v>511.138528560265</v>
      </c>
      <c r="P288">
        <f t="shared" si="50"/>
        <v>417.22247315359346</v>
      </c>
      <c r="Q288">
        <f t="shared" si="51"/>
        <v>41.763798286141636</v>
      </c>
      <c r="R288">
        <f t="shared" si="52"/>
        <v>970.12480000000016</v>
      </c>
    </row>
    <row r="289" spans="1:18" x14ac:dyDescent="0.3">
      <c r="A289" t="s">
        <v>0</v>
      </c>
      <c r="B289" t="s">
        <v>0</v>
      </c>
      <c r="C289">
        <v>28</v>
      </c>
      <c r="D289">
        <v>31</v>
      </c>
      <c r="E289">
        <v>4</v>
      </c>
      <c r="F289">
        <v>20260131</v>
      </c>
      <c r="G289">
        <v>20260404</v>
      </c>
      <c r="H289">
        <v>84.386399999999995</v>
      </c>
      <c r="I289">
        <f t="shared" si="43"/>
        <v>63</v>
      </c>
      <c r="J289">
        <f t="shared" si="44"/>
        <v>1.3394666666666666</v>
      </c>
      <c r="K289">
        <f t="shared" si="45"/>
        <v>50.870327027920808</v>
      </c>
      <c r="L289">
        <f t="shared" si="46"/>
        <v>41.523466666666664</v>
      </c>
      <c r="M289">
        <f t="shared" si="47"/>
        <v>3.3251855738261429</v>
      </c>
      <c r="N289">
        <f t="shared" si="48"/>
        <v>95.718979268413619</v>
      </c>
      <c r="O289">
        <f t="shared" si="49"/>
        <v>44.847571479750506</v>
      </c>
      <c r="P289">
        <f t="shared" si="50"/>
        <v>36.607325885643796</v>
      </c>
      <c r="Q289">
        <f t="shared" si="51"/>
        <v>2.9315026346056947</v>
      </c>
      <c r="R289">
        <f t="shared" si="52"/>
        <v>84.386399999999995</v>
      </c>
    </row>
    <row r="290" spans="1:18" x14ac:dyDescent="0.3">
      <c r="A290" t="s">
        <v>0</v>
      </c>
      <c r="B290" t="s">
        <v>0</v>
      </c>
      <c r="C290">
        <v>28</v>
      </c>
      <c r="D290">
        <v>31</v>
      </c>
      <c r="E290">
        <v>5</v>
      </c>
      <c r="F290">
        <v>20260127</v>
      </c>
      <c r="G290">
        <v>20260405</v>
      </c>
      <c r="H290">
        <v>210.87690000000001</v>
      </c>
      <c r="I290">
        <f t="shared" si="43"/>
        <v>64</v>
      </c>
      <c r="J290">
        <f t="shared" si="44"/>
        <v>3.2949515625000001</v>
      </c>
      <c r="K290">
        <f t="shared" si="45"/>
        <v>125.13582285899885</v>
      </c>
      <c r="L290">
        <f t="shared" si="46"/>
        <v>102.1434984375</v>
      </c>
      <c r="M290">
        <f t="shared" si="47"/>
        <v>10.224522262045445</v>
      </c>
      <c r="N290">
        <f t="shared" si="48"/>
        <v>237.50384355854428</v>
      </c>
      <c r="O290">
        <f t="shared" si="49"/>
        <v>111.10664150978323</v>
      </c>
      <c r="P290">
        <f t="shared" si="50"/>
        <v>90.692024107581844</v>
      </c>
      <c r="Q290">
        <f t="shared" si="51"/>
        <v>9.0782343826349585</v>
      </c>
      <c r="R290">
        <f t="shared" si="52"/>
        <v>210.87690000000003</v>
      </c>
    </row>
    <row r="291" spans="1:18" x14ac:dyDescent="0.3">
      <c r="A291" t="s">
        <v>0</v>
      </c>
      <c r="B291" t="s">
        <v>0</v>
      </c>
      <c r="C291">
        <v>28</v>
      </c>
      <c r="D291">
        <v>31</v>
      </c>
      <c r="E291">
        <v>3</v>
      </c>
      <c r="F291">
        <v>20260128</v>
      </c>
      <c r="G291">
        <v>20260403</v>
      </c>
      <c r="H291">
        <v>1729.4745</v>
      </c>
      <c r="I291">
        <f t="shared" si="43"/>
        <v>62</v>
      </c>
      <c r="J291">
        <f t="shared" si="44"/>
        <v>27.894750000000002</v>
      </c>
      <c r="K291">
        <f t="shared" si="45"/>
        <v>1059.3881058596164</v>
      </c>
      <c r="L291">
        <f t="shared" si="46"/>
        <v>864.73725000000002</v>
      </c>
      <c r="M291">
        <f t="shared" si="47"/>
        <v>51.935906241873717</v>
      </c>
      <c r="N291">
        <f t="shared" si="48"/>
        <v>1976.06126210149</v>
      </c>
      <c r="O291">
        <f t="shared" si="49"/>
        <v>927.19023940534419</v>
      </c>
      <c r="P291">
        <f t="shared" si="50"/>
        <v>756.8292804265875</v>
      </c>
      <c r="Q291">
        <f t="shared" si="51"/>
        <v>45.454980168068396</v>
      </c>
      <c r="R291">
        <f t="shared" si="52"/>
        <v>1729.4745</v>
      </c>
    </row>
    <row r="292" spans="1:18" x14ac:dyDescent="0.3">
      <c r="A292" t="s">
        <v>0</v>
      </c>
      <c r="B292" t="s">
        <v>0</v>
      </c>
      <c r="C292">
        <v>28</v>
      </c>
      <c r="D292">
        <v>31</v>
      </c>
      <c r="E292">
        <v>5</v>
      </c>
      <c r="F292">
        <v>20260129</v>
      </c>
      <c r="G292">
        <v>20260405</v>
      </c>
      <c r="H292">
        <v>464.02710000000002</v>
      </c>
      <c r="I292">
        <f t="shared" si="43"/>
        <v>64</v>
      </c>
      <c r="J292">
        <f t="shared" si="44"/>
        <v>7.2504234375000003</v>
      </c>
      <c r="K292">
        <f t="shared" si="45"/>
        <v>275.35691670057241</v>
      </c>
      <c r="L292">
        <f t="shared" si="46"/>
        <v>224.76312656250002</v>
      </c>
      <c r="M292">
        <f t="shared" si="47"/>
        <v>22.498696700029203</v>
      </c>
      <c r="N292">
        <f t="shared" si="48"/>
        <v>522.61873996310169</v>
      </c>
      <c r="O292">
        <f t="shared" si="49"/>
        <v>244.48620332774388</v>
      </c>
      <c r="P292">
        <f t="shared" si="50"/>
        <v>199.56456558196413</v>
      </c>
      <c r="Q292">
        <f t="shared" si="51"/>
        <v>19.976331090291968</v>
      </c>
      <c r="R292">
        <f t="shared" si="52"/>
        <v>464.02710000000002</v>
      </c>
    </row>
    <row r="293" spans="1:18" x14ac:dyDescent="0.3">
      <c r="A293" t="s">
        <v>0</v>
      </c>
      <c r="B293" t="s">
        <v>0</v>
      </c>
      <c r="C293">
        <v>25</v>
      </c>
      <c r="D293">
        <v>31</v>
      </c>
      <c r="E293">
        <v>9</v>
      </c>
      <c r="F293">
        <v>20260204</v>
      </c>
      <c r="G293">
        <v>20260409</v>
      </c>
      <c r="H293">
        <v>674.99590000000001</v>
      </c>
      <c r="I293">
        <f t="shared" si="43"/>
        <v>65</v>
      </c>
      <c r="J293">
        <f t="shared" si="44"/>
        <v>10.384552307692308</v>
      </c>
      <c r="K293">
        <f t="shared" si="45"/>
        <v>352.12947134977594</v>
      </c>
      <c r="L293">
        <f t="shared" si="46"/>
        <v>321.92112153846153</v>
      </c>
      <c r="M293">
        <f t="shared" si="47"/>
        <v>58.003509801967141</v>
      </c>
      <c r="N293">
        <f t="shared" si="48"/>
        <v>732.05410269020467</v>
      </c>
      <c r="O293">
        <f t="shared" si="49"/>
        <v>324.68358357230829</v>
      </c>
      <c r="P293">
        <f t="shared" si="50"/>
        <v>296.82975119370337</v>
      </c>
      <c r="Q293">
        <f t="shared" si="51"/>
        <v>53.482565233988289</v>
      </c>
      <c r="R293">
        <f t="shared" si="52"/>
        <v>674.99590000000001</v>
      </c>
    </row>
    <row r="294" spans="1:18" x14ac:dyDescent="0.3">
      <c r="A294" t="s">
        <v>0</v>
      </c>
      <c r="B294" t="s">
        <v>0</v>
      </c>
      <c r="C294">
        <v>22</v>
      </c>
      <c r="D294">
        <v>31</v>
      </c>
      <c r="E294">
        <v>14</v>
      </c>
      <c r="F294">
        <v>20260207</v>
      </c>
      <c r="G294">
        <v>20260414</v>
      </c>
      <c r="H294">
        <v>337.53750000000002</v>
      </c>
      <c r="I294">
        <f t="shared" si="43"/>
        <v>67</v>
      </c>
      <c r="J294">
        <f t="shared" si="44"/>
        <v>5.0378731343283585</v>
      </c>
      <c r="K294">
        <f t="shared" si="45"/>
        <v>150.32959773718005</v>
      </c>
      <c r="L294">
        <f t="shared" si="46"/>
        <v>156.17406716417912</v>
      </c>
      <c r="M294">
        <f t="shared" si="47"/>
        <v>43.7722880312729</v>
      </c>
      <c r="N294">
        <f t="shared" si="48"/>
        <v>350.27595293263209</v>
      </c>
      <c r="O294">
        <f t="shared" si="49"/>
        <v>144.86257526782748</v>
      </c>
      <c r="P294">
        <f t="shared" si="50"/>
        <v>150.49449941991196</v>
      </c>
      <c r="Q294">
        <f t="shared" si="51"/>
        <v>42.180425312260546</v>
      </c>
      <c r="R294">
        <f t="shared" si="52"/>
        <v>337.53749999999997</v>
      </c>
    </row>
    <row r="295" spans="1:18" x14ac:dyDescent="0.3">
      <c r="A295" t="s">
        <v>0</v>
      </c>
      <c r="B295" t="s">
        <v>0</v>
      </c>
      <c r="C295">
        <v>22</v>
      </c>
      <c r="D295">
        <v>31</v>
      </c>
      <c r="E295">
        <v>11</v>
      </c>
      <c r="F295">
        <v>20260207</v>
      </c>
      <c r="G295">
        <v>20260411</v>
      </c>
      <c r="H295">
        <v>253.15309999999999</v>
      </c>
      <c r="I295">
        <f t="shared" si="43"/>
        <v>64</v>
      </c>
      <c r="J295">
        <f t="shared" si="44"/>
        <v>3.9555171874999999</v>
      </c>
      <c r="K295">
        <f t="shared" si="45"/>
        <v>118.03221156712438</v>
      </c>
      <c r="L295">
        <f t="shared" si="46"/>
        <v>122.6210328125</v>
      </c>
      <c r="M295">
        <f t="shared" si="47"/>
        <v>27.003493102576886</v>
      </c>
      <c r="N295">
        <f t="shared" si="48"/>
        <v>267.65673748220127</v>
      </c>
      <c r="O295">
        <f t="shared" si="49"/>
        <v>111.63634638586439</v>
      </c>
      <c r="P295">
        <f t="shared" si="50"/>
        <v>115.97651108539843</v>
      </c>
      <c r="Q295">
        <f t="shared" si="51"/>
        <v>25.540242528737167</v>
      </c>
      <c r="R295">
        <f t="shared" si="52"/>
        <v>253.15309999999999</v>
      </c>
    </row>
    <row r="296" spans="1:18" x14ac:dyDescent="0.3">
      <c r="A296" t="s">
        <v>0</v>
      </c>
      <c r="B296" t="s">
        <v>0</v>
      </c>
      <c r="C296">
        <v>21</v>
      </c>
      <c r="D296">
        <v>31</v>
      </c>
      <c r="E296">
        <v>10</v>
      </c>
      <c r="F296">
        <v>20260208</v>
      </c>
      <c r="G296">
        <v>20260410</v>
      </c>
      <c r="H296">
        <v>126.5855</v>
      </c>
      <c r="I296">
        <f t="shared" si="43"/>
        <v>62</v>
      </c>
      <c r="J296">
        <f t="shared" si="44"/>
        <v>2.0417016129032257</v>
      </c>
      <c r="K296">
        <f t="shared" si="45"/>
        <v>58.154878725138389</v>
      </c>
      <c r="L296">
        <f t="shared" si="46"/>
        <v>63.292749999999998</v>
      </c>
      <c r="M296">
        <f t="shared" si="47"/>
        <v>12.671156584617087</v>
      </c>
      <c r="N296">
        <f t="shared" si="48"/>
        <v>134.11878530975548</v>
      </c>
      <c r="O296">
        <f t="shared" si="49"/>
        <v>54.888391539328552</v>
      </c>
      <c r="P296">
        <f t="shared" si="50"/>
        <v>59.737674976856724</v>
      </c>
      <c r="Q296">
        <f t="shared" si="51"/>
        <v>11.959433483814712</v>
      </c>
      <c r="R296">
        <f t="shared" si="52"/>
        <v>126.58549999999998</v>
      </c>
    </row>
    <row r="297" spans="1:18" x14ac:dyDescent="0.3">
      <c r="A297" t="s">
        <v>0</v>
      </c>
      <c r="B297" t="s">
        <v>0</v>
      </c>
      <c r="C297">
        <v>0</v>
      </c>
      <c r="D297">
        <v>14</v>
      </c>
      <c r="E297">
        <v>4</v>
      </c>
      <c r="F297">
        <v>20260318</v>
      </c>
      <c r="G297">
        <v>20260404</v>
      </c>
      <c r="H297">
        <v>210.7337</v>
      </c>
      <c r="I297">
        <f t="shared" si="43"/>
        <v>18</v>
      </c>
      <c r="J297">
        <f t="shared" si="44"/>
        <v>11.707427777777777</v>
      </c>
      <c r="K297">
        <f t="shared" si="45"/>
        <v>0</v>
      </c>
      <c r="L297">
        <f t="shared" si="46"/>
        <v>163.90398888888888</v>
      </c>
      <c r="M297">
        <f t="shared" si="47"/>
        <v>29.06333611881206</v>
      </c>
      <c r="N297">
        <f t="shared" si="48"/>
        <v>192.96732500770094</v>
      </c>
      <c r="O297">
        <f t="shared" si="49"/>
        <v>0</v>
      </c>
      <c r="P297">
        <f t="shared" si="50"/>
        <v>178.99452159548784</v>
      </c>
      <c r="Q297">
        <f t="shared" si="51"/>
        <v>31.739178404512185</v>
      </c>
      <c r="R297">
        <f t="shared" si="52"/>
        <v>210.73370000000003</v>
      </c>
    </row>
    <row r="298" spans="1:18" x14ac:dyDescent="0.3">
      <c r="A298" t="s">
        <v>0</v>
      </c>
      <c r="B298" t="s">
        <v>0</v>
      </c>
      <c r="C298">
        <v>0</v>
      </c>
      <c r="D298">
        <v>13</v>
      </c>
      <c r="E298">
        <v>1</v>
      </c>
      <c r="F298">
        <v>20260319</v>
      </c>
      <c r="G298">
        <v>20260401</v>
      </c>
      <c r="H298">
        <v>84.368600000000001</v>
      </c>
      <c r="I298">
        <f t="shared" si="43"/>
        <v>14</v>
      </c>
      <c r="J298">
        <f t="shared" si="44"/>
        <v>6.0263285714285715</v>
      </c>
      <c r="K298">
        <f t="shared" si="45"/>
        <v>0</v>
      </c>
      <c r="L298">
        <f t="shared" si="46"/>
        <v>78.342271428571422</v>
      </c>
      <c r="M298">
        <f t="shared" si="47"/>
        <v>3.7400446997904506</v>
      </c>
      <c r="N298">
        <f t="shared" si="48"/>
        <v>82.082316128361867</v>
      </c>
      <c r="O298">
        <f t="shared" si="49"/>
        <v>0</v>
      </c>
      <c r="P298">
        <f t="shared" si="50"/>
        <v>80.52438177928984</v>
      </c>
      <c r="Q298">
        <f t="shared" si="51"/>
        <v>3.8442182207101658</v>
      </c>
      <c r="R298">
        <f t="shared" si="52"/>
        <v>84.368600000000001</v>
      </c>
    </row>
    <row r="299" spans="1:18" x14ac:dyDescent="0.3">
      <c r="A299" t="s">
        <v>0</v>
      </c>
      <c r="B299" t="s">
        <v>0</v>
      </c>
      <c r="C299">
        <v>0</v>
      </c>
      <c r="D299">
        <v>12</v>
      </c>
      <c r="E299">
        <v>4</v>
      </c>
      <c r="F299">
        <v>20260320</v>
      </c>
      <c r="G299">
        <v>20260404</v>
      </c>
      <c r="H299">
        <v>42.178400000000003</v>
      </c>
      <c r="I299">
        <f t="shared" si="43"/>
        <v>16</v>
      </c>
      <c r="J299">
        <f t="shared" si="44"/>
        <v>2.6361500000000002</v>
      </c>
      <c r="K299">
        <f t="shared" si="45"/>
        <v>0</v>
      </c>
      <c r="L299">
        <f t="shared" si="46"/>
        <v>31.633800000000001</v>
      </c>
      <c r="M299">
        <f t="shared" si="47"/>
        <v>6.5441628138874588</v>
      </c>
      <c r="N299">
        <f t="shared" si="48"/>
        <v>38.177962813887461</v>
      </c>
      <c r="O299">
        <f t="shared" si="49"/>
        <v>0</v>
      </c>
      <c r="P299">
        <f t="shared" si="50"/>
        <v>34.948514053103274</v>
      </c>
      <c r="Q299">
        <f t="shared" si="51"/>
        <v>7.2298859468967285</v>
      </c>
      <c r="R299">
        <f t="shared" si="52"/>
        <v>42.178400000000003</v>
      </c>
    </row>
    <row r="300" spans="1:18" x14ac:dyDescent="0.3">
      <c r="A300" t="s">
        <v>0</v>
      </c>
      <c r="B300" t="s">
        <v>0</v>
      </c>
      <c r="C300">
        <v>0</v>
      </c>
      <c r="D300">
        <v>14</v>
      </c>
      <c r="E300">
        <v>1</v>
      </c>
      <c r="F300">
        <v>20260318</v>
      </c>
      <c r="G300">
        <v>20260401</v>
      </c>
      <c r="H300">
        <v>84.340900000000005</v>
      </c>
      <c r="I300">
        <f t="shared" si="43"/>
        <v>15</v>
      </c>
      <c r="J300">
        <f t="shared" si="44"/>
        <v>5.6227266666666669</v>
      </c>
      <c r="K300">
        <f t="shared" si="45"/>
        <v>0</v>
      </c>
      <c r="L300">
        <f t="shared" si="46"/>
        <v>78.71817333333334</v>
      </c>
      <c r="M300">
        <f t="shared" si="47"/>
        <v>3.4895623129045563</v>
      </c>
      <c r="N300">
        <f t="shared" si="48"/>
        <v>82.207735646237893</v>
      </c>
      <c r="O300">
        <f t="shared" si="49"/>
        <v>0</v>
      </c>
      <c r="P300">
        <f t="shared" si="50"/>
        <v>80.760788909932288</v>
      </c>
      <c r="Q300">
        <f t="shared" si="51"/>
        <v>3.5801110900677227</v>
      </c>
      <c r="R300">
        <f t="shared" si="52"/>
        <v>84.340900000000005</v>
      </c>
    </row>
    <row r="301" spans="1:18" x14ac:dyDescent="0.3">
      <c r="A301" t="s">
        <v>0</v>
      </c>
      <c r="B301" t="s">
        <v>0</v>
      </c>
      <c r="C301">
        <v>0</v>
      </c>
      <c r="D301">
        <v>23</v>
      </c>
      <c r="E301">
        <v>5</v>
      </c>
      <c r="F301">
        <v>20260309</v>
      </c>
      <c r="G301">
        <v>20260405</v>
      </c>
      <c r="H301">
        <v>168.45249999999999</v>
      </c>
      <c r="I301">
        <f t="shared" si="43"/>
        <v>28</v>
      </c>
      <c r="J301">
        <f t="shared" si="44"/>
        <v>6.0161607142857134</v>
      </c>
      <c r="K301">
        <f t="shared" si="45"/>
        <v>0</v>
      </c>
      <c r="L301">
        <f t="shared" si="46"/>
        <v>138.3716964285714</v>
      </c>
      <c r="M301">
        <f t="shared" si="47"/>
        <v>18.668671750848386</v>
      </c>
      <c r="N301">
        <f t="shared" si="48"/>
        <v>157.04036817941977</v>
      </c>
      <c r="O301">
        <f t="shared" si="49"/>
        <v>0</v>
      </c>
      <c r="P301">
        <f t="shared" si="50"/>
        <v>148.42717489049156</v>
      </c>
      <c r="Q301">
        <f t="shared" si="51"/>
        <v>20.025325109508454</v>
      </c>
      <c r="R301">
        <f t="shared" si="52"/>
        <v>168.45250000000001</v>
      </c>
    </row>
    <row r="302" spans="1:18" x14ac:dyDescent="0.3">
      <c r="A302" t="s">
        <v>0</v>
      </c>
      <c r="B302" t="s">
        <v>0</v>
      </c>
      <c r="C302">
        <v>27</v>
      </c>
      <c r="D302">
        <v>9</v>
      </c>
      <c r="E302">
        <v>0</v>
      </c>
      <c r="F302">
        <v>20260202</v>
      </c>
      <c r="G302">
        <v>20260309</v>
      </c>
      <c r="H302">
        <v>844.87149999999997</v>
      </c>
      <c r="I302">
        <f t="shared" si="43"/>
        <v>36</v>
      </c>
      <c r="J302">
        <f t="shared" si="44"/>
        <v>23.468652777777777</v>
      </c>
      <c r="K302">
        <f t="shared" si="45"/>
        <v>859.46166721058557</v>
      </c>
      <c r="L302">
        <f t="shared" si="46"/>
        <v>211.21787499999999</v>
      </c>
      <c r="M302">
        <f t="shared" si="47"/>
        <v>0</v>
      </c>
      <c r="N302">
        <f t="shared" si="48"/>
        <v>1070.6795422105856</v>
      </c>
      <c r="O302">
        <f t="shared" si="49"/>
        <v>678.1998154830618</v>
      </c>
      <c r="P302">
        <f t="shared" si="50"/>
        <v>166.67168451693814</v>
      </c>
      <c r="Q302">
        <f t="shared" si="51"/>
        <v>0</v>
      </c>
      <c r="R302">
        <f t="shared" si="52"/>
        <v>844.87149999999997</v>
      </c>
    </row>
    <row r="303" spans="1:18" x14ac:dyDescent="0.3">
      <c r="A303" t="s">
        <v>0</v>
      </c>
      <c r="B303" t="s">
        <v>0</v>
      </c>
      <c r="C303">
        <v>24</v>
      </c>
      <c r="D303">
        <v>9</v>
      </c>
      <c r="E303">
        <v>0</v>
      </c>
      <c r="F303">
        <v>20260205</v>
      </c>
      <c r="G303">
        <v>20260309</v>
      </c>
      <c r="H303">
        <v>211.21780000000001</v>
      </c>
      <c r="I303">
        <f t="shared" si="43"/>
        <v>33</v>
      </c>
      <c r="J303">
        <f t="shared" si="44"/>
        <v>6.4005393939393942</v>
      </c>
      <c r="K303">
        <f t="shared" si="45"/>
        <v>208.35426958299561</v>
      </c>
      <c r="L303">
        <f t="shared" si="46"/>
        <v>57.60485454545455</v>
      </c>
      <c r="M303">
        <f t="shared" si="47"/>
        <v>0</v>
      </c>
      <c r="N303">
        <f t="shared" si="48"/>
        <v>265.95912412845018</v>
      </c>
      <c r="O303">
        <f t="shared" si="49"/>
        <v>165.46952689117995</v>
      </c>
      <c r="P303">
        <f t="shared" si="50"/>
        <v>45.748273108820044</v>
      </c>
      <c r="Q303">
        <f t="shared" si="51"/>
        <v>0</v>
      </c>
      <c r="R303">
        <f t="shared" si="52"/>
        <v>211.21780000000001</v>
      </c>
    </row>
    <row r="304" spans="1:18" x14ac:dyDescent="0.3">
      <c r="A304" t="s">
        <v>0</v>
      </c>
      <c r="B304" t="s">
        <v>0</v>
      </c>
      <c r="C304">
        <v>27</v>
      </c>
      <c r="D304">
        <v>3</v>
      </c>
      <c r="E304">
        <v>0</v>
      </c>
      <c r="F304">
        <v>20260202</v>
      </c>
      <c r="G304">
        <v>20260303</v>
      </c>
      <c r="H304">
        <v>1561.8788999999999</v>
      </c>
      <c r="I304">
        <f t="shared" si="43"/>
        <v>30</v>
      </c>
      <c r="J304">
        <f t="shared" si="44"/>
        <v>52.062629999999999</v>
      </c>
      <c r="K304">
        <f t="shared" si="45"/>
        <v>1906.6213643732128</v>
      </c>
      <c r="L304">
        <f t="shared" si="46"/>
        <v>156.18788999999998</v>
      </c>
      <c r="M304">
        <f t="shared" si="47"/>
        <v>0</v>
      </c>
      <c r="N304">
        <f t="shared" si="48"/>
        <v>2062.8092543732128</v>
      </c>
      <c r="O304">
        <f t="shared" si="49"/>
        <v>1443.6195072280568</v>
      </c>
      <c r="P304">
        <f t="shared" si="50"/>
        <v>118.25939277194315</v>
      </c>
      <c r="Q304">
        <f t="shared" si="51"/>
        <v>0</v>
      </c>
      <c r="R304">
        <f t="shared" si="52"/>
        <v>1561.8788999999999</v>
      </c>
    </row>
    <row r="305" spans="1:18" x14ac:dyDescent="0.3">
      <c r="A305" t="s">
        <v>0</v>
      </c>
      <c r="B305" t="s">
        <v>0</v>
      </c>
      <c r="C305">
        <v>25</v>
      </c>
      <c r="D305">
        <v>11</v>
      </c>
      <c r="E305">
        <v>0</v>
      </c>
      <c r="F305">
        <v>20260204</v>
      </c>
      <c r="G305">
        <v>20260311</v>
      </c>
      <c r="H305">
        <v>126.7011</v>
      </c>
      <c r="I305">
        <f t="shared" si="43"/>
        <v>36</v>
      </c>
      <c r="J305">
        <f t="shared" si="44"/>
        <v>3.5194749999999999</v>
      </c>
      <c r="K305">
        <f t="shared" si="45"/>
        <v>119.34177174501195</v>
      </c>
      <c r="L305">
        <f t="shared" si="46"/>
        <v>38.714224999999999</v>
      </c>
      <c r="M305">
        <f t="shared" si="47"/>
        <v>0</v>
      </c>
      <c r="N305">
        <f t="shared" si="48"/>
        <v>158.05599674501195</v>
      </c>
      <c r="O305">
        <f t="shared" si="49"/>
        <v>95.666941257761081</v>
      </c>
      <c r="P305">
        <f t="shared" si="50"/>
        <v>31.034158742238926</v>
      </c>
      <c r="Q305">
        <f t="shared" si="51"/>
        <v>0</v>
      </c>
      <c r="R305">
        <f t="shared" si="52"/>
        <v>126.70110000000001</v>
      </c>
    </row>
    <row r="306" spans="1:18" x14ac:dyDescent="0.3">
      <c r="A306" t="s">
        <v>0</v>
      </c>
      <c r="B306" t="s">
        <v>0</v>
      </c>
      <c r="C306">
        <v>22</v>
      </c>
      <c r="D306">
        <v>7</v>
      </c>
      <c r="E306">
        <v>0</v>
      </c>
      <c r="F306">
        <v>20260207</v>
      </c>
      <c r="G306">
        <v>20260307</v>
      </c>
      <c r="H306">
        <v>253.50890000000001</v>
      </c>
      <c r="I306">
        <f t="shared" si="43"/>
        <v>29</v>
      </c>
      <c r="J306">
        <f t="shared" si="44"/>
        <v>8.7416862068965528</v>
      </c>
      <c r="K306">
        <f t="shared" si="45"/>
        <v>260.8509853241099</v>
      </c>
      <c r="L306">
        <f t="shared" si="46"/>
        <v>61.19180344827587</v>
      </c>
      <c r="M306">
        <f t="shared" si="47"/>
        <v>0</v>
      </c>
      <c r="N306">
        <f t="shared" si="48"/>
        <v>322.04278877238579</v>
      </c>
      <c r="O306">
        <f t="shared" si="49"/>
        <v>205.33931719293795</v>
      </c>
      <c r="P306">
        <f t="shared" si="50"/>
        <v>48.169582807062028</v>
      </c>
      <c r="Q306">
        <f t="shared" si="51"/>
        <v>0</v>
      </c>
      <c r="R306">
        <f t="shared" si="52"/>
        <v>253.50889999999998</v>
      </c>
    </row>
    <row r="307" spans="1:18" x14ac:dyDescent="0.3">
      <c r="A307" t="s">
        <v>0</v>
      </c>
      <c r="B307" t="s">
        <v>0</v>
      </c>
      <c r="C307">
        <v>24</v>
      </c>
      <c r="D307">
        <v>28</v>
      </c>
      <c r="E307">
        <v>0</v>
      </c>
      <c r="F307">
        <v>20260205</v>
      </c>
      <c r="G307">
        <v>20260328</v>
      </c>
      <c r="H307">
        <v>506.36559999999997</v>
      </c>
      <c r="I307">
        <f t="shared" si="43"/>
        <v>52</v>
      </c>
      <c r="J307">
        <f t="shared" si="44"/>
        <v>9.7378</v>
      </c>
      <c r="K307">
        <f t="shared" si="45"/>
        <v>316.99081615940855</v>
      </c>
      <c r="L307">
        <f t="shared" si="46"/>
        <v>272.65840000000003</v>
      </c>
      <c r="M307">
        <f t="shared" si="47"/>
        <v>0</v>
      </c>
      <c r="N307">
        <f t="shared" si="48"/>
        <v>589.64921615940852</v>
      </c>
      <c r="O307">
        <f t="shared" si="49"/>
        <v>272.21819417403367</v>
      </c>
      <c r="P307">
        <f t="shared" si="50"/>
        <v>234.14740582596639</v>
      </c>
      <c r="Q307">
        <f t="shared" si="51"/>
        <v>0</v>
      </c>
      <c r="R307">
        <f t="shared" si="52"/>
        <v>506.36560000000009</v>
      </c>
    </row>
    <row r="308" spans="1:18" x14ac:dyDescent="0.3">
      <c r="A308" t="s">
        <v>0</v>
      </c>
      <c r="B308" t="s">
        <v>0</v>
      </c>
      <c r="C308">
        <v>21</v>
      </c>
      <c r="D308">
        <v>13</v>
      </c>
      <c r="E308">
        <v>0</v>
      </c>
      <c r="F308">
        <v>20260208</v>
      </c>
      <c r="G308">
        <v>20260313</v>
      </c>
      <c r="H308">
        <v>84.493099999999998</v>
      </c>
      <c r="I308">
        <f t="shared" si="43"/>
        <v>34</v>
      </c>
      <c r="J308">
        <f t="shared" si="44"/>
        <v>2.4850911764705881</v>
      </c>
      <c r="K308">
        <f t="shared" si="45"/>
        <v>70.784180741796092</v>
      </c>
      <c r="L308">
        <f t="shared" si="46"/>
        <v>32.306185294117647</v>
      </c>
      <c r="M308">
        <f t="shared" si="47"/>
        <v>0</v>
      </c>
      <c r="N308">
        <f t="shared" si="48"/>
        <v>103.09036603591375</v>
      </c>
      <c r="O308">
        <f t="shared" si="49"/>
        <v>58.014876576838617</v>
      </c>
      <c r="P308">
        <f t="shared" si="50"/>
        <v>26.478223423161378</v>
      </c>
      <c r="Q308">
        <f t="shared" si="51"/>
        <v>0</v>
      </c>
      <c r="R308">
        <f t="shared" si="52"/>
        <v>84.493099999999998</v>
      </c>
    </row>
    <row r="309" spans="1:18" x14ac:dyDescent="0.3">
      <c r="A309" t="s">
        <v>0</v>
      </c>
      <c r="B309" t="s">
        <v>0</v>
      </c>
      <c r="C309">
        <v>25</v>
      </c>
      <c r="D309">
        <v>25</v>
      </c>
      <c r="E309">
        <v>0</v>
      </c>
      <c r="F309">
        <v>20260204</v>
      </c>
      <c r="G309">
        <v>20260325</v>
      </c>
      <c r="H309">
        <v>1054.8294000000001</v>
      </c>
      <c r="I309">
        <f t="shared" si="43"/>
        <v>50</v>
      </c>
      <c r="J309">
        <f t="shared" si="44"/>
        <v>21.096588000000001</v>
      </c>
      <c r="K309">
        <f t="shared" si="45"/>
        <v>715.36356692249797</v>
      </c>
      <c r="L309">
        <f t="shared" si="46"/>
        <v>527.41470000000004</v>
      </c>
      <c r="M309">
        <f t="shared" si="47"/>
        <v>0</v>
      </c>
      <c r="N309">
        <f t="shared" si="48"/>
        <v>1242.778266922498</v>
      </c>
      <c r="O309">
        <f t="shared" si="49"/>
        <v>607.17711450434945</v>
      </c>
      <c r="P309">
        <f t="shared" si="50"/>
        <v>447.65228549565069</v>
      </c>
      <c r="Q309">
        <f t="shared" si="51"/>
        <v>0</v>
      </c>
      <c r="R309">
        <f t="shared" si="52"/>
        <v>1054.8294000000001</v>
      </c>
    </row>
    <row r="310" spans="1:18" x14ac:dyDescent="0.3">
      <c r="A310" t="s">
        <v>0</v>
      </c>
      <c r="B310" t="s">
        <v>0</v>
      </c>
      <c r="C310">
        <v>25</v>
      </c>
      <c r="D310">
        <v>20</v>
      </c>
      <c r="E310">
        <v>0</v>
      </c>
      <c r="F310">
        <v>20260204</v>
      </c>
      <c r="G310">
        <v>20260320</v>
      </c>
      <c r="H310">
        <v>1181.4088999999999</v>
      </c>
      <c r="I310">
        <f t="shared" si="43"/>
        <v>45</v>
      </c>
      <c r="J310">
        <f t="shared" si="44"/>
        <v>26.253531111111108</v>
      </c>
      <c r="K310">
        <f t="shared" si="45"/>
        <v>890.23019551574953</v>
      </c>
      <c r="L310">
        <f t="shared" si="46"/>
        <v>525.07062222222214</v>
      </c>
      <c r="M310">
        <f t="shared" si="47"/>
        <v>0</v>
      </c>
      <c r="N310">
        <f t="shared" si="48"/>
        <v>1415.3008177379716</v>
      </c>
      <c r="O310">
        <f t="shared" si="49"/>
        <v>743.11119081523975</v>
      </c>
      <c r="P310">
        <f t="shared" si="50"/>
        <v>438.29770918476032</v>
      </c>
      <c r="Q310">
        <f t="shared" si="51"/>
        <v>0</v>
      </c>
      <c r="R310">
        <f t="shared" si="52"/>
        <v>1181.4089000000001</v>
      </c>
    </row>
    <row r="311" spans="1:18" x14ac:dyDescent="0.3">
      <c r="A311" t="s">
        <v>0</v>
      </c>
      <c r="B311" t="s">
        <v>0</v>
      </c>
      <c r="C311">
        <v>27</v>
      </c>
      <c r="D311">
        <v>26</v>
      </c>
      <c r="E311">
        <v>0</v>
      </c>
      <c r="F311">
        <v>20260202</v>
      </c>
      <c r="G311">
        <v>20260326</v>
      </c>
      <c r="H311">
        <v>3460.2456000000002</v>
      </c>
      <c r="I311">
        <f t="shared" si="43"/>
        <v>53</v>
      </c>
      <c r="J311">
        <f t="shared" si="44"/>
        <v>65.287652830188676</v>
      </c>
      <c r="K311">
        <f t="shared" si="45"/>
        <v>2390.9440171543197</v>
      </c>
      <c r="L311">
        <f t="shared" si="46"/>
        <v>1697.4789735849056</v>
      </c>
      <c r="M311">
        <f t="shared" si="47"/>
        <v>0</v>
      </c>
      <c r="N311">
        <f t="shared" si="48"/>
        <v>4088.4229907392255</v>
      </c>
      <c r="O311">
        <f t="shared" si="49"/>
        <v>2023.580616277837</v>
      </c>
      <c r="P311">
        <f t="shared" si="50"/>
        <v>1436.6649837221628</v>
      </c>
      <c r="Q311">
        <f t="shared" si="51"/>
        <v>0</v>
      </c>
      <c r="R311">
        <f t="shared" si="52"/>
        <v>3460.2455999999997</v>
      </c>
    </row>
    <row r="312" spans="1:18" x14ac:dyDescent="0.3">
      <c r="A312" t="s">
        <v>0</v>
      </c>
      <c r="B312" t="s">
        <v>0</v>
      </c>
      <c r="C312">
        <v>19</v>
      </c>
      <c r="D312">
        <v>28</v>
      </c>
      <c r="E312">
        <v>0</v>
      </c>
      <c r="F312">
        <v>20260210</v>
      </c>
      <c r="G312">
        <v>20260328</v>
      </c>
      <c r="H312">
        <v>126.62990000000001</v>
      </c>
      <c r="I312">
        <f t="shared" si="43"/>
        <v>47</v>
      </c>
      <c r="J312">
        <f t="shared" si="44"/>
        <v>2.6942531914893619</v>
      </c>
      <c r="K312">
        <f t="shared" si="45"/>
        <v>69.433106229058311</v>
      </c>
      <c r="L312">
        <f t="shared" si="46"/>
        <v>75.439089361702131</v>
      </c>
      <c r="M312">
        <f t="shared" si="47"/>
        <v>0</v>
      </c>
      <c r="N312">
        <f t="shared" si="48"/>
        <v>144.87219559076044</v>
      </c>
      <c r="O312">
        <f t="shared" si="49"/>
        <v>60.690094897932099</v>
      </c>
      <c r="P312">
        <f t="shared" si="50"/>
        <v>65.939805102067908</v>
      </c>
      <c r="Q312">
        <f t="shared" si="51"/>
        <v>0</v>
      </c>
      <c r="R312">
        <f t="shared" si="52"/>
        <v>126.62990000000001</v>
      </c>
    </row>
    <row r="313" spans="1:18" x14ac:dyDescent="0.3">
      <c r="A313" t="s">
        <v>0</v>
      </c>
      <c r="B313" t="s">
        <v>0</v>
      </c>
      <c r="C313">
        <v>26</v>
      </c>
      <c r="D313">
        <v>27</v>
      </c>
      <c r="E313">
        <v>0</v>
      </c>
      <c r="F313">
        <v>20260203</v>
      </c>
      <c r="G313">
        <v>20260327</v>
      </c>
      <c r="H313">
        <v>1012.7311</v>
      </c>
      <c r="I313">
        <f t="shared" si="43"/>
        <v>53</v>
      </c>
      <c r="J313">
        <f t="shared" si="44"/>
        <v>19.108133962264152</v>
      </c>
      <c r="K313">
        <f t="shared" si="45"/>
        <v>673.85462441686468</v>
      </c>
      <c r="L313">
        <f t="shared" si="46"/>
        <v>515.91961698113209</v>
      </c>
      <c r="M313">
        <f t="shared" si="47"/>
        <v>0</v>
      </c>
      <c r="N313">
        <f t="shared" si="48"/>
        <v>1189.7742413979968</v>
      </c>
      <c r="O313">
        <f t="shared" si="49"/>
        <v>573.58237494191496</v>
      </c>
      <c r="P313">
        <f t="shared" si="50"/>
        <v>439.14872505808506</v>
      </c>
      <c r="Q313">
        <f t="shared" si="51"/>
        <v>0</v>
      </c>
      <c r="R313">
        <f t="shared" si="52"/>
        <v>1012.7311</v>
      </c>
    </row>
    <row r="314" spans="1:18" x14ac:dyDescent="0.3">
      <c r="A314" t="s">
        <v>0</v>
      </c>
      <c r="B314" t="s">
        <v>0</v>
      </c>
      <c r="C314">
        <v>25</v>
      </c>
      <c r="D314">
        <v>26</v>
      </c>
      <c r="E314">
        <v>0</v>
      </c>
      <c r="F314">
        <v>20260204</v>
      </c>
      <c r="G314">
        <v>20260326</v>
      </c>
      <c r="H314">
        <v>886.09820000000002</v>
      </c>
      <c r="I314">
        <f t="shared" si="43"/>
        <v>51</v>
      </c>
      <c r="J314">
        <f t="shared" si="44"/>
        <v>17.374474509803921</v>
      </c>
      <c r="K314">
        <f t="shared" si="45"/>
        <v>589.15053271824581</v>
      </c>
      <c r="L314">
        <f t="shared" si="46"/>
        <v>451.73633725490197</v>
      </c>
      <c r="M314">
        <f t="shared" si="47"/>
        <v>0</v>
      </c>
      <c r="N314">
        <f t="shared" si="48"/>
        <v>1040.8868699731479</v>
      </c>
      <c r="O314">
        <f t="shared" si="49"/>
        <v>501.5388719276919</v>
      </c>
      <c r="P314">
        <f t="shared" si="50"/>
        <v>384.55932807230801</v>
      </c>
      <c r="Q314">
        <f t="shared" si="51"/>
        <v>0</v>
      </c>
      <c r="R314">
        <f t="shared" si="52"/>
        <v>886.09819999999991</v>
      </c>
    </row>
    <row r="315" spans="1:18" x14ac:dyDescent="0.3">
      <c r="A315" t="s">
        <v>0</v>
      </c>
      <c r="B315" t="s">
        <v>0</v>
      </c>
      <c r="C315">
        <v>23</v>
      </c>
      <c r="D315">
        <v>13</v>
      </c>
      <c r="E315">
        <v>0</v>
      </c>
      <c r="F315">
        <v>20260206</v>
      </c>
      <c r="G315">
        <v>20260313</v>
      </c>
      <c r="H315">
        <v>295.62200000000001</v>
      </c>
      <c r="I315">
        <f t="shared" si="43"/>
        <v>36</v>
      </c>
      <c r="J315">
        <f t="shared" si="44"/>
        <v>8.2117222222222228</v>
      </c>
      <c r="K315">
        <f t="shared" si="45"/>
        <v>256.17495812632734</v>
      </c>
      <c r="L315">
        <f t="shared" si="46"/>
        <v>106.7523888888889</v>
      </c>
      <c r="M315">
        <f t="shared" si="47"/>
        <v>0</v>
      </c>
      <c r="N315">
        <f t="shared" si="48"/>
        <v>362.92734701521624</v>
      </c>
      <c r="O315">
        <f t="shared" si="49"/>
        <v>208.66698002795039</v>
      </c>
      <c r="P315">
        <f t="shared" si="50"/>
        <v>86.955019972049627</v>
      </c>
      <c r="Q315">
        <f t="shared" si="51"/>
        <v>0</v>
      </c>
      <c r="R315">
        <f t="shared" si="52"/>
        <v>295.62200000000001</v>
      </c>
    </row>
    <row r="316" spans="1:18" x14ac:dyDescent="0.3">
      <c r="A316" t="s">
        <v>0</v>
      </c>
      <c r="B316" t="s">
        <v>0</v>
      </c>
      <c r="C316">
        <v>23</v>
      </c>
      <c r="D316">
        <v>19</v>
      </c>
      <c r="E316">
        <v>0</v>
      </c>
      <c r="F316">
        <v>20260206</v>
      </c>
      <c r="G316">
        <v>20260319</v>
      </c>
      <c r="H316">
        <v>337.60070000000002</v>
      </c>
      <c r="I316">
        <f t="shared" si="43"/>
        <v>42</v>
      </c>
      <c r="J316">
        <f t="shared" si="44"/>
        <v>8.0381119047619052</v>
      </c>
      <c r="K316">
        <f t="shared" si="45"/>
        <v>250.75896686381972</v>
      </c>
      <c r="L316">
        <f t="shared" si="46"/>
        <v>152.7241261904762</v>
      </c>
      <c r="M316">
        <f t="shared" si="47"/>
        <v>0</v>
      </c>
      <c r="N316">
        <f t="shared" si="48"/>
        <v>403.48309305429592</v>
      </c>
      <c r="O316">
        <f t="shared" si="49"/>
        <v>209.81400262317882</v>
      </c>
      <c r="P316">
        <f t="shared" si="50"/>
        <v>127.78669737682121</v>
      </c>
      <c r="Q316">
        <f t="shared" si="51"/>
        <v>0</v>
      </c>
      <c r="R316">
        <f t="shared" si="52"/>
        <v>337.60070000000002</v>
      </c>
    </row>
    <row r="317" spans="1:18" x14ac:dyDescent="0.3">
      <c r="A317" t="s">
        <v>0</v>
      </c>
      <c r="B317" t="s">
        <v>0</v>
      </c>
      <c r="C317">
        <v>23</v>
      </c>
      <c r="D317">
        <v>31</v>
      </c>
      <c r="E317">
        <v>3</v>
      </c>
      <c r="F317">
        <v>20260206</v>
      </c>
      <c r="G317">
        <v>20260403</v>
      </c>
      <c r="H317">
        <v>226350.6893</v>
      </c>
      <c r="I317">
        <f t="shared" si="43"/>
        <v>57</v>
      </c>
      <c r="J317">
        <f t="shared" si="44"/>
        <v>3971.0647245614036</v>
      </c>
      <c r="K317">
        <f t="shared" si="45"/>
        <v>123882.33698145711</v>
      </c>
      <c r="L317">
        <f t="shared" si="46"/>
        <v>123103.00646140351</v>
      </c>
      <c r="M317">
        <f t="shared" si="47"/>
        <v>7393.5362466139004</v>
      </c>
      <c r="N317">
        <f t="shared" si="48"/>
        <v>254378.8796894745</v>
      </c>
      <c r="O317">
        <f t="shared" si="49"/>
        <v>110232.62781123078</v>
      </c>
      <c r="P317">
        <f t="shared" si="50"/>
        <v>109539.16615033348</v>
      </c>
      <c r="Q317">
        <f t="shared" si="51"/>
        <v>6578.8953384357455</v>
      </c>
      <c r="R317">
        <f t="shared" si="52"/>
        <v>226350.6893</v>
      </c>
    </row>
    <row r="318" spans="1:18" x14ac:dyDescent="0.3">
      <c r="A318" t="s">
        <v>0</v>
      </c>
      <c r="B318" t="s">
        <v>0</v>
      </c>
      <c r="C318">
        <v>22</v>
      </c>
      <c r="D318">
        <v>31</v>
      </c>
      <c r="E318">
        <v>4</v>
      </c>
      <c r="F318">
        <v>20260207</v>
      </c>
      <c r="G318">
        <v>20260404</v>
      </c>
      <c r="H318">
        <v>157659.54939999999</v>
      </c>
      <c r="I318">
        <f t="shared" si="43"/>
        <v>57</v>
      </c>
      <c r="J318">
        <f t="shared" si="44"/>
        <v>2765.9570070175437</v>
      </c>
      <c r="K318">
        <f t="shared" si="45"/>
        <v>82535.862483308912</v>
      </c>
      <c r="L318">
        <f t="shared" si="46"/>
        <v>85744.667217543858</v>
      </c>
      <c r="M318">
        <f t="shared" si="47"/>
        <v>6866.4047911293592</v>
      </c>
      <c r="N318">
        <f t="shared" si="48"/>
        <v>175146.9344919821</v>
      </c>
      <c r="O318">
        <f t="shared" si="49"/>
        <v>74295.144966151478</v>
      </c>
      <c r="P318">
        <f t="shared" si="50"/>
        <v>77183.569533669259</v>
      </c>
      <c r="Q318">
        <f t="shared" si="51"/>
        <v>6180.8349001792731</v>
      </c>
      <c r="R318">
        <f t="shared" si="52"/>
        <v>157659.54939999999</v>
      </c>
    </row>
    <row r="319" spans="1:18" x14ac:dyDescent="0.3">
      <c r="A319" t="s">
        <v>0</v>
      </c>
      <c r="B319" t="s">
        <v>0</v>
      </c>
      <c r="C319">
        <v>24</v>
      </c>
      <c r="D319">
        <v>31</v>
      </c>
      <c r="E319">
        <v>1</v>
      </c>
      <c r="F319">
        <v>20260205</v>
      </c>
      <c r="G319">
        <v>20260401</v>
      </c>
      <c r="H319">
        <v>425155.96370000002</v>
      </c>
      <c r="I319">
        <f t="shared" si="43"/>
        <v>56</v>
      </c>
      <c r="J319">
        <f t="shared" si="44"/>
        <v>7592.0707803571431</v>
      </c>
      <c r="K319">
        <f t="shared" si="45"/>
        <v>247141.72739277955</v>
      </c>
      <c r="L319">
        <f t="shared" si="46"/>
        <v>235354.19419107144</v>
      </c>
      <c r="M319">
        <f t="shared" si="47"/>
        <v>4711.7716443691324</v>
      </c>
      <c r="N319">
        <f t="shared" si="48"/>
        <v>487207.6932282201</v>
      </c>
      <c r="O319">
        <f t="shared" si="49"/>
        <v>215665.27117818056</v>
      </c>
      <c r="P319">
        <f t="shared" si="50"/>
        <v>205379.02137614708</v>
      </c>
      <c r="Q319">
        <f t="shared" si="51"/>
        <v>4111.6711456724188</v>
      </c>
      <c r="R319">
        <f t="shared" si="52"/>
        <v>425155.96370000008</v>
      </c>
    </row>
    <row r="320" spans="1:18" x14ac:dyDescent="0.3">
      <c r="A320" t="s">
        <v>0</v>
      </c>
      <c r="B320" t="s">
        <v>0</v>
      </c>
      <c r="C320">
        <v>27</v>
      </c>
      <c r="D320">
        <v>31</v>
      </c>
      <c r="E320">
        <v>2</v>
      </c>
      <c r="F320">
        <v>20260202</v>
      </c>
      <c r="G320">
        <v>20260402</v>
      </c>
      <c r="H320">
        <v>646984.76950000005</v>
      </c>
      <c r="I320">
        <f t="shared" si="43"/>
        <v>60</v>
      </c>
      <c r="J320">
        <f t="shared" si="44"/>
        <v>10783.079491666667</v>
      </c>
      <c r="K320">
        <f t="shared" si="45"/>
        <v>394894.56703486381</v>
      </c>
      <c r="L320">
        <f t="shared" si="46"/>
        <v>334275.46424166666</v>
      </c>
      <c r="M320">
        <f t="shared" si="47"/>
        <v>13384.3346980554</v>
      </c>
      <c r="N320">
        <f t="shared" si="48"/>
        <v>742554.36597458587</v>
      </c>
      <c r="O320">
        <f t="shared" si="49"/>
        <v>344070.12083826051</v>
      </c>
      <c r="P320">
        <f t="shared" si="50"/>
        <v>291252.92920209176</v>
      </c>
      <c r="Q320">
        <f t="shared" si="51"/>
        <v>11661.719459647751</v>
      </c>
      <c r="R320">
        <f t="shared" si="52"/>
        <v>646984.76950000005</v>
      </c>
    </row>
    <row r="321" spans="1:18" x14ac:dyDescent="0.3">
      <c r="A321" t="s">
        <v>0</v>
      </c>
      <c r="B321" t="s">
        <v>0</v>
      </c>
      <c r="C321">
        <v>23</v>
      </c>
      <c r="D321">
        <v>31</v>
      </c>
      <c r="E321">
        <v>5</v>
      </c>
      <c r="F321">
        <v>20260206</v>
      </c>
      <c r="G321">
        <v>20260405</v>
      </c>
      <c r="H321">
        <v>354473.16960000002</v>
      </c>
      <c r="I321">
        <f t="shared" si="43"/>
        <v>59</v>
      </c>
      <c r="J321">
        <f t="shared" si="44"/>
        <v>6008.0198237288141</v>
      </c>
      <c r="K321">
        <f t="shared" si="45"/>
        <v>187427.70214521058</v>
      </c>
      <c r="L321">
        <f t="shared" si="46"/>
        <v>186248.61453559322</v>
      </c>
      <c r="M321">
        <f t="shared" si="47"/>
        <v>18643.409856962229</v>
      </c>
      <c r="N321">
        <f t="shared" si="48"/>
        <v>392319.72653776599</v>
      </c>
      <c r="O321">
        <f t="shared" si="49"/>
        <v>169346.80352827473</v>
      </c>
      <c r="P321">
        <f t="shared" si="50"/>
        <v>168281.46091625359</v>
      </c>
      <c r="Q321">
        <f t="shared" si="51"/>
        <v>16844.905155471755</v>
      </c>
      <c r="R321">
        <f t="shared" si="52"/>
        <v>354473.16960000008</v>
      </c>
    </row>
    <row r="322" spans="1:18" x14ac:dyDescent="0.3">
      <c r="A322" t="s">
        <v>0</v>
      </c>
      <c r="B322" t="s">
        <v>0</v>
      </c>
      <c r="C322">
        <v>25</v>
      </c>
      <c r="D322">
        <v>31</v>
      </c>
      <c r="E322">
        <v>2</v>
      </c>
      <c r="F322">
        <v>20260204</v>
      </c>
      <c r="G322">
        <v>20260402</v>
      </c>
      <c r="H322">
        <v>373157.93579999998</v>
      </c>
      <c r="I322">
        <f t="shared" si="43"/>
        <v>58</v>
      </c>
      <c r="J322">
        <f t="shared" si="44"/>
        <v>6433.7575137931035</v>
      </c>
      <c r="K322">
        <f t="shared" si="45"/>
        <v>218162.08970765589</v>
      </c>
      <c r="L322">
        <f t="shared" si="46"/>
        <v>199446.48292758621</v>
      </c>
      <c r="M322">
        <f t="shared" si="47"/>
        <v>7985.8044260254264</v>
      </c>
      <c r="N322">
        <f t="shared" si="48"/>
        <v>425594.37706126756</v>
      </c>
      <c r="O322">
        <f t="shared" si="49"/>
        <v>191282.87273730559</v>
      </c>
      <c r="P322">
        <f t="shared" si="50"/>
        <v>174873.17004922262</v>
      </c>
      <c r="Q322">
        <f t="shared" si="51"/>
        <v>7001.8930134717521</v>
      </c>
      <c r="R322">
        <f t="shared" si="52"/>
        <v>373157.93579999998</v>
      </c>
    </row>
    <row r="323" spans="1:18" x14ac:dyDescent="0.3">
      <c r="A323" t="s">
        <v>0</v>
      </c>
      <c r="B323" t="s">
        <v>0</v>
      </c>
      <c r="C323">
        <v>22</v>
      </c>
      <c r="D323">
        <v>31</v>
      </c>
      <c r="E323">
        <v>1</v>
      </c>
      <c r="F323">
        <v>20260207</v>
      </c>
      <c r="G323">
        <v>20260401</v>
      </c>
      <c r="H323">
        <v>53601.6466</v>
      </c>
      <c r="I323">
        <f t="shared" si="43"/>
        <v>54</v>
      </c>
      <c r="J323">
        <f t="shared" si="44"/>
        <v>992.62308518518523</v>
      </c>
      <c r="K323">
        <f t="shared" si="45"/>
        <v>29619.767136200699</v>
      </c>
      <c r="L323">
        <f t="shared" si="46"/>
        <v>30771.31564074074</v>
      </c>
      <c r="M323">
        <f t="shared" si="47"/>
        <v>616.0392127036713</v>
      </c>
      <c r="N323">
        <f t="shared" si="48"/>
        <v>61007.121989645108</v>
      </c>
      <c r="O323">
        <f t="shared" si="49"/>
        <v>26024.310582597271</v>
      </c>
      <c r="P323">
        <f t="shared" si="50"/>
        <v>27036.075995717245</v>
      </c>
      <c r="Q323">
        <f t="shared" si="51"/>
        <v>541.26002168548632</v>
      </c>
      <c r="R323">
        <f t="shared" si="52"/>
        <v>53601.6466</v>
      </c>
    </row>
    <row r="324" spans="1:18" x14ac:dyDescent="0.3">
      <c r="A324" t="s">
        <v>0</v>
      </c>
      <c r="B324" t="s">
        <v>0</v>
      </c>
      <c r="C324">
        <v>21</v>
      </c>
      <c r="D324">
        <v>31</v>
      </c>
      <c r="E324">
        <v>7</v>
      </c>
      <c r="F324">
        <v>20260208</v>
      </c>
      <c r="G324">
        <v>20260407</v>
      </c>
      <c r="H324">
        <v>44897.744400000003</v>
      </c>
      <c r="I324">
        <f t="shared" si="43"/>
        <v>59</v>
      </c>
      <c r="J324">
        <f t="shared" si="44"/>
        <v>760.97871864406784</v>
      </c>
      <c r="K324">
        <f t="shared" si="45"/>
        <v>21675.363733600861</v>
      </c>
      <c r="L324">
        <f t="shared" si="46"/>
        <v>23590.340277966105</v>
      </c>
      <c r="M324">
        <f t="shared" si="47"/>
        <v>3305.9367286546335</v>
      </c>
      <c r="N324">
        <f t="shared" si="48"/>
        <v>48571.640740221599</v>
      </c>
      <c r="O324">
        <f t="shared" si="49"/>
        <v>20035.867140933675</v>
      </c>
      <c r="P324">
        <f t="shared" si="50"/>
        <v>21805.997326173812</v>
      </c>
      <c r="Q324">
        <f t="shared" si="51"/>
        <v>3055.8799328925188</v>
      </c>
      <c r="R324">
        <f t="shared" si="52"/>
        <v>44897.744400000003</v>
      </c>
    </row>
    <row r="325" spans="1:18" x14ac:dyDescent="0.3">
      <c r="A325" t="s">
        <v>0</v>
      </c>
      <c r="B325" t="s">
        <v>0</v>
      </c>
      <c r="C325">
        <v>20</v>
      </c>
      <c r="D325">
        <v>31</v>
      </c>
      <c r="E325">
        <v>1</v>
      </c>
      <c r="F325">
        <v>20260209</v>
      </c>
      <c r="G325">
        <v>20260401</v>
      </c>
      <c r="H325">
        <v>36598.618399999999</v>
      </c>
      <c r="I325">
        <f t="shared" si="43"/>
        <v>52</v>
      </c>
      <c r="J325">
        <f t="shared" si="44"/>
        <v>703.81958461538466</v>
      </c>
      <c r="K325">
        <f t="shared" si="45"/>
        <v>19092.637672797988</v>
      </c>
      <c r="L325">
        <f t="shared" si="46"/>
        <v>21818.407123076926</v>
      </c>
      <c r="M325">
        <f t="shared" si="47"/>
        <v>436.80271924261876</v>
      </c>
      <c r="N325">
        <f t="shared" si="48"/>
        <v>41347.84751511753</v>
      </c>
      <c r="O325">
        <f t="shared" si="49"/>
        <v>16899.650221954522</v>
      </c>
      <c r="P325">
        <f t="shared" si="50"/>
        <v>19312.336781289025</v>
      </c>
      <c r="Q325">
        <f t="shared" si="51"/>
        <v>386.63139675645823</v>
      </c>
      <c r="R325">
        <f t="shared" si="52"/>
        <v>36598.618399999999</v>
      </c>
    </row>
    <row r="326" spans="1:18" x14ac:dyDescent="0.3">
      <c r="A326" t="s">
        <v>0</v>
      </c>
      <c r="B326" t="s">
        <v>0</v>
      </c>
      <c r="C326">
        <v>20</v>
      </c>
      <c r="D326">
        <v>31</v>
      </c>
      <c r="E326">
        <v>7</v>
      </c>
      <c r="F326">
        <v>20260209</v>
      </c>
      <c r="G326">
        <v>20260407</v>
      </c>
      <c r="H326">
        <v>52622.2811</v>
      </c>
      <c r="I326">
        <f t="shared" si="43"/>
        <v>58</v>
      </c>
      <c r="J326">
        <f t="shared" si="44"/>
        <v>907.28070862068967</v>
      </c>
      <c r="K326">
        <f t="shared" si="45"/>
        <v>24611.9633722332</v>
      </c>
      <c r="L326">
        <f t="shared" si="46"/>
        <v>28125.701967241381</v>
      </c>
      <c r="M326">
        <f t="shared" si="47"/>
        <v>3941.5197092152248</v>
      </c>
      <c r="N326">
        <f t="shared" si="48"/>
        <v>56679.185048689804</v>
      </c>
      <c r="O326">
        <f t="shared" si="49"/>
        <v>22850.322457600294</v>
      </c>
      <c r="P326">
        <f t="shared" si="50"/>
        <v>26112.559553980595</v>
      </c>
      <c r="Q326">
        <f t="shared" si="51"/>
        <v>3659.3990884191153</v>
      </c>
      <c r="R326">
        <f t="shared" si="52"/>
        <v>52622.281100000007</v>
      </c>
    </row>
    <row r="327" spans="1:18" x14ac:dyDescent="0.3">
      <c r="A327" t="s">
        <v>0</v>
      </c>
      <c r="B327" t="s">
        <v>0</v>
      </c>
      <c r="C327">
        <v>19</v>
      </c>
      <c r="D327">
        <v>31</v>
      </c>
      <c r="E327">
        <v>6</v>
      </c>
      <c r="F327">
        <v>20260210</v>
      </c>
      <c r="G327">
        <v>20260406</v>
      </c>
      <c r="H327">
        <v>14347.695100000001</v>
      </c>
      <c r="I327">
        <f t="shared" si="43"/>
        <v>56</v>
      </c>
      <c r="J327">
        <f t="shared" si="44"/>
        <v>256.20884107142859</v>
      </c>
      <c r="K327">
        <f t="shared" si="45"/>
        <v>6602.7111836147051</v>
      </c>
      <c r="L327">
        <f t="shared" si="46"/>
        <v>7942.4740732142864</v>
      </c>
      <c r="M327">
        <f t="shared" si="47"/>
        <v>954.0460730585387</v>
      </c>
      <c r="N327">
        <f t="shared" si="48"/>
        <v>15499.231329887529</v>
      </c>
      <c r="O327">
        <f t="shared" si="49"/>
        <v>6112.1538790886189</v>
      </c>
      <c r="P327">
        <f t="shared" si="50"/>
        <v>7352.3772835359432</v>
      </c>
      <c r="Q327">
        <f t="shared" si="51"/>
        <v>883.16393737543945</v>
      </c>
      <c r="R327">
        <f t="shared" si="52"/>
        <v>14347.695100000001</v>
      </c>
    </row>
    <row r="328" spans="1:18" x14ac:dyDescent="0.3">
      <c r="A328" t="s">
        <v>0</v>
      </c>
      <c r="B328" t="s">
        <v>0</v>
      </c>
      <c r="C328">
        <v>23</v>
      </c>
      <c r="D328">
        <v>31</v>
      </c>
      <c r="E328">
        <v>6</v>
      </c>
      <c r="F328">
        <v>20260206</v>
      </c>
      <c r="G328">
        <v>20260406</v>
      </c>
      <c r="H328">
        <v>228465.348</v>
      </c>
      <c r="I328">
        <f t="shared" si="43"/>
        <v>60</v>
      </c>
      <c r="J328">
        <f t="shared" si="44"/>
        <v>3807.7557999999999</v>
      </c>
      <c r="K328">
        <f t="shared" si="45"/>
        <v>118787.71057069527</v>
      </c>
      <c r="L328">
        <f t="shared" si="46"/>
        <v>118040.4298</v>
      </c>
      <c r="M328">
        <f t="shared" si="47"/>
        <v>14178.958278582948</v>
      </c>
      <c r="N328">
        <f t="shared" si="48"/>
        <v>251007.09864927822</v>
      </c>
      <c r="O328">
        <f t="shared" si="49"/>
        <v>108119.95270132658</v>
      </c>
      <c r="P328">
        <f t="shared" si="50"/>
        <v>107439.78165337881</v>
      </c>
      <c r="Q328">
        <f t="shared" si="51"/>
        <v>12905.613645294605</v>
      </c>
      <c r="R328">
        <f t="shared" si="52"/>
        <v>228465.34799999997</v>
      </c>
    </row>
    <row r="329" spans="1:18" x14ac:dyDescent="0.3">
      <c r="A329" t="s">
        <v>0</v>
      </c>
      <c r="B329" t="s">
        <v>0</v>
      </c>
      <c r="C329">
        <v>21</v>
      </c>
      <c r="D329">
        <v>31</v>
      </c>
      <c r="E329">
        <v>8</v>
      </c>
      <c r="F329">
        <v>20260208</v>
      </c>
      <c r="G329">
        <v>20260408</v>
      </c>
      <c r="H329">
        <v>18060.370699999999</v>
      </c>
      <c r="I329">
        <f t="shared" si="43"/>
        <v>60</v>
      </c>
      <c r="J329">
        <f t="shared" si="44"/>
        <v>301.00617833333331</v>
      </c>
      <c r="K329">
        <f t="shared" si="45"/>
        <v>8573.7199235499102</v>
      </c>
      <c r="L329">
        <f t="shared" si="46"/>
        <v>9331.1915283333328</v>
      </c>
      <c r="M329">
        <f t="shared" si="47"/>
        <v>1494.4775062112374</v>
      </c>
      <c r="N329">
        <f t="shared" si="48"/>
        <v>19399.388958094481</v>
      </c>
      <c r="O329">
        <f t="shared" si="49"/>
        <v>7981.9297624154005</v>
      </c>
      <c r="P329">
        <f t="shared" si="50"/>
        <v>8687.1178488372861</v>
      </c>
      <c r="Q329">
        <f t="shared" si="51"/>
        <v>1391.3230887473112</v>
      </c>
      <c r="R329">
        <f t="shared" si="52"/>
        <v>18060.370699999999</v>
      </c>
    </row>
    <row r="330" spans="1:18" x14ac:dyDescent="0.3">
      <c r="A330" t="s">
        <v>0</v>
      </c>
      <c r="B330" t="s">
        <v>0</v>
      </c>
      <c r="C330">
        <v>22</v>
      </c>
      <c r="D330">
        <v>31</v>
      </c>
      <c r="E330">
        <v>8</v>
      </c>
      <c r="F330">
        <v>20260207</v>
      </c>
      <c r="G330">
        <v>20260408</v>
      </c>
      <c r="H330">
        <v>12784.5324</v>
      </c>
      <c r="I330">
        <f t="shared" si="43"/>
        <v>61</v>
      </c>
      <c r="J330">
        <f t="shared" si="44"/>
        <v>209.58249836065573</v>
      </c>
      <c r="K330">
        <f t="shared" si="45"/>
        <v>6253.9194281459349</v>
      </c>
      <c r="L330">
        <f t="shared" si="46"/>
        <v>6497.0574491803281</v>
      </c>
      <c r="M330">
        <f t="shared" si="47"/>
        <v>1040.5644536262598</v>
      </c>
      <c r="N330">
        <f t="shared" si="48"/>
        <v>13791.541330952521</v>
      </c>
      <c r="O330">
        <f t="shared" si="49"/>
        <v>5797.2806401762164</v>
      </c>
      <c r="P330">
        <f t="shared" si="50"/>
        <v>6022.6655941124272</v>
      </c>
      <c r="Q330">
        <f t="shared" si="51"/>
        <v>964.58616571135826</v>
      </c>
      <c r="R330">
        <f t="shared" si="52"/>
        <v>12784.532400000002</v>
      </c>
    </row>
    <row r="331" spans="1:18" x14ac:dyDescent="0.3">
      <c r="A331" t="s">
        <v>0</v>
      </c>
      <c r="B331" t="s">
        <v>0</v>
      </c>
      <c r="C331">
        <v>19</v>
      </c>
      <c r="D331">
        <v>31</v>
      </c>
      <c r="E331">
        <v>8</v>
      </c>
      <c r="F331">
        <v>20260210</v>
      </c>
      <c r="G331">
        <v>20260408</v>
      </c>
      <c r="H331">
        <v>22744.2523</v>
      </c>
      <c r="I331">
        <f t="shared" ref="I331:I394" si="53">IF(C331&lt;0,0,C331)+D331+E331</f>
        <v>58</v>
      </c>
      <c r="J331">
        <f t="shared" ref="J331:J394" si="54">H331/I331</f>
        <v>392.14228103448278</v>
      </c>
      <c r="K331">
        <f t="shared" ref="K331:K394" si="55">IF(C331&lt;0,0,C331)*$J331*$B$6</f>
        <v>10105.827003185712</v>
      </c>
      <c r="L331">
        <f t="shared" ref="L331:L394" si="56">IF(D331&lt;0,0,D331)*$J331*$C$6</f>
        <v>12156.410712068966</v>
      </c>
      <c r="M331">
        <f t="shared" ref="M331:M394" si="57">IF(E331&lt;0,0,E331)*$J331*$D$6</f>
        <v>1946.9627550017012</v>
      </c>
      <c r="N331">
        <f t="shared" ref="N331:N394" si="58">K331+L331+M331</f>
        <v>24209.200470256379</v>
      </c>
      <c r="O331">
        <f t="shared" ref="O331:O394" si="59">K331/$N331*$H331</f>
        <v>9494.3027690238541</v>
      </c>
      <c r="P331">
        <f t="shared" ref="P331:P394" si="60">L331/$N331*$H331</f>
        <v>11420.801469152821</v>
      </c>
      <c r="Q331">
        <f t="shared" ref="Q331:Q394" si="61">M331/$N331*$H331</f>
        <v>1829.148061823325</v>
      </c>
      <c r="R331">
        <f t="shared" ref="R331:R394" si="62">O331+P331+Q331</f>
        <v>22744.2523</v>
      </c>
    </row>
    <row r="332" spans="1:18" x14ac:dyDescent="0.3">
      <c r="A332" t="s">
        <v>0</v>
      </c>
      <c r="B332" t="s">
        <v>0</v>
      </c>
      <c r="C332">
        <v>21</v>
      </c>
      <c r="D332">
        <v>31</v>
      </c>
      <c r="E332">
        <v>2</v>
      </c>
      <c r="F332">
        <v>20260208</v>
      </c>
      <c r="G332">
        <v>20260402</v>
      </c>
      <c r="H332">
        <v>12367.233</v>
      </c>
      <c r="I332">
        <f t="shared" si="53"/>
        <v>54</v>
      </c>
      <c r="J332">
        <f t="shared" si="54"/>
        <v>229.02283333333332</v>
      </c>
      <c r="K332">
        <f t="shared" si="55"/>
        <v>6523.3798188799656</v>
      </c>
      <c r="L332">
        <f t="shared" si="56"/>
        <v>7099.7078333333329</v>
      </c>
      <c r="M332">
        <f t="shared" si="57"/>
        <v>284.27113582898261</v>
      </c>
      <c r="N332">
        <f t="shared" si="58"/>
        <v>13907.358788042282</v>
      </c>
      <c r="O332">
        <f t="shared" si="59"/>
        <v>5800.969069479439</v>
      </c>
      <c r="P332">
        <f t="shared" si="60"/>
        <v>6313.4734887441909</v>
      </c>
      <c r="Q332">
        <f t="shared" si="61"/>
        <v>252.79044177636897</v>
      </c>
      <c r="R332">
        <f t="shared" si="62"/>
        <v>12367.232999999998</v>
      </c>
    </row>
    <row r="333" spans="1:18" x14ac:dyDescent="0.3">
      <c r="A333" t="s">
        <v>0</v>
      </c>
      <c r="B333" t="s">
        <v>0</v>
      </c>
      <c r="C333">
        <v>19</v>
      </c>
      <c r="D333">
        <v>31</v>
      </c>
      <c r="E333">
        <v>4</v>
      </c>
      <c r="F333">
        <v>20260210</v>
      </c>
      <c r="G333">
        <v>20260404</v>
      </c>
      <c r="H333">
        <v>8567.6218000000008</v>
      </c>
      <c r="I333">
        <f t="shared" si="53"/>
        <v>54</v>
      </c>
      <c r="J333">
        <f t="shared" si="54"/>
        <v>158.65966296296298</v>
      </c>
      <c r="K333">
        <f t="shared" si="55"/>
        <v>4088.7891559606214</v>
      </c>
      <c r="L333">
        <f t="shared" si="56"/>
        <v>4918.4495518518524</v>
      </c>
      <c r="M333">
        <f t="shared" si="57"/>
        <v>393.86782483020301</v>
      </c>
      <c r="N333">
        <f t="shared" si="58"/>
        <v>9401.106532642676</v>
      </c>
      <c r="O333">
        <f t="shared" si="59"/>
        <v>3726.2846651695645</v>
      </c>
      <c r="P333">
        <f t="shared" si="60"/>
        <v>4482.3889035114107</v>
      </c>
      <c r="Q333">
        <f t="shared" si="61"/>
        <v>358.94823131902592</v>
      </c>
      <c r="R333">
        <f t="shared" si="62"/>
        <v>8567.6218000000008</v>
      </c>
    </row>
    <row r="334" spans="1:18" x14ac:dyDescent="0.3">
      <c r="A334" t="s">
        <v>0</v>
      </c>
      <c r="B334" t="s">
        <v>0</v>
      </c>
      <c r="C334">
        <v>0</v>
      </c>
      <c r="D334">
        <v>28</v>
      </c>
      <c r="E334">
        <v>5</v>
      </c>
      <c r="F334">
        <v>20260304</v>
      </c>
      <c r="G334">
        <v>20260405</v>
      </c>
      <c r="H334">
        <v>210.8621</v>
      </c>
      <c r="I334">
        <f t="shared" si="53"/>
        <v>33</v>
      </c>
      <c r="J334">
        <f t="shared" si="54"/>
        <v>6.389760606060606</v>
      </c>
      <c r="K334">
        <f t="shared" si="55"/>
        <v>0</v>
      </c>
      <c r="L334">
        <f t="shared" si="56"/>
        <v>178.91329696969697</v>
      </c>
      <c r="M334">
        <f t="shared" si="57"/>
        <v>19.827984820583428</v>
      </c>
      <c r="N334">
        <f t="shared" si="58"/>
        <v>198.7412817902804</v>
      </c>
      <c r="O334">
        <f t="shared" si="59"/>
        <v>0</v>
      </c>
      <c r="P334">
        <f t="shared" si="60"/>
        <v>189.82484754608723</v>
      </c>
      <c r="Q334">
        <f t="shared" si="61"/>
        <v>21.037252453912764</v>
      </c>
      <c r="R334">
        <f t="shared" si="62"/>
        <v>210.8621</v>
      </c>
    </row>
    <row r="335" spans="1:18" x14ac:dyDescent="0.3">
      <c r="A335" t="s">
        <v>0</v>
      </c>
      <c r="B335" t="s">
        <v>0</v>
      </c>
      <c r="C335">
        <v>15</v>
      </c>
      <c r="D335">
        <v>31</v>
      </c>
      <c r="E335">
        <v>2</v>
      </c>
      <c r="F335">
        <v>20260214</v>
      </c>
      <c r="G335">
        <v>20260402</v>
      </c>
      <c r="H335">
        <v>84.418000000000006</v>
      </c>
      <c r="I335">
        <f t="shared" si="53"/>
        <v>48</v>
      </c>
      <c r="J335">
        <f t="shared" si="54"/>
        <v>1.7587083333333335</v>
      </c>
      <c r="K335">
        <f t="shared" si="55"/>
        <v>35.781592734606797</v>
      </c>
      <c r="L335">
        <f t="shared" si="56"/>
        <v>54.519958333333342</v>
      </c>
      <c r="M335">
        <f t="shared" si="57"/>
        <v>2.182970179138894</v>
      </c>
      <c r="N335">
        <f t="shared" si="58"/>
        <v>92.48452124707903</v>
      </c>
      <c r="O335">
        <f t="shared" si="59"/>
        <v>32.660713973966082</v>
      </c>
      <c r="P335">
        <f t="shared" si="60"/>
        <v>49.764715008769059</v>
      </c>
      <c r="Q335">
        <f t="shared" si="61"/>
        <v>1.9925710172648745</v>
      </c>
      <c r="R335">
        <f t="shared" si="62"/>
        <v>84.418000000000021</v>
      </c>
    </row>
    <row r="336" spans="1:18" x14ac:dyDescent="0.3">
      <c r="A336" t="s">
        <v>0</v>
      </c>
      <c r="B336" t="s">
        <v>0</v>
      </c>
      <c r="C336">
        <v>6</v>
      </c>
      <c r="D336">
        <v>31</v>
      </c>
      <c r="E336">
        <v>7</v>
      </c>
      <c r="F336">
        <v>20260223</v>
      </c>
      <c r="G336">
        <v>20260407</v>
      </c>
      <c r="H336">
        <v>506.56720000000001</v>
      </c>
      <c r="I336">
        <f t="shared" si="53"/>
        <v>44</v>
      </c>
      <c r="J336">
        <f t="shared" si="54"/>
        <v>11.51289090909091</v>
      </c>
      <c r="K336">
        <f t="shared" si="55"/>
        <v>93.693665037969609</v>
      </c>
      <c r="L336">
        <f t="shared" si="56"/>
        <v>356.8996181818182</v>
      </c>
      <c r="M336">
        <f t="shared" si="57"/>
        <v>50.015707373756229</v>
      </c>
      <c r="N336">
        <f t="shared" si="58"/>
        <v>500.60899059354404</v>
      </c>
      <c r="O336">
        <f t="shared" si="59"/>
        <v>94.808799777544863</v>
      </c>
      <c r="P336">
        <f t="shared" si="60"/>
        <v>361.14740977599274</v>
      </c>
      <c r="Q336">
        <f t="shared" si="61"/>
        <v>50.610990446462402</v>
      </c>
      <c r="R336">
        <f t="shared" si="62"/>
        <v>506.56720000000001</v>
      </c>
    </row>
    <row r="337" spans="1:18" x14ac:dyDescent="0.3">
      <c r="A337" t="s">
        <v>0</v>
      </c>
      <c r="B337" t="s">
        <v>0</v>
      </c>
      <c r="C337">
        <v>0</v>
      </c>
      <c r="D337">
        <v>27</v>
      </c>
      <c r="E337">
        <v>5</v>
      </c>
      <c r="F337">
        <v>20260305</v>
      </c>
      <c r="G337">
        <v>20260405</v>
      </c>
      <c r="H337">
        <v>210.81270000000001</v>
      </c>
      <c r="I337">
        <f t="shared" si="53"/>
        <v>32</v>
      </c>
      <c r="J337">
        <f t="shared" si="54"/>
        <v>6.5878968750000002</v>
      </c>
      <c r="K337">
        <f t="shared" si="55"/>
        <v>0</v>
      </c>
      <c r="L337">
        <f t="shared" si="56"/>
        <v>177.873215625</v>
      </c>
      <c r="M337">
        <f t="shared" si="57"/>
        <v>20.442818955247422</v>
      </c>
      <c r="N337">
        <f t="shared" si="58"/>
        <v>198.31603458024742</v>
      </c>
      <c r="O337">
        <f t="shared" si="59"/>
        <v>0</v>
      </c>
      <c r="P337">
        <f t="shared" si="60"/>
        <v>189.08169943472282</v>
      </c>
      <c r="Q337">
        <f t="shared" si="61"/>
        <v>21.731000565277196</v>
      </c>
      <c r="R337">
        <f t="shared" si="62"/>
        <v>210.81270000000001</v>
      </c>
    </row>
    <row r="338" spans="1:18" x14ac:dyDescent="0.3">
      <c r="A338" t="s">
        <v>0</v>
      </c>
      <c r="B338" t="s">
        <v>0</v>
      </c>
      <c r="C338">
        <v>0</v>
      </c>
      <c r="D338">
        <v>26</v>
      </c>
      <c r="E338">
        <v>6</v>
      </c>
      <c r="F338">
        <v>20260306</v>
      </c>
      <c r="G338">
        <v>20260406</v>
      </c>
      <c r="H338">
        <v>421.43770000000001</v>
      </c>
      <c r="I338">
        <f t="shared" si="53"/>
        <v>32</v>
      </c>
      <c r="J338">
        <f t="shared" si="54"/>
        <v>13.169928125</v>
      </c>
      <c r="K338">
        <f t="shared" si="55"/>
        <v>0</v>
      </c>
      <c r="L338">
        <f t="shared" si="56"/>
        <v>342.41813124999999</v>
      </c>
      <c r="M338">
        <f t="shared" si="57"/>
        <v>49.040923637043939</v>
      </c>
      <c r="N338">
        <f t="shared" si="58"/>
        <v>391.45905488704392</v>
      </c>
      <c r="O338">
        <f t="shared" si="59"/>
        <v>0</v>
      </c>
      <c r="P338">
        <f t="shared" si="60"/>
        <v>368.64113339756153</v>
      </c>
      <c r="Q338">
        <f t="shared" si="61"/>
        <v>52.796566602438475</v>
      </c>
      <c r="R338">
        <f t="shared" si="62"/>
        <v>421.43770000000001</v>
      </c>
    </row>
    <row r="339" spans="1:18" x14ac:dyDescent="0.3">
      <c r="A339" t="s">
        <v>0</v>
      </c>
      <c r="B339" t="s">
        <v>0</v>
      </c>
      <c r="C339">
        <v>3</v>
      </c>
      <c r="D339">
        <v>31</v>
      </c>
      <c r="E339">
        <v>5</v>
      </c>
      <c r="F339">
        <v>20260226</v>
      </c>
      <c r="G339">
        <v>20260405</v>
      </c>
      <c r="H339">
        <v>295.50439999999998</v>
      </c>
      <c r="I339">
        <f t="shared" si="53"/>
        <v>39</v>
      </c>
      <c r="J339">
        <f t="shared" si="54"/>
        <v>7.5770358974358967</v>
      </c>
      <c r="K339">
        <f t="shared" si="55"/>
        <v>30.831537837054331</v>
      </c>
      <c r="L339">
        <f t="shared" si="56"/>
        <v>234.88811282051279</v>
      </c>
      <c r="M339">
        <f t="shared" si="57"/>
        <v>23.51220366798664</v>
      </c>
      <c r="N339">
        <f t="shared" si="58"/>
        <v>289.23185432555374</v>
      </c>
      <c r="O339">
        <f t="shared" si="59"/>
        <v>31.500178674514309</v>
      </c>
      <c r="P339">
        <f t="shared" si="60"/>
        <v>239.98211057358455</v>
      </c>
      <c r="Q339">
        <f t="shared" si="61"/>
        <v>24.022110751901145</v>
      </c>
      <c r="R339">
        <f t="shared" si="62"/>
        <v>295.50440000000003</v>
      </c>
    </row>
    <row r="340" spans="1:18" x14ac:dyDescent="0.3">
      <c r="A340" t="s">
        <v>0</v>
      </c>
      <c r="B340" t="s">
        <v>0</v>
      </c>
      <c r="C340">
        <v>16</v>
      </c>
      <c r="D340">
        <v>31</v>
      </c>
      <c r="E340">
        <v>2</v>
      </c>
      <c r="F340">
        <v>20260213</v>
      </c>
      <c r="G340">
        <v>20260402</v>
      </c>
      <c r="H340">
        <v>168.8399</v>
      </c>
      <c r="I340">
        <f t="shared" si="53"/>
        <v>49</v>
      </c>
      <c r="J340">
        <f t="shared" si="54"/>
        <v>3.4457122448979591</v>
      </c>
      <c r="K340">
        <f t="shared" si="55"/>
        <v>74.777953730868148</v>
      </c>
      <c r="L340">
        <f t="shared" si="56"/>
        <v>106.81707959183673</v>
      </c>
      <c r="M340">
        <f t="shared" si="57"/>
        <v>4.2769383268057393</v>
      </c>
      <c r="N340">
        <f t="shared" si="58"/>
        <v>185.87197164951061</v>
      </c>
      <c r="O340">
        <f t="shared" si="59"/>
        <v>67.925799237400227</v>
      </c>
      <c r="P340">
        <f t="shared" si="60"/>
        <v>97.02907262739653</v>
      </c>
      <c r="Q340">
        <f t="shared" si="61"/>
        <v>3.8850281352032434</v>
      </c>
      <c r="R340">
        <f t="shared" si="62"/>
        <v>168.8399</v>
      </c>
    </row>
    <row r="341" spans="1:18" x14ac:dyDescent="0.3">
      <c r="A341" t="s">
        <v>0</v>
      </c>
      <c r="B341" t="s">
        <v>0</v>
      </c>
      <c r="C341">
        <v>23</v>
      </c>
      <c r="D341">
        <v>31</v>
      </c>
      <c r="E341">
        <v>14</v>
      </c>
      <c r="F341">
        <v>20260206</v>
      </c>
      <c r="G341">
        <v>20260414</v>
      </c>
      <c r="H341">
        <v>717.21680000000003</v>
      </c>
      <c r="I341">
        <f t="shared" si="53"/>
        <v>68</v>
      </c>
      <c r="J341">
        <f t="shared" si="54"/>
        <v>10.547305882352942</v>
      </c>
      <c r="K341">
        <f t="shared" si="55"/>
        <v>329.03641521694567</v>
      </c>
      <c r="L341">
        <f t="shared" si="56"/>
        <v>326.96648235294123</v>
      </c>
      <c r="M341">
        <f t="shared" si="57"/>
        <v>91.641789843888631</v>
      </c>
      <c r="N341">
        <f t="shared" si="58"/>
        <v>747.64468741377561</v>
      </c>
      <c r="O341">
        <f t="shared" si="59"/>
        <v>315.64518383952992</v>
      </c>
      <c r="P341">
        <f t="shared" si="60"/>
        <v>313.65949377855787</v>
      </c>
      <c r="Q341">
        <f t="shared" si="61"/>
        <v>87.91212238191217</v>
      </c>
      <c r="R341">
        <f t="shared" si="62"/>
        <v>717.21679999999992</v>
      </c>
    </row>
    <row r="342" spans="1:18" x14ac:dyDescent="0.3">
      <c r="A342" t="s">
        <v>0</v>
      </c>
      <c r="B342" t="s">
        <v>0</v>
      </c>
      <c r="C342">
        <v>26</v>
      </c>
      <c r="D342">
        <v>31</v>
      </c>
      <c r="E342">
        <v>14</v>
      </c>
      <c r="F342">
        <v>20260203</v>
      </c>
      <c r="G342">
        <v>20260414</v>
      </c>
      <c r="H342">
        <v>675.01170000000002</v>
      </c>
      <c r="I342">
        <f t="shared" si="53"/>
        <v>71</v>
      </c>
      <c r="J342">
        <f t="shared" si="54"/>
        <v>9.5072070422535209</v>
      </c>
      <c r="K342">
        <f t="shared" si="55"/>
        <v>335.27478106250436</v>
      </c>
      <c r="L342">
        <f t="shared" si="56"/>
        <v>294.72341830985914</v>
      </c>
      <c r="M342">
        <f t="shared" si="57"/>
        <v>82.604740915522868</v>
      </c>
      <c r="N342">
        <f t="shared" si="58"/>
        <v>712.60294028788633</v>
      </c>
      <c r="O342">
        <f t="shared" si="59"/>
        <v>317.58836111551761</v>
      </c>
      <c r="P342">
        <f t="shared" si="60"/>
        <v>279.17616441882507</v>
      </c>
      <c r="Q342">
        <f t="shared" si="61"/>
        <v>78.247174465657352</v>
      </c>
      <c r="R342">
        <f t="shared" si="62"/>
        <v>675.01170000000013</v>
      </c>
    </row>
    <row r="343" spans="1:18" x14ac:dyDescent="0.3">
      <c r="A343" t="s">
        <v>0</v>
      </c>
      <c r="B343" t="s">
        <v>0</v>
      </c>
      <c r="C343">
        <v>0</v>
      </c>
      <c r="D343">
        <v>8</v>
      </c>
      <c r="E343">
        <v>4</v>
      </c>
      <c r="F343">
        <v>20260324</v>
      </c>
      <c r="G343">
        <v>20260404</v>
      </c>
      <c r="H343">
        <v>42.2258</v>
      </c>
      <c r="I343">
        <f t="shared" si="53"/>
        <v>12</v>
      </c>
      <c r="J343">
        <f t="shared" si="54"/>
        <v>3.5188166666666665</v>
      </c>
      <c r="K343">
        <f t="shared" si="55"/>
        <v>0</v>
      </c>
      <c r="L343">
        <f t="shared" si="56"/>
        <v>28.150533333333332</v>
      </c>
      <c r="M343">
        <f t="shared" si="57"/>
        <v>8.7353561743024564</v>
      </c>
      <c r="N343">
        <f t="shared" si="58"/>
        <v>36.885889507635788</v>
      </c>
      <c r="O343">
        <f t="shared" si="59"/>
        <v>0</v>
      </c>
      <c r="P343">
        <f t="shared" si="60"/>
        <v>32.225840458059089</v>
      </c>
      <c r="Q343">
        <f t="shared" si="61"/>
        <v>9.9999595419409122</v>
      </c>
      <c r="R343">
        <f t="shared" si="62"/>
        <v>42.2258</v>
      </c>
    </row>
    <row r="344" spans="1:18" x14ac:dyDescent="0.3">
      <c r="A344" t="s">
        <v>0</v>
      </c>
      <c r="B344" t="s">
        <v>0</v>
      </c>
      <c r="C344">
        <v>0</v>
      </c>
      <c r="D344">
        <v>18</v>
      </c>
      <c r="E344">
        <v>8</v>
      </c>
      <c r="F344">
        <v>20260314</v>
      </c>
      <c r="G344">
        <v>20260408</v>
      </c>
      <c r="H344">
        <v>84.202500000000001</v>
      </c>
      <c r="I344">
        <f t="shared" si="53"/>
        <v>26</v>
      </c>
      <c r="J344">
        <f t="shared" si="54"/>
        <v>3.2385576923076922</v>
      </c>
      <c r="K344">
        <f t="shared" si="55"/>
        <v>0</v>
      </c>
      <c r="L344">
        <f t="shared" si="56"/>
        <v>58.294038461538463</v>
      </c>
      <c r="M344">
        <f t="shared" si="57"/>
        <v>16.079243457791993</v>
      </c>
      <c r="N344">
        <f t="shared" si="58"/>
        <v>74.373281919330452</v>
      </c>
      <c r="O344">
        <f t="shared" si="59"/>
        <v>0</v>
      </c>
      <c r="P344">
        <f t="shared" si="60"/>
        <v>65.998213967238101</v>
      </c>
      <c r="Q344">
        <f t="shared" si="61"/>
        <v>18.204286032761896</v>
      </c>
      <c r="R344">
        <f t="shared" si="62"/>
        <v>84.202500000000001</v>
      </c>
    </row>
    <row r="345" spans="1:18" x14ac:dyDescent="0.3">
      <c r="A345" t="s">
        <v>0</v>
      </c>
      <c r="B345" t="s">
        <v>0</v>
      </c>
      <c r="C345">
        <v>0</v>
      </c>
      <c r="D345">
        <v>9</v>
      </c>
      <c r="E345">
        <v>2</v>
      </c>
      <c r="F345">
        <v>20260323</v>
      </c>
      <c r="G345">
        <v>20260402</v>
      </c>
      <c r="H345">
        <v>42.264299999999999</v>
      </c>
      <c r="I345">
        <f t="shared" si="53"/>
        <v>11</v>
      </c>
      <c r="J345">
        <f t="shared" si="54"/>
        <v>3.8422090909090909</v>
      </c>
      <c r="K345">
        <f t="shared" si="55"/>
        <v>0</v>
      </c>
      <c r="L345">
        <f t="shared" si="56"/>
        <v>34.579881818181818</v>
      </c>
      <c r="M345">
        <f t="shared" si="57"/>
        <v>4.7690840536213059</v>
      </c>
      <c r="N345">
        <f t="shared" si="58"/>
        <v>39.348965871803124</v>
      </c>
      <c r="O345">
        <f t="shared" si="59"/>
        <v>0</v>
      </c>
      <c r="P345">
        <f t="shared" si="60"/>
        <v>37.141878236130893</v>
      </c>
      <c r="Q345">
        <f t="shared" si="61"/>
        <v>5.122421763869105</v>
      </c>
      <c r="R345">
        <f t="shared" si="62"/>
        <v>42.264299999999999</v>
      </c>
    </row>
    <row r="346" spans="1:18" x14ac:dyDescent="0.3">
      <c r="A346" t="s">
        <v>0</v>
      </c>
      <c r="B346" t="s">
        <v>0</v>
      </c>
      <c r="C346">
        <v>0</v>
      </c>
      <c r="D346">
        <v>14</v>
      </c>
      <c r="E346">
        <v>3</v>
      </c>
      <c r="F346">
        <v>20260318</v>
      </c>
      <c r="G346">
        <v>20260403</v>
      </c>
      <c r="H346">
        <v>168.61859999999999</v>
      </c>
      <c r="I346">
        <f t="shared" si="53"/>
        <v>17</v>
      </c>
      <c r="J346">
        <f t="shared" si="54"/>
        <v>9.9187411764705882</v>
      </c>
      <c r="K346">
        <f t="shared" si="55"/>
        <v>0</v>
      </c>
      <c r="L346">
        <f t="shared" si="56"/>
        <v>138.86237647058823</v>
      </c>
      <c r="M346">
        <f t="shared" si="57"/>
        <v>18.467231711292936</v>
      </c>
      <c r="N346">
        <f t="shared" si="58"/>
        <v>157.32960818188116</v>
      </c>
      <c r="O346">
        <f t="shared" si="59"/>
        <v>0</v>
      </c>
      <c r="P346">
        <f t="shared" si="60"/>
        <v>148.82627487430611</v>
      </c>
      <c r="Q346">
        <f t="shared" si="61"/>
        <v>19.792325125693875</v>
      </c>
      <c r="R346">
        <f t="shared" si="62"/>
        <v>168.61859999999999</v>
      </c>
    </row>
    <row r="347" spans="1:18" x14ac:dyDescent="0.3">
      <c r="A347" t="s">
        <v>0</v>
      </c>
      <c r="B347" t="s">
        <v>0</v>
      </c>
      <c r="C347">
        <v>0</v>
      </c>
      <c r="D347">
        <v>19</v>
      </c>
      <c r="E347">
        <v>2</v>
      </c>
      <c r="F347">
        <v>20260313</v>
      </c>
      <c r="G347">
        <v>20260402</v>
      </c>
      <c r="H347">
        <v>42.12</v>
      </c>
      <c r="I347">
        <f t="shared" si="53"/>
        <v>21</v>
      </c>
      <c r="J347">
        <f t="shared" si="54"/>
        <v>2.0057142857142858</v>
      </c>
      <c r="K347">
        <f t="shared" si="55"/>
        <v>0</v>
      </c>
      <c r="L347">
        <f t="shared" si="56"/>
        <v>38.10857142857143</v>
      </c>
      <c r="M347">
        <f t="shared" si="57"/>
        <v>2.4895625901132852</v>
      </c>
      <c r="N347">
        <f t="shared" si="58"/>
        <v>40.598134018684718</v>
      </c>
      <c r="O347">
        <f t="shared" si="59"/>
        <v>0</v>
      </c>
      <c r="P347">
        <f t="shared" si="60"/>
        <v>39.537113401140275</v>
      </c>
      <c r="Q347">
        <f t="shared" si="61"/>
        <v>2.5828865988597176</v>
      </c>
      <c r="R347">
        <f t="shared" si="62"/>
        <v>42.11999999999999</v>
      </c>
    </row>
    <row r="348" spans="1:18" x14ac:dyDescent="0.3">
      <c r="A348" t="s">
        <v>0</v>
      </c>
      <c r="B348" t="s">
        <v>0</v>
      </c>
      <c r="C348">
        <v>0</v>
      </c>
      <c r="D348">
        <v>7</v>
      </c>
      <c r="E348">
        <v>4</v>
      </c>
      <c r="F348">
        <v>20260325</v>
      </c>
      <c r="G348">
        <v>20260404</v>
      </c>
      <c r="H348">
        <v>84.427800000000005</v>
      </c>
      <c r="I348">
        <f t="shared" si="53"/>
        <v>11</v>
      </c>
      <c r="J348">
        <f t="shared" si="54"/>
        <v>7.6752545454545462</v>
      </c>
      <c r="K348">
        <f t="shared" si="55"/>
        <v>0</v>
      </c>
      <c r="L348">
        <f t="shared" si="56"/>
        <v>53.72678181818182</v>
      </c>
      <c r="M348">
        <f t="shared" si="57"/>
        <v>19.05358776377836</v>
      </c>
      <c r="N348">
        <f t="shared" si="58"/>
        <v>72.780369581960173</v>
      </c>
      <c r="O348">
        <f t="shared" si="59"/>
        <v>0</v>
      </c>
      <c r="P348">
        <f t="shared" si="60"/>
        <v>62.324965042681271</v>
      </c>
      <c r="Q348">
        <f t="shared" si="61"/>
        <v>22.102834957318741</v>
      </c>
      <c r="R348">
        <f t="shared" si="62"/>
        <v>84.427800000000019</v>
      </c>
    </row>
    <row r="349" spans="1:18" x14ac:dyDescent="0.3">
      <c r="A349" t="s">
        <v>0</v>
      </c>
      <c r="B349" t="s">
        <v>0</v>
      </c>
      <c r="C349">
        <v>0</v>
      </c>
      <c r="D349">
        <v>8</v>
      </c>
      <c r="E349">
        <v>1</v>
      </c>
      <c r="F349">
        <v>20260324</v>
      </c>
      <c r="G349">
        <v>20260401</v>
      </c>
      <c r="H349">
        <v>42.293999999999997</v>
      </c>
      <c r="I349">
        <f t="shared" si="53"/>
        <v>9</v>
      </c>
      <c r="J349">
        <f t="shared" si="54"/>
        <v>4.6993333333333327</v>
      </c>
      <c r="K349">
        <f t="shared" si="55"/>
        <v>0</v>
      </c>
      <c r="L349">
        <f t="shared" si="56"/>
        <v>37.594666666666662</v>
      </c>
      <c r="M349">
        <f t="shared" si="57"/>
        <v>2.9164882925916387</v>
      </c>
      <c r="N349">
        <f t="shared" si="58"/>
        <v>40.511154959258299</v>
      </c>
      <c r="O349">
        <f t="shared" si="59"/>
        <v>0</v>
      </c>
      <c r="P349">
        <f t="shared" si="60"/>
        <v>39.249160721264978</v>
      </c>
      <c r="Q349">
        <f t="shared" si="61"/>
        <v>3.0448392787350222</v>
      </c>
      <c r="R349">
        <f t="shared" si="62"/>
        <v>42.293999999999997</v>
      </c>
    </row>
    <row r="350" spans="1:18" x14ac:dyDescent="0.3">
      <c r="A350" t="s">
        <v>0</v>
      </c>
      <c r="B350" t="s">
        <v>0</v>
      </c>
      <c r="C350">
        <v>0</v>
      </c>
      <c r="D350">
        <v>25</v>
      </c>
      <c r="E350">
        <v>2</v>
      </c>
      <c r="F350">
        <v>20260307</v>
      </c>
      <c r="G350">
        <v>20260402</v>
      </c>
      <c r="H350">
        <v>168.57900000000001</v>
      </c>
      <c r="I350">
        <f t="shared" si="53"/>
        <v>27</v>
      </c>
      <c r="J350">
        <f t="shared" si="54"/>
        <v>6.2436666666666669</v>
      </c>
      <c r="K350">
        <f t="shared" si="55"/>
        <v>0</v>
      </c>
      <c r="L350">
        <f t="shared" si="56"/>
        <v>156.09166666666667</v>
      </c>
      <c r="M350">
        <f t="shared" si="57"/>
        <v>7.7498570305765346</v>
      </c>
      <c r="N350">
        <f t="shared" si="58"/>
        <v>163.84152369724319</v>
      </c>
      <c r="O350">
        <f t="shared" si="59"/>
        <v>0</v>
      </c>
      <c r="P350">
        <f t="shared" si="60"/>
        <v>160.60505591747471</v>
      </c>
      <c r="Q350">
        <f t="shared" si="61"/>
        <v>7.9739440825253034</v>
      </c>
      <c r="R350">
        <f t="shared" si="62"/>
        <v>168.57900000000001</v>
      </c>
    </row>
    <row r="351" spans="1:18" x14ac:dyDescent="0.3">
      <c r="A351" t="s">
        <v>0</v>
      </c>
      <c r="B351" t="s">
        <v>0</v>
      </c>
      <c r="C351">
        <v>0</v>
      </c>
      <c r="D351">
        <v>18</v>
      </c>
      <c r="E351">
        <v>5</v>
      </c>
      <c r="F351">
        <v>20260314</v>
      </c>
      <c r="G351">
        <v>20260405</v>
      </c>
      <c r="H351">
        <v>84.212400000000002</v>
      </c>
      <c r="I351">
        <f t="shared" si="53"/>
        <v>23</v>
      </c>
      <c r="J351">
        <f t="shared" si="54"/>
        <v>3.6614086956521739</v>
      </c>
      <c r="K351">
        <f t="shared" si="55"/>
        <v>0</v>
      </c>
      <c r="L351">
        <f t="shared" si="56"/>
        <v>65.905356521739122</v>
      </c>
      <c r="M351">
        <f t="shared" si="57"/>
        <v>11.361670728397065</v>
      </c>
      <c r="N351">
        <f t="shared" si="58"/>
        <v>77.267027250136181</v>
      </c>
      <c r="O351">
        <f t="shared" si="59"/>
        <v>0</v>
      </c>
      <c r="P351">
        <f t="shared" si="60"/>
        <v>71.829452265377824</v>
      </c>
      <c r="Q351">
        <f t="shared" si="61"/>
        <v>12.382947734622194</v>
      </c>
      <c r="R351">
        <f t="shared" si="62"/>
        <v>84.212400000000017</v>
      </c>
    </row>
    <row r="352" spans="1:18" x14ac:dyDescent="0.3">
      <c r="A352" t="s">
        <v>0</v>
      </c>
      <c r="B352" t="s">
        <v>0</v>
      </c>
      <c r="C352">
        <v>26</v>
      </c>
      <c r="D352">
        <v>7</v>
      </c>
      <c r="E352">
        <v>0</v>
      </c>
      <c r="F352">
        <v>20260203</v>
      </c>
      <c r="G352">
        <v>20260307</v>
      </c>
      <c r="H352">
        <v>168.9427</v>
      </c>
      <c r="I352">
        <f t="shared" si="53"/>
        <v>33</v>
      </c>
      <c r="J352">
        <f t="shared" si="54"/>
        <v>5.1194757575757572</v>
      </c>
      <c r="K352">
        <f t="shared" si="55"/>
        <v>180.53999520022657</v>
      </c>
      <c r="L352">
        <f t="shared" si="56"/>
        <v>35.836330303030302</v>
      </c>
      <c r="M352">
        <f t="shared" si="57"/>
        <v>0</v>
      </c>
      <c r="N352">
        <f t="shared" si="58"/>
        <v>216.37632550325688</v>
      </c>
      <c r="O352">
        <f t="shared" si="59"/>
        <v>140.96234500781472</v>
      </c>
      <c r="P352">
        <f t="shared" si="60"/>
        <v>27.980354992185266</v>
      </c>
      <c r="Q352">
        <f t="shared" si="61"/>
        <v>0</v>
      </c>
      <c r="R352">
        <f t="shared" si="62"/>
        <v>168.94269999999997</v>
      </c>
    </row>
    <row r="353" spans="1:18" x14ac:dyDescent="0.3">
      <c r="A353" t="s">
        <v>0</v>
      </c>
      <c r="B353" t="s">
        <v>0</v>
      </c>
      <c r="C353">
        <v>26</v>
      </c>
      <c r="D353">
        <v>5</v>
      </c>
      <c r="E353">
        <v>0</v>
      </c>
      <c r="F353">
        <v>20260203</v>
      </c>
      <c r="G353">
        <v>20260305</v>
      </c>
      <c r="H353">
        <v>380.01429999999999</v>
      </c>
      <c r="I353">
        <f t="shared" si="53"/>
        <v>31</v>
      </c>
      <c r="J353">
        <f t="shared" si="54"/>
        <v>12.258525806451612</v>
      </c>
      <c r="K353">
        <f t="shared" si="55"/>
        <v>432.30094155316982</v>
      </c>
      <c r="L353">
        <f t="shared" si="56"/>
        <v>61.292629032258063</v>
      </c>
      <c r="M353">
        <f t="shared" si="57"/>
        <v>0</v>
      </c>
      <c r="N353">
        <f t="shared" si="58"/>
        <v>493.59357058542787</v>
      </c>
      <c r="O353">
        <f t="shared" si="59"/>
        <v>332.82552586498116</v>
      </c>
      <c r="P353">
        <f t="shared" si="60"/>
        <v>47.188774135018818</v>
      </c>
      <c r="Q353">
        <f t="shared" si="61"/>
        <v>0</v>
      </c>
      <c r="R353">
        <f t="shared" si="62"/>
        <v>380.01429999999999</v>
      </c>
    </row>
    <row r="354" spans="1:18" x14ac:dyDescent="0.3">
      <c r="A354" t="s">
        <v>0</v>
      </c>
      <c r="B354" t="s">
        <v>0</v>
      </c>
      <c r="C354">
        <v>23</v>
      </c>
      <c r="D354">
        <v>7</v>
      </c>
      <c r="E354">
        <v>0</v>
      </c>
      <c r="F354">
        <v>20260206</v>
      </c>
      <c r="G354">
        <v>20260307</v>
      </c>
      <c r="H354">
        <v>211.21299999999999</v>
      </c>
      <c r="I354">
        <f t="shared" si="53"/>
        <v>30</v>
      </c>
      <c r="J354">
        <f t="shared" si="54"/>
        <v>7.0404333333333335</v>
      </c>
      <c r="K354">
        <f t="shared" si="55"/>
        <v>219.63513445170918</v>
      </c>
      <c r="L354">
        <f t="shared" si="56"/>
        <v>49.283033333333336</v>
      </c>
      <c r="M354">
        <f t="shared" si="57"/>
        <v>0</v>
      </c>
      <c r="N354">
        <f t="shared" si="58"/>
        <v>268.9181677850425</v>
      </c>
      <c r="O354">
        <f t="shared" si="59"/>
        <v>172.50524958964522</v>
      </c>
      <c r="P354">
        <f t="shared" si="60"/>
        <v>38.707750410354777</v>
      </c>
      <c r="Q354">
        <f t="shared" si="61"/>
        <v>0</v>
      </c>
      <c r="R354">
        <f t="shared" si="62"/>
        <v>211.21299999999999</v>
      </c>
    </row>
    <row r="355" spans="1:18" x14ac:dyDescent="0.3">
      <c r="A355" t="s">
        <v>0</v>
      </c>
      <c r="B355" t="s">
        <v>0</v>
      </c>
      <c r="C355">
        <v>22</v>
      </c>
      <c r="D355">
        <v>3</v>
      </c>
      <c r="E355">
        <v>0</v>
      </c>
      <c r="F355">
        <v>20260207</v>
      </c>
      <c r="G355">
        <v>20260303</v>
      </c>
      <c r="H355">
        <v>42.223799999999997</v>
      </c>
      <c r="I355">
        <f t="shared" si="53"/>
        <v>25</v>
      </c>
      <c r="J355">
        <f t="shared" si="54"/>
        <v>1.6889519999999998</v>
      </c>
      <c r="K355">
        <f t="shared" si="55"/>
        <v>50.398147787271583</v>
      </c>
      <c r="L355">
        <f t="shared" si="56"/>
        <v>5.0668559999999996</v>
      </c>
      <c r="M355">
        <f t="shared" si="57"/>
        <v>0</v>
      </c>
      <c r="N355">
        <f t="shared" si="58"/>
        <v>55.465003787271584</v>
      </c>
      <c r="O355">
        <f t="shared" si="59"/>
        <v>38.366558500597151</v>
      </c>
      <c r="P355">
        <f t="shared" si="60"/>
        <v>3.8572414994028459</v>
      </c>
      <c r="Q355">
        <f t="shared" si="61"/>
        <v>0</v>
      </c>
      <c r="R355">
        <f t="shared" si="62"/>
        <v>42.223799999999997</v>
      </c>
    </row>
    <row r="356" spans="1:18" x14ac:dyDescent="0.3">
      <c r="A356" t="s">
        <v>0</v>
      </c>
      <c r="B356" t="s">
        <v>0</v>
      </c>
      <c r="C356">
        <v>27</v>
      </c>
      <c r="D356">
        <v>13</v>
      </c>
      <c r="E356">
        <v>0</v>
      </c>
      <c r="F356">
        <v>20260202</v>
      </c>
      <c r="G356">
        <v>20260313</v>
      </c>
      <c r="H356">
        <v>2026.9801</v>
      </c>
      <c r="I356">
        <f t="shared" si="53"/>
        <v>40</v>
      </c>
      <c r="J356">
        <f t="shared" si="54"/>
        <v>50.674502500000003</v>
      </c>
      <c r="K356">
        <f t="shared" si="55"/>
        <v>1855.7857929091131</v>
      </c>
      <c r="L356">
        <f t="shared" si="56"/>
        <v>658.76853249999999</v>
      </c>
      <c r="M356">
        <f t="shared" si="57"/>
        <v>0</v>
      </c>
      <c r="N356">
        <f t="shared" si="58"/>
        <v>2514.5543254091131</v>
      </c>
      <c r="O356">
        <f t="shared" si="59"/>
        <v>1495.9473470422963</v>
      </c>
      <c r="P356">
        <f t="shared" si="60"/>
        <v>531.03275295770391</v>
      </c>
      <c r="Q356">
        <f t="shared" si="61"/>
        <v>0</v>
      </c>
      <c r="R356">
        <f t="shared" si="62"/>
        <v>2026.9801000000002</v>
      </c>
    </row>
    <row r="357" spans="1:18" x14ac:dyDescent="0.3">
      <c r="A357" t="s">
        <v>0</v>
      </c>
      <c r="B357" t="s">
        <v>0</v>
      </c>
      <c r="C357">
        <v>25</v>
      </c>
      <c r="D357">
        <v>21</v>
      </c>
      <c r="E357">
        <v>0</v>
      </c>
      <c r="F357">
        <v>20260204</v>
      </c>
      <c r="G357">
        <v>20260321</v>
      </c>
      <c r="H357">
        <v>84.378399999999999</v>
      </c>
      <c r="I357">
        <f t="shared" si="53"/>
        <v>46</v>
      </c>
      <c r="J357">
        <f t="shared" si="54"/>
        <v>1.8343130434782609</v>
      </c>
      <c r="K357">
        <f t="shared" si="55"/>
        <v>62.199665729599104</v>
      </c>
      <c r="L357">
        <f t="shared" si="56"/>
        <v>38.520573913043478</v>
      </c>
      <c r="M357">
        <f t="shared" si="57"/>
        <v>0</v>
      </c>
      <c r="N357">
        <f t="shared" si="58"/>
        <v>100.72023964264258</v>
      </c>
      <c r="O357">
        <f t="shared" si="59"/>
        <v>52.107781846225819</v>
      </c>
      <c r="P357">
        <f t="shared" si="60"/>
        <v>32.27061815377418</v>
      </c>
      <c r="Q357">
        <f t="shared" si="61"/>
        <v>0</v>
      </c>
      <c r="R357">
        <f t="shared" si="62"/>
        <v>84.378399999999999</v>
      </c>
    </row>
    <row r="358" spans="1:18" x14ac:dyDescent="0.3">
      <c r="A358" t="s">
        <v>0</v>
      </c>
      <c r="B358" t="s">
        <v>0</v>
      </c>
      <c r="C358">
        <v>27</v>
      </c>
      <c r="D358">
        <v>31</v>
      </c>
      <c r="E358">
        <v>0</v>
      </c>
      <c r="F358">
        <v>20260202</v>
      </c>
      <c r="G358">
        <v>20260331</v>
      </c>
      <c r="H358">
        <v>3038.5493000000001</v>
      </c>
      <c r="I358">
        <f t="shared" si="53"/>
        <v>58</v>
      </c>
      <c r="J358">
        <f t="shared" si="54"/>
        <v>52.388781034482761</v>
      </c>
      <c r="K358">
        <f t="shared" si="55"/>
        <v>1918.5655656238459</v>
      </c>
      <c r="L358">
        <f t="shared" si="56"/>
        <v>1624.0522120689657</v>
      </c>
      <c r="M358">
        <f t="shared" si="57"/>
        <v>0</v>
      </c>
      <c r="N358">
        <f t="shared" si="58"/>
        <v>3542.6177776928116</v>
      </c>
      <c r="O358">
        <f t="shared" si="59"/>
        <v>1645.5786150960664</v>
      </c>
      <c r="P358">
        <f t="shared" si="60"/>
        <v>1392.9706849039337</v>
      </c>
      <c r="Q358">
        <f t="shared" si="61"/>
        <v>0</v>
      </c>
      <c r="R358">
        <f t="shared" si="62"/>
        <v>3038.5493000000001</v>
      </c>
    </row>
    <row r="359" spans="1:18" x14ac:dyDescent="0.3">
      <c r="A359" t="s">
        <v>0</v>
      </c>
      <c r="B359" t="s">
        <v>0</v>
      </c>
      <c r="C359">
        <v>25</v>
      </c>
      <c r="D359">
        <v>30</v>
      </c>
      <c r="E359">
        <v>0</v>
      </c>
      <c r="F359">
        <v>20260204</v>
      </c>
      <c r="G359">
        <v>20260330</v>
      </c>
      <c r="H359">
        <v>1941.1132</v>
      </c>
      <c r="I359">
        <f t="shared" si="53"/>
        <v>55</v>
      </c>
      <c r="J359">
        <f t="shared" si="54"/>
        <v>35.292967272727275</v>
      </c>
      <c r="K359">
        <f t="shared" si="55"/>
        <v>1196.7481639920713</v>
      </c>
      <c r="L359">
        <f t="shared" si="56"/>
        <v>1058.7890181818182</v>
      </c>
      <c r="M359">
        <f t="shared" si="57"/>
        <v>0</v>
      </c>
      <c r="N359">
        <f t="shared" si="58"/>
        <v>2255.5371821738895</v>
      </c>
      <c r="O359">
        <f t="shared" si="59"/>
        <v>1029.920356250497</v>
      </c>
      <c r="P359">
        <f t="shared" si="60"/>
        <v>911.19284374950303</v>
      </c>
      <c r="Q359">
        <f t="shared" si="61"/>
        <v>0</v>
      </c>
      <c r="R359">
        <f t="shared" si="62"/>
        <v>1941.1132</v>
      </c>
    </row>
    <row r="360" spans="1:18" x14ac:dyDescent="0.3">
      <c r="A360" t="s">
        <v>0</v>
      </c>
      <c r="B360" t="s">
        <v>0</v>
      </c>
      <c r="C360">
        <v>23</v>
      </c>
      <c r="D360">
        <v>31</v>
      </c>
      <c r="E360">
        <v>0</v>
      </c>
      <c r="F360">
        <v>20260206</v>
      </c>
      <c r="G360">
        <v>20260331</v>
      </c>
      <c r="H360">
        <v>295.41449999999998</v>
      </c>
      <c r="I360">
        <f t="shared" si="53"/>
        <v>54</v>
      </c>
      <c r="J360">
        <f t="shared" si="54"/>
        <v>5.4706388888888888</v>
      </c>
      <c r="K360">
        <f t="shared" si="55"/>
        <v>170.6634309296104</v>
      </c>
      <c r="L360">
        <f t="shared" si="56"/>
        <v>169.58980555555556</v>
      </c>
      <c r="M360">
        <f t="shared" si="57"/>
        <v>0</v>
      </c>
      <c r="N360">
        <f t="shared" si="58"/>
        <v>340.25323648516598</v>
      </c>
      <c r="O360">
        <f t="shared" si="59"/>
        <v>148.17332125084252</v>
      </c>
      <c r="P360">
        <f t="shared" si="60"/>
        <v>147.24117874915743</v>
      </c>
      <c r="Q360">
        <f t="shared" si="61"/>
        <v>0</v>
      </c>
      <c r="R360">
        <f t="shared" si="62"/>
        <v>295.41449999999998</v>
      </c>
    </row>
    <row r="361" spans="1:18" x14ac:dyDescent="0.3">
      <c r="A361" t="s">
        <v>0</v>
      </c>
      <c r="B361" t="s">
        <v>0</v>
      </c>
      <c r="C361">
        <v>24</v>
      </c>
      <c r="D361">
        <v>31</v>
      </c>
      <c r="E361">
        <v>0</v>
      </c>
      <c r="F361">
        <v>20260205</v>
      </c>
      <c r="G361">
        <v>20260331</v>
      </c>
      <c r="H361">
        <v>970.57939999999996</v>
      </c>
      <c r="I361">
        <f t="shared" si="53"/>
        <v>55</v>
      </c>
      <c r="J361">
        <f t="shared" si="54"/>
        <v>17.64689818181818</v>
      </c>
      <c r="K361">
        <f t="shared" si="55"/>
        <v>574.45261325315039</v>
      </c>
      <c r="L361">
        <f t="shared" si="56"/>
        <v>547.05384363636358</v>
      </c>
      <c r="M361">
        <f t="shared" si="57"/>
        <v>0</v>
      </c>
      <c r="N361">
        <f t="shared" si="58"/>
        <v>1121.5064568895141</v>
      </c>
      <c r="O361">
        <f t="shared" si="59"/>
        <v>497.14548612233472</v>
      </c>
      <c r="P361">
        <f t="shared" si="60"/>
        <v>473.43391387766513</v>
      </c>
      <c r="Q361">
        <f t="shared" si="61"/>
        <v>0</v>
      </c>
      <c r="R361">
        <f t="shared" si="62"/>
        <v>970.57939999999985</v>
      </c>
    </row>
    <row r="362" spans="1:18" x14ac:dyDescent="0.3">
      <c r="A362" t="s">
        <v>0</v>
      </c>
      <c r="B362" t="s">
        <v>0</v>
      </c>
      <c r="C362">
        <v>27</v>
      </c>
      <c r="D362">
        <v>18</v>
      </c>
      <c r="E362">
        <v>0</v>
      </c>
      <c r="F362">
        <v>20260202</v>
      </c>
      <c r="G362">
        <v>20260318</v>
      </c>
      <c r="H362">
        <v>1772.6529</v>
      </c>
      <c r="I362">
        <f t="shared" si="53"/>
        <v>45</v>
      </c>
      <c r="J362">
        <f t="shared" si="54"/>
        <v>39.392286666666671</v>
      </c>
      <c r="K362">
        <f t="shared" si="55"/>
        <v>1442.6120107681984</v>
      </c>
      <c r="L362">
        <f t="shared" si="56"/>
        <v>709.06116000000009</v>
      </c>
      <c r="M362">
        <f t="shared" si="57"/>
        <v>0</v>
      </c>
      <c r="N362">
        <f t="shared" si="58"/>
        <v>2151.6731707681984</v>
      </c>
      <c r="O362">
        <f t="shared" si="59"/>
        <v>1188.4938657064163</v>
      </c>
      <c r="P362">
        <f t="shared" si="60"/>
        <v>584.15903429358377</v>
      </c>
      <c r="Q362">
        <f t="shared" si="61"/>
        <v>0</v>
      </c>
      <c r="R362">
        <f t="shared" si="62"/>
        <v>1772.6529</v>
      </c>
    </row>
    <row r="363" spans="1:18" x14ac:dyDescent="0.3">
      <c r="A363" t="s">
        <v>0</v>
      </c>
      <c r="B363" t="s">
        <v>0</v>
      </c>
      <c r="C363">
        <v>10</v>
      </c>
      <c r="D363">
        <v>19</v>
      </c>
      <c r="E363">
        <v>0</v>
      </c>
      <c r="F363">
        <v>20260219</v>
      </c>
      <c r="G363">
        <v>20260319</v>
      </c>
      <c r="H363">
        <v>42.227800000000002</v>
      </c>
      <c r="I363">
        <f t="shared" si="53"/>
        <v>29</v>
      </c>
      <c r="J363">
        <f t="shared" si="54"/>
        <v>1.4561310344827587</v>
      </c>
      <c r="K363">
        <f t="shared" si="55"/>
        <v>19.750361351970909</v>
      </c>
      <c r="L363">
        <f t="shared" si="56"/>
        <v>27.666489655172416</v>
      </c>
      <c r="M363">
        <f t="shared" si="57"/>
        <v>0</v>
      </c>
      <c r="N363">
        <f t="shared" si="58"/>
        <v>47.416851007143322</v>
      </c>
      <c r="O363">
        <f t="shared" si="59"/>
        <v>17.588985590230642</v>
      </c>
      <c r="P363">
        <f t="shared" si="60"/>
        <v>24.638814409769363</v>
      </c>
      <c r="Q363">
        <f t="shared" si="61"/>
        <v>0</v>
      </c>
      <c r="R363">
        <f t="shared" si="62"/>
        <v>42.227800000000002</v>
      </c>
    </row>
    <row r="364" spans="1:18" x14ac:dyDescent="0.3">
      <c r="A364" t="s">
        <v>0</v>
      </c>
      <c r="B364" t="s">
        <v>0</v>
      </c>
      <c r="C364">
        <v>3</v>
      </c>
      <c r="D364">
        <v>27</v>
      </c>
      <c r="E364">
        <v>0</v>
      </c>
      <c r="F364">
        <v>20260226</v>
      </c>
      <c r="G364">
        <v>20260327</v>
      </c>
      <c r="H364">
        <v>168.90710000000001</v>
      </c>
      <c r="I364">
        <f t="shared" si="53"/>
        <v>30</v>
      </c>
      <c r="J364">
        <f t="shared" si="54"/>
        <v>5.6302366666666668</v>
      </c>
      <c r="K364">
        <f t="shared" si="55"/>
        <v>22.909863061180328</v>
      </c>
      <c r="L364">
        <f t="shared" si="56"/>
        <v>152.01639</v>
      </c>
      <c r="M364">
        <f t="shared" si="57"/>
        <v>0</v>
      </c>
      <c r="N364">
        <f t="shared" si="58"/>
        <v>174.92625306118032</v>
      </c>
      <c r="O364">
        <f t="shared" si="59"/>
        <v>22.121542440560304</v>
      </c>
      <c r="P364">
        <f t="shared" si="60"/>
        <v>146.78555755943972</v>
      </c>
      <c r="Q364">
        <f t="shared" si="61"/>
        <v>0</v>
      </c>
      <c r="R364">
        <f t="shared" si="62"/>
        <v>168.90710000000001</v>
      </c>
    </row>
    <row r="365" spans="1:18" x14ac:dyDescent="0.3">
      <c r="A365" t="s">
        <v>0</v>
      </c>
      <c r="B365" t="s">
        <v>0</v>
      </c>
      <c r="C365">
        <v>26</v>
      </c>
      <c r="D365">
        <v>19</v>
      </c>
      <c r="E365">
        <v>0</v>
      </c>
      <c r="F365">
        <v>20260203</v>
      </c>
      <c r="G365">
        <v>20260319</v>
      </c>
      <c r="H365">
        <v>548.57550000000003</v>
      </c>
      <c r="I365">
        <f t="shared" si="53"/>
        <v>45</v>
      </c>
      <c r="J365">
        <f t="shared" si="54"/>
        <v>12.190566666666667</v>
      </c>
      <c r="K365">
        <f t="shared" si="55"/>
        <v>429.90434015263986</v>
      </c>
      <c r="L365">
        <f t="shared" si="56"/>
        <v>231.62076666666667</v>
      </c>
      <c r="M365">
        <f t="shared" si="57"/>
        <v>0</v>
      </c>
      <c r="N365">
        <f t="shared" si="58"/>
        <v>661.52510681930653</v>
      </c>
      <c r="O365">
        <f t="shared" si="59"/>
        <v>356.5019466688542</v>
      </c>
      <c r="P365">
        <f t="shared" si="60"/>
        <v>192.07355333114583</v>
      </c>
      <c r="Q365">
        <f t="shared" si="61"/>
        <v>0</v>
      </c>
      <c r="R365">
        <f t="shared" si="62"/>
        <v>548.57550000000003</v>
      </c>
    </row>
    <row r="366" spans="1:18" x14ac:dyDescent="0.3">
      <c r="A366" t="s">
        <v>0</v>
      </c>
      <c r="B366" t="s">
        <v>0</v>
      </c>
      <c r="C366">
        <v>24</v>
      </c>
      <c r="D366">
        <v>17</v>
      </c>
      <c r="E366">
        <v>0</v>
      </c>
      <c r="F366">
        <v>20260205</v>
      </c>
      <c r="G366">
        <v>20260317</v>
      </c>
      <c r="H366">
        <v>548.67830000000004</v>
      </c>
      <c r="I366">
        <f t="shared" si="53"/>
        <v>41</v>
      </c>
      <c r="J366">
        <f t="shared" si="54"/>
        <v>13.38239756097561</v>
      </c>
      <c r="K366">
        <f t="shared" si="55"/>
        <v>435.63198309919454</v>
      </c>
      <c r="L366">
        <f t="shared" si="56"/>
        <v>227.50075853658538</v>
      </c>
      <c r="M366">
        <f t="shared" si="57"/>
        <v>0</v>
      </c>
      <c r="N366">
        <f t="shared" si="58"/>
        <v>663.13274163577989</v>
      </c>
      <c r="O366">
        <f t="shared" si="59"/>
        <v>360.44339376591296</v>
      </c>
      <c r="P366">
        <f t="shared" si="60"/>
        <v>188.23490623408716</v>
      </c>
      <c r="Q366">
        <f t="shared" si="61"/>
        <v>0</v>
      </c>
      <c r="R366">
        <f t="shared" si="62"/>
        <v>548.67830000000015</v>
      </c>
    </row>
    <row r="367" spans="1:18" x14ac:dyDescent="0.3">
      <c r="A367" t="s">
        <v>0</v>
      </c>
      <c r="B367" t="s">
        <v>0</v>
      </c>
      <c r="C367">
        <v>21</v>
      </c>
      <c r="D367">
        <v>30</v>
      </c>
      <c r="E367">
        <v>0</v>
      </c>
      <c r="F367">
        <v>20260208</v>
      </c>
      <c r="G367">
        <v>20260330</v>
      </c>
      <c r="H367">
        <v>42.21</v>
      </c>
      <c r="I367">
        <f t="shared" si="53"/>
        <v>51</v>
      </c>
      <c r="J367">
        <f t="shared" si="54"/>
        <v>0.8276470588235294</v>
      </c>
      <c r="K367">
        <f t="shared" si="55"/>
        <v>23.574313714068271</v>
      </c>
      <c r="L367">
        <f t="shared" si="56"/>
        <v>24.829411764705881</v>
      </c>
      <c r="M367">
        <f t="shared" si="57"/>
        <v>0</v>
      </c>
      <c r="N367">
        <f t="shared" si="58"/>
        <v>48.403725478774149</v>
      </c>
      <c r="O367">
        <f t="shared" si="59"/>
        <v>20.557751950460457</v>
      </c>
      <c r="P367">
        <f t="shared" si="60"/>
        <v>21.652248049539548</v>
      </c>
      <c r="Q367">
        <f t="shared" si="61"/>
        <v>0</v>
      </c>
      <c r="R367">
        <f t="shared" si="62"/>
        <v>42.210000000000008</v>
      </c>
    </row>
    <row r="368" spans="1:18" x14ac:dyDescent="0.3">
      <c r="A368" t="s">
        <v>0</v>
      </c>
      <c r="B368" t="s">
        <v>0</v>
      </c>
      <c r="C368">
        <v>26</v>
      </c>
      <c r="D368">
        <v>31</v>
      </c>
      <c r="E368">
        <v>2</v>
      </c>
      <c r="F368">
        <v>20260203</v>
      </c>
      <c r="G368">
        <v>20260402</v>
      </c>
      <c r="H368">
        <v>416589.55160000001</v>
      </c>
      <c r="I368">
        <f t="shared" si="53"/>
        <v>59</v>
      </c>
      <c r="J368">
        <f t="shared" si="54"/>
        <v>7060.8398576271184</v>
      </c>
      <c r="K368">
        <f t="shared" si="55"/>
        <v>249002.83825334717</v>
      </c>
      <c r="L368">
        <f t="shared" si="56"/>
        <v>218886.03558644067</v>
      </c>
      <c r="M368">
        <f t="shared" si="57"/>
        <v>8764.1609223863979</v>
      </c>
      <c r="N368">
        <f t="shared" si="58"/>
        <v>476653.03476217424</v>
      </c>
      <c r="O368">
        <f t="shared" si="59"/>
        <v>217625.76375255061</v>
      </c>
      <c r="P368">
        <f t="shared" si="60"/>
        <v>191304.00682742739</v>
      </c>
      <c r="Q368">
        <f t="shared" si="61"/>
        <v>7659.7810200220065</v>
      </c>
      <c r="R368">
        <f t="shared" si="62"/>
        <v>416589.55160000001</v>
      </c>
    </row>
    <row r="369" spans="1:18" x14ac:dyDescent="0.3">
      <c r="A369" t="s">
        <v>0</v>
      </c>
      <c r="B369" t="s">
        <v>0</v>
      </c>
      <c r="C369">
        <v>26</v>
      </c>
      <c r="D369">
        <v>31</v>
      </c>
      <c r="E369">
        <v>7</v>
      </c>
      <c r="F369">
        <v>20260203</v>
      </c>
      <c r="G369">
        <v>20260407</v>
      </c>
      <c r="H369">
        <v>20883.665099999998</v>
      </c>
      <c r="I369">
        <f t="shared" si="53"/>
        <v>64</v>
      </c>
      <c r="J369">
        <f t="shared" si="54"/>
        <v>326.30726718749997</v>
      </c>
      <c r="K369">
        <f t="shared" si="55"/>
        <v>11507.333024217083</v>
      </c>
      <c r="L369">
        <f t="shared" si="56"/>
        <v>10115.525282812499</v>
      </c>
      <c r="M369">
        <f t="shared" si="57"/>
        <v>1417.5838995132804</v>
      </c>
      <c r="N369">
        <f t="shared" si="58"/>
        <v>23040.442206542863</v>
      </c>
      <c r="O369">
        <f t="shared" si="59"/>
        <v>10430.150902384881</v>
      </c>
      <c r="P369">
        <f t="shared" si="60"/>
        <v>9168.6279465960051</v>
      </c>
      <c r="Q369">
        <f t="shared" si="61"/>
        <v>1284.8862510191129</v>
      </c>
      <c r="R369">
        <f t="shared" si="62"/>
        <v>20883.665100000002</v>
      </c>
    </row>
    <row r="370" spans="1:18" x14ac:dyDescent="0.3">
      <c r="A370" t="s">
        <v>0</v>
      </c>
      <c r="B370" t="s">
        <v>0</v>
      </c>
      <c r="C370">
        <v>27</v>
      </c>
      <c r="D370">
        <v>31</v>
      </c>
      <c r="E370">
        <v>3</v>
      </c>
      <c r="F370">
        <v>20260202</v>
      </c>
      <c r="G370">
        <v>20260403</v>
      </c>
      <c r="H370">
        <v>1045795.8992</v>
      </c>
      <c r="I370">
        <f t="shared" si="53"/>
        <v>61</v>
      </c>
      <c r="J370">
        <f t="shared" si="54"/>
        <v>17144.195068852459</v>
      </c>
      <c r="K370">
        <f t="shared" si="55"/>
        <v>627849.3536199762</v>
      </c>
      <c r="L370">
        <f t="shared" si="56"/>
        <v>531470.04713442619</v>
      </c>
      <c r="M370">
        <f t="shared" si="57"/>
        <v>31919.960124694251</v>
      </c>
      <c r="N370">
        <f t="shared" si="58"/>
        <v>1191239.3608790967</v>
      </c>
      <c r="O370">
        <f t="shared" si="59"/>
        <v>551192.56540229684</v>
      </c>
      <c r="P370">
        <f t="shared" si="60"/>
        <v>466580.61687169585</v>
      </c>
      <c r="Q370">
        <f t="shared" si="61"/>
        <v>28022.716926007291</v>
      </c>
      <c r="R370">
        <f t="shared" si="62"/>
        <v>1045795.8992</v>
      </c>
    </row>
    <row r="371" spans="1:18" x14ac:dyDescent="0.3">
      <c r="A371" t="s">
        <v>0</v>
      </c>
      <c r="B371" t="s">
        <v>0</v>
      </c>
      <c r="C371">
        <v>24</v>
      </c>
      <c r="D371">
        <v>31</v>
      </c>
      <c r="E371">
        <v>4</v>
      </c>
      <c r="F371">
        <v>20260205</v>
      </c>
      <c r="G371">
        <v>20260404</v>
      </c>
      <c r="H371">
        <v>331427.40379999997</v>
      </c>
      <c r="I371">
        <f t="shared" si="53"/>
        <v>59</v>
      </c>
      <c r="J371">
        <f t="shared" si="54"/>
        <v>5617.413623728813</v>
      </c>
      <c r="K371">
        <f t="shared" si="55"/>
        <v>182861.48095984486</v>
      </c>
      <c r="L371">
        <f t="shared" si="56"/>
        <v>174139.8223355932</v>
      </c>
      <c r="M371">
        <f t="shared" si="57"/>
        <v>13945.059782876882</v>
      </c>
      <c r="N371">
        <f t="shared" si="58"/>
        <v>370946.36307831493</v>
      </c>
      <c r="O371">
        <f t="shared" si="59"/>
        <v>163380.24016897936</v>
      </c>
      <c r="P371">
        <f t="shared" si="60"/>
        <v>155587.74787797031</v>
      </c>
      <c r="Q371">
        <f t="shared" si="61"/>
        <v>12459.415753050307</v>
      </c>
      <c r="R371">
        <f t="shared" si="62"/>
        <v>331427.40379999997</v>
      </c>
    </row>
    <row r="372" spans="1:18" x14ac:dyDescent="0.3">
      <c r="A372" t="s">
        <v>0</v>
      </c>
      <c r="B372" t="s">
        <v>0</v>
      </c>
      <c r="C372">
        <v>25</v>
      </c>
      <c r="D372">
        <v>31</v>
      </c>
      <c r="E372">
        <v>6</v>
      </c>
      <c r="F372">
        <v>20260204</v>
      </c>
      <c r="G372">
        <v>20260406</v>
      </c>
      <c r="H372">
        <v>157661.1238</v>
      </c>
      <c r="I372">
        <f t="shared" si="53"/>
        <v>62</v>
      </c>
      <c r="J372">
        <f t="shared" si="54"/>
        <v>2542.9213516129034</v>
      </c>
      <c r="K372">
        <f t="shared" si="55"/>
        <v>86227.843502142918</v>
      </c>
      <c r="L372">
        <f t="shared" si="56"/>
        <v>78830.561900000001</v>
      </c>
      <c r="M372">
        <f t="shared" si="57"/>
        <v>9469.0882619723434</v>
      </c>
      <c r="N372">
        <f t="shared" si="58"/>
        <v>174527.49366411526</v>
      </c>
      <c r="O372">
        <f t="shared" si="59"/>
        <v>77894.768463025335</v>
      </c>
      <c r="P372">
        <f t="shared" si="60"/>
        <v>71212.361548367902</v>
      </c>
      <c r="Q372">
        <f t="shared" si="61"/>
        <v>8553.9937886067655</v>
      </c>
      <c r="R372">
        <f t="shared" si="62"/>
        <v>157661.1238</v>
      </c>
    </row>
    <row r="373" spans="1:18" x14ac:dyDescent="0.3">
      <c r="A373" t="s">
        <v>0</v>
      </c>
      <c r="B373" t="s">
        <v>0</v>
      </c>
      <c r="C373">
        <v>25</v>
      </c>
      <c r="D373">
        <v>31</v>
      </c>
      <c r="E373">
        <v>4</v>
      </c>
      <c r="F373">
        <v>20260204</v>
      </c>
      <c r="G373">
        <v>20260404</v>
      </c>
      <c r="H373">
        <v>312946.79330000002</v>
      </c>
      <c r="I373">
        <f t="shared" si="53"/>
        <v>60</v>
      </c>
      <c r="J373">
        <f t="shared" si="54"/>
        <v>5215.7798883333335</v>
      </c>
      <c r="K373">
        <f t="shared" si="55"/>
        <v>176861.72309952497</v>
      </c>
      <c r="L373">
        <f t="shared" si="56"/>
        <v>161689.17653833333</v>
      </c>
      <c r="M373">
        <f t="shared" si="57"/>
        <v>12948.01615638453</v>
      </c>
      <c r="N373">
        <f t="shared" si="58"/>
        <v>351498.91579424281</v>
      </c>
      <c r="O373">
        <f t="shared" si="59"/>
        <v>157463.66948656013</v>
      </c>
      <c r="P373">
        <f t="shared" si="60"/>
        <v>143955.23580678363</v>
      </c>
      <c r="Q373">
        <f t="shared" si="61"/>
        <v>11527.88800665626</v>
      </c>
      <c r="R373">
        <f t="shared" si="62"/>
        <v>312946.79330000002</v>
      </c>
    </row>
    <row r="374" spans="1:18" x14ac:dyDescent="0.3">
      <c r="A374" t="s">
        <v>0</v>
      </c>
      <c r="B374" t="s">
        <v>0</v>
      </c>
      <c r="C374">
        <v>20</v>
      </c>
      <c r="D374">
        <v>31</v>
      </c>
      <c r="E374">
        <v>6</v>
      </c>
      <c r="F374">
        <v>20260209</v>
      </c>
      <c r="G374">
        <v>20260406</v>
      </c>
      <c r="H374">
        <v>43297.295400000003</v>
      </c>
      <c r="I374">
        <f t="shared" si="53"/>
        <v>57</v>
      </c>
      <c r="J374">
        <f t="shared" si="54"/>
        <v>759.6016736842106</v>
      </c>
      <c r="K374">
        <f t="shared" si="55"/>
        <v>20605.848214963906</v>
      </c>
      <c r="L374">
        <f t="shared" si="56"/>
        <v>23547.651884210529</v>
      </c>
      <c r="M374">
        <f t="shared" si="57"/>
        <v>2828.5323443037496</v>
      </c>
      <c r="N374">
        <f t="shared" si="58"/>
        <v>46982.03244347818</v>
      </c>
      <c r="O374">
        <f t="shared" si="59"/>
        <v>18989.759504427373</v>
      </c>
      <c r="P374">
        <f t="shared" si="60"/>
        <v>21700.84150432617</v>
      </c>
      <c r="Q374">
        <f t="shared" si="61"/>
        <v>2606.694391246464</v>
      </c>
      <c r="R374">
        <f t="shared" si="62"/>
        <v>43297.295400000003</v>
      </c>
    </row>
    <row r="375" spans="1:18" x14ac:dyDescent="0.3">
      <c r="A375" t="s">
        <v>0</v>
      </c>
      <c r="B375" t="s">
        <v>0</v>
      </c>
      <c r="C375">
        <v>25</v>
      </c>
      <c r="D375">
        <v>31</v>
      </c>
      <c r="E375">
        <v>8</v>
      </c>
      <c r="F375">
        <v>20260204</v>
      </c>
      <c r="G375">
        <v>20260408</v>
      </c>
      <c r="H375">
        <v>14217.1019</v>
      </c>
      <c r="I375">
        <f t="shared" si="53"/>
        <v>64</v>
      </c>
      <c r="J375">
        <f t="shared" si="54"/>
        <v>222.14221718749999</v>
      </c>
      <c r="K375">
        <f t="shared" si="55"/>
        <v>7532.6137502103284</v>
      </c>
      <c r="L375">
        <f t="shared" si="56"/>
        <v>6886.4087328124997</v>
      </c>
      <c r="M375">
        <f t="shared" si="57"/>
        <v>1102.9226994768499</v>
      </c>
      <c r="N375">
        <f t="shared" si="58"/>
        <v>15521.94518249968</v>
      </c>
      <c r="O375">
        <f t="shared" si="59"/>
        <v>6899.3889619467864</v>
      </c>
      <c r="P375">
        <f t="shared" si="60"/>
        <v>6307.5067930164169</v>
      </c>
      <c r="Q375">
        <f t="shared" si="61"/>
        <v>1010.2061450367949</v>
      </c>
      <c r="R375">
        <f t="shared" si="62"/>
        <v>14217.101899999998</v>
      </c>
    </row>
    <row r="376" spans="1:18" x14ac:dyDescent="0.3">
      <c r="A376" t="s">
        <v>0</v>
      </c>
      <c r="B376" t="s">
        <v>0</v>
      </c>
      <c r="C376">
        <v>23</v>
      </c>
      <c r="D376">
        <v>31</v>
      </c>
      <c r="E376">
        <v>8</v>
      </c>
      <c r="F376">
        <v>20260206</v>
      </c>
      <c r="G376">
        <v>20260408</v>
      </c>
      <c r="H376">
        <v>17677.2844</v>
      </c>
      <c r="I376">
        <f t="shared" si="53"/>
        <v>62</v>
      </c>
      <c r="J376">
        <f t="shared" si="54"/>
        <v>285.11749032258064</v>
      </c>
      <c r="K376">
        <f t="shared" si="55"/>
        <v>8894.5971585367224</v>
      </c>
      <c r="L376">
        <f t="shared" si="56"/>
        <v>8838.6422000000002</v>
      </c>
      <c r="M376">
        <f t="shared" si="57"/>
        <v>1415.5911293044398</v>
      </c>
      <c r="N376">
        <f t="shared" si="58"/>
        <v>19148.830487841165</v>
      </c>
      <c r="O376">
        <f t="shared" si="59"/>
        <v>8211.0666599050273</v>
      </c>
      <c r="P376">
        <f t="shared" si="60"/>
        <v>8159.4117185616433</v>
      </c>
      <c r="Q376">
        <f t="shared" si="61"/>
        <v>1306.8060215333253</v>
      </c>
      <c r="R376">
        <f t="shared" si="62"/>
        <v>17677.284399999997</v>
      </c>
    </row>
    <row r="377" spans="1:18" x14ac:dyDescent="0.3">
      <c r="A377" t="s">
        <v>0</v>
      </c>
      <c r="B377" t="s">
        <v>0</v>
      </c>
      <c r="C377">
        <v>19</v>
      </c>
      <c r="D377">
        <v>31</v>
      </c>
      <c r="E377">
        <v>5</v>
      </c>
      <c r="F377">
        <v>20260210</v>
      </c>
      <c r="G377">
        <v>20260405</v>
      </c>
      <c r="H377">
        <v>12323.293</v>
      </c>
      <c r="I377">
        <f t="shared" si="53"/>
        <v>55</v>
      </c>
      <c r="J377">
        <f t="shared" si="54"/>
        <v>224.05987272727273</v>
      </c>
      <c r="K377">
        <f t="shared" si="55"/>
        <v>5774.2060003433207</v>
      </c>
      <c r="L377">
        <f t="shared" si="56"/>
        <v>6945.8560545454548</v>
      </c>
      <c r="M377">
        <f t="shared" si="57"/>
        <v>695.27733967441861</v>
      </c>
      <c r="N377">
        <f t="shared" si="58"/>
        <v>13415.339394563192</v>
      </c>
      <c r="O377">
        <f t="shared" si="59"/>
        <v>5304.1693759478485</v>
      </c>
      <c r="P377">
        <f t="shared" si="60"/>
        <v>6380.4438172229065</v>
      </c>
      <c r="Q377">
        <f t="shared" si="61"/>
        <v>638.67980682924531</v>
      </c>
      <c r="R377">
        <f t="shared" si="62"/>
        <v>12323.293</v>
      </c>
    </row>
    <row r="378" spans="1:18" x14ac:dyDescent="0.3">
      <c r="A378" t="s">
        <v>0</v>
      </c>
      <c r="B378" t="s">
        <v>0</v>
      </c>
      <c r="C378">
        <v>0</v>
      </c>
      <c r="D378">
        <v>29</v>
      </c>
      <c r="E378">
        <v>1</v>
      </c>
      <c r="F378">
        <v>20260303</v>
      </c>
      <c r="G378">
        <v>20260401</v>
      </c>
      <c r="H378">
        <v>1519.0966000000001</v>
      </c>
      <c r="I378">
        <f t="shared" si="53"/>
        <v>30</v>
      </c>
      <c r="J378">
        <f t="shared" si="54"/>
        <v>50.636553333333339</v>
      </c>
      <c r="K378">
        <f t="shared" si="55"/>
        <v>0</v>
      </c>
      <c r="L378">
        <f t="shared" si="56"/>
        <v>1468.4600466666668</v>
      </c>
      <c r="M378">
        <f t="shared" si="57"/>
        <v>31.425928849594015</v>
      </c>
      <c r="N378">
        <f t="shared" si="58"/>
        <v>1499.8859755162607</v>
      </c>
      <c r="O378">
        <f t="shared" si="59"/>
        <v>0</v>
      </c>
      <c r="P378">
        <f t="shared" si="60"/>
        <v>1487.2681660746623</v>
      </c>
      <c r="Q378">
        <f t="shared" si="61"/>
        <v>31.828433925337837</v>
      </c>
      <c r="R378">
        <f t="shared" si="62"/>
        <v>1519.0966000000001</v>
      </c>
    </row>
    <row r="379" spans="1:18" x14ac:dyDescent="0.3">
      <c r="A379" t="s">
        <v>0</v>
      </c>
      <c r="B379" t="s">
        <v>0</v>
      </c>
      <c r="C379">
        <v>0</v>
      </c>
      <c r="D379">
        <v>25</v>
      </c>
      <c r="E379">
        <v>1</v>
      </c>
      <c r="F379">
        <v>20260307</v>
      </c>
      <c r="G379">
        <v>20260401</v>
      </c>
      <c r="H379">
        <v>337.17380000000003</v>
      </c>
      <c r="I379">
        <f t="shared" si="53"/>
        <v>26</v>
      </c>
      <c r="J379">
        <f t="shared" si="54"/>
        <v>12.968223076923078</v>
      </c>
      <c r="K379">
        <f t="shared" si="55"/>
        <v>0</v>
      </c>
      <c r="L379">
        <f t="shared" si="56"/>
        <v>324.20557692307693</v>
      </c>
      <c r="M379">
        <f t="shared" si="57"/>
        <v>8.048305599282779</v>
      </c>
      <c r="N379">
        <f t="shared" si="58"/>
        <v>332.25388252235973</v>
      </c>
      <c r="O379">
        <f t="shared" si="59"/>
        <v>0</v>
      </c>
      <c r="P379">
        <f t="shared" si="60"/>
        <v>329.00631746564972</v>
      </c>
      <c r="Q379">
        <f t="shared" si="61"/>
        <v>8.1674825343503077</v>
      </c>
      <c r="R379">
        <f t="shared" si="62"/>
        <v>337.17380000000003</v>
      </c>
    </row>
    <row r="380" spans="1:18" x14ac:dyDescent="0.3">
      <c r="A380" t="s">
        <v>0</v>
      </c>
      <c r="B380" t="s">
        <v>0</v>
      </c>
      <c r="C380">
        <v>9</v>
      </c>
      <c r="D380">
        <v>31</v>
      </c>
      <c r="E380">
        <v>2</v>
      </c>
      <c r="F380">
        <v>20260220</v>
      </c>
      <c r="G380">
        <v>20260402</v>
      </c>
      <c r="H380">
        <v>253.34280000000001</v>
      </c>
      <c r="I380">
        <f t="shared" si="53"/>
        <v>42</v>
      </c>
      <c r="J380">
        <f t="shared" si="54"/>
        <v>6.0319714285714285</v>
      </c>
      <c r="K380">
        <f t="shared" si="55"/>
        <v>73.63365748140329</v>
      </c>
      <c r="L380">
        <f t="shared" si="56"/>
        <v>186.99111428571427</v>
      </c>
      <c r="M380">
        <f t="shared" si="57"/>
        <v>7.4870935108565053</v>
      </c>
      <c r="N380">
        <f t="shared" si="58"/>
        <v>268.11186527797406</v>
      </c>
      <c r="O380">
        <f t="shared" si="59"/>
        <v>69.577513629390907</v>
      </c>
      <c r="P380">
        <f t="shared" si="60"/>
        <v>176.69062284560755</v>
      </c>
      <c r="Q380">
        <f t="shared" si="61"/>
        <v>7.0746635250015686</v>
      </c>
      <c r="R380">
        <f t="shared" si="62"/>
        <v>253.34280000000004</v>
      </c>
    </row>
    <row r="381" spans="1:18" x14ac:dyDescent="0.3">
      <c r="A381" t="s">
        <v>0</v>
      </c>
      <c r="B381" t="s">
        <v>0</v>
      </c>
      <c r="C381">
        <v>4</v>
      </c>
      <c r="D381">
        <v>31</v>
      </c>
      <c r="E381">
        <v>8</v>
      </c>
      <c r="F381">
        <v>20260225</v>
      </c>
      <c r="G381">
        <v>20260408</v>
      </c>
      <c r="H381">
        <v>84.418000000000006</v>
      </c>
      <c r="I381">
        <f t="shared" si="53"/>
        <v>43</v>
      </c>
      <c r="J381">
        <f t="shared" si="54"/>
        <v>1.9632093023255814</v>
      </c>
      <c r="K381">
        <f t="shared" si="55"/>
        <v>10.651264814022488</v>
      </c>
      <c r="L381">
        <f t="shared" si="56"/>
        <v>60.859488372093026</v>
      </c>
      <c r="M381">
        <f t="shared" si="57"/>
        <v>9.7472156835969201</v>
      </c>
      <c r="N381">
        <f t="shared" si="58"/>
        <v>81.257968869712428</v>
      </c>
      <c r="O381">
        <f t="shared" si="59"/>
        <v>11.065480537814635</v>
      </c>
      <c r="P381">
        <f t="shared" si="60"/>
        <v>63.226245509938153</v>
      </c>
      <c r="Q381">
        <f t="shared" si="61"/>
        <v>10.126273952247226</v>
      </c>
      <c r="R381">
        <f t="shared" si="62"/>
        <v>84.418000000000021</v>
      </c>
    </row>
    <row r="382" spans="1:18" x14ac:dyDescent="0.3">
      <c r="A382" t="s">
        <v>0</v>
      </c>
      <c r="B382" t="s">
        <v>0</v>
      </c>
      <c r="C382">
        <v>0</v>
      </c>
      <c r="D382">
        <v>26</v>
      </c>
      <c r="E382">
        <v>1</v>
      </c>
      <c r="F382">
        <v>20260306</v>
      </c>
      <c r="G382">
        <v>20260401</v>
      </c>
      <c r="H382">
        <v>758.9434</v>
      </c>
      <c r="I382">
        <f t="shared" si="53"/>
        <v>27</v>
      </c>
      <c r="J382">
        <f t="shared" si="54"/>
        <v>28.109014814814813</v>
      </c>
      <c r="K382">
        <f t="shared" si="55"/>
        <v>0</v>
      </c>
      <c r="L382">
        <f t="shared" si="56"/>
        <v>730.83438518518517</v>
      </c>
      <c r="M382">
        <f t="shared" si="57"/>
        <v>17.444945231314868</v>
      </c>
      <c r="N382">
        <f t="shared" si="58"/>
        <v>748.27933041649999</v>
      </c>
      <c r="O382">
        <f t="shared" si="59"/>
        <v>0</v>
      </c>
      <c r="P382">
        <f t="shared" si="60"/>
        <v>741.24983890791623</v>
      </c>
      <c r="Q382">
        <f t="shared" si="61"/>
        <v>17.693561092083787</v>
      </c>
      <c r="R382">
        <f t="shared" si="62"/>
        <v>758.9434</v>
      </c>
    </row>
    <row r="383" spans="1:18" x14ac:dyDescent="0.3">
      <c r="A383" t="s">
        <v>0</v>
      </c>
      <c r="B383" t="s">
        <v>0</v>
      </c>
      <c r="C383">
        <v>4</v>
      </c>
      <c r="D383">
        <v>31</v>
      </c>
      <c r="E383">
        <v>3</v>
      </c>
      <c r="F383">
        <v>20260225</v>
      </c>
      <c r="G383">
        <v>20260403</v>
      </c>
      <c r="H383">
        <v>168.89920000000001</v>
      </c>
      <c r="I383">
        <f t="shared" si="53"/>
        <v>38</v>
      </c>
      <c r="J383">
        <f t="shared" si="54"/>
        <v>4.4447157894736842</v>
      </c>
      <c r="K383">
        <f t="shared" si="55"/>
        <v>24.114517408139296</v>
      </c>
      <c r="L383">
        <f t="shared" si="56"/>
        <v>137.7861894736842</v>
      </c>
      <c r="M383">
        <f t="shared" si="57"/>
        <v>8.2754046017218634</v>
      </c>
      <c r="N383">
        <f t="shared" si="58"/>
        <v>170.17611148354538</v>
      </c>
      <c r="O383">
        <f t="shared" si="59"/>
        <v>23.933574830886993</v>
      </c>
      <c r="P383">
        <f t="shared" si="60"/>
        <v>136.75231482418667</v>
      </c>
      <c r="Q383">
        <f t="shared" si="61"/>
        <v>8.2133103449263398</v>
      </c>
      <c r="R383">
        <f t="shared" si="62"/>
        <v>168.89919999999998</v>
      </c>
    </row>
    <row r="384" spans="1:18" x14ac:dyDescent="0.3">
      <c r="A384" t="s">
        <v>0</v>
      </c>
      <c r="B384" t="s">
        <v>0</v>
      </c>
      <c r="C384">
        <v>2</v>
      </c>
      <c r="D384">
        <v>31</v>
      </c>
      <c r="E384">
        <v>6</v>
      </c>
      <c r="F384">
        <v>20260227</v>
      </c>
      <c r="G384">
        <v>20260406</v>
      </c>
      <c r="H384">
        <v>42.207000000000001</v>
      </c>
      <c r="I384">
        <f t="shared" si="53"/>
        <v>39</v>
      </c>
      <c r="J384">
        <f t="shared" si="54"/>
        <v>1.0822307692307693</v>
      </c>
      <c r="K384">
        <f t="shared" si="55"/>
        <v>2.9357864439887695</v>
      </c>
      <c r="L384">
        <f t="shared" si="56"/>
        <v>33.54915384615385</v>
      </c>
      <c r="M384">
        <f t="shared" si="57"/>
        <v>4.0299078330395579</v>
      </c>
      <c r="N384">
        <f t="shared" si="58"/>
        <v>40.514848123182176</v>
      </c>
      <c r="O384">
        <f t="shared" si="59"/>
        <v>3.0584031332091692</v>
      </c>
      <c r="P384">
        <f t="shared" si="60"/>
        <v>34.950375034835432</v>
      </c>
      <c r="Q384">
        <f t="shared" si="61"/>
        <v>4.198221831955399</v>
      </c>
      <c r="R384">
        <f t="shared" si="62"/>
        <v>42.207000000000001</v>
      </c>
    </row>
    <row r="385" spans="1:18" x14ac:dyDescent="0.3">
      <c r="A385" t="s">
        <v>0</v>
      </c>
      <c r="B385" t="s">
        <v>0</v>
      </c>
      <c r="C385">
        <v>2</v>
      </c>
      <c r="D385">
        <v>31</v>
      </c>
      <c r="E385">
        <v>4</v>
      </c>
      <c r="F385">
        <v>20260227</v>
      </c>
      <c r="G385">
        <v>20260404</v>
      </c>
      <c r="H385">
        <v>844.29830000000004</v>
      </c>
      <c r="I385">
        <f t="shared" si="53"/>
        <v>37</v>
      </c>
      <c r="J385">
        <f t="shared" si="54"/>
        <v>22.818872972972976</v>
      </c>
      <c r="K385">
        <f t="shared" si="55"/>
        <v>61.901158094749093</v>
      </c>
      <c r="L385">
        <f t="shared" si="56"/>
        <v>707.38506216216228</v>
      </c>
      <c r="M385">
        <f t="shared" si="57"/>
        <v>56.64716346359323</v>
      </c>
      <c r="N385">
        <f t="shared" si="58"/>
        <v>825.93338372050459</v>
      </c>
      <c r="O385">
        <f t="shared" si="59"/>
        <v>63.277551891659193</v>
      </c>
      <c r="P385">
        <f t="shared" si="60"/>
        <v>723.11401524728171</v>
      </c>
      <c r="Q385">
        <f t="shared" si="61"/>
        <v>57.906732861059105</v>
      </c>
      <c r="R385">
        <f t="shared" si="62"/>
        <v>844.29830000000004</v>
      </c>
    </row>
    <row r="386" spans="1:18" x14ac:dyDescent="0.3">
      <c r="A386" t="s">
        <v>0</v>
      </c>
      <c r="B386" t="s">
        <v>0</v>
      </c>
      <c r="C386">
        <v>0</v>
      </c>
      <c r="D386">
        <v>29</v>
      </c>
      <c r="E386">
        <v>4</v>
      </c>
      <c r="F386">
        <v>20260303</v>
      </c>
      <c r="G386">
        <v>20260404</v>
      </c>
      <c r="H386">
        <v>295.29680000000002</v>
      </c>
      <c r="I386">
        <f t="shared" si="53"/>
        <v>33</v>
      </c>
      <c r="J386">
        <f t="shared" si="54"/>
        <v>8.9483878787878801</v>
      </c>
      <c r="K386">
        <f t="shared" si="55"/>
        <v>0</v>
      </c>
      <c r="L386">
        <f t="shared" si="56"/>
        <v>259.50324848484854</v>
      </c>
      <c r="M386">
        <f t="shared" si="57"/>
        <v>22.214102839597487</v>
      </c>
      <c r="N386">
        <f t="shared" si="58"/>
        <v>281.71735132444604</v>
      </c>
      <c r="O386">
        <f t="shared" si="59"/>
        <v>0</v>
      </c>
      <c r="P386">
        <f t="shared" si="60"/>
        <v>272.01192438774365</v>
      </c>
      <c r="Q386">
        <f t="shared" si="61"/>
        <v>23.284875612256364</v>
      </c>
      <c r="R386">
        <f t="shared" si="62"/>
        <v>295.29680000000002</v>
      </c>
    </row>
    <row r="387" spans="1:18" x14ac:dyDescent="0.3">
      <c r="A387" t="s">
        <v>0</v>
      </c>
      <c r="B387" t="s">
        <v>0</v>
      </c>
      <c r="C387">
        <v>28</v>
      </c>
      <c r="D387">
        <v>31</v>
      </c>
      <c r="E387">
        <v>1</v>
      </c>
      <c r="F387">
        <v>20260126</v>
      </c>
      <c r="G387">
        <v>20260401</v>
      </c>
      <c r="H387">
        <v>1687.1341</v>
      </c>
      <c r="I387">
        <f t="shared" si="53"/>
        <v>60</v>
      </c>
      <c r="J387">
        <f t="shared" si="54"/>
        <v>28.118901666666666</v>
      </c>
      <c r="K387">
        <f t="shared" si="55"/>
        <v>1067.9009482251251</v>
      </c>
      <c r="L387">
        <f t="shared" si="56"/>
        <v>871.6859516666666</v>
      </c>
      <c r="M387">
        <f t="shared" si="57"/>
        <v>17.451081184147153</v>
      </c>
      <c r="N387">
        <f t="shared" si="58"/>
        <v>1957.0379810759389</v>
      </c>
      <c r="O387">
        <f t="shared" si="59"/>
        <v>920.62194121670052</v>
      </c>
      <c r="P387">
        <f t="shared" si="60"/>
        <v>751.46783443582001</v>
      </c>
      <c r="Q387">
        <f t="shared" si="61"/>
        <v>15.044324347479586</v>
      </c>
      <c r="R387">
        <f t="shared" si="62"/>
        <v>1687.1341000000002</v>
      </c>
    </row>
    <row r="388" spans="1:18" x14ac:dyDescent="0.3">
      <c r="A388" t="s">
        <v>0</v>
      </c>
      <c r="B388" t="s">
        <v>0</v>
      </c>
      <c r="C388">
        <v>17</v>
      </c>
      <c r="D388">
        <v>31</v>
      </c>
      <c r="E388">
        <v>2</v>
      </c>
      <c r="F388">
        <v>20260212</v>
      </c>
      <c r="G388">
        <v>20260402</v>
      </c>
      <c r="H388">
        <v>126.6418</v>
      </c>
      <c r="I388">
        <f t="shared" si="53"/>
        <v>50</v>
      </c>
      <c r="J388">
        <f t="shared" si="54"/>
        <v>2.5328360000000001</v>
      </c>
      <c r="K388">
        <f t="shared" si="55"/>
        <v>58.402384540334403</v>
      </c>
      <c r="L388">
        <f t="shared" si="56"/>
        <v>78.517916</v>
      </c>
      <c r="M388">
        <f t="shared" si="57"/>
        <v>3.1438444634932488</v>
      </c>
      <c r="N388">
        <f t="shared" si="58"/>
        <v>140.06414500382766</v>
      </c>
      <c r="O388">
        <f t="shared" si="59"/>
        <v>52.805684868729244</v>
      </c>
      <c r="P388">
        <f t="shared" si="60"/>
        <v>70.993545237555708</v>
      </c>
      <c r="Q388">
        <f t="shared" si="61"/>
        <v>2.842569893715047</v>
      </c>
      <c r="R388">
        <f t="shared" si="62"/>
        <v>126.6418</v>
      </c>
    </row>
    <row r="389" spans="1:18" x14ac:dyDescent="0.3">
      <c r="A389" t="s">
        <v>0</v>
      </c>
      <c r="B389" t="s">
        <v>0</v>
      </c>
      <c r="C389">
        <v>17</v>
      </c>
      <c r="D389">
        <v>31</v>
      </c>
      <c r="E389">
        <v>3</v>
      </c>
      <c r="F389">
        <v>20260212</v>
      </c>
      <c r="G389">
        <v>20260403</v>
      </c>
      <c r="H389">
        <v>928.6413</v>
      </c>
      <c r="I389">
        <f t="shared" si="53"/>
        <v>51</v>
      </c>
      <c r="J389">
        <f t="shared" si="54"/>
        <v>18.208652941176471</v>
      </c>
      <c r="K389">
        <f t="shared" si="55"/>
        <v>419.85693153132661</v>
      </c>
      <c r="L389">
        <f t="shared" si="56"/>
        <v>564.46824117647054</v>
      </c>
      <c r="M389">
        <f t="shared" si="57"/>
        <v>33.901823531085931</v>
      </c>
      <c r="N389">
        <f t="shared" si="58"/>
        <v>1018.2269962388831</v>
      </c>
      <c r="O389">
        <f t="shared" si="59"/>
        <v>382.91705891854951</v>
      </c>
      <c r="P389">
        <f t="shared" si="60"/>
        <v>514.80516940826897</v>
      </c>
      <c r="Q389">
        <f t="shared" si="61"/>
        <v>30.919071673181392</v>
      </c>
      <c r="R389">
        <f t="shared" si="62"/>
        <v>928.64129999999989</v>
      </c>
    </row>
    <row r="390" spans="1:18" x14ac:dyDescent="0.3">
      <c r="A390" t="s">
        <v>0</v>
      </c>
      <c r="B390" t="s">
        <v>0</v>
      </c>
      <c r="C390">
        <v>28</v>
      </c>
      <c r="D390">
        <v>31</v>
      </c>
      <c r="E390">
        <v>4</v>
      </c>
      <c r="F390">
        <v>20260128</v>
      </c>
      <c r="G390">
        <v>20260404</v>
      </c>
      <c r="H390">
        <v>1349.8022000000001</v>
      </c>
      <c r="I390">
        <f t="shared" si="53"/>
        <v>63</v>
      </c>
      <c r="J390">
        <f t="shared" si="54"/>
        <v>21.425431746031748</v>
      </c>
      <c r="K390">
        <f t="shared" si="55"/>
        <v>813.69603795169587</v>
      </c>
      <c r="L390">
        <f t="shared" si="56"/>
        <v>664.18838412698415</v>
      </c>
      <c r="M390">
        <f t="shared" si="57"/>
        <v>53.18798767288083</v>
      </c>
      <c r="N390">
        <f t="shared" si="58"/>
        <v>1531.0724097515608</v>
      </c>
      <c r="O390">
        <f t="shared" si="59"/>
        <v>717.35908449731835</v>
      </c>
      <c r="P390">
        <f t="shared" si="60"/>
        <v>585.55228113249234</v>
      </c>
      <c r="Q390">
        <f t="shared" si="61"/>
        <v>46.890834370189552</v>
      </c>
      <c r="R390">
        <f t="shared" si="62"/>
        <v>1349.8022000000003</v>
      </c>
    </row>
    <row r="391" spans="1:18" x14ac:dyDescent="0.3">
      <c r="A391" t="s">
        <v>0</v>
      </c>
      <c r="B391" t="s">
        <v>0</v>
      </c>
      <c r="C391">
        <v>28</v>
      </c>
      <c r="D391">
        <v>31</v>
      </c>
      <c r="E391">
        <v>1</v>
      </c>
      <c r="F391">
        <v>20260128</v>
      </c>
      <c r="G391">
        <v>20260401</v>
      </c>
      <c r="H391">
        <v>84.370500000000007</v>
      </c>
      <c r="I391">
        <f t="shared" si="53"/>
        <v>60</v>
      </c>
      <c r="J391">
        <f t="shared" si="54"/>
        <v>1.4061750000000002</v>
      </c>
      <c r="K391">
        <f t="shared" si="55"/>
        <v>53.403779197058441</v>
      </c>
      <c r="L391">
        <f t="shared" si="56"/>
        <v>43.591425000000008</v>
      </c>
      <c r="M391">
        <f t="shared" si="57"/>
        <v>0.87269674950384057</v>
      </c>
      <c r="N391">
        <f t="shared" si="58"/>
        <v>97.867900946562301</v>
      </c>
      <c r="O391">
        <f t="shared" si="59"/>
        <v>46.038624606913942</v>
      </c>
      <c r="P391">
        <f t="shared" si="60"/>
        <v>37.579536164474035</v>
      </c>
      <c r="Q391">
        <f t="shared" si="61"/>
        <v>0.75233922861201519</v>
      </c>
      <c r="R391">
        <f t="shared" si="62"/>
        <v>84.370499999999993</v>
      </c>
    </row>
    <row r="392" spans="1:18" x14ac:dyDescent="0.3">
      <c r="A392" t="s">
        <v>0</v>
      </c>
      <c r="B392" t="s">
        <v>0</v>
      </c>
      <c r="C392">
        <v>22</v>
      </c>
      <c r="D392">
        <v>31</v>
      </c>
      <c r="E392">
        <v>10</v>
      </c>
      <c r="F392">
        <v>20260207</v>
      </c>
      <c r="G392">
        <v>20260410</v>
      </c>
      <c r="H392">
        <v>421.92189999999999</v>
      </c>
      <c r="I392">
        <f t="shared" si="53"/>
        <v>63</v>
      </c>
      <c r="J392">
        <f t="shared" si="54"/>
        <v>6.6971730158730161</v>
      </c>
      <c r="K392">
        <f t="shared" si="55"/>
        <v>199.84292946803438</v>
      </c>
      <c r="L392">
        <f t="shared" si="56"/>
        <v>207.61236349206351</v>
      </c>
      <c r="M392">
        <f t="shared" si="57"/>
        <v>41.563824714684976</v>
      </c>
      <c r="N392">
        <f t="shared" si="58"/>
        <v>449.01911767478288</v>
      </c>
      <c r="O392">
        <f t="shared" si="59"/>
        <v>187.78289205002017</v>
      </c>
      <c r="P392">
        <f t="shared" si="60"/>
        <v>195.08345952322358</v>
      </c>
      <c r="Q392">
        <f t="shared" si="61"/>
        <v>39.055548426756246</v>
      </c>
      <c r="R392">
        <f t="shared" si="62"/>
        <v>421.92189999999994</v>
      </c>
    </row>
    <row r="393" spans="1:18" x14ac:dyDescent="0.3">
      <c r="A393" t="s">
        <v>0</v>
      </c>
      <c r="B393" t="s">
        <v>0</v>
      </c>
      <c r="C393">
        <v>24</v>
      </c>
      <c r="D393">
        <v>31</v>
      </c>
      <c r="E393">
        <v>14</v>
      </c>
      <c r="F393">
        <v>20260205</v>
      </c>
      <c r="G393">
        <v>20260414</v>
      </c>
      <c r="H393">
        <v>548.43420000000003</v>
      </c>
      <c r="I393">
        <f t="shared" si="53"/>
        <v>69</v>
      </c>
      <c r="J393">
        <f t="shared" si="54"/>
        <v>7.948321739130435</v>
      </c>
      <c r="K393">
        <f t="shared" si="55"/>
        <v>258.73862630003964</v>
      </c>
      <c r="L393">
        <f t="shared" si="56"/>
        <v>246.39797391304347</v>
      </c>
      <c r="M393">
        <f t="shared" si="57"/>
        <v>69.060140907424611</v>
      </c>
      <c r="N393">
        <f t="shared" si="58"/>
        <v>574.19674112050768</v>
      </c>
      <c r="O393">
        <f t="shared" si="59"/>
        <v>247.12977514823646</v>
      </c>
      <c r="P393">
        <f t="shared" si="60"/>
        <v>235.34281201407978</v>
      </c>
      <c r="Q393">
        <f t="shared" si="61"/>
        <v>65.961612837683816</v>
      </c>
      <c r="R393">
        <f t="shared" si="62"/>
        <v>548.43420000000003</v>
      </c>
    </row>
    <row r="394" spans="1:18" x14ac:dyDescent="0.3">
      <c r="A394" t="s">
        <v>0</v>
      </c>
      <c r="B394" t="s">
        <v>0</v>
      </c>
      <c r="C394">
        <v>0</v>
      </c>
      <c r="D394">
        <v>8</v>
      </c>
      <c r="E394">
        <v>7</v>
      </c>
      <c r="F394">
        <v>20260324</v>
      </c>
      <c r="G394">
        <v>20260407</v>
      </c>
      <c r="H394">
        <v>126.5528</v>
      </c>
      <c r="I394">
        <f t="shared" si="53"/>
        <v>15</v>
      </c>
      <c r="J394">
        <f t="shared" si="54"/>
        <v>8.4368533333333335</v>
      </c>
      <c r="K394">
        <f t="shared" si="55"/>
        <v>0</v>
      </c>
      <c r="L394">
        <f t="shared" si="56"/>
        <v>67.494826666666668</v>
      </c>
      <c r="M394">
        <f t="shared" si="57"/>
        <v>36.652409095798525</v>
      </c>
      <c r="N394">
        <f t="shared" si="58"/>
        <v>104.14723576246519</v>
      </c>
      <c r="O394">
        <f t="shared" si="59"/>
        <v>0</v>
      </c>
      <c r="P394">
        <f t="shared" si="60"/>
        <v>82.015228130133053</v>
      </c>
      <c r="Q394">
        <f t="shared" si="61"/>
        <v>44.537571869866966</v>
      </c>
      <c r="R394">
        <f t="shared" si="62"/>
        <v>126.55280000000002</v>
      </c>
    </row>
    <row r="395" spans="1:18" x14ac:dyDescent="0.3">
      <c r="A395" t="s">
        <v>0</v>
      </c>
      <c r="B395" t="s">
        <v>0</v>
      </c>
      <c r="C395">
        <v>0</v>
      </c>
      <c r="D395">
        <v>14</v>
      </c>
      <c r="E395">
        <v>2</v>
      </c>
      <c r="F395">
        <v>20260318</v>
      </c>
      <c r="G395">
        <v>20260402</v>
      </c>
      <c r="H395">
        <v>126.4936</v>
      </c>
      <c r="I395">
        <f t="shared" ref="I395:I401" si="63">IF(C395&lt;0,0,C395)+D395+E395</f>
        <v>16</v>
      </c>
      <c r="J395">
        <f t="shared" ref="J395:J401" si="64">H395/I395</f>
        <v>7.90585</v>
      </c>
      <c r="K395">
        <f t="shared" ref="K395:K401" si="65">IF(C395&lt;0,0,C395)*$J395*$B$6</f>
        <v>0</v>
      </c>
      <c r="L395">
        <f t="shared" ref="L395:L401" si="66">IF(D395&lt;0,0,D395)*$J395*$C$6</f>
        <v>110.6819</v>
      </c>
      <c r="M395">
        <f t="shared" ref="M395:M401" si="67">IF(E395&lt;0,0,E395)*$J395*$D$6</f>
        <v>9.8130170100662255</v>
      </c>
      <c r="N395">
        <f t="shared" ref="N395:N401" si="68">K395+L395+M395</f>
        <v>120.49491701006622</v>
      </c>
      <c r="O395">
        <f t="shared" ref="O395:O401" si="69">K395/$N395*$H395</f>
        <v>0</v>
      </c>
      <c r="P395">
        <f t="shared" ref="P395:P401" si="70">L395/$N395*$H395</f>
        <v>116.19205467953795</v>
      </c>
      <c r="Q395">
        <f t="shared" ref="Q395:Q401" si="71">M395/$N395*$H395</f>
        <v>10.30154532046207</v>
      </c>
      <c r="R395">
        <f t="shared" ref="R395:R401" si="72">O395+P395+Q395</f>
        <v>126.49360000000001</v>
      </c>
    </row>
    <row r="396" spans="1:18" x14ac:dyDescent="0.3">
      <c r="A396" t="s">
        <v>0</v>
      </c>
      <c r="B396" t="s">
        <v>0</v>
      </c>
      <c r="C396">
        <v>0</v>
      </c>
      <c r="D396">
        <v>11</v>
      </c>
      <c r="E396">
        <v>2</v>
      </c>
      <c r="F396">
        <v>20260321</v>
      </c>
      <c r="G396">
        <v>20260402</v>
      </c>
      <c r="H396">
        <v>42.223799999999997</v>
      </c>
      <c r="I396">
        <f t="shared" si="63"/>
        <v>13</v>
      </c>
      <c r="J396">
        <f t="shared" si="64"/>
        <v>3.247984615384615</v>
      </c>
      <c r="K396">
        <f t="shared" si="65"/>
        <v>0</v>
      </c>
      <c r="L396">
        <f t="shared" si="66"/>
        <v>35.727830769230764</v>
      </c>
      <c r="M396">
        <f t="shared" si="67"/>
        <v>4.0315118904611946</v>
      </c>
      <c r="N396">
        <f t="shared" si="68"/>
        <v>39.75934265969196</v>
      </c>
      <c r="O396">
        <f t="shared" si="69"/>
        <v>0</v>
      </c>
      <c r="P396">
        <f t="shared" si="70"/>
        <v>37.942397432119257</v>
      </c>
      <c r="Q396">
        <f t="shared" si="71"/>
        <v>4.2814025678807397</v>
      </c>
      <c r="R396">
        <f t="shared" si="72"/>
        <v>42.223799999999997</v>
      </c>
    </row>
    <row r="397" spans="1:18" x14ac:dyDescent="0.3">
      <c r="A397" t="s">
        <v>0</v>
      </c>
      <c r="B397" t="s">
        <v>0</v>
      </c>
      <c r="C397">
        <v>0</v>
      </c>
      <c r="D397">
        <v>18</v>
      </c>
      <c r="E397">
        <v>4</v>
      </c>
      <c r="F397">
        <v>20260314</v>
      </c>
      <c r="G397">
        <v>20260404</v>
      </c>
      <c r="H397">
        <v>168.43680000000001</v>
      </c>
      <c r="I397">
        <f t="shared" si="63"/>
        <v>22</v>
      </c>
      <c r="J397">
        <f t="shared" si="64"/>
        <v>7.6562181818181818</v>
      </c>
      <c r="K397">
        <f t="shared" si="65"/>
        <v>0</v>
      </c>
      <c r="L397">
        <f t="shared" si="66"/>
        <v>137.81192727272727</v>
      </c>
      <c r="M397">
        <f t="shared" si="67"/>
        <v>19.006330565583745</v>
      </c>
      <c r="N397">
        <f t="shared" si="68"/>
        <v>156.81825783831101</v>
      </c>
      <c r="O397">
        <f t="shared" si="69"/>
        <v>0</v>
      </c>
      <c r="P397">
        <f t="shared" si="70"/>
        <v>148.02230525723917</v>
      </c>
      <c r="Q397">
        <f t="shared" si="71"/>
        <v>20.414494742760855</v>
      </c>
      <c r="R397">
        <f t="shared" si="72"/>
        <v>168.43680000000003</v>
      </c>
    </row>
    <row r="398" spans="1:18" x14ac:dyDescent="0.3">
      <c r="A398" t="s">
        <v>0</v>
      </c>
      <c r="B398" t="s">
        <v>0</v>
      </c>
      <c r="C398">
        <v>0</v>
      </c>
      <c r="D398">
        <v>19</v>
      </c>
      <c r="E398">
        <v>1</v>
      </c>
      <c r="F398">
        <v>20260313</v>
      </c>
      <c r="G398">
        <v>20260401</v>
      </c>
      <c r="H398">
        <v>547.58630000000005</v>
      </c>
      <c r="I398">
        <f t="shared" si="63"/>
        <v>20</v>
      </c>
      <c r="J398">
        <f t="shared" si="64"/>
        <v>27.379315000000002</v>
      </c>
      <c r="K398">
        <f t="shared" si="65"/>
        <v>0</v>
      </c>
      <c r="L398">
        <f t="shared" si="66"/>
        <v>520.20698500000003</v>
      </c>
      <c r="M398">
        <f t="shared" si="67"/>
        <v>16.992080789476233</v>
      </c>
      <c r="N398">
        <f t="shared" si="68"/>
        <v>537.19906578947621</v>
      </c>
      <c r="O398">
        <f t="shared" si="69"/>
        <v>0</v>
      </c>
      <c r="P398">
        <f t="shared" si="70"/>
        <v>530.2656618206762</v>
      </c>
      <c r="Q398">
        <f t="shared" si="71"/>
        <v>17.320638179323968</v>
      </c>
      <c r="R398">
        <f t="shared" si="72"/>
        <v>547.58630000000016</v>
      </c>
    </row>
    <row r="399" spans="1:18" x14ac:dyDescent="0.3">
      <c r="A399" t="s">
        <v>0</v>
      </c>
      <c r="B399" t="s">
        <v>0</v>
      </c>
      <c r="C399">
        <v>0</v>
      </c>
      <c r="D399">
        <v>23</v>
      </c>
      <c r="E399">
        <v>3</v>
      </c>
      <c r="F399">
        <v>20260309</v>
      </c>
      <c r="G399">
        <v>20260403</v>
      </c>
      <c r="H399">
        <v>42.119100000000003</v>
      </c>
      <c r="I399">
        <f t="shared" si="63"/>
        <v>26</v>
      </c>
      <c r="J399">
        <f t="shared" si="64"/>
        <v>1.6199653846153848</v>
      </c>
      <c r="K399">
        <f t="shared" si="65"/>
        <v>0</v>
      </c>
      <c r="L399">
        <f t="shared" si="66"/>
        <v>37.259203846153852</v>
      </c>
      <c r="M399">
        <f t="shared" si="67"/>
        <v>3.0161363815938667</v>
      </c>
      <c r="N399">
        <f t="shared" si="68"/>
        <v>40.275340227747719</v>
      </c>
      <c r="O399">
        <f t="shared" si="69"/>
        <v>0</v>
      </c>
      <c r="P399">
        <f t="shared" si="70"/>
        <v>38.964888287532133</v>
      </c>
      <c r="Q399">
        <f t="shared" si="71"/>
        <v>3.1542117124678701</v>
      </c>
      <c r="R399">
        <f t="shared" si="72"/>
        <v>42.119100000000003</v>
      </c>
    </row>
    <row r="400" spans="1:18" x14ac:dyDescent="0.3">
      <c r="A400" t="s">
        <v>0</v>
      </c>
      <c r="B400" t="s">
        <v>0</v>
      </c>
      <c r="C400">
        <v>0</v>
      </c>
      <c r="D400">
        <v>20</v>
      </c>
      <c r="E400">
        <v>2</v>
      </c>
      <c r="F400">
        <v>20260312</v>
      </c>
      <c r="G400">
        <v>20260402</v>
      </c>
      <c r="H400">
        <v>126.34529999999999</v>
      </c>
      <c r="I400">
        <f t="shared" si="63"/>
        <v>22</v>
      </c>
      <c r="J400">
        <f t="shared" si="64"/>
        <v>5.7429681818181813</v>
      </c>
      <c r="K400">
        <f t="shared" si="65"/>
        <v>0</v>
      </c>
      <c r="L400">
        <f t="shared" si="66"/>
        <v>114.85936363636363</v>
      </c>
      <c r="M400">
        <f t="shared" si="67"/>
        <v>7.1283725919984464</v>
      </c>
      <c r="N400">
        <f t="shared" si="68"/>
        <v>121.98773622836207</v>
      </c>
      <c r="O400">
        <f t="shared" si="69"/>
        <v>0</v>
      </c>
      <c r="P400">
        <f t="shared" si="70"/>
        <v>118.96229248224574</v>
      </c>
      <c r="Q400">
        <f t="shared" si="71"/>
        <v>7.3830075177542636</v>
      </c>
      <c r="R400">
        <f t="shared" si="72"/>
        <v>126.34530000000001</v>
      </c>
    </row>
    <row r="401" spans="1:18" x14ac:dyDescent="0.3">
      <c r="A401" t="s">
        <v>0</v>
      </c>
      <c r="B401" t="s">
        <v>0</v>
      </c>
      <c r="C401">
        <v>0</v>
      </c>
      <c r="D401">
        <v>8</v>
      </c>
      <c r="E401">
        <v>2</v>
      </c>
      <c r="F401">
        <v>20260324</v>
      </c>
      <c r="G401">
        <v>20260402</v>
      </c>
      <c r="H401">
        <v>84.544499999999999</v>
      </c>
      <c r="I401">
        <f t="shared" si="63"/>
        <v>10</v>
      </c>
      <c r="J401">
        <f t="shared" si="64"/>
        <v>8.4544499999999996</v>
      </c>
      <c r="K401">
        <f t="shared" si="65"/>
        <v>0</v>
      </c>
      <c r="L401">
        <f t="shared" si="66"/>
        <v>67.635599999999997</v>
      </c>
      <c r="M401">
        <f t="shared" si="67"/>
        <v>10.493958481473136</v>
      </c>
      <c r="N401">
        <f t="shared" si="68"/>
        <v>78.12955848147314</v>
      </c>
      <c r="O401">
        <f t="shared" si="69"/>
        <v>0</v>
      </c>
      <c r="P401">
        <f t="shared" si="70"/>
        <v>73.188919729476794</v>
      </c>
      <c r="Q401">
        <f t="shared" si="71"/>
        <v>11.355580270523207</v>
      </c>
      <c r="R401">
        <f t="shared" si="72"/>
        <v>84.544499999999999</v>
      </c>
    </row>
  </sheetData>
  <autoFilter ref="A9:R9" xr:uid="{201CD250-BD35-43B0-BC0C-0A915CDB444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3월검증</vt:lpstr>
      <vt:lpstr>3월계산내역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JEONSOOHWAN</dc:creator>
  <cp:lastModifiedBy>user</cp:lastModifiedBy>
  <dcterms:created xsi:type="dcterms:W3CDTF">2024-10-08T06:05:57Z</dcterms:created>
  <dcterms:modified xsi:type="dcterms:W3CDTF">2026-05-14T04:57:28Z</dcterms:modified>
</cp:coreProperties>
</file>
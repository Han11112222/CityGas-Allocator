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drawings/drawing2.xml" ContentType="application/vnd.openxmlformats-officedocument.drawing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omments5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5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6.xml" ContentType="application/vnd.openxmlformats-officedocument.drawingml.chartshapes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7.xml" ContentType="application/vnd.openxmlformats-officedocument.drawingml.chartshapes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8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9.xml" ContentType="application/vnd.openxmlformats-officedocument.drawing+xml"/>
  <Override PartName="/xl/drawings/drawing10.xml" ContentType="application/vnd.openxmlformats-officedocument.drawing+xml"/>
  <Override PartName="/xl/drawings/drawing11.xml" ContentType="application/vnd.openxmlformats-officedocument.drawing+xml"/>
  <Override PartName="/xl/calcChain.xml" ContentType="application/vnd.openxmlformats-officedocument.spreadsheetml.calcChain+xml"/>
  <Override PartName="/xl/attachedToolbars.bin" ContentType="application/vnd.ms-excel.attachedToolbars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backupFile="1" saveExternalLinkValues="0" codeName="현재_통합_문서" defaultThemeVersion="124226"/>
  <mc:AlternateContent xmlns:mc="http://schemas.openxmlformats.org/markup-compatibility/2006">
    <mc:Choice Requires="x15">
      <x15ac:absPath xmlns:x15ac="http://schemas.microsoft.com/office/spreadsheetml/2010/11/ac" url="D:\Users\user\Desktop\0. 마케팅기획팀\2025\1.회의자료\판매량정산서\2025_MM_판매량 정산서\"/>
    </mc:Choice>
  </mc:AlternateContent>
  <xr:revisionPtr revIDLastSave="0" documentId="13_ncr:1_{F4BD322D-B96D-43DB-BB2F-29AE4F4A0E32}" xr6:coauthVersionLast="47" xr6:coauthVersionMax="47" xr10:uidLastSave="{00000000-0000-0000-0000-000000000000}"/>
  <bookViews>
    <workbookView xWindow="-28920" yWindow="-120" windowWidth="29040" windowHeight="15720" tabRatio="762" xr2:uid="{00000000-000D-0000-FFFF-FFFF00000000}"/>
  </bookViews>
  <sheets>
    <sheet name="총괄표" sheetId="13" r:id="rId1"/>
    <sheet name="매출액표" sheetId="3" r:id="rId2"/>
    <sheet name="가스공사용(MJ)" sheetId="46" r:id="rId3"/>
    <sheet name="사회복지시설(MJ)" sheetId="7" r:id="rId4"/>
    <sheet name="자가소모" sheetId="17" r:id="rId5"/>
    <sheet name="판매량-월별추이" sheetId="42" r:id="rId6"/>
    <sheet name="판매금액-월별추이" sheetId="41" state="hidden" r:id="rId7"/>
    <sheet name="데이터" sheetId="36" r:id="rId8"/>
    <sheet name="매출관리(월)" sheetId="43" state="hidden" r:id="rId9"/>
    <sheet name="기안결재표지" sheetId="45" r:id="rId10"/>
    <sheet name="청구할인정산관리" sheetId="44" r:id="rId11"/>
    <sheet name="냉난방단가기준" sheetId="47" r:id="rId12"/>
  </sheets>
  <externalReferences>
    <externalReference r:id="rId13"/>
    <externalReference r:id="rId14"/>
    <externalReference r:id="rId15"/>
  </externalReferences>
  <definedNames>
    <definedName name="_25년공급전수">'[1]분석(공급량및판매량))'!$B$406:$N$413</definedName>
    <definedName name="_25년예상판매량">'[2]분석(공급량및판매량))'!$C$422:$N$439</definedName>
    <definedName name="_xlnm._FilterDatabase" localSheetId="8" hidden="1">'매출관리(월)'!$A$5:$AA$112</definedName>
    <definedName name="_xlnm._FilterDatabase" localSheetId="1" hidden="1">매출액표!$A$8:$S$97</definedName>
    <definedName name="_xlnm.Print_Area" localSheetId="1">매출액표!$A$1:$N$98</definedName>
    <definedName name="_xlnm.Print_Area" localSheetId="3">'사회복지시설(MJ)'!$A$1:$G$30</definedName>
    <definedName name="_xlnm.Print_Area" localSheetId="4">자가소모!$A$16:$G$35</definedName>
    <definedName name="_xlnm.Print_Area" localSheetId="0">총괄표!$A$1:$P$47</definedName>
    <definedName name="_xlnm.Print_Area" localSheetId="6">'판매금액-월별추이'!$A$1:$N$68</definedName>
    <definedName name="_xlnm.Print_Area" localSheetId="5">'판매량-월별추이'!$A$1:$AI$63</definedName>
    <definedName name="매출년월">'[3](전산)집계'!$A$2:$A$24</definedName>
    <definedName name="변동후단가표">'매출관리(월)'!$V$5:$X$285</definedName>
    <definedName name="사용량">'[3](전산)집계'!$D$2:$D$24</definedName>
    <definedName name="사용열량">'[3](전산)집계'!$E$2:$E$24</definedName>
    <definedName name="상품">'[3](전산)집계'!$C$2:$C$24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7" l="1"/>
  <c r="N65" i="3" l="1"/>
  <c r="N66" i="3"/>
  <c r="B48" i="36"/>
  <c r="F65" i="3" l="1"/>
  <c r="F66" i="3"/>
  <c r="D69" i="3"/>
  <c r="J69" i="3" l="1"/>
  <c r="I69" i="3"/>
  <c r="G69" i="3"/>
  <c r="E69" i="3"/>
  <c r="N51" i="3" l="1"/>
  <c r="Q19" i="46" l="1"/>
  <c r="K19" i="46" s="1"/>
  <c r="Q17" i="46"/>
  <c r="K17" i="46" s="1"/>
  <c r="Q14" i="46"/>
  <c r="K14" i="46" s="1"/>
  <c r="Q13" i="46"/>
  <c r="K13" i="46" s="1"/>
  <c r="Q12" i="46"/>
  <c r="E16" i="46"/>
  <c r="L16" i="46" s="1"/>
  <c r="B1" i="46"/>
  <c r="K20" i="46"/>
  <c r="K18" i="46"/>
  <c r="K16" i="46"/>
  <c r="K15" i="46"/>
  <c r="Q10" i="46"/>
  <c r="K10" i="46" s="1"/>
  <c r="K12" i="46" s="1"/>
  <c r="I12" i="46"/>
  <c r="H12" i="46"/>
  <c r="Q9" i="46"/>
  <c r="J9" i="46"/>
  <c r="J21" i="46" s="1"/>
  <c r="I9" i="46"/>
  <c r="I21" i="46" s="1"/>
  <c r="H9" i="46"/>
  <c r="F9" i="46"/>
  <c r="F21" i="46" s="1"/>
  <c r="H21" i="46" l="1"/>
  <c r="K21" i="46"/>
  <c r="Q21" i="46"/>
  <c r="K24" i="46" l="1"/>
  <c r="E17" i="13" l="1"/>
  <c r="E16" i="13"/>
  <c r="F16" i="13" s="1"/>
  <c r="D53" i="3" l="1"/>
  <c r="E53" i="3"/>
  <c r="E11" i="46" s="1"/>
  <c r="L11" i="46" s="1"/>
  <c r="E49" i="3"/>
  <c r="K24" i="13" l="1"/>
  <c r="F38" i="3" l="1"/>
  <c r="N64" i="3" l="1"/>
  <c r="F64" i="3"/>
  <c r="N52" i="3" l="1"/>
  <c r="V11" i="13" l="1"/>
  <c r="N67" i="3" l="1"/>
  <c r="N61" i="3" l="1"/>
  <c r="N38" i="3" l="1"/>
  <c r="F45" i="3" l="1"/>
  <c r="N45" i="3"/>
  <c r="F72" i="3" l="1"/>
  <c r="C11" i="13" l="1"/>
  <c r="N63" i="3"/>
  <c r="N69" i="3" s="1"/>
  <c r="F63" i="3"/>
  <c r="J8" i="13" l="1"/>
  <c r="J24" i="13" l="1"/>
  <c r="K57" i="3" l="1"/>
  <c r="L57" i="3"/>
  <c r="M57" i="3"/>
  <c r="I57" i="3"/>
  <c r="J57" i="3"/>
  <c r="H73" i="3"/>
  <c r="H57" i="3"/>
  <c r="H43" i="3"/>
  <c r="H40" i="3"/>
  <c r="F84" i="3" l="1"/>
  <c r="X36" i="43" l="1" a="1"/>
  <c r="X36" i="43" s="1"/>
  <c r="X35" i="43" a="1"/>
  <c r="X35" i="43" s="1"/>
  <c r="X34" i="43" a="1"/>
  <c r="X34" i="43" s="1"/>
  <c r="W35" i="43"/>
  <c r="W36" i="43"/>
  <c r="W37" i="43"/>
  <c r="X37" i="43" a="1"/>
  <c r="X37" i="43" s="1"/>
  <c r="W32" i="43" l="1"/>
  <c r="X32" i="43" a="1"/>
  <c r="X32" i="43" s="1"/>
  <c r="W33" i="43"/>
  <c r="X33" i="43" a="1"/>
  <c r="X33" i="43" s="1"/>
  <c r="W25" i="43"/>
  <c r="X25" i="43" a="1"/>
  <c r="X25" i="43" s="1"/>
  <c r="X22" i="43" a="1"/>
  <c r="X22" i="43" s="1"/>
  <c r="W22" i="43"/>
  <c r="W18" i="43"/>
  <c r="X18" i="43" a="1"/>
  <c r="X18" i="43" s="1"/>
  <c r="F80" i="3" l="1"/>
  <c r="N72" i="3" l="1"/>
  <c r="B2" i="45" l="1"/>
  <c r="C8" i="42" l="1"/>
  <c r="C10" i="42"/>
  <c r="C12" i="42"/>
  <c r="C14" i="42"/>
  <c r="C16" i="42"/>
  <c r="B5" i="45" l="1"/>
  <c r="C8" i="45" s="1"/>
  <c r="C10" i="45" s="1"/>
  <c r="H24" i="13" l="1"/>
  <c r="X31" i="43" l="1" a="1"/>
  <c r="X31" i="43" s="1"/>
  <c r="X7" i="43" a="1"/>
  <c r="X7" i="43" s="1"/>
  <c r="X8" i="43" a="1"/>
  <c r="X8" i="43" s="1"/>
  <c r="X9" i="43" a="1"/>
  <c r="X9" i="43" s="1"/>
  <c r="X10" i="43" a="1"/>
  <c r="X10" i="43" s="1"/>
  <c r="X11" i="43" a="1"/>
  <c r="X11" i="43" s="1"/>
  <c r="X12" i="43" a="1"/>
  <c r="X12" i="43" s="1"/>
  <c r="X13" i="43" a="1"/>
  <c r="X13" i="43" s="1"/>
  <c r="X14" i="43" a="1"/>
  <c r="X14" i="43" s="1"/>
  <c r="X15" i="43" a="1"/>
  <c r="X15" i="43" s="1"/>
  <c r="X16" i="43" a="1"/>
  <c r="X16" i="43" s="1"/>
  <c r="X17" i="43" a="1"/>
  <c r="X17" i="43" s="1"/>
  <c r="X19" i="43" a="1"/>
  <c r="X19" i="43" s="1"/>
  <c r="X20" i="43" a="1"/>
  <c r="X20" i="43" s="1"/>
  <c r="X21" i="43" a="1"/>
  <c r="X21" i="43" s="1"/>
  <c r="X23" i="43" a="1"/>
  <c r="X23" i="43" s="1"/>
  <c r="X24" i="43" a="1"/>
  <c r="X24" i="43" s="1"/>
  <c r="X26" i="43" a="1"/>
  <c r="X26" i="43" s="1"/>
  <c r="X27" i="43" a="1"/>
  <c r="X27" i="43" s="1"/>
  <c r="X28" i="43" a="1"/>
  <c r="X28" i="43" s="1"/>
  <c r="X29" i="43" a="1"/>
  <c r="X29" i="43" s="1"/>
  <c r="X30" i="43" a="1"/>
  <c r="X30" i="43" s="1"/>
  <c r="X6" i="43" a="1"/>
  <c r="X6" i="43" s="1"/>
  <c r="W7" i="43" l="1"/>
  <c r="W8" i="43"/>
  <c r="W9" i="43"/>
  <c r="W10" i="43"/>
  <c r="W11" i="43"/>
  <c r="W12" i="43"/>
  <c r="W13" i="43"/>
  <c r="W14" i="43"/>
  <c r="W15" i="43"/>
  <c r="W16" i="43"/>
  <c r="W17" i="43"/>
  <c r="W19" i="43"/>
  <c r="W20" i="43"/>
  <c r="W21" i="43"/>
  <c r="W23" i="43"/>
  <c r="W24" i="43"/>
  <c r="W26" i="43"/>
  <c r="W27" i="43"/>
  <c r="W28" i="43"/>
  <c r="W29" i="43"/>
  <c r="W30" i="43"/>
  <c r="W31" i="43"/>
  <c r="W34" i="43"/>
  <c r="W6" i="43"/>
  <c r="R4" i="42" l="1"/>
  <c r="A4" i="3"/>
  <c r="F17" i="7" l="1"/>
  <c r="E17" i="7"/>
  <c r="D17" i="7"/>
  <c r="G13" i="46" s="1"/>
  <c r="G17" i="7" l="1"/>
  <c r="M39" i="13" l="1"/>
  <c r="M31" i="13"/>
  <c r="F7" i="7" l="1"/>
  <c r="F21" i="7"/>
  <c r="F14" i="7"/>
  <c r="F10" i="7"/>
  <c r="E21" i="7" l="1"/>
  <c r="D21" i="7"/>
  <c r="E14" i="7"/>
  <c r="D14" i="7"/>
  <c r="G14" i="46" s="1"/>
  <c r="E10" i="7"/>
  <c r="D10" i="7"/>
  <c r="G6" i="46" s="1"/>
  <c r="E7" i="7"/>
  <c r="D7" i="7"/>
  <c r="G5" i="46" s="1"/>
  <c r="G9" i="46" l="1"/>
  <c r="G12" i="46"/>
  <c r="G10" i="46"/>
  <c r="E10" i="46" s="1"/>
  <c r="F105" i="3"/>
  <c r="E105" i="3"/>
  <c r="D105" i="3"/>
  <c r="I36" i="3"/>
  <c r="G21" i="46" l="1"/>
  <c r="L10" i="46"/>
  <c r="E12" i="46"/>
  <c r="L12" i="46" s="1"/>
  <c r="L96" i="3"/>
  <c r="L97" i="3"/>
  <c r="L95" i="3"/>
  <c r="L94" i="3"/>
  <c r="F27" i="7"/>
  <c r="E27" i="7"/>
  <c r="D27" i="7"/>
  <c r="G25" i="7"/>
  <c r="G27" i="7" s="1"/>
  <c r="F23" i="7"/>
  <c r="E23" i="7"/>
  <c r="D23" i="7"/>
  <c r="H17" i="7"/>
  <c r="F19" i="7"/>
  <c r="G14" i="7"/>
  <c r="D19" i="7"/>
  <c r="G10" i="7"/>
  <c r="D12" i="7"/>
  <c r="F12" i="7" l="1"/>
  <c r="F28" i="7" s="1"/>
  <c r="G7" i="7"/>
  <c r="H7" i="7" s="1"/>
  <c r="E12" i="7"/>
  <c r="D28" i="7"/>
  <c r="H10" i="7"/>
  <c r="H14" i="7"/>
  <c r="G19" i="7"/>
  <c r="G21" i="7"/>
  <c r="G23" i="7" s="1"/>
  <c r="E19" i="7"/>
  <c r="E28" i="7" l="1"/>
  <c r="G12" i="7"/>
  <c r="H12" i="7" s="1"/>
  <c r="H19" i="7"/>
  <c r="E93" i="3"/>
  <c r="G28" i="7" l="1"/>
  <c r="H28" i="7" s="1"/>
  <c r="M37" i="13" l="1"/>
  <c r="M38" i="13"/>
  <c r="M40" i="13"/>
  <c r="M41" i="13"/>
  <c r="M42" i="13"/>
  <c r="M43" i="13"/>
  <c r="M44" i="13"/>
  <c r="M45" i="13"/>
  <c r="M36" i="13"/>
  <c r="M32" i="13"/>
  <c r="M33" i="13"/>
  <c r="M34" i="13"/>
  <c r="F24" i="3" l="1"/>
  <c r="L24" i="13" l="1"/>
  <c r="E12" i="3" l="1"/>
  <c r="F24" i="13" l="1"/>
  <c r="X22" i="13" l="1"/>
  <c r="Y22" i="13"/>
  <c r="X11" i="13"/>
  <c r="C6" i="42" s="1"/>
  <c r="Y11" i="13"/>
  <c r="C18" i="42" l="1"/>
  <c r="Y23" i="13"/>
  <c r="X23" i="13"/>
  <c r="D12" i="3"/>
  <c r="X46" i="13" l="1"/>
  <c r="X35" i="13"/>
  <c r="X47" i="13" l="1"/>
  <c r="G22" i="13"/>
  <c r="D41" i="13" l="1"/>
  <c r="D40" i="13"/>
  <c r="D36" i="3" l="1"/>
  <c r="E36" i="3"/>
  <c r="D17" i="13" l="1"/>
  <c r="D16" i="13"/>
  <c r="F17" i="13" l="1"/>
  <c r="C14" i="41"/>
  <c r="C16" i="41"/>
  <c r="C12" i="41"/>
  <c r="C10" i="41"/>
  <c r="C8" i="41"/>
  <c r="N87" i="3" l="1"/>
  <c r="N86" i="3"/>
  <c r="N84" i="3"/>
  <c r="N80" i="3"/>
  <c r="N81" i="3"/>
  <c r="N82" i="3"/>
  <c r="N79" i="3"/>
  <c r="N75" i="3"/>
  <c r="N76" i="3"/>
  <c r="N77" i="3"/>
  <c r="N74" i="3"/>
  <c r="N71" i="3"/>
  <c r="N60" i="3"/>
  <c r="N58" i="3"/>
  <c r="N56" i="3"/>
  <c r="N55" i="3"/>
  <c r="N46" i="3"/>
  <c r="N47" i="3"/>
  <c r="N48" i="3"/>
  <c r="N41" i="3"/>
  <c r="N42" i="3"/>
  <c r="N39" i="3"/>
  <c r="N33" i="3"/>
  <c r="N34" i="3"/>
  <c r="N35" i="3"/>
  <c r="N32" i="3"/>
  <c r="N26" i="3"/>
  <c r="N27" i="3"/>
  <c r="N28" i="3"/>
  <c r="N29" i="3"/>
  <c r="N30" i="3"/>
  <c r="N24" i="3"/>
  <c r="N19" i="3"/>
  <c r="N20" i="3"/>
  <c r="N21" i="3"/>
  <c r="N18" i="3"/>
  <c r="N88" i="3" l="1"/>
  <c r="D73" i="3"/>
  <c r="D15" i="13" s="1"/>
  <c r="J73" i="3"/>
  <c r="I73" i="3"/>
  <c r="G73" i="3"/>
  <c r="D39" i="13" s="1"/>
  <c r="E73" i="3"/>
  <c r="E15" i="13" s="1"/>
  <c r="F71" i="3"/>
  <c r="E15" i="46" l="1"/>
  <c r="L15" i="46" s="1"/>
  <c r="E12" i="41"/>
  <c r="F12" i="41"/>
  <c r="K39" i="13"/>
  <c r="K12" i="41" l="1"/>
  <c r="L12" i="41"/>
  <c r="D12" i="41"/>
  <c r="E13" i="41"/>
  <c r="G12" i="41"/>
  <c r="M12" i="41" l="1"/>
  <c r="B50" i="36"/>
  <c r="E38" i="36"/>
  <c r="B17" i="42" s="1"/>
  <c r="E37" i="36"/>
  <c r="B15" i="42" s="1"/>
  <c r="E36" i="36"/>
  <c r="B13" i="42" s="1"/>
  <c r="E35" i="36"/>
  <c r="B11" i="42" s="1"/>
  <c r="E34" i="36"/>
  <c r="B9" i="42" s="1"/>
  <c r="E33" i="36"/>
  <c r="B7" i="42" s="1"/>
  <c r="C3" i="36"/>
  <c r="C18" i="36" s="1"/>
  <c r="C23" i="36" s="1"/>
  <c r="A3" i="36"/>
  <c r="A18" i="36" s="1"/>
  <c r="A23" i="36" s="1"/>
  <c r="D4" i="41"/>
  <c r="W16" i="42"/>
  <c r="P16" i="42"/>
  <c r="Q16" i="42" s="1"/>
  <c r="L16" i="42"/>
  <c r="W14" i="42"/>
  <c r="P14" i="42"/>
  <c r="Q14" i="42" s="1"/>
  <c r="L14" i="42"/>
  <c r="W12" i="42"/>
  <c r="P12" i="42"/>
  <c r="Q12" i="42" s="1"/>
  <c r="L12" i="42"/>
  <c r="W10" i="42"/>
  <c r="P10" i="42"/>
  <c r="Q10" i="42" s="1"/>
  <c r="L10" i="42"/>
  <c r="W8" i="42"/>
  <c r="P8" i="42"/>
  <c r="Q8" i="42" s="1"/>
  <c r="L8" i="42"/>
  <c r="E10" i="17"/>
  <c r="D12" i="17"/>
  <c r="R110" i="3"/>
  <c r="L88" i="3"/>
  <c r="K88" i="3"/>
  <c r="I88" i="3"/>
  <c r="H88" i="3"/>
  <c r="G88" i="3"/>
  <c r="E88" i="3"/>
  <c r="D88" i="3"/>
  <c r="D21" i="13" s="1"/>
  <c r="F86" i="3"/>
  <c r="M85" i="3"/>
  <c r="L85" i="3"/>
  <c r="K85" i="3"/>
  <c r="J85" i="3"/>
  <c r="I85" i="3"/>
  <c r="H85" i="3"/>
  <c r="G85" i="3"/>
  <c r="E85" i="3"/>
  <c r="D85" i="3"/>
  <c r="D20" i="13" s="1"/>
  <c r="M83" i="3"/>
  <c r="L83" i="3"/>
  <c r="K83" i="3"/>
  <c r="J83" i="3"/>
  <c r="I83" i="3"/>
  <c r="H83" i="3"/>
  <c r="G83" i="3"/>
  <c r="E83" i="3"/>
  <c r="D83" i="3"/>
  <c r="D19" i="13" s="1"/>
  <c r="F79" i="3"/>
  <c r="N83" i="3"/>
  <c r="M78" i="3"/>
  <c r="L78" i="3"/>
  <c r="K78" i="3"/>
  <c r="J78" i="3"/>
  <c r="I78" i="3"/>
  <c r="H78" i="3"/>
  <c r="G78" i="3"/>
  <c r="D42" i="13" s="1"/>
  <c r="E78" i="3"/>
  <c r="D78" i="3"/>
  <c r="D18" i="13" s="1"/>
  <c r="F75" i="3"/>
  <c r="F74" i="3"/>
  <c r="L69" i="3"/>
  <c r="K69" i="3"/>
  <c r="H69" i="3"/>
  <c r="D14" i="13"/>
  <c r="L62" i="3"/>
  <c r="K62" i="3"/>
  <c r="H62" i="3"/>
  <c r="F58" i="3"/>
  <c r="G57" i="3"/>
  <c r="E57" i="3"/>
  <c r="D57" i="3"/>
  <c r="F56" i="3"/>
  <c r="F55" i="3"/>
  <c r="L53" i="3"/>
  <c r="K53" i="3"/>
  <c r="J53" i="3"/>
  <c r="I53" i="3"/>
  <c r="H53" i="3"/>
  <c r="G53" i="3"/>
  <c r="N50" i="3"/>
  <c r="F50" i="3"/>
  <c r="L49" i="3"/>
  <c r="K49" i="3"/>
  <c r="H49" i="3"/>
  <c r="F46" i="3"/>
  <c r="L43" i="3"/>
  <c r="K43" i="3"/>
  <c r="J43" i="3"/>
  <c r="I43" i="3"/>
  <c r="G43" i="3"/>
  <c r="D34" i="13" s="1"/>
  <c r="E43" i="3"/>
  <c r="D43" i="3"/>
  <c r="D10" i="13" s="1"/>
  <c r="F41" i="3"/>
  <c r="L40" i="3"/>
  <c r="K40" i="3"/>
  <c r="I40" i="3"/>
  <c r="G40" i="3"/>
  <c r="D33" i="13" s="1"/>
  <c r="E40" i="3"/>
  <c r="D40" i="3"/>
  <c r="D9" i="13" s="1"/>
  <c r="N37" i="3"/>
  <c r="F37" i="3"/>
  <c r="L36" i="3"/>
  <c r="K36" i="3"/>
  <c r="H36" i="3"/>
  <c r="G36" i="3"/>
  <c r="F33" i="3"/>
  <c r="F32" i="3"/>
  <c r="M31" i="3"/>
  <c r="L31" i="3"/>
  <c r="K31" i="3"/>
  <c r="J31" i="3"/>
  <c r="F27" i="3"/>
  <c r="F26" i="3"/>
  <c r="L23" i="3"/>
  <c r="K23" i="3"/>
  <c r="J23" i="3"/>
  <c r="I23" i="3"/>
  <c r="H23" i="3"/>
  <c r="F19" i="3"/>
  <c r="F18" i="3"/>
  <c r="E17" i="3"/>
  <c r="E91" i="3" s="1"/>
  <c r="D17" i="3"/>
  <c r="D91" i="3" s="1"/>
  <c r="W46" i="13"/>
  <c r="W35" i="13"/>
  <c r="L6" i="42"/>
  <c r="F46" i="13"/>
  <c r="C46" i="13"/>
  <c r="K41" i="13"/>
  <c r="F35" i="13"/>
  <c r="C35" i="13"/>
  <c r="C6" i="41" s="1"/>
  <c r="N24" i="13"/>
  <c r="C22" i="13"/>
  <c r="N21" i="13"/>
  <c r="N20" i="13"/>
  <c r="N19" i="13"/>
  <c r="N18" i="13"/>
  <c r="N17" i="13"/>
  <c r="L17" i="13"/>
  <c r="N16" i="13"/>
  <c r="L16" i="13"/>
  <c r="N15" i="13"/>
  <c r="N14" i="13"/>
  <c r="N13" i="13"/>
  <c r="N12" i="13"/>
  <c r="G11" i="13"/>
  <c r="P6" i="42"/>
  <c r="N10" i="13"/>
  <c r="N9" i="13"/>
  <c r="N8" i="13"/>
  <c r="N7" i="13"/>
  <c r="E18" i="46" l="1"/>
  <c r="L18" i="46" s="1"/>
  <c r="E19" i="13"/>
  <c r="E20" i="46"/>
  <c r="L20" i="46" s="1"/>
  <c r="E21" i="13"/>
  <c r="E19" i="46"/>
  <c r="L19" i="46" s="1"/>
  <c r="E20" i="13"/>
  <c r="E17" i="46"/>
  <c r="L17" i="46" s="1"/>
  <c r="E18" i="13"/>
  <c r="E13" i="46"/>
  <c r="L13" i="46" s="1"/>
  <c r="E14" i="13"/>
  <c r="E8" i="46"/>
  <c r="L8" i="46" s="1"/>
  <c r="E10" i="13"/>
  <c r="E7" i="46"/>
  <c r="L7" i="46" s="1"/>
  <c r="E9" i="13"/>
  <c r="W47" i="13"/>
  <c r="C10" i="36"/>
  <c r="K33" i="13"/>
  <c r="D44" i="13"/>
  <c r="K44" i="13" s="1"/>
  <c r="D11" i="3"/>
  <c r="D13" i="3" s="1"/>
  <c r="D38" i="13"/>
  <c r="D45" i="13"/>
  <c r="D43" i="13"/>
  <c r="W6" i="42"/>
  <c r="W18" i="42" s="1"/>
  <c r="G23" i="13"/>
  <c r="F55" i="36" s="1"/>
  <c r="S110" i="3"/>
  <c r="H15" i="13"/>
  <c r="F15" i="13"/>
  <c r="L70" i="3"/>
  <c r="H70" i="3"/>
  <c r="K70" i="3"/>
  <c r="E14" i="41"/>
  <c r="F14" i="41"/>
  <c r="K40" i="13"/>
  <c r="L44" i="3"/>
  <c r="N57" i="3"/>
  <c r="K44" i="3"/>
  <c r="AH14" i="42"/>
  <c r="L13" i="42"/>
  <c r="J12" i="42" s="1"/>
  <c r="L15" i="42"/>
  <c r="J14" i="42" s="1"/>
  <c r="F88" i="3"/>
  <c r="H54" i="3"/>
  <c r="K54" i="3"/>
  <c r="L54" i="3"/>
  <c r="F40" i="3"/>
  <c r="C18" i="41"/>
  <c r="C47" i="13"/>
  <c r="F47" i="13"/>
  <c r="F57" i="36" s="1"/>
  <c r="M35" i="13"/>
  <c r="AH16" i="42"/>
  <c r="AH12" i="42"/>
  <c r="AH10" i="42"/>
  <c r="AH8" i="42"/>
  <c r="M46" i="13"/>
  <c r="L9" i="42"/>
  <c r="J8" i="42" s="1"/>
  <c r="L11" i="42"/>
  <c r="J10" i="42" s="1"/>
  <c r="N22" i="13"/>
  <c r="L17" i="42"/>
  <c r="J16" i="42" s="1"/>
  <c r="N11" i="13"/>
  <c r="L18" i="42"/>
  <c r="H8" i="42"/>
  <c r="K9" i="42"/>
  <c r="I8" i="42" s="1"/>
  <c r="H12" i="42"/>
  <c r="K13" i="42"/>
  <c r="I12" i="42" s="1"/>
  <c r="H16" i="42"/>
  <c r="K17" i="42"/>
  <c r="I16" i="42" s="1"/>
  <c r="H10" i="42"/>
  <c r="K11" i="42"/>
  <c r="I10" i="42" s="1"/>
  <c r="H14" i="42"/>
  <c r="K15" i="42"/>
  <c r="I14" i="42" s="1"/>
  <c r="C23" i="13"/>
  <c r="F93" i="3" s="1"/>
  <c r="P18" i="42"/>
  <c r="Q6" i="42"/>
  <c r="Q18" i="42" s="1"/>
  <c r="A10" i="36"/>
  <c r="B55" i="36"/>
  <c r="B57" i="36" s="1"/>
  <c r="E39" i="36"/>
  <c r="B19" i="42" s="1"/>
  <c r="E12" i="17"/>
  <c r="E11" i="3" s="1"/>
  <c r="D10" i="17"/>
  <c r="F36" i="3"/>
  <c r="F83" i="3"/>
  <c r="N78" i="3"/>
  <c r="N85" i="3"/>
  <c r="F85" i="3"/>
  <c r="F78" i="3"/>
  <c r="N73" i="3"/>
  <c r="D13" i="41"/>
  <c r="F13" i="41"/>
  <c r="F73" i="3"/>
  <c r="L15" i="13"/>
  <c r="N12" i="42"/>
  <c r="F69" i="3"/>
  <c r="O17" i="13"/>
  <c r="H17" i="13"/>
  <c r="F57" i="3"/>
  <c r="O16" i="13"/>
  <c r="H16" i="13"/>
  <c r="N14" i="42"/>
  <c r="N53" i="3"/>
  <c r="F53" i="3"/>
  <c r="N43" i="3"/>
  <c r="F43" i="3"/>
  <c r="N36" i="3"/>
  <c r="E14" i="42" l="1"/>
  <c r="H10" i="13"/>
  <c r="L10" i="13"/>
  <c r="H9" i="13"/>
  <c r="L9" i="13"/>
  <c r="J17" i="13"/>
  <c r="M17" i="13" s="1"/>
  <c r="E13" i="3"/>
  <c r="J16" i="13"/>
  <c r="M16" i="13" s="1"/>
  <c r="K45" i="13"/>
  <c r="K38" i="13"/>
  <c r="K34" i="13"/>
  <c r="K43" i="13"/>
  <c r="AH6" i="42"/>
  <c r="AH18" i="42" s="1"/>
  <c r="L19" i="13"/>
  <c r="F19" i="13"/>
  <c r="H18" i="13"/>
  <c r="F18" i="13"/>
  <c r="F9" i="13"/>
  <c r="L20" i="13"/>
  <c r="F20" i="13"/>
  <c r="H21" i="13"/>
  <c r="F21" i="13"/>
  <c r="F10" i="13"/>
  <c r="H14" i="13"/>
  <c r="F14" i="13"/>
  <c r="L21" i="13"/>
  <c r="H20" i="13"/>
  <c r="H19" i="13"/>
  <c r="N16" i="42"/>
  <c r="P17" i="42" s="1"/>
  <c r="S17" i="42" s="1"/>
  <c r="R17" i="42" s="1"/>
  <c r="L18" i="13"/>
  <c r="E16" i="41"/>
  <c r="F16" i="41"/>
  <c r="K42" i="13"/>
  <c r="K14" i="41"/>
  <c r="L14" i="41"/>
  <c r="E15" i="41"/>
  <c r="D15" i="41" s="1"/>
  <c r="D14" i="41"/>
  <c r="G14" i="41"/>
  <c r="F15" i="41" s="1"/>
  <c r="C57" i="36"/>
  <c r="D10" i="45" s="1"/>
  <c r="A20" i="36"/>
  <c r="F19" i="36" s="1"/>
  <c r="M47" i="13"/>
  <c r="F58" i="36" s="1"/>
  <c r="N23" i="13"/>
  <c r="F56" i="36" s="1"/>
  <c r="A5" i="36"/>
  <c r="F4" i="36" s="1"/>
  <c r="C55" i="36"/>
  <c r="D8" i="45" s="1"/>
  <c r="K7" i="42"/>
  <c r="I6" i="42" s="1"/>
  <c r="H6" i="42"/>
  <c r="L7" i="42"/>
  <c r="J6" i="42" s="1"/>
  <c r="M6" i="42"/>
  <c r="L13" i="41"/>
  <c r="W13" i="42"/>
  <c r="U12" i="42" s="1"/>
  <c r="T13" i="42" s="1"/>
  <c r="S12" i="42"/>
  <c r="P13" i="42"/>
  <c r="S13" i="42" s="1"/>
  <c r="R13" i="42" s="1"/>
  <c r="V13" i="42"/>
  <c r="T12" i="42" s="1"/>
  <c r="Y12" i="42"/>
  <c r="O13" i="42"/>
  <c r="R12" i="42" s="1"/>
  <c r="O15" i="13"/>
  <c r="L14" i="13"/>
  <c r="Y14" i="42"/>
  <c r="P15" i="42"/>
  <c r="S15" i="42" s="1"/>
  <c r="R15" i="42" s="1"/>
  <c r="O15" i="42"/>
  <c r="R14" i="42" s="1"/>
  <c r="W15" i="42"/>
  <c r="U14" i="42" s="1"/>
  <c r="T15" i="42" s="1"/>
  <c r="S14" i="42"/>
  <c r="V15" i="42"/>
  <c r="T14" i="42" s="1"/>
  <c r="E12" i="42" l="1"/>
  <c r="D15" i="42"/>
  <c r="E15" i="42"/>
  <c r="J15" i="13"/>
  <c r="M15" i="13" s="1"/>
  <c r="F14" i="42"/>
  <c r="G15" i="42" s="1"/>
  <c r="AA14" i="42"/>
  <c r="AB14" i="42" s="1"/>
  <c r="H15" i="42"/>
  <c r="O20" i="13"/>
  <c r="O21" i="13"/>
  <c r="O10" i="13"/>
  <c r="O9" i="13"/>
  <c r="O19" i="13"/>
  <c r="O18" i="13"/>
  <c r="S16" i="42"/>
  <c r="O17" i="42"/>
  <c r="R16" i="42" s="1"/>
  <c r="Y16" i="42"/>
  <c r="AH17" i="42" s="1"/>
  <c r="AF16" i="42" s="1"/>
  <c r="AE17" i="42" s="1"/>
  <c r="V17" i="42"/>
  <c r="T16" i="42" s="1"/>
  <c r="W17" i="42"/>
  <c r="U16" i="42" s="1"/>
  <c r="T17" i="42" s="1"/>
  <c r="M14" i="41"/>
  <c r="L15" i="41" s="1"/>
  <c r="K16" i="41"/>
  <c r="L16" i="41"/>
  <c r="G16" i="41"/>
  <c r="F17" i="41" s="1"/>
  <c r="D16" i="41"/>
  <c r="E17" i="41"/>
  <c r="D17" i="41" s="1"/>
  <c r="L19" i="42"/>
  <c r="J18" i="42" s="1"/>
  <c r="K19" i="42"/>
  <c r="I18" i="42" s="1"/>
  <c r="M16" i="42"/>
  <c r="M14" i="42"/>
  <c r="M10" i="42"/>
  <c r="M12" i="42"/>
  <c r="M8" i="42"/>
  <c r="H18" i="42"/>
  <c r="AD12" i="42"/>
  <c r="AH13" i="42"/>
  <c r="AF12" i="42" s="1"/>
  <c r="AE13" i="42" s="1"/>
  <c r="AG13" i="42"/>
  <c r="AE12" i="42" s="1"/>
  <c r="O14" i="13"/>
  <c r="AD14" i="42"/>
  <c r="AH15" i="42"/>
  <c r="AF14" i="42" s="1"/>
  <c r="AE15" i="42" s="1"/>
  <c r="AG15" i="42"/>
  <c r="AE14" i="42" s="1"/>
  <c r="E13" i="42" l="1"/>
  <c r="D13" i="42"/>
  <c r="E16" i="42"/>
  <c r="AA16" i="42" s="1"/>
  <c r="J10" i="13"/>
  <c r="M10" i="13" s="1"/>
  <c r="J9" i="13"/>
  <c r="M9" i="13" s="1"/>
  <c r="J14" i="13"/>
  <c r="M14" i="13" s="1"/>
  <c r="J21" i="13"/>
  <c r="M21" i="13" s="1"/>
  <c r="J20" i="13"/>
  <c r="M20" i="13" s="1"/>
  <c r="AA15" i="42"/>
  <c r="AD15" i="42" s="1"/>
  <c r="AC15" i="42" s="1"/>
  <c r="Z15" i="42"/>
  <c r="AC14" i="42" s="1"/>
  <c r="J18" i="13"/>
  <c r="M18" i="13" s="1"/>
  <c r="AA12" i="42"/>
  <c r="F12" i="42"/>
  <c r="G13" i="42" s="1"/>
  <c r="H13" i="42"/>
  <c r="AD16" i="42"/>
  <c r="AG17" i="42"/>
  <c r="AE16" i="42" s="1"/>
  <c r="M16" i="41"/>
  <c r="L17" i="41" s="1"/>
  <c r="E17" i="42" l="1"/>
  <c r="D17" i="42"/>
  <c r="J19" i="13"/>
  <c r="M19" i="13" s="1"/>
  <c r="AB12" i="42"/>
  <c r="Z13" i="42"/>
  <c r="AC12" i="42" s="1"/>
  <c r="AA13" i="42"/>
  <c r="AD13" i="42" s="1"/>
  <c r="AC13" i="42" s="1"/>
  <c r="F16" i="42"/>
  <c r="AB16" i="42" l="1"/>
  <c r="Z17" i="42"/>
  <c r="AC16" i="42" s="1"/>
  <c r="AA17" i="42"/>
  <c r="AD17" i="42" s="1"/>
  <c r="AC17" i="42" s="1"/>
  <c r="G17" i="42"/>
  <c r="H17" i="42"/>
  <c r="O24" i="13" l="1"/>
  <c r="M24" i="13" l="1"/>
  <c r="H31" i="3" l="1"/>
  <c r="G31" i="3"/>
  <c r="D32" i="13" l="1"/>
  <c r="K32" i="13" s="1"/>
  <c r="F25" i="3"/>
  <c r="H44" i="3"/>
  <c r="H89" i="3" s="1"/>
  <c r="N25" i="3" l="1"/>
  <c r="N31" i="3" s="1"/>
  <c r="I31" i="3"/>
  <c r="I44" i="3" l="1"/>
  <c r="D49" i="3"/>
  <c r="D54" i="3" s="1"/>
  <c r="D12" i="13" s="1"/>
  <c r="E54" i="3" l="1"/>
  <c r="E12" i="13" s="1"/>
  <c r="L12" i="13" l="1"/>
  <c r="N8" i="42"/>
  <c r="Y8" i="42" s="1"/>
  <c r="F12" i="13"/>
  <c r="H12" i="13"/>
  <c r="O9" i="42" l="1"/>
  <c r="R8" i="42" s="1"/>
  <c r="P9" i="42"/>
  <c r="S9" i="42" s="1"/>
  <c r="R9" i="42" s="1"/>
  <c r="S8" i="42"/>
  <c r="W9" i="42"/>
  <c r="U8" i="42" s="1"/>
  <c r="T9" i="42" s="1"/>
  <c r="V9" i="42"/>
  <c r="T8" i="42" s="1"/>
  <c r="O12" i="13"/>
  <c r="E8" i="42" l="1"/>
  <c r="J12" i="13"/>
  <c r="AD8" i="42"/>
  <c r="AG9" i="42"/>
  <c r="AE8" i="42" s="1"/>
  <c r="AH9" i="42"/>
  <c r="AF8" i="42" s="1"/>
  <c r="AE9" i="42" s="1"/>
  <c r="D9" i="42" l="1"/>
  <c r="E9" i="42"/>
  <c r="F8" i="42"/>
  <c r="H9" i="42"/>
  <c r="AA8" i="42"/>
  <c r="M12" i="13"/>
  <c r="G49" i="3"/>
  <c r="D36" i="13" s="1"/>
  <c r="AB8" i="42" l="1"/>
  <c r="Z9" i="42"/>
  <c r="AC8" i="42" s="1"/>
  <c r="AA9" i="42"/>
  <c r="AD9" i="42" s="1"/>
  <c r="AC9" i="42" s="1"/>
  <c r="G9" i="42"/>
  <c r="F8" i="41"/>
  <c r="E8" i="41"/>
  <c r="K36" i="13"/>
  <c r="G54" i="3"/>
  <c r="F49" i="3"/>
  <c r="E9" i="41" l="1"/>
  <c r="D9" i="41" s="1"/>
  <c r="D8" i="41"/>
  <c r="G8" i="41"/>
  <c r="F9" i="41" s="1"/>
  <c r="F54" i="3"/>
  <c r="K8" i="41"/>
  <c r="L8" i="41"/>
  <c r="M8" i="41" l="1"/>
  <c r="L9" i="41" s="1"/>
  <c r="J49" i="3" l="1"/>
  <c r="J54" i="3" s="1"/>
  <c r="I49" i="3"/>
  <c r="I54" i="3" s="1"/>
  <c r="N49" i="3"/>
  <c r="N54" i="3" s="1"/>
  <c r="D62" i="3" l="1"/>
  <c r="E62" i="3"/>
  <c r="E14" i="46" l="1"/>
  <c r="L14" i="46" s="1"/>
  <c r="E13" i="13"/>
  <c r="D70" i="3"/>
  <c r="D13" i="13"/>
  <c r="E70" i="3"/>
  <c r="F13" i="13" l="1"/>
  <c r="H13" i="13"/>
  <c r="E22" i="13"/>
  <c r="H22" i="13" s="1"/>
  <c r="L13" i="13"/>
  <c r="L22" i="13" s="1"/>
  <c r="N10" i="42"/>
  <c r="Y10" i="42" s="1"/>
  <c r="D22" i="13"/>
  <c r="P11" i="42" l="1"/>
  <c r="S11" i="42" s="1"/>
  <c r="R11" i="42" s="1"/>
  <c r="V11" i="42"/>
  <c r="T10" i="42" s="1"/>
  <c r="O13" i="13"/>
  <c r="F22" i="13"/>
  <c r="S10" i="42"/>
  <c r="O11" i="42"/>
  <c r="R10" i="42" s="1"/>
  <c r="W11" i="42"/>
  <c r="U10" i="42" s="1"/>
  <c r="T11" i="42" s="1"/>
  <c r="AG11" i="42"/>
  <c r="AE10" i="42" s="1"/>
  <c r="AD10" i="42"/>
  <c r="AH11" i="42"/>
  <c r="AF10" i="42" s="1"/>
  <c r="AE11" i="42" s="1"/>
  <c r="O22" i="13"/>
  <c r="E10" i="42" l="1"/>
  <c r="J13" i="13"/>
  <c r="V22" i="13"/>
  <c r="F59" i="3"/>
  <c r="I62" i="3"/>
  <c r="J62" i="3"/>
  <c r="J70" i="3" s="1"/>
  <c r="G62" i="3"/>
  <c r="F62" i="3" s="1"/>
  <c r="N59" i="3"/>
  <c r="N62" i="3" s="1"/>
  <c r="D11" i="42" l="1"/>
  <c r="E11" i="42"/>
  <c r="J22" i="13"/>
  <c r="M22" i="13" s="1"/>
  <c r="M13" i="13"/>
  <c r="AA10" i="42"/>
  <c r="F10" i="42"/>
  <c r="G11" i="42" s="1"/>
  <c r="H11" i="42"/>
  <c r="D37" i="13"/>
  <c r="G70" i="3"/>
  <c r="AB10" i="42" l="1"/>
  <c r="Z11" i="42"/>
  <c r="AC10" i="42" s="1"/>
  <c r="AA11" i="42"/>
  <c r="AD11" i="42" s="1"/>
  <c r="AC11" i="42" s="1"/>
  <c r="F10" i="41"/>
  <c r="K37" i="13"/>
  <c r="D46" i="13"/>
  <c r="E10" i="41"/>
  <c r="F70" i="3"/>
  <c r="L10" i="41" l="1"/>
  <c r="K10" i="41"/>
  <c r="K46" i="13"/>
  <c r="G46" i="13"/>
  <c r="E46" i="13"/>
  <c r="G10" i="41"/>
  <c r="F11" i="41" s="1"/>
  <c r="D10" i="41"/>
  <c r="E11" i="41"/>
  <c r="D11" i="41" s="1"/>
  <c r="M10" i="41" l="1"/>
  <c r="L11" i="41" s="1"/>
  <c r="N46" i="13"/>
  <c r="D23" i="3" l="1"/>
  <c r="D7" i="13" s="1"/>
  <c r="E23" i="3" l="1"/>
  <c r="E5" i="46" s="1"/>
  <c r="L5" i="46" l="1"/>
  <c r="E7" i="13"/>
  <c r="L7" i="13" l="1"/>
  <c r="O7" i="13" s="1"/>
  <c r="F7" i="13"/>
  <c r="H7" i="13"/>
  <c r="J7" i="13" l="1"/>
  <c r="N22" i="3"/>
  <c r="N23" i="3" s="1"/>
  <c r="G23" i="3"/>
  <c r="F23" i="3" s="1"/>
  <c r="M7" i="13" l="1"/>
  <c r="G44" i="3"/>
  <c r="G89" i="3" s="1"/>
  <c r="D31" i="13"/>
  <c r="D35" i="13" l="1"/>
  <c r="K31" i="13"/>
  <c r="F104" i="3" l="1"/>
  <c r="F106" i="3" s="1"/>
  <c r="G35" i="13"/>
  <c r="E35" i="13"/>
  <c r="D47" i="13"/>
  <c r="F6" i="41"/>
  <c r="F18" i="41" s="1"/>
  <c r="E6" i="41"/>
  <c r="K35" i="13"/>
  <c r="E7" i="41" l="1"/>
  <c r="D7" i="41" s="1"/>
  <c r="E18" i="41"/>
  <c r="D6" i="41"/>
  <c r="G6" i="41"/>
  <c r="F7" i="41" s="1"/>
  <c r="L6" i="41"/>
  <c r="L18" i="41" s="1"/>
  <c r="N35" i="13"/>
  <c r="K6" i="41"/>
  <c r="K47" i="13"/>
  <c r="T37" i="13"/>
  <c r="E47" i="13"/>
  <c r="T40" i="13"/>
  <c r="T43" i="13"/>
  <c r="T34" i="13"/>
  <c r="T33" i="13"/>
  <c r="T44" i="13"/>
  <c r="T38" i="13"/>
  <c r="D57" i="36"/>
  <c r="E10" i="45" s="1"/>
  <c r="F10" i="45" s="1"/>
  <c r="T41" i="13"/>
  <c r="T36" i="13"/>
  <c r="H36" i="13" s="1"/>
  <c r="T42" i="13"/>
  <c r="T32" i="13"/>
  <c r="T45" i="13"/>
  <c r="G47" i="13"/>
  <c r="B20" i="36"/>
  <c r="G19" i="36" s="1"/>
  <c r="T39" i="13"/>
  <c r="T31" i="13"/>
  <c r="H38" i="13" l="1"/>
  <c r="H44" i="13"/>
  <c r="H33" i="13"/>
  <c r="H34" i="13"/>
  <c r="H45" i="13"/>
  <c r="H42" i="13"/>
  <c r="H43" i="13"/>
  <c r="H40" i="13"/>
  <c r="H41" i="13"/>
  <c r="H37" i="13"/>
  <c r="H39" i="13"/>
  <c r="B27" i="36" s="1"/>
  <c r="H12" i="41" s="1"/>
  <c r="H32" i="13"/>
  <c r="H31" i="13"/>
  <c r="B25" i="36"/>
  <c r="H8" i="41" s="1"/>
  <c r="M6" i="41"/>
  <c r="L7" i="41" s="1"/>
  <c r="K18" i="41"/>
  <c r="G18" i="41"/>
  <c r="F19" i="41" s="1"/>
  <c r="D18" i="41"/>
  <c r="D19" i="41" s="1"/>
  <c r="E19" i="41"/>
  <c r="G57" i="36"/>
  <c r="G10" i="45" s="1"/>
  <c r="I57" i="36"/>
  <c r="H10" i="45" s="1"/>
  <c r="E57" i="36"/>
  <c r="U41" i="13"/>
  <c r="O41" i="13" s="1"/>
  <c r="U42" i="13"/>
  <c r="O42" i="13" s="1"/>
  <c r="U36" i="13"/>
  <c r="O36" i="13" s="1"/>
  <c r="U32" i="13"/>
  <c r="U38" i="13"/>
  <c r="O38" i="13" s="1"/>
  <c r="U37" i="13"/>
  <c r="O37" i="13" s="1"/>
  <c r="U44" i="13"/>
  <c r="O44" i="13" s="1"/>
  <c r="U40" i="13"/>
  <c r="O40" i="13" s="1"/>
  <c r="N47" i="13"/>
  <c r="D20" i="36"/>
  <c r="G20" i="36" s="1"/>
  <c r="U43" i="13"/>
  <c r="O43" i="13" s="1"/>
  <c r="U39" i="13"/>
  <c r="D58" i="36"/>
  <c r="E11" i="45" s="1"/>
  <c r="U33" i="13"/>
  <c r="O33" i="13" s="1"/>
  <c r="U45" i="13"/>
  <c r="O45" i="13" s="1"/>
  <c r="U34" i="13"/>
  <c r="O34" i="13" s="1"/>
  <c r="U31" i="13"/>
  <c r="B28" i="36" l="1"/>
  <c r="H14" i="41" s="1"/>
  <c r="B26" i="36"/>
  <c r="H10" i="41" s="1"/>
  <c r="B29" i="36"/>
  <c r="J41" i="13"/>
  <c r="J44" i="13"/>
  <c r="J40" i="13"/>
  <c r="J37" i="13"/>
  <c r="J38" i="13"/>
  <c r="J43" i="13"/>
  <c r="J45" i="13"/>
  <c r="J42" i="13"/>
  <c r="J34" i="13"/>
  <c r="J33" i="13"/>
  <c r="J36" i="13"/>
  <c r="O39" i="13"/>
  <c r="H46" i="13"/>
  <c r="H35" i="13"/>
  <c r="D28" i="36"/>
  <c r="N14" i="41" s="1"/>
  <c r="D26" i="36"/>
  <c r="N10" i="41" s="1"/>
  <c r="M18" i="41"/>
  <c r="L19" i="41" s="1"/>
  <c r="G58" i="36"/>
  <c r="G11" i="45" s="1"/>
  <c r="D25" i="36"/>
  <c r="N8" i="41" s="1"/>
  <c r="O32" i="13"/>
  <c r="O31" i="13"/>
  <c r="D29" i="36"/>
  <c r="I16" i="41" l="1"/>
  <c r="K17" i="41" s="1"/>
  <c r="J17" i="41" s="1"/>
  <c r="I10" i="41"/>
  <c r="J10" i="41" s="1"/>
  <c r="I14" i="41"/>
  <c r="J32" i="13"/>
  <c r="D27" i="36"/>
  <c r="N12" i="41" s="1"/>
  <c r="I8" i="41"/>
  <c r="O46" i="13"/>
  <c r="V35" i="13"/>
  <c r="J31" i="13"/>
  <c r="H47" i="13"/>
  <c r="B24" i="36"/>
  <c r="H6" i="41" s="1"/>
  <c r="H16" i="41" s="1"/>
  <c r="O35" i="13"/>
  <c r="J16" i="41" l="1"/>
  <c r="K11" i="41"/>
  <c r="J11" i="41" s="1"/>
  <c r="K15" i="41"/>
  <c r="J15" i="41" s="1"/>
  <c r="J14" i="41"/>
  <c r="J39" i="13"/>
  <c r="V46" i="13"/>
  <c r="V47" i="13" s="1"/>
  <c r="O47" i="13"/>
  <c r="J8" i="41"/>
  <c r="K9" i="41"/>
  <c r="J9" i="41" s="1"/>
  <c r="J35" i="13"/>
  <c r="D24" i="36"/>
  <c r="N6" i="41" s="1"/>
  <c r="N16" i="41" s="1"/>
  <c r="D31" i="3"/>
  <c r="D8" i="13" s="1"/>
  <c r="E31" i="3"/>
  <c r="E6" i="46" l="1"/>
  <c r="E8" i="13"/>
  <c r="L6" i="46"/>
  <c r="E9" i="46"/>
  <c r="E21" i="46" s="1"/>
  <c r="E24" i="46" s="1"/>
  <c r="I12" i="41"/>
  <c r="J46" i="13"/>
  <c r="L46" i="13" s="1"/>
  <c r="I6" i="41"/>
  <c r="L35" i="13"/>
  <c r="E44" i="3"/>
  <c r="E89" i="3" s="1"/>
  <c r="D44" i="3"/>
  <c r="D11" i="13"/>
  <c r="D23" i="13" s="1"/>
  <c r="F31" i="3"/>
  <c r="L9" i="46" l="1"/>
  <c r="L21" i="46" s="1"/>
  <c r="M6" i="46" s="1"/>
  <c r="E25" i="46"/>
  <c r="E26" i="46" s="1"/>
  <c r="L25" i="46"/>
  <c r="E104" i="3"/>
  <c r="E106" i="3" s="1"/>
  <c r="H8" i="13"/>
  <c r="J47" i="13"/>
  <c r="C20" i="36" s="1"/>
  <c r="F20" i="36" s="1"/>
  <c r="K13" i="41"/>
  <c r="J13" i="41" s="1"/>
  <c r="J12" i="41"/>
  <c r="I18" i="41"/>
  <c r="J6" i="41"/>
  <c r="K7" i="41"/>
  <c r="J7" i="41" s="1"/>
  <c r="F44" i="3"/>
  <c r="D89" i="3"/>
  <c r="D104" i="3" s="1"/>
  <c r="F8" i="13"/>
  <c r="L8" i="13"/>
  <c r="E11" i="13"/>
  <c r="F92" i="3"/>
  <c r="F89" i="3"/>
  <c r="E90" i="3"/>
  <c r="M5" i="46" l="1"/>
  <c r="M17" i="46"/>
  <c r="M11" i="46"/>
  <c r="M15" i="46"/>
  <c r="M8" i="46"/>
  <c r="M7" i="46"/>
  <c r="M16" i="46"/>
  <c r="M18" i="46"/>
  <c r="M10" i="46"/>
  <c r="M19" i="46"/>
  <c r="M20" i="46"/>
  <c r="M14" i="46"/>
  <c r="L24" i="46"/>
  <c r="L26" i="46" s="1"/>
  <c r="M13" i="46"/>
  <c r="N6" i="42"/>
  <c r="Y6" i="42" s="1"/>
  <c r="E23" i="13"/>
  <c r="T17" i="13" s="1"/>
  <c r="D90" i="3"/>
  <c r="D106" i="3"/>
  <c r="C58" i="36"/>
  <c r="L47" i="13"/>
  <c r="K19" i="41"/>
  <c r="J18" i="41"/>
  <c r="J19" i="41" s="1"/>
  <c r="O8" i="13"/>
  <c r="L11" i="13"/>
  <c r="L23" i="13" s="1"/>
  <c r="H11" i="13"/>
  <c r="F11" i="13"/>
  <c r="S6" i="42" l="1"/>
  <c r="S18" i="42" s="1"/>
  <c r="M12" i="46"/>
  <c r="M21" i="46" s="1"/>
  <c r="P7" i="42"/>
  <c r="S7" i="42" s="1"/>
  <c r="R7" i="42" s="1"/>
  <c r="V7" i="42"/>
  <c r="T6" i="42" s="1"/>
  <c r="W7" i="42"/>
  <c r="U6" i="42" s="1"/>
  <c r="T7" i="42" s="1"/>
  <c r="O7" i="42"/>
  <c r="R6" i="42" s="1"/>
  <c r="N18" i="42"/>
  <c r="P19" i="42" s="1"/>
  <c r="S19" i="42" s="1"/>
  <c r="M9" i="46"/>
  <c r="J11" i="13"/>
  <c r="J23" i="13" s="1"/>
  <c r="E58" i="36"/>
  <c r="D11" i="45"/>
  <c r="F11" i="45" s="1"/>
  <c r="E6" i="42"/>
  <c r="O11" i="13"/>
  <c r="T15" i="13"/>
  <c r="T8" i="13"/>
  <c r="H23" i="13"/>
  <c r="T13" i="13"/>
  <c r="B5" i="36"/>
  <c r="G4" i="36" s="1"/>
  <c r="T19" i="13"/>
  <c r="T18" i="13"/>
  <c r="T20" i="13"/>
  <c r="T21" i="13"/>
  <c r="T12" i="13"/>
  <c r="T16" i="13"/>
  <c r="I16" i="13" s="1"/>
  <c r="F23" i="13"/>
  <c r="T14" i="13"/>
  <c r="D55" i="36"/>
  <c r="T10" i="13"/>
  <c r="T7" i="13"/>
  <c r="I7" i="13" s="1"/>
  <c r="T9" i="13"/>
  <c r="I9" i="13" s="1"/>
  <c r="AH7" i="42"/>
  <c r="AF6" i="42" s="1"/>
  <c r="AE7" i="42" s="1"/>
  <c r="Y18" i="42"/>
  <c r="AD6" i="42"/>
  <c r="AD18" i="42" s="1"/>
  <c r="AG7" i="42"/>
  <c r="AE6" i="42" s="1"/>
  <c r="U16" i="13"/>
  <c r="P16" i="13" s="1"/>
  <c r="U17" i="13"/>
  <c r="P17" i="13" s="1"/>
  <c r="U13" i="13"/>
  <c r="P13" i="13" s="1"/>
  <c r="O23" i="13"/>
  <c r="U18" i="13"/>
  <c r="P18" i="13" s="1"/>
  <c r="U14" i="13"/>
  <c r="P14" i="13" s="1"/>
  <c r="U12" i="13"/>
  <c r="P12" i="13" s="1"/>
  <c r="U15" i="13"/>
  <c r="U19" i="13"/>
  <c r="P19" i="13" s="1"/>
  <c r="U21" i="13"/>
  <c r="P21" i="13" s="1"/>
  <c r="D5" i="36"/>
  <c r="G5" i="36" s="1"/>
  <c r="U9" i="13"/>
  <c r="P9" i="13" s="1"/>
  <c r="U20" i="13"/>
  <c r="P20" i="13" s="1"/>
  <c r="D56" i="36"/>
  <c r="E9" i="45" s="1"/>
  <c r="U10" i="13"/>
  <c r="P10" i="13" s="1"/>
  <c r="U7" i="13"/>
  <c r="U8" i="13"/>
  <c r="W19" i="42" l="1"/>
  <c r="U18" i="42" s="1"/>
  <c r="T19" i="42" s="1"/>
  <c r="O19" i="42"/>
  <c r="R18" i="42" s="1"/>
  <c r="V19" i="42"/>
  <c r="T18" i="42" s="1"/>
  <c r="R19" i="42"/>
  <c r="AL23" i="42"/>
  <c r="E18" i="42"/>
  <c r="D7" i="42"/>
  <c r="E7" i="42"/>
  <c r="I12" i="13"/>
  <c r="B12" i="36" s="1"/>
  <c r="I21" i="13"/>
  <c r="I20" i="13"/>
  <c r="I10" i="13"/>
  <c r="I18" i="13"/>
  <c r="I19" i="13"/>
  <c r="I14" i="13"/>
  <c r="I13" i="13"/>
  <c r="I17" i="13"/>
  <c r="B15" i="36" s="1"/>
  <c r="E55" i="36"/>
  <c r="E8" i="45"/>
  <c r="F8" i="45" s="1"/>
  <c r="K13" i="13"/>
  <c r="K17" i="13"/>
  <c r="K16" i="13"/>
  <c r="K19" i="13"/>
  <c r="K21" i="13"/>
  <c r="K14" i="13"/>
  <c r="K20" i="13"/>
  <c r="K18" i="13"/>
  <c r="K10" i="13"/>
  <c r="K9" i="13"/>
  <c r="K12" i="13"/>
  <c r="M8" i="13"/>
  <c r="P15" i="13"/>
  <c r="V23" i="13"/>
  <c r="I8" i="13"/>
  <c r="I55" i="36"/>
  <c r="H8" i="45" s="1"/>
  <c r="G55" i="36"/>
  <c r="G8" i="45" s="1"/>
  <c r="I15" i="13"/>
  <c r="X12" i="42" s="1"/>
  <c r="P7" i="13"/>
  <c r="P8" i="13"/>
  <c r="AG19" i="42"/>
  <c r="AE18" i="42" s="1"/>
  <c r="AH19" i="42"/>
  <c r="AF18" i="42" s="1"/>
  <c r="AE19" i="42" s="1"/>
  <c r="D12" i="36"/>
  <c r="AI8" i="42"/>
  <c r="D16" i="36"/>
  <c r="AI16" i="42"/>
  <c r="AI14" i="42"/>
  <c r="D15" i="36"/>
  <c r="G56" i="36"/>
  <c r="G9" i="45" s="1"/>
  <c r="AI10" i="42"/>
  <c r="D13" i="36"/>
  <c r="X8" i="42" l="1"/>
  <c r="E19" i="42"/>
  <c r="D19" i="42"/>
  <c r="X14" i="42"/>
  <c r="B16" i="36"/>
  <c r="X16" i="42"/>
  <c r="B13" i="36"/>
  <c r="I11" i="13"/>
  <c r="B11" i="36" s="1"/>
  <c r="X10" i="42"/>
  <c r="K8" i="13"/>
  <c r="D14" i="36"/>
  <c r="AI12" i="42"/>
  <c r="AA6" i="42"/>
  <c r="AB6" i="42" s="1"/>
  <c r="H7" i="42"/>
  <c r="F6" i="42"/>
  <c r="W11" i="13"/>
  <c r="K7" i="13"/>
  <c r="C5" i="36"/>
  <c r="M11" i="13"/>
  <c r="B14" i="36"/>
  <c r="I22" i="13"/>
  <c r="P11" i="13"/>
  <c r="X6" i="42" l="1"/>
  <c r="I23" i="13"/>
  <c r="K11" i="13"/>
  <c r="K15" i="13"/>
  <c r="K22" i="13" s="1"/>
  <c r="W22" i="13"/>
  <c r="W23" i="13" s="1"/>
  <c r="G7" i="42"/>
  <c r="F18" i="42"/>
  <c r="F5" i="36"/>
  <c r="C56" i="36"/>
  <c r="D9" i="45" s="1"/>
  <c r="M23" i="13"/>
  <c r="AB18" i="42"/>
  <c r="AA18" i="42"/>
  <c r="Z7" i="42"/>
  <c r="AC6" i="42" s="1"/>
  <c r="AA7" i="42"/>
  <c r="AD7" i="42" s="1"/>
  <c r="AC7" i="42" s="1"/>
  <c r="P22" i="13"/>
  <c r="D11" i="36"/>
  <c r="AI6" i="42"/>
  <c r="E56" i="36" l="1"/>
  <c r="F9" i="45"/>
  <c r="K23" i="13"/>
  <c r="G19" i="42"/>
  <c r="H19" i="42"/>
  <c r="AA19" i="42"/>
  <c r="AD19" i="42" s="1"/>
  <c r="Z19" i="42"/>
  <c r="AC18" i="42" s="1"/>
  <c r="AC19" i="42" l="1"/>
  <c r="AL22" i="42"/>
  <c r="N40" i="3" l="1"/>
  <c r="N44" i="3" s="1"/>
  <c r="J40" i="3"/>
  <c r="J44" i="3" s="1"/>
  <c r="J89" i="3" s="1"/>
  <c r="Q96" i="3" l="1"/>
  <c r="P96" i="3" s="1"/>
  <c r="M89" i="3" l="1"/>
  <c r="R99" i="3"/>
  <c r="N70" i="3" l="1"/>
  <c r="Q89" i="3" s="1"/>
  <c r="I70" i="3"/>
  <c r="I89" i="3" s="1"/>
  <c r="R89" i="3" l="1"/>
  <c r="Q95" i="3"/>
  <c r="S89" i="3" l="1"/>
  <c r="P95" i="3"/>
  <c r="Q109" i="3"/>
  <c r="R109" i="3" l="1"/>
  <c r="R111" i="3" s="1"/>
  <c r="R98" i="3"/>
  <c r="P99" i="3" s="1"/>
  <c r="L89" i="3"/>
  <c r="Q111" i="3"/>
  <c r="S109" i="3" l="1"/>
  <c r="S111" i="3" s="1"/>
  <c r="K89" i="3"/>
  <c r="P98" i="3"/>
  <c r="R90" i="3" l="1"/>
  <c r="R91" i="3" s="1"/>
  <c r="N89" i="3"/>
  <c r="Q90" i="3" s="1"/>
  <c r="S90" i="3" l="1"/>
  <c r="Q91" i="3"/>
  <c r="S91" i="3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C6" authorId="0" shapeId="0" xr:uid="{6A28027C-745E-4036-A780-E9A7D3D1665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5"/>
            <color indexed="81"/>
            <rFont val="Tahoma"/>
            <family val="2"/>
          </rPr>
          <t>9</t>
        </r>
        <r>
          <rPr>
            <sz val="15"/>
            <color indexed="81"/>
            <rFont val="돋움"/>
            <family val="3"/>
            <charset val="129"/>
          </rPr>
          <t>월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사업계획</t>
        </r>
        <r>
          <rPr>
            <sz val="15"/>
            <color indexed="81"/>
            <rFont val="Tahoma"/>
            <family val="2"/>
          </rPr>
          <t xml:space="preserve"> </t>
        </r>
        <r>
          <rPr>
            <sz val="15"/>
            <color indexed="81"/>
            <rFont val="돋움"/>
            <family val="3"/>
            <charset val="129"/>
          </rPr>
          <t>판매량</t>
        </r>
      </text>
    </comment>
    <comment ref="D23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매출액의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수량</t>
        </r>
        <r>
          <rPr>
            <sz val="9"/>
            <color indexed="81"/>
            <rFont val="Tahoma"/>
            <family val="2"/>
          </rPr>
          <t xml:space="preserve">(m3) </t>
        </r>
        <r>
          <rPr>
            <sz val="9"/>
            <color indexed="81"/>
            <rFont val="돋움"/>
            <family val="3"/>
            <charset val="129"/>
          </rPr>
          <t>합계와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비교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사사오입</t>
        </r>
      </text>
    </comment>
    <comment ref="E23" authorId="0" shapeId="0" xr:uid="{00000000-0006-0000-0000-000002000000}">
      <text>
        <r>
          <rPr>
            <b/>
            <sz val="20"/>
            <color indexed="81"/>
            <rFont val="Tahoma"/>
            <family val="2"/>
          </rPr>
          <t>user:</t>
        </r>
        <r>
          <rPr>
            <sz val="20"/>
            <color indexed="81"/>
            <rFont val="Tahoma"/>
            <family val="2"/>
          </rPr>
          <t xml:space="preserve">
</t>
        </r>
        <r>
          <rPr>
            <sz val="20"/>
            <color indexed="81"/>
            <rFont val="돋움"/>
            <family val="3"/>
            <charset val="129"/>
          </rPr>
          <t>매출액의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수량</t>
        </r>
        <r>
          <rPr>
            <sz val="20"/>
            <color indexed="81"/>
            <rFont val="Tahoma"/>
            <family val="2"/>
          </rPr>
          <t xml:space="preserve">(MJ) </t>
        </r>
        <r>
          <rPr>
            <sz val="20"/>
            <color indexed="81"/>
            <rFont val="돋움"/>
            <family val="3"/>
            <charset val="129"/>
          </rPr>
          <t>합계와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비교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후</t>
        </r>
        <r>
          <rPr>
            <sz val="20"/>
            <color indexed="81"/>
            <rFont val="Tahoma"/>
            <family val="2"/>
          </rPr>
          <t xml:space="preserve"> </t>
        </r>
        <r>
          <rPr>
            <sz val="20"/>
            <color indexed="81"/>
            <rFont val="돋움"/>
            <family val="3"/>
            <charset val="129"/>
          </rPr>
          <t>사사오입</t>
        </r>
      </text>
    </comment>
    <comment ref="C24" authorId="0" shapeId="0" xr:uid="{00000000-0006-0000-0000-000003000000}">
      <text>
        <r>
          <rPr>
            <sz val="16"/>
            <color indexed="81"/>
            <rFont val="돋움"/>
            <family val="3"/>
            <charset val="129"/>
          </rPr>
          <t>당월의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사업계획서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>(GJ)</t>
        </r>
      </text>
    </comment>
    <comment ref="D24" authorId="0" shapeId="0" xr:uid="{00000000-0006-0000-0000-000004000000}">
      <text>
        <r>
          <rPr>
            <b/>
            <sz val="16"/>
            <color indexed="81"/>
            <rFont val="Tahoma"/>
            <family val="2"/>
          </rPr>
          <t>user:</t>
        </r>
        <r>
          <rPr>
            <sz val="16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돋움"/>
            <family val="3"/>
            <charset val="129"/>
          </rPr>
          <t>공급량일일보고서의
총공급량</t>
        </r>
        <r>
          <rPr>
            <sz val="16"/>
            <color indexed="81"/>
            <rFont val="Tahoma"/>
            <family val="2"/>
          </rPr>
          <t xml:space="preserve">(Nm3)
===========
</t>
        </r>
        <r>
          <rPr>
            <sz val="16"/>
            <color indexed="81"/>
            <rFont val="돋움"/>
            <family val="3"/>
            <charset val="129"/>
          </rPr>
          <t>총공급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사사오입됨</t>
        </r>
        <r>
          <rPr>
            <sz val="16"/>
            <color indexed="81"/>
            <rFont val="Tahoma"/>
            <family val="2"/>
          </rPr>
          <t xml:space="preserve"> =&gt; </t>
        </r>
        <r>
          <rPr>
            <sz val="16"/>
            <color indexed="81"/>
            <rFont val="돋움"/>
            <family val="3"/>
            <charset val="129"/>
          </rPr>
          <t>누계실적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공급량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숫자가</t>
        </r>
        <r>
          <rPr>
            <sz val="16"/>
            <color indexed="81"/>
            <rFont val="Tahoma"/>
            <family val="2"/>
          </rPr>
          <t xml:space="preserve"> =&gt;</t>
        </r>
        <r>
          <rPr>
            <sz val="16"/>
            <color indexed="81"/>
            <rFont val="돋움"/>
            <family val="3"/>
            <charset val="129"/>
          </rPr>
          <t>공급량일일보고서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년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총공급량과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숫자일치하면</t>
        </r>
        <r>
          <rPr>
            <sz val="16"/>
            <color indexed="81"/>
            <rFont val="Tahoma"/>
            <family val="2"/>
          </rPr>
          <t xml:space="preserve"> </t>
        </r>
        <r>
          <rPr>
            <sz val="16"/>
            <color indexed="81"/>
            <rFont val="돋움"/>
            <family val="3"/>
            <charset val="129"/>
          </rPr>
          <t>패스</t>
        </r>
      </text>
    </comment>
    <comment ref="J29" authorId="0" shapeId="0" xr:uid="{22A765C3-739D-4D46-9D9B-1889DCC9B6D0}">
      <text>
        <r>
          <rPr>
            <b/>
            <sz val="9"/>
            <color indexed="81"/>
            <rFont val="Tahoma"/>
            <family val="2"/>
          </rPr>
          <t xml:space="preserve">20240807 </t>
        </r>
        <r>
          <rPr>
            <b/>
            <sz val="9"/>
            <color indexed="81"/>
            <rFont val="돋움"/>
            <family val="3"/>
            <charset val="129"/>
          </rPr>
          <t>용
실천사업계획서와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판매량정산서를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통해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검증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필요</t>
        </r>
      </text>
    </comment>
    <comment ref="B31" authorId="1" shapeId="0" xr:uid="{00000000-0006-0000-0000-000005000000}">
      <text>
        <r>
          <rPr>
            <b/>
            <sz val="26"/>
            <color indexed="81"/>
            <rFont val="Tahoma"/>
            <family val="2"/>
          </rPr>
          <t>Windows User:</t>
        </r>
        <r>
          <rPr>
            <sz val="26"/>
            <color indexed="81"/>
            <rFont val="Tahoma"/>
            <family val="2"/>
          </rPr>
          <t xml:space="preserve">
</t>
        </r>
        <r>
          <rPr>
            <sz val="26"/>
            <color indexed="81"/>
            <rFont val="돋움"/>
            <family val="3"/>
            <charset val="129"/>
          </rPr>
          <t>취사용</t>
        </r>
        <r>
          <rPr>
            <sz val="26"/>
            <color indexed="81"/>
            <rFont val="Tahoma"/>
            <family val="2"/>
          </rPr>
          <t>+</t>
        </r>
        <r>
          <rPr>
            <sz val="26"/>
            <color indexed="81"/>
            <rFont val="돋움"/>
            <family val="3"/>
            <charset val="129"/>
          </rPr>
          <t>기본료</t>
        </r>
        <r>
          <rPr>
            <sz val="26"/>
            <color indexed="81"/>
            <rFont val="Tahoma"/>
            <family val="2"/>
          </rPr>
          <t>15%</t>
        </r>
      </text>
    </comment>
    <comment ref="B32" authorId="1" shapeId="0" xr:uid="{00000000-0006-0000-0000-000006000000}">
      <text>
        <r>
          <rPr>
            <b/>
            <sz val="22"/>
            <color indexed="81"/>
            <rFont val="Tahoma"/>
            <family val="2"/>
          </rPr>
          <t>Windows User:</t>
        </r>
        <r>
          <rPr>
            <sz val="22"/>
            <color indexed="81"/>
            <rFont val="Tahoma"/>
            <family val="2"/>
          </rPr>
          <t xml:space="preserve">
</t>
        </r>
        <r>
          <rPr>
            <sz val="22"/>
            <color indexed="81"/>
            <rFont val="돋움"/>
            <family val="3"/>
            <charset val="129"/>
          </rPr>
          <t>개별난방용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기본료</t>
        </r>
        <r>
          <rPr>
            <sz val="22"/>
            <color indexed="81"/>
            <rFont val="Tahoma"/>
            <family val="2"/>
          </rPr>
          <t>*85%-</t>
        </r>
        <r>
          <rPr>
            <sz val="22"/>
            <color indexed="81"/>
            <rFont val="돋움"/>
            <family val="3"/>
            <charset val="129"/>
          </rPr>
          <t>사배자할인</t>
        </r>
        <r>
          <rPr>
            <sz val="22"/>
            <color indexed="81"/>
            <rFont val="Tahoma"/>
            <family val="2"/>
          </rPr>
          <t>+</t>
        </r>
        <r>
          <rPr>
            <sz val="22"/>
            <color indexed="81"/>
            <rFont val="돋움"/>
            <family val="3"/>
            <charset val="129"/>
          </rPr>
          <t>개소세할인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  <author>USER</author>
  </authors>
  <commentList>
    <comment ref="D8" authorId="0" shapeId="0" xr:uid="{00000000-0006-0000-0100-000001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G8" authorId="0" shapeId="0" xr:uid="{05781D4A-E83A-4289-B036-D5D317C3EE11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공급가액은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사용료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할인전</t>
        </r>
        <r>
          <rPr>
            <sz val="9"/>
            <color indexed="81"/>
            <rFont val="Tahoma"/>
            <family val="2"/>
          </rPr>
          <t xml:space="preserve">) </t>
        </r>
        <r>
          <rPr>
            <sz val="9"/>
            <color indexed="81"/>
            <rFont val="돋움"/>
            <family val="3"/>
            <charset val="129"/>
          </rPr>
          <t>금액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</text>
    </comment>
    <comment ref="C9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(LNG)D141,E141</t>
        </r>
      </text>
    </comment>
    <comment ref="D9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 xml:space="preserve">
(1</t>
        </r>
        <r>
          <rPr>
            <b/>
            <sz val="9"/>
            <color indexed="81"/>
            <rFont val="돋움"/>
            <family val="3"/>
            <charset val="129"/>
          </rPr>
          <t>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매출액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전월재고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작성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참고사항</t>
        </r>
        <r>
          <rPr>
            <b/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Tahoma"/>
            <family val="2"/>
          </rPr>
          <t xml:space="preserve">
1. 12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분석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회계팀</t>
        </r>
        <r>
          <rPr>
            <sz val="9"/>
            <color indexed="81"/>
            <rFont val="Tahoma"/>
            <family val="2"/>
          </rPr>
          <t xml:space="preserve">) : </t>
        </r>
        <r>
          <rPr>
            <sz val="9"/>
            <color indexed="81"/>
            <rFont val="돋움"/>
            <family val="3"/>
            <charset val="129"/>
          </rPr>
          <t>장부상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</t>
        </r>
        <r>
          <rPr>
            <sz val="9"/>
            <color indexed="81"/>
            <rFont val="Tahoma"/>
            <family val="2"/>
          </rPr>
          <t xml:space="preserve"> + </t>
        </r>
        <r>
          <rPr>
            <sz val="9"/>
            <color indexed="81"/>
            <rFont val="돋움"/>
            <family val="3"/>
            <charset val="129"/>
          </rPr>
          <t>재고량차이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증감량</t>
        </r>
        <r>
          <rPr>
            <sz val="9"/>
            <color indexed="81"/>
            <rFont val="Tahoma"/>
            <family val="2"/>
          </rPr>
          <t>)  
2. 12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최종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재고값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전달받아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작성하기</t>
        </r>
      </text>
    </comment>
    <comment ref="C10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공급량일일보고서
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11" authorId="0" shapeId="0" xr:uid="{00000000-0006-0000-0100-000005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전체계</t>
        </r>
        <r>
          <rPr>
            <sz val="9"/>
            <color indexed="81"/>
            <rFont val="Tahoma"/>
            <family val="2"/>
          </rPr>
          <t xml:space="preserve"> - </t>
        </r>
        <r>
          <rPr>
            <sz val="9"/>
            <color indexed="81"/>
            <rFont val="돋움"/>
            <family val="3"/>
            <charset val="129"/>
          </rPr>
          <t xml:space="preserve">세너지
</t>
        </r>
        <r>
          <rPr>
            <sz val="9"/>
            <color indexed="81"/>
            <rFont val="Tahoma"/>
            <family val="2"/>
          </rPr>
          <t>[</t>
        </r>
        <r>
          <rPr>
            <sz val="9"/>
            <color indexed="81"/>
            <rFont val="돋움"/>
            <family val="3"/>
            <charset val="129"/>
          </rPr>
          <t>자가소모시트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참고</t>
        </r>
        <r>
          <rPr>
            <sz val="9"/>
            <color indexed="81"/>
            <rFont val="Tahoma"/>
            <family val="2"/>
          </rPr>
          <t>]</t>
        </r>
      </text>
    </comment>
    <comment ref="E11" authorId="0" shapeId="0" xr:uid="{69A6110E-B61D-453D-8417-20255521387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자동계산</t>
        </r>
      </text>
    </comment>
    <comment ref="F11" authorId="0" shapeId="0" xr:uid="{27E87F98-420D-47AB-B518-AABD1146E176}">
      <text>
        <r>
          <rPr>
            <b/>
            <sz val="9"/>
            <color indexed="81"/>
            <rFont val="돋움"/>
            <family val="3"/>
            <charset val="129"/>
          </rPr>
          <t xml:space="preserve">자동계산
</t>
        </r>
      </text>
    </comment>
    <comment ref="C12" authorId="0" shapeId="0" xr:uid="{00000000-0006-0000-0100-000006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계</t>
        </r>
      </text>
    </comment>
    <comment ref="C14" authorId="0" shapeId="0" xr:uid="{00000000-0006-0000-0100-000007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1</t>
        </r>
        <r>
          <rPr>
            <sz val="9"/>
            <color indexed="81"/>
            <rFont val="돋움"/>
            <family val="3"/>
            <charset val="129"/>
          </rPr>
          <t>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매출산정시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재고량은</t>
        </r>
        <r>
          <rPr>
            <sz val="9"/>
            <color indexed="81"/>
            <rFont val="Tahoma"/>
            <family val="2"/>
          </rPr>
          <t xml:space="preserve"> "0"</t>
        </r>
        <r>
          <rPr>
            <sz val="9"/>
            <color indexed="81"/>
            <rFont val="돋움"/>
            <family val="3"/>
            <charset val="129"/>
          </rPr>
          <t>에서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시작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전월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매출액표
당월재고</t>
        </r>
        <r>
          <rPr>
            <sz val="9"/>
            <color indexed="81"/>
            <rFont val="Tahoma"/>
            <family val="2"/>
          </rPr>
          <t>(BIO) D142,E142</t>
        </r>
      </text>
    </comment>
    <comment ref="C15" authorId="0" shapeId="0" xr:uid="{00000000-0006-0000-0100-000008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바이오공급량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일일보고서
월간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수급량</t>
        </r>
      </text>
    </comment>
    <comment ref="C20" authorId="0" shapeId="0" xr:uid="{545C4724-EE42-4E97-B356-3B3D34CF6F85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사회복지</t>
        </r>
      </text>
    </comment>
    <comment ref="C21" authorId="0" shapeId="0" xr:uid="{8D7AC391-9725-498B-AFC0-DB51132C1E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할인매출</t>
        </r>
      </text>
    </comment>
    <comment ref="G87" authorId="0" shapeId="0" xr:uid="{3354C84D-6DDF-46EF-B5ED-058B8175581E}">
      <text>
        <r>
          <rPr>
            <sz val="8"/>
            <color indexed="81"/>
            <rFont val="돋움"/>
            <family val="3"/>
            <charset val="129"/>
          </rPr>
          <t>매출구분</t>
        </r>
        <r>
          <rPr>
            <sz val="8"/>
            <color indexed="81"/>
            <rFont val="Tahoma"/>
            <family val="2"/>
          </rPr>
          <t xml:space="preserve">: </t>
        </r>
        <r>
          <rPr>
            <sz val="8"/>
            <color indexed="81"/>
            <rFont val="돋움"/>
            <family val="3"/>
            <charset val="129"/>
          </rPr>
          <t>미군정산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항목
서비스</t>
        </r>
        <r>
          <rPr>
            <sz val="8"/>
            <color indexed="81"/>
            <rFont val="Tahoma"/>
            <family val="2"/>
          </rPr>
          <t xml:space="preserve"> : </t>
        </r>
        <r>
          <rPr>
            <sz val="8"/>
            <color indexed="81"/>
            <rFont val="돋움"/>
            <family val="3"/>
            <charset val="129"/>
          </rPr>
          <t>주한미군
사용료</t>
        </r>
        <r>
          <rPr>
            <sz val="8"/>
            <color indexed="81"/>
            <rFont val="Tahoma"/>
            <family val="2"/>
          </rPr>
          <t>(</t>
        </r>
        <r>
          <rPr>
            <sz val="8"/>
            <color indexed="81"/>
            <rFont val="돋움"/>
            <family val="3"/>
            <charset val="129"/>
          </rPr>
          <t>할인전</t>
        </r>
        <r>
          <rPr>
            <sz val="8"/>
            <color indexed="81"/>
            <rFont val="Tahoma"/>
            <family val="2"/>
          </rPr>
          <t>) : +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-</t>
        </r>
        <r>
          <rPr>
            <sz val="8"/>
            <color indexed="81"/>
            <rFont val="돋움"/>
            <family val="3"/>
            <charset val="129"/>
          </rPr>
          <t>면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>그대로</t>
        </r>
        <r>
          <rPr>
            <sz val="8"/>
            <color indexed="81"/>
            <rFont val="Tahoma"/>
            <family val="2"/>
          </rPr>
          <t xml:space="preserve"> </t>
        </r>
        <r>
          <rPr>
            <sz val="8"/>
            <color indexed="81"/>
            <rFont val="돋움"/>
            <family val="3"/>
            <charset val="129"/>
          </rPr>
          <t xml:space="preserve">붙여넣기
</t>
        </r>
      </text>
    </comment>
    <comment ref="E93" authorId="0" shapeId="0" xr:uid="{00000000-0006-0000-0100-000009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사업계획서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합계</t>
        </r>
      </text>
    </comment>
    <comment ref="R94" authorId="0" shapeId="0" xr:uid="{00000000-0006-0000-0100-00000A000000}">
      <text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>/</t>
        </r>
        <r>
          <rPr>
            <sz val="9"/>
            <color indexed="81"/>
            <rFont val="돋움"/>
            <family val="3"/>
            <charset val="129"/>
          </rPr>
          <t>특소세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할인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조회
해당월</t>
        </r>
        <r>
          <rPr>
            <sz val="9"/>
            <color indexed="81"/>
            <rFont val="Tahoma"/>
            <family val="2"/>
          </rPr>
          <t xml:space="preserve">, </t>
        </r>
        <r>
          <rPr>
            <sz val="9"/>
            <color indexed="81"/>
            <rFont val="돋움"/>
            <family val="3"/>
            <charset val="129"/>
          </rPr>
          <t>영세율</t>
        </r>
      </text>
    </comment>
    <comment ref="P99" authorId="1" shapeId="0" xr:uid="{00000000-0006-0000-0100-00000B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월매출일계표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가스부가세</t>
        </r>
      </text>
    </comment>
    <comment ref="D103" authorId="0" shapeId="0" xr:uid="{00000000-0006-0000-0100-00000C000000}">
      <text>
        <r>
          <rPr>
            <b/>
            <sz val="9"/>
            <color indexed="81"/>
            <rFont val="돋움"/>
            <family val="3"/>
            <charset val="129"/>
          </rPr>
          <t>매출확정전 재고량 확인 먼저 해야됨</t>
        </r>
      </text>
    </comment>
    <comment ref="F105" authorId="2" shapeId="0" xr:uid="{00000000-0006-0000-0100-00000D000000}">
      <text>
        <r>
          <rPr>
            <sz val="9"/>
            <color indexed="81"/>
            <rFont val="돋움"/>
            <family val="3"/>
            <charset val="129"/>
          </rPr>
          <t>사업계획서상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판매량</t>
        </r>
      </text>
    </comment>
    <comment ref="P110" authorId="0" shapeId="0" xr:uid="{00000000-0006-0000-0100-00000E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특수계량기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부과현황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합계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Q12" authorId="0" shapeId="0" xr:uid="{F040ACEA-72A6-43F4-AAC6-6F14D274C3B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취사용</t>
        </r>
        <r>
          <rPr>
            <sz val="9"/>
            <color indexed="81"/>
            <rFont val="Tahoma"/>
            <family val="2"/>
          </rPr>
          <t>)</t>
        </r>
      </text>
    </comment>
    <comment ref="Q13" authorId="0" shapeId="0" xr:uid="{711ADE5F-B57B-4CDE-9331-8B8DE0B4429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본사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냉난방용</t>
        </r>
        <r>
          <rPr>
            <sz val="9"/>
            <color indexed="81"/>
            <rFont val="Tahoma"/>
            <family val="2"/>
          </rPr>
          <t>)+</t>
        </r>
        <r>
          <rPr>
            <sz val="9"/>
            <color indexed="81"/>
            <rFont val="돋움"/>
            <family val="3"/>
            <charset val="129"/>
          </rPr>
          <t>서부지사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수성안전팀</t>
        </r>
      </text>
    </comment>
    <comment ref="Q14" authorId="0" shapeId="0" xr:uid="{4371C78C-4BA1-4469-9B3C-2A3151753CF8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경산지사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퍼지량</t>
        </r>
        <r>
          <rPr>
            <sz val="9"/>
            <color indexed="81"/>
            <rFont val="Tahoma"/>
            <family val="2"/>
          </rPr>
          <t>+CNG</t>
        </r>
        <r>
          <rPr>
            <sz val="9"/>
            <color indexed="81"/>
            <rFont val="돋움"/>
            <family val="3"/>
            <charset val="129"/>
          </rPr>
          <t>충전소</t>
        </r>
      </text>
    </comment>
    <comment ref="Q16" authorId="0" shapeId="0" xr:uid="{BA944D72-276F-4B92-AD04-D12ECE9F71DB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회사차량</t>
        </r>
      </text>
    </comment>
    <comment ref="Q17" authorId="0" shapeId="0" xr:uid="{89724656-50E1-4DB7-A61D-40096A8A032D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확인대장
세너지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발전기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Q19" authorId="0" shapeId="0" xr:uid="{87E431B0-396F-4E1D-A70D-C28C7DBCB08C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자가소모량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확인대장
</t>
        </r>
        <r>
          <rPr>
            <sz val="9"/>
            <color indexed="81"/>
            <rFont val="Tahoma"/>
            <family val="2"/>
          </rPr>
          <t>1~3</t>
        </r>
        <r>
          <rPr>
            <sz val="9"/>
            <color indexed="81"/>
            <rFont val="돋움"/>
            <family val="3"/>
            <charset val="129"/>
          </rPr>
          <t>번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보일러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합</t>
        </r>
      </text>
    </comment>
    <comment ref="Z24" authorId="1" shapeId="0" xr:uid="{06E55BEE-139C-4BA4-A758-3A9F33A83E86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큐넷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공문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결재작성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크기</t>
        </r>
        <r>
          <rPr>
            <sz val="9"/>
            <color indexed="81"/>
            <rFont val="Tahoma"/>
            <family val="2"/>
          </rPr>
          <t>649*580</t>
        </r>
      </text>
    </comment>
    <comment ref="E25" authorId="0" shapeId="0" xr:uid="{6BEE3615-2C5E-46B0-B533-0ED6A27FF2E6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개별소비세</t>
        </r>
        <r>
          <rPr>
            <sz val="9"/>
            <color indexed="81"/>
            <rFont val="Tahoma"/>
            <family val="2"/>
          </rPr>
          <t>+</t>
        </r>
        <r>
          <rPr>
            <sz val="9"/>
            <color indexed="81"/>
            <rFont val="돋움"/>
            <family val="3"/>
            <charset val="129"/>
          </rPr>
          <t>사회복지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  <comment ref="L25" authorId="0" shapeId="0" xr:uid="{F457512C-9377-4F2F-BEDD-D0A229729B74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가스공사용시트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판매량계</t>
        </r>
        <r>
          <rPr>
            <sz val="9"/>
            <color indexed="81"/>
            <rFont val="Tahoma"/>
            <family val="2"/>
          </rPr>
          <t>-</t>
        </r>
        <r>
          <rPr>
            <sz val="9"/>
            <color indexed="81"/>
            <rFont val="돋움"/>
            <family val="3"/>
            <charset val="129"/>
          </rPr>
          <t>자가소모</t>
        </r>
        <r>
          <rPr>
            <sz val="9"/>
            <color indexed="81"/>
            <rFont val="Tahoma"/>
            <family val="2"/>
          </rPr>
          <t xml:space="preserve">)
=
</t>
        </r>
        <r>
          <rPr>
            <sz val="9"/>
            <color indexed="81"/>
            <rFont val="돋움"/>
            <family val="3"/>
            <charset val="129"/>
          </rPr>
          <t>매출액표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합계</t>
        </r>
        <r>
          <rPr>
            <sz val="9"/>
            <color indexed="81"/>
            <rFont val="Tahoma"/>
            <family val="2"/>
          </rPr>
          <t>-BIO)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</authors>
  <commentList>
    <comment ref="B13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원가정산상세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A2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user: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청구할인정산관리</t>
        </r>
        <r>
          <rPr>
            <sz val="9"/>
            <color indexed="81"/>
            <rFont val="Tahoma"/>
            <family val="2"/>
          </rPr>
          <t>(</t>
        </r>
        <r>
          <rPr>
            <sz val="9"/>
            <color indexed="81"/>
            <rFont val="돋움"/>
            <family val="3"/>
            <charset val="129"/>
          </rPr>
          <t>고객지원</t>
        </r>
        <r>
          <rPr>
            <sz val="9"/>
            <color indexed="81"/>
            <rFont val="Tahoma"/>
            <family val="2"/>
          </rPr>
          <t>)</t>
        </r>
        <r>
          <rPr>
            <sz val="9"/>
            <color indexed="81"/>
            <rFont val="돋움"/>
            <family val="3"/>
            <charset val="129"/>
          </rPr>
          <t>의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하단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원가정산상세
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user</author>
    <author>Windows User</author>
  </authors>
  <commentList>
    <comment ref="R5" authorId="0" shapeId="0" xr:uid="{44AE36DF-E468-4BCF-A115-9C78114D450B}">
      <text>
        <r>
          <rPr>
            <b/>
            <sz val="40"/>
            <color indexed="81"/>
            <rFont val="돋움"/>
            <family val="3"/>
            <charset val="129"/>
          </rPr>
          <t>사업계획</t>
        </r>
        <r>
          <rPr>
            <b/>
            <sz val="40"/>
            <color indexed="81"/>
            <rFont val="Tahoma"/>
            <family val="2"/>
          </rPr>
          <t xml:space="preserve"> </t>
        </r>
        <r>
          <rPr>
            <b/>
            <sz val="40"/>
            <color indexed="81"/>
            <rFont val="돋움"/>
            <family val="3"/>
            <charset val="129"/>
          </rPr>
          <t>대비</t>
        </r>
        <r>
          <rPr>
            <b/>
            <sz val="40"/>
            <color indexed="81"/>
            <rFont val="Tahoma"/>
            <family val="2"/>
          </rPr>
          <t xml:space="preserve"> </t>
        </r>
      </text>
    </comment>
    <comment ref="B6" authorId="1" shapeId="0" xr:uid="{00000000-0006-0000-0500-000001000000}">
      <text>
        <r>
          <rPr>
            <b/>
            <sz val="9"/>
            <color indexed="81"/>
            <rFont val="Tahoma"/>
            <family val="2"/>
          </rPr>
          <t>Windows User: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<sst xmlns="http://schemas.openxmlformats.org/spreadsheetml/2006/main" count="1032" uniqueCount="470">
  <si>
    <t>단가</t>
  </si>
  <si>
    <t>계</t>
  </si>
  <si>
    <t>합계</t>
  </si>
  <si>
    <t>공급가액</t>
  </si>
  <si>
    <t>도시가스</t>
  </si>
  <si>
    <t>구분</t>
  </si>
  <si>
    <t>가스부가세</t>
  </si>
  <si>
    <t>공</t>
  </si>
  <si>
    <t>급</t>
  </si>
  <si>
    <t>검</t>
  </si>
  <si>
    <t>세대수</t>
  </si>
  <si>
    <t>차액</t>
  </si>
  <si>
    <t>기본료</t>
  </si>
  <si>
    <t>구분</t>
    <phoneticPr fontId="33" type="noConversion"/>
  </si>
  <si>
    <t>금액(원)</t>
    <phoneticPr fontId="33" type="noConversion"/>
  </si>
  <si>
    <t>미적용</t>
    <phoneticPr fontId="33" type="noConversion"/>
  </si>
  <si>
    <t>적용</t>
    <phoneticPr fontId="33" type="noConversion"/>
  </si>
  <si>
    <t>소계</t>
    <phoneticPr fontId="34" type="noConversion"/>
  </si>
  <si>
    <t xml:space="preserve">취사용
</t>
    <phoneticPr fontId="33" type="noConversion"/>
  </si>
  <si>
    <t>2.판매금액(단위:백만원)</t>
    <phoneticPr fontId="34" type="noConversion"/>
  </si>
  <si>
    <t>당           월</t>
    <phoneticPr fontId="34" type="noConversion"/>
  </si>
  <si>
    <t>누           계</t>
    <phoneticPr fontId="34" type="noConversion"/>
  </si>
  <si>
    <t>계획</t>
    <phoneticPr fontId="34" type="noConversion"/>
  </si>
  <si>
    <t>실적</t>
    <phoneticPr fontId="34" type="noConversion"/>
  </si>
  <si>
    <t>전년</t>
    <phoneticPr fontId="31" type="noConversion"/>
  </si>
  <si>
    <t>가정용</t>
    <phoneticPr fontId="34" type="noConversion"/>
  </si>
  <si>
    <t>수송용(CNG)</t>
    <phoneticPr fontId="34" type="noConversion"/>
  </si>
  <si>
    <t>계</t>
    <phoneticPr fontId="34" type="noConversion"/>
  </si>
  <si>
    <t>취사용</t>
    <phoneticPr fontId="34" type="noConversion"/>
  </si>
  <si>
    <t>사회복지</t>
  </si>
  <si>
    <t>자가소모</t>
  </si>
  <si>
    <t>소계</t>
  </si>
  <si>
    <t>사회적배려 할인액</t>
    <phoneticPr fontId="34" type="noConversion"/>
  </si>
  <si>
    <t>검침착오분조정</t>
    <phoneticPr fontId="34" type="noConversion"/>
  </si>
  <si>
    <t xml:space="preserve"> </t>
    <phoneticPr fontId="33" type="noConversion"/>
  </si>
  <si>
    <t>업무난방용</t>
    <phoneticPr fontId="34" type="noConversion"/>
  </si>
  <si>
    <t>합계</t>
    <phoneticPr fontId="34" type="noConversion"/>
  </si>
  <si>
    <t>취사용</t>
  </si>
  <si>
    <t>중앙난방용</t>
  </si>
  <si>
    <t>일반용</t>
  </si>
  <si>
    <t>업무난방용</t>
  </si>
  <si>
    <t>소  계</t>
    <phoneticPr fontId="31" type="noConversion"/>
  </si>
  <si>
    <t>업무난방용</t>
    <phoneticPr fontId="31" type="noConversion"/>
  </si>
  <si>
    <t>공급량</t>
    <phoneticPr fontId="31" type="noConversion"/>
  </si>
  <si>
    <t>산 업 용</t>
    <phoneticPr fontId="34" type="noConversion"/>
  </si>
  <si>
    <t>구분</t>
    <phoneticPr fontId="31" type="noConversion"/>
  </si>
  <si>
    <t>소계</t>
    <phoneticPr fontId="31" type="noConversion"/>
  </si>
  <si>
    <t>열전용설비용</t>
  </si>
  <si>
    <t>사회적배려</t>
    <phoneticPr fontId="34" type="noConversion"/>
  </si>
  <si>
    <t>사회복지시설할인액</t>
    <phoneticPr fontId="34" type="noConversion"/>
  </si>
  <si>
    <t>침</t>
    <phoneticPr fontId="34" type="noConversion"/>
  </si>
  <si>
    <t>계획대비 :</t>
    <phoneticPr fontId="34" type="noConversion"/>
  </si>
  <si>
    <t>사회복지시설</t>
    <phoneticPr fontId="34" type="noConversion"/>
  </si>
  <si>
    <t>절사액</t>
    <phoneticPr fontId="34" type="noConversion"/>
  </si>
  <si>
    <t>조정예수금</t>
    <phoneticPr fontId="34" type="noConversion"/>
  </si>
  <si>
    <t>연체가산금</t>
    <phoneticPr fontId="34" type="noConversion"/>
  </si>
  <si>
    <t>1.판매량</t>
    <phoneticPr fontId="34" type="noConversion"/>
  </si>
  <si>
    <t>판매량(MJ)</t>
    <phoneticPr fontId="33" type="noConversion"/>
  </si>
  <si>
    <t xml:space="preserve">냉난방용
(업무)
</t>
    <phoneticPr fontId="33" type="noConversion"/>
  </si>
  <si>
    <t>주한미군</t>
    <phoneticPr fontId="31" type="noConversion"/>
  </si>
  <si>
    <t>상품</t>
    <phoneticPr fontId="34" type="noConversion"/>
  </si>
  <si>
    <t>사용량(㎥)</t>
    <phoneticPr fontId="34" type="noConversion"/>
  </si>
  <si>
    <t>사용열랑(MJ)</t>
    <phoneticPr fontId="34" type="noConversion"/>
  </si>
  <si>
    <t>1.판매량(단위:GJ)</t>
    <phoneticPr fontId="34" type="noConversion"/>
  </si>
  <si>
    <t>계획(GJ)</t>
    <phoneticPr fontId="31" type="noConversion"/>
  </si>
  <si>
    <t>실적(GJ)</t>
    <phoneticPr fontId="34" type="noConversion"/>
  </si>
  <si>
    <t>전년(GJ)</t>
    <phoneticPr fontId="34" type="noConversion"/>
  </si>
  <si>
    <t>당월생산(LNG)(+)</t>
    <phoneticPr fontId="34" type="noConversion"/>
  </si>
  <si>
    <t>당월재고(LNG)</t>
    <phoneticPr fontId="34" type="noConversion"/>
  </si>
  <si>
    <t>당월재고(BIO)</t>
    <phoneticPr fontId="34" type="noConversion"/>
  </si>
  <si>
    <t>수송용 (BIO)</t>
    <phoneticPr fontId="34" type="noConversion"/>
  </si>
  <si>
    <t>자가소모(LNG) 소계</t>
    <phoneticPr fontId="34" type="noConversion"/>
  </si>
  <si>
    <t>자가소모 합계</t>
    <phoneticPr fontId="34" type="noConversion"/>
  </si>
  <si>
    <t>수송용(BIO)</t>
    <phoneticPr fontId="34" type="noConversion"/>
  </si>
  <si>
    <t>자가소모(BIO)(-)</t>
  </si>
  <si>
    <t>당월생산(BIO)(+)</t>
  </si>
  <si>
    <t>자가소모(LNG)(-)</t>
  </si>
  <si>
    <t>타계정대체(-)</t>
  </si>
  <si>
    <t>안전관리부담금</t>
    <phoneticPr fontId="34" type="noConversion"/>
  </si>
  <si>
    <t>부가세(매출화면)</t>
    <phoneticPr fontId="34" type="noConversion"/>
  </si>
  <si>
    <t>* 사회복지할인금액 :매출내역과 청구할인 정산내역 및 상품별 청구할인정산내역 같은지 재 확인 할 것</t>
    <phoneticPr fontId="34" type="noConversion"/>
  </si>
  <si>
    <t>계량기관리비</t>
    <phoneticPr fontId="34" type="noConversion"/>
  </si>
  <si>
    <t>보정기관리비</t>
    <phoneticPr fontId="34" type="noConversion"/>
  </si>
  <si>
    <t>보정기부가세</t>
    <phoneticPr fontId="34" type="noConversion"/>
  </si>
  <si>
    <t>계량기부가세</t>
    <phoneticPr fontId="34" type="noConversion"/>
  </si>
  <si>
    <t>계기부가세/보정기부가세</t>
    <phoneticPr fontId="34" type="noConversion"/>
  </si>
  <si>
    <t>계량기/보정기관리비</t>
    <phoneticPr fontId="34" type="noConversion"/>
  </si>
  <si>
    <t>검침착오분조정</t>
  </si>
  <si>
    <t>주한미군(정산비)</t>
    <phoneticPr fontId="34" type="noConversion"/>
  </si>
  <si>
    <t>수입부과금</t>
    <phoneticPr fontId="34" type="noConversion"/>
  </si>
  <si>
    <t>수입부과금</t>
    <phoneticPr fontId="34" type="noConversion"/>
  </si>
  <si>
    <t>개별난방용 변동후</t>
    <phoneticPr fontId="34" type="noConversion"/>
  </si>
  <si>
    <t>공급가액</t>
    <phoneticPr fontId="34" type="noConversion"/>
  </si>
  <si>
    <t>부가세</t>
    <phoneticPr fontId="34" type="noConversion"/>
  </si>
  <si>
    <t>일반계량기관리비</t>
    <phoneticPr fontId="34" type="noConversion"/>
  </si>
  <si>
    <t>특수계량기관리비</t>
    <phoneticPr fontId="34" type="noConversion"/>
  </si>
  <si>
    <t>합  계</t>
    <phoneticPr fontId="34" type="noConversion"/>
  </si>
  <si>
    <t>합 계</t>
    <phoneticPr fontId="34" type="noConversion"/>
  </si>
  <si>
    <t>구  분</t>
    <phoneticPr fontId="34" type="noConversion"/>
  </si>
  <si>
    <t>※ 계량기관리비 상세내역</t>
    <phoneticPr fontId="34" type="noConversion"/>
  </si>
  <si>
    <t>실적(천N㎥)</t>
    <phoneticPr fontId="31" type="noConversion"/>
  </si>
  <si>
    <t>퍼지량(업무난방)</t>
    <phoneticPr fontId="34" type="noConversion"/>
  </si>
  <si>
    <t>전월재고</t>
  </si>
  <si>
    <t>전월재고</t>
    <phoneticPr fontId="34" type="noConversion"/>
  </si>
  <si>
    <t>가스부가세</t>
    <phoneticPr fontId="34" type="noConversion"/>
  </si>
  <si>
    <t>적             요</t>
    <phoneticPr fontId="34" type="noConversion"/>
  </si>
  <si>
    <t xml:space="preserve"> </t>
  </si>
  <si>
    <t>퍼지량(CNG)</t>
    <phoneticPr fontId="34" type="noConversion"/>
  </si>
  <si>
    <t>계획</t>
    <phoneticPr fontId="31" type="noConversion"/>
  </si>
  <si>
    <t>실적</t>
    <phoneticPr fontId="31" type="noConversion"/>
  </si>
  <si>
    <t xml:space="preserve"> </t>
    <phoneticPr fontId="31" type="noConversion"/>
  </si>
  <si>
    <t>수량(㎥)</t>
    <phoneticPr fontId="34" type="noConversion"/>
  </si>
  <si>
    <t>수량(MJ)</t>
    <phoneticPr fontId="34" type="noConversion"/>
  </si>
  <si>
    <t>.</t>
    <phoneticPr fontId="34" type="noConversion"/>
  </si>
  <si>
    <t>합  계</t>
    <phoneticPr fontId="31" type="noConversion"/>
  </si>
  <si>
    <t>산 업 용</t>
    <phoneticPr fontId="34" type="noConversion"/>
  </si>
  <si>
    <t>2.판매금액</t>
    <phoneticPr fontId="34" type="noConversion"/>
  </si>
  <si>
    <t>단위 : 백만원</t>
    <phoneticPr fontId="31" type="noConversion"/>
  </si>
  <si>
    <t>구    분</t>
    <phoneticPr fontId="34" type="noConversion"/>
  </si>
  <si>
    <t>계획</t>
    <phoneticPr fontId="34" type="noConversion"/>
  </si>
  <si>
    <t>실적</t>
    <phoneticPr fontId="34" type="noConversion"/>
  </si>
  <si>
    <t>구성비</t>
    <phoneticPr fontId="34" type="noConversion"/>
  </si>
  <si>
    <t>산 업 용</t>
    <phoneticPr fontId="34" type="noConversion"/>
  </si>
  <si>
    <t>수 송 용</t>
    <phoneticPr fontId="34" type="noConversion"/>
  </si>
  <si>
    <t>판매량</t>
    <phoneticPr fontId="34" type="noConversion"/>
  </si>
  <si>
    <t>구성비</t>
    <phoneticPr fontId="34" type="noConversion"/>
  </si>
  <si>
    <t>판매금액</t>
    <phoneticPr fontId="34" type="noConversion"/>
  </si>
  <si>
    <t>판매금액 구성비</t>
    <phoneticPr fontId="34" type="noConversion"/>
  </si>
  <si>
    <t>사용량</t>
    <phoneticPr fontId="34" type="noConversion"/>
  </si>
  <si>
    <t>누 계</t>
    <phoneticPr fontId="34" type="noConversion"/>
  </si>
  <si>
    <t>※ 구성비는 판매량 정산서 기준으로 작성되었으며 한국가스공사 정산시 수송용(BIO)은 제외되고 자가소모분이 추가 됨</t>
    <phoneticPr fontId="34" type="noConversion"/>
  </si>
  <si>
    <t>업무냉방용</t>
    <phoneticPr fontId="34" type="noConversion"/>
  </si>
  <si>
    <t>기 타</t>
    <phoneticPr fontId="34" type="noConversion"/>
  </si>
  <si>
    <t>기 타</t>
    <phoneticPr fontId="34" type="noConversion"/>
  </si>
  <si>
    <t>취사용 변동후</t>
    <phoneticPr fontId="34" type="noConversion"/>
  </si>
  <si>
    <t>※ 기타 : 열병합용, 연료전지, 열전용설비(주택용외), 주한미군</t>
    <phoneticPr fontId="34" type="noConversion"/>
  </si>
  <si>
    <t>전년동월</t>
    <phoneticPr fontId="34" type="noConversion"/>
  </si>
  <si>
    <t>차이</t>
    <phoneticPr fontId="34" type="noConversion"/>
  </si>
  <si>
    <t>총 합 계</t>
    <phoneticPr fontId="140" type="noConversion"/>
  </si>
  <si>
    <t>금 액</t>
    <phoneticPr fontId="34" type="noConversion"/>
  </si>
  <si>
    <t>연료전지</t>
  </si>
  <si>
    <t>주한미군</t>
  </si>
  <si>
    <t>수송용(CNG)</t>
  </si>
  <si>
    <t>수송용(BIO)</t>
  </si>
  <si>
    <t>용도</t>
    <phoneticPr fontId="34" type="noConversion"/>
  </si>
  <si>
    <t>검수</t>
    <phoneticPr fontId="34" type="noConversion"/>
  </si>
  <si>
    <t>합  계</t>
    <phoneticPr fontId="34" type="noConversion"/>
  </si>
  <si>
    <t>용 도
[판매전수]</t>
    <phoneticPr fontId="34" type="noConversion"/>
  </si>
  <si>
    <t>용 도</t>
    <phoneticPr fontId="34" type="noConversion"/>
  </si>
  <si>
    <t>판  매  실  적</t>
    <phoneticPr fontId="34" type="noConversion"/>
  </si>
  <si>
    <t>사업계획</t>
    <phoneticPr fontId="34" type="noConversion"/>
  </si>
  <si>
    <t>대비(%)</t>
    <phoneticPr fontId="34" type="noConversion"/>
  </si>
  <si>
    <t>차이</t>
    <phoneticPr fontId="140" type="noConversion"/>
  </si>
  <si>
    <t>판  매  금  액</t>
    <phoneticPr fontId="34" type="noConversion"/>
  </si>
  <si>
    <t>금액</t>
    <phoneticPr fontId="34" type="noConversion"/>
  </si>
  <si>
    <t>누 계</t>
    <phoneticPr fontId="34" type="noConversion"/>
  </si>
  <si>
    <t>개별난방용</t>
    <phoneticPr fontId="34" type="noConversion"/>
  </si>
  <si>
    <t>자가열전용</t>
    <phoneticPr fontId="34" type="noConversion"/>
  </si>
  <si>
    <t>열전용설비용</t>
    <phoneticPr fontId="34" type="noConversion"/>
  </si>
  <si>
    <t>개 별
난방용</t>
    <phoneticPr fontId="33" type="noConversion"/>
  </si>
  <si>
    <t>주  택  용</t>
    <phoneticPr fontId="33" type="noConversion"/>
  </si>
  <si>
    <t>업
무
용</t>
    <phoneticPr fontId="33" type="noConversion"/>
  </si>
  <si>
    <t>연료전지용</t>
    <phoneticPr fontId="33" type="noConversion"/>
  </si>
  <si>
    <t>앞으로 없음. 다 없앰. 관리비가 더 많이 들어서?</t>
    <phoneticPr fontId="34" type="noConversion"/>
  </si>
  <si>
    <t>총계와 같아야됨</t>
    <phoneticPr fontId="34" type="noConversion"/>
  </si>
  <si>
    <t>1~3번 보일러 합계</t>
    <phoneticPr fontId="34" type="noConversion"/>
  </si>
  <si>
    <t>업무난방용 변동후</t>
    <phoneticPr fontId="34" type="noConversion"/>
  </si>
  <si>
    <t>일 반 용</t>
    <phoneticPr fontId="34" type="noConversion"/>
  </si>
  <si>
    <t>열병합용</t>
  </si>
  <si>
    <t>상품</t>
    <phoneticPr fontId="140" type="noConversion"/>
  </si>
  <si>
    <t>공급전수</t>
    <phoneticPr fontId="140" type="noConversion"/>
  </si>
  <si>
    <t>취사난방용</t>
  </si>
  <si>
    <t>자가열전용</t>
  </si>
  <si>
    <t>일반용(2)</t>
  </si>
  <si>
    <t>일반용(1)</t>
  </si>
  <si>
    <t>산업용</t>
  </si>
  <si>
    <t>냉난방용(주택)</t>
  </si>
  <si>
    <t>냉난방용(업무)</t>
  </si>
  <si>
    <t>개별난방용</t>
  </si>
  <si>
    <t>합   계</t>
    <phoneticPr fontId="140" type="noConversion"/>
  </si>
  <si>
    <t>열병합용</t>
    <phoneticPr fontId="31" type="noConversion"/>
  </si>
  <si>
    <t>연료전지용</t>
    <phoneticPr fontId="31" type="noConversion"/>
  </si>
  <si>
    <t>열전용설비용</t>
    <phoneticPr fontId="31" type="noConversion"/>
  </si>
  <si>
    <t>자가소모량 확인대장</t>
    <phoneticPr fontId="34" type="noConversion"/>
  </si>
  <si>
    <t>경산지사</t>
    <phoneticPr fontId="34" type="noConversion"/>
  </si>
  <si>
    <t>본사 취사용</t>
    <phoneticPr fontId="34" type="noConversion"/>
  </si>
  <si>
    <t>퍼지량 계</t>
    <phoneticPr fontId="34" type="noConversion"/>
  </si>
  <si>
    <t>개별난방용</t>
    <phoneticPr fontId="31" type="noConversion"/>
  </si>
  <si>
    <t>중앙난방용</t>
    <phoneticPr fontId="31" type="noConversion"/>
  </si>
  <si>
    <t>자가열전용</t>
    <phoneticPr fontId="31" type="noConversion"/>
  </si>
  <si>
    <t>중앙난방용</t>
    <phoneticPr fontId="31" type="noConversion"/>
  </si>
  <si>
    <t>영세율(계량기/보정기)관리비</t>
    <phoneticPr fontId="34" type="noConversion"/>
  </si>
  <si>
    <t>전월누계(1~11월)</t>
    <phoneticPr fontId="34" type="noConversion"/>
  </si>
  <si>
    <t>업
무
용</t>
    <phoneticPr fontId="34" type="noConversion"/>
  </si>
  <si>
    <t>계획</t>
    <phoneticPr fontId="34" type="noConversion"/>
  </si>
  <si>
    <t>실적</t>
    <phoneticPr fontId="34" type="noConversion"/>
  </si>
  <si>
    <t>누계</t>
    <phoneticPr fontId="34" type="noConversion"/>
  </si>
  <si>
    <t>당월</t>
    <phoneticPr fontId="34" type="noConversion"/>
  </si>
  <si>
    <t>당월</t>
    <phoneticPr fontId="34" type="noConversion"/>
  </si>
  <si>
    <t>업무냉난방용</t>
    <phoneticPr fontId="34" type="noConversion"/>
  </si>
  <si>
    <t>구 분</t>
  </si>
  <si>
    <t>계획</t>
  </si>
  <si>
    <t>실적</t>
  </si>
  <si>
    <t>실적대비</t>
    <phoneticPr fontId="140" type="noConversion"/>
  </si>
  <si>
    <t>전년동월</t>
  </si>
  <si>
    <t>전월</t>
  </si>
  <si>
    <t>판매량</t>
  </si>
  <si>
    <t>[천MJ]</t>
  </si>
  <si>
    <t>누계</t>
  </si>
  <si>
    <t>금 액</t>
  </si>
  <si>
    <t>[백만원]</t>
  </si>
  <si>
    <t>품의서내용</t>
    <phoneticPr fontId="34" type="noConversion"/>
  </si>
  <si>
    <t>정산관리=&gt;청구할인정산관리=&gt;정산년월:마감월, 원가정산항목:사회적복지할인</t>
    <phoneticPr fontId="34" type="noConversion"/>
  </si>
  <si>
    <t>개별난방용 변동전</t>
    <phoneticPr fontId="34" type="noConversion"/>
  </si>
  <si>
    <t>수송용(CNG)</t>
    <phoneticPr fontId="34" type="noConversion"/>
  </si>
  <si>
    <t>수
송
용</t>
    <phoneticPr fontId="34" type="noConversion"/>
  </si>
  <si>
    <t>미
군</t>
    <phoneticPr fontId="34" type="noConversion"/>
  </si>
  <si>
    <t>주한미군</t>
    <phoneticPr fontId="34" type="noConversion"/>
  </si>
  <si>
    <t>상품별 건수 (전산요청, 파일입력 후 =&gt; 판매량월별추이 상품별 전수 입력할 것)</t>
    <phoneticPr fontId="34" type="noConversion"/>
  </si>
  <si>
    <t>[계획대비]</t>
    <phoneticPr fontId="34" type="noConversion"/>
  </si>
  <si>
    <t>[입력할것]</t>
    <phoneticPr fontId="34" type="noConversion"/>
  </si>
  <si>
    <t>냉난방용+서부지사+수성안전팀</t>
    <phoneticPr fontId="34" type="noConversion"/>
  </si>
  <si>
    <t>사회적배려 할인액</t>
    <phoneticPr fontId="34" type="noConversion"/>
  </si>
  <si>
    <t>취사용 변동전</t>
    <phoneticPr fontId="34" type="noConversion"/>
  </si>
  <si>
    <t>기    타</t>
    <phoneticPr fontId="34" type="noConversion"/>
  </si>
  <si>
    <t>공급가액</t>
    <phoneticPr fontId="34" type="noConversion"/>
  </si>
  <si>
    <t>부가세</t>
    <phoneticPr fontId="34" type="noConversion"/>
  </si>
  <si>
    <t>합계</t>
    <phoneticPr fontId="34" type="noConversion"/>
  </si>
  <si>
    <t>매출액표 소계의 합</t>
    <phoneticPr fontId="34" type="noConversion"/>
  </si>
  <si>
    <t>합계검증</t>
    <phoneticPr fontId="34" type="noConversion"/>
  </si>
  <si>
    <t>합계(매출액,절사액제외)</t>
    <phoneticPr fontId="34" type="noConversion"/>
  </si>
  <si>
    <t>수송용(BIO)</t>
    <phoneticPr fontId="34" type="noConversion"/>
  </si>
  <si>
    <t>구분</t>
    <phoneticPr fontId="34" type="noConversion"/>
  </si>
  <si>
    <t>열병합용 변동후</t>
    <phoneticPr fontId="34" type="noConversion"/>
  </si>
  <si>
    <t>연료전지 변동후</t>
    <phoneticPr fontId="34" type="noConversion"/>
  </si>
  <si>
    <t>연료전지 변동전</t>
    <phoneticPr fontId="34" type="noConversion"/>
  </si>
  <si>
    <t>열병합용 변동전</t>
    <phoneticPr fontId="34" type="noConversion"/>
  </si>
  <si>
    <t>업무난방용 변동전</t>
    <phoneticPr fontId="34" type="noConversion"/>
  </si>
  <si>
    <t>냉방용</t>
    <phoneticPr fontId="31" type="noConversion"/>
  </si>
  <si>
    <t>일반용</t>
    <phoneticPr fontId="31" type="noConversion"/>
  </si>
  <si>
    <t>냉방용</t>
  </si>
  <si>
    <t>소계</t>
    <phoneticPr fontId="34" type="noConversion"/>
  </si>
  <si>
    <t xml:space="preserve">          </t>
    <phoneticPr fontId="34" type="noConversion"/>
  </si>
  <si>
    <t>산업용</t>
    <phoneticPr fontId="31" type="noConversion"/>
  </si>
  <si>
    <t>수송용(CNG)</t>
    <phoneticPr fontId="31" type="noConversion"/>
  </si>
  <si>
    <t>수송용(BIO)</t>
    <phoneticPr fontId="31" type="noConversion"/>
  </si>
  <si>
    <t>누           계</t>
  </si>
  <si>
    <t>합계</t>
    <phoneticPr fontId="31" type="noConversion"/>
  </si>
  <si>
    <t>구분</t>
    <phoneticPr fontId="34" type="noConversion"/>
  </si>
  <si>
    <t>구성비</t>
    <phoneticPr fontId="34" type="noConversion"/>
  </si>
  <si>
    <t>당월</t>
    <phoneticPr fontId="34" type="noConversion"/>
  </si>
  <si>
    <t>누계</t>
    <phoneticPr fontId="34" type="noConversion"/>
  </si>
  <si>
    <t>당월</t>
    <phoneticPr fontId="31" type="noConversion"/>
  </si>
  <si>
    <t>누계</t>
    <phoneticPr fontId="31" type="noConversion"/>
  </si>
  <si>
    <t>판매금액(누계)</t>
    <phoneticPr fontId="34" type="noConversion"/>
  </si>
  <si>
    <t>판매량(누계)</t>
    <phoneticPr fontId="34" type="noConversion"/>
  </si>
  <si>
    <t>(누계-집계용도)</t>
    <phoneticPr fontId="31" type="noConversion"/>
  </si>
  <si>
    <r>
      <t xml:space="preserve">계획
</t>
    </r>
    <r>
      <rPr>
        <b/>
        <sz val="10"/>
        <color indexed="8"/>
        <rFont val="굴림체"/>
        <family val="3"/>
        <charset val="129"/>
      </rPr>
      <t>(천MJ)</t>
    </r>
    <phoneticPr fontId="34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</si>
  <si>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(천N㎥)</t>
    </r>
    <phoneticPr fontId="34" type="noConversion"/>
  </si>
  <si>
    <r>
      <t xml:space="preserve">실적
</t>
    </r>
    <r>
      <rPr>
        <b/>
        <sz val="10"/>
        <color indexed="8"/>
        <rFont val="굴림체"/>
        <family val="3"/>
        <charset val="129"/>
      </rPr>
      <t>(천MJ)</t>
    </r>
    <phoneticPr fontId="31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</si>
  <si>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4" type="noConversion"/>
  </si>
  <si>
    <r>
      <t xml:space="preserve">전년
</t>
    </r>
    <r>
      <rPr>
        <b/>
        <sz val="10"/>
        <rFont val="굴림체"/>
        <family val="3"/>
        <charset val="129"/>
      </rPr>
      <t>(천MJ)</t>
    </r>
    <phoneticPr fontId="31" type="noConversion"/>
  </si>
  <si>
    <r>
      <t xml:space="preserve">구성비
</t>
    </r>
    <r>
      <rPr>
        <b/>
        <sz val="10"/>
        <color indexed="8"/>
        <rFont val="굴림체"/>
        <family val="3"/>
        <charset val="129"/>
      </rPr>
      <t>(%)</t>
    </r>
    <phoneticPr fontId="31" type="noConversion"/>
  </si>
  <si>
    <r>
      <t xml:space="preserve">대비
</t>
    </r>
    <r>
      <rPr>
        <b/>
        <sz val="10"/>
        <color indexed="8"/>
        <rFont val="굴림체"/>
        <family val="3"/>
        <charset val="129"/>
      </rPr>
      <t>(%)</t>
    </r>
    <phoneticPr fontId="31" type="noConversion"/>
  </si>
  <si>
    <t>업  무
난방용</t>
    <phoneticPr fontId="33" type="noConversion"/>
  </si>
  <si>
    <t>소  계</t>
    <phoneticPr fontId="33" type="noConversion"/>
  </si>
  <si>
    <t>합  계</t>
    <phoneticPr fontId="33" type="noConversion"/>
  </si>
  <si>
    <t>전년누계</t>
    <phoneticPr fontId="31" type="noConversion"/>
  </si>
  <si>
    <t>전월기준 누계값으로 작성</t>
    <phoneticPr fontId="34" type="noConversion"/>
  </si>
  <si>
    <t>매 출 내 역</t>
  </si>
  <si>
    <t>매출년월 :</t>
  </si>
  <si>
    <t>적용일</t>
  </si>
  <si>
    <t>매출구분</t>
  </si>
  <si>
    <t>상품</t>
  </si>
  <si>
    <t>서비스</t>
  </si>
  <si>
    <t>사용량</t>
  </si>
  <si>
    <t>사용열량</t>
  </si>
  <si>
    <t>사용료</t>
  </si>
  <si>
    <t>관리비(계)</t>
  </si>
  <si>
    <t>관리비(보)</t>
  </si>
  <si>
    <t>사용료(할인전)</t>
  </si>
  <si>
    <t>배려할인</t>
  </si>
  <si>
    <t>차상위</t>
  </si>
  <si>
    <t>다자녀</t>
  </si>
  <si>
    <t>안전관리비</t>
  </si>
  <si>
    <t>수입부과금</t>
  </si>
  <si>
    <t>특소세</t>
  </si>
  <si>
    <t>정상매출</t>
  </si>
  <si>
    <t>개별난방</t>
  </si>
  <si>
    <t>개별난방(취사)</t>
  </si>
  <si>
    <t>일반용(1)(동절기)</t>
  </si>
  <si>
    <t>일반용(1)(기타)</t>
  </si>
  <si>
    <t>업무난방</t>
  </si>
  <si>
    <t>중앙난방</t>
  </si>
  <si>
    <t>일반용(1)(하절기)</t>
  </si>
  <si>
    <t>일반용(2)(기타)</t>
  </si>
  <si>
    <t>XXXX-XX-XX</t>
  </si>
  <si>
    <t>XXXXXX</t>
  </si>
  <si>
    <t>정상매출 소 계</t>
  </si>
  <si>
    <t>할인매출</t>
  </si>
  <si>
    <t>기초(생계/의료)</t>
  </si>
  <si>
    <t>장애인,유공자</t>
  </si>
  <si>
    <t>기초(주거)</t>
  </si>
  <si>
    <t>기초(교육)</t>
  </si>
  <si>
    <t>다자녀,차상위확인대상</t>
  </si>
  <si>
    <t>할인매출 소 계</t>
  </si>
  <si>
    <t xml:space="preserve">    -  -  </t>
  </si>
  <si>
    <t>정산매출</t>
  </si>
  <si>
    <t>정산매출 소 계</t>
  </si>
  <si>
    <t>미군정산</t>
  </si>
  <si>
    <t>미군정산 소 계</t>
  </si>
  <si>
    <t>취소매출</t>
  </si>
  <si>
    <t>취소매출 소 계</t>
  </si>
  <si>
    <t>천연가스 매출분 소계</t>
  </si>
  <si>
    <t>BIO매출</t>
  </si>
  <si>
    <t>BIO매출 소 계</t>
  </si>
  <si>
    <t>바이오 매출분 소계</t>
  </si>
  <si>
    <t>매 출 분    합  계</t>
  </si>
  <si>
    <t>자가(천연)</t>
  </si>
  <si>
    <t>XXXXX</t>
  </si>
  <si>
    <t>퍼지량</t>
  </si>
  <si>
    <t>자가(천연) 소 계</t>
  </si>
  <si>
    <t>천연가스 자가소모분 소계</t>
  </si>
  <si>
    <t>자가소모분  합  계</t>
  </si>
  <si>
    <t>총      계</t>
  </si>
  <si>
    <t>Page 1 / 1</t>
  </si>
  <si>
    <t>개별난방</t>
    <phoneticPr fontId="34" type="noConversion"/>
  </si>
  <si>
    <t>서비스</t>
    <phoneticPr fontId="34" type="noConversion"/>
  </si>
  <si>
    <t>정상매출</t>
    <phoneticPr fontId="34" type="noConversion"/>
  </si>
  <si>
    <t>변동 후 단가</t>
    <phoneticPr fontId="34" type="noConversion"/>
  </si>
  <si>
    <t>청구년월</t>
  </si>
  <si>
    <t>정상청구액</t>
  </si>
  <si>
    <t>할인액</t>
  </si>
  <si>
    <t>감면청구액</t>
  </si>
  <si>
    <t>열
병
합
용</t>
    <phoneticPr fontId="34" type="noConversion"/>
  </si>
  <si>
    <t>연
료
전
지</t>
    <phoneticPr fontId="34" type="noConversion"/>
  </si>
  <si>
    <t>일반용(2)(하절기)</t>
    <phoneticPr fontId="34" type="noConversion"/>
  </si>
  <si>
    <t xml:space="preserve">합계 </t>
  </si>
  <si>
    <t>냉난방(기타)</t>
    <phoneticPr fontId="34" type="noConversion"/>
  </si>
  <si>
    <t>산업용(기타)</t>
    <phoneticPr fontId="34" type="noConversion"/>
  </si>
  <si>
    <t>냉난방(기타)</t>
    <phoneticPr fontId="34" type="noConversion"/>
  </si>
  <si>
    <t>냉난방(하절기)</t>
    <phoneticPr fontId="34" type="noConversion"/>
  </si>
  <si>
    <t>단가변동갯수</t>
    <phoneticPr fontId="34" type="noConversion"/>
  </si>
  <si>
    <t>일반용(2)(동절기)</t>
    <phoneticPr fontId="34" type="noConversion"/>
  </si>
  <si>
    <t>산업용(동절기)</t>
    <phoneticPr fontId="34" type="noConversion"/>
  </si>
  <si>
    <t>열병합용(동절기)</t>
    <phoneticPr fontId="34" type="noConversion"/>
  </si>
  <si>
    <t>연료전지(동절기)</t>
    <phoneticPr fontId="34" type="noConversion"/>
  </si>
  <si>
    <t>일 반 용</t>
    <phoneticPr fontId="33" type="noConversion"/>
  </si>
  <si>
    <t>냉난방(동절기)</t>
    <phoneticPr fontId="34" type="noConversion"/>
  </si>
  <si>
    <t>2. 2024년 판매금액 현황</t>
    <phoneticPr fontId="31" type="noConversion"/>
  </si>
  <si>
    <t>- 다   음 -</t>
    <phoneticPr fontId="34" type="noConversion"/>
  </si>
  <si>
    <t>2. 매출현황</t>
    <phoneticPr fontId="34" type="noConversion"/>
  </si>
  <si>
    <t>계획대비</t>
    <phoneticPr fontId="140" type="noConversion"/>
  </si>
  <si>
    <t>전년대비</t>
    <phoneticPr fontId="34" type="noConversion"/>
  </si>
  <si>
    <t>전월대비</t>
    <phoneticPr fontId="34" type="noConversion"/>
  </si>
  <si>
    <t>[GJ]</t>
    <phoneticPr fontId="34" type="noConversion"/>
  </si>
  <si>
    <t xml:space="preserve">별    첨 :  1. 매출현황 </t>
    <phoneticPr fontId="34" type="noConversion"/>
  </si>
  <si>
    <t xml:space="preserve">             2. 매출액 집계표</t>
    <phoneticPr fontId="34" type="noConversion"/>
  </si>
  <si>
    <t xml:space="preserve">             3. 매출 증빙자료 각 1부.  끝.</t>
    <phoneticPr fontId="34" type="noConversion"/>
  </si>
  <si>
    <t>3. 상세현황: 별첨 참조</t>
    <phoneticPr fontId="34" type="noConversion"/>
  </si>
  <si>
    <t>바이오가스</t>
  </si>
  <si>
    <t>천연가스</t>
    <phoneticPr fontId="34" type="noConversion"/>
  </si>
  <si>
    <t>매출관리(월)'!$A:$A,VLOOKUP("일반용(1)(하절기)",변동후단가표,3,FALSE))+SUMIFS('매출관리(월)'!$F:$F,'매출관리(월)'!$B:$B,"정상매출",'매출관리(월)'!$C:$C,LEFT($C53,6),'매출관리(월)'!$D:$D,"XXXXXX")</t>
    <phoneticPr fontId="34" type="noConversion"/>
  </si>
  <si>
    <t>[이미지 830*523]</t>
    <phoneticPr fontId="34" type="noConversion"/>
  </si>
  <si>
    <t xml:space="preserve"> </t>
    <phoneticPr fontId="34" type="noConversion"/>
  </si>
  <si>
    <t>산업용(기타)</t>
  </si>
  <si>
    <t>열병합용(기타)</t>
  </si>
  <si>
    <t>연료전지(기타)</t>
  </si>
  <si>
    <t>(단위:천MJ)</t>
    <phoneticPr fontId="34" type="noConversion"/>
  </si>
  <si>
    <t>(단위:백만원)</t>
    <phoneticPr fontId="34" type="noConversion"/>
  </si>
  <si>
    <t>주 택 용</t>
    <phoneticPr fontId="34" type="noConversion"/>
  </si>
  <si>
    <t>주
택
용</t>
    <phoneticPr fontId="34" type="noConversion"/>
  </si>
  <si>
    <t>냉난방(하절기)</t>
  </si>
  <si>
    <t>일반용(2)(하절기)</t>
  </si>
  <si>
    <t>산업용(하절기)</t>
  </si>
  <si>
    <t>열병합용(하절기)</t>
  </si>
  <si>
    <t>연료전지(하절기)</t>
  </si>
  <si>
    <t>산업용(하절기)</t>
    <phoneticPr fontId="34" type="noConversion"/>
  </si>
  <si>
    <t>열병합용(기타)</t>
    <phoneticPr fontId="34" type="noConversion"/>
  </si>
  <si>
    <t>열병합용(하절기)</t>
    <phoneticPr fontId="34" type="noConversion"/>
  </si>
  <si>
    <t>연료전지(하절기)</t>
    <phoneticPr fontId="34" type="noConversion"/>
  </si>
  <si>
    <t>연료전지(기타)</t>
    <phoneticPr fontId="34" type="noConversion"/>
  </si>
  <si>
    <t>계</t>
    <phoneticPr fontId="34" type="noConversion"/>
  </si>
  <si>
    <t>열병합용1</t>
    <phoneticPr fontId="34" type="noConversion"/>
  </si>
  <si>
    <t>냉난방용</t>
    <phoneticPr fontId="34" type="noConversion"/>
  </si>
  <si>
    <t>일반용</t>
    <phoneticPr fontId="34" type="noConversion"/>
  </si>
  <si>
    <t>총무결재본</t>
    <phoneticPr fontId="34" type="noConversion"/>
  </si>
  <si>
    <t>취사난방용(취사)변동전</t>
    <phoneticPr fontId="34" type="noConversion"/>
  </si>
  <si>
    <t>취사난방용(취사)변동후</t>
    <phoneticPr fontId="34" type="noConversion"/>
  </si>
  <si>
    <t>취사난방용(난방)변동전</t>
    <phoneticPr fontId="34" type="noConversion"/>
  </si>
  <si>
    <t>취사난방용(난방)변동후</t>
    <phoneticPr fontId="34" type="noConversion"/>
  </si>
  <si>
    <t>주 택 용</t>
  </si>
  <si>
    <t>산업용</t>
    <phoneticPr fontId="34" type="noConversion"/>
  </si>
  <si>
    <t>열전</t>
    <phoneticPr fontId="34" type="noConversion"/>
  </si>
  <si>
    <t>`</t>
    <phoneticPr fontId="34" type="noConversion"/>
  </si>
  <si>
    <t>중앙난방용(중앙난방)</t>
    <phoneticPr fontId="34" type="noConversion"/>
  </si>
  <si>
    <t>냉난방용(주택)(중앙난방)</t>
    <phoneticPr fontId="34" type="noConversion"/>
  </si>
  <si>
    <t>산업용 변동전</t>
    <phoneticPr fontId="34" type="noConversion"/>
  </si>
  <si>
    <t>산업용 변동후</t>
    <phoneticPr fontId="34" type="noConversion"/>
  </si>
  <si>
    <t>일반용(1) 변동전</t>
    <phoneticPr fontId="34" type="noConversion"/>
  </si>
  <si>
    <t>일반용(2)</t>
    <phoneticPr fontId="34" type="noConversion"/>
  </si>
  <si>
    <t>일 반용</t>
    <phoneticPr fontId="34" type="noConversion"/>
  </si>
  <si>
    <t>1. 2025년 판매량 현황</t>
    <phoneticPr fontId="31" type="noConversion"/>
  </si>
  <si>
    <t>산  업  용</t>
    <phoneticPr fontId="34" type="noConversion"/>
  </si>
  <si>
    <t xml:space="preserve">※ 사회복지시설 정산('23.04.) 물량에서 3월 실사용분 제외 ※
1. 복지시설에 대한 소급 정산(일반용 단가 적용) 소급 정산: '23.02. 완료
2. 소급대상청구년월: '22.12. ~ '23.01.
- 참고사항: 청구월 기준 12월 물량 소급정산하는 대신 3월분 제외하기로 함 
           (4월 매출에 포함된 물량 일부 제외) 
  ==&gt; 신재홍 차장 (가스공사 전 담당자)와 사회복지시설 한시적할인 정산은 3월까지 하기로 함 
  ==&gt; 김광연 주임 (가스공사 현 담당자)과도 해당 내용 확인 완료됨 </t>
    <phoneticPr fontId="34" type="noConversion"/>
  </si>
  <si>
    <t>구     분</t>
  </si>
  <si>
    <t>판 매 량</t>
  </si>
  <si>
    <t>개별소비세</t>
  </si>
  <si>
    <t>차상위할인</t>
    <phoneticPr fontId="34" type="noConversion"/>
  </si>
  <si>
    <t>다자녀할인</t>
    <phoneticPr fontId="34" type="noConversion"/>
  </si>
  <si>
    <t>판 매 량 계</t>
  </si>
  <si>
    <t>구성비</t>
  </si>
  <si>
    <t>(MJ)</t>
    <phoneticPr fontId="34" type="noConversion"/>
  </si>
  <si>
    <t>(%)</t>
  </si>
  <si>
    <t>주택용</t>
    <phoneticPr fontId="34" type="noConversion"/>
  </si>
  <si>
    <t>※ 판매량+(개별소비세+사회복지+사회적배려+차상위할인)=매출액표 수량합계(자가소모포함되어있으므로 제외됨)</t>
    <phoneticPr fontId="34" type="noConversion"/>
  </si>
  <si>
    <t>중앙난방용</t>
    <phoneticPr fontId="34" type="noConversion"/>
  </si>
  <si>
    <t>※ 업무난방과 냉방용은 구별요(5월~9월 냉방용적용)</t>
    <phoneticPr fontId="34" type="noConversion"/>
  </si>
  <si>
    <t>※ 매출내역서의 자가소모를 확인한다</t>
    <phoneticPr fontId="34" type="noConversion"/>
  </si>
  <si>
    <t>소  계</t>
  </si>
  <si>
    <t>※ 개별소비세=특소세할인, 2022년 5월부터 판매량(MJ)에 포함 (가스공사 신재홍차장 확인 시, 구성비 공문으로 개소세 관련내용 확인사항 없음)</t>
    <phoneticPr fontId="34" type="noConversion"/>
  </si>
  <si>
    <t xml:space="preserve"> 일반용1</t>
    <phoneticPr fontId="34" type="noConversion"/>
  </si>
  <si>
    <t>일반용2</t>
    <phoneticPr fontId="34" type="noConversion"/>
  </si>
  <si>
    <t>냉난방공조용</t>
    <phoneticPr fontId="34" type="noConversion"/>
  </si>
  <si>
    <t>수  송  용</t>
    <phoneticPr fontId="34" type="noConversion"/>
  </si>
  <si>
    <t>열 병 합 용</t>
    <phoneticPr fontId="34" type="noConversion"/>
  </si>
  <si>
    <t>연료전지용</t>
    <phoneticPr fontId="34" type="noConversion"/>
  </si>
  <si>
    <t>합      계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</si>
  <si>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  <phoneticPr fontId="34" type="noConversion"/>
  </si>
  <si>
    <t>판매열량(MJ)</t>
    <phoneticPr fontId="34" type="noConversion"/>
  </si>
  <si>
    <t>냉방물량(9월)</t>
    <phoneticPr fontId="34" type="noConversion"/>
  </si>
  <si>
    <t>※ 관리납기와 일반납기의판매량전산실의뢰 (일반납기 청구작업이후)</t>
    <phoneticPr fontId="34" type="noConversion"/>
  </si>
  <si>
    <t>(월초)</t>
    <phoneticPr fontId="34" type="noConversion"/>
  </si>
  <si>
    <t>관리납기(변동)</t>
    <phoneticPr fontId="34" type="noConversion"/>
  </si>
  <si>
    <t xml:space="preserve">   - 9월판매실적 작성을 위한 냉방용 상품에대한 변동검침사용량 자료 요청</t>
    <phoneticPr fontId="34" type="noConversion"/>
  </si>
  <si>
    <t>(청구일)</t>
    <phoneticPr fontId="34" type="noConversion"/>
  </si>
  <si>
    <t>일반납기(일수)</t>
    <phoneticPr fontId="34" type="noConversion"/>
  </si>
  <si>
    <t>※ 계절이 바뀌는 4월(기타)↔5월(하절기) 냉방집계 조정</t>
    <phoneticPr fontId="34" type="noConversion"/>
  </si>
  <si>
    <t>- 시기: 2022년 4월 매출분부터</t>
    <phoneticPr fontId="34" type="noConversion"/>
  </si>
  <si>
    <t>- 사유: 기존 9월, 10월만 물량조정했으나 가스공사 이의제기로 4월, 5월도 시행하게 됨</t>
    <phoneticPr fontId="34" type="noConversion"/>
  </si>
  <si>
    <t>- 방법: 5월 일반납기 청구작업 후 냉난방물량(업무, 주택) 일반납기(4/30까지 일할계산), 관리납기(변동검침 4/30까지) ==&gt; 냉난방공조용에 4월 기타월 사용분 추가(+) , 5월 차감 (-)</t>
    <phoneticPr fontId="34" type="noConversion"/>
  </si>
  <si>
    <t>※ 9월 판매량에 냉방용을 추가청구하여  10월 판매량에서 차감함</t>
    <phoneticPr fontId="34" type="noConversion"/>
  </si>
  <si>
    <t>※ 매출건</t>
    <phoneticPr fontId="34" type="noConversion"/>
  </si>
  <si>
    <t xml:space="preserve">   - 9월매출은일반납기의 경우 (8/1~8 부터9/1~8사용량)이므로 9월사용분(10월 청구분) 포함</t>
    <phoneticPr fontId="34" type="noConversion"/>
  </si>
  <si>
    <t xml:space="preserve">   - 관리납기는 (8/16~9/16)까지이나 관리납기는 10월에 변동검침을 했으므로, 9/16~10초까지 변동검침 물량 포함</t>
    <phoneticPr fontId="34" type="noConversion"/>
  </si>
  <si>
    <t>※ 사 유 : 냉난방의 경우 10월 하절기ㅡ&gt; 기타 단가로 변동됨에 따라 도매요금인상이 많이 이루어지므로 보전차원에서 9월 정산</t>
    <phoneticPr fontId="31" type="noConversion"/>
  </si>
  <si>
    <t xml:space="preserve">           [5월의 경우 (기타 ㅡ&gt; 하절기 단가 변동)는 회사 손해가 없으므로 물량정산 안함.]</t>
    <phoneticPr fontId="34" type="noConversion"/>
  </si>
  <si>
    <t>※ 9월 냉방용집계확인 할 것</t>
    <phoneticPr fontId="31" type="noConversion"/>
  </si>
  <si>
    <t xml:space="preserve">   - 냉방용 (+), 10월매출(-) 변동검침확인할 것</t>
    <phoneticPr fontId="31" type="noConversion"/>
  </si>
  <si>
    <t xml:space="preserve">   - 10/14청구작업후 자료요청할것</t>
    <phoneticPr fontId="31" type="noConversion"/>
  </si>
  <si>
    <t>작업순서</t>
    <phoneticPr fontId="34" type="noConversion"/>
  </si>
  <si>
    <t>1. 월매출 작업 기존대로 작성하여 메일 전송</t>
    <phoneticPr fontId="34" type="noConversion"/>
  </si>
  <si>
    <t>2. 10월 청구작업 후 전산에 자료 요청하여 가스공사용 시트에 입력</t>
    <phoneticPr fontId="34" type="noConversion"/>
  </si>
  <si>
    <t>3. 가스공사 공문 발송 및 재무팀 자료 재전달</t>
    <phoneticPr fontId="34" type="noConversion"/>
  </si>
  <si>
    <t xml:space="preserve"> 판매량 </t>
  </si>
  <si>
    <t xml:space="preserve"> 판매열량 </t>
  </si>
  <si>
    <t>세너지 (1번 ~ 3번발전기) 계-보일러합계</t>
    <phoneticPr fontId="34" type="noConversion"/>
  </si>
  <si>
    <t>왼쪽 자동 계산 됨</t>
    <phoneticPr fontId="34" type="noConversion"/>
  </si>
  <si>
    <t xml:space="preserve">빌링관리-청구관리-청구작업관리-청구작업지원-청구서 출력현황(배송방법별)=&gt;합계(우편+등기) </t>
    <phoneticPr fontId="34" type="noConversion"/>
  </si>
  <si>
    <t>1번 )전월기준 누계값으로 작성</t>
    <phoneticPr fontId="34" type="noConversion"/>
  </si>
  <si>
    <t xml:space="preserve"> (사회복지 할인만 조회)</t>
    <phoneticPr fontId="34" type="noConversion"/>
  </si>
  <si>
    <t>일반용(1)</t>
    <phoneticPr fontId="34" type="noConversion"/>
  </si>
  <si>
    <t>냉난방용(업무)(동절기)</t>
    <phoneticPr fontId="34" type="noConversion"/>
  </si>
  <si>
    <t>냉난방용(업무)(기타)</t>
    <phoneticPr fontId="34" type="noConversion"/>
  </si>
  <si>
    <t>2025년 5월 매출현황</t>
    <phoneticPr fontId="31" type="noConversion"/>
  </si>
  <si>
    <t>5월</t>
    <phoneticPr fontId="34" type="noConversion"/>
  </si>
  <si>
    <t>(샘플참고)</t>
    <phoneticPr fontId="34" type="noConversion"/>
  </si>
  <si>
    <t>냉난방용(업무)(하절기)</t>
    <phoneticPr fontId="34" type="noConversion"/>
  </si>
  <si>
    <t>냉난방용(주택)(하절기)</t>
    <phoneticPr fontId="34" type="noConversion"/>
  </si>
  <si>
    <t xml:space="preserve">25년 5월 </t>
    <phoneticPr fontId="3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</si>
</sst>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0">
    <numFmt numFmtId="41" formatCode="_-* #,##0_-;\-* #,##0_-;_-* &quot;-&quot;_-;_-@_-"/>
    <numFmt numFmtId="43" formatCode="_-* #,##0.00_-;\-* #,##0.00_-;_-* &quot;-&quot;??_-;_-@_-"/>
    <numFmt numFmtId="176" formatCode="#,##0_ "/>
    <numFmt numFmtId="177" formatCode="#,##0.00_ "/>
    <numFmt numFmtId="178" formatCode="_ * #,##0_ ;_ * \-#,##0_ ;_ * &quot;-&quot;_ ;_ @_ "/>
    <numFmt numFmtId="179" formatCode="_ * #,##0.00_ ;_ * \-#,##0.00_ ;_ * &quot;-&quot;??_ ;_ @_ "/>
    <numFmt numFmtId="180" formatCode="_(&quot;$&quot;* #,##0_);_(&quot;$&quot;* \(#,##0\);_(&quot;$&quot;* &quot;-&quot;_);_(@_)"/>
    <numFmt numFmtId="181" formatCode="_(&quot;$&quot;* #,##0.00_);_(&quot;$&quot;* \(#,##0.00\);_(&quot;$&quot;* &quot;-&quot;??_);_(@_)"/>
    <numFmt numFmtId="182" formatCode="#,##0_);[Red]\(#,##0\)"/>
    <numFmt numFmtId="183" formatCode="#,##0.00_);[Red]\(#,##0.00\)"/>
    <numFmt numFmtId="184" formatCode="#,##0.000_);[Red]\(#,##0.000\)"/>
    <numFmt numFmtId="185" formatCode="#,##0.000_ "/>
    <numFmt numFmtId="186" formatCode="#,##0_ ;[Red]\-#,##0\ "/>
    <numFmt numFmtId="187" formatCode="#,##0.0_);[Red]\(#,##0.0\)"/>
    <numFmt numFmtId="188" formatCode="#,##0.0_ "/>
    <numFmt numFmtId="189" formatCode="#,##0.0000_ "/>
    <numFmt numFmtId="190" formatCode="0.0%"/>
    <numFmt numFmtId="191" formatCode="#,##0_);\(#,##0\)"/>
    <numFmt numFmtId="192" formatCode="#,##0.0"/>
    <numFmt numFmtId="193" formatCode="#,##0.0000_);[Red]\(#,##0.0000\)"/>
    <numFmt numFmtId="194" formatCode="#,##0&quot; MJ&quot;"/>
    <numFmt numFmtId="195" formatCode="_-* #,##0.0000_-;\-* #,##0.0000_-;_-* &quot;-&quot;_-;_-@_-"/>
    <numFmt numFmtId="196" formatCode="_-* #,##0.0_-;\-* #,##0.0_-;_-* &quot;-&quot;_-;_-@_-"/>
    <numFmt numFmtId="197" formatCode="_-* #,##0_-;\-* #,##0_-;_-* &quot;-&quot;??_-;_-@_-"/>
    <numFmt numFmtId="198" formatCode="#,##0.0&quot; %&quot;"/>
    <numFmt numFmtId="199" formatCode="#,##0.0000"/>
    <numFmt numFmtId="200" formatCode="#,##0.000000000_ "/>
    <numFmt numFmtId="201" formatCode="#,##0.00000000_ "/>
    <numFmt numFmtId="202" formatCode="[Black]##.0%;[Red]\-##.0%"/>
    <numFmt numFmtId="203" formatCode="&quot;[&quot;##,##0&quot;]&quot;"/>
    <numFmt numFmtId="204" formatCode="#,##0.0&quot;%&quot;"/>
    <numFmt numFmtId="205" formatCode="#,##0,\ "/>
    <numFmt numFmtId="206" formatCode="#,###,\ "/>
    <numFmt numFmtId="207" formatCode="#,###,###\ "/>
    <numFmt numFmtId="208" formatCode="#,###\ "/>
    <numFmt numFmtId="209" formatCode="#,###,_ ;[Red]\-#,###,\ "/>
    <numFmt numFmtId="210" formatCode="##,###,\ "/>
    <numFmt numFmtId="211" formatCode="_-* #,##0.0000000_-;\-* #,##0.0000000_-;_-* &quot;-&quot;_-;_-@_-"/>
    <numFmt numFmtId="212" formatCode="General\ "/>
    <numFmt numFmtId="213" formatCode="#,###,_ "/>
    <numFmt numFmtId="214" formatCode="#,###_-\ "/>
    <numFmt numFmtId="215" formatCode="#,###,"/>
    <numFmt numFmtId="216" formatCode="#,###"/>
    <numFmt numFmtId="217" formatCode="0.0%\ "/>
    <numFmt numFmtId="218" formatCode="0_);[Red]\(0\)"/>
    <numFmt numFmtId="219" formatCode="0.00%\ "/>
    <numFmt numFmtId="220" formatCode="0.0000_);[Red]\(0.0000\)"/>
    <numFmt numFmtId="221" formatCode="0.0000_ "/>
    <numFmt numFmtId="222" formatCode="_(* #,##0_);_(* \(#,##0\);_(* &quot;-&quot;??_);_(@_)"/>
    <numFmt numFmtId="223" formatCode="0.000000000_);[Red]\(0.000000000\)"/>
  </numFmts>
  <fonts count="235">
    <font>
      <sz val="11"/>
      <name val="돋움"/>
      <family val="3"/>
      <charset val="129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20"/>
      <name val="돋움"/>
      <family val="3"/>
      <charset val="129"/>
    </font>
    <font>
      <sz val="10"/>
      <name val="Arial"/>
      <family val="2"/>
    </font>
    <font>
      <sz val="10"/>
      <name val="돋움"/>
      <family val="3"/>
      <charset val="129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10"/>
      <name val="굴림체"/>
      <family val="3"/>
      <charset val="129"/>
    </font>
    <font>
      <b/>
      <sz val="10"/>
      <name val="굴림체"/>
      <family val="3"/>
      <charset val="129"/>
    </font>
    <font>
      <sz val="11"/>
      <name val="굴림체"/>
      <family val="3"/>
      <charset val="129"/>
    </font>
    <font>
      <b/>
      <sz val="20"/>
      <name val="굴림체"/>
      <family val="3"/>
      <charset val="129"/>
    </font>
    <font>
      <sz val="9"/>
      <name val="굴림체"/>
      <family val="3"/>
      <charset val="129"/>
    </font>
    <font>
      <b/>
      <sz val="18"/>
      <name val="굴림체"/>
      <family val="3"/>
      <charset val="129"/>
    </font>
    <font>
      <b/>
      <sz val="22"/>
      <name val="굴림체"/>
      <family val="3"/>
      <charset val="129"/>
    </font>
    <font>
      <sz val="9"/>
      <color indexed="8"/>
      <name val="굴림체"/>
      <family val="3"/>
      <charset val="129"/>
    </font>
    <font>
      <sz val="8"/>
      <name val="굴림체"/>
      <family val="3"/>
      <charset val="129"/>
    </font>
    <font>
      <sz val="9"/>
      <color indexed="12"/>
      <name val="굴림체"/>
      <family val="3"/>
      <charset val="129"/>
    </font>
    <font>
      <sz val="11"/>
      <color indexed="12"/>
      <name val="굴림체"/>
      <family val="3"/>
      <charset val="129"/>
    </font>
    <font>
      <b/>
      <sz val="11"/>
      <color indexed="10"/>
      <name val="굴림체"/>
      <family val="3"/>
      <charset val="129"/>
    </font>
    <font>
      <b/>
      <sz val="9"/>
      <color indexed="12"/>
      <name val="돋움"/>
      <family val="3"/>
      <charset val="129"/>
    </font>
    <font>
      <sz val="9"/>
      <name val="돋움"/>
      <family val="3"/>
      <charset val="129"/>
    </font>
    <font>
      <sz val="9"/>
      <color indexed="10"/>
      <name val="굴림체"/>
      <family val="3"/>
      <charset val="129"/>
    </font>
    <font>
      <b/>
      <sz val="16"/>
      <name val="굴림체"/>
      <family val="3"/>
      <charset val="129"/>
    </font>
    <font>
      <sz val="10"/>
      <name val="굴림"/>
      <family val="3"/>
      <charset val="129"/>
    </font>
    <font>
      <sz val="11"/>
      <color indexed="8"/>
      <name val="맑은 고딕"/>
      <family val="3"/>
      <charset val="129"/>
    </font>
    <font>
      <sz val="9"/>
      <color indexed="30"/>
      <name val="굴림체"/>
      <family val="3"/>
      <charset val="129"/>
    </font>
    <font>
      <sz val="10"/>
      <color indexed="8"/>
      <name val="굴림체"/>
      <family val="3"/>
      <charset val="129"/>
    </font>
    <font>
      <b/>
      <sz val="10"/>
      <color indexed="8"/>
      <name val="굴림체"/>
      <family val="3"/>
      <charset val="129"/>
    </font>
    <font>
      <b/>
      <sz val="10"/>
      <color indexed="10"/>
      <name val="굴림체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indexed="8"/>
      <name val="맑은 고딕"/>
      <family val="3"/>
      <charset val="129"/>
    </font>
    <font>
      <sz val="11"/>
      <color indexed="10"/>
      <name val="맑은 고딕"/>
      <family val="3"/>
      <charset val="129"/>
    </font>
    <font>
      <b/>
      <sz val="15"/>
      <color indexed="62"/>
      <name val="맑은 고딕"/>
      <family val="3"/>
      <charset val="129"/>
    </font>
    <font>
      <b/>
      <sz val="13"/>
      <color indexed="62"/>
      <name val="맑은 고딕"/>
      <family val="3"/>
      <charset val="129"/>
    </font>
    <font>
      <b/>
      <sz val="11"/>
      <color indexed="62"/>
      <name val="맑은 고딕"/>
      <family val="3"/>
      <charset val="129"/>
    </font>
    <font>
      <b/>
      <sz val="18"/>
      <color indexed="62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0"/>
      <name val="맑은 고딕"/>
      <family val="3"/>
      <charset val="129"/>
      <scheme val="minor"/>
    </font>
    <font>
      <sz val="11"/>
      <color rgb="FFFF0000"/>
      <name val="맑은 고딕"/>
      <family val="3"/>
      <charset val="129"/>
      <scheme val="minor"/>
    </font>
    <font>
      <b/>
      <sz val="11"/>
      <color indexed="10"/>
      <name val="맑은 고딕"/>
      <family val="3"/>
      <charset val="129"/>
      <scheme val="minor"/>
    </font>
    <font>
      <sz val="11"/>
      <color rgb="FF9C0006"/>
      <name val="맑은 고딕"/>
      <family val="3"/>
      <charset val="129"/>
      <scheme val="minor"/>
    </font>
    <font>
      <sz val="11"/>
      <color indexed="19"/>
      <name val="맑은 고딕"/>
      <family val="3"/>
      <charset val="129"/>
      <scheme val="minor"/>
    </font>
    <font>
      <i/>
      <sz val="11"/>
      <color rgb="FF7F7F7F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1"/>
      <color rgb="FF3F3F76"/>
      <name val="맑은 고딕"/>
      <family val="3"/>
      <charset val="129"/>
      <scheme val="minor"/>
    </font>
    <font>
      <sz val="11"/>
      <color rgb="FF006100"/>
      <name val="맑은 고딕"/>
      <family val="3"/>
      <charset val="129"/>
      <scheme val="minor"/>
    </font>
    <font>
      <b/>
      <sz val="11"/>
      <color rgb="FF3F3F3F"/>
      <name val="맑은 고딕"/>
      <family val="3"/>
      <charset val="129"/>
      <scheme val="minor"/>
    </font>
    <font>
      <sz val="9"/>
      <color rgb="FFFF0000"/>
      <name val="굴림체"/>
      <family val="3"/>
      <charset val="129"/>
    </font>
    <font>
      <sz val="9"/>
      <color theme="1"/>
      <name val="굴림체"/>
      <family val="3"/>
      <charset val="129"/>
    </font>
    <font>
      <sz val="11"/>
      <color rgb="FFFF0000"/>
      <name val="굴림체"/>
      <family val="3"/>
      <charset val="129"/>
    </font>
    <font>
      <b/>
      <sz val="11"/>
      <color rgb="FF0000CC"/>
      <name val="굴림체"/>
      <family val="3"/>
      <charset val="129"/>
    </font>
    <font>
      <sz val="10"/>
      <color theme="1"/>
      <name val="굴림체"/>
      <family val="3"/>
      <charset val="129"/>
    </font>
    <font>
      <sz val="9"/>
      <color rgb="FF0000CC"/>
      <name val="굴림체"/>
      <family val="3"/>
      <charset val="129"/>
    </font>
    <font>
      <b/>
      <sz val="10"/>
      <color rgb="FF0000CC"/>
      <name val="굴림체"/>
      <family val="3"/>
      <charset val="129"/>
    </font>
    <font>
      <b/>
      <sz val="11"/>
      <name val="굴림체"/>
      <family val="3"/>
      <charset val="129"/>
    </font>
    <font>
      <b/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65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0"/>
      <color rgb="FFFF0000"/>
      <name val="굴림체"/>
      <family val="3"/>
      <charset val="129"/>
    </font>
    <font>
      <b/>
      <sz val="15"/>
      <name val="굴림체"/>
      <family val="3"/>
      <charset val="129"/>
    </font>
    <font>
      <sz val="11"/>
      <name val="Arial"/>
      <family val="2"/>
    </font>
    <font>
      <b/>
      <sz val="11"/>
      <name val="Arial"/>
      <family val="2"/>
    </font>
    <font>
      <sz val="8"/>
      <name val="맑은 고딕"/>
      <family val="2"/>
      <charset val="129"/>
      <scheme val="minor"/>
    </font>
    <font>
      <b/>
      <sz val="11"/>
      <name val="Arial Black"/>
      <family val="2"/>
    </font>
    <font>
      <b/>
      <sz val="10"/>
      <name val="굴림"/>
      <family val="3"/>
      <charset val="129"/>
    </font>
    <font>
      <sz val="10"/>
      <color rgb="FF0000CC"/>
      <name val="굴림체"/>
      <family val="3"/>
      <charset val="129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9"/>
      <color indexed="81"/>
      <name val="돋움"/>
      <family val="3"/>
      <charset val="129"/>
    </font>
    <font>
      <b/>
      <sz val="11"/>
      <color rgb="FF000000"/>
      <name val="굴림체"/>
      <family val="3"/>
      <charset val="129"/>
    </font>
    <font>
      <sz val="11"/>
      <color rgb="FF000000"/>
      <name val="굴림체"/>
      <family val="3"/>
      <charset val="129"/>
    </font>
    <font>
      <b/>
      <sz val="11"/>
      <color rgb="FF000000"/>
      <name val="맑은 고딕"/>
      <family val="3"/>
      <charset val="129"/>
      <scheme val="minor"/>
    </font>
    <font>
      <b/>
      <sz val="10"/>
      <color rgb="FF000000"/>
      <name val="굴림체"/>
      <family val="3"/>
      <charset val="129"/>
    </font>
    <font>
      <sz val="12"/>
      <color rgb="FFFF0000"/>
      <name val="맑은 고딕"/>
      <family val="3"/>
      <charset val="129"/>
      <scheme val="minor"/>
    </font>
    <font>
      <sz val="11"/>
      <color theme="1"/>
      <name val="굴림체"/>
      <family val="3"/>
      <charset val="129"/>
    </font>
    <font>
      <sz val="11"/>
      <name val="굴림"/>
      <family val="3"/>
      <charset val="129"/>
    </font>
    <font>
      <sz val="18"/>
      <color theme="3"/>
      <name val="맑은 고딕"/>
      <family val="2"/>
      <charset val="129"/>
      <scheme val="major"/>
    </font>
    <font>
      <sz val="9"/>
      <color rgb="FF0000FF"/>
      <name val="굴림체"/>
      <family val="3"/>
      <charset val="129"/>
    </font>
    <font>
      <sz val="10"/>
      <color rgb="FFC00000"/>
      <name val="굴림체"/>
      <family val="3"/>
      <charset val="129"/>
    </font>
    <font>
      <b/>
      <sz val="10"/>
      <color theme="1"/>
      <name val="굴림체"/>
      <family val="3"/>
      <charset val="129"/>
    </font>
    <font>
      <sz val="10"/>
      <color theme="0"/>
      <name val="굴림체"/>
      <family val="3"/>
      <charset val="129"/>
    </font>
    <font>
      <b/>
      <sz val="12"/>
      <color indexed="8"/>
      <name val="굴림체"/>
      <family val="3"/>
      <charset val="129"/>
    </font>
    <font>
      <b/>
      <sz val="12"/>
      <name val="굴림체"/>
      <family val="3"/>
      <charset val="129"/>
    </font>
    <font>
      <sz val="12"/>
      <color indexed="8"/>
      <name val="굴림체"/>
      <family val="3"/>
      <charset val="129"/>
    </font>
    <font>
      <i/>
      <sz val="12"/>
      <color indexed="8"/>
      <name val="굴림체"/>
      <family val="3"/>
      <charset val="129"/>
    </font>
    <font>
      <sz val="12"/>
      <name val="굴림체"/>
      <family val="3"/>
      <charset val="129"/>
    </font>
    <font>
      <b/>
      <i/>
      <sz val="12"/>
      <color indexed="8"/>
      <name val="굴림체"/>
      <family val="3"/>
      <charset val="129"/>
    </font>
    <font>
      <sz val="12"/>
      <color theme="1"/>
      <name val="굴림체"/>
      <family val="3"/>
      <charset val="129"/>
    </font>
    <font>
      <sz val="12"/>
      <color rgb="FFFF0000"/>
      <name val="굴림체"/>
      <family val="3"/>
      <charset val="129"/>
    </font>
    <font>
      <sz val="12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2"/>
      <color rgb="FF000000"/>
      <name val="맑은 고딕"/>
      <family val="3"/>
      <charset val="129"/>
      <scheme val="minor"/>
    </font>
    <font>
      <sz val="12"/>
      <color rgb="FF000000"/>
      <name val="맑은 고딕"/>
      <family val="3"/>
      <charset val="129"/>
      <scheme val="minor"/>
    </font>
    <font>
      <b/>
      <sz val="12"/>
      <name val="맑은 고딕"/>
      <family val="3"/>
      <charset val="129"/>
      <scheme val="minor"/>
    </font>
    <font>
      <sz val="11"/>
      <color rgb="FF9C5700"/>
      <name val="맑은 고딕"/>
      <family val="2"/>
      <charset val="129"/>
      <scheme val="minor"/>
    </font>
    <font>
      <b/>
      <sz val="40"/>
      <name val="맑은 고딕"/>
      <family val="3"/>
      <charset val="129"/>
    </font>
    <font>
      <sz val="24"/>
      <name val="맑은 고딕"/>
      <family val="3"/>
      <charset val="129"/>
    </font>
    <font>
      <sz val="11"/>
      <name val="맑은 고딕"/>
      <family val="3"/>
      <charset val="129"/>
    </font>
    <font>
      <b/>
      <sz val="16"/>
      <name val="맑은 고딕"/>
      <family val="3"/>
      <charset val="129"/>
    </font>
    <font>
      <b/>
      <sz val="20"/>
      <name val="맑은 고딕"/>
      <family val="3"/>
      <charset val="129"/>
    </font>
    <font>
      <b/>
      <sz val="15"/>
      <name val="맑은 고딕"/>
      <family val="3"/>
      <charset val="129"/>
    </font>
    <font>
      <b/>
      <sz val="24"/>
      <name val="맑은 고딕"/>
      <family val="3"/>
      <charset val="129"/>
    </font>
    <font>
      <b/>
      <sz val="11"/>
      <name val="맑은 고딕"/>
      <family val="3"/>
      <charset val="129"/>
    </font>
    <font>
      <b/>
      <sz val="28"/>
      <name val="맑은 고딕"/>
      <family val="3"/>
      <charset val="129"/>
    </font>
    <font>
      <b/>
      <sz val="22"/>
      <color indexed="81"/>
      <name val="Tahoma"/>
      <family val="2"/>
    </font>
    <font>
      <sz val="22"/>
      <color indexed="81"/>
      <name val="Tahoma"/>
      <family val="2"/>
    </font>
    <font>
      <sz val="22"/>
      <color indexed="81"/>
      <name val="돋움"/>
      <family val="3"/>
      <charset val="129"/>
    </font>
    <font>
      <b/>
      <sz val="26"/>
      <color indexed="81"/>
      <name val="Tahoma"/>
      <family val="2"/>
    </font>
    <font>
      <sz val="26"/>
      <color indexed="81"/>
      <name val="Tahoma"/>
      <family val="2"/>
    </font>
    <font>
      <sz val="26"/>
      <color indexed="81"/>
      <name val="돋움"/>
      <family val="3"/>
      <charset val="129"/>
    </font>
    <font>
      <b/>
      <sz val="16"/>
      <color indexed="81"/>
      <name val="Tahoma"/>
      <family val="2"/>
    </font>
    <font>
      <sz val="16"/>
      <color indexed="81"/>
      <name val="Tahoma"/>
      <family val="2"/>
    </font>
    <font>
      <sz val="16"/>
      <color indexed="81"/>
      <name val="돋움"/>
      <family val="3"/>
      <charset val="129"/>
    </font>
    <font>
      <b/>
      <sz val="28"/>
      <color rgb="FF0000CC"/>
      <name val="맑은 고딕"/>
      <family val="3"/>
      <charset val="129"/>
    </font>
    <font>
      <sz val="8"/>
      <color indexed="81"/>
      <name val="돋움"/>
      <family val="3"/>
      <charset val="129"/>
    </font>
    <font>
      <sz val="8"/>
      <color indexed="81"/>
      <name val="Tahoma"/>
      <family val="2"/>
    </font>
    <font>
      <sz val="20"/>
      <name val="굴림체"/>
      <family val="3"/>
      <charset val="129"/>
    </font>
    <font>
      <sz val="8"/>
      <color theme="0" tint="-0.34998626667073579"/>
      <name val="굴림체"/>
      <family val="3"/>
      <charset val="129"/>
    </font>
    <font>
      <sz val="9"/>
      <color rgb="FF0000CC"/>
      <name val="돋움"/>
      <family val="3"/>
      <charset val="129"/>
    </font>
    <font>
      <b/>
      <sz val="20"/>
      <color indexed="81"/>
      <name val="Tahoma"/>
      <family val="2"/>
    </font>
    <font>
      <sz val="20"/>
      <color indexed="81"/>
      <name val="Tahoma"/>
      <family val="2"/>
    </font>
    <font>
      <sz val="20"/>
      <color indexed="81"/>
      <name val="돋움"/>
      <family val="3"/>
      <charset val="129"/>
    </font>
    <font>
      <sz val="28"/>
      <name val="돋움"/>
      <family val="3"/>
      <charset val="129"/>
    </font>
    <font>
      <b/>
      <sz val="26"/>
      <color rgb="FF008000"/>
      <name val="돋움"/>
      <family val="3"/>
      <charset val="129"/>
    </font>
    <font>
      <b/>
      <sz val="26"/>
      <color rgb="FF0000CC"/>
      <name val="돋움"/>
      <family val="3"/>
      <charset val="129"/>
    </font>
    <font>
      <sz val="13"/>
      <name val="굴림체"/>
      <family val="3"/>
      <charset val="129"/>
    </font>
    <font>
      <b/>
      <sz val="12"/>
      <name val="굴림"/>
      <family val="3"/>
      <charset val="129"/>
    </font>
    <font>
      <sz val="12"/>
      <name val="굴림"/>
      <family val="3"/>
      <charset val="129"/>
    </font>
    <font>
      <sz val="7"/>
      <name val="굴림체"/>
      <family val="3"/>
      <charset val="129"/>
    </font>
    <font>
      <sz val="8"/>
      <color rgb="FF0000CC"/>
      <name val="굴림체"/>
      <family val="3"/>
      <charset val="129"/>
    </font>
    <font>
      <sz val="11"/>
      <color rgb="FF0000CC"/>
      <name val="굴림체"/>
      <family val="3"/>
      <charset val="129"/>
    </font>
    <font>
      <sz val="10"/>
      <color indexed="10"/>
      <name val="굴림체"/>
      <family val="3"/>
      <charset val="129"/>
    </font>
    <font>
      <b/>
      <sz val="11"/>
      <color rgb="FFFF0000"/>
      <name val="돋움"/>
      <family val="3"/>
      <charset val="129"/>
    </font>
    <font>
      <sz val="10"/>
      <color rgb="FF0000FF"/>
      <name val="굴림체"/>
      <family val="3"/>
      <charset val="129"/>
    </font>
    <font>
      <sz val="12"/>
      <color rgb="FF0000FF"/>
      <name val="굴림체"/>
      <family val="3"/>
      <charset val="129"/>
    </font>
    <font>
      <sz val="14"/>
      <color rgb="FF0000FF"/>
      <name val="굴림체"/>
      <family val="3"/>
      <charset val="129"/>
    </font>
    <font>
      <b/>
      <u val="singleAccounting"/>
      <sz val="11"/>
      <color rgb="FF0000FF"/>
      <name val="맑은 고딕"/>
      <family val="3"/>
      <charset val="129"/>
      <scheme val="minor"/>
    </font>
    <font>
      <sz val="9"/>
      <color rgb="FF0000FF"/>
      <name val="돋움"/>
      <family val="3"/>
      <charset val="129"/>
    </font>
    <font>
      <sz val="11"/>
      <color rgb="FF0000FF"/>
      <name val="돋움"/>
      <family val="3"/>
      <charset val="129"/>
    </font>
    <font>
      <b/>
      <sz val="11"/>
      <color rgb="FF0000FF"/>
      <name val="돋움"/>
      <family val="3"/>
      <charset val="129"/>
    </font>
    <font>
      <u/>
      <sz val="9"/>
      <color rgb="FFFF0000"/>
      <name val="굴림체"/>
      <family val="3"/>
      <charset val="129"/>
    </font>
    <font>
      <b/>
      <sz val="12"/>
      <color rgb="FF0000FF"/>
      <name val="맑은 고딕"/>
      <family val="3"/>
      <charset val="129"/>
      <scheme val="minor"/>
    </font>
    <font>
      <b/>
      <sz val="40"/>
      <color indexed="81"/>
      <name val="돋움"/>
      <family val="3"/>
      <charset val="129"/>
    </font>
    <font>
      <b/>
      <sz val="40"/>
      <color indexed="81"/>
      <name val="Tahoma"/>
      <family val="2"/>
    </font>
    <font>
      <sz val="12"/>
      <color rgb="FF0000FF"/>
      <name val="맑은 고딕"/>
      <family val="3"/>
      <charset val="129"/>
      <scheme val="minor"/>
    </font>
    <font>
      <sz val="15"/>
      <color indexed="81"/>
      <name val="Tahoma"/>
      <family val="2"/>
    </font>
    <font>
      <sz val="15"/>
      <color indexed="81"/>
      <name val="돋움"/>
      <family val="3"/>
      <charset val="129"/>
    </font>
    <font>
      <u/>
      <sz val="9"/>
      <color rgb="FF0000CC"/>
      <name val="굴림체"/>
      <family val="3"/>
      <charset val="129"/>
    </font>
    <font>
      <b/>
      <sz val="25"/>
      <name val="굴림체"/>
      <family val="3"/>
      <charset val="129"/>
    </font>
    <font>
      <b/>
      <sz val="22"/>
      <color rgb="FFC00000"/>
      <name val="굴림체"/>
      <family val="3"/>
      <charset val="129"/>
    </font>
    <font>
      <sz val="9"/>
      <color rgb="FFC00000"/>
      <name val="굴림체"/>
      <family val="3"/>
      <charset val="129"/>
    </font>
    <font>
      <u/>
      <sz val="9"/>
      <color rgb="FF0000FF"/>
      <name val="굴림체"/>
      <family val="3"/>
      <charset val="129"/>
    </font>
    <font>
      <b/>
      <sz val="9"/>
      <color rgb="FF0000FF"/>
      <name val="굴림체"/>
      <family val="3"/>
      <charset val="129"/>
    </font>
    <font>
      <b/>
      <sz val="10"/>
      <color rgb="FF0000FF"/>
      <name val="굴림체"/>
      <family val="3"/>
      <charset val="129"/>
    </font>
  </fonts>
  <fills count="63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26"/>
      </patternFill>
    </fill>
    <fill>
      <patternFill patternType="solid">
        <fgColor indexed="47"/>
      </patternFill>
    </fill>
    <fill>
      <patternFill patternType="solid">
        <fgColor indexed="27"/>
      </patternFill>
    </fill>
    <fill>
      <patternFill patternType="solid">
        <fgColor indexed="43"/>
      </patternFill>
    </fill>
    <fill>
      <patternFill patternType="solid">
        <fgColor indexed="45"/>
      </patternFill>
    </fill>
    <fill>
      <patternFill patternType="solid">
        <fgColor indexed="53"/>
      </patternFill>
    </fill>
    <fill>
      <patternFill patternType="solid">
        <fgColor indexed="51"/>
      </patternFill>
    </fill>
    <fill>
      <patternFill patternType="solid">
        <fgColor indexed="56"/>
      </patternFill>
    </fill>
    <fill>
      <patternFill patternType="solid">
        <fgColor indexed="54"/>
      </patternFill>
    </fill>
    <fill>
      <patternFill patternType="solid">
        <fgColor indexed="10"/>
      </patternFill>
    </fill>
    <fill>
      <patternFill patternType="solid">
        <fgColor indexed="9"/>
      </patternFill>
    </fill>
    <fill>
      <patternFill patternType="solid">
        <fgColor indexed="46"/>
      </patternFill>
    </fill>
    <fill>
      <patternFill patternType="solid">
        <fgColor indexed="13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8"/>
      </patternFill>
    </fill>
    <fill>
      <patternFill patternType="solid">
        <fgColor rgb="FFFFFFCC"/>
      </patternFill>
    </fill>
    <fill>
      <patternFill patternType="solid">
        <fgColor rgb="FFFFEB9C"/>
      </patternFill>
    </fill>
    <fill>
      <patternFill patternType="solid">
        <fgColor rgb="FFA5A5A5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F3F3F3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indexed="43"/>
        <bgColor indexed="64"/>
      </patternFill>
    </fill>
  </fills>
  <borders count="253">
    <border>
      <left/>
      <right/>
      <top/>
      <bottom/>
      <diagonal/>
    </border>
    <border>
      <left/>
      <right/>
      <top/>
      <bottom style="double">
        <color indexed="10"/>
      </bottom>
      <diagonal/>
    </border>
    <border>
      <left/>
      <right/>
      <top style="thin">
        <color indexed="56"/>
      </top>
      <bottom style="double">
        <color indexed="56"/>
      </bottom>
      <diagonal/>
    </border>
    <border>
      <left/>
      <right/>
      <top/>
      <bottom style="thick">
        <color indexed="56"/>
      </bottom>
      <diagonal/>
    </border>
    <border>
      <left/>
      <right/>
      <top/>
      <bottom style="thick">
        <color indexed="27"/>
      </bottom>
      <diagonal/>
    </border>
    <border>
      <left/>
      <right/>
      <top/>
      <bottom style="medium">
        <color indexed="2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/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thin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medium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 style="double">
        <color indexed="64"/>
      </top>
      <bottom style="double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 style="medium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thin">
        <color indexed="64"/>
      </bottom>
      <diagonal/>
    </border>
    <border>
      <left style="medium">
        <color indexed="64"/>
      </left>
      <right style="hair">
        <color indexed="64"/>
      </right>
      <top/>
      <bottom/>
      <diagonal/>
    </border>
    <border>
      <left style="medium">
        <color indexed="64"/>
      </left>
      <right style="hair">
        <color indexed="64"/>
      </right>
      <top style="thin">
        <color indexed="64"/>
      </top>
      <bottom/>
      <diagonal/>
    </border>
    <border>
      <left style="medium">
        <color indexed="64"/>
      </left>
      <right style="hair">
        <color indexed="64"/>
      </right>
      <top/>
      <bottom style="medium">
        <color indexed="64"/>
      </bottom>
      <diagonal/>
    </border>
    <border>
      <left style="double">
        <color indexed="64"/>
      </left>
      <right style="hair">
        <color indexed="64"/>
      </right>
      <top style="medium">
        <color indexed="64"/>
      </top>
      <bottom/>
      <diagonal/>
    </border>
    <border>
      <left style="double">
        <color indexed="64"/>
      </left>
      <right style="hair">
        <color indexed="64"/>
      </right>
      <top/>
      <bottom/>
      <diagonal/>
    </border>
    <border>
      <left style="double">
        <color indexed="64"/>
      </left>
      <right style="hair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hair">
        <color indexed="64"/>
      </right>
      <top/>
      <bottom style="thin">
        <color indexed="64"/>
      </bottom>
      <diagonal/>
    </border>
    <border>
      <left style="double">
        <color indexed="64"/>
      </left>
      <right style="hair">
        <color indexed="64"/>
      </right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double">
        <color indexed="64"/>
      </bottom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 style="medium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medium">
        <color indexed="64"/>
      </bottom>
      <diagonal/>
    </border>
    <border>
      <left style="thin">
        <color indexed="64"/>
      </left>
      <right style="hair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/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/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double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rgb="FF0000CC"/>
      </left>
      <right/>
      <top style="medium">
        <color rgb="FF0000CC"/>
      </top>
      <bottom style="thin">
        <color indexed="64"/>
      </bottom>
      <diagonal/>
    </border>
    <border>
      <left/>
      <right/>
      <top style="medium">
        <color rgb="FF0000CC"/>
      </top>
      <bottom style="thin">
        <color indexed="64"/>
      </bottom>
      <diagonal/>
    </border>
    <border>
      <left/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medium">
        <color rgb="FF0000CC"/>
      </right>
      <top style="thin">
        <color indexed="64"/>
      </top>
      <bottom style="double">
        <color indexed="64"/>
      </bottom>
      <diagonal/>
    </border>
    <border>
      <left style="medium">
        <color rgb="FF0000CC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rgb="FF0000CC"/>
      </right>
      <top/>
      <bottom style="thin">
        <color indexed="64"/>
      </bottom>
      <diagonal/>
    </border>
    <border>
      <left style="medium">
        <color rgb="FF0000CC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0000CC"/>
      </top>
      <bottom style="thin">
        <color indexed="64"/>
      </bottom>
      <diagonal/>
    </border>
    <border>
      <left style="thin">
        <color indexed="64"/>
      </left>
      <right style="medium">
        <color rgb="FF0000CC"/>
      </right>
      <top style="medium">
        <color rgb="FF0000CC"/>
      </top>
      <bottom style="thin">
        <color indexed="64"/>
      </bottom>
      <diagonal/>
    </border>
    <border>
      <left style="medium">
        <color rgb="FF0000CC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thin">
        <color indexed="64"/>
      </right>
      <top/>
      <bottom style="medium">
        <color rgb="FF0000CC"/>
      </bottom>
      <diagonal/>
    </border>
    <border>
      <left style="thin">
        <color indexed="64"/>
      </left>
      <right style="medium">
        <color rgb="FF0000CC"/>
      </right>
      <top/>
      <bottom style="medium">
        <color rgb="FF0000CC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 style="hair">
        <color auto="1"/>
      </left>
      <right style="medium">
        <color indexed="64"/>
      </right>
      <top/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/>
      <right style="hair">
        <color auto="1"/>
      </right>
      <top/>
      <bottom style="thin">
        <color auto="1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hair">
        <color auto="1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hair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hair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 style="double">
        <color rgb="FF000000"/>
      </top>
      <bottom style="hair">
        <color indexed="64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 style="thin">
        <color indexed="64"/>
      </right>
      <top style="double">
        <color rgb="FF000000"/>
      </top>
      <bottom style="hair">
        <color indexed="64"/>
      </bottom>
      <diagonal/>
    </border>
    <border>
      <left style="thin">
        <color rgb="FF000000"/>
      </left>
      <right style="thin">
        <color indexed="64"/>
      </right>
      <top/>
      <bottom style="double">
        <color rgb="FF000000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hair">
        <color rgb="FF000000"/>
      </top>
      <bottom style="double">
        <color rgb="FF000000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3701">
    <xf numFmtId="0" fontId="0" fillId="0" borderId="0"/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2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3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5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19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20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7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8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6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0" fillId="4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8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6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0" fontId="101" fillId="3" borderId="0" applyNumberFormat="0" applyBorder="0" applyAlignment="0" applyProtection="0">
      <alignment vertical="center"/>
    </xf>
    <xf numFmtId="178" fontId="32" fillId="0" borderId="0" applyFont="0" applyFill="0" applyBorder="0" applyAlignment="0" applyProtection="0"/>
    <xf numFmtId="179" fontId="32" fillId="0" borderId="0" applyFont="0" applyFill="0" applyBorder="0" applyAlignment="0" applyProtection="0"/>
    <xf numFmtId="180" fontId="32" fillId="0" borderId="0" applyFont="0" applyFill="0" applyBorder="0" applyAlignment="0" applyProtection="0"/>
    <xf numFmtId="181" fontId="32" fillId="0" borderId="0" applyFont="0" applyFill="0" applyBorder="0" applyAlignment="0" applyProtection="0"/>
    <xf numFmtId="0" fontId="32" fillId="0" borderId="0"/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11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9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0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12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21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1" fillId="13" borderId="0" applyNumberFormat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2" fillId="0" borderId="0" applyNumberFormat="0" applyFill="0" applyBorder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3" fillId="14" borderId="88" applyNumberFormat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104" fillId="15" borderId="0" applyNumberFormat="0" applyBorder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8" fillId="22" borderId="89" applyNumberFormat="0" applyFont="0" applyAlignment="0" applyProtection="0">
      <alignment vertical="center"/>
    </xf>
    <xf numFmtId="0" fontId="64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70" fillId="22" borderId="89" applyNumberFormat="0" applyFont="0" applyAlignment="0" applyProtection="0">
      <alignment vertical="center"/>
    </xf>
    <xf numFmtId="0" fontId="76" fillId="22" borderId="89" applyNumberFormat="0" applyFont="0" applyAlignment="0" applyProtection="0">
      <alignment vertical="center"/>
    </xf>
    <xf numFmtId="0" fontId="82" fillId="22" borderId="89" applyNumberFormat="0" applyFont="0" applyAlignment="0" applyProtection="0">
      <alignment vertical="center"/>
    </xf>
    <xf numFmtId="0" fontId="88" fillId="22" borderId="89" applyNumberFormat="0" applyFont="0" applyAlignment="0" applyProtection="0">
      <alignment vertical="center"/>
    </xf>
    <xf numFmtId="0" fontId="94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5" fillId="23" borderId="0" applyNumberFormat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6" fillId="0" borderId="0" applyNumberFormat="0" applyFill="0" applyBorder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0" fontId="107" fillId="24" borderId="90" applyNumberFormat="0" applyAlignment="0" applyProtection="0">
      <alignment vertical="center"/>
    </xf>
    <xf numFmtId="41" fontId="35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82" fillId="0" borderId="0" applyFont="0" applyFill="0" applyBorder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65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71" fillId="0" borderId="1" applyNumberFormat="0" applyFill="0" applyAlignment="0" applyProtection="0">
      <alignment vertical="center"/>
    </xf>
    <xf numFmtId="0" fontId="77" fillId="0" borderId="1" applyNumberFormat="0" applyFill="0" applyAlignment="0" applyProtection="0">
      <alignment vertical="center"/>
    </xf>
    <xf numFmtId="0" fontId="83" fillId="0" borderId="1" applyNumberFormat="0" applyFill="0" applyAlignment="0" applyProtection="0">
      <alignment vertical="center"/>
    </xf>
    <xf numFmtId="0" fontId="89" fillId="0" borderId="1" applyNumberFormat="0" applyFill="0" applyAlignment="0" applyProtection="0">
      <alignment vertical="center"/>
    </xf>
    <xf numFmtId="0" fontId="95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8" fillId="0" borderId="2" applyNumberFormat="0" applyFill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109" fillId="7" borderId="88" applyNumberFormat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6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72" fillId="0" borderId="3" applyNumberFormat="0" applyFill="0" applyAlignment="0" applyProtection="0">
      <alignment vertical="center"/>
    </xf>
    <xf numFmtId="0" fontId="78" fillId="0" borderId="3" applyNumberFormat="0" applyFill="0" applyAlignment="0" applyProtection="0">
      <alignment vertical="center"/>
    </xf>
    <xf numFmtId="0" fontId="84" fillId="0" borderId="3" applyNumberFormat="0" applyFill="0" applyAlignment="0" applyProtection="0">
      <alignment vertical="center"/>
    </xf>
    <xf numFmtId="0" fontId="90" fillId="0" borderId="3" applyNumberFormat="0" applyFill="0" applyAlignment="0" applyProtection="0">
      <alignment vertical="center"/>
    </xf>
    <xf numFmtId="0" fontId="96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7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73" fillId="0" borderId="4" applyNumberFormat="0" applyFill="0" applyAlignment="0" applyProtection="0">
      <alignment vertical="center"/>
    </xf>
    <xf numFmtId="0" fontId="79" fillId="0" borderId="4" applyNumberFormat="0" applyFill="0" applyAlignment="0" applyProtection="0">
      <alignment vertical="center"/>
    </xf>
    <xf numFmtId="0" fontId="85" fillId="0" borderId="4" applyNumberFormat="0" applyFill="0" applyAlignment="0" applyProtection="0">
      <alignment vertical="center"/>
    </xf>
    <xf numFmtId="0" fontId="91" fillId="0" borderId="4" applyNumberFormat="0" applyFill="0" applyAlignment="0" applyProtection="0">
      <alignment vertical="center"/>
    </xf>
    <xf numFmtId="0" fontId="97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8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74" fillId="0" borderId="5" applyNumberFormat="0" applyFill="0" applyAlignment="0" applyProtection="0">
      <alignment vertical="center"/>
    </xf>
    <xf numFmtId="0" fontId="80" fillId="0" borderId="5" applyNumberFormat="0" applyFill="0" applyAlignment="0" applyProtection="0">
      <alignment vertical="center"/>
    </xf>
    <xf numFmtId="0" fontId="86" fillId="0" borderId="5" applyNumberFormat="0" applyFill="0" applyAlignment="0" applyProtection="0">
      <alignment vertical="center"/>
    </xf>
    <xf numFmtId="0" fontId="92" fillId="0" borderId="5" applyNumberFormat="0" applyFill="0" applyAlignment="0" applyProtection="0">
      <alignment vertical="center"/>
    </xf>
    <xf numFmtId="0" fontId="98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8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74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6" fillId="0" borderId="0" applyNumberFormat="0" applyFill="0" applyBorder="0" applyAlignment="0" applyProtection="0">
      <alignment vertical="center"/>
    </xf>
    <xf numFmtId="0" fontId="92" fillId="0" borderId="0" applyNumberFormat="0" applyFill="0" applyBorder="0" applyAlignment="0" applyProtection="0">
      <alignment vertical="center"/>
    </xf>
    <xf numFmtId="0" fontId="98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9" fillId="0" borderId="0" applyNumberFormat="0" applyFill="0" applyBorder="0" applyAlignment="0" applyProtection="0">
      <alignment vertical="center"/>
    </xf>
    <xf numFmtId="0" fontId="75" fillId="0" borderId="0" applyNumberFormat="0" applyFill="0" applyBorder="0" applyAlignment="0" applyProtection="0">
      <alignment vertical="center"/>
    </xf>
    <xf numFmtId="0" fontId="81" fillId="0" borderId="0" applyNumberFormat="0" applyFill="0" applyBorder="0" applyAlignment="0" applyProtection="0">
      <alignment vertical="center"/>
    </xf>
    <xf numFmtId="0" fontId="87" fillId="0" borderId="0" applyNumberFormat="0" applyFill="0" applyBorder="0" applyAlignment="0" applyProtection="0">
      <alignment vertical="center"/>
    </xf>
    <xf numFmtId="0" fontId="93" fillId="0" borderId="0" applyNumberFormat="0" applyFill="0" applyBorder="0" applyAlignment="0" applyProtection="0">
      <alignment vertical="center"/>
    </xf>
    <xf numFmtId="0" fontId="99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0" fillId="6" borderId="0" applyNumberFormat="0" applyBorder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11" fillId="14" borderId="91" applyNumberFormat="0" applyAlignment="0" applyProtection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35" fillId="0" borderId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1" fillId="0" borderId="111" applyNumberFormat="0" applyFill="0" applyAlignment="0" applyProtection="0">
      <alignment vertical="center"/>
    </xf>
    <xf numFmtId="0" fontId="122" fillId="0" borderId="112" applyNumberFormat="0" applyFill="0" applyAlignment="0" applyProtection="0">
      <alignment vertical="center"/>
    </xf>
    <xf numFmtId="0" fontId="123" fillId="0" borderId="113" applyNumberFormat="0" applyFill="0" applyAlignment="0" applyProtection="0">
      <alignment vertical="center"/>
    </xf>
    <xf numFmtId="0" fontId="123" fillId="0" borderId="0" applyNumberFormat="0" applyFill="0" applyBorder="0" applyAlignment="0" applyProtection="0">
      <alignment vertical="center"/>
    </xf>
    <xf numFmtId="0" fontId="124" fillId="26" borderId="0" applyNumberFormat="0" applyBorder="0" applyAlignment="0" applyProtection="0">
      <alignment vertical="center"/>
    </xf>
    <xf numFmtId="0" fontId="125" fillId="27" borderId="0" applyNumberFormat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27" fillId="28" borderId="88" applyNumberFormat="0" applyAlignment="0" applyProtection="0">
      <alignment vertical="center"/>
    </xf>
    <xf numFmtId="0" fontId="128" fillId="29" borderId="91" applyNumberFormat="0" applyAlignment="0" applyProtection="0">
      <alignment vertical="center"/>
    </xf>
    <xf numFmtId="0" fontId="129" fillId="29" borderId="88" applyNumberFormat="0" applyAlignment="0" applyProtection="0">
      <alignment vertical="center"/>
    </xf>
    <xf numFmtId="0" fontId="130" fillId="0" borderId="114" applyNumberFormat="0" applyFill="0" applyAlignment="0" applyProtection="0">
      <alignment vertical="center"/>
    </xf>
    <xf numFmtId="0" fontId="131" fillId="24" borderId="90" applyNumberFormat="0" applyAlignment="0" applyProtection="0">
      <alignment vertical="center"/>
    </xf>
    <xf numFmtId="0" fontId="132" fillId="0" borderId="0" applyNumberFormat="0" applyFill="0" applyBorder="0" applyAlignment="0" applyProtection="0">
      <alignment vertical="center"/>
    </xf>
    <xf numFmtId="0" fontId="133" fillId="0" borderId="0" applyNumberFormat="0" applyFill="0" applyBorder="0" applyAlignment="0" applyProtection="0">
      <alignment vertical="center"/>
    </xf>
    <xf numFmtId="0" fontId="134" fillId="0" borderId="115" applyNumberFormat="0" applyFill="0" applyAlignment="0" applyProtection="0">
      <alignment vertical="center"/>
    </xf>
    <xf numFmtId="0" fontId="135" fillId="30" borderId="0" applyNumberFormat="0" applyBorder="0" applyAlignment="0" applyProtection="0">
      <alignment vertical="center"/>
    </xf>
    <xf numFmtId="0" fontId="30" fillId="31" borderId="0" applyNumberFormat="0" applyBorder="0" applyAlignment="0" applyProtection="0">
      <alignment vertical="center"/>
    </xf>
    <xf numFmtId="0" fontId="30" fillId="32" borderId="0" applyNumberFormat="0" applyBorder="0" applyAlignment="0" applyProtection="0">
      <alignment vertical="center"/>
    </xf>
    <xf numFmtId="0" fontId="135" fillId="33" borderId="0" applyNumberFormat="0" applyBorder="0" applyAlignment="0" applyProtection="0">
      <alignment vertical="center"/>
    </xf>
    <xf numFmtId="0" fontId="135" fillId="34" borderId="0" applyNumberFormat="0" applyBorder="0" applyAlignment="0" applyProtection="0">
      <alignment vertical="center"/>
    </xf>
    <xf numFmtId="0" fontId="30" fillId="35" borderId="0" applyNumberFormat="0" applyBorder="0" applyAlignment="0" applyProtection="0">
      <alignment vertical="center"/>
    </xf>
    <xf numFmtId="0" fontId="30" fillId="20" borderId="0" applyNumberFormat="0" applyBorder="0" applyAlignment="0" applyProtection="0">
      <alignment vertical="center"/>
    </xf>
    <xf numFmtId="0" fontId="135" fillId="36" borderId="0" applyNumberFormat="0" applyBorder="0" applyAlignment="0" applyProtection="0">
      <alignment vertical="center"/>
    </xf>
    <xf numFmtId="0" fontId="135" fillId="37" borderId="0" applyNumberFormat="0" applyBorder="0" applyAlignment="0" applyProtection="0">
      <alignment vertical="center"/>
    </xf>
    <xf numFmtId="0" fontId="30" fillId="38" borderId="0" applyNumberFormat="0" applyBorder="0" applyAlignment="0" applyProtection="0">
      <alignment vertical="center"/>
    </xf>
    <xf numFmtId="0" fontId="30" fillId="39" borderId="0" applyNumberFormat="0" applyBorder="0" applyAlignment="0" applyProtection="0">
      <alignment vertical="center"/>
    </xf>
    <xf numFmtId="0" fontId="135" fillId="40" borderId="0" applyNumberFormat="0" applyBorder="0" applyAlignment="0" applyProtection="0">
      <alignment vertical="center"/>
    </xf>
    <xf numFmtId="0" fontId="135" fillId="41" borderId="0" applyNumberFormat="0" applyBorder="0" applyAlignment="0" applyProtection="0">
      <alignment vertical="center"/>
    </xf>
    <xf numFmtId="0" fontId="30" fillId="42" borderId="0" applyNumberFormat="0" applyBorder="0" applyAlignment="0" applyProtection="0">
      <alignment vertical="center"/>
    </xf>
    <xf numFmtId="0" fontId="30" fillId="43" borderId="0" applyNumberFormat="0" applyBorder="0" applyAlignment="0" applyProtection="0">
      <alignment vertical="center"/>
    </xf>
    <xf numFmtId="0" fontId="135" fillId="44" borderId="0" applyNumberFormat="0" applyBorder="0" applyAlignment="0" applyProtection="0">
      <alignment vertical="center"/>
    </xf>
    <xf numFmtId="0" fontId="135" fillId="21" borderId="0" applyNumberFormat="0" applyBorder="0" applyAlignment="0" applyProtection="0">
      <alignment vertical="center"/>
    </xf>
    <xf numFmtId="0" fontId="30" fillId="19" borderId="0" applyNumberFormat="0" applyBorder="0" applyAlignment="0" applyProtection="0">
      <alignment vertical="center"/>
    </xf>
    <xf numFmtId="0" fontId="30" fillId="45" borderId="0" applyNumberFormat="0" applyBorder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135" fillId="47" borderId="0" applyNumberFormat="0" applyBorder="0" applyAlignment="0" applyProtection="0">
      <alignment vertical="center"/>
    </xf>
    <xf numFmtId="0" fontId="30" fillId="48" borderId="0" applyNumberFormat="0" applyBorder="0" applyAlignment="0" applyProtection="0">
      <alignment vertical="center"/>
    </xf>
    <xf numFmtId="0" fontId="30" fillId="49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30" fillId="0" borderId="0">
      <alignment vertical="center"/>
    </xf>
    <xf numFmtId="0" fontId="30" fillId="22" borderId="89" applyNumberFormat="0" applyFont="0" applyAlignment="0" applyProtection="0">
      <alignment vertical="center"/>
    </xf>
    <xf numFmtId="0" fontId="29" fillId="0" borderId="0">
      <alignment vertical="center"/>
    </xf>
    <xf numFmtId="0" fontId="29" fillId="22" borderId="89" applyNumberFormat="0" applyFont="0" applyAlignment="0" applyProtection="0">
      <alignment vertical="center"/>
    </xf>
    <xf numFmtId="0" fontId="29" fillId="31" borderId="0" applyNumberFormat="0" applyBorder="0" applyAlignment="0" applyProtection="0">
      <alignment vertical="center"/>
    </xf>
    <xf numFmtId="0" fontId="29" fillId="32" borderId="0" applyNumberFormat="0" applyBorder="0" applyAlignment="0" applyProtection="0">
      <alignment vertical="center"/>
    </xf>
    <xf numFmtId="0" fontId="29" fillId="3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38" borderId="0" applyNumberFormat="0" applyBorder="0" applyAlignment="0" applyProtection="0">
      <alignment vertical="center"/>
    </xf>
    <xf numFmtId="0" fontId="29" fillId="39" borderId="0" applyNumberFormat="0" applyBorder="0" applyAlignment="0" applyProtection="0">
      <alignment vertical="center"/>
    </xf>
    <xf numFmtId="0" fontId="29" fillId="42" borderId="0" applyNumberFormat="0" applyBorder="0" applyAlignment="0" applyProtection="0">
      <alignment vertical="center"/>
    </xf>
    <xf numFmtId="0" fontId="29" fillId="43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45" borderId="0" applyNumberFormat="0" applyBorder="0" applyAlignment="0" applyProtection="0">
      <alignment vertical="center"/>
    </xf>
    <xf numFmtId="0" fontId="29" fillId="48" borderId="0" applyNumberFormat="0" applyBorder="0" applyAlignment="0" applyProtection="0">
      <alignment vertical="center"/>
    </xf>
    <xf numFmtId="0" fontId="29" fillId="49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0" fontId="35" fillId="0" borderId="0">
      <alignment vertical="center"/>
    </xf>
    <xf numFmtId="41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0" fontId="100" fillId="0" borderId="0">
      <alignment vertical="center"/>
    </xf>
    <xf numFmtId="0" fontId="100" fillId="0" borderId="0">
      <alignment vertical="center"/>
    </xf>
    <xf numFmtId="0" fontId="28" fillId="0" borderId="0">
      <alignment vertical="center"/>
    </xf>
    <xf numFmtId="0" fontId="27" fillId="0" borderId="0">
      <alignment vertical="center"/>
    </xf>
    <xf numFmtId="0" fontId="26" fillId="0" borderId="0">
      <alignment vertical="center"/>
    </xf>
    <xf numFmtId="0" fontId="156" fillId="0" borderId="0">
      <alignment vertical="center"/>
    </xf>
    <xf numFmtId="41" fontId="156" fillId="0" borderId="0" applyFont="0" applyFill="0" applyBorder="0" applyAlignment="0" applyProtection="0">
      <alignment vertical="center"/>
    </xf>
    <xf numFmtId="9" fontId="156" fillId="0" borderId="0" applyFont="0" applyFill="0" applyBorder="0" applyAlignment="0" applyProtection="0">
      <alignment vertical="center"/>
    </xf>
    <xf numFmtId="0" fontId="25" fillId="0" borderId="0">
      <alignment vertical="center"/>
    </xf>
    <xf numFmtId="0" fontId="157" fillId="0" borderId="0" applyNumberFormat="0" applyFill="0" applyBorder="0" applyAlignment="0" applyProtection="0">
      <alignment vertical="center"/>
    </xf>
    <xf numFmtId="0" fontId="25" fillId="22" borderId="89" applyNumberFormat="0" applyFont="0" applyAlignment="0" applyProtection="0">
      <alignment vertical="center"/>
    </xf>
    <xf numFmtId="0" fontId="25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5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38" borderId="0" applyNumberFormat="0" applyBorder="0" applyAlignment="0" applyProtection="0">
      <alignment vertical="center"/>
    </xf>
    <xf numFmtId="0" fontId="25" fillId="39" borderId="0" applyNumberFormat="0" applyBorder="0" applyAlignment="0" applyProtection="0">
      <alignment vertical="center"/>
    </xf>
    <xf numFmtId="0" fontId="25" fillId="42" borderId="0" applyNumberFormat="0" applyBorder="0" applyAlignment="0" applyProtection="0">
      <alignment vertical="center"/>
    </xf>
    <xf numFmtId="0" fontId="25" fillId="43" borderId="0" applyNumberFormat="0" applyBorder="0" applyAlignment="0" applyProtection="0">
      <alignment vertical="center"/>
    </xf>
    <xf numFmtId="0" fontId="25" fillId="19" borderId="0" applyNumberFormat="0" applyBorder="0" applyAlignment="0" applyProtection="0">
      <alignment vertical="center"/>
    </xf>
    <xf numFmtId="0" fontId="25" fillId="45" borderId="0" applyNumberFormat="0" applyBorder="0" applyAlignment="0" applyProtection="0">
      <alignment vertical="center"/>
    </xf>
    <xf numFmtId="0" fontId="25" fillId="48" borderId="0" applyNumberFormat="0" applyBorder="0" applyAlignment="0" applyProtection="0">
      <alignment vertical="center"/>
    </xf>
    <xf numFmtId="0" fontId="25" fillId="49" borderId="0" applyNumberFormat="0" applyBorder="0" applyAlignment="0" applyProtection="0">
      <alignment vertical="center"/>
    </xf>
    <xf numFmtId="0" fontId="24" fillId="0" borderId="0">
      <alignment vertical="center"/>
    </xf>
    <xf numFmtId="0" fontId="24" fillId="22" borderId="89" applyNumberFormat="0" applyFont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4" fillId="38" borderId="0" applyNumberFormat="0" applyBorder="0" applyAlignment="0" applyProtection="0">
      <alignment vertical="center"/>
    </xf>
    <xf numFmtId="0" fontId="24" fillId="39" borderId="0" applyNumberFormat="0" applyBorder="0" applyAlignment="0" applyProtection="0">
      <alignment vertical="center"/>
    </xf>
    <xf numFmtId="0" fontId="24" fillId="42" borderId="0" applyNumberFormat="0" applyBorder="0" applyAlignment="0" applyProtection="0">
      <alignment vertical="center"/>
    </xf>
    <xf numFmtId="0" fontId="24" fillId="43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45" borderId="0" applyNumberFormat="0" applyBorder="0" applyAlignment="0" applyProtection="0">
      <alignment vertical="center"/>
    </xf>
    <xf numFmtId="0" fontId="24" fillId="48" borderId="0" applyNumberFormat="0" applyBorder="0" applyAlignment="0" applyProtection="0">
      <alignment vertical="center"/>
    </xf>
    <xf numFmtId="0" fontId="24" fillId="49" borderId="0" applyNumberFormat="0" applyBorder="0" applyAlignment="0" applyProtection="0">
      <alignment vertical="center"/>
    </xf>
    <xf numFmtId="0" fontId="23" fillId="0" borderId="0">
      <alignment vertical="center"/>
    </xf>
    <xf numFmtId="0" fontId="23" fillId="22" borderId="89" applyNumberFormat="0" applyFont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3" fillId="32" borderId="0" applyNumberFormat="0" applyBorder="0" applyAlignment="0" applyProtection="0">
      <alignment vertical="center"/>
    </xf>
    <xf numFmtId="0" fontId="23" fillId="35" borderId="0" applyNumberFormat="0" applyBorder="0" applyAlignment="0" applyProtection="0">
      <alignment vertical="center"/>
    </xf>
    <xf numFmtId="0" fontId="23" fillId="20" borderId="0" applyNumberFormat="0" applyBorder="0" applyAlignment="0" applyProtection="0">
      <alignment vertical="center"/>
    </xf>
    <xf numFmtId="0" fontId="23" fillId="38" borderId="0" applyNumberFormat="0" applyBorder="0" applyAlignment="0" applyProtection="0">
      <alignment vertical="center"/>
    </xf>
    <xf numFmtId="0" fontId="23" fillId="39" borderId="0" applyNumberFormat="0" applyBorder="0" applyAlignment="0" applyProtection="0">
      <alignment vertical="center"/>
    </xf>
    <xf numFmtId="0" fontId="23" fillId="42" borderId="0" applyNumberFormat="0" applyBorder="0" applyAlignment="0" applyProtection="0">
      <alignment vertical="center"/>
    </xf>
    <xf numFmtId="0" fontId="23" fillId="43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3" fillId="45" borderId="0" applyNumberFormat="0" applyBorder="0" applyAlignment="0" applyProtection="0">
      <alignment vertical="center"/>
    </xf>
    <xf numFmtId="0" fontId="23" fillId="48" borderId="0" applyNumberFormat="0" applyBorder="0" applyAlignment="0" applyProtection="0">
      <alignment vertical="center"/>
    </xf>
    <xf numFmtId="0" fontId="23" fillId="49" borderId="0" applyNumberFormat="0" applyBorder="0" applyAlignment="0" applyProtection="0">
      <alignment vertical="center"/>
    </xf>
    <xf numFmtId="0" fontId="22" fillId="0" borderId="0">
      <alignment vertical="center"/>
    </xf>
    <xf numFmtId="0" fontId="21" fillId="0" borderId="0">
      <alignment vertical="center"/>
    </xf>
    <xf numFmtId="0" fontId="21" fillId="22" borderId="89" applyNumberFormat="0" applyFont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1" fillId="35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1" fillId="38" borderId="0" applyNumberFormat="0" applyBorder="0" applyAlignment="0" applyProtection="0">
      <alignment vertical="center"/>
    </xf>
    <xf numFmtId="0" fontId="21" fillId="39" borderId="0" applyNumberFormat="0" applyBorder="0" applyAlignment="0" applyProtection="0">
      <alignment vertical="center"/>
    </xf>
    <xf numFmtId="0" fontId="21" fillId="42" borderId="0" applyNumberFormat="0" applyBorder="0" applyAlignment="0" applyProtection="0">
      <alignment vertical="center"/>
    </xf>
    <xf numFmtId="0" fontId="21" fillId="4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45" borderId="0" applyNumberFormat="0" applyBorder="0" applyAlignment="0" applyProtection="0">
      <alignment vertical="center"/>
    </xf>
    <xf numFmtId="0" fontId="21" fillId="48" borderId="0" applyNumberFormat="0" applyBorder="0" applyAlignment="0" applyProtection="0">
      <alignment vertical="center"/>
    </xf>
    <xf numFmtId="0" fontId="21" fillId="49" borderId="0" applyNumberFormat="0" applyBorder="0" applyAlignment="0" applyProtection="0">
      <alignment vertical="center"/>
    </xf>
    <xf numFmtId="0" fontId="20" fillId="0" borderId="0">
      <alignment vertical="center"/>
    </xf>
    <xf numFmtId="0" fontId="19" fillId="0" borderId="0">
      <alignment vertical="center"/>
    </xf>
    <xf numFmtId="0" fontId="19" fillId="22" borderId="89" applyNumberFormat="0" applyFont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9" fillId="35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38" borderId="0" applyNumberFormat="0" applyBorder="0" applyAlignment="0" applyProtection="0">
      <alignment vertical="center"/>
    </xf>
    <xf numFmtId="0" fontId="19" fillId="39" borderId="0" applyNumberFormat="0" applyBorder="0" applyAlignment="0" applyProtection="0">
      <alignment vertical="center"/>
    </xf>
    <xf numFmtId="0" fontId="19" fillId="42" borderId="0" applyNumberFormat="0" applyBorder="0" applyAlignment="0" applyProtection="0">
      <alignment vertical="center"/>
    </xf>
    <xf numFmtId="0" fontId="19" fillId="43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45" borderId="0" applyNumberFormat="0" applyBorder="0" applyAlignment="0" applyProtection="0">
      <alignment vertical="center"/>
    </xf>
    <xf numFmtId="0" fontId="19" fillId="48" borderId="0" applyNumberFormat="0" applyBorder="0" applyAlignment="0" applyProtection="0">
      <alignment vertical="center"/>
    </xf>
    <xf numFmtId="0" fontId="19" fillId="49" borderId="0" applyNumberFormat="0" applyBorder="0" applyAlignment="0" applyProtection="0">
      <alignment vertical="center"/>
    </xf>
    <xf numFmtId="0" fontId="18" fillId="0" borderId="0">
      <alignment vertical="center"/>
    </xf>
    <xf numFmtId="0" fontId="18" fillId="22" borderId="89" applyNumberFormat="0" applyFont="0" applyAlignment="0" applyProtection="0">
      <alignment vertical="center"/>
    </xf>
    <xf numFmtId="0" fontId="18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  <xf numFmtId="0" fontId="18" fillId="35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38" borderId="0" applyNumberFormat="0" applyBorder="0" applyAlignment="0" applyProtection="0">
      <alignment vertical="center"/>
    </xf>
    <xf numFmtId="0" fontId="18" fillId="39" borderId="0" applyNumberFormat="0" applyBorder="0" applyAlignment="0" applyProtection="0">
      <alignment vertical="center"/>
    </xf>
    <xf numFmtId="0" fontId="18" fillId="42" borderId="0" applyNumberFormat="0" applyBorder="0" applyAlignment="0" applyProtection="0">
      <alignment vertical="center"/>
    </xf>
    <xf numFmtId="0" fontId="18" fillId="43" borderId="0" applyNumberFormat="0" applyBorder="0" applyAlignment="0" applyProtection="0">
      <alignment vertical="center"/>
    </xf>
    <xf numFmtId="0" fontId="18" fillId="19" borderId="0" applyNumberFormat="0" applyBorder="0" applyAlignment="0" applyProtection="0">
      <alignment vertical="center"/>
    </xf>
    <xf numFmtId="0" fontId="18" fillId="45" borderId="0" applyNumberFormat="0" applyBorder="0" applyAlignment="0" applyProtection="0">
      <alignment vertical="center"/>
    </xf>
    <xf numFmtId="0" fontId="18" fillId="48" borderId="0" applyNumberFormat="0" applyBorder="0" applyAlignment="0" applyProtection="0">
      <alignment vertical="center"/>
    </xf>
    <xf numFmtId="0" fontId="18" fillId="49" borderId="0" applyNumberFormat="0" applyBorder="0" applyAlignment="0" applyProtection="0">
      <alignment vertical="center"/>
    </xf>
    <xf numFmtId="0" fontId="17" fillId="0" borderId="0">
      <alignment vertical="center"/>
    </xf>
    <xf numFmtId="0" fontId="16" fillId="0" borderId="0">
      <alignment vertical="center"/>
    </xf>
    <xf numFmtId="0" fontId="15" fillId="0" borderId="0">
      <alignment vertical="center"/>
    </xf>
    <xf numFmtId="0" fontId="14" fillId="0" borderId="0">
      <alignment vertical="center"/>
    </xf>
    <xf numFmtId="0" fontId="175" fillId="23" borderId="0" applyNumberFormat="0" applyBorder="0" applyAlignment="0" applyProtection="0">
      <alignment vertical="center"/>
    </xf>
    <xf numFmtId="0" fontId="14" fillId="22" borderId="89" applyNumberFormat="0" applyFont="0" applyAlignment="0" applyProtection="0">
      <alignment vertical="center"/>
    </xf>
    <xf numFmtId="0" fontId="14" fillId="31" borderId="0" applyNumberFormat="0" applyBorder="0" applyAlignment="0" applyProtection="0">
      <alignment vertical="center"/>
    </xf>
    <xf numFmtId="0" fontId="14" fillId="32" borderId="0" applyNumberFormat="0" applyBorder="0" applyAlignment="0" applyProtection="0">
      <alignment vertical="center"/>
    </xf>
    <xf numFmtId="0" fontId="14" fillId="33" borderId="0" applyNumberFormat="0" applyBorder="0" applyAlignment="0" applyProtection="0">
      <alignment vertical="center"/>
    </xf>
    <xf numFmtId="0" fontId="14" fillId="35" borderId="0" applyNumberFormat="0" applyBorder="0" applyAlignment="0" applyProtection="0">
      <alignment vertical="center"/>
    </xf>
    <xf numFmtId="0" fontId="14" fillId="20" borderId="0" applyNumberFormat="0" applyBorder="0" applyAlignment="0" applyProtection="0">
      <alignment vertical="center"/>
    </xf>
    <xf numFmtId="0" fontId="14" fillId="36" borderId="0" applyNumberFormat="0" applyBorder="0" applyAlignment="0" applyProtection="0">
      <alignment vertical="center"/>
    </xf>
    <xf numFmtId="0" fontId="14" fillId="38" borderId="0" applyNumberFormat="0" applyBorder="0" applyAlignment="0" applyProtection="0">
      <alignment vertical="center"/>
    </xf>
    <xf numFmtId="0" fontId="14" fillId="39" borderId="0" applyNumberFormat="0" applyBorder="0" applyAlignment="0" applyProtection="0">
      <alignment vertical="center"/>
    </xf>
    <xf numFmtId="0" fontId="14" fillId="40" borderId="0" applyNumberFormat="0" applyBorder="0" applyAlignment="0" applyProtection="0">
      <alignment vertical="center"/>
    </xf>
    <xf numFmtId="0" fontId="14" fillId="42" borderId="0" applyNumberFormat="0" applyBorder="0" applyAlignment="0" applyProtection="0">
      <alignment vertical="center"/>
    </xf>
    <xf numFmtId="0" fontId="14" fillId="43" borderId="0" applyNumberFormat="0" applyBorder="0" applyAlignment="0" applyProtection="0">
      <alignment vertical="center"/>
    </xf>
    <xf numFmtId="0" fontId="14" fillId="44" borderId="0" applyNumberFormat="0" applyBorder="0" applyAlignment="0" applyProtection="0">
      <alignment vertical="center"/>
    </xf>
    <xf numFmtId="0" fontId="14" fillId="19" borderId="0" applyNumberFormat="0" applyBorder="0" applyAlignment="0" applyProtection="0">
      <alignment vertical="center"/>
    </xf>
    <xf numFmtId="0" fontId="14" fillId="45" borderId="0" applyNumberFormat="0" applyBorder="0" applyAlignment="0" applyProtection="0">
      <alignment vertical="center"/>
    </xf>
    <xf numFmtId="0" fontId="14" fillId="46" borderId="0" applyNumberFormat="0" applyBorder="0" applyAlignment="0" applyProtection="0">
      <alignment vertical="center"/>
    </xf>
    <xf numFmtId="0" fontId="14" fillId="48" borderId="0" applyNumberFormat="0" applyBorder="0" applyAlignment="0" applyProtection="0">
      <alignment vertical="center"/>
    </xf>
    <xf numFmtId="0" fontId="14" fillId="49" borderId="0" applyNumberFormat="0" applyBorder="0" applyAlignment="0" applyProtection="0">
      <alignment vertical="center"/>
    </xf>
    <xf numFmtId="0" fontId="14" fillId="50" borderId="0" applyNumberFormat="0" applyBorder="0" applyAlignment="0" applyProtection="0">
      <alignment vertical="center"/>
    </xf>
    <xf numFmtId="0" fontId="13" fillId="0" borderId="0">
      <alignment vertical="center"/>
    </xf>
    <xf numFmtId="0" fontId="13" fillId="22" borderId="89" applyNumberFormat="0" applyFont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3" fillId="32" borderId="0" applyNumberFormat="0" applyBorder="0" applyAlignment="0" applyProtection="0">
      <alignment vertical="center"/>
    </xf>
    <xf numFmtId="0" fontId="13" fillId="33" borderId="0" applyNumberFormat="0" applyBorder="0" applyAlignment="0" applyProtection="0">
      <alignment vertical="center"/>
    </xf>
    <xf numFmtId="0" fontId="13" fillId="35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3" fillId="36" borderId="0" applyNumberFormat="0" applyBorder="0" applyAlignment="0" applyProtection="0">
      <alignment vertical="center"/>
    </xf>
    <xf numFmtId="0" fontId="13" fillId="38" borderId="0" applyNumberFormat="0" applyBorder="0" applyAlignment="0" applyProtection="0">
      <alignment vertical="center"/>
    </xf>
    <xf numFmtId="0" fontId="13" fillId="39" borderId="0" applyNumberFormat="0" applyBorder="0" applyAlignment="0" applyProtection="0">
      <alignment vertical="center"/>
    </xf>
    <xf numFmtId="0" fontId="13" fillId="40" borderId="0" applyNumberFormat="0" applyBorder="0" applyAlignment="0" applyProtection="0">
      <alignment vertical="center"/>
    </xf>
    <xf numFmtId="0" fontId="13" fillId="42" borderId="0" applyNumberFormat="0" applyBorder="0" applyAlignment="0" applyProtection="0">
      <alignment vertical="center"/>
    </xf>
    <xf numFmtId="0" fontId="13" fillId="43" borderId="0" applyNumberFormat="0" applyBorder="0" applyAlignment="0" applyProtection="0">
      <alignment vertical="center"/>
    </xf>
    <xf numFmtId="0" fontId="13" fillId="44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45" borderId="0" applyNumberFormat="0" applyBorder="0" applyAlignment="0" applyProtection="0">
      <alignment vertical="center"/>
    </xf>
    <xf numFmtId="0" fontId="13" fillId="46" borderId="0" applyNumberFormat="0" applyBorder="0" applyAlignment="0" applyProtection="0">
      <alignment vertical="center"/>
    </xf>
    <xf numFmtId="0" fontId="13" fillId="48" borderId="0" applyNumberFormat="0" applyBorder="0" applyAlignment="0" applyProtection="0">
      <alignment vertical="center"/>
    </xf>
    <xf numFmtId="0" fontId="13" fillId="49" borderId="0" applyNumberFormat="0" applyBorder="0" applyAlignment="0" applyProtection="0">
      <alignment vertical="center"/>
    </xf>
    <xf numFmtId="0" fontId="13" fillId="50" borderId="0" applyNumberFormat="0" applyBorder="0" applyAlignment="0" applyProtection="0">
      <alignment vertical="center"/>
    </xf>
    <xf numFmtId="0" fontId="12" fillId="0" borderId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35" fillId="0" borderId="0"/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0" fontId="53" fillId="22" borderId="89" applyNumberFormat="0" applyFont="0" applyAlignment="0" applyProtection="0">
      <alignment vertical="center"/>
    </xf>
    <xf numFmtId="41" fontId="35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59" fillId="0" borderId="1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1" fillId="0" borderId="3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2" fillId="0" borderId="4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5" applyNumberFormat="0" applyFill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3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60" fillId="0" borderId="0" applyNumberFormat="0" applyFill="0" applyBorder="0" applyAlignment="0" applyProtection="0">
      <alignment vertical="center"/>
    </xf>
    <xf numFmtId="0" fontId="120" fillId="0" borderId="0" applyNumberFormat="0" applyFill="0" applyBorder="0" applyAlignment="0" applyProtection="0">
      <alignment vertical="center"/>
    </xf>
    <xf numFmtId="0" fontId="126" fillId="23" borderId="0" applyNumberFormat="0" applyBorder="0" applyAlignment="0" applyProtection="0">
      <alignment vertical="center"/>
    </xf>
    <xf numFmtId="0" fontId="135" fillId="33" borderId="0" applyNumberFormat="0" applyBorder="0" applyAlignment="0" applyProtection="0">
      <alignment vertical="center"/>
    </xf>
    <xf numFmtId="0" fontId="135" fillId="36" borderId="0" applyNumberFormat="0" applyBorder="0" applyAlignment="0" applyProtection="0">
      <alignment vertical="center"/>
    </xf>
    <xf numFmtId="0" fontId="135" fillId="40" borderId="0" applyNumberFormat="0" applyBorder="0" applyAlignment="0" applyProtection="0">
      <alignment vertical="center"/>
    </xf>
    <xf numFmtId="0" fontId="135" fillId="44" borderId="0" applyNumberFormat="0" applyBorder="0" applyAlignment="0" applyProtection="0">
      <alignment vertical="center"/>
    </xf>
    <xf numFmtId="0" fontId="135" fillId="46" borderId="0" applyNumberFormat="0" applyBorder="0" applyAlignment="0" applyProtection="0">
      <alignment vertical="center"/>
    </xf>
    <xf numFmtId="0" fontId="135" fillId="5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9" fontId="35" fillId="0" borderId="0" applyFont="0" applyFill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41" fontId="156" fillId="0" borderId="0" applyFont="0" applyFill="0" applyBorder="0" applyAlignment="0" applyProtection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0" borderId="0">
      <alignment vertical="center"/>
    </xf>
    <xf numFmtId="0" fontId="11" fillId="22" borderId="89" applyNumberFormat="0" applyFont="0" applyAlignment="0" applyProtection="0">
      <alignment vertical="center"/>
    </xf>
    <xf numFmtId="0" fontId="11" fillId="31" borderId="0" applyNumberFormat="0" applyBorder="0" applyAlignment="0" applyProtection="0">
      <alignment vertical="center"/>
    </xf>
    <xf numFmtId="0" fontId="11" fillId="32" borderId="0" applyNumberFormat="0" applyBorder="0" applyAlignment="0" applyProtection="0">
      <alignment vertical="center"/>
    </xf>
    <xf numFmtId="0" fontId="11" fillId="33" borderId="0" applyNumberFormat="0" applyBorder="0" applyAlignment="0" applyProtection="0">
      <alignment vertical="center"/>
    </xf>
    <xf numFmtId="0" fontId="11" fillId="35" borderId="0" applyNumberFormat="0" applyBorder="0" applyAlignment="0" applyProtection="0">
      <alignment vertical="center"/>
    </xf>
    <xf numFmtId="0" fontId="11" fillId="20" borderId="0" applyNumberFormat="0" applyBorder="0" applyAlignment="0" applyProtection="0">
      <alignment vertical="center"/>
    </xf>
    <xf numFmtId="0" fontId="11" fillId="36" borderId="0" applyNumberFormat="0" applyBorder="0" applyAlignment="0" applyProtection="0">
      <alignment vertical="center"/>
    </xf>
    <xf numFmtId="0" fontId="11" fillId="38" borderId="0" applyNumberFormat="0" applyBorder="0" applyAlignment="0" applyProtection="0">
      <alignment vertical="center"/>
    </xf>
    <xf numFmtId="0" fontId="11" fillId="39" borderId="0" applyNumberFormat="0" applyBorder="0" applyAlignment="0" applyProtection="0">
      <alignment vertical="center"/>
    </xf>
    <xf numFmtId="0" fontId="11" fillId="40" borderId="0" applyNumberFormat="0" applyBorder="0" applyAlignment="0" applyProtection="0">
      <alignment vertical="center"/>
    </xf>
    <xf numFmtId="0" fontId="11" fillId="42" borderId="0" applyNumberFormat="0" applyBorder="0" applyAlignment="0" applyProtection="0">
      <alignment vertical="center"/>
    </xf>
    <xf numFmtId="0" fontId="11" fillId="43" borderId="0" applyNumberFormat="0" applyBorder="0" applyAlignment="0" applyProtection="0">
      <alignment vertical="center"/>
    </xf>
    <xf numFmtId="0" fontId="11" fillId="44" borderId="0" applyNumberFormat="0" applyBorder="0" applyAlignment="0" applyProtection="0">
      <alignment vertical="center"/>
    </xf>
    <xf numFmtId="0" fontId="11" fillId="19" borderId="0" applyNumberFormat="0" applyBorder="0" applyAlignment="0" applyProtection="0">
      <alignment vertical="center"/>
    </xf>
    <xf numFmtId="0" fontId="11" fillId="45" borderId="0" applyNumberFormat="0" applyBorder="0" applyAlignment="0" applyProtection="0">
      <alignment vertical="center"/>
    </xf>
    <xf numFmtId="0" fontId="11" fillId="46" borderId="0" applyNumberFormat="0" applyBorder="0" applyAlignment="0" applyProtection="0">
      <alignment vertical="center"/>
    </xf>
    <xf numFmtId="0" fontId="11" fillId="48" borderId="0" applyNumberFormat="0" applyBorder="0" applyAlignment="0" applyProtection="0">
      <alignment vertical="center"/>
    </xf>
    <xf numFmtId="0" fontId="11" fillId="49" borderId="0" applyNumberFormat="0" applyBorder="0" applyAlignment="0" applyProtection="0">
      <alignment vertical="center"/>
    </xf>
    <xf numFmtId="0" fontId="11" fillId="50" borderId="0" applyNumberFormat="0" applyBorder="0" applyAlignment="0" applyProtection="0">
      <alignment vertical="center"/>
    </xf>
    <xf numFmtId="0" fontId="11" fillId="0" borderId="0">
      <alignment vertical="center"/>
    </xf>
    <xf numFmtId="0" fontId="10" fillId="0" borderId="0">
      <alignment vertical="center"/>
    </xf>
    <xf numFmtId="0" fontId="10" fillId="22" borderId="89" applyNumberFormat="0" applyFont="0" applyAlignment="0" applyProtection="0">
      <alignment vertical="center"/>
    </xf>
    <xf numFmtId="0" fontId="10" fillId="31" borderId="0" applyNumberFormat="0" applyBorder="0" applyAlignment="0" applyProtection="0">
      <alignment vertical="center"/>
    </xf>
    <xf numFmtId="0" fontId="10" fillId="32" borderId="0" applyNumberFormat="0" applyBorder="0" applyAlignment="0" applyProtection="0">
      <alignment vertical="center"/>
    </xf>
    <xf numFmtId="0" fontId="10" fillId="33" borderId="0" applyNumberFormat="0" applyBorder="0" applyAlignment="0" applyProtection="0">
      <alignment vertical="center"/>
    </xf>
    <xf numFmtId="0" fontId="10" fillId="35" borderId="0" applyNumberFormat="0" applyBorder="0" applyAlignment="0" applyProtection="0">
      <alignment vertical="center"/>
    </xf>
    <xf numFmtId="0" fontId="10" fillId="20" borderId="0" applyNumberFormat="0" applyBorder="0" applyAlignment="0" applyProtection="0">
      <alignment vertical="center"/>
    </xf>
    <xf numFmtId="0" fontId="10" fillId="36" borderId="0" applyNumberFormat="0" applyBorder="0" applyAlignment="0" applyProtection="0">
      <alignment vertical="center"/>
    </xf>
    <xf numFmtId="0" fontId="10" fillId="38" borderId="0" applyNumberFormat="0" applyBorder="0" applyAlignment="0" applyProtection="0">
      <alignment vertical="center"/>
    </xf>
    <xf numFmtId="0" fontId="10" fillId="39" borderId="0" applyNumberFormat="0" applyBorder="0" applyAlignment="0" applyProtection="0">
      <alignment vertical="center"/>
    </xf>
    <xf numFmtId="0" fontId="10" fillId="40" borderId="0" applyNumberFormat="0" applyBorder="0" applyAlignment="0" applyProtection="0">
      <alignment vertical="center"/>
    </xf>
    <xf numFmtId="0" fontId="10" fillId="42" borderId="0" applyNumberFormat="0" applyBorder="0" applyAlignment="0" applyProtection="0">
      <alignment vertical="center"/>
    </xf>
    <xf numFmtId="0" fontId="10" fillId="43" borderId="0" applyNumberFormat="0" applyBorder="0" applyAlignment="0" applyProtection="0">
      <alignment vertical="center"/>
    </xf>
    <xf numFmtId="0" fontId="10" fillId="44" borderId="0" applyNumberFormat="0" applyBorder="0" applyAlignment="0" applyProtection="0">
      <alignment vertical="center"/>
    </xf>
    <xf numFmtId="0" fontId="10" fillId="19" borderId="0" applyNumberFormat="0" applyBorder="0" applyAlignment="0" applyProtection="0">
      <alignment vertical="center"/>
    </xf>
    <xf numFmtId="0" fontId="10" fillId="45" borderId="0" applyNumberFormat="0" applyBorder="0" applyAlignment="0" applyProtection="0">
      <alignment vertical="center"/>
    </xf>
    <xf numFmtId="0" fontId="10" fillId="46" borderId="0" applyNumberFormat="0" applyBorder="0" applyAlignment="0" applyProtection="0">
      <alignment vertical="center"/>
    </xf>
    <xf numFmtId="0" fontId="10" fillId="48" borderId="0" applyNumberFormat="0" applyBorder="0" applyAlignment="0" applyProtection="0">
      <alignment vertical="center"/>
    </xf>
    <xf numFmtId="0" fontId="10" fillId="49" borderId="0" applyNumberFormat="0" applyBorder="0" applyAlignment="0" applyProtection="0">
      <alignment vertical="center"/>
    </xf>
    <xf numFmtId="0" fontId="10" fillId="50" borderId="0" applyNumberFormat="0" applyBorder="0" applyAlignment="0" applyProtection="0">
      <alignment vertical="center"/>
    </xf>
    <xf numFmtId="0" fontId="9" fillId="0" borderId="0">
      <alignment vertical="center"/>
    </xf>
    <xf numFmtId="0" fontId="9" fillId="22" borderId="89" applyNumberFormat="0" applyFont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9" fillId="33" borderId="0" applyNumberFormat="0" applyBorder="0" applyAlignment="0" applyProtection="0">
      <alignment vertical="center"/>
    </xf>
    <xf numFmtId="0" fontId="9" fillId="35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9" fillId="36" borderId="0" applyNumberFormat="0" applyBorder="0" applyAlignment="0" applyProtection="0">
      <alignment vertical="center"/>
    </xf>
    <xf numFmtId="0" fontId="9" fillId="38" borderId="0" applyNumberFormat="0" applyBorder="0" applyAlignment="0" applyProtection="0">
      <alignment vertical="center"/>
    </xf>
    <xf numFmtId="0" fontId="9" fillId="39" borderId="0" applyNumberFormat="0" applyBorder="0" applyAlignment="0" applyProtection="0">
      <alignment vertical="center"/>
    </xf>
    <xf numFmtId="0" fontId="9" fillId="40" borderId="0" applyNumberFormat="0" applyBorder="0" applyAlignment="0" applyProtection="0">
      <alignment vertical="center"/>
    </xf>
    <xf numFmtId="0" fontId="9" fillId="42" borderId="0" applyNumberFormat="0" applyBorder="0" applyAlignment="0" applyProtection="0">
      <alignment vertical="center"/>
    </xf>
    <xf numFmtId="0" fontId="9" fillId="43" borderId="0" applyNumberFormat="0" applyBorder="0" applyAlignment="0" applyProtection="0">
      <alignment vertical="center"/>
    </xf>
    <xf numFmtId="0" fontId="9" fillId="44" borderId="0" applyNumberFormat="0" applyBorder="0" applyAlignment="0" applyProtection="0">
      <alignment vertical="center"/>
    </xf>
    <xf numFmtId="0" fontId="9" fillId="19" borderId="0" applyNumberFormat="0" applyBorder="0" applyAlignment="0" applyProtection="0">
      <alignment vertical="center"/>
    </xf>
    <xf numFmtId="0" fontId="9" fillId="45" borderId="0" applyNumberFormat="0" applyBorder="0" applyAlignment="0" applyProtection="0">
      <alignment vertical="center"/>
    </xf>
    <xf numFmtId="0" fontId="9" fillId="46" borderId="0" applyNumberFormat="0" applyBorder="0" applyAlignment="0" applyProtection="0">
      <alignment vertical="center"/>
    </xf>
    <xf numFmtId="0" fontId="9" fillId="48" borderId="0" applyNumberFormat="0" applyBorder="0" applyAlignment="0" applyProtection="0">
      <alignment vertical="center"/>
    </xf>
    <xf numFmtId="0" fontId="9" fillId="49" borderId="0" applyNumberFormat="0" applyBorder="0" applyAlignment="0" applyProtection="0">
      <alignment vertical="center"/>
    </xf>
    <xf numFmtId="0" fontId="9" fillId="50" borderId="0" applyNumberFormat="0" applyBorder="0" applyAlignment="0" applyProtection="0">
      <alignment vertical="center"/>
    </xf>
    <xf numFmtId="0" fontId="8" fillId="0" borderId="0">
      <alignment vertical="center"/>
    </xf>
    <xf numFmtId="41" fontId="8" fillId="0" borderId="0" applyFont="0" applyFill="0" applyBorder="0" applyAlignment="0" applyProtection="0">
      <alignment vertical="center"/>
    </xf>
    <xf numFmtId="0" fontId="8" fillId="22" borderId="89" applyNumberFormat="0" applyFont="0" applyAlignment="0" applyProtection="0">
      <alignment vertical="center"/>
    </xf>
    <xf numFmtId="0" fontId="8" fillId="31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8" fillId="33" borderId="0" applyNumberFormat="0" applyBorder="0" applyAlignment="0" applyProtection="0">
      <alignment vertical="center"/>
    </xf>
    <xf numFmtId="0" fontId="8" fillId="35" borderId="0" applyNumberFormat="0" applyBorder="0" applyAlignment="0" applyProtection="0">
      <alignment vertical="center"/>
    </xf>
    <xf numFmtId="0" fontId="8" fillId="20" borderId="0" applyNumberFormat="0" applyBorder="0" applyAlignment="0" applyProtection="0">
      <alignment vertical="center"/>
    </xf>
    <xf numFmtId="0" fontId="8" fillId="36" borderId="0" applyNumberFormat="0" applyBorder="0" applyAlignment="0" applyProtection="0">
      <alignment vertical="center"/>
    </xf>
    <xf numFmtId="0" fontId="8" fillId="38" borderId="0" applyNumberFormat="0" applyBorder="0" applyAlignment="0" applyProtection="0">
      <alignment vertical="center"/>
    </xf>
    <xf numFmtId="0" fontId="8" fillId="39" borderId="0" applyNumberFormat="0" applyBorder="0" applyAlignment="0" applyProtection="0">
      <alignment vertical="center"/>
    </xf>
    <xf numFmtId="0" fontId="8" fillId="40" borderId="0" applyNumberFormat="0" applyBorder="0" applyAlignment="0" applyProtection="0">
      <alignment vertical="center"/>
    </xf>
    <xf numFmtId="0" fontId="8" fillId="42" borderId="0" applyNumberFormat="0" applyBorder="0" applyAlignment="0" applyProtection="0">
      <alignment vertical="center"/>
    </xf>
    <xf numFmtId="0" fontId="8" fillId="43" borderId="0" applyNumberFormat="0" applyBorder="0" applyAlignment="0" applyProtection="0">
      <alignment vertical="center"/>
    </xf>
    <xf numFmtId="0" fontId="8" fillId="44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8" fillId="45" borderId="0" applyNumberFormat="0" applyBorder="0" applyAlignment="0" applyProtection="0">
      <alignment vertical="center"/>
    </xf>
    <xf numFmtId="0" fontId="8" fillId="46" borderId="0" applyNumberFormat="0" applyBorder="0" applyAlignment="0" applyProtection="0">
      <alignment vertical="center"/>
    </xf>
    <xf numFmtId="0" fontId="8" fillId="48" borderId="0" applyNumberFormat="0" applyBorder="0" applyAlignment="0" applyProtection="0">
      <alignment vertical="center"/>
    </xf>
    <xf numFmtId="0" fontId="8" fillId="49" borderId="0" applyNumberFormat="0" applyBorder="0" applyAlignment="0" applyProtection="0">
      <alignment vertical="center"/>
    </xf>
    <xf numFmtId="0" fontId="8" fillId="50" borderId="0" applyNumberFormat="0" applyBorder="0" applyAlignment="0" applyProtection="0">
      <alignment vertical="center"/>
    </xf>
    <xf numFmtId="0" fontId="7" fillId="0" borderId="0">
      <alignment vertical="center"/>
    </xf>
    <xf numFmtId="41" fontId="7" fillId="0" borderId="0" applyFont="0" applyFill="0" applyBorder="0" applyAlignment="0" applyProtection="0">
      <alignment vertical="center"/>
    </xf>
    <xf numFmtId="0" fontId="7" fillId="22" borderId="89" applyNumberFormat="0" applyFont="0" applyAlignment="0" applyProtection="0">
      <alignment vertical="center"/>
    </xf>
    <xf numFmtId="0" fontId="7" fillId="31" borderId="0" applyNumberFormat="0" applyBorder="0" applyAlignment="0" applyProtection="0">
      <alignment vertical="center"/>
    </xf>
    <xf numFmtId="0" fontId="7" fillId="32" borderId="0" applyNumberFormat="0" applyBorder="0" applyAlignment="0" applyProtection="0">
      <alignment vertical="center"/>
    </xf>
    <xf numFmtId="0" fontId="7" fillId="33" borderId="0" applyNumberFormat="0" applyBorder="0" applyAlignment="0" applyProtection="0">
      <alignment vertical="center"/>
    </xf>
    <xf numFmtId="0" fontId="7" fillId="35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7" fillId="36" borderId="0" applyNumberFormat="0" applyBorder="0" applyAlignment="0" applyProtection="0">
      <alignment vertical="center"/>
    </xf>
    <xf numFmtId="0" fontId="7" fillId="38" borderId="0" applyNumberFormat="0" applyBorder="0" applyAlignment="0" applyProtection="0">
      <alignment vertical="center"/>
    </xf>
    <xf numFmtId="0" fontId="7" fillId="39" borderId="0" applyNumberFormat="0" applyBorder="0" applyAlignment="0" applyProtection="0">
      <alignment vertical="center"/>
    </xf>
    <xf numFmtId="0" fontId="7" fillId="40" borderId="0" applyNumberFormat="0" applyBorder="0" applyAlignment="0" applyProtection="0">
      <alignment vertical="center"/>
    </xf>
    <xf numFmtId="0" fontId="7" fillId="42" borderId="0" applyNumberFormat="0" applyBorder="0" applyAlignment="0" applyProtection="0">
      <alignment vertical="center"/>
    </xf>
    <xf numFmtId="0" fontId="7" fillId="43" borderId="0" applyNumberFormat="0" applyBorder="0" applyAlignment="0" applyProtection="0">
      <alignment vertical="center"/>
    </xf>
    <xf numFmtId="0" fontId="7" fillId="44" borderId="0" applyNumberFormat="0" applyBorder="0" applyAlignment="0" applyProtection="0">
      <alignment vertical="center"/>
    </xf>
    <xf numFmtId="0" fontId="7" fillId="19" borderId="0" applyNumberFormat="0" applyBorder="0" applyAlignment="0" applyProtection="0">
      <alignment vertical="center"/>
    </xf>
    <xf numFmtId="0" fontId="7" fillId="45" borderId="0" applyNumberFormat="0" applyBorder="0" applyAlignment="0" applyProtection="0">
      <alignment vertical="center"/>
    </xf>
    <xf numFmtId="0" fontId="7" fillId="46" borderId="0" applyNumberFormat="0" applyBorder="0" applyAlignment="0" applyProtection="0">
      <alignment vertical="center"/>
    </xf>
    <xf numFmtId="0" fontId="7" fillId="48" borderId="0" applyNumberFormat="0" applyBorder="0" applyAlignment="0" applyProtection="0">
      <alignment vertical="center"/>
    </xf>
    <xf numFmtId="0" fontId="7" fillId="49" borderId="0" applyNumberFormat="0" applyBorder="0" applyAlignment="0" applyProtection="0">
      <alignment vertical="center"/>
    </xf>
    <xf numFmtId="0" fontId="7" fillId="50" borderId="0" applyNumberFormat="0" applyBorder="0" applyAlignment="0" applyProtection="0">
      <alignment vertical="center"/>
    </xf>
    <xf numFmtId="0" fontId="6" fillId="0" borderId="0">
      <alignment vertical="center"/>
    </xf>
    <xf numFmtId="41" fontId="6" fillId="0" borderId="0" applyFont="0" applyFill="0" applyBorder="0" applyAlignment="0" applyProtection="0">
      <alignment vertical="center"/>
    </xf>
    <xf numFmtId="0" fontId="6" fillId="22" borderId="89" applyNumberFormat="0" applyFont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6" fillId="36" borderId="0" applyNumberFormat="0" applyBorder="0" applyAlignment="0" applyProtection="0">
      <alignment vertical="center"/>
    </xf>
    <xf numFmtId="0" fontId="6" fillId="38" borderId="0" applyNumberFormat="0" applyBorder="0" applyAlignment="0" applyProtection="0">
      <alignment vertical="center"/>
    </xf>
    <xf numFmtId="0" fontId="6" fillId="39" borderId="0" applyNumberFormat="0" applyBorder="0" applyAlignment="0" applyProtection="0">
      <alignment vertical="center"/>
    </xf>
    <xf numFmtId="0" fontId="6" fillId="40" borderId="0" applyNumberFormat="0" applyBorder="0" applyAlignment="0" applyProtection="0">
      <alignment vertical="center"/>
    </xf>
    <xf numFmtId="0" fontId="6" fillId="42" borderId="0" applyNumberFormat="0" applyBorder="0" applyAlignment="0" applyProtection="0">
      <alignment vertical="center"/>
    </xf>
    <xf numFmtId="0" fontId="6" fillId="43" borderId="0" applyNumberFormat="0" applyBorder="0" applyAlignment="0" applyProtection="0">
      <alignment vertical="center"/>
    </xf>
    <xf numFmtId="0" fontId="6" fillId="44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45" borderId="0" applyNumberFormat="0" applyBorder="0" applyAlignment="0" applyProtection="0">
      <alignment vertical="center"/>
    </xf>
    <xf numFmtId="0" fontId="6" fillId="46" borderId="0" applyNumberFormat="0" applyBorder="0" applyAlignment="0" applyProtection="0">
      <alignment vertical="center"/>
    </xf>
    <xf numFmtId="0" fontId="6" fillId="48" borderId="0" applyNumberFormat="0" applyBorder="0" applyAlignment="0" applyProtection="0">
      <alignment vertical="center"/>
    </xf>
    <xf numFmtId="0" fontId="6" fillId="49" borderId="0" applyNumberFormat="0" applyBorder="0" applyAlignment="0" applyProtection="0">
      <alignment vertical="center"/>
    </xf>
    <xf numFmtId="0" fontId="6" fillId="50" borderId="0" applyNumberFormat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5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41" fontId="35" fillId="0" borderId="0" applyFont="0" applyFill="0" applyBorder="0" applyAlignment="0" applyProtection="0"/>
    <xf numFmtId="41" fontId="53" fillId="0" borderId="0" applyFont="0" applyFill="0" applyBorder="0" applyAlignment="0" applyProtection="0">
      <alignment vertical="center"/>
    </xf>
    <xf numFmtId="41" fontId="53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41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43" fontId="35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41" fontId="156" fillId="0" borderId="0" applyFont="0" applyFill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5" fillId="0" borderId="0">
      <alignment vertical="center"/>
    </xf>
    <xf numFmtId="41" fontId="5" fillId="0" borderId="0" applyFont="0" applyFill="0" applyBorder="0" applyAlignment="0" applyProtection="0">
      <alignment vertical="center"/>
    </xf>
    <xf numFmtId="0" fontId="5" fillId="22" borderId="89" applyNumberFormat="0" applyFont="0" applyAlignment="0" applyProtection="0">
      <alignment vertical="center"/>
    </xf>
    <xf numFmtId="0" fontId="5" fillId="31" borderId="0" applyNumberFormat="0" applyBorder="0" applyAlignment="0" applyProtection="0">
      <alignment vertical="center"/>
    </xf>
    <xf numFmtId="0" fontId="5" fillId="32" borderId="0" applyNumberFormat="0" applyBorder="0" applyAlignment="0" applyProtection="0">
      <alignment vertical="center"/>
    </xf>
    <xf numFmtId="0" fontId="5" fillId="33" borderId="0" applyNumberFormat="0" applyBorder="0" applyAlignment="0" applyProtection="0">
      <alignment vertical="center"/>
    </xf>
    <xf numFmtId="0" fontId="5" fillId="35" borderId="0" applyNumberFormat="0" applyBorder="0" applyAlignment="0" applyProtection="0">
      <alignment vertical="center"/>
    </xf>
    <xf numFmtId="0" fontId="5" fillId="20" borderId="0" applyNumberFormat="0" applyBorder="0" applyAlignment="0" applyProtection="0">
      <alignment vertical="center"/>
    </xf>
    <xf numFmtId="0" fontId="5" fillId="36" borderId="0" applyNumberFormat="0" applyBorder="0" applyAlignment="0" applyProtection="0">
      <alignment vertical="center"/>
    </xf>
    <xf numFmtId="0" fontId="5" fillId="38" borderId="0" applyNumberFormat="0" applyBorder="0" applyAlignment="0" applyProtection="0">
      <alignment vertical="center"/>
    </xf>
    <xf numFmtId="0" fontId="5" fillId="39" borderId="0" applyNumberFormat="0" applyBorder="0" applyAlignment="0" applyProtection="0">
      <alignment vertical="center"/>
    </xf>
    <xf numFmtId="0" fontId="5" fillId="40" borderId="0" applyNumberFormat="0" applyBorder="0" applyAlignment="0" applyProtection="0">
      <alignment vertical="center"/>
    </xf>
    <xf numFmtId="0" fontId="5" fillId="42" borderId="0" applyNumberFormat="0" applyBorder="0" applyAlignment="0" applyProtection="0">
      <alignment vertical="center"/>
    </xf>
    <xf numFmtId="0" fontId="5" fillId="43" borderId="0" applyNumberFormat="0" applyBorder="0" applyAlignment="0" applyProtection="0">
      <alignment vertical="center"/>
    </xf>
    <xf numFmtId="0" fontId="5" fillId="44" borderId="0" applyNumberFormat="0" applyBorder="0" applyAlignment="0" applyProtection="0">
      <alignment vertical="center"/>
    </xf>
    <xf numFmtId="0" fontId="5" fillId="19" borderId="0" applyNumberFormat="0" applyBorder="0" applyAlignment="0" applyProtection="0">
      <alignment vertical="center"/>
    </xf>
    <xf numFmtId="0" fontId="5" fillId="45" borderId="0" applyNumberFormat="0" applyBorder="0" applyAlignment="0" applyProtection="0">
      <alignment vertical="center"/>
    </xf>
    <xf numFmtId="0" fontId="5" fillId="46" borderId="0" applyNumberFormat="0" applyBorder="0" applyAlignment="0" applyProtection="0">
      <alignment vertical="center"/>
    </xf>
    <xf numFmtId="0" fontId="5" fillId="48" borderId="0" applyNumberFormat="0" applyBorder="0" applyAlignment="0" applyProtection="0">
      <alignment vertical="center"/>
    </xf>
    <xf numFmtId="0" fontId="5" fillId="49" borderId="0" applyNumberFormat="0" applyBorder="0" applyAlignment="0" applyProtection="0">
      <alignment vertical="center"/>
    </xf>
    <xf numFmtId="0" fontId="5" fillId="50" borderId="0" applyNumberFormat="0" applyBorder="0" applyAlignment="0" applyProtection="0">
      <alignment vertical="center"/>
    </xf>
    <xf numFmtId="0" fontId="4" fillId="0" borderId="0">
      <alignment vertical="center"/>
    </xf>
    <xf numFmtId="0" fontId="4" fillId="22" borderId="89" applyNumberFormat="0" applyFont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  <xf numFmtId="0" fontId="4" fillId="33" borderId="0" applyNumberFormat="0" applyBorder="0" applyAlignment="0" applyProtection="0">
      <alignment vertical="center"/>
    </xf>
    <xf numFmtId="0" fontId="4" fillId="35" borderId="0" applyNumberFormat="0" applyBorder="0" applyAlignment="0" applyProtection="0">
      <alignment vertical="center"/>
    </xf>
    <xf numFmtId="0" fontId="4" fillId="20" borderId="0" applyNumberFormat="0" applyBorder="0" applyAlignment="0" applyProtection="0">
      <alignment vertical="center"/>
    </xf>
    <xf numFmtId="0" fontId="4" fillId="36" borderId="0" applyNumberFormat="0" applyBorder="0" applyAlignment="0" applyProtection="0">
      <alignment vertical="center"/>
    </xf>
    <xf numFmtId="0" fontId="4" fillId="38" borderId="0" applyNumberFormat="0" applyBorder="0" applyAlignment="0" applyProtection="0">
      <alignment vertical="center"/>
    </xf>
    <xf numFmtId="0" fontId="4" fillId="39" borderId="0" applyNumberFormat="0" applyBorder="0" applyAlignment="0" applyProtection="0">
      <alignment vertical="center"/>
    </xf>
    <xf numFmtId="0" fontId="4" fillId="40" borderId="0" applyNumberFormat="0" applyBorder="0" applyAlignment="0" applyProtection="0">
      <alignment vertical="center"/>
    </xf>
    <xf numFmtId="0" fontId="4" fillId="42" borderId="0" applyNumberFormat="0" applyBorder="0" applyAlignment="0" applyProtection="0">
      <alignment vertical="center"/>
    </xf>
    <xf numFmtId="0" fontId="4" fillId="43" borderId="0" applyNumberFormat="0" applyBorder="0" applyAlignment="0" applyProtection="0">
      <alignment vertical="center"/>
    </xf>
    <xf numFmtId="0" fontId="4" fillId="4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4" fillId="45" borderId="0" applyNumberFormat="0" applyBorder="0" applyAlignment="0" applyProtection="0">
      <alignment vertical="center"/>
    </xf>
    <xf numFmtId="0" fontId="4" fillId="46" borderId="0" applyNumberFormat="0" applyBorder="0" applyAlignment="0" applyProtection="0">
      <alignment vertical="center"/>
    </xf>
    <xf numFmtId="0" fontId="4" fillId="48" borderId="0" applyNumberFormat="0" applyBorder="0" applyAlignment="0" applyProtection="0">
      <alignment vertical="center"/>
    </xf>
    <xf numFmtId="0" fontId="4" fillId="49" borderId="0" applyNumberFormat="0" applyBorder="0" applyAlignment="0" applyProtection="0">
      <alignment vertical="center"/>
    </xf>
    <xf numFmtId="0" fontId="4" fillId="50" borderId="0" applyNumberFormat="0" applyBorder="0" applyAlignment="0" applyProtection="0">
      <alignment vertical="center"/>
    </xf>
    <xf numFmtId="0" fontId="3" fillId="0" borderId="0">
      <alignment vertical="center"/>
    </xf>
    <xf numFmtId="0" fontId="3" fillId="22" borderId="89" applyNumberFormat="0" applyFont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3" fillId="33" borderId="0" applyNumberFormat="0" applyBorder="0" applyAlignment="0" applyProtection="0">
      <alignment vertical="center"/>
    </xf>
    <xf numFmtId="0" fontId="3" fillId="35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0" fontId="3" fillId="36" borderId="0" applyNumberFormat="0" applyBorder="0" applyAlignment="0" applyProtection="0">
      <alignment vertical="center"/>
    </xf>
    <xf numFmtId="0" fontId="3" fillId="38" borderId="0" applyNumberFormat="0" applyBorder="0" applyAlignment="0" applyProtection="0">
      <alignment vertical="center"/>
    </xf>
    <xf numFmtId="0" fontId="3" fillId="39" borderId="0" applyNumberFormat="0" applyBorder="0" applyAlignment="0" applyProtection="0">
      <alignment vertical="center"/>
    </xf>
    <xf numFmtId="0" fontId="3" fillId="40" borderId="0" applyNumberFormat="0" applyBorder="0" applyAlignment="0" applyProtection="0">
      <alignment vertical="center"/>
    </xf>
    <xf numFmtId="0" fontId="3" fillId="42" borderId="0" applyNumberFormat="0" applyBorder="0" applyAlignment="0" applyProtection="0">
      <alignment vertical="center"/>
    </xf>
    <xf numFmtId="0" fontId="3" fillId="43" borderId="0" applyNumberFormat="0" applyBorder="0" applyAlignment="0" applyProtection="0">
      <alignment vertical="center"/>
    </xf>
    <xf numFmtId="0" fontId="3" fillId="44" borderId="0" applyNumberFormat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3" fillId="45" borderId="0" applyNumberFormat="0" applyBorder="0" applyAlignment="0" applyProtection="0">
      <alignment vertical="center"/>
    </xf>
    <xf numFmtId="0" fontId="3" fillId="46" borderId="0" applyNumberFormat="0" applyBorder="0" applyAlignment="0" applyProtection="0">
      <alignment vertical="center"/>
    </xf>
    <xf numFmtId="0" fontId="3" fillId="48" borderId="0" applyNumberFormat="0" applyBorder="0" applyAlignment="0" applyProtection="0">
      <alignment vertical="center"/>
    </xf>
    <xf numFmtId="0" fontId="3" fillId="49" borderId="0" applyNumberFormat="0" applyBorder="0" applyAlignment="0" applyProtection="0">
      <alignment vertical="center"/>
    </xf>
    <xf numFmtId="0" fontId="3" fillId="50" borderId="0" applyNumberFormat="0" applyBorder="0" applyAlignment="0" applyProtection="0">
      <alignment vertical="center"/>
    </xf>
    <xf numFmtId="0" fontId="2" fillId="0" borderId="0">
      <alignment vertical="center"/>
    </xf>
    <xf numFmtId="0" fontId="2" fillId="22" borderId="89" applyNumberFormat="0" applyFont="0" applyAlignment="0" applyProtection="0">
      <alignment vertical="center"/>
    </xf>
    <xf numFmtId="0" fontId="2" fillId="31" borderId="0" applyNumberFormat="0" applyBorder="0" applyAlignment="0" applyProtection="0">
      <alignment vertical="center"/>
    </xf>
    <xf numFmtId="0" fontId="2" fillId="32" borderId="0" applyNumberFormat="0" applyBorder="0" applyAlignment="0" applyProtection="0">
      <alignment vertical="center"/>
    </xf>
    <xf numFmtId="0" fontId="2" fillId="33" borderId="0" applyNumberFormat="0" applyBorder="0" applyAlignment="0" applyProtection="0">
      <alignment vertical="center"/>
    </xf>
    <xf numFmtId="0" fontId="2" fillId="35" borderId="0" applyNumberFormat="0" applyBorder="0" applyAlignment="0" applyProtection="0">
      <alignment vertical="center"/>
    </xf>
    <xf numFmtId="0" fontId="2" fillId="20" borderId="0" applyNumberFormat="0" applyBorder="0" applyAlignment="0" applyProtection="0">
      <alignment vertical="center"/>
    </xf>
    <xf numFmtId="0" fontId="2" fillId="36" borderId="0" applyNumberFormat="0" applyBorder="0" applyAlignment="0" applyProtection="0">
      <alignment vertical="center"/>
    </xf>
    <xf numFmtId="0" fontId="2" fillId="38" borderId="0" applyNumberFormat="0" applyBorder="0" applyAlignment="0" applyProtection="0">
      <alignment vertical="center"/>
    </xf>
    <xf numFmtId="0" fontId="2" fillId="39" borderId="0" applyNumberFormat="0" applyBorder="0" applyAlignment="0" applyProtection="0">
      <alignment vertical="center"/>
    </xf>
    <xf numFmtId="0" fontId="2" fillId="40" borderId="0" applyNumberFormat="0" applyBorder="0" applyAlignment="0" applyProtection="0">
      <alignment vertical="center"/>
    </xf>
    <xf numFmtId="0" fontId="2" fillId="42" borderId="0" applyNumberFormat="0" applyBorder="0" applyAlignment="0" applyProtection="0">
      <alignment vertical="center"/>
    </xf>
    <xf numFmtId="0" fontId="2" fillId="43" borderId="0" applyNumberFormat="0" applyBorder="0" applyAlignment="0" applyProtection="0">
      <alignment vertical="center"/>
    </xf>
    <xf numFmtId="0" fontId="2" fillId="44" borderId="0" applyNumberFormat="0" applyBorder="0" applyAlignment="0" applyProtection="0">
      <alignment vertical="center"/>
    </xf>
    <xf numFmtId="0" fontId="2" fillId="19" borderId="0" applyNumberFormat="0" applyBorder="0" applyAlignment="0" applyProtection="0">
      <alignment vertical="center"/>
    </xf>
    <xf numFmtId="0" fontId="2" fillId="45" borderId="0" applyNumberFormat="0" applyBorder="0" applyAlignment="0" applyProtection="0">
      <alignment vertical="center"/>
    </xf>
    <xf numFmtId="0" fontId="2" fillId="46" borderId="0" applyNumberFormat="0" applyBorder="0" applyAlignment="0" applyProtection="0">
      <alignment vertical="center"/>
    </xf>
    <xf numFmtId="0" fontId="2" fillId="48" borderId="0" applyNumberFormat="0" applyBorder="0" applyAlignment="0" applyProtection="0">
      <alignment vertical="center"/>
    </xf>
    <xf numFmtId="0" fontId="2" fillId="49" borderId="0" applyNumberFormat="0" applyBorder="0" applyAlignment="0" applyProtection="0">
      <alignment vertical="center"/>
    </xf>
    <xf numFmtId="0" fontId="2" fillId="50" borderId="0" applyNumberFormat="0" applyBorder="0" applyAlignment="0" applyProtection="0">
      <alignment vertical="center"/>
    </xf>
    <xf numFmtId="0" fontId="1" fillId="0" borderId="0">
      <alignment vertical="center"/>
    </xf>
    <xf numFmtId="0" fontId="1" fillId="22" borderId="89" applyNumberFormat="0" applyFont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  <xf numFmtId="0" fontId="1" fillId="33" borderId="0" applyNumberFormat="0" applyBorder="0" applyAlignment="0" applyProtection="0">
      <alignment vertical="center"/>
    </xf>
    <xf numFmtId="0" fontId="1" fillId="35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36" borderId="0" applyNumberFormat="0" applyBorder="0" applyAlignment="0" applyProtection="0">
      <alignment vertical="center"/>
    </xf>
    <xf numFmtId="0" fontId="1" fillId="38" borderId="0" applyNumberFormat="0" applyBorder="0" applyAlignment="0" applyProtection="0">
      <alignment vertical="center"/>
    </xf>
    <xf numFmtId="0" fontId="1" fillId="39" borderId="0" applyNumberFormat="0" applyBorder="0" applyAlignment="0" applyProtection="0">
      <alignment vertical="center"/>
    </xf>
    <xf numFmtId="0" fontId="1" fillId="40" borderId="0" applyNumberFormat="0" applyBorder="0" applyAlignment="0" applyProtection="0">
      <alignment vertical="center"/>
    </xf>
    <xf numFmtId="0" fontId="1" fillId="42" borderId="0" applyNumberFormat="0" applyBorder="0" applyAlignment="0" applyProtection="0">
      <alignment vertical="center"/>
    </xf>
    <xf numFmtId="0" fontId="1" fillId="43" borderId="0" applyNumberFormat="0" applyBorder="0" applyAlignment="0" applyProtection="0">
      <alignment vertical="center"/>
    </xf>
    <xf numFmtId="0" fontId="1" fillId="44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45" borderId="0" applyNumberFormat="0" applyBorder="0" applyAlignment="0" applyProtection="0">
      <alignment vertical="center"/>
    </xf>
    <xf numFmtId="0" fontId="1" fillId="46" borderId="0" applyNumberFormat="0" applyBorder="0" applyAlignment="0" applyProtection="0">
      <alignment vertical="center"/>
    </xf>
    <xf numFmtId="0" fontId="1" fillId="48" borderId="0" applyNumberFormat="0" applyBorder="0" applyAlignment="0" applyProtection="0">
      <alignment vertical="center"/>
    </xf>
    <xf numFmtId="0" fontId="1" fillId="49" borderId="0" applyNumberFormat="0" applyBorder="0" applyAlignment="0" applyProtection="0">
      <alignment vertical="center"/>
    </xf>
    <xf numFmtId="0" fontId="1" fillId="50" borderId="0" applyNumberFormat="0" applyBorder="0" applyAlignment="0" applyProtection="0">
      <alignment vertical="center"/>
    </xf>
  </cellStyleXfs>
  <cellXfs count="1319">
    <xf numFmtId="0" fontId="0" fillId="0" borderId="0" xfId="0"/>
    <xf numFmtId="0" fontId="38" fillId="0" borderId="0" xfId="0" applyFont="1"/>
    <xf numFmtId="0" fontId="38" fillId="0" borderId="0" xfId="0" applyFont="1" applyAlignment="1">
      <alignment vertical="center"/>
    </xf>
    <xf numFmtId="0" fontId="40" fillId="0" borderId="0" xfId="0" applyFont="1" applyAlignment="1">
      <alignment vertical="center"/>
    </xf>
    <xf numFmtId="0" fontId="40" fillId="17" borderId="11" xfId="0" applyFont="1" applyFill="1" applyBorder="1" applyAlignment="1">
      <alignment horizontal="center" vertical="center"/>
    </xf>
    <xf numFmtId="176" fontId="38" fillId="0" borderId="0" xfId="0" applyNumberFormat="1" applyFont="1" applyAlignment="1">
      <alignment vertical="center"/>
    </xf>
    <xf numFmtId="176" fontId="40" fillId="0" borderId="0" xfId="0" applyNumberFormat="1" applyFont="1" applyAlignment="1">
      <alignment vertical="center"/>
    </xf>
    <xf numFmtId="0" fontId="36" fillId="0" borderId="0" xfId="0" applyFont="1" applyAlignment="1">
      <alignment vertical="center"/>
    </xf>
    <xf numFmtId="184" fontId="38" fillId="0" borderId="0" xfId="0" applyNumberFormat="1" applyFont="1"/>
    <xf numFmtId="186" fontId="38" fillId="17" borderId="15" xfId="0" applyNumberFormat="1" applyFont="1" applyFill="1" applyBorder="1" applyAlignment="1">
      <alignment horizontal="right" vertical="center"/>
    </xf>
    <xf numFmtId="0" fontId="40" fillId="17" borderId="22" xfId="0" applyFont="1" applyFill="1" applyBorder="1" applyAlignment="1">
      <alignment horizontal="centerContinuous" vertical="center"/>
    </xf>
    <xf numFmtId="0" fontId="40" fillId="17" borderId="16" xfId="0" applyFont="1" applyFill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177" fontId="40" fillId="17" borderId="18" xfId="0" applyNumberFormat="1" applyFont="1" applyFill="1" applyBorder="1" applyAlignment="1">
      <alignment vertical="center"/>
    </xf>
    <xf numFmtId="0" fontId="40" fillId="17" borderId="29" xfId="0" applyFont="1" applyFill="1" applyBorder="1" applyAlignment="1">
      <alignment horizontal="centerContinuous" vertical="center"/>
    </xf>
    <xf numFmtId="176" fontId="40" fillId="0" borderId="0" xfId="0" applyNumberFormat="1" applyFont="1" applyAlignment="1">
      <alignment horizontal="center" vertical="center"/>
    </xf>
    <xf numFmtId="0" fontId="40" fillId="0" borderId="0" xfId="0" applyFont="1" applyAlignment="1">
      <alignment horizontal="center" vertical="center"/>
    </xf>
    <xf numFmtId="0" fontId="46" fillId="0" borderId="0" xfId="0" applyFont="1"/>
    <xf numFmtId="0" fontId="48" fillId="0" borderId="0" xfId="0" applyFont="1"/>
    <xf numFmtId="0" fontId="40" fillId="18" borderId="6" xfId="0" applyFont="1" applyFill="1" applyBorder="1" applyAlignment="1">
      <alignment horizontal="center" vertical="center"/>
    </xf>
    <xf numFmtId="177" fontId="40" fillId="18" borderId="36" xfId="0" applyNumberFormat="1" applyFont="1" applyFill="1" applyBorder="1" applyAlignment="1">
      <alignment vertical="center"/>
    </xf>
    <xf numFmtId="185" fontId="38" fillId="0" borderId="0" xfId="0" applyNumberFormat="1" applyFont="1" applyAlignment="1">
      <alignment vertical="center"/>
    </xf>
    <xf numFmtId="0" fontId="33" fillId="0" borderId="53" xfId="0" applyFont="1" applyBorder="1"/>
    <xf numFmtId="0" fontId="38" fillId="17" borderId="0" xfId="0" applyFont="1" applyFill="1" applyAlignment="1">
      <alignment vertical="center"/>
    </xf>
    <xf numFmtId="177" fontId="38" fillId="0" borderId="0" xfId="0" applyNumberFormat="1" applyFont="1" applyAlignment="1">
      <alignment vertical="center"/>
    </xf>
    <xf numFmtId="189" fontId="49" fillId="0" borderId="51" xfId="1959" applyNumberFormat="1" applyFont="1" applyBorder="1"/>
    <xf numFmtId="0" fontId="49" fillId="0" borderId="49" xfId="2639" applyFont="1" applyBorder="1" applyAlignment="1">
      <alignment horizontal="center" vertical="center"/>
    </xf>
    <xf numFmtId="0" fontId="49" fillId="0" borderId="47" xfId="0" applyFont="1" applyBorder="1" applyAlignment="1">
      <alignment horizontal="center"/>
    </xf>
    <xf numFmtId="0" fontId="49" fillId="0" borderId="56" xfId="2639" applyFont="1" applyBorder="1" applyAlignment="1">
      <alignment horizontal="center" vertical="center"/>
    </xf>
    <xf numFmtId="0" fontId="49" fillId="0" borderId="53" xfId="0" applyFont="1" applyBorder="1" applyAlignment="1">
      <alignment horizontal="center"/>
    </xf>
    <xf numFmtId="0" fontId="49" fillId="0" borderId="57" xfId="2639" applyFont="1" applyBorder="1" applyAlignment="1">
      <alignment horizontal="center" vertical="center"/>
    </xf>
    <xf numFmtId="0" fontId="37" fillId="0" borderId="0" xfId="0" applyFont="1" applyAlignment="1">
      <alignment vertical="center"/>
    </xf>
    <xf numFmtId="191" fontId="36" fillId="0" borderId="0" xfId="0" applyNumberFormat="1" applyFont="1" applyAlignment="1">
      <alignment horizontal="center" vertical="center"/>
    </xf>
    <xf numFmtId="191" fontId="36" fillId="0" borderId="0" xfId="0" applyNumberFormat="1" applyFont="1" applyAlignment="1">
      <alignment horizontal="right" vertical="center"/>
    </xf>
    <xf numFmtId="0" fontId="36" fillId="0" borderId="0" xfId="0" applyFont="1" applyAlignment="1">
      <alignment vertical="center" textRotation="255"/>
    </xf>
    <xf numFmtId="177" fontId="40" fillId="17" borderId="39" xfId="0" applyNumberFormat="1" applyFont="1" applyFill="1" applyBorder="1" applyAlignment="1">
      <alignment vertical="center"/>
    </xf>
    <xf numFmtId="176" fontId="40" fillId="0" borderId="59" xfId="0" applyNumberFormat="1" applyFont="1" applyBorder="1" applyAlignment="1">
      <alignment horizontal="right" vertical="center"/>
    </xf>
    <xf numFmtId="186" fontId="40" fillId="17" borderId="14" xfId="0" applyNumberFormat="1" applyFont="1" applyFill="1" applyBorder="1" applyAlignment="1">
      <alignment vertical="center"/>
    </xf>
    <xf numFmtId="177" fontId="40" fillId="17" borderId="21" xfId="0" applyNumberFormat="1" applyFont="1" applyFill="1" applyBorder="1" applyAlignment="1">
      <alignment vertical="center"/>
    </xf>
    <xf numFmtId="0" fontId="40" fillId="17" borderId="26" xfId="0" applyFont="1" applyFill="1" applyBorder="1" applyAlignment="1">
      <alignment horizontal="centerContinuous" vertical="center"/>
    </xf>
    <xf numFmtId="0" fontId="40" fillId="17" borderId="27" xfId="0" applyFont="1" applyFill="1" applyBorder="1" applyAlignment="1">
      <alignment horizontal="centerContinuous" vertical="center"/>
    </xf>
    <xf numFmtId="0" fontId="49" fillId="0" borderId="52" xfId="0" applyFont="1" applyBorder="1" applyAlignment="1">
      <alignment horizontal="center"/>
    </xf>
    <xf numFmtId="189" fontId="49" fillId="0" borderId="61" xfId="1959" applyNumberFormat="1" applyFont="1" applyBorder="1"/>
    <xf numFmtId="176" fontId="40" fillId="0" borderId="0" xfId="0" applyNumberFormat="1" applyFont="1" applyAlignment="1">
      <alignment horizontal="right" vertical="center"/>
    </xf>
    <xf numFmtId="177" fontId="40" fillId="17" borderId="63" xfId="0" applyNumberFormat="1" applyFont="1" applyFill="1" applyBorder="1" applyAlignment="1">
      <alignment vertical="center"/>
    </xf>
    <xf numFmtId="177" fontId="40" fillId="17" borderId="64" xfId="0" applyNumberFormat="1" applyFont="1" applyFill="1" applyBorder="1" applyAlignment="1">
      <alignment vertical="center"/>
    </xf>
    <xf numFmtId="186" fontId="40" fillId="17" borderId="33" xfId="0" applyNumberFormat="1" applyFont="1" applyFill="1" applyBorder="1" applyAlignment="1">
      <alignment vertical="center"/>
    </xf>
    <xf numFmtId="3" fontId="55" fillId="0" borderId="0" xfId="0" applyNumberFormat="1" applyFont="1" applyAlignment="1">
      <alignment horizontal="right" vertical="center"/>
    </xf>
    <xf numFmtId="177" fontId="40" fillId="17" borderId="19" xfId="0" applyNumberFormat="1" applyFont="1" applyFill="1" applyBorder="1" applyAlignment="1">
      <alignment vertical="center"/>
    </xf>
    <xf numFmtId="177" fontId="40" fillId="18" borderId="6" xfId="0" applyNumberFormat="1" applyFont="1" applyFill="1" applyBorder="1" applyAlignment="1">
      <alignment vertical="center"/>
    </xf>
    <xf numFmtId="176" fontId="40" fillId="0" borderId="68" xfId="0" applyNumberFormat="1" applyFont="1" applyBorder="1" applyAlignment="1">
      <alignment horizontal="right" vertical="center"/>
    </xf>
    <xf numFmtId="0" fontId="40" fillId="17" borderId="32" xfId="0" applyFont="1" applyFill="1" applyBorder="1" applyAlignment="1">
      <alignment horizontal="centerContinuous" vertical="center"/>
    </xf>
    <xf numFmtId="177" fontId="43" fillId="18" borderId="6" xfId="0" applyNumberFormat="1" applyFont="1" applyFill="1" applyBorder="1" applyAlignment="1">
      <alignment vertical="center"/>
    </xf>
    <xf numFmtId="177" fontId="40" fillId="17" borderId="33" xfId="0" applyNumberFormat="1" applyFont="1" applyFill="1" applyBorder="1" applyAlignment="1">
      <alignment vertical="center"/>
    </xf>
    <xf numFmtId="177" fontId="40" fillId="17" borderId="6" xfId="0" applyNumberFormat="1" applyFont="1" applyFill="1" applyBorder="1" applyAlignment="1">
      <alignment vertical="center"/>
    </xf>
    <xf numFmtId="195" fontId="40" fillId="18" borderId="6" xfId="1959" applyNumberFormat="1" applyFont="1" applyFill="1" applyBorder="1" applyAlignment="1">
      <alignment vertical="center"/>
    </xf>
    <xf numFmtId="195" fontId="43" fillId="18" borderId="6" xfId="1959" applyNumberFormat="1" applyFont="1" applyFill="1" applyBorder="1" applyAlignment="1">
      <alignment vertical="center"/>
    </xf>
    <xf numFmtId="195" fontId="40" fillId="0" borderId="15" xfId="1959" applyNumberFormat="1" applyFont="1" applyFill="1" applyBorder="1" applyAlignment="1">
      <alignment vertical="center"/>
    </xf>
    <xf numFmtId="195" fontId="40" fillId="0" borderId="16" xfId="1959" applyNumberFormat="1" applyFont="1" applyFill="1" applyBorder="1" applyAlignment="1">
      <alignment vertical="center"/>
    </xf>
    <xf numFmtId="195" fontId="40" fillId="16" borderId="6" xfId="1959" applyNumberFormat="1" applyFont="1" applyFill="1" applyBorder="1" applyAlignment="1">
      <alignment vertical="center"/>
    </xf>
    <xf numFmtId="195" fontId="40" fillId="17" borderId="33" xfId="1959" applyNumberFormat="1" applyFont="1" applyFill="1" applyBorder="1" applyAlignment="1">
      <alignment vertical="center"/>
    </xf>
    <xf numFmtId="195" fontId="40" fillId="17" borderId="14" xfId="1959" applyNumberFormat="1" applyFont="1" applyFill="1" applyBorder="1" applyAlignment="1">
      <alignment vertical="center"/>
    </xf>
    <xf numFmtId="195" fontId="38" fillId="17" borderId="16" xfId="1959" applyNumberFormat="1" applyFont="1" applyFill="1" applyBorder="1" applyAlignment="1">
      <alignment horizontal="center" vertical="center"/>
    </xf>
    <xf numFmtId="41" fontId="38" fillId="17" borderId="16" xfId="1959" applyFont="1" applyFill="1" applyBorder="1" applyAlignment="1">
      <alignment horizontal="center" vertical="center"/>
    </xf>
    <xf numFmtId="195" fontId="38" fillId="17" borderId="15" xfId="1959" applyNumberFormat="1" applyFont="1" applyFill="1" applyBorder="1" applyAlignment="1">
      <alignment horizontal="center" vertical="center"/>
    </xf>
    <xf numFmtId="41" fontId="38" fillId="17" borderId="15" xfId="1959" applyFont="1" applyFill="1" applyBorder="1" applyAlignment="1">
      <alignment horizontal="center" vertical="center"/>
    </xf>
    <xf numFmtId="0" fontId="36" fillId="25" borderId="0" xfId="0" applyFont="1" applyFill="1" applyAlignment="1">
      <alignment vertical="center"/>
    </xf>
    <xf numFmtId="41" fontId="38" fillId="0" borderId="0" xfId="0" applyNumberFormat="1" applyFont="1"/>
    <xf numFmtId="0" fontId="40" fillId="17" borderId="105" xfId="0" applyFont="1" applyFill="1" applyBorder="1" applyAlignment="1">
      <alignment horizontal="center" vertical="center"/>
    </xf>
    <xf numFmtId="0" fontId="40" fillId="17" borderId="100" xfId="0" applyFont="1" applyFill="1" applyBorder="1" applyAlignment="1">
      <alignment horizontal="center" vertical="center"/>
    </xf>
    <xf numFmtId="195" fontId="40" fillId="0" borderId="100" xfId="1959" applyNumberFormat="1" applyFont="1" applyFill="1" applyBorder="1" applyAlignment="1">
      <alignment vertical="center"/>
    </xf>
    <xf numFmtId="0" fontId="38" fillId="0" borderId="0" xfId="0" applyFont="1" applyAlignment="1">
      <alignment horizontal="center" vertical="center" wrapText="1"/>
    </xf>
    <xf numFmtId="183" fontId="38" fillId="0" borderId="0" xfId="0" applyNumberFormat="1" applyFont="1" applyAlignment="1">
      <alignment vertical="center"/>
    </xf>
    <xf numFmtId="182" fontId="38" fillId="0" borderId="0" xfId="0" applyNumberFormat="1" applyFont="1" applyAlignment="1">
      <alignment vertical="center"/>
    </xf>
    <xf numFmtId="0" fontId="36" fillId="0" borderId="0" xfId="0" applyFont="1"/>
    <xf numFmtId="193" fontId="38" fillId="0" borderId="0" xfId="0" applyNumberFormat="1" applyFont="1"/>
    <xf numFmtId="177" fontId="113" fillId="18" borderId="6" xfId="0" applyNumberFormat="1" applyFont="1" applyFill="1" applyBorder="1" applyAlignment="1">
      <alignment vertical="center"/>
    </xf>
    <xf numFmtId="193" fontId="0" fillId="0" borderId="0" xfId="0" applyNumberFormat="1"/>
    <xf numFmtId="189" fontId="0" fillId="0" borderId="0" xfId="0" applyNumberFormat="1"/>
    <xf numFmtId="195" fontId="114" fillId="17" borderId="15" xfId="1959" applyNumberFormat="1" applyFont="1" applyFill="1" applyBorder="1" applyAlignment="1">
      <alignment horizontal="center" vertical="center"/>
    </xf>
    <xf numFmtId="41" fontId="114" fillId="17" borderId="15" xfId="1959" applyFont="1" applyFill="1" applyBorder="1" applyAlignment="1">
      <alignment horizontal="center" vertical="center"/>
    </xf>
    <xf numFmtId="41" fontId="114" fillId="17" borderId="16" xfId="1959" applyFont="1" applyFill="1" applyBorder="1" applyAlignment="1">
      <alignment horizontal="center" vertical="center"/>
    </xf>
    <xf numFmtId="176" fontId="112" fillId="0" borderId="0" xfId="0" applyNumberFormat="1" applyFont="1" applyAlignment="1">
      <alignment vertical="center"/>
    </xf>
    <xf numFmtId="9" fontId="38" fillId="0" borderId="0" xfId="2696" applyFont="1" applyBorder="1" applyAlignment="1"/>
    <xf numFmtId="0" fontId="51" fillId="0" borderId="0" xfId="0" applyFont="1" applyAlignment="1">
      <alignment horizontal="center" vertical="center"/>
    </xf>
    <xf numFmtId="0" fontId="138" fillId="0" borderId="0" xfId="2697" applyFont="1">
      <alignment vertical="center"/>
    </xf>
    <xf numFmtId="0" fontId="139" fillId="0" borderId="0" xfId="2697" applyFont="1" applyAlignment="1">
      <alignment horizontal="center" vertical="center"/>
    </xf>
    <xf numFmtId="0" fontId="139" fillId="0" borderId="0" xfId="2697" applyFont="1">
      <alignment vertical="center"/>
    </xf>
    <xf numFmtId="0" fontId="35" fillId="0" borderId="0" xfId="2697">
      <alignment vertical="center"/>
    </xf>
    <xf numFmtId="41" fontId="36" fillId="0" borderId="95" xfId="1959" applyFont="1" applyBorder="1" applyAlignment="1">
      <alignment horizontal="center" vertical="center"/>
    </xf>
    <xf numFmtId="41" fontId="36" fillId="0" borderId="96" xfId="1959" applyFont="1" applyBorder="1" applyAlignment="1">
      <alignment horizontal="center" vertical="center"/>
    </xf>
    <xf numFmtId="41" fontId="36" fillId="0" borderId="96" xfId="0" applyNumberFormat="1" applyFont="1" applyBorder="1" applyAlignment="1">
      <alignment horizontal="center" vertical="center"/>
    </xf>
    <xf numFmtId="41" fontId="36" fillId="0" borderId="97" xfId="0" applyNumberFormat="1" applyFont="1" applyBorder="1" applyAlignment="1">
      <alignment horizontal="center" vertical="center"/>
    </xf>
    <xf numFmtId="0" fontId="52" fillId="0" borderId="0" xfId="0" applyFont="1" applyAlignment="1">
      <alignment vertical="center"/>
    </xf>
    <xf numFmtId="0" fontId="142" fillId="0" borderId="92" xfId="2697" applyFont="1" applyBorder="1" applyAlignment="1">
      <alignment horizontal="center" vertical="center"/>
    </xf>
    <xf numFmtId="198" fontId="52" fillId="0" borderId="93" xfId="0" applyNumberFormat="1" applyFont="1" applyBorder="1" applyAlignment="1">
      <alignment vertical="center"/>
    </xf>
    <xf numFmtId="198" fontId="52" fillId="0" borderId="94" xfId="0" applyNumberFormat="1" applyFont="1" applyBorder="1" applyAlignment="1">
      <alignment vertical="center"/>
    </xf>
    <xf numFmtId="0" fontId="141" fillId="0" borderId="0" xfId="2697" applyFont="1" applyAlignment="1">
      <alignment horizontal="centerContinuous" vertical="center"/>
    </xf>
    <xf numFmtId="186" fontId="141" fillId="0" borderId="0" xfId="2699" applyNumberFormat="1" applyFont="1" applyFill="1" applyBorder="1">
      <alignment vertical="center"/>
    </xf>
    <xf numFmtId="195" fontId="40" fillId="0" borderId="25" xfId="1959" applyNumberFormat="1" applyFont="1" applyFill="1" applyBorder="1" applyAlignment="1">
      <alignment vertical="center"/>
    </xf>
    <xf numFmtId="41" fontId="40" fillId="16" borderId="10" xfId="1959" applyFont="1" applyFill="1" applyBorder="1" applyAlignment="1">
      <alignment vertical="center"/>
    </xf>
    <xf numFmtId="177" fontId="40" fillId="16" borderId="10" xfId="1959" applyNumberFormat="1" applyFont="1" applyFill="1" applyBorder="1" applyAlignment="1">
      <alignment vertical="center"/>
    </xf>
    <xf numFmtId="41" fontId="40" fillId="17" borderId="15" xfId="0" applyNumberFormat="1" applyFont="1" applyFill="1" applyBorder="1" applyAlignment="1">
      <alignment vertical="center"/>
    </xf>
    <xf numFmtId="41" fontId="40" fillId="17" borderId="6" xfId="0" applyNumberFormat="1" applyFont="1" applyFill="1" applyBorder="1" applyAlignment="1">
      <alignment vertical="center"/>
    </xf>
    <xf numFmtId="41" fontId="40" fillId="17" borderId="33" xfId="0" applyNumberFormat="1" applyFont="1" applyFill="1" applyBorder="1" applyAlignment="1">
      <alignment vertical="center"/>
    </xf>
    <xf numFmtId="41" fontId="40" fillId="17" borderId="25" xfId="1959" applyFont="1" applyFill="1" applyBorder="1" applyAlignment="1">
      <alignment vertical="center"/>
    </xf>
    <xf numFmtId="41" fontId="112" fillId="0" borderId="16" xfId="1959" applyFont="1" applyFill="1" applyBorder="1" applyAlignment="1">
      <alignment vertical="center"/>
    </xf>
    <xf numFmtId="41" fontId="43" fillId="17" borderId="25" xfId="1959" applyFont="1" applyFill="1" applyBorder="1" applyAlignment="1">
      <alignment vertical="center"/>
    </xf>
    <xf numFmtId="41" fontId="40" fillId="18" borderId="6" xfId="1959" applyFont="1" applyFill="1" applyBorder="1" applyAlignment="1">
      <alignment vertical="center"/>
    </xf>
    <xf numFmtId="41" fontId="112" fillId="0" borderId="15" xfId="1959" applyFont="1" applyFill="1" applyBorder="1" applyAlignment="1">
      <alignment vertical="center"/>
    </xf>
    <xf numFmtId="41" fontId="50" fillId="17" borderId="25" xfId="1959" applyFont="1" applyFill="1" applyBorder="1" applyAlignment="1">
      <alignment vertical="center"/>
    </xf>
    <xf numFmtId="41" fontId="50" fillId="17" borderId="105" xfId="1959" applyFont="1" applyFill="1" applyBorder="1" applyAlignment="1">
      <alignment vertical="center"/>
    </xf>
    <xf numFmtId="41" fontId="43" fillId="17" borderId="16" xfId="1959" applyFont="1" applyFill="1" applyBorder="1" applyAlignment="1">
      <alignment vertical="center"/>
    </xf>
    <xf numFmtId="41" fontId="112" fillId="17" borderId="25" xfId="1959" applyFont="1" applyFill="1" applyBorder="1" applyAlignment="1">
      <alignment vertical="center"/>
    </xf>
    <xf numFmtId="41" fontId="112" fillId="17" borderId="16" xfId="1959" applyFont="1" applyFill="1" applyBorder="1" applyAlignment="1">
      <alignment vertical="center"/>
    </xf>
    <xf numFmtId="41" fontId="112" fillId="0" borderId="55" xfId="1959" applyFont="1" applyFill="1" applyBorder="1" applyAlignment="1">
      <alignment vertical="center"/>
    </xf>
    <xf numFmtId="41" fontId="40" fillId="17" borderId="15" xfId="1959" applyFont="1" applyFill="1" applyBorder="1" applyAlignment="1">
      <alignment vertical="center"/>
    </xf>
    <xf numFmtId="41" fontId="112" fillId="17" borderId="100" xfId="1959" applyFont="1" applyFill="1" applyBorder="1" applyAlignment="1">
      <alignment vertical="center"/>
    </xf>
    <xf numFmtId="41" fontId="40" fillId="17" borderId="100" xfId="1959" applyFont="1" applyFill="1" applyBorder="1" applyAlignment="1">
      <alignment vertical="center"/>
    </xf>
    <xf numFmtId="41" fontId="112" fillId="0" borderId="100" xfId="1959" applyFont="1" applyFill="1" applyBorder="1" applyAlignment="1">
      <alignment vertical="center"/>
    </xf>
    <xf numFmtId="41" fontId="40" fillId="0" borderId="15" xfId="1959" applyFont="1" applyFill="1" applyBorder="1" applyAlignment="1">
      <alignment vertical="center"/>
    </xf>
    <xf numFmtId="41" fontId="40" fillId="0" borderId="55" xfId="1959" applyFont="1" applyFill="1" applyBorder="1" applyAlignment="1">
      <alignment vertical="center"/>
    </xf>
    <xf numFmtId="195" fontId="112" fillId="17" borderId="15" xfId="0" applyNumberFormat="1" applyFont="1" applyFill="1" applyBorder="1" applyAlignment="1">
      <alignment vertical="center"/>
    </xf>
    <xf numFmtId="195" fontId="40" fillId="17" borderId="6" xfId="0" applyNumberFormat="1" applyFont="1" applyFill="1" applyBorder="1" applyAlignment="1">
      <alignment vertical="center"/>
    </xf>
    <xf numFmtId="195" fontId="40" fillId="17" borderId="33" xfId="0" applyNumberFormat="1" applyFont="1" applyFill="1" applyBorder="1" applyAlignment="1">
      <alignment vertical="center"/>
    </xf>
    <xf numFmtId="195" fontId="40" fillId="0" borderId="15" xfId="0" applyNumberFormat="1" applyFont="1" applyBorder="1" applyAlignment="1">
      <alignment vertical="center"/>
    </xf>
    <xf numFmtId="195" fontId="40" fillId="18" borderId="6" xfId="0" applyNumberFormat="1" applyFont="1" applyFill="1" applyBorder="1" applyAlignment="1">
      <alignment vertical="center"/>
    </xf>
    <xf numFmtId="199" fontId="40" fillId="0" borderId="27" xfId="1959" applyNumberFormat="1" applyFont="1" applyFill="1" applyBorder="1" applyAlignment="1">
      <alignment vertical="center"/>
    </xf>
    <xf numFmtId="199" fontId="40" fillId="0" borderId="6" xfId="1959" applyNumberFormat="1" applyFont="1" applyFill="1" applyBorder="1" applyAlignment="1">
      <alignment vertical="center"/>
    </xf>
    <xf numFmtId="199" fontId="40" fillId="18" borderId="27" xfId="1959" applyNumberFormat="1" applyFont="1" applyFill="1" applyBorder="1" applyAlignment="1">
      <alignment vertical="center"/>
    </xf>
    <xf numFmtId="199" fontId="40" fillId="18" borderId="6" xfId="1959" applyNumberFormat="1" applyFont="1" applyFill="1" applyBorder="1" applyAlignment="1">
      <alignment vertical="center"/>
    </xf>
    <xf numFmtId="199" fontId="112" fillId="0" borderId="105" xfId="1959" applyNumberFormat="1" applyFont="1" applyFill="1" applyBorder="1" applyAlignment="1">
      <alignment vertical="center"/>
    </xf>
    <xf numFmtId="199" fontId="112" fillId="0" borderId="16" xfId="1959" applyNumberFormat="1" applyFont="1" applyFill="1" applyBorder="1" applyAlignment="1">
      <alignment vertical="center"/>
    </xf>
    <xf numFmtId="199" fontId="113" fillId="18" borderId="6" xfId="1959" applyNumberFormat="1" applyFont="1" applyFill="1" applyBorder="1" applyAlignment="1">
      <alignment vertical="center"/>
    </xf>
    <xf numFmtId="199" fontId="40" fillId="16" borderId="10" xfId="1959" applyNumberFormat="1" applyFont="1" applyFill="1" applyBorder="1" applyAlignment="1">
      <alignment vertical="center"/>
    </xf>
    <xf numFmtId="199" fontId="43" fillId="18" borderId="27" xfId="1959" applyNumberFormat="1" applyFont="1" applyFill="1" applyBorder="1" applyAlignment="1">
      <alignment vertical="center"/>
    </xf>
    <xf numFmtId="199" fontId="40" fillId="0" borderId="12" xfId="1959" applyNumberFormat="1" applyFont="1" applyFill="1" applyBorder="1" applyAlignment="1">
      <alignment vertical="center"/>
    </xf>
    <xf numFmtId="199" fontId="40" fillId="0" borderId="33" xfId="1959" applyNumberFormat="1" applyFont="1" applyFill="1" applyBorder="1" applyAlignment="1">
      <alignment vertical="center"/>
    </xf>
    <xf numFmtId="199" fontId="40" fillId="0" borderId="14" xfId="1959" applyNumberFormat="1" applyFont="1" applyFill="1" applyBorder="1" applyAlignment="1">
      <alignment vertical="center"/>
    </xf>
    <xf numFmtId="200" fontId="40" fillId="0" borderId="0" xfId="0" applyNumberFormat="1" applyFont="1" applyAlignment="1">
      <alignment vertical="center"/>
    </xf>
    <xf numFmtId="41" fontId="52" fillId="0" borderId="93" xfId="1959" applyFont="1" applyBorder="1" applyAlignment="1">
      <alignment vertical="center"/>
    </xf>
    <xf numFmtId="0" fontId="37" fillId="0" borderId="0" xfId="0" applyFont="1" applyAlignment="1">
      <alignment horizontal="center" vertical="center"/>
    </xf>
    <xf numFmtId="41" fontId="119" fillId="0" borderId="0" xfId="0" applyNumberFormat="1" applyFont="1" applyAlignment="1">
      <alignment vertical="center"/>
    </xf>
    <xf numFmtId="0" fontId="144" fillId="0" borderId="92" xfId="0" applyFont="1" applyBorder="1" applyAlignment="1">
      <alignment horizontal="center" vertical="center"/>
    </xf>
    <xf numFmtId="0" fontId="145" fillId="0" borderId="95" xfId="0" applyFont="1" applyBorder="1" applyAlignment="1">
      <alignment horizontal="center" vertical="center"/>
    </xf>
    <xf numFmtId="0" fontId="49" fillId="0" borderId="0" xfId="0" applyFont="1" applyAlignment="1">
      <alignment horizontal="centerContinuous"/>
    </xf>
    <xf numFmtId="201" fontId="38" fillId="0" borderId="0" xfId="0" applyNumberFormat="1" applyFont="1" applyAlignment="1">
      <alignment vertical="center"/>
    </xf>
    <xf numFmtId="189" fontId="40" fillId="0" borderId="0" xfId="0" applyNumberFormat="1" applyFont="1" applyAlignment="1">
      <alignment vertical="center"/>
    </xf>
    <xf numFmtId="199" fontId="112" fillId="0" borderId="98" xfId="1959" applyNumberFormat="1" applyFont="1" applyFill="1" applyBorder="1" applyAlignment="1">
      <alignment vertical="center"/>
    </xf>
    <xf numFmtId="199" fontId="112" fillId="0" borderId="99" xfId="1959" applyNumberFormat="1" applyFont="1" applyFill="1" applyBorder="1" applyAlignment="1">
      <alignment vertical="center"/>
    </xf>
    <xf numFmtId="41" fontId="112" fillId="18" borderId="6" xfId="1959" applyFont="1" applyFill="1" applyBorder="1" applyAlignment="1">
      <alignment vertical="center"/>
    </xf>
    <xf numFmtId="41" fontId="36" fillId="0" borderId="0" xfId="0" applyNumberFormat="1" applyFont="1" applyAlignment="1">
      <alignment vertical="center"/>
    </xf>
    <xf numFmtId="0" fontId="40" fillId="17" borderId="9" xfId="0" applyFont="1" applyFill="1" applyBorder="1" applyAlignment="1">
      <alignment horizontal="center" vertical="center"/>
    </xf>
    <xf numFmtId="0" fontId="40" fillId="17" borderId="10" xfId="0" applyFont="1" applyFill="1" applyBorder="1" applyAlignment="1">
      <alignment horizontal="center" vertical="center"/>
    </xf>
    <xf numFmtId="0" fontId="40" fillId="17" borderId="101" xfId="0" applyFont="1" applyFill="1" applyBorder="1" applyAlignment="1">
      <alignment horizontal="centerContinuous" vertical="center"/>
    </xf>
    <xf numFmtId="0" fontId="40" fillId="17" borderId="98" xfId="0" applyFont="1" applyFill="1" applyBorder="1" applyAlignment="1">
      <alignment horizontal="centerContinuous" vertical="center"/>
    </xf>
    <xf numFmtId="41" fontId="40" fillId="17" borderId="100" xfId="0" applyNumberFormat="1" applyFont="1" applyFill="1" applyBorder="1" applyAlignment="1">
      <alignment vertical="center"/>
    </xf>
    <xf numFmtId="195" fontId="112" fillId="17" borderId="105" xfId="0" applyNumberFormat="1" applyFont="1" applyFill="1" applyBorder="1" applyAlignment="1">
      <alignment vertical="center"/>
    </xf>
    <xf numFmtId="41" fontId="40" fillId="17" borderId="105" xfId="0" applyNumberFormat="1" applyFont="1" applyFill="1" applyBorder="1" applyAlignment="1">
      <alignment vertical="center"/>
    </xf>
    <xf numFmtId="0" fontId="40" fillId="17" borderId="104" xfId="0" applyFont="1" applyFill="1" applyBorder="1" applyAlignment="1">
      <alignment horizontal="centerContinuous" vertical="center"/>
    </xf>
    <xf numFmtId="177" fontId="40" fillId="17" borderId="100" xfId="0" applyNumberFormat="1" applyFont="1" applyFill="1" applyBorder="1" applyAlignment="1">
      <alignment vertical="center"/>
    </xf>
    <xf numFmtId="199" fontId="112" fillId="0" borderId="104" xfId="1959" applyNumberFormat="1" applyFont="1" applyFill="1" applyBorder="1" applyAlignment="1">
      <alignment vertical="center"/>
    </xf>
    <xf numFmtId="195" fontId="40" fillId="0" borderId="100" xfId="0" applyNumberFormat="1" applyFont="1" applyBorder="1" applyAlignment="1">
      <alignment vertical="center"/>
    </xf>
    <xf numFmtId="199" fontId="112" fillId="0" borderId="100" xfId="1959" applyNumberFormat="1" applyFont="1" applyFill="1" applyBorder="1" applyAlignment="1">
      <alignment vertical="center"/>
    </xf>
    <xf numFmtId="195" fontId="54" fillId="0" borderId="100" xfId="0" applyNumberFormat="1" applyFont="1" applyBorder="1" applyAlignment="1">
      <alignment vertical="center"/>
    </xf>
    <xf numFmtId="41" fontId="43" fillId="17" borderId="100" xfId="1959" applyFont="1" applyFill="1" applyBorder="1" applyAlignment="1">
      <alignment vertical="center"/>
    </xf>
    <xf numFmtId="41" fontId="50" fillId="17" borderId="100" xfId="1959" applyFont="1" applyFill="1" applyBorder="1" applyAlignment="1">
      <alignment vertical="center"/>
    </xf>
    <xf numFmtId="41" fontId="112" fillId="17" borderId="105" xfId="1959" applyFont="1" applyFill="1" applyBorder="1" applyAlignment="1">
      <alignment vertical="center"/>
    </xf>
    <xf numFmtId="41" fontId="40" fillId="0" borderId="100" xfId="1959" applyFont="1" applyFill="1" applyBorder="1" applyAlignment="1">
      <alignment vertical="center"/>
    </xf>
    <xf numFmtId="0" fontId="150" fillId="54" borderId="181" xfId="0" applyFont="1" applyFill="1" applyBorder="1" applyAlignment="1">
      <alignment horizontal="center" vertical="center" wrapText="1"/>
    </xf>
    <xf numFmtId="0" fontId="150" fillId="54" borderId="182" xfId="0" applyFont="1" applyFill="1" applyBorder="1" applyAlignment="1">
      <alignment horizontal="center" vertical="center" wrapText="1"/>
    </xf>
    <xf numFmtId="0" fontId="150" fillId="54" borderId="183" xfId="0" applyFont="1" applyFill="1" applyBorder="1" applyAlignment="1">
      <alignment horizontal="center" vertical="center" wrapText="1"/>
    </xf>
    <xf numFmtId="0" fontId="153" fillId="54" borderId="184" xfId="0" applyFont="1" applyFill="1" applyBorder="1" applyAlignment="1">
      <alignment horizontal="center" vertical="center" wrapText="1"/>
    </xf>
    <xf numFmtId="0" fontId="153" fillId="54" borderId="185" xfId="0" applyFont="1" applyFill="1" applyBorder="1" applyAlignment="1">
      <alignment horizontal="center" vertical="center" wrapText="1"/>
    </xf>
    <xf numFmtId="0" fontId="150" fillId="54" borderId="186" xfId="0" applyFont="1" applyFill="1" applyBorder="1" applyAlignment="1">
      <alignment horizontal="center" vertical="center" wrapText="1"/>
    </xf>
    <xf numFmtId="0" fontId="138" fillId="0" borderId="145" xfId="2697" applyFont="1" applyBorder="1">
      <alignment vertical="center"/>
    </xf>
    <xf numFmtId="176" fontId="154" fillId="0" borderId="94" xfId="0" applyNumberFormat="1" applyFont="1" applyBorder="1" applyAlignment="1">
      <alignment vertical="center"/>
    </xf>
    <xf numFmtId="0" fontId="51" fillId="55" borderId="0" xfId="0" applyFont="1" applyFill="1" applyAlignment="1">
      <alignment horizontal="left" vertical="center"/>
    </xf>
    <xf numFmtId="41" fontId="40" fillId="16" borderId="10" xfId="1959" applyFont="1" applyFill="1" applyBorder="1" applyAlignment="1">
      <alignment vertical="center" shrinkToFit="1"/>
    </xf>
    <xf numFmtId="177" fontId="40" fillId="16" borderId="28" xfId="1959" applyNumberFormat="1" applyFont="1" applyFill="1" applyBorder="1" applyAlignment="1">
      <alignment vertical="center" shrinkToFit="1"/>
    </xf>
    <xf numFmtId="199" fontId="40" fillId="0" borderId="27" xfId="1959" applyNumberFormat="1" applyFont="1" applyFill="1" applyBorder="1" applyAlignment="1">
      <alignment vertical="center" shrinkToFit="1"/>
    </xf>
    <xf numFmtId="0" fontId="150" fillId="51" borderId="181" xfId="0" applyFont="1" applyFill="1" applyBorder="1" applyAlignment="1">
      <alignment horizontal="center" vertical="center" wrapText="1"/>
    </xf>
    <xf numFmtId="0" fontId="36" fillId="51" borderId="0" xfId="0" applyFont="1" applyFill="1" applyAlignment="1">
      <alignment horizontal="center" vertical="center"/>
    </xf>
    <xf numFmtId="195" fontId="112" fillId="0" borderId="100" xfId="0" applyNumberFormat="1" applyFont="1" applyBorder="1" applyAlignment="1">
      <alignment vertical="center"/>
    </xf>
    <xf numFmtId="3" fontId="151" fillId="0" borderId="184" xfId="0" applyNumberFormat="1" applyFont="1" applyBorder="1" applyAlignment="1">
      <alignment horizontal="right" vertical="center" wrapText="1"/>
    </xf>
    <xf numFmtId="190" fontId="152" fillId="0" borderId="185" xfId="2696" applyNumberFormat="1" applyFont="1" applyBorder="1" applyAlignment="1">
      <alignment horizontal="center" vertical="center" wrapText="1"/>
    </xf>
    <xf numFmtId="3" fontId="151" fillId="0" borderId="188" xfId="0" applyNumberFormat="1" applyFont="1" applyBorder="1" applyAlignment="1">
      <alignment horizontal="right" vertical="center" wrapText="1"/>
    </xf>
    <xf numFmtId="190" fontId="152" fillId="0" borderId="188" xfId="2696" applyNumberFormat="1" applyFont="1" applyBorder="1" applyAlignment="1">
      <alignment horizontal="center" vertical="center" wrapText="1"/>
    </xf>
    <xf numFmtId="195" fontId="114" fillId="17" borderId="16" xfId="1959" applyNumberFormat="1" applyFont="1" applyFill="1" applyBorder="1" applyAlignment="1">
      <alignment horizontal="center" vertical="center"/>
    </xf>
    <xf numFmtId="3" fontId="150" fillId="0" borderId="188" xfId="0" applyNumberFormat="1" applyFont="1" applyBorder="1" applyAlignment="1">
      <alignment horizontal="right" vertical="center" wrapText="1"/>
    </xf>
    <xf numFmtId="190" fontId="150" fillId="0" borderId="188" xfId="2696" applyNumberFormat="1" applyFont="1" applyFill="1" applyBorder="1" applyAlignment="1">
      <alignment horizontal="right" vertical="center" wrapText="1"/>
    </xf>
    <xf numFmtId="190" fontId="152" fillId="0" borderId="188" xfId="2696" applyNumberFormat="1" applyFont="1" applyFill="1" applyBorder="1" applyAlignment="1">
      <alignment horizontal="center" vertical="center" wrapText="1"/>
    </xf>
    <xf numFmtId="3" fontId="150" fillId="0" borderId="184" xfId="0" applyNumberFormat="1" applyFont="1" applyBorder="1" applyAlignment="1">
      <alignment horizontal="right" vertical="center" wrapText="1"/>
    </xf>
    <xf numFmtId="190" fontId="150" fillId="0" borderId="185" xfId="0" applyNumberFormat="1" applyFont="1" applyBorder="1" applyAlignment="1">
      <alignment horizontal="right" vertical="center" wrapText="1"/>
    </xf>
    <xf numFmtId="190" fontId="152" fillId="0" borderId="185" xfId="2696" applyNumberFormat="1" applyFont="1" applyFill="1" applyBorder="1" applyAlignment="1">
      <alignment horizontal="center" vertical="center" wrapText="1"/>
    </xf>
    <xf numFmtId="0" fontId="38" fillId="0" borderId="43" xfId="0" applyFont="1" applyBorder="1" applyAlignment="1">
      <alignment vertical="center"/>
    </xf>
    <xf numFmtId="177" fontId="38" fillId="0" borderId="92" xfId="0" applyNumberFormat="1" applyFont="1" applyBorder="1" applyAlignment="1">
      <alignment vertical="center"/>
    </xf>
    <xf numFmtId="177" fontId="38" fillId="0" borderId="93" xfId="0" applyNumberFormat="1" applyFont="1" applyBorder="1" applyAlignment="1">
      <alignment vertical="center"/>
    </xf>
    <xf numFmtId="0" fontId="38" fillId="0" borderId="94" xfId="0" applyFont="1" applyBorder="1" applyAlignment="1">
      <alignment vertical="center"/>
    </xf>
    <xf numFmtId="0" fontId="38" fillId="0" borderId="92" xfId="0" applyFont="1" applyBorder="1" applyAlignment="1">
      <alignment vertical="center"/>
    </xf>
    <xf numFmtId="41" fontId="38" fillId="0" borderId="93" xfId="0" applyNumberFormat="1" applyFont="1" applyBorder="1" applyAlignment="1">
      <alignment vertical="center"/>
    </xf>
    <xf numFmtId="0" fontId="38" fillId="0" borderId="95" xfId="0" applyFont="1" applyBorder="1" applyAlignment="1">
      <alignment vertical="center"/>
    </xf>
    <xf numFmtId="177" fontId="38" fillId="0" borderId="96" xfId="0" applyNumberFormat="1" applyFont="1" applyBorder="1" applyAlignment="1">
      <alignment vertical="center"/>
    </xf>
    <xf numFmtId="43" fontId="38" fillId="0" borderId="96" xfId="0" applyNumberFormat="1" applyFont="1" applyBorder="1" applyAlignment="1">
      <alignment vertical="center"/>
    </xf>
    <xf numFmtId="0" fontId="38" fillId="0" borderId="97" xfId="0" applyFont="1" applyBorder="1" applyAlignment="1">
      <alignment vertical="center"/>
    </xf>
    <xf numFmtId="177" fontId="38" fillId="0" borderId="41" xfId="0" applyNumberFormat="1" applyFont="1" applyBorder="1" applyAlignment="1">
      <alignment horizontal="center" vertical="center"/>
    </xf>
    <xf numFmtId="0" fontId="38" fillId="0" borderId="42" xfId="0" applyFont="1" applyBorder="1" applyAlignment="1">
      <alignment horizontal="center" vertical="center"/>
    </xf>
    <xf numFmtId="190" fontId="38" fillId="0" borderId="0" xfId="2696" applyNumberFormat="1" applyFont="1" applyAlignment="1">
      <alignment vertical="center"/>
    </xf>
    <xf numFmtId="41" fontId="38" fillId="0" borderId="0" xfId="1959" applyFont="1" applyAlignment="1">
      <alignment vertical="center"/>
    </xf>
    <xf numFmtId="0" fontId="143" fillId="0" borderId="0" xfId="0" applyFont="1" applyAlignment="1">
      <alignment vertical="center"/>
    </xf>
    <xf numFmtId="0" fontId="115" fillId="51" borderId="181" xfId="0" applyFont="1" applyFill="1" applyBorder="1" applyAlignment="1">
      <alignment horizontal="center" vertical="center" wrapText="1"/>
    </xf>
    <xf numFmtId="0" fontId="49" fillId="52" borderId="50" xfId="0" applyFont="1" applyFill="1" applyBorder="1"/>
    <xf numFmtId="0" fontId="49" fillId="52" borderId="48" xfId="0" applyFont="1" applyFill="1" applyBorder="1" applyAlignment="1">
      <alignment horizontal="center"/>
    </xf>
    <xf numFmtId="0" fontId="49" fillId="52" borderId="51" xfId="0" applyFont="1" applyFill="1" applyBorder="1" applyAlignment="1">
      <alignment horizontal="center"/>
    </xf>
    <xf numFmtId="189" fontId="49" fillId="52" borderId="51" xfId="1959" applyNumberFormat="1" applyFont="1" applyFill="1" applyBorder="1"/>
    <xf numFmtId="43" fontId="38" fillId="0" borderId="0" xfId="0" applyNumberFormat="1" applyFont="1" applyAlignment="1">
      <alignment vertical="center"/>
    </xf>
    <xf numFmtId="195" fontId="114" fillId="17" borderId="25" xfId="1959" applyNumberFormat="1" applyFont="1" applyFill="1" applyBorder="1" applyAlignment="1">
      <alignment horizontal="center" vertical="center"/>
    </xf>
    <xf numFmtId="41" fontId="114" fillId="17" borderId="25" xfId="1959" applyFont="1" applyFill="1" applyBorder="1" applyAlignment="1">
      <alignment horizontal="center" vertical="center"/>
    </xf>
    <xf numFmtId="209" fontId="36" fillId="0" borderId="0" xfId="0" applyNumberFormat="1" applyFont="1" applyAlignment="1">
      <alignment vertical="center"/>
    </xf>
    <xf numFmtId="41" fontId="119" fillId="0" borderId="188" xfId="1959" applyFont="1" applyFill="1" applyBorder="1" applyAlignment="1">
      <alignment horizontal="center" vertical="center" wrapText="1"/>
    </xf>
    <xf numFmtId="41" fontId="119" fillId="0" borderId="184" xfId="1959" applyFont="1" applyFill="1" applyBorder="1" applyAlignment="1">
      <alignment horizontal="center" vertical="center" wrapText="1"/>
    </xf>
    <xf numFmtId="205" fontId="151" fillId="0" borderId="188" xfId="0" applyNumberFormat="1" applyFont="1" applyBorder="1" applyAlignment="1">
      <alignment horizontal="right" vertical="center" wrapText="1"/>
    </xf>
    <xf numFmtId="205" fontId="150" fillId="0" borderId="188" xfId="0" applyNumberFormat="1" applyFont="1" applyBorder="1" applyAlignment="1">
      <alignment horizontal="right" vertical="center" wrapText="1"/>
    </xf>
    <xf numFmtId="190" fontId="150" fillId="0" borderId="188" xfId="0" applyNumberFormat="1" applyFont="1" applyBorder="1" applyAlignment="1">
      <alignment horizontal="right" vertical="center" wrapText="1"/>
    </xf>
    <xf numFmtId="210" fontId="150" fillId="0" borderId="188" xfId="0" applyNumberFormat="1" applyFont="1" applyBorder="1" applyAlignment="1">
      <alignment horizontal="right" vertical="center" wrapText="1"/>
    </xf>
    <xf numFmtId="205" fontId="151" fillId="0" borderId="199" xfId="0" applyNumberFormat="1" applyFont="1" applyBorder="1" applyAlignment="1">
      <alignment horizontal="right" vertical="center" wrapText="1"/>
    </xf>
    <xf numFmtId="205" fontId="150" fillId="0" borderId="199" xfId="0" applyNumberFormat="1" applyFont="1" applyBorder="1" applyAlignment="1">
      <alignment horizontal="right" vertical="center" wrapText="1"/>
    </xf>
    <xf numFmtId="190" fontId="150" fillId="0" borderId="199" xfId="0" applyNumberFormat="1" applyFont="1" applyBorder="1" applyAlignment="1">
      <alignment horizontal="right" vertical="center" wrapText="1"/>
    </xf>
    <xf numFmtId="210" fontId="150" fillId="0" borderId="199" xfId="0" applyNumberFormat="1" applyFont="1" applyBorder="1" applyAlignment="1">
      <alignment horizontal="right" vertical="center" wrapText="1"/>
    </xf>
    <xf numFmtId="190" fontId="152" fillId="0" borderId="199" xfId="2696" applyNumberFormat="1" applyFont="1" applyFill="1" applyBorder="1" applyAlignment="1">
      <alignment horizontal="center" vertical="center" wrapText="1"/>
    </xf>
    <xf numFmtId="190" fontId="152" fillId="0" borderId="199" xfId="2696" applyNumberFormat="1" applyFont="1" applyBorder="1" applyAlignment="1">
      <alignment horizontal="center" vertical="center" wrapText="1"/>
    </xf>
    <xf numFmtId="0" fontId="40" fillId="52" borderId="7" xfId="0" applyFont="1" applyFill="1" applyBorder="1" applyAlignment="1">
      <alignment horizontal="centerContinuous" vertical="center"/>
    </xf>
    <xf numFmtId="0" fontId="113" fillId="52" borderId="10" xfId="0" applyFont="1" applyFill="1" applyBorder="1" applyAlignment="1">
      <alignment horizontal="center" vertical="center"/>
    </xf>
    <xf numFmtId="182" fontId="38" fillId="52" borderId="6" xfId="0" applyNumberFormat="1" applyFont="1" applyFill="1" applyBorder="1" applyAlignment="1">
      <alignment horizontal="center" vertical="center"/>
    </xf>
    <xf numFmtId="195" fontId="38" fillId="52" borderId="6" xfId="1959" applyNumberFormat="1" applyFont="1" applyFill="1" applyBorder="1" applyAlignment="1">
      <alignment horizontal="center" vertical="center"/>
    </xf>
    <xf numFmtId="41" fontId="38" fillId="52" borderId="6" xfId="1959" applyFont="1" applyFill="1" applyBorder="1" applyAlignment="1">
      <alignment horizontal="center" vertical="center"/>
    </xf>
    <xf numFmtId="182" fontId="38" fillId="52" borderId="34" xfId="0" applyNumberFormat="1" applyFont="1" applyFill="1" applyBorder="1" applyAlignment="1">
      <alignment horizontal="center" vertical="center"/>
    </xf>
    <xf numFmtId="195" fontId="155" fillId="52" borderId="34" xfId="1959" applyNumberFormat="1" applyFont="1" applyFill="1" applyBorder="1" applyAlignment="1">
      <alignment horizontal="center" vertical="center"/>
    </xf>
    <xf numFmtId="41" fontId="155" fillId="52" borderId="34" xfId="1959" applyFont="1" applyFill="1" applyBorder="1" applyAlignment="1">
      <alignment horizontal="center" vertical="center"/>
    </xf>
    <xf numFmtId="0" fontId="37" fillId="52" borderId="93" xfId="0" applyFont="1" applyFill="1" applyBorder="1" applyAlignment="1">
      <alignment horizontal="center" vertical="center"/>
    </xf>
    <xf numFmtId="0" fontId="37" fillId="52" borderId="94" xfId="0" applyFont="1" applyFill="1" applyBorder="1" applyAlignment="1">
      <alignment horizontal="center" vertical="center"/>
    </xf>
    <xf numFmtId="0" fontId="37" fillId="52" borderId="92" xfId="0" applyFont="1" applyFill="1" applyBorder="1" applyAlignment="1">
      <alignment horizontal="center" vertical="center"/>
    </xf>
    <xf numFmtId="0" fontId="37" fillId="52" borderId="41" xfId="0" applyFont="1" applyFill="1" applyBorder="1" applyAlignment="1">
      <alignment horizontal="center" vertical="center"/>
    </xf>
    <xf numFmtId="0" fontId="37" fillId="52" borderId="42" xfId="0" applyFont="1" applyFill="1" applyBorder="1" applyAlignment="1">
      <alignment horizontal="center" vertical="center"/>
    </xf>
    <xf numFmtId="0" fontId="37" fillId="52" borderId="43" xfId="0" applyFont="1" applyFill="1" applyBorder="1" applyAlignment="1">
      <alignment horizontal="center" vertical="center"/>
    </xf>
    <xf numFmtId="0" fontId="144" fillId="52" borderId="41" xfId="0" applyFont="1" applyFill="1" applyBorder="1" applyAlignment="1">
      <alignment horizontal="center" vertical="center"/>
    </xf>
    <xf numFmtId="176" fontId="144" fillId="52" borderId="43" xfId="0" applyNumberFormat="1" applyFont="1" applyFill="1" applyBorder="1" applyAlignment="1">
      <alignment horizontal="center" vertical="center"/>
    </xf>
    <xf numFmtId="41" fontId="35" fillId="0" borderId="100" xfId="1959" applyFont="1" applyBorder="1" applyAlignment="1">
      <alignment horizontal="center" vertical="center"/>
    </xf>
    <xf numFmtId="195" fontId="35" fillId="0" borderId="100" xfId="1959" applyNumberFormat="1" applyFont="1" applyBorder="1" applyAlignment="1">
      <alignment horizontal="center" vertical="center"/>
    </xf>
    <xf numFmtId="195" fontId="35" fillId="0" borderId="16" xfId="1959" applyNumberFormat="1" applyFont="1" applyBorder="1" applyAlignment="1">
      <alignment horizontal="center" vertical="center"/>
    </xf>
    <xf numFmtId="41" fontId="35" fillId="0" borderId="16" xfId="1959" applyFont="1" applyBorder="1" applyAlignment="1">
      <alignment horizontal="center" vertical="center"/>
    </xf>
    <xf numFmtId="211" fontId="38" fillId="0" borderId="0" xfId="1959" applyNumberFormat="1" applyFont="1" applyFill="1" applyAlignment="1">
      <alignment vertical="center"/>
    </xf>
    <xf numFmtId="211" fontId="38" fillId="0" borderId="0" xfId="0" applyNumberFormat="1" applyFont="1" applyAlignment="1">
      <alignment vertical="center"/>
    </xf>
    <xf numFmtId="0" fontId="56" fillId="0" borderId="0" xfId="0" applyFont="1" applyAlignment="1">
      <alignment horizontal="center" vertical="center"/>
    </xf>
    <xf numFmtId="0" fontId="56" fillId="0" borderId="81" xfId="0" applyFont="1" applyBorder="1" applyAlignment="1">
      <alignment horizontal="center" vertical="center"/>
    </xf>
    <xf numFmtId="0" fontId="36" fillId="56" borderId="26" xfId="0" applyFont="1" applyFill="1" applyBorder="1" applyAlignment="1">
      <alignment horizontal="center" vertical="center"/>
    </xf>
    <xf numFmtId="41" fontId="36" fillId="56" borderId="6" xfId="1959" applyFont="1" applyFill="1" applyBorder="1" applyAlignment="1">
      <alignment horizontal="center" vertical="center"/>
    </xf>
    <xf numFmtId="0" fontId="36" fillId="56" borderId="208" xfId="0" applyFont="1" applyFill="1" applyBorder="1" applyAlignment="1">
      <alignment horizontal="center" vertical="center"/>
    </xf>
    <xf numFmtId="0" fontId="36" fillId="56" borderId="209" xfId="0" applyFont="1" applyFill="1" applyBorder="1" applyAlignment="1">
      <alignment horizontal="center" vertical="center"/>
    </xf>
    <xf numFmtId="41" fontId="36" fillId="56" borderId="26" xfId="1959" applyFont="1" applyFill="1" applyBorder="1" applyAlignment="1">
      <alignment horizontal="center" vertical="center"/>
    </xf>
    <xf numFmtId="212" fontId="36" fillId="0" borderId="6" xfId="0" applyNumberFormat="1" applyFont="1" applyBorder="1" applyAlignment="1">
      <alignment horizontal="right" vertical="center"/>
    </xf>
    <xf numFmtId="0" fontId="36" fillId="0" borderId="0" xfId="0" applyFont="1" applyAlignment="1">
      <alignment horizontal="right" vertical="center"/>
    </xf>
    <xf numFmtId="176" fontId="159" fillId="0" borderId="0" xfId="0" applyNumberFormat="1" applyFont="1" applyAlignment="1">
      <alignment vertical="center"/>
    </xf>
    <xf numFmtId="206" fontId="159" fillId="0" borderId="0" xfId="0" applyNumberFormat="1" applyFont="1" applyAlignment="1">
      <alignment vertical="center"/>
    </xf>
    <xf numFmtId="0" fontId="159" fillId="0" borderId="0" xfId="0" applyFont="1" applyAlignment="1">
      <alignment horizontal="center" vertical="center"/>
    </xf>
    <xf numFmtId="41" fontId="116" fillId="56" borderId="208" xfId="1959" applyFont="1" applyFill="1" applyBorder="1" applyAlignment="1">
      <alignment horizontal="center" vertical="center"/>
    </xf>
    <xf numFmtId="41" fontId="116" fillId="56" borderId="6" xfId="1959" applyFont="1" applyFill="1" applyBorder="1" applyAlignment="1">
      <alignment horizontal="center" vertical="center"/>
    </xf>
    <xf numFmtId="0" fontId="36" fillId="57" borderId="6" xfId="0" applyFont="1" applyFill="1" applyBorder="1" applyAlignment="1">
      <alignment horizontal="right" vertical="center"/>
    </xf>
    <xf numFmtId="0" fontId="161" fillId="57" borderId="191" xfId="0" applyFont="1" applyFill="1" applyBorder="1" applyAlignment="1">
      <alignment horizontal="right" vertical="center"/>
    </xf>
    <xf numFmtId="0" fontId="161" fillId="57" borderId="198" xfId="0" applyFont="1" applyFill="1" applyBorder="1" applyAlignment="1">
      <alignment horizontal="right" vertical="center"/>
    </xf>
    <xf numFmtId="206" fontId="161" fillId="57" borderId="210" xfId="1959" applyNumberFormat="1" applyFont="1" applyFill="1" applyBorder="1" applyAlignment="1">
      <alignment horizontal="right" vertical="center"/>
    </xf>
    <xf numFmtId="206" fontId="161" fillId="57" borderId="191" xfId="1959" applyNumberFormat="1" applyFont="1" applyFill="1" applyBorder="1" applyAlignment="1">
      <alignment horizontal="right" vertical="center"/>
    </xf>
    <xf numFmtId="0" fontId="161" fillId="57" borderId="55" xfId="0" applyFont="1" applyFill="1" applyBorder="1" applyAlignment="1">
      <alignment horizontal="right" vertical="center"/>
    </xf>
    <xf numFmtId="0" fontId="161" fillId="57" borderId="24" xfId="0" applyFont="1" applyFill="1" applyBorder="1" applyAlignment="1">
      <alignment horizontal="right" vertical="center"/>
    </xf>
    <xf numFmtId="206" fontId="161" fillId="57" borderId="217" xfId="1959" applyNumberFormat="1" applyFont="1" applyFill="1" applyBorder="1" applyAlignment="1">
      <alignment horizontal="right" vertical="center"/>
    </xf>
    <xf numFmtId="206" fontId="161" fillId="57" borderId="218" xfId="1959" applyNumberFormat="1" applyFont="1" applyFill="1" applyBorder="1" applyAlignment="1">
      <alignment horizontal="right" vertical="center"/>
    </xf>
    <xf numFmtId="0" fontId="161" fillId="57" borderId="6" xfId="0" applyFont="1" applyFill="1" applyBorder="1" applyAlignment="1">
      <alignment horizontal="right" vertical="center"/>
    </xf>
    <xf numFmtId="0" fontId="162" fillId="52" borderId="50" xfId="0" applyFont="1" applyFill="1" applyBorder="1" applyAlignment="1">
      <alignment horizontal="center" vertical="center" wrapText="1"/>
    </xf>
    <xf numFmtId="0" fontId="162" fillId="52" borderId="48" xfId="0" applyFont="1" applyFill="1" applyBorder="1" applyAlignment="1">
      <alignment horizontal="center" vertical="center" wrapText="1"/>
    </xf>
    <xf numFmtId="192" fontId="162" fillId="52" borderId="48" xfId="0" applyNumberFormat="1" applyFont="1" applyFill="1" applyBorder="1" applyAlignment="1">
      <alignment horizontal="center" vertical="center" wrapText="1"/>
    </xf>
    <xf numFmtId="0" fontId="163" fillId="52" borderId="87" xfId="0" applyFont="1" applyFill="1" applyBorder="1" applyAlignment="1">
      <alignment horizontal="center" vertical="center" wrapText="1"/>
    </xf>
    <xf numFmtId="0" fontId="162" fillId="52" borderId="134" xfId="0" applyFont="1" applyFill="1" applyBorder="1" applyAlignment="1">
      <alignment horizontal="center" vertical="center" wrapText="1"/>
    </xf>
    <xf numFmtId="0" fontId="162" fillId="52" borderId="127" xfId="0" applyFont="1" applyFill="1" applyBorder="1" applyAlignment="1">
      <alignment horizontal="center" vertical="center" wrapText="1"/>
    </xf>
    <xf numFmtId="0" fontId="162" fillId="0" borderId="22" xfId="0" applyFont="1" applyBorder="1" applyAlignment="1">
      <alignment horizontal="center" vertical="center" shrinkToFit="1"/>
    </xf>
    <xf numFmtId="176" fontId="164" fillId="0" borderId="42" xfId="0" applyNumberFormat="1" applyFont="1" applyBorder="1" applyAlignment="1">
      <alignment vertical="center" shrinkToFit="1"/>
    </xf>
    <xf numFmtId="188" fontId="164" fillId="0" borderId="42" xfId="0" applyNumberFormat="1" applyFont="1" applyBorder="1" applyAlignment="1">
      <alignment vertical="center" shrinkToFit="1"/>
    </xf>
    <xf numFmtId="187" fontId="164" fillId="0" borderId="42" xfId="0" applyNumberFormat="1" applyFont="1" applyBorder="1" applyAlignment="1">
      <alignment vertical="center" shrinkToFit="1"/>
    </xf>
    <xf numFmtId="187" fontId="165" fillId="0" borderId="42" xfId="0" applyNumberFormat="1" applyFont="1" applyBorder="1" applyAlignment="1">
      <alignment vertical="center" shrinkToFit="1"/>
    </xf>
    <xf numFmtId="188" fontId="164" fillId="0" borderId="23" xfId="0" applyNumberFormat="1" applyFont="1" applyBorder="1" applyAlignment="1">
      <alignment vertical="center" shrinkToFit="1"/>
    </xf>
    <xf numFmtId="188" fontId="165" fillId="0" borderId="129" xfId="0" applyNumberFormat="1" applyFont="1" applyBorder="1" applyAlignment="1">
      <alignment vertical="center" shrinkToFit="1"/>
    </xf>
    <xf numFmtId="0" fontId="162" fillId="0" borderId="101" xfId="0" applyFont="1" applyBorder="1" applyAlignment="1">
      <alignment horizontal="center" vertical="center" shrinkToFit="1"/>
    </xf>
    <xf numFmtId="176" fontId="164" fillId="0" borderId="93" xfId="0" applyNumberFormat="1" applyFont="1" applyBorder="1" applyAlignment="1">
      <alignment vertical="center" shrinkToFit="1"/>
    </xf>
    <xf numFmtId="188" fontId="164" fillId="0" borderId="66" xfId="0" applyNumberFormat="1" applyFont="1" applyBorder="1" applyAlignment="1">
      <alignment vertical="center" shrinkToFit="1"/>
    </xf>
    <xf numFmtId="187" fontId="164" fillId="0" borderId="93" xfId="0" applyNumberFormat="1" applyFont="1" applyBorder="1" applyAlignment="1">
      <alignment vertical="center" shrinkToFit="1"/>
    </xf>
    <xf numFmtId="187" fontId="165" fillId="0" borderId="66" xfId="0" applyNumberFormat="1" applyFont="1" applyBorder="1" applyAlignment="1">
      <alignment vertical="center" shrinkToFit="1"/>
    </xf>
    <xf numFmtId="176" fontId="166" fillId="0" borderId="93" xfId="0" applyNumberFormat="1" applyFont="1" applyBorder="1" applyAlignment="1">
      <alignment vertical="center" shrinkToFit="1"/>
    </xf>
    <xf numFmtId="188" fontId="164" fillId="0" borderId="98" xfId="0" applyNumberFormat="1" applyFont="1" applyBorder="1" applyAlignment="1">
      <alignment vertical="center" shrinkToFit="1"/>
    </xf>
    <xf numFmtId="188" fontId="164" fillId="0" borderId="93" xfId="0" applyNumberFormat="1" applyFont="1" applyBorder="1" applyAlignment="1">
      <alignment vertical="center" shrinkToFit="1"/>
    </xf>
    <xf numFmtId="188" fontId="165" fillId="0" borderId="130" xfId="0" applyNumberFormat="1" applyFont="1" applyBorder="1" applyAlignment="1">
      <alignment vertical="center" shrinkToFit="1"/>
    </xf>
    <xf numFmtId="0" fontId="162" fillId="0" borderId="102" xfId="0" applyFont="1" applyBorder="1" applyAlignment="1">
      <alignment horizontal="center" vertical="center" shrinkToFit="1"/>
    </xf>
    <xf numFmtId="176" fontId="164" fillId="0" borderId="96" xfId="0" applyNumberFormat="1" applyFont="1" applyBorder="1" applyAlignment="1">
      <alignment vertical="center" shrinkToFit="1"/>
    </xf>
    <xf numFmtId="188" fontId="164" fillId="0" borderId="141" xfId="0" applyNumberFormat="1" applyFont="1" applyBorder="1" applyAlignment="1">
      <alignment vertical="center" shrinkToFit="1"/>
    </xf>
    <xf numFmtId="187" fontId="164" fillId="0" borderId="96" xfId="0" applyNumberFormat="1" applyFont="1" applyBorder="1" applyAlignment="1">
      <alignment vertical="center" shrinkToFit="1"/>
    </xf>
    <xf numFmtId="187" fontId="165" fillId="0" borderId="141" xfId="0" applyNumberFormat="1" applyFont="1" applyBorder="1" applyAlignment="1">
      <alignment vertical="center" shrinkToFit="1"/>
    </xf>
    <xf numFmtId="176" fontId="166" fillId="0" borderId="96" xfId="0" applyNumberFormat="1" applyFont="1" applyBorder="1" applyAlignment="1">
      <alignment vertical="center" shrinkToFit="1"/>
    </xf>
    <xf numFmtId="188" fontId="164" fillId="0" borderId="99" xfId="0" applyNumberFormat="1" applyFont="1" applyBorder="1" applyAlignment="1">
      <alignment vertical="center" shrinkToFit="1"/>
    </xf>
    <xf numFmtId="188" fontId="164" fillId="0" borderId="96" xfId="0" applyNumberFormat="1" applyFont="1" applyBorder="1" applyAlignment="1">
      <alignment vertical="center" shrinkToFit="1"/>
    </xf>
    <xf numFmtId="188" fontId="165" fillId="0" borderId="139" xfId="0" applyNumberFormat="1" applyFont="1" applyBorder="1" applyAlignment="1">
      <alignment vertical="center" shrinkToFit="1"/>
    </xf>
    <xf numFmtId="0" fontId="162" fillId="52" borderId="26" xfId="0" applyFont="1" applyFill="1" applyBorder="1" applyAlignment="1">
      <alignment horizontal="center" vertical="center" shrinkToFit="1"/>
    </xf>
    <xf numFmtId="176" fontId="166" fillId="52" borderId="50" xfId="0" applyNumberFormat="1" applyFont="1" applyFill="1" applyBorder="1" applyAlignment="1">
      <alignment vertical="center" shrinkToFit="1"/>
    </xf>
    <xf numFmtId="176" fontId="166" fillId="52" borderId="48" xfId="0" applyNumberFormat="1" applyFont="1" applyFill="1" applyBorder="1" applyAlignment="1">
      <alignment vertical="center" shrinkToFit="1"/>
    </xf>
    <xf numFmtId="188" fontId="166" fillId="52" borderId="58" xfId="0" applyNumberFormat="1" applyFont="1" applyFill="1" applyBorder="1" applyAlignment="1">
      <alignment vertical="center" shrinkToFit="1"/>
    </xf>
    <xf numFmtId="208" fontId="166" fillId="52" borderId="50" xfId="0" applyNumberFormat="1" applyFont="1" applyFill="1" applyBorder="1" applyAlignment="1">
      <alignment vertical="center" shrinkToFit="1"/>
    </xf>
    <xf numFmtId="187" fontId="164" fillId="52" borderId="48" xfId="0" applyNumberFormat="1" applyFont="1" applyFill="1" applyBorder="1" applyAlignment="1">
      <alignment vertical="center" shrinkToFit="1"/>
    </xf>
    <xf numFmtId="187" fontId="167" fillId="52" borderId="48" xfId="0" applyNumberFormat="1" applyFont="1" applyFill="1" applyBorder="1" applyAlignment="1">
      <alignment vertical="center" shrinkToFit="1"/>
    </xf>
    <xf numFmtId="176" fontId="166" fillId="52" borderId="134" xfId="0" applyNumberFormat="1" applyFont="1" applyFill="1" applyBorder="1" applyAlignment="1">
      <alignment vertical="center" shrinkToFit="1"/>
    </xf>
    <xf numFmtId="176" fontId="164" fillId="52" borderId="48" xfId="0" applyNumberFormat="1" applyFont="1" applyFill="1" applyBorder="1" applyAlignment="1">
      <alignment vertical="center" shrinkToFit="1"/>
    </xf>
    <xf numFmtId="188" fontId="164" fillId="52" borderId="27" xfId="0" applyNumberFormat="1" applyFont="1" applyFill="1" applyBorder="1" applyAlignment="1">
      <alignment vertical="center" shrinkToFit="1"/>
    </xf>
    <xf numFmtId="208" fontId="164" fillId="52" borderId="50" xfId="0" applyNumberFormat="1" applyFont="1" applyFill="1" applyBorder="1" applyAlignment="1">
      <alignment vertical="center" shrinkToFit="1"/>
    </xf>
    <xf numFmtId="188" fontId="164" fillId="52" borderId="48" xfId="0" applyNumberFormat="1" applyFont="1" applyFill="1" applyBorder="1" applyAlignment="1">
      <alignment vertical="center" shrinkToFit="1"/>
    </xf>
    <xf numFmtId="188" fontId="167" fillId="52" borderId="127" xfId="0" applyNumberFormat="1" applyFont="1" applyFill="1" applyBorder="1" applyAlignment="1">
      <alignment vertical="center" shrinkToFit="1"/>
    </xf>
    <xf numFmtId="176" fontId="166" fillId="0" borderId="53" xfId="0" applyNumberFormat="1" applyFont="1" applyBorder="1" applyAlignment="1">
      <alignment vertical="center" shrinkToFit="1"/>
    </xf>
    <xf numFmtId="188" fontId="164" fillId="0" borderId="140" xfId="0" applyNumberFormat="1" applyFont="1" applyBorder="1" applyAlignment="1">
      <alignment vertical="center" shrinkToFit="1"/>
    </xf>
    <xf numFmtId="187" fontId="164" fillId="0" borderId="53" xfId="0" applyNumberFormat="1" applyFont="1" applyBorder="1" applyAlignment="1">
      <alignment vertical="center" shrinkToFit="1"/>
    </xf>
    <xf numFmtId="176" fontId="164" fillId="0" borderId="66" xfId="0" applyNumberFormat="1" applyFont="1" applyBorder="1" applyAlignment="1">
      <alignment vertical="center" shrinkToFit="1"/>
    </xf>
    <xf numFmtId="188" fontId="164" fillId="0" borderId="53" xfId="0" applyNumberFormat="1" applyFont="1" applyBorder="1" applyAlignment="1">
      <alignment vertical="center" shrinkToFit="1"/>
    </xf>
    <xf numFmtId="188" fontId="164" fillId="0" borderId="60" xfId="0" applyNumberFormat="1" applyFont="1" applyBorder="1" applyAlignment="1">
      <alignment vertical="center" shrinkToFit="1"/>
    </xf>
    <xf numFmtId="187" fontId="165" fillId="0" borderId="60" xfId="0" applyNumberFormat="1" applyFont="1" applyBorder="1" applyAlignment="1">
      <alignment vertical="center" shrinkToFit="1"/>
    </xf>
    <xf numFmtId="187" fontId="164" fillId="0" borderId="66" xfId="0" applyNumberFormat="1" applyFont="1" applyBorder="1" applyAlignment="1">
      <alignment vertical="center" shrinkToFit="1"/>
    </xf>
    <xf numFmtId="188" fontId="165" fillId="0" borderId="131" xfId="0" applyNumberFormat="1" applyFont="1" applyBorder="1" applyAlignment="1">
      <alignment vertical="center" shrinkToFit="1"/>
    </xf>
    <xf numFmtId="176" fontId="164" fillId="52" borderId="122" xfId="0" applyNumberFormat="1" applyFont="1" applyFill="1" applyBorder="1" applyAlignment="1">
      <alignment vertical="center" shrinkToFit="1"/>
    </xf>
    <xf numFmtId="188" fontId="164" fillId="52" borderId="122" xfId="0" applyNumberFormat="1" applyFont="1" applyFill="1" applyBorder="1" applyAlignment="1">
      <alignment vertical="center" shrinkToFit="1"/>
    </xf>
    <xf numFmtId="187" fontId="164" fillId="52" borderId="42" xfId="0" applyNumberFormat="1" applyFont="1" applyFill="1" applyBorder="1" applyAlignment="1">
      <alignment vertical="center" shrinkToFit="1"/>
    </xf>
    <xf numFmtId="176" fontId="164" fillId="52" borderId="134" xfId="0" applyNumberFormat="1" applyFont="1" applyFill="1" applyBorder="1" applyAlignment="1">
      <alignment vertical="center" shrinkToFit="1"/>
    </xf>
    <xf numFmtId="188" fontId="164" fillId="52" borderId="71" xfId="0" applyNumberFormat="1" applyFont="1" applyFill="1" applyBorder="1" applyAlignment="1">
      <alignment vertical="center" shrinkToFit="1"/>
    </xf>
    <xf numFmtId="187" fontId="167" fillId="52" borderId="127" xfId="0" applyNumberFormat="1" applyFont="1" applyFill="1" applyBorder="1" applyAlignment="1">
      <alignment vertical="center" shrinkToFit="1"/>
    </xf>
    <xf numFmtId="176" fontId="163" fillId="51" borderId="125" xfId="0" applyNumberFormat="1" applyFont="1" applyFill="1" applyBorder="1" applyAlignment="1">
      <alignment vertical="center" shrinkToFit="1"/>
    </xf>
    <xf numFmtId="187" fontId="165" fillId="52" borderId="48" xfId="0" applyNumberFormat="1" applyFont="1" applyFill="1" applyBorder="1" applyAlignment="1">
      <alignment vertical="center" shrinkToFit="1"/>
    </xf>
    <xf numFmtId="188" fontId="163" fillId="51" borderId="116" xfId="0" applyNumberFormat="1" applyFont="1" applyFill="1" applyBorder="1" applyAlignment="1">
      <alignment vertical="center" shrinkToFit="1"/>
    </xf>
    <xf numFmtId="208" fontId="164" fillId="52" borderId="87" xfId="0" applyNumberFormat="1" applyFont="1" applyFill="1" applyBorder="1" applyAlignment="1">
      <alignment vertical="center" shrinkToFit="1"/>
    </xf>
    <xf numFmtId="188" fontId="165" fillId="52" borderId="127" xfId="0" applyNumberFormat="1" applyFont="1" applyFill="1" applyBorder="1" applyAlignment="1">
      <alignment vertical="center" shrinkToFit="1"/>
    </xf>
    <xf numFmtId="187" fontId="164" fillId="0" borderId="123" xfId="0" applyNumberFormat="1" applyFont="1" applyBorder="1" applyAlignment="1">
      <alignment vertical="center" shrinkToFit="1"/>
    </xf>
    <xf numFmtId="188" fontId="164" fillId="0" borderId="123" xfId="0" applyNumberFormat="1" applyFont="1" applyBorder="1" applyAlignment="1">
      <alignment vertical="center" shrinkToFit="1"/>
    </xf>
    <xf numFmtId="188" fontId="164" fillId="0" borderId="117" xfId="0" applyNumberFormat="1" applyFont="1" applyBorder="1" applyAlignment="1">
      <alignment vertical="center" shrinkToFit="1"/>
    </xf>
    <xf numFmtId="190" fontId="165" fillId="0" borderId="133" xfId="0" applyNumberFormat="1" applyFont="1" applyBorder="1" applyAlignment="1">
      <alignment vertical="center" shrinkToFit="1"/>
    </xf>
    <xf numFmtId="0" fontId="162" fillId="0" borderId="68" xfId="0" applyFont="1" applyBorder="1" applyAlignment="1">
      <alignment horizontal="center" vertical="center" shrinkToFit="1"/>
    </xf>
    <xf numFmtId="188" fontId="164" fillId="0" borderId="0" xfId="0" applyNumberFormat="1" applyFont="1" applyAlignment="1">
      <alignment vertical="center" shrinkToFit="1"/>
    </xf>
    <xf numFmtId="187" fontId="164" fillId="0" borderId="0" xfId="0" applyNumberFormat="1" applyFont="1" applyAlignment="1">
      <alignment vertical="center" shrinkToFit="1"/>
    </xf>
    <xf numFmtId="176" fontId="168" fillId="0" borderId="0" xfId="0" applyNumberFormat="1" applyFont="1" applyAlignment="1">
      <alignment vertical="center" shrinkToFit="1"/>
    </xf>
    <xf numFmtId="210" fontId="168" fillId="0" borderId="0" xfId="0" applyNumberFormat="1" applyFont="1" applyAlignment="1">
      <alignment vertical="center" shrinkToFit="1"/>
    </xf>
    <xf numFmtId="176" fontId="164" fillId="0" borderId="0" xfId="0" applyNumberFormat="1" applyFont="1" applyAlignment="1">
      <alignment vertical="center" shrinkToFit="1"/>
    </xf>
    <xf numFmtId="207" fontId="164" fillId="0" borderId="0" xfId="0" applyNumberFormat="1" applyFont="1" applyAlignment="1">
      <alignment vertical="center" shrinkToFit="1"/>
    </xf>
    <xf numFmtId="190" fontId="165" fillId="0" borderId="0" xfId="0" applyNumberFormat="1" applyFont="1" applyAlignment="1">
      <alignment vertical="center" shrinkToFit="1"/>
    </xf>
    <xf numFmtId="0" fontId="164" fillId="0" borderId="0" xfId="0" applyFont="1" applyAlignment="1">
      <alignment horizontal="center" vertical="center"/>
    </xf>
    <xf numFmtId="3" fontId="164" fillId="0" borderId="0" xfId="0" applyNumberFormat="1" applyFont="1" applyAlignment="1">
      <alignment horizontal="right" vertical="center"/>
    </xf>
    <xf numFmtId="3" fontId="169" fillId="0" borderId="0" xfId="0" applyNumberFormat="1" applyFont="1" applyAlignment="1">
      <alignment horizontal="right" vertical="center"/>
    </xf>
    <xf numFmtId="190" fontId="165" fillId="0" borderId="0" xfId="0" applyNumberFormat="1" applyFont="1" applyAlignment="1">
      <alignment horizontal="center" vertical="center"/>
    </xf>
    <xf numFmtId="0" fontId="163" fillId="52" borderId="151" xfId="0" applyFont="1" applyFill="1" applyBorder="1" applyAlignment="1">
      <alignment horizontal="center" vertical="center"/>
    </xf>
    <xf numFmtId="0" fontId="162" fillId="52" borderId="142" xfId="0" applyFont="1" applyFill="1" applyBorder="1" applyAlignment="1">
      <alignment horizontal="center" vertical="center"/>
    </xf>
    <xf numFmtId="0" fontId="162" fillId="52" borderId="226" xfId="0" applyFont="1" applyFill="1" applyBorder="1" applyAlignment="1">
      <alignment horizontal="center" vertical="center" wrapText="1"/>
    </xf>
    <xf numFmtId="3" fontId="163" fillId="52" borderId="227" xfId="0" applyNumberFormat="1" applyFont="1" applyFill="1" applyBorder="1" applyAlignment="1">
      <alignment horizontal="center" vertical="center"/>
    </xf>
    <xf numFmtId="0" fontId="162" fillId="52" borderId="151" xfId="0" applyFont="1" applyFill="1" applyBorder="1" applyAlignment="1">
      <alignment horizontal="center" vertical="center"/>
    </xf>
    <xf numFmtId="0" fontId="162" fillId="52" borderId="51" xfId="0" applyFont="1" applyFill="1" applyBorder="1" applyAlignment="1">
      <alignment horizontal="center" vertical="center" wrapText="1"/>
    </xf>
    <xf numFmtId="0" fontId="162" fillId="52" borderId="227" xfId="0" applyFont="1" applyFill="1" applyBorder="1" applyAlignment="1">
      <alignment horizontal="center" vertical="center"/>
    </xf>
    <xf numFmtId="206" fontId="166" fillId="0" borderId="53" xfId="1959" applyNumberFormat="1" applyFont="1" applyFill="1" applyBorder="1" applyAlignment="1">
      <alignment vertical="center"/>
    </xf>
    <xf numFmtId="192" fontId="166" fillId="0" borderId="61" xfId="0" applyNumberFormat="1" applyFont="1" applyBorder="1" applyAlignment="1">
      <alignment vertical="center"/>
    </xf>
    <xf numFmtId="192" fontId="164" fillId="0" borderId="53" xfId="0" applyNumberFormat="1" applyFont="1" applyBorder="1" applyAlignment="1">
      <alignment horizontal="center" vertical="center"/>
    </xf>
    <xf numFmtId="192" fontId="166" fillId="0" borderId="61" xfId="0" applyNumberFormat="1" applyFont="1" applyBorder="1" applyAlignment="1">
      <alignment horizontal="center" vertical="center"/>
    </xf>
    <xf numFmtId="206" fontId="166" fillId="0" borderId="93" xfId="1959" applyNumberFormat="1" applyFont="1" applyFill="1" applyBorder="1" applyAlignment="1">
      <alignment vertical="center"/>
    </xf>
    <xf numFmtId="192" fontId="166" fillId="0" borderId="94" xfId="0" applyNumberFormat="1" applyFont="1" applyBorder="1" applyAlignment="1">
      <alignment vertical="center"/>
    </xf>
    <xf numFmtId="192" fontId="164" fillId="0" borderId="93" xfId="0" applyNumberFormat="1" applyFont="1" applyBorder="1" applyAlignment="1">
      <alignment horizontal="center" vertical="center"/>
    </xf>
    <xf numFmtId="192" fontId="166" fillId="0" borderId="94" xfId="0" applyNumberFormat="1" applyFont="1" applyBorder="1" applyAlignment="1">
      <alignment horizontal="center" vertical="center"/>
    </xf>
    <xf numFmtId="206" fontId="166" fillId="0" borderId="96" xfId="1959" applyNumberFormat="1" applyFont="1" applyFill="1" applyBorder="1" applyAlignment="1">
      <alignment vertical="center"/>
    </xf>
    <xf numFmtId="192" fontId="166" fillId="0" borderId="97" xfId="0" applyNumberFormat="1" applyFont="1" applyBorder="1" applyAlignment="1">
      <alignment vertical="center"/>
    </xf>
    <xf numFmtId="192" fontId="164" fillId="0" borderId="96" xfId="0" applyNumberFormat="1" applyFont="1" applyBorder="1" applyAlignment="1">
      <alignment horizontal="center" vertical="center"/>
    </xf>
    <xf numFmtId="192" fontId="166" fillId="0" borderId="97" xfId="0" applyNumberFormat="1" applyFont="1" applyBorder="1" applyAlignment="1">
      <alignment horizontal="center" vertical="center"/>
    </xf>
    <xf numFmtId="205" fontId="166" fillId="52" borderId="48" xfId="0" applyNumberFormat="1" applyFont="1" applyFill="1" applyBorder="1" applyAlignment="1">
      <alignment vertical="center"/>
    </xf>
    <xf numFmtId="192" fontId="166" fillId="52" borderId="51" xfId="0" applyNumberFormat="1" applyFont="1" applyFill="1" applyBorder="1" applyAlignment="1">
      <alignment horizontal="center" vertical="center"/>
    </xf>
    <xf numFmtId="192" fontId="164" fillId="52" borderId="48" xfId="0" applyNumberFormat="1" applyFont="1" applyFill="1" applyBorder="1" applyAlignment="1">
      <alignment horizontal="center" vertical="center"/>
    </xf>
    <xf numFmtId="206" fontId="164" fillId="52" borderId="134" xfId="0" applyNumberFormat="1" applyFont="1" applyFill="1" applyBorder="1" applyAlignment="1">
      <alignment vertical="center"/>
    </xf>
    <xf numFmtId="206" fontId="164" fillId="52" borderId="48" xfId="1959" applyNumberFormat="1" applyFont="1" applyFill="1" applyBorder="1" applyAlignment="1">
      <alignment vertical="center"/>
    </xf>
    <xf numFmtId="206" fontId="164" fillId="52" borderId="87" xfId="1959" applyNumberFormat="1" applyFont="1" applyFill="1" applyBorder="1" applyAlignment="1">
      <alignment horizontal="right" vertical="center"/>
    </xf>
    <xf numFmtId="188" fontId="164" fillId="52" borderId="48" xfId="0" applyNumberFormat="1" applyFont="1" applyFill="1" applyBorder="1" applyAlignment="1">
      <alignment horizontal="center" vertical="center"/>
    </xf>
    <xf numFmtId="205" fontId="166" fillId="52" borderId="122" xfId="0" applyNumberFormat="1" applyFont="1" applyFill="1" applyBorder="1" applyAlignment="1">
      <alignment vertical="center"/>
    </xf>
    <xf numFmtId="192" fontId="166" fillId="52" borderId="228" xfId="0" applyNumberFormat="1" applyFont="1" applyFill="1" applyBorder="1" applyAlignment="1">
      <alignment horizontal="center" vertical="center"/>
    </xf>
    <xf numFmtId="206" fontId="168" fillId="52" borderId="134" xfId="0" applyNumberFormat="1" applyFont="1" applyFill="1" applyBorder="1" applyAlignment="1">
      <alignment vertical="center"/>
    </xf>
    <xf numFmtId="206" fontId="164" fillId="52" borderId="122" xfId="0" applyNumberFormat="1" applyFont="1" applyFill="1" applyBorder="1" applyAlignment="1">
      <alignment vertical="center"/>
    </xf>
    <xf numFmtId="206" fontId="164" fillId="52" borderId="87" xfId="0" applyNumberFormat="1" applyFont="1" applyFill="1" applyBorder="1" applyAlignment="1">
      <alignment horizontal="right" vertical="center"/>
    </xf>
    <xf numFmtId="206" fontId="163" fillId="51" borderId="144" xfId="0" applyNumberFormat="1" applyFont="1" applyFill="1" applyBorder="1" applyAlignment="1">
      <alignment vertical="center"/>
    </xf>
    <xf numFmtId="192" fontId="163" fillId="51" borderId="229" xfId="0" applyNumberFormat="1" applyFont="1" applyFill="1" applyBorder="1" applyAlignment="1">
      <alignment horizontal="center" vertical="center"/>
    </xf>
    <xf numFmtId="192" fontId="164" fillId="52" borderId="223" xfId="0" applyNumberFormat="1" applyFont="1" applyFill="1" applyBorder="1" applyAlignment="1">
      <alignment horizontal="center" vertical="center"/>
    </xf>
    <xf numFmtId="206" fontId="166" fillId="52" borderId="82" xfId="0" applyNumberFormat="1" applyFont="1" applyFill="1" applyBorder="1" applyAlignment="1">
      <alignment vertical="center"/>
    </xf>
    <xf numFmtId="206" fontId="164" fillId="52" borderId="167" xfId="0" applyNumberFormat="1" applyFont="1" applyFill="1" applyBorder="1" applyAlignment="1">
      <alignment horizontal="right" vertical="center"/>
    </xf>
    <xf numFmtId="188" fontId="164" fillId="52" borderId="223" xfId="0" applyNumberFormat="1" applyFont="1" applyFill="1" applyBorder="1" applyAlignment="1">
      <alignment horizontal="center" vertical="center"/>
    </xf>
    <xf numFmtId="176" fontId="166" fillId="52" borderId="58" xfId="0" applyNumberFormat="1" applyFont="1" applyFill="1" applyBorder="1" applyAlignment="1">
      <alignment vertical="center" shrinkToFit="1"/>
    </xf>
    <xf numFmtId="208" fontId="166" fillId="52" borderId="87" xfId="0" applyNumberFormat="1" applyFont="1" applyFill="1" applyBorder="1" applyAlignment="1">
      <alignment vertical="center" shrinkToFit="1"/>
    </xf>
    <xf numFmtId="188" fontId="162" fillId="51" borderId="231" xfId="0" applyNumberFormat="1" applyFont="1" applyFill="1" applyBorder="1" applyAlignment="1">
      <alignment vertical="center" shrinkToFit="1"/>
    </xf>
    <xf numFmtId="188" fontId="164" fillId="0" borderId="232" xfId="0" applyNumberFormat="1" applyFont="1" applyBorder="1" applyAlignment="1">
      <alignment vertical="center" shrinkToFit="1"/>
    </xf>
    <xf numFmtId="0" fontId="39" fillId="0" borderId="0" xfId="0" applyFont="1" applyAlignment="1">
      <alignment vertical="center"/>
    </xf>
    <xf numFmtId="189" fontId="114" fillId="17" borderId="16" xfId="1959" applyNumberFormat="1" applyFont="1" applyFill="1" applyBorder="1" applyAlignment="1">
      <alignment horizontal="right" vertical="center"/>
    </xf>
    <xf numFmtId="41" fontId="116" fillId="58" borderId="209" xfId="1959" applyFont="1" applyFill="1" applyBorder="1" applyAlignment="1">
      <alignment horizontal="center" vertical="center"/>
    </xf>
    <xf numFmtId="206" fontId="161" fillId="57" borderId="211" xfId="1959" applyNumberFormat="1" applyFont="1" applyFill="1" applyBorder="1" applyAlignment="1">
      <alignment horizontal="right" vertical="center"/>
    </xf>
    <xf numFmtId="206" fontId="161" fillId="57" borderId="219" xfId="1959" applyNumberFormat="1" applyFont="1" applyFill="1" applyBorder="1" applyAlignment="1">
      <alignment horizontal="right" vertical="center"/>
    </xf>
    <xf numFmtId="186" fontId="38" fillId="17" borderId="15" xfId="0" applyNumberFormat="1" applyFont="1" applyFill="1" applyBorder="1" applyAlignment="1">
      <alignment vertical="center"/>
    </xf>
    <xf numFmtId="41" fontId="38" fillId="17" borderId="25" xfId="1959" applyFont="1" applyFill="1" applyBorder="1" applyAlignment="1">
      <alignment horizontal="center" vertical="center"/>
    </xf>
    <xf numFmtId="186" fontId="38" fillId="17" borderId="34" xfId="0" applyNumberFormat="1" applyFont="1" applyFill="1" applyBorder="1" applyAlignment="1">
      <alignment vertical="center"/>
    </xf>
    <xf numFmtId="195" fontId="38" fillId="17" borderId="100" xfId="1959" applyNumberFormat="1" applyFont="1" applyFill="1" applyBorder="1" applyAlignment="1">
      <alignment horizontal="center" vertical="center"/>
    </xf>
    <xf numFmtId="186" fontId="38" fillId="17" borderId="34" xfId="0" applyNumberFormat="1" applyFont="1" applyFill="1" applyBorder="1" applyAlignment="1">
      <alignment horizontal="right" vertical="center"/>
    </xf>
    <xf numFmtId="41" fontId="38" fillId="17" borderId="100" xfId="1959" applyFont="1" applyFill="1" applyBorder="1" applyAlignment="1">
      <alignment horizontal="center" vertical="center"/>
    </xf>
    <xf numFmtId="182" fontId="38" fillId="52" borderId="191" xfId="0" applyNumberFormat="1" applyFont="1" applyFill="1" applyBorder="1" applyAlignment="1">
      <alignment horizontal="center" vertical="center"/>
    </xf>
    <xf numFmtId="195" fontId="38" fillId="52" borderId="191" xfId="1959" applyNumberFormat="1" applyFont="1" applyFill="1" applyBorder="1" applyAlignment="1">
      <alignment horizontal="center" vertical="center"/>
    </xf>
    <xf numFmtId="41" fontId="38" fillId="52" borderId="191" xfId="1959" applyFont="1" applyFill="1" applyBorder="1" applyAlignment="1">
      <alignment horizontal="center" vertical="center"/>
    </xf>
    <xf numFmtId="41" fontId="114" fillId="17" borderId="100" xfId="1959" applyFont="1" applyFill="1" applyBorder="1" applyAlignment="1">
      <alignment horizontal="center" vertical="center"/>
    </xf>
    <xf numFmtId="41" fontId="38" fillId="0" borderId="100" xfId="1959" applyFont="1" applyFill="1" applyBorder="1" applyAlignment="1">
      <alignment horizontal="center" vertical="center"/>
    </xf>
    <xf numFmtId="182" fontId="38" fillId="52" borderId="55" xfId="0" applyNumberFormat="1" applyFont="1" applyFill="1" applyBorder="1" applyAlignment="1">
      <alignment horizontal="center" vertical="center"/>
    </xf>
    <xf numFmtId="195" fontId="38" fillId="52" borderId="55" xfId="1959" applyNumberFormat="1" applyFont="1" applyFill="1" applyBorder="1" applyAlignment="1">
      <alignment horizontal="center" vertical="center"/>
    </xf>
    <xf numFmtId="41" fontId="38" fillId="52" borderId="55" xfId="1959" applyFont="1" applyFill="1" applyBorder="1" applyAlignment="1">
      <alignment horizontal="center" vertical="center"/>
    </xf>
    <xf numFmtId="193" fontId="49" fillId="0" borderId="58" xfId="0" applyNumberFormat="1" applyFont="1" applyBorder="1"/>
    <xf numFmtId="193" fontId="49" fillId="0" borderId="60" xfId="0" applyNumberFormat="1" applyFont="1" applyBorder="1"/>
    <xf numFmtId="193" fontId="49" fillId="52" borderId="58" xfId="2639" applyNumberFormat="1" applyFont="1" applyFill="1" applyBorder="1">
      <alignment vertical="center"/>
    </xf>
    <xf numFmtId="41" fontId="169" fillId="0" borderId="0" xfId="1959" applyFont="1" applyFill="1" applyBorder="1" applyAlignment="1">
      <alignment vertical="center" shrinkToFit="1"/>
    </xf>
    <xf numFmtId="210" fontId="169" fillId="0" borderId="0" xfId="1959" applyNumberFormat="1" applyFont="1" applyFill="1" applyBorder="1" applyAlignment="1">
      <alignment vertical="center" shrinkToFit="1"/>
    </xf>
    <xf numFmtId="193" fontId="38" fillId="17" borderId="100" xfId="1959" applyNumberFormat="1" applyFont="1" applyFill="1" applyBorder="1" applyAlignment="1">
      <alignment horizontal="right" vertical="center"/>
    </xf>
    <xf numFmtId="192" fontId="162" fillId="52" borderId="51" xfId="0" applyNumberFormat="1" applyFont="1" applyFill="1" applyBorder="1" applyAlignment="1">
      <alignment horizontal="center" vertical="center" wrapText="1"/>
    </xf>
    <xf numFmtId="0" fontId="161" fillId="0" borderId="6" xfId="0" applyFont="1" applyBorder="1" applyAlignment="1">
      <alignment horizontal="right" vertical="center"/>
    </xf>
    <xf numFmtId="0" fontId="161" fillId="0" borderId="26" xfId="0" applyFont="1" applyBorder="1" applyAlignment="1">
      <alignment horizontal="right" vertical="center"/>
    </xf>
    <xf numFmtId="0" fontId="38" fillId="52" borderId="6" xfId="0" applyFont="1" applyFill="1" applyBorder="1" applyAlignment="1">
      <alignment horizontal="center" vertical="center"/>
    </xf>
    <xf numFmtId="182" fontId="38" fillId="17" borderId="33" xfId="0" applyNumberFormat="1" applyFont="1" applyFill="1" applyBorder="1" applyAlignment="1">
      <alignment horizontal="center" vertical="center"/>
    </xf>
    <xf numFmtId="182" fontId="38" fillId="17" borderId="55" xfId="0" applyNumberFormat="1" applyFont="1" applyFill="1" applyBorder="1" applyAlignment="1">
      <alignment horizontal="center" vertical="center"/>
    </xf>
    <xf numFmtId="182" fontId="38" fillId="17" borderId="34" xfId="0" applyNumberFormat="1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77" fontId="40" fillId="0" borderId="0" xfId="0" applyNumberFormat="1" applyFont="1" applyAlignment="1">
      <alignment vertical="center"/>
    </xf>
    <xf numFmtId="177" fontId="40" fillId="52" borderId="8" xfId="0" applyNumberFormat="1" applyFont="1" applyFill="1" applyBorder="1" applyAlignment="1">
      <alignment horizontal="centerContinuous" vertical="center"/>
    </xf>
    <xf numFmtId="177" fontId="40" fillId="52" borderId="10" xfId="0" applyNumberFormat="1" applyFont="1" applyFill="1" applyBorder="1" applyAlignment="1">
      <alignment horizontal="center" vertical="center"/>
    </xf>
    <xf numFmtId="177" fontId="40" fillId="17" borderId="15" xfId="0" applyNumberFormat="1" applyFont="1" applyFill="1" applyBorder="1" applyAlignment="1">
      <alignment vertical="center"/>
    </xf>
    <xf numFmtId="177" fontId="40" fillId="17" borderId="105" xfId="0" applyNumberFormat="1" applyFont="1" applyFill="1" applyBorder="1" applyAlignment="1">
      <alignment vertical="center"/>
    </xf>
    <xf numFmtId="177" fontId="40" fillId="17" borderId="14" xfId="0" applyNumberFormat="1" applyFont="1" applyFill="1" applyBorder="1" applyAlignment="1">
      <alignment vertical="center"/>
    </xf>
    <xf numFmtId="177" fontId="57" fillId="0" borderId="0" xfId="0" applyNumberFormat="1" applyFont="1" applyAlignment="1">
      <alignment horizontal="center" vertical="center"/>
    </xf>
    <xf numFmtId="176" fontId="40" fillId="17" borderId="15" xfId="0" applyNumberFormat="1" applyFont="1" applyFill="1" applyBorder="1" applyAlignment="1">
      <alignment vertical="center"/>
    </xf>
    <xf numFmtId="176" fontId="40" fillId="17" borderId="100" xfId="0" applyNumberFormat="1" applyFont="1" applyFill="1" applyBorder="1" applyAlignment="1">
      <alignment vertical="center"/>
    </xf>
    <xf numFmtId="176" fontId="40" fillId="17" borderId="105" xfId="0" applyNumberFormat="1" applyFont="1" applyFill="1" applyBorder="1" applyAlignment="1">
      <alignment vertical="center"/>
    </xf>
    <xf numFmtId="176" fontId="40" fillId="17" borderId="6" xfId="0" applyNumberFormat="1" applyFont="1" applyFill="1" applyBorder="1" applyAlignment="1">
      <alignment vertical="center"/>
    </xf>
    <xf numFmtId="176" fontId="40" fillId="17" borderId="33" xfId="0" applyNumberFormat="1" applyFont="1" applyFill="1" applyBorder="1" applyAlignment="1">
      <alignment vertical="center"/>
    </xf>
    <xf numFmtId="176" fontId="112" fillId="17" borderId="100" xfId="0" applyNumberFormat="1" applyFont="1" applyFill="1" applyBorder="1" applyAlignment="1">
      <alignment vertical="center"/>
    </xf>
    <xf numFmtId="176" fontId="112" fillId="17" borderId="33" xfId="0" applyNumberFormat="1" applyFont="1" applyFill="1" applyBorder="1" applyAlignment="1">
      <alignment vertical="center"/>
    </xf>
    <xf numFmtId="176" fontId="112" fillId="0" borderId="100" xfId="1959" applyNumberFormat="1" applyFont="1" applyFill="1" applyBorder="1" applyAlignment="1">
      <alignment vertical="center"/>
    </xf>
    <xf numFmtId="176" fontId="40" fillId="18" borderId="6" xfId="1959" applyNumberFormat="1" applyFont="1" applyFill="1" applyBorder="1" applyAlignment="1">
      <alignment vertical="center"/>
    </xf>
    <xf numFmtId="176" fontId="112" fillId="0" borderId="15" xfId="1959" applyNumberFormat="1" applyFont="1" applyFill="1" applyBorder="1" applyAlignment="1">
      <alignment vertical="center"/>
    </xf>
    <xf numFmtId="176" fontId="112" fillId="0" borderId="55" xfId="1959" applyNumberFormat="1" applyFont="1" applyFill="1" applyBorder="1" applyAlignment="1">
      <alignment vertical="center"/>
    </xf>
    <xf numFmtId="176" fontId="112" fillId="17" borderId="15" xfId="1959" applyNumberFormat="1" applyFont="1" applyFill="1" applyBorder="1" applyAlignment="1">
      <alignment vertical="center"/>
    </xf>
    <xf numFmtId="176" fontId="113" fillId="18" borderId="6" xfId="1959" applyNumberFormat="1" applyFont="1" applyFill="1" applyBorder="1" applyAlignment="1">
      <alignment vertical="center"/>
    </xf>
    <xf numFmtId="176" fontId="112" fillId="17" borderId="100" xfId="1959" applyNumberFormat="1" applyFont="1" applyFill="1" applyBorder="1" applyAlignment="1">
      <alignment vertical="center"/>
    </xf>
    <xf numFmtId="176" fontId="40" fillId="17" borderId="14" xfId="0" applyNumberFormat="1" applyFont="1" applyFill="1" applyBorder="1" applyAlignment="1">
      <alignment vertical="center"/>
    </xf>
    <xf numFmtId="176" fontId="44" fillId="0" borderId="0" xfId="0" applyNumberFormat="1" applyFont="1" applyAlignment="1">
      <alignment horizontal="center" vertical="center"/>
    </xf>
    <xf numFmtId="41" fontId="113" fillId="18" borderId="6" xfId="1959" applyFont="1" applyFill="1" applyBorder="1" applyAlignment="1">
      <alignment vertical="center"/>
    </xf>
    <xf numFmtId="0" fontId="0" fillId="0" borderId="0" xfId="0" applyAlignment="1">
      <alignment vertical="center"/>
    </xf>
    <xf numFmtId="189" fontId="0" fillId="0" borderId="0" xfId="0" applyNumberFormat="1" applyAlignment="1">
      <alignment vertical="center"/>
    </xf>
    <xf numFmtId="14" fontId="0" fillId="0" borderId="0" xfId="0" applyNumberFormat="1" applyAlignment="1">
      <alignment vertical="center"/>
    </xf>
    <xf numFmtId="22" fontId="0" fillId="0" borderId="0" xfId="0" applyNumberFormat="1" applyAlignment="1">
      <alignment vertical="center"/>
    </xf>
    <xf numFmtId="193" fontId="0" fillId="0" borderId="0" xfId="0" applyNumberFormat="1" applyAlignment="1">
      <alignment vertical="center"/>
    </xf>
    <xf numFmtId="41" fontId="38" fillId="17" borderId="100" xfId="1959" applyFont="1" applyFill="1" applyBorder="1" applyAlignment="1">
      <alignment horizontal="right" vertical="center"/>
    </xf>
    <xf numFmtId="0" fontId="142" fillId="0" borderId="95" xfId="2697" applyFont="1" applyBorder="1" applyAlignment="1">
      <alignment horizontal="center" vertical="center"/>
    </xf>
    <xf numFmtId="41" fontId="52" fillId="0" borderId="96" xfId="1959" applyFont="1" applyBorder="1" applyAlignment="1">
      <alignment vertical="center"/>
    </xf>
    <xf numFmtId="0" fontId="139" fillId="0" borderId="59" xfId="2697" applyFont="1" applyBorder="1" applyAlignment="1">
      <alignment horizontal="center" vertical="center"/>
    </xf>
    <xf numFmtId="0" fontId="171" fillId="0" borderId="0" xfId="0" applyFont="1" applyAlignment="1">
      <alignment vertical="center"/>
    </xf>
    <xf numFmtId="0" fontId="170" fillId="0" borderId="0" xfId="0" applyFont="1" applyAlignment="1">
      <alignment vertical="center"/>
    </xf>
    <xf numFmtId="0" fontId="172" fillId="52" borderId="181" xfId="0" applyFont="1" applyFill="1" applyBorder="1" applyAlignment="1">
      <alignment horizontal="center" vertical="center" wrapText="1"/>
    </xf>
    <xf numFmtId="0" fontId="172" fillId="54" borderId="182" xfId="0" applyFont="1" applyFill="1" applyBorder="1" applyAlignment="1">
      <alignment horizontal="center" vertical="center" wrapText="1"/>
    </xf>
    <xf numFmtId="0" fontId="172" fillId="54" borderId="184" xfId="0" applyFont="1" applyFill="1" applyBorder="1" applyAlignment="1">
      <alignment horizontal="center" vertical="center" wrapText="1"/>
    </xf>
    <xf numFmtId="190" fontId="174" fillId="0" borderId="184" xfId="2696" applyNumberFormat="1" applyFont="1" applyFill="1" applyBorder="1" applyAlignment="1">
      <alignment horizontal="center" vertical="center" wrapText="1"/>
    </xf>
    <xf numFmtId="190" fontId="172" fillId="0" borderId="185" xfId="2696" applyNumberFormat="1" applyFont="1" applyFill="1" applyBorder="1" applyAlignment="1">
      <alignment horizontal="center" vertical="center" wrapText="1"/>
    </xf>
    <xf numFmtId="0" fontId="172" fillId="54" borderId="185" xfId="0" applyFont="1" applyFill="1" applyBorder="1" applyAlignment="1">
      <alignment horizontal="center" vertical="center" wrapText="1"/>
    </xf>
    <xf numFmtId="0" fontId="170" fillId="0" borderId="0" xfId="0" quotePrefix="1" applyFont="1" applyAlignment="1">
      <alignment horizontal="center" vertical="center"/>
    </xf>
    <xf numFmtId="0" fontId="172" fillId="54" borderId="240" xfId="0" applyFont="1" applyFill="1" applyBorder="1" applyAlignment="1">
      <alignment horizontal="center" vertical="center" wrapText="1"/>
    </xf>
    <xf numFmtId="190" fontId="172" fillId="0" borderId="240" xfId="2696" applyNumberFormat="1" applyFont="1" applyFill="1" applyBorder="1" applyAlignment="1">
      <alignment horizontal="center" vertical="center" wrapText="1"/>
    </xf>
    <xf numFmtId="190" fontId="174" fillId="0" borderId="240" xfId="2696" applyNumberFormat="1" applyFont="1" applyFill="1" applyBorder="1" applyAlignment="1">
      <alignment horizontal="center" vertical="center" wrapText="1"/>
    </xf>
    <xf numFmtId="215" fontId="173" fillId="0" borderId="200" xfId="1959" applyNumberFormat="1" applyFont="1" applyBorder="1" applyAlignment="1">
      <alignment horizontal="right" vertical="center" wrapText="1" indent="1"/>
    </xf>
    <xf numFmtId="190" fontId="172" fillId="0" borderId="200" xfId="2696" applyNumberFormat="1" applyFont="1" applyFill="1" applyBorder="1" applyAlignment="1">
      <alignment horizontal="center" vertical="center" wrapText="1"/>
    </xf>
    <xf numFmtId="215" fontId="173" fillId="0" borderId="240" xfId="1959" applyNumberFormat="1" applyFont="1" applyBorder="1" applyAlignment="1">
      <alignment horizontal="right" vertical="center" wrapText="1" indent="1"/>
    </xf>
    <xf numFmtId="0" fontId="172" fillId="52" borderId="180" xfId="0" applyFont="1" applyFill="1" applyBorder="1" applyAlignment="1">
      <alignment horizontal="center" vertical="center" wrapText="1"/>
    </xf>
    <xf numFmtId="190" fontId="172" fillId="0" borderId="241" xfId="2696" applyNumberFormat="1" applyFont="1" applyFill="1" applyBorder="1" applyAlignment="1">
      <alignment horizontal="center" vertical="center" wrapText="1"/>
    </xf>
    <xf numFmtId="190" fontId="172" fillId="0" borderId="242" xfId="0" applyNumberFormat="1" applyFont="1" applyBorder="1" applyAlignment="1">
      <alignment horizontal="center" vertical="center" wrapText="1"/>
    </xf>
    <xf numFmtId="190" fontId="172" fillId="0" borderId="241" xfId="0" applyNumberFormat="1" applyFont="1" applyBorder="1" applyAlignment="1">
      <alignment horizontal="center" vertical="center" wrapText="1"/>
    </xf>
    <xf numFmtId="190" fontId="172" fillId="0" borderId="243" xfId="0" applyNumberFormat="1" applyFont="1" applyBorder="1" applyAlignment="1">
      <alignment horizontal="center" vertical="center" wrapText="1"/>
    </xf>
    <xf numFmtId="0" fontId="172" fillId="52" borderId="244" xfId="0" applyFont="1" applyFill="1" applyBorder="1" applyAlignment="1">
      <alignment horizontal="center" vertical="center" wrapText="1"/>
    </xf>
    <xf numFmtId="215" fontId="172" fillId="0" borderId="245" xfId="1959" applyNumberFormat="1" applyFont="1" applyBorder="1" applyAlignment="1">
      <alignment horizontal="right" vertical="center" wrapText="1" indent="1"/>
    </xf>
    <xf numFmtId="215" fontId="172" fillId="0" borderId="247" xfId="1959" applyNumberFormat="1" applyFont="1" applyBorder="1" applyAlignment="1">
      <alignment horizontal="right" vertical="center" wrapText="1" indent="1"/>
    </xf>
    <xf numFmtId="0" fontId="171" fillId="0" borderId="0" xfId="0" applyFont="1"/>
    <xf numFmtId="0" fontId="113" fillId="52" borderId="41" xfId="0" applyFont="1" applyFill="1" applyBorder="1" applyAlignment="1">
      <alignment horizontal="center" vertical="center"/>
    </xf>
    <xf numFmtId="0" fontId="113" fillId="52" borderId="42" xfId="0" applyFont="1" applyFill="1" applyBorder="1" applyAlignment="1">
      <alignment horizontal="center" vertical="center"/>
    </xf>
    <xf numFmtId="0" fontId="38" fillId="0" borderId="92" xfId="0" applyFont="1" applyBorder="1" applyAlignment="1">
      <alignment horizontal="center" vertical="center"/>
    </xf>
    <xf numFmtId="188" fontId="38" fillId="0" borderId="93" xfId="0" applyNumberFormat="1" applyFont="1" applyBorder="1" applyAlignment="1">
      <alignment vertical="center" shrinkToFit="1"/>
    </xf>
    <xf numFmtId="0" fontId="38" fillId="0" borderId="95" xfId="0" applyFont="1" applyBorder="1" applyAlignment="1">
      <alignment horizontal="center" vertical="center"/>
    </xf>
    <xf numFmtId="188" fontId="38" fillId="0" borderId="96" xfId="0" applyNumberFormat="1" applyFont="1" applyBorder="1" applyAlignment="1">
      <alignment vertical="center" shrinkToFit="1"/>
    </xf>
    <xf numFmtId="189" fontId="38" fillId="0" borderId="96" xfId="0" applyNumberFormat="1" applyFont="1" applyBorder="1" applyAlignment="1">
      <alignment vertical="center" shrinkToFit="1"/>
    </xf>
    <xf numFmtId="188" fontId="164" fillId="0" borderId="43" xfId="0" applyNumberFormat="1" applyFont="1" applyBorder="1" applyAlignment="1">
      <alignment vertical="center" shrinkToFit="1"/>
    </xf>
    <xf numFmtId="191" fontId="161" fillId="57" borderId="210" xfId="0" applyNumberFormat="1" applyFont="1" applyFill="1" applyBorder="1" applyAlignment="1">
      <alignment horizontal="right" vertical="center"/>
    </xf>
    <xf numFmtId="191" fontId="161" fillId="57" borderId="191" xfId="0" applyNumberFormat="1" applyFont="1" applyFill="1" applyBorder="1" applyAlignment="1">
      <alignment horizontal="right" vertical="center"/>
    </xf>
    <xf numFmtId="191" fontId="161" fillId="57" borderId="211" xfId="0" applyNumberFormat="1" applyFont="1" applyFill="1" applyBorder="1" applyAlignment="1">
      <alignment horizontal="right" vertical="center"/>
    </xf>
    <xf numFmtId="191" fontId="161" fillId="57" borderId="212" xfId="0" applyNumberFormat="1" applyFont="1" applyFill="1" applyBorder="1" applyAlignment="1">
      <alignment horizontal="right" vertical="center"/>
    </xf>
    <xf numFmtId="191" fontId="161" fillId="57" borderId="55" xfId="0" applyNumberFormat="1" applyFont="1" applyFill="1" applyBorder="1" applyAlignment="1">
      <alignment horizontal="right" vertical="center"/>
    </xf>
    <xf numFmtId="191" fontId="161" fillId="57" borderId="213" xfId="0" applyNumberFormat="1" applyFont="1" applyFill="1" applyBorder="1" applyAlignment="1">
      <alignment horizontal="right" vertical="center"/>
    </xf>
    <xf numFmtId="14" fontId="0" fillId="0" borderId="0" xfId="0" quotePrefix="1" applyNumberFormat="1" applyAlignment="1">
      <alignment vertical="center"/>
    </xf>
    <xf numFmtId="216" fontId="172" fillId="0" borderId="240" xfId="1959" applyNumberFormat="1" applyFont="1" applyBorder="1" applyAlignment="1">
      <alignment horizontal="right" vertical="center" wrapText="1" indent="1"/>
    </xf>
    <xf numFmtId="176" fontId="117" fillId="17" borderId="100" xfId="1959" applyNumberFormat="1" applyFont="1" applyFill="1" applyBorder="1" applyAlignment="1">
      <alignment vertical="center"/>
    </xf>
    <xf numFmtId="176" fontId="117" fillId="0" borderId="15" xfId="0" applyNumberFormat="1" applyFont="1" applyBorder="1" applyAlignment="1">
      <alignment vertical="center"/>
    </xf>
    <xf numFmtId="176" fontId="117" fillId="0" borderId="16" xfId="1959" applyNumberFormat="1" applyFont="1" applyFill="1" applyBorder="1" applyAlignment="1">
      <alignment vertical="center"/>
    </xf>
    <xf numFmtId="176" fontId="117" fillId="0" borderId="100" xfId="0" applyNumberFormat="1" applyFont="1" applyBorder="1" applyAlignment="1">
      <alignment vertical="center"/>
    </xf>
    <xf numFmtId="176" fontId="117" fillId="0" borderId="100" xfId="1959" applyNumberFormat="1" applyFont="1" applyFill="1" applyBorder="1" applyAlignment="1" applyProtection="1">
      <alignment vertical="center"/>
    </xf>
    <xf numFmtId="176" fontId="117" fillId="0" borderId="100" xfId="1959" applyNumberFormat="1" applyFont="1" applyFill="1" applyBorder="1" applyAlignment="1">
      <alignment vertical="center"/>
    </xf>
    <xf numFmtId="41" fontId="117" fillId="0" borderId="100" xfId="1959" applyFont="1" applyFill="1" applyBorder="1" applyAlignment="1">
      <alignment vertical="center"/>
    </xf>
    <xf numFmtId="0" fontId="176" fillId="0" borderId="0" xfId="0" applyFont="1" applyAlignment="1">
      <alignment horizontal="left" vertical="center"/>
    </xf>
    <xf numFmtId="197" fontId="177" fillId="0" borderId="0" xfId="2697" applyNumberFormat="1" applyFont="1" applyAlignment="1">
      <alignment horizontal="centerContinuous" vertical="center"/>
    </xf>
    <xf numFmtId="0" fontId="178" fillId="0" borderId="0" xfId="2697" applyFont="1" applyAlignment="1">
      <alignment horizontal="center" vertical="center"/>
    </xf>
    <xf numFmtId="197" fontId="178" fillId="0" borderId="0" xfId="2697" applyNumberFormat="1" applyFont="1">
      <alignment vertical="center"/>
    </xf>
    <xf numFmtId="197" fontId="179" fillId="0" borderId="0" xfId="2697" applyNumberFormat="1" applyFont="1" applyAlignment="1">
      <alignment horizontal="right" vertical="center"/>
    </xf>
    <xf numFmtId="197" fontId="180" fillId="0" borderId="0" xfId="2697" applyNumberFormat="1" applyFont="1" applyAlignment="1">
      <alignment horizontal="right" vertical="center"/>
    </xf>
    <xf numFmtId="0" fontId="179" fillId="0" borderId="0" xfId="2697" applyFont="1" applyAlignment="1">
      <alignment horizontal="center" vertical="center"/>
    </xf>
    <xf numFmtId="186" fontId="181" fillId="0" borderId="0" xfId="2699" applyNumberFormat="1" applyFont="1" applyFill="1" applyBorder="1" applyAlignment="1">
      <alignment horizontal="center" vertical="center"/>
    </xf>
    <xf numFmtId="186" fontId="181" fillId="0" borderId="0" xfId="1959" applyNumberFormat="1" applyFont="1" applyFill="1" applyBorder="1" applyAlignment="1">
      <alignment vertical="center"/>
    </xf>
    <xf numFmtId="190" fontId="181" fillId="0" borderId="0" xfId="2699" applyNumberFormat="1" applyFont="1" applyFill="1" applyBorder="1" applyAlignment="1">
      <alignment vertical="center"/>
    </xf>
    <xf numFmtId="190" fontId="181" fillId="0" borderId="0" xfId="2699" applyNumberFormat="1" applyFont="1" applyFill="1" applyBorder="1" applyAlignment="1">
      <alignment horizontal="center" vertical="center"/>
    </xf>
    <xf numFmtId="186" fontId="181" fillId="0" borderId="0" xfId="2699" applyNumberFormat="1" applyFont="1" applyFill="1" applyBorder="1" applyAlignment="1">
      <alignment vertical="center"/>
    </xf>
    <xf numFmtId="0" fontId="180" fillId="0" borderId="0" xfId="2697" applyFont="1">
      <alignment vertical="center"/>
    </xf>
    <xf numFmtId="197" fontId="182" fillId="0" borderId="0" xfId="2697" applyNumberFormat="1" applyFont="1" applyAlignment="1">
      <alignment horizontal="centerContinuous" vertical="center"/>
    </xf>
    <xf numFmtId="0" fontId="183" fillId="0" borderId="0" xfId="2697" applyFont="1" applyAlignment="1">
      <alignment horizontal="center" vertical="center"/>
    </xf>
    <xf numFmtId="197" fontId="183" fillId="0" borderId="0" xfId="2697" applyNumberFormat="1" applyFont="1">
      <alignment vertical="center"/>
    </xf>
    <xf numFmtId="0" fontId="183" fillId="0" borderId="0" xfId="2697" applyFont="1">
      <alignment vertical="center"/>
    </xf>
    <xf numFmtId="0" fontId="184" fillId="52" borderId="85" xfId="2697" applyFont="1" applyFill="1" applyBorder="1" applyAlignment="1">
      <alignment horizontal="centerContinuous" vertical="center"/>
    </xf>
    <xf numFmtId="0" fontId="184" fillId="52" borderId="68" xfId="2697" applyFont="1" applyFill="1" applyBorder="1" applyAlignment="1">
      <alignment horizontal="centerContinuous" vertical="center"/>
    </xf>
    <xf numFmtId="0" fontId="184" fillId="52" borderId="170" xfId="2697" applyFont="1" applyFill="1" applyBorder="1" applyAlignment="1">
      <alignment horizontal="centerContinuous" vertical="center"/>
    </xf>
    <xf numFmtId="0" fontId="184" fillId="52" borderId="171" xfId="2697" applyFont="1" applyFill="1" applyBorder="1" applyAlignment="1">
      <alignment horizontal="centerContinuous" vertical="center"/>
    </xf>
    <xf numFmtId="0" fontId="184" fillId="52" borderId="172" xfId="2697" applyFont="1" applyFill="1" applyBorder="1" applyAlignment="1">
      <alignment horizontal="centerContinuous" vertical="center"/>
    </xf>
    <xf numFmtId="0" fontId="184" fillId="52" borderId="187" xfId="2697" applyFont="1" applyFill="1" applyBorder="1" applyAlignment="1">
      <alignment horizontal="centerContinuous" vertical="center"/>
    </xf>
    <xf numFmtId="0" fontId="184" fillId="52" borderId="148" xfId="2697" applyFont="1" applyFill="1" applyBorder="1" applyAlignment="1">
      <alignment horizontal="centerContinuous" vertical="center"/>
    </xf>
    <xf numFmtId="0" fontId="184" fillId="52" borderId="6" xfId="2697" applyFont="1" applyFill="1" applyBorder="1" applyAlignment="1">
      <alignment horizontal="centerContinuous" vertical="center"/>
    </xf>
    <xf numFmtId="0" fontId="184" fillId="52" borderId="24" xfId="2697" applyFont="1" applyFill="1" applyBorder="1" applyAlignment="1">
      <alignment horizontal="center" vertical="center"/>
    </xf>
    <xf numFmtId="0" fontId="184" fillId="52" borderId="226" xfId="2697" applyFont="1" applyFill="1" applyBorder="1" applyAlignment="1">
      <alignment horizontal="center" vertical="center"/>
    </xf>
    <xf numFmtId="0" fontId="184" fillId="52" borderId="95" xfId="2697" applyFont="1" applyFill="1" applyBorder="1" applyAlignment="1">
      <alignment horizontal="center" vertical="center"/>
    </xf>
    <xf numFmtId="0" fontId="184" fillId="52" borderId="10" xfId="2697" applyFont="1" applyFill="1" applyBorder="1" applyAlignment="1">
      <alignment horizontal="center" vertical="center"/>
    </xf>
    <xf numFmtId="0" fontId="184" fillId="52" borderId="227" xfId="2697" applyFont="1" applyFill="1" applyBorder="1" applyAlignment="1">
      <alignment horizontal="center" vertical="center"/>
    </xf>
    <xf numFmtId="0" fontId="184" fillId="52" borderId="59" xfId="2697" applyFont="1" applyFill="1" applyBorder="1" applyAlignment="1">
      <alignment horizontal="center" vertical="center"/>
    </xf>
    <xf numFmtId="202" fontId="184" fillId="52" borderId="6" xfId="2697" applyNumberFormat="1" applyFont="1" applyFill="1" applyBorder="1" applyAlignment="1">
      <alignment horizontal="center" vertical="center"/>
    </xf>
    <xf numFmtId="0" fontId="184" fillId="52" borderId="6" xfId="2697" applyFont="1" applyFill="1" applyBorder="1" applyAlignment="1">
      <alignment horizontal="center" vertical="center"/>
    </xf>
    <xf numFmtId="0" fontId="184" fillId="52" borderId="177" xfId="2697" applyFont="1" applyFill="1" applyBorder="1" applyAlignment="1">
      <alignment horizontal="center" vertical="center"/>
    </xf>
    <xf numFmtId="0" fontId="184" fillId="0" borderId="109" xfId="2697" applyFont="1" applyBorder="1" applyAlignment="1">
      <alignment horizontal="center" wrapText="1"/>
    </xf>
    <xf numFmtId="186" fontId="184" fillId="0" borderId="32" xfId="1959" applyNumberFormat="1" applyFont="1" applyBorder="1" applyAlignment="1">
      <alignment horizontal="center" vertical="center"/>
    </xf>
    <xf numFmtId="186" fontId="184" fillId="0" borderId="146" xfId="2699" applyNumberFormat="1" applyFont="1" applyBorder="1" applyAlignment="1">
      <alignment vertical="center"/>
    </xf>
    <xf numFmtId="190" fontId="184" fillId="0" borderId="0" xfId="2699" applyNumberFormat="1" applyFont="1" applyBorder="1" applyAlignment="1">
      <alignment horizontal="center" vertical="center"/>
    </xf>
    <xf numFmtId="41" fontId="184" fillId="0" borderId="0" xfId="1959" applyFont="1" applyBorder="1" applyAlignment="1">
      <alignment vertical="center"/>
    </xf>
    <xf numFmtId="186" fontId="184" fillId="0" borderId="55" xfId="1959" applyNumberFormat="1" applyFont="1" applyBorder="1" applyAlignment="1">
      <alignment vertical="center"/>
    </xf>
    <xf numFmtId="186" fontId="184" fillId="0" borderId="55" xfId="2699" applyNumberFormat="1" applyFont="1" applyBorder="1" applyAlignment="1">
      <alignment vertical="center"/>
    </xf>
    <xf numFmtId="190" fontId="184" fillId="0" borderId="55" xfId="1959" applyNumberFormat="1" applyFont="1" applyBorder="1" applyAlignment="1">
      <alignment vertical="center"/>
    </xf>
    <xf numFmtId="41" fontId="184" fillId="0" borderId="55" xfId="1959" applyFont="1" applyBorder="1" applyAlignment="1">
      <alignment vertical="center"/>
    </xf>
    <xf numFmtId="186" fontId="184" fillId="0" borderId="55" xfId="1959" applyNumberFormat="1" applyFont="1" applyBorder="1" applyAlignment="1">
      <alignment horizontal="center" vertical="center"/>
    </xf>
    <xf numFmtId="190" fontId="184" fillId="0" borderId="32" xfId="1959" applyNumberFormat="1" applyFont="1" applyBorder="1" applyAlignment="1">
      <alignment horizontal="center" vertical="center"/>
    </xf>
    <xf numFmtId="190" fontId="184" fillId="0" borderId="12" xfId="1959" applyNumberFormat="1" applyFont="1" applyBorder="1" applyAlignment="1">
      <alignment vertical="center"/>
    </xf>
    <xf numFmtId="203" fontId="184" fillId="0" borderId="109" xfId="2697" applyNumberFormat="1" applyFont="1" applyBorder="1" applyAlignment="1">
      <alignment horizontal="center" vertical="center"/>
    </xf>
    <xf numFmtId="186" fontId="184" fillId="0" borderId="168" xfId="1959" applyNumberFormat="1" applyFont="1" applyBorder="1" applyAlignment="1">
      <alignment vertical="center"/>
    </xf>
    <xf numFmtId="190" fontId="184" fillId="0" borderId="69" xfId="2699" applyNumberFormat="1" applyFont="1" applyBorder="1" applyAlignment="1">
      <alignment vertical="center"/>
    </xf>
    <xf numFmtId="217" fontId="184" fillId="0" borderId="6" xfId="2696" applyNumberFormat="1" applyFont="1" applyBorder="1" applyAlignment="1">
      <alignment vertical="center"/>
    </xf>
    <xf numFmtId="217" fontId="184" fillId="0" borderId="6" xfId="2699" applyNumberFormat="1" applyFont="1" applyBorder="1" applyAlignment="1">
      <alignment vertical="center"/>
    </xf>
    <xf numFmtId="41" fontId="184" fillId="0" borderId="6" xfId="1959" applyFont="1" applyBorder="1" applyAlignment="1">
      <alignment vertical="center"/>
    </xf>
    <xf numFmtId="190" fontId="184" fillId="0" borderId="6" xfId="2699" applyNumberFormat="1" applyFont="1" applyBorder="1" applyAlignment="1">
      <alignment vertical="center"/>
    </xf>
    <xf numFmtId="186" fontId="184" fillId="0" borderId="6" xfId="1959" applyNumberFormat="1" applyFont="1" applyBorder="1" applyAlignment="1">
      <alignment vertical="center"/>
    </xf>
    <xf numFmtId="190" fontId="184" fillId="0" borderId="168" xfId="1959" applyNumberFormat="1" applyFont="1" applyBorder="1" applyAlignment="1">
      <alignment vertical="center"/>
    </xf>
    <xf numFmtId="0" fontId="184" fillId="0" borderId="108" xfId="2697" applyFont="1" applyBorder="1" applyAlignment="1">
      <alignment horizontal="center" wrapText="1"/>
    </xf>
    <xf numFmtId="186" fontId="184" fillId="0" borderId="65" xfId="1959" applyNumberFormat="1" applyFont="1" applyBorder="1" applyAlignment="1">
      <alignment vertical="center"/>
    </xf>
    <xf numFmtId="186" fontId="184" fillId="0" borderId="23" xfId="2699" applyNumberFormat="1" applyFont="1" applyBorder="1" applyAlignment="1">
      <alignment vertical="center"/>
    </xf>
    <xf numFmtId="41" fontId="184" fillId="0" borderId="70" xfId="1959" applyFont="1" applyBorder="1" applyAlignment="1">
      <alignment vertical="center"/>
    </xf>
    <xf numFmtId="186" fontId="184" fillId="0" borderId="6" xfId="2699" applyNumberFormat="1" applyFont="1" applyBorder="1" applyAlignment="1">
      <alignment vertical="center"/>
    </xf>
    <xf numFmtId="190" fontId="184" fillId="0" borderId="6" xfId="1959" applyNumberFormat="1" applyFont="1" applyBorder="1" applyAlignment="1">
      <alignment vertical="center"/>
    </xf>
    <xf numFmtId="190" fontId="184" fillId="0" borderId="65" xfId="1959" applyNumberFormat="1" applyFont="1" applyBorder="1" applyAlignment="1">
      <alignment vertical="center"/>
    </xf>
    <xf numFmtId="190" fontId="184" fillId="0" borderId="71" xfId="1959" applyNumberFormat="1" applyFont="1" applyBorder="1" applyAlignment="1">
      <alignment vertical="center"/>
    </xf>
    <xf numFmtId="217" fontId="184" fillId="0" borderId="6" xfId="1959" applyNumberFormat="1" applyFont="1" applyBorder="1" applyAlignment="1">
      <alignment vertical="center"/>
    </xf>
    <xf numFmtId="203" fontId="184" fillId="0" borderId="107" xfId="2697" applyNumberFormat="1" applyFont="1" applyBorder="1" applyAlignment="1">
      <alignment horizontal="center" vertical="center"/>
    </xf>
    <xf numFmtId="217" fontId="184" fillId="0" borderId="14" xfId="1959" applyNumberFormat="1" applyFont="1" applyBorder="1" applyAlignment="1">
      <alignment vertical="center"/>
    </xf>
    <xf numFmtId="217" fontId="184" fillId="0" borderId="14" xfId="2699" applyNumberFormat="1" applyFont="1" applyBorder="1" applyAlignment="1">
      <alignment vertical="center"/>
    </xf>
    <xf numFmtId="41" fontId="184" fillId="0" borderId="14" xfId="1959" applyFont="1" applyBorder="1" applyAlignment="1">
      <alignment vertical="center"/>
    </xf>
    <xf numFmtId="190" fontId="184" fillId="0" borderId="14" xfId="2699" applyNumberFormat="1" applyFont="1" applyBorder="1" applyAlignment="1">
      <alignment vertical="center"/>
    </xf>
    <xf numFmtId="186" fontId="184" fillId="0" borderId="14" xfId="1959" applyNumberFormat="1" applyFont="1" applyBorder="1" applyAlignment="1">
      <alignment vertical="center"/>
    </xf>
    <xf numFmtId="0" fontId="184" fillId="52" borderId="106" xfId="2697" applyFont="1" applyFill="1" applyBorder="1" applyAlignment="1">
      <alignment horizontal="center" wrapText="1"/>
    </xf>
    <xf numFmtId="186" fontId="184" fillId="52" borderId="37" xfId="1959" applyNumberFormat="1" applyFont="1" applyFill="1" applyBorder="1" applyAlignment="1">
      <alignment vertical="center"/>
    </xf>
    <xf numFmtId="186" fontId="184" fillId="52" borderId="77" xfId="2699" applyNumberFormat="1" applyFont="1" applyFill="1" applyBorder="1" applyAlignment="1">
      <alignment vertical="center"/>
    </xf>
    <xf numFmtId="41" fontId="184" fillId="52" borderId="68" xfId="1959" applyFont="1" applyFill="1" applyBorder="1" applyAlignment="1">
      <alignment vertical="center"/>
    </xf>
    <xf numFmtId="186" fontId="184" fillId="53" borderId="86" xfId="1959" applyNumberFormat="1" applyFont="1" applyFill="1" applyBorder="1" applyAlignment="1">
      <alignment vertical="center"/>
    </xf>
    <xf numFmtId="186" fontId="184" fillId="53" borderId="86" xfId="2699" applyNumberFormat="1" applyFont="1" applyFill="1" applyBorder="1" applyAlignment="1">
      <alignment vertical="center"/>
    </xf>
    <xf numFmtId="190" fontId="184" fillId="53" borderId="86" xfId="1959" applyNumberFormat="1" applyFont="1" applyFill="1" applyBorder="1" applyAlignment="1">
      <alignment vertical="center"/>
    </xf>
    <xf numFmtId="186" fontId="184" fillId="53" borderId="118" xfId="1959" applyNumberFormat="1" applyFont="1" applyFill="1" applyBorder="1" applyAlignment="1">
      <alignment vertical="center"/>
    </xf>
    <xf numFmtId="190" fontId="184" fillId="52" borderId="37" xfId="1959" applyNumberFormat="1" applyFont="1" applyFill="1" applyBorder="1" applyAlignment="1">
      <alignment vertical="center"/>
    </xf>
    <xf numFmtId="190" fontId="184" fillId="52" borderId="77" xfId="1959" applyNumberFormat="1" applyFont="1" applyFill="1" applyBorder="1" applyAlignment="1">
      <alignment vertical="center"/>
    </xf>
    <xf numFmtId="203" fontId="184" fillId="52" borderId="110" xfId="2697" applyNumberFormat="1" applyFont="1" applyFill="1" applyBorder="1" applyAlignment="1">
      <alignment horizontal="center" vertical="center"/>
    </xf>
    <xf numFmtId="186" fontId="184" fillId="52" borderId="164" xfId="1959" applyNumberFormat="1" applyFont="1" applyFill="1" applyBorder="1" applyAlignment="1">
      <alignment vertical="center"/>
    </xf>
    <xf numFmtId="190" fontId="184" fillId="52" borderId="163" xfId="2699" applyNumberFormat="1" applyFont="1" applyFill="1" applyBorder="1" applyAlignment="1">
      <alignment vertical="center"/>
    </xf>
    <xf numFmtId="190" fontId="184" fillId="52" borderId="166" xfId="2699" applyNumberFormat="1" applyFont="1" applyFill="1" applyBorder="1" applyAlignment="1">
      <alignment vertical="center"/>
    </xf>
    <xf numFmtId="186" fontId="184" fillId="52" borderId="162" xfId="1959" applyNumberFormat="1" applyFont="1" applyFill="1" applyBorder="1" applyAlignment="1">
      <alignment vertical="center"/>
    </xf>
    <xf numFmtId="190" fontId="184" fillId="52" borderId="161" xfId="2699" applyNumberFormat="1" applyFont="1" applyFill="1" applyBorder="1" applyAlignment="1">
      <alignment vertical="center"/>
    </xf>
    <xf numFmtId="217" fontId="184" fillId="53" borderId="191" xfId="1959" applyNumberFormat="1" applyFont="1" applyFill="1" applyBorder="1" applyAlignment="1">
      <alignment vertical="center"/>
    </xf>
    <xf numFmtId="190" fontId="184" fillId="53" borderId="191" xfId="1959" applyNumberFormat="1" applyFont="1" applyFill="1" applyBorder="1" applyAlignment="1">
      <alignment vertical="center"/>
    </xf>
    <xf numFmtId="190" fontId="184" fillId="53" borderId="191" xfId="2699" applyNumberFormat="1" applyFont="1" applyFill="1" applyBorder="1" applyAlignment="1">
      <alignment vertical="center"/>
    </xf>
    <xf numFmtId="186" fontId="184" fillId="53" borderId="14" xfId="1959" applyNumberFormat="1" applyFont="1" applyFill="1" applyBorder="1" applyAlignment="1">
      <alignment vertical="center"/>
    </xf>
    <xf numFmtId="190" fontId="184" fillId="53" borderId="14" xfId="2699" applyNumberFormat="1" applyFont="1" applyFill="1" applyBorder="1" applyAlignment="1">
      <alignment vertical="center"/>
    </xf>
    <xf numFmtId="190" fontId="184" fillId="52" borderId="164" xfId="1959" applyNumberFormat="1" applyFont="1" applyFill="1" applyBorder="1" applyAlignment="1">
      <alignment vertical="center"/>
    </xf>
    <xf numFmtId="217" fontId="184" fillId="0" borderId="14" xfId="2696" applyNumberFormat="1" applyFont="1" applyBorder="1" applyAlignment="1">
      <alignment vertical="center"/>
    </xf>
    <xf numFmtId="217" fontId="184" fillId="53" borderId="14" xfId="2699" applyNumberFormat="1" applyFont="1" applyFill="1" applyBorder="1" applyAlignment="1">
      <alignment vertical="center"/>
    </xf>
    <xf numFmtId="0" fontId="184" fillId="52" borderId="173" xfId="2697" applyFont="1" applyFill="1" applyBorder="1" applyAlignment="1">
      <alignment horizontal="centerContinuous" vertical="center"/>
    </xf>
    <xf numFmtId="209" fontId="184" fillId="53" borderId="86" xfId="2699" applyNumberFormat="1" applyFont="1" applyFill="1" applyBorder="1" applyAlignment="1">
      <alignment vertical="center"/>
    </xf>
    <xf numFmtId="209" fontId="184" fillId="0" borderId="55" xfId="2699" applyNumberFormat="1" applyFont="1" applyBorder="1" applyAlignment="1">
      <alignment vertical="center"/>
    </xf>
    <xf numFmtId="209" fontId="184" fillId="0" borderId="55" xfId="1959" applyNumberFormat="1" applyFont="1" applyBorder="1" applyAlignment="1">
      <alignment vertical="center"/>
    </xf>
    <xf numFmtId="209" fontId="184" fillId="0" borderId="6" xfId="2699" applyNumberFormat="1" applyFont="1" applyBorder="1" applyAlignment="1">
      <alignment vertical="center"/>
    </xf>
    <xf numFmtId="209" fontId="184" fillId="0" borderId="6" xfId="1959" applyNumberFormat="1" applyFont="1" applyBorder="1" applyAlignment="1">
      <alignment vertical="center"/>
    </xf>
    <xf numFmtId="209" fontId="184" fillId="53" borderId="86" xfId="1959" applyNumberFormat="1" applyFont="1" applyFill="1" applyBorder="1" applyAlignment="1">
      <alignment vertical="center"/>
    </xf>
    <xf numFmtId="217" fontId="184" fillId="53" borderId="14" xfId="2696" applyNumberFormat="1" applyFont="1" applyFill="1" applyBorder="1" applyAlignment="1">
      <alignment vertical="center"/>
    </xf>
    <xf numFmtId="217" fontId="184" fillId="53" borderId="14" xfId="1959" applyNumberFormat="1" applyFont="1" applyFill="1" applyBorder="1" applyAlignment="1">
      <alignment vertical="center"/>
    </xf>
    <xf numFmtId="0" fontId="13" fillId="0" borderId="0" xfId="2821">
      <alignment vertical="center"/>
    </xf>
    <xf numFmtId="0" fontId="11" fillId="0" borderId="0" xfId="2842">
      <alignment vertical="center"/>
    </xf>
    <xf numFmtId="14" fontId="11" fillId="0" borderId="0" xfId="2842" applyNumberFormat="1">
      <alignment vertical="center"/>
    </xf>
    <xf numFmtId="4" fontId="11" fillId="0" borderId="0" xfId="2842" applyNumberFormat="1">
      <alignment vertical="center"/>
    </xf>
    <xf numFmtId="3" fontId="11" fillId="0" borderId="0" xfId="2842" applyNumberFormat="1">
      <alignment vertical="center"/>
    </xf>
    <xf numFmtId="22" fontId="11" fillId="0" borderId="0" xfId="2842" applyNumberFormat="1">
      <alignment vertical="center"/>
    </xf>
    <xf numFmtId="189" fontId="11" fillId="0" borderId="0" xfId="2842" applyNumberFormat="1">
      <alignment vertical="center"/>
    </xf>
    <xf numFmtId="17" fontId="11" fillId="0" borderId="0" xfId="2842" applyNumberFormat="1">
      <alignment vertical="center"/>
    </xf>
    <xf numFmtId="41" fontId="112" fillId="0" borderId="105" xfId="1959" applyFont="1" applyFill="1" applyBorder="1" applyAlignment="1">
      <alignment vertical="center"/>
    </xf>
    <xf numFmtId="176" fontId="117" fillId="0" borderId="105" xfId="1959" applyNumberFormat="1" applyFont="1" applyFill="1" applyBorder="1" applyAlignment="1">
      <alignment vertical="center"/>
    </xf>
    <xf numFmtId="41" fontId="38" fillId="0" borderId="0" xfId="1959" applyFont="1" applyFill="1" applyAlignment="1">
      <alignment vertical="center"/>
    </xf>
    <xf numFmtId="0" fontId="10" fillId="0" borderId="0" xfId="3071">
      <alignment vertical="center"/>
    </xf>
    <xf numFmtId="14" fontId="10" fillId="0" borderId="0" xfId="3071" applyNumberFormat="1">
      <alignment vertical="center"/>
    </xf>
    <xf numFmtId="4" fontId="10" fillId="0" borderId="0" xfId="3071" applyNumberFormat="1">
      <alignment vertical="center"/>
    </xf>
    <xf numFmtId="3" fontId="10" fillId="0" borderId="0" xfId="3071" applyNumberFormat="1">
      <alignment vertical="center"/>
    </xf>
    <xf numFmtId="22" fontId="10" fillId="0" borderId="0" xfId="3071" applyNumberFormat="1">
      <alignment vertical="center"/>
    </xf>
    <xf numFmtId="189" fontId="10" fillId="0" borderId="0" xfId="3071" applyNumberFormat="1">
      <alignment vertical="center"/>
    </xf>
    <xf numFmtId="195" fontId="117" fillId="0" borderId="16" xfId="0" applyNumberFormat="1" applyFont="1" applyBorder="1" applyAlignment="1">
      <alignment vertical="center"/>
    </xf>
    <xf numFmtId="195" fontId="117" fillId="0" borderId="100" xfId="1959" applyNumberFormat="1" applyFont="1" applyFill="1" applyBorder="1" applyAlignment="1">
      <alignment vertical="center"/>
    </xf>
    <xf numFmtId="218" fontId="38" fillId="0" borderId="0" xfId="1959" applyNumberFormat="1" applyFont="1" applyBorder="1" applyAlignment="1">
      <alignment vertical="center"/>
    </xf>
    <xf numFmtId="41" fontId="36" fillId="0" borderId="0" xfId="1959" applyFont="1" applyAlignment="1">
      <alignment vertical="center"/>
    </xf>
    <xf numFmtId="0" fontId="40" fillId="59" borderId="10" xfId="0" applyFont="1" applyFill="1" applyBorder="1" applyAlignment="1">
      <alignment horizontal="center" vertical="center"/>
    </xf>
    <xf numFmtId="199" fontId="113" fillId="59" borderId="10" xfId="1959" applyNumberFormat="1" applyFont="1" applyFill="1" applyBorder="1" applyAlignment="1">
      <alignment vertical="center"/>
    </xf>
    <xf numFmtId="199" fontId="113" fillId="59" borderId="55" xfId="1959" applyNumberFormat="1" applyFont="1" applyFill="1" applyBorder="1" applyAlignment="1">
      <alignment vertical="center"/>
    </xf>
    <xf numFmtId="195" fontId="40" fillId="59" borderId="55" xfId="0" applyNumberFormat="1" applyFont="1" applyFill="1" applyBorder="1" applyAlignment="1">
      <alignment vertical="center"/>
    </xf>
    <xf numFmtId="177" fontId="40" fillId="59" borderId="55" xfId="0" applyNumberFormat="1" applyFont="1" applyFill="1" applyBorder="1" applyAlignment="1">
      <alignment vertical="center"/>
    </xf>
    <xf numFmtId="176" fontId="40" fillId="59" borderId="55" xfId="1959" applyNumberFormat="1" applyFont="1" applyFill="1" applyBorder="1" applyAlignment="1">
      <alignment vertical="center"/>
    </xf>
    <xf numFmtId="41" fontId="40" fillId="59" borderId="55" xfId="1959" applyFont="1" applyFill="1" applyBorder="1" applyAlignment="1">
      <alignment vertical="center"/>
    </xf>
    <xf numFmtId="177" fontId="40" fillId="59" borderId="36" xfId="0" applyNumberFormat="1" applyFont="1" applyFill="1" applyBorder="1" applyAlignment="1">
      <alignment vertical="center"/>
    </xf>
    <xf numFmtId="199" fontId="40" fillId="59" borderId="10" xfId="1959" applyNumberFormat="1" applyFont="1" applyFill="1" applyBorder="1" applyAlignment="1">
      <alignment vertical="center"/>
    </xf>
    <xf numFmtId="199" fontId="40" fillId="59" borderId="55" xfId="1959" applyNumberFormat="1" applyFont="1" applyFill="1" applyBorder="1" applyAlignment="1">
      <alignment vertical="center"/>
    </xf>
    <xf numFmtId="195" fontId="40" fillId="59" borderId="55" xfId="1959" applyNumberFormat="1" applyFont="1" applyFill="1" applyBorder="1" applyAlignment="1">
      <alignment vertical="center"/>
    </xf>
    <xf numFmtId="177" fontId="40" fillId="59" borderId="28" xfId="0" applyNumberFormat="1" applyFont="1" applyFill="1" applyBorder="1" applyAlignment="1">
      <alignment vertical="center"/>
    </xf>
    <xf numFmtId="199" fontId="40" fillId="59" borderId="6" xfId="1959" applyNumberFormat="1" applyFont="1" applyFill="1" applyBorder="1" applyAlignment="1">
      <alignment vertical="center"/>
    </xf>
    <xf numFmtId="195" fontId="113" fillId="59" borderId="16" xfId="1959" applyNumberFormat="1" applyFont="1" applyFill="1" applyBorder="1" applyAlignment="1">
      <alignment vertical="center"/>
    </xf>
    <xf numFmtId="176" fontId="40" fillId="59" borderId="6" xfId="1959" applyNumberFormat="1" applyFont="1" applyFill="1" applyBorder="1" applyAlignment="1">
      <alignment vertical="center"/>
    </xf>
    <xf numFmtId="199" fontId="40" fillId="59" borderId="27" xfId="1959" applyNumberFormat="1" applyFont="1" applyFill="1" applyBorder="1" applyAlignment="1">
      <alignment vertical="center"/>
    </xf>
    <xf numFmtId="195" fontId="40" fillId="59" borderId="6" xfId="1959" applyNumberFormat="1" applyFont="1" applyFill="1" applyBorder="1" applyAlignment="1">
      <alignment vertical="center"/>
    </xf>
    <xf numFmtId="177" fontId="40" fillId="59" borderId="6" xfId="0" applyNumberFormat="1" applyFont="1" applyFill="1" applyBorder="1" applyAlignment="1">
      <alignment vertical="center"/>
    </xf>
    <xf numFmtId="176" fontId="40" fillId="59" borderId="6" xfId="0" applyNumberFormat="1" applyFont="1" applyFill="1" applyBorder="1" applyAlignment="1">
      <alignment vertical="center"/>
    </xf>
    <xf numFmtId="41" fontId="40" fillId="59" borderId="6" xfId="1959" applyFont="1" applyFill="1" applyBorder="1" applyAlignment="1">
      <alignment vertical="center"/>
    </xf>
    <xf numFmtId="177" fontId="40" fillId="59" borderId="27" xfId="1959" applyNumberFormat="1" applyFont="1" applyFill="1" applyBorder="1" applyAlignment="1">
      <alignment vertical="center"/>
    </xf>
    <xf numFmtId="41" fontId="40" fillId="59" borderId="27" xfId="1959" applyFont="1" applyFill="1" applyBorder="1" applyAlignment="1">
      <alignment vertical="center"/>
    </xf>
    <xf numFmtId="176" fontId="40" fillId="59" borderId="27" xfId="1959" applyNumberFormat="1" applyFont="1" applyFill="1" applyBorder="1" applyAlignment="1">
      <alignment vertical="center"/>
    </xf>
    <xf numFmtId="177" fontId="40" fillId="59" borderId="36" xfId="1959" applyNumberFormat="1" applyFont="1" applyFill="1" applyBorder="1" applyAlignment="1">
      <alignment vertical="center"/>
    </xf>
    <xf numFmtId="177" fontId="40" fillId="59" borderId="6" xfId="1959" applyNumberFormat="1" applyFont="1" applyFill="1" applyBorder="1" applyAlignment="1">
      <alignment vertical="center"/>
    </xf>
    <xf numFmtId="177" fontId="40" fillId="59" borderId="20" xfId="1959" applyNumberFormat="1" applyFont="1" applyFill="1" applyBorder="1" applyAlignment="1">
      <alignment vertical="center"/>
    </xf>
    <xf numFmtId="0" fontId="40" fillId="59" borderId="26" xfId="0" applyFont="1" applyFill="1" applyBorder="1" applyAlignment="1">
      <alignment horizontal="center" vertical="center"/>
    </xf>
    <xf numFmtId="177" fontId="40" fillId="52" borderId="17" xfId="0" applyNumberFormat="1" applyFont="1" applyFill="1" applyBorder="1" applyAlignment="1">
      <alignment vertical="center"/>
    </xf>
    <xf numFmtId="177" fontId="40" fillId="52" borderId="18" xfId="0" applyNumberFormat="1" applyFont="1" applyFill="1" applyBorder="1" applyAlignment="1">
      <alignment vertical="center"/>
    </xf>
    <xf numFmtId="177" fontId="40" fillId="52" borderId="30" xfId="0" applyNumberFormat="1" applyFont="1" applyFill="1" applyBorder="1" applyAlignment="1">
      <alignment vertical="center"/>
    </xf>
    <xf numFmtId="177" fontId="40" fillId="52" borderId="20" xfId="0" applyNumberFormat="1" applyFont="1" applyFill="1" applyBorder="1" applyAlignment="1">
      <alignment vertical="center"/>
    </xf>
    <xf numFmtId="177" fontId="40" fillId="52" borderId="39" xfId="0" applyNumberFormat="1" applyFont="1" applyFill="1" applyBorder="1" applyAlignment="1">
      <alignment vertical="center"/>
    </xf>
    <xf numFmtId="195" fontId="117" fillId="17" borderId="100" xfId="0" applyNumberFormat="1" applyFont="1" applyFill="1" applyBorder="1" applyAlignment="1">
      <alignment vertical="center"/>
    </xf>
    <xf numFmtId="0" fontId="40" fillId="0" borderId="23" xfId="0" applyFont="1" applyBorder="1" applyAlignment="1">
      <alignment horizontal="centerContinuous" vertical="center"/>
    </xf>
    <xf numFmtId="217" fontId="194" fillId="53" borderId="191" xfId="2699" applyNumberFormat="1" applyFont="1" applyFill="1" applyBorder="1" applyAlignment="1">
      <alignment vertical="center"/>
    </xf>
    <xf numFmtId="217" fontId="194" fillId="53" borderId="14" xfId="2699" applyNumberFormat="1" applyFont="1" applyFill="1" applyBorder="1" applyAlignment="1">
      <alignment vertical="center"/>
    </xf>
    <xf numFmtId="0" fontId="36" fillId="0" borderId="41" xfId="0" applyFont="1" applyBorder="1" applyAlignment="1">
      <alignment vertical="center"/>
    </xf>
    <xf numFmtId="0" fontId="36" fillId="0" borderId="42" xfId="0" applyFont="1" applyBorder="1" applyAlignment="1">
      <alignment vertical="center"/>
    </xf>
    <xf numFmtId="0" fontId="36" fillId="0" borderId="43" xfId="0" applyFont="1" applyBorder="1" applyAlignment="1">
      <alignment vertical="center"/>
    </xf>
    <xf numFmtId="0" fontId="36" fillId="0" borderId="92" xfId="0" applyFont="1" applyBorder="1" applyAlignment="1">
      <alignment horizontal="center" vertical="center"/>
    </xf>
    <xf numFmtId="0" fontId="36" fillId="0" borderId="93" xfId="0" applyFont="1" applyBorder="1" applyAlignment="1">
      <alignment horizontal="center" vertical="center"/>
    </xf>
    <xf numFmtId="0" fontId="36" fillId="0" borderId="94" xfId="0" applyFont="1" applyBorder="1" applyAlignment="1">
      <alignment horizontal="center" vertical="center"/>
    </xf>
    <xf numFmtId="41" fontId="36" fillId="0" borderId="93" xfId="1959" applyFont="1" applyBorder="1" applyAlignment="1">
      <alignment vertical="center"/>
    </xf>
    <xf numFmtId="41" fontId="36" fillId="0" borderId="94" xfId="1959" applyFont="1" applyBorder="1" applyAlignment="1">
      <alignment vertical="center"/>
    </xf>
    <xf numFmtId="0" fontId="36" fillId="0" borderId="95" xfId="0" applyFont="1" applyBorder="1" applyAlignment="1">
      <alignment horizontal="center" vertical="center"/>
    </xf>
    <xf numFmtId="41" fontId="36" fillId="0" borderId="96" xfId="1959" applyFont="1" applyBorder="1" applyAlignment="1">
      <alignment vertical="center"/>
    </xf>
    <xf numFmtId="41" fontId="36" fillId="0" borderId="97" xfId="1959" applyFont="1" applyBorder="1" applyAlignment="1">
      <alignment vertical="center"/>
    </xf>
    <xf numFmtId="41" fontId="36" fillId="0" borderId="41" xfId="1959" applyFont="1" applyBorder="1" applyAlignment="1">
      <alignment horizontal="center" vertical="center"/>
    </xf>
    <xf numFmtId="41" fontId="36" fillId="0" borderId="42" xfId="1959" applyFont="1" applyBorder="1" applyAlignment="1">
      <alignment horizontal="center" vertical="center"/>
    </xf>
    <xf numFmtId="41" fontId="36" fillId="0" borderId="43" xfId="1959" applyFont="1" applyBorder="1" applyAlignment="1">
      <alignment horizontal="center" vertical="center"/>
    </xf>
    <xf numFmtId="41" fontId="36" fillId="0" borderId="49" xfId="1959" applyFont="1" applyBorder="1" applyAlignment="1">
      <alignment horizontal="center" vertical="center"/>
    </xf>
    <xf numFmtId="41" fontId="36" fillId="0" borderId="47" xfId="1959" applyFont="1" applyBorder="1" applyAlignment="1">
      <alignment horizontal="center" vertical="center"/>
    </xf>
    <xf numFmtId="196" fontId="36" fillId="0" borderId="67" xfId="1959" applyNumberFormat="1" applyFont="1" applyBorder="1" applyAlignment="1">
      <alignment horizontal="center" vertical="center"/>
    </xf>
    <xf numFmtId="41" fontId="36" fillId="0" borderId="67" xfId="1959" applyFont="1" applyBorder="1" applyAlignment="1">
      <alignment horizontal="center" vertical="center"/>
    </xf>
    <xf numFmtId="41" fontId="36" fillId="0" borderId="44" xfId="1959" applyFont="1" applyBorder="1" applyAlignment="1">
      <alignment horizontal="center" vertical="center"/>
    </xf>
    <xf numFmtId="41" fontId="36" fillId="0" borderId="45" xfId="1959" applyFont="1" applyBorder="1" applyAlignment="1">
      <alignment horizontal="center" vertical="center"/>
    </xf>
    <xf numFmtId="41" fontId="36" fillId="0" borderId="46" xfId="1959" applyFont="1" applyBorder="1" applyAlignment="1">
      <alignment horizontal="center" vertical="center"/>
    </xf>
    <xf numFmtId="176" fontId="36" fillId="0" borderId="15" xfId="0" applyNumberFormat="1" applyFont="1" applyBorder="1" applyAlignment="1">
      <alignment horizontal="center" vertical="center"/>
    </xf>
    <xf numFmtId="176" fontId="36" fillId="0" borderId="23" xfId="0" applyNumberFormat="1" applyFont="1" applyBorder="1" applyAlignment="1">
      <alignment vertical="center"/>
    </xf>
    <xf numFmtId="0" fontId="36" fillId="0" borderId="100" xfId="0" applyFont="1" applyBorder="1" applyAlignment="1">
      <alignment horizontal="center" vertical="center"/>
    </xf>
    <xf numFmtId="176" fontId="36" fillId="0" borderId="98" xfId="0" applyNumberFormat="1" applyFont="1" applyBorder="1" applyAlignment="1">
      <alignment vertical="center"/>
    </xf>
    <xf numFmtId="176" fontId="36" fillId="0" borderId="100" xfId="0" applyNumberFormat="1" applyFont="1" applyBorder="1" applyAlignment="1">
      <alignment horizontal="center" vertical="center"/>
    </xf>
    <xf numFmtId="0" fontId="36" fillId="0" borderId="16" xfId="0" applyFont="1" applyBorder="1" applyAlignment="1">
      <alignment horizontal="center" vertical="center"/>
    </xf>
    <xf numFmtId="176" fontId="36" fillId="0" borderId="16" xfId="0" applyNumberFormat="1" applyFont="1" applyBorder="1" applyAlignment="1">
      <alignment vertical="center"/>
    </xf>
    <xf numFmtId="0" fontId="36" fillId="0" borderId="16" xfId="0" applyFont="1" applyBorder="1" applyAlignment="1">
      <alignment vertical="center"/>
    </xf>
    <xf numFmtId="0" fontId="36" fillId="0" borderId="99" xfId="0" applyFont="1" applyBorder="1" applyAlignment="1">
      <alignment vertical="center"/>
    </xf>
    <xf numFmtId="176" fontId="40" fillId="16" borderId="10" xfId="1959" applyNumberFormat="1" applyFont="1" applyFill="1" applyBorder="1" applyAlignment="1">
      <alignment vertical="center"/>
    </xf>
    <xf numFmtId="0" fontId="197" fillId="0" borderId="0" xfId="0" applyFont="1" applyAlignment="1">
      <alignment horizontal="centerContinuous" vertical="center"/>
    </xf>
    <xf numFmtId="177" fontId="197" fillId="0" borderId="0" xfId="0" applyNumberFormat="1" applyFont="1" applyAlignment="1">
      <alignment horizontal="centerContinuous" vertical="center"/>
    </xf>
    <xf numFmtId="176" fontId="197" fillId="0" borderId="0" xfId="0" applyNumberFormat="1" applyFont="1" applyAlignment="1">
      <alignment horizontal="centerContinuous" vertical="center"/>
    </xf>
    <xf numFmtId="194" fontId="50" fillId="0" borderId="0" xfId="0" applyNumberFormat="1" applyFont="1" applyAlignment="1">
      <alignment vertical="center"/>
    </xf>
    <xf numFmtId="176" fontId="50" fillId="0" borderId="0" xfId="0" applyNumberFormat="1" applyFont="1" applyAlignment="1">
      <alignment vertical="center"/>
    </xf>
    <xf numFmtId="176" fontId="50" fillId="0" borderId="0" xfId="0" applyNumberFormat="1" applyFont="1" applyAlignment="1">
      <alignment horizontal="center" vertical="center"/>
    </xf>
    <xf numFmtId="177" fontId="50" fillId="0" borderId="0" xfId="0" applyNumberFormat="1" applyFont="1" applyAlignment="1">
      <alignment horizontal="center" vertical="center"/>
    </xf>
    <xf numFmtId="0" fontId="47" fillId="0" borderId="0" xfId="0" applyFont="1" applyAlignment="1">
      <alignment vertical="center"/>
    </xf>
    <xf numFmtId="219" fontId="184" fillId="53" borderId="14" xfId="1959" applyNumberFormat="1" applyFont="1" applyFill="1" applyBorder="1" applyAlignment="1">
      <alignment vertical="center"/>
    </xf>
    <xf numFmtId="0" fontId="40" fillId="17" borderId="25" xfId="0" applyFont="1" applyFill="1" applyBorder="1" applyAlignment="1">
      <alignment horizontal="center" vertical="center"/>
    </xf>
    <xf numFmtId="0" fontId="40" fillId="17" borderId="100" xfId="0" applyFont="1" applyFill="1" applyBorder="1" applyAlignment="1">
      <alignment horizontal="center" vertical="center" shrinkToFit="1"/>
    </xf>
    <xf numFmtId="0" fontId="40" fillId="17" borderId="23" xfId="0" applyFont="1" applyFill="1" applyBorder="1" applyAlignment="1">
      <alignment horizontal="center" vertical="center"/>
    </xf>
    <xf numFmtId="0" fontId="40" fillId="0" borderId="16" xfId="0" applyFont="1" applyBorder="1" applyAlignment="1">
      <alignment horizontal="center" vertical="center"/>
    </xf>
    <xf numFmtId="0" fontId="40" fillId="17" borderId="104" xfId="0" applyFont="1" applyFill="1" applyBorder="1" applyAlignment="1">
      <alignment horizontal="center" vertical="center"/>
    </xf>
    <xf numFmtId="0" fontId="40" fillId="17" borderId="99" xfId="0" applyFont="1" applyFill="1" applyBorder="1" applyAlignment="1">
      <alignment horizontal="center" vertical="center"/>
    </xf>
    <xf numFmtId="0" fontId="0" fillId="51" borderId="0" xfId="0" applyFill="1"/>
    <xf numFmtId="41" fontId="198" fillId="0" borderId="0" xfId="1959" applyFont="1" applyBorder="1" applyAlignment="1">
      <alignment vertical="center"/>
    </xf>
    <xf numFmtId="206" fontId="164" fillId="0" borderId="147" xfId="0" applyNumberFormat="1" applyFont="1" applyBorder="1" applyAlignment="1">
      <alignment vertical="center"/>
    </xf>
    <xf numFmtId="206" fontId="164" fillId="0" borderId="53" xfId="1959" applyNumberFormat="1" applyFont="1" applyFill="1" applyBorder="1" applyAlignment="1">
      <alignment vertical="center"/>
    </xf>
    <xf numFmtId="206" fontId="164" fillId="0" borderId="225" xfId="1959" applyNumberFormat="1" applyFont="1" applyFill="1" applyBorder="1" applyAlignment="1">
      <alignment horizontal="right" vertical="center"/>
    </xf>
    <xf numFmtId="206" fontId="164" fillId="0" borderId="136" xfId="0" applyNumberFormat="1" applyFont="1" applyBorder="1" applyAlignment="1">
      <alignment vertical="center"/>
    </xf>
    <xf numFmtId="206" fontId="164" fillId="0" borderId="93" xfId="1959" applyNumberFormat="1" applyFont="1" applyFill="1" applyBorder="1" applyAlignment="1">
      <alignment vertical="center"/>
    </xf>
    <xf numFmtId="206" fontId="166" fillId="0" borderId="93" xfId="1959" applyNumberFormat="1" applyFont="1" applyBorder="1" applyAlignment="1">
      <alignment vertical="center"/>
    </xf>
    <xf numFmtId="206" fontId="164" fillId="0" borderId="137" xfId="0" applyNumberFormat="1" applyFont="1" applyBorder="1" applyAlignment="1">
      <alignment vertical="center"/>
    </xf>
    <xf numFmtId="206" fontId="166" fillId="0" borderId="96" xfId="1959" applyNumberFormat="1" applyFont="1" applyBorder="1" applyAlignment="1">
      <alignment vertical="center"/>
    </xf>
    <xf numFmtId="206" fontId="164" fillId="0" borderId="96" xfId="1959" applyNumberFormat="1" applyFont="1" applyFill="1" applyBorder="1" applyAlignment="1">
      <alignment vertical="center"/>
    </xf>
    <xf numFmtId="176" fontId="166" fillId="0" borderId="135" xfId="0" applyNumberFormat="1" applyFont="1" applyBorder="1" applyAlignment="1">
      <alignment vertical="center" shrinkToFit="1"/>
    </xf>
    <xf numFmtId="176" fontId="166" fillId="0" borderId="42" xfId="0" applyNumberFormat="1" applyFont="1" applyBorder="1" applyAlignment="1">
      <alignment vertical="center" shrinkToFit="1"/>
    </xf>
    <xf numFmtId="208" fontId="164" fillId="0" borderId="41" xfId="0" applyNumberFormat="1" applyFont="1" applyBorder="1" applyAlignment="1">
      <alignment vertical="center" shrinkToFit="1"/>
    </xf>
    <xf numFmtId="176" fontId="166" fillId="0" borderId="136" xfId="0" applyNumberFormat="1" applyFont="1" applyBorder="1" applyAlignment="1">
      <alignment vertical="center" shrinkToFit="1"/>
    </xf>
    <xf numFmtId="208" fontId="164" fillId="0" borderId="92" xfId="0" applyNumberFormat="1" applyFont="1" applyBorder="1" applyAlignment="1">
      <alignment vertical="center" shrinkToFit="1"/>
    </xf>
    <xf numFmtId="176" fontId="166" fillId="0" borderId="137" xfId="0" applyNumberFormat="1" applyFont="1" applyBorder="1" applyAlignment="1">
      <alignment vertical="center" shrinkToFit="1"/>
    </xf>
    <xf numFmtId="208" fontId="164" fillId="0" borderId="95" xfId="0" applyNumberFormat="1" applyFont="1" applyBorder="1" applyAlignment="1">
      <alignment vertical="center" shrinkToFit="1"/>
    </xf>
    <xf numFmtId="191" fontId="161" fillId="57" borderId="208" xfId="0" applyNumberFormat="1" applyFont="1" applyFill="1" applyBorder="1" applyAlignment="1">
      <alignment horizontal="right" vertical="center"/>
    </xf>
    <xf numFmtId="191" fontId="161" fillId="57" borderId="6" xfId="0" applyNumberFormat="1" applyFont="1" applyFill="1" applyBorder="1" applyAlignment="1">
      <alignment horizontal="right" vertical="center"/>
    </xf>
    <xf numFmtId="191" fontId="161" fillId="57" borderId="209" xfId="0" applyNumberFormat="1" applyFont="1" applyFill="1" applyBorder="1" applyAlignment="1">
      <alignment horizontal="right" vertical="center"/>
    </xf>
    <xf numFmtId="176" fontId="166" fillId="0" borderId="147" xfId="0" applyNumberFormat="1" applyFont="1" applyBorder="1" applyAlignment="1">
      <alignment vertical="center" shrinkToFit="1"/>
    </xf>
    <xf numFmtId="208" fontId="164" fillId="0" borderId="56" xfId="0" applyNumberFormat="1" applyFont="1" applyBorder="1" applyAlignment="1">
      <alignment vertical="center" shrinkToFit="1"/>
    </xf>
    <xf numFmtId="41" fontId="164" fillId="0" borderId="92" xfId="1959" applyFont="1" applyFill="1" applyBorder="1" applyAlignment="1">
      <alignment vertical="center" shrinkToFit="1"/>
    </xf>
    <xf numFmtId="176" fontId="168" fillId="0" borderId="138" xfId="0" applyNumberFormat="1" applyFont="1" applyBorder="1" applyAlignment="1">
      <alignment vertical="center" shrinkToFit="1"/>
    </xf>
    <xf numFmtId="207" fontId="164" fillId="0" borderId="132" xfId="0" applyNumberFormat="1" applyFont="1" applyBorder="1" applyAlignment="1">
      <alignment vertical="center" shrinkToFit="1"/>
    </xf>
    <xf numFmtId="176" fontId="40" fillId="0" borderId="98" xfId="0" applyNumberFormat="1" applyFont="1" applyBorder="1" applyAlignment="1">
      <alignment vertical="center"/>
    </xf>
    <xf numFmtId="0" fontId="6" fillId="0" borderId="0" xfId="3153">
      <alignment vertical="center"/>
    </xf>
    <xf numFmtId="195" fontId="6" fillId="0" borderId="0" xfId="3154" applyNumberFormat="1" applyFont="1">
      <alignment vertical="center"/>
    </xf>
    <xf numFmtId="0" fontId="0" fillId="0" borderId="0" xfId="0" applyAlignment="1">
      <alignment horizontal="centerContinuous"/>
    </xf>
    <xf numFmtId="193" fontId="199" fillId="0" borderId="60" xfId="0" applyNumberFormat="1" applyFont="1" applyBorder="1" applyAlignment="1">
      <alignment vertical="center"/>
    </xf>
    <xf numFmtId="189" fontId="199" fillId="0" borderId="43" xfId="1959" applyNumberFormat="1" applyFont="1" applyBorder="1"/>
    <xf numFmtId="210" fontId="166" fillId="0" borderId="123" xfId="0" applyNumberFormat="1" applyFont="1" applyBorder="1" applyAlignment="1">
      <alignment vertical="center" shrinkToFit="1"/>
    </xf>
    <xf numFmtId="176" fontId="166" fillId="0" borderId="126" xfId="0" applyNumberFormat="1" applyFont="1" applyBorder="1" applyAlignment="1">
      <alignment vertical="center" shrinkToFit="1"/>
    </xf>
    <xf numFmtId="176" fontId="164" fillId="0" borderId="53" xfId="0" applyNumberFormat="1" applyFont="1" applyBorder="1" applyAlignment="1">
      <alignment vertical="center" shrinkToFit="1"/>
    </xf>
    <xf numFmtId="0" fontId="203" fillId="0" borderId="0" xfId="2697" applyFont="1">
      <alignment vertical="center"/>
    </xf>
    <xf numFmtId="217" fontId="204" fillId="0" borderId="0" xfId="2697" applyNumberFormat="1" applyFont="1">
      <alignment vertical="center"/>
    </xf>
    <xf numFmtId="217" fontId="205" fillId="0" borderId="0" xfId="2697" applyNumberFormat="1" applyFont="1">
      <alignment vertical="center"/>
    </xf>
    <xf numFmtId="0" fontId="36" fillId="0" borderId="0" xfId="0" applyFont="1" applyAlignment="1">
      <alignment horizontal="center" vertical="center" shrinkToFit="1"/>
    </xf>
    <xf numFmtId="0" fontId="40" fillId="52" borderId="10" xfId="0" applyFont="1" applyFill="1" applyBorder="1" applyAlignment="1">
      <alignment horizontal="center" vertical="center"/>
    </xf>
    <xf numFmtId="205" fontId="164" fillId="52" borderId="134" xfId="0" applyNumberFormat="1" applyFont="1" applyFill="1" applyBorder="1" applyAlignment="1">
      <alignment vertical="center"/>
    </xf>
    <xf numFmtId="206" fontId="164" fillId="52" borderId="87" xfId="0" applyNumberFormat="1" applyFont="1" applyFill="1" applyBorder="1" applyAlignment="1">
      <alignment vertical="center"/>
    </xf>
    <xf numFmtId="176" fontId="0" fillId="0" borderId="97" xfId="0" applyNumberFormat="1" applyBorder="1" applyAlignment="1">
      <alignment vertical="center"/>
    </xf>
    <xf numFmtId="214" fontId="172" fillId="0" borderId="246" xfId="1959" applyNumberFormat="1" applyFont="1" applyBorder="1" applyAlignment="1">
      <alignment horizontal="right" vertical="center" wrapText="1" indent="1"/>
    </xf>
    <xf numFmtId="216" fontId="173" fillId="0" borderId="182" xfId="1959" applyNumberFormat="1" applyFont="1" applyBorder="1" applyAlignment="1">
      <alignment horizontal="right" vertical="center" wrapText="1" indent="1"/>
    </xf>
    <xf numFmtId="216" fontId="173" fillId="0" borderId="248" xfId="1959" applyNumberFormat="1" applyFont="1" applyBorder="1" applyAlignment="1">
      <alignment horizontal="right" vertical="center" wrapText="1" indent="1"/>
    </xf>
    <xf numFmtId="0" fontId="51" fillId="0" borderId="0" xfId="0" applyFont="1" applyAlignment="1">
      <alignment horizontal="centerContinuous"/>
    </xf>
    <xf numFmtId="0" fontId="206" fillId="0" borderId="0" xfId="0" applyFont="1" applyAlignment="1">
      <alignment vertical="center"/>
    </xf>
    <xf numFmtId="0" fontId="207" fillId="52" borderId="37" xfId="0" applyFont="1" applyFill="1" applyBorder="1" applyAlignment="1">
      <alignment horizontal="center"/>
    </xf>
    <xf numFmtId="0" fontId="207" fillId="52" borderId="40" xfId="0" applyFont="1" applyFill="1" applyBorder="1" applyAlignment="1">
      <alignment horizontal="center"/>
    </xf>
    <xf numFmtId="0" fontId="44" fillId="60" borderId="106" xfId="0" applyFont="1" applyFill="1" applyBorder="1" applyAlignment="1">
      <alignment horizontal="center"/>
    </xf>
    <xf numFmtId="0" fontId="207" fillId="52" borderId="24" xfId="0" applyFont="1" applyFill="1" applyBorder="1" applyAlignment="1">
      <alignment horizontal="center" vertical="top"/>
    </xf>
    <xf numFmtId="0" fontId="207" fillId="52" borderId="38" xfId="0" applyFont="1" applyFill="1" applyBorder="1" applyAlignment="1">
      <alignment horizontal="center" vertical="top"/>
    </xf>
    <xf numFmtId="0" fontId="44" fillId="60" borderId="107" xfId="0" applyFont="1" applyFill="1" applyBorder="1" applyAlignment="1">
      <alignment horizontal="center" vertical="top"/>
    </xf>
    <xf numFmtId="182" fontId="208" fillId="0" borderId="34" xfId="0" applyNumberFormat="1" applyFont="1" applyBorder="1" applyAlignment="1">
      <alignment vertical="center"/>
    </xf>
    <xf numFmtId="187" fontId="208" fillId="0" borderId="34" xfId="0" applyNumberFormat="1" applyFont="1" applyBorder="1" applyAlignment="1">
      <alignment vertical="center"/>
    </xf>
    <xf numFmtId="182" fontId="208" fillId="0" borderId="32" xfId="1959" applyNumberFormat="1" applyFont="1" applyBorder="1" applyAlignment="1">
      <alignment vertical="center"/>
    </xf>
    <xf numFmtId="41" fontId="208" fillId="0" borderId="34" xfId="0" applyNumberFormat="1" applyFont="1" applyBorder="1" applyAlignment="1">
      <alignment vertical="center"/>
    </xf>
    <xf numFmtId="41" fontId="208" fillId="0" borderId="15" xfId="0" applyNumberFormat="1" applyFont="1" applyBorder="1" applyAlignment="1">
      <alignment vertical="center"/>
    </xf>
    <xf numFmtId="182" fontId="208" fillId="0" borderId="15" xfId="0" applyNumberFormat="1" applyFont="1" applyBorder="1" applyAlignment="1">
      <alignment vertical="center"/>
    </xf>
    <xf numFmtId="220" fontId="208" fillId="0" borderId="17" xfId="0" applyNumberFormat="1" applyFont="1" applyBorder="1" applyAlignment="1">
      <alignment vertical="center"/>
    </xf>
    <xf numFmtId="182" fontId="45" fillId="0" borderId="108" xfId="0" applyNumberFormat="1" applyFont="1" applyBorder="1" applyAlignment="1">
      <alignment vertical="center"/>
    </xf>
    <xf numFmtId="182" fontId="208" fillId="0" borderId="100" xfId="0" applyNumberFormat="1" applyFont="1" applyBorder="1" applyAlignment="1">
      <alignment vertical="center"/>
    </xf>
    <xf numFmtId="187" fontId="208" fillId="0" borderId="100" xfId="0" applyNumberFormat="1" applyFont="1" applyBorder="1" applyAlignment="1">
      <alignment vertical="center"/>
    </xf>
    <xf numFmtId="182" fontId="208" fillId="0" borderId="100" xfId="1959" applyNumberFormat="1" applyFont="1" applyBorder="1" applyAlignment="1">
      <alignment vertical="center"/>
    </xf>
    <xf numFmtId="41" fontId="208" fillId="0" borderId="100" xfId="0" applyNumberFormat="1" applyFont="1" applyBorder="1" applyAlignment="1">
      <alignment vertical="center"/>
    </xf>
    <xf numFmtId="220" fontId="208" fillId="0" borderId="18" xfId="0" applyNumberFormat="1" applyFont="1" applyBorder="1" applyAlignment="1">
      <alignment vertical="center"/>
    </xf>
    <xf numFmtId="182" fontId="45" fillId="0" borderId="249" xfId="0" applyNumberFormat="1" applyFont="1" applyBorder="1" applyAlignment="1">
      <alignment vertical="center"/>
    </xf>
    <xf numFmtId="0" fontId="33" fillId="0" borderId="0" xfId="2639" applyFont="1" applyAlignment="1">
      <alignment horizontal="center" vertical="center"/>
    </xf>
    <xf numFmtId="0" fontId="118" fillId="0" borderId="0" xfId="0" applyFont="1" applyAlignment="1">
      <alignment vertical="center"/>
    </xf>
    <xf numFmtId="184" fontId="33" fillId="0" borderId="0" xfId="0" applyNumberFormat="1" applyFont="1"/>
    <xf numFmtId="182" fontId="208" fillId="0" borderId="101" xfId="0" applyNumberFormat="1" applyFont="1" applyBorder="1" applyAlignment="1">
      <alignment vertical="center"/>
    </xf>
    <xf numFmtId="187" fontId="208" fillId="0" borderId="101" xfId="0" applyNumberFormat="1" applyFont="1" applyBorder="1" applyAlignment="1">
      <alignment vertical="center"/>
    </xf>
    <xf numFmtId="187" fontId="208" fillId="0" borderId="100" xfId="1959" applyNumberFormat="1" applyFont="1" applyBorder="1" applyAlignment="1">
      <alignment vertical="center"/>
    </xf>
    <xf numFmtId="41" fontId="208" fillId="0" borderId="101" xfId="0" applyNumberFormat="1" applyFont="1" applyBorder="1" applyAlignment="1">
      <alignment vertical="center"/>
    </xf>
    <xf numFmtId="182" fontId="50" fillId="0" borderId="250" xfId="0" applyNumberFormat="1" applyFont="1" applyBorder="1" applyAlignment="1">
      <alignment vertical="center"/>
    </xf>
    <xf numFmtId="0" fontId="115" fillId="0" borderId="0" xfId="0" applyFont="1" applyAlignment="1">
      <alignment vertical="center"/>
    </xf>
    <xf numFmtId="182" fontId="208" fillId="0" borderId="29" xfId="0" applyNumberFormat="1" applyFont="1" applyBorder="1" applyAlignment="1">
      <alignment vertical="center"/>
    </xf>
    <xf numFmtId="187" fontId="208" fillId="0" borderId="29" xfId="0" applyNumberFormat="1" applyFont="1" applyBorder="1" applyAlignment="1">
      <alignment vertical="center"/>
    </xf>
    <xf numFmtId="41" fontId="208" fillId="0" borderId="105" xfId="0" applyNumberFormat="1" applyFont="1" applyBorder="1" applyAlignment="1">
      <alignment vertical="center"/>
    </xf>
    <xf numFmtId="220" fontId="208" fillId="0" borderId="30" xfId="0" applyNumberFormat="1" applyFont="1" applyBorder="1" applyAlignment="1">
      <alignment vertical="center"/>
    </xf>
    <xf numFmtId="182" fontId="50" fillId="0" borderId="249" xfId="0" applyNumberFormat="1" applyFont="1" applyBorder="1" applyAlignment="1">
      <alignment vertical="center"/>
    </xf>
    <xf numFmtId="182" fontId="207" fillId="52" borderId="16" xfId="0" applyNumberFormat="1" applyFont="1" applyFill="1" applyBorder="1" applyAlignment="1">
      <alignment vertical="center"/>
    </xf>
    <xf numFmtId="41" fontId="207" fillId="52" borderId="16" xfId="1959" applyFont="1" applyFill="1" applyBorder="1" applyAlignment="1">
      <alignment vertical="center"/>
    </xf>
    <xf numFmtId="41" fontId="207" fillId="52" borderId="16" xfId="0" applyNumberFormat="1" applyFont="1" applyFill="1" applyBorder="1" applyAlignment="1">
      <alignment vertical="center"/>
    </xf>
    <xf numFmtId="220" fontId="207" fillId="52" borderId="19" xfId="0" applyNumberFormat="1" applyFont="1" applyFill="1" applyBorder="1" applyAlignment="1">
      <alignment horizontal="right" vertical="center"/>
    </xf>
    <xf numFmtId="182" fontId="117" fillId="60" borderId="251" xfId="0" applyNumberFormat="1" applyFont="1" applyFill="1" applyBorder="1" applyAlignment="1">
      <alignment vertical="center"/>
    </xf>
    <xf numFmtId="0" fontId="207" fillId="61" borderId="65" xfId="0" applyFont="1" applyFill="1" applyBorder="1" applyAlignment="1">
      <alignment vertical="center"/>
    </xf>
    <xf numFmtId="0" fontId="207" fillId="61" borderId="71" xfId="0" applyFont="1" applyFill="1" applyBorder="1" applyAlignment="1">
      <alignment vertical="center"/>
    </xf>
    <xf numFmtId="195" fontId="40" fillId="0" borderId="108" xfId="1959" applyNumberFormat="1" applyFont="1" applyBorder="1" applyAlignment="1">
      <alignment vertical="center"/>
    </xf>
    <xf numFmtId="220" fontId="38" fillId="0" borderId="0" xfId="0" applyNumberFormat="1" applyFont="1"/>
    <xf numFmtId="0" fontId="207" fillId="61" borderId="29" xfId="0" applyFont="1" applyFill="1" applyBorder="1" applyAlignment="1">
      <alignment horizontal="center" vertical="center"/>
    </xf>
    <xf numFmtId="0" fontId="207" fillId="61" borderId="104" xfId="0" applyFont="1" applyFill="1" applyBorder="1" applyAlignment="1">
      <alignment horizontal="center" vertical="center"/>
    </xf>
    <xf numFmtId="41" fontId="208" fillId="0" borderId="29" xfId="0" applyNumberFormat="1" applyFont="1" applyBorder="1" applyAlignment="1">
      <alignment vertical="center"/>
    </xf>
    <xf numFmtId="220" fontId="208" fillId="0" borderId="39" xfId="0" applyNumberFormat="1" applyFont="1" applyBorder="1" applyAlignment="1">
      <alignment vertical="center"/>
    </xf>
    <xf numFmtId="195" fontId="112" fillId="0" borderId="249" xfId="1959" applyNumberFormat="1" applyFont="1" applyBorder="1" applyAlignment="1">
      <alignment vertical="center"/>
    </xf>
    <xf numFmtId="182" fontId="208" fillId="0" borderId="16" xfId="0" applyNumberFormat="1" applyFont="1" applyBorder="1" applyAlignment="1">
      <alignment vertical="center"/>
    </xf>
    <xf numFmtId="41" fontId="208" fillId="0" borderId="24" xfId="0" applyNumberFormat="1" applyFont="1" applyBorder="1" applyAlignment="1">
      <alignment vertical="center"/>
    </xf>
    <xf numFmtId="41" fontId="208" fillId="0" borderId="16" xfId="0" applyNumberFormat="1" applyFont="1" applyBorder="1" applyAlignment="1">
      <alignment vertical="center"/>
    </xf>
    <xf numFmtId="220" fontId="208" fillId="0" borderId="19" xfId="0" applyNumberFormat="1" applyFont="1" applyBorder="1" applyAlignment="1">
      <alignment horizontal="right" vertical="center"/>
    </xf>
    <xf numFmtId="195" fontId="113" fillId="0" borderId="251" xfId="1959" applyNumberFormat="1" applyFont="1" applyFill="1" applyBorder="1" applyAlignment="1">
      <alignment vertical="center"/>
    </xf>
    <xf numFmtId="182" fontId="208" fillId="0" borderId="24" xfId="0" applyNumberFormat="1" applyFont="1" applyBorder="1" applyAlignment="1">
      <alignment vertical="center"/>
    </xf>
    <xf numFmtId="41" fontId="208" fillId="0" borderId="24" xfId="1959" applyFont="1" applyBorder="1" applyAlignment="1">
      <alignment vertical="center"/>
    </xf>
    <xf numFmtId="220" fontId="208" fillId="0" borderId="35" xfId="0" applyNumberFormat="1" applyFont="1" applyBorder="1" applyAlignment="1">
      <alignment vertical="center"/>
    </xf>
    <xf numFmtId="195" fontId="113" fillId="0" borderId="107" xfId="1959" applyNumberFormat="1" applyFont="1" applyBorder="1" applyAlignment="1">
      <alignment vertical="center"/>
    </xf>
    <xf numFmtId="4" fontId="33" fillId="0" borderId="0" xfId="2639" applyNumberFormat="1" applyFont="1" applyAlignment="1">
      <alignment horizontal="center" vertical="center"/>
    </xf>
    <xf numFmtId="183" fontId="33" fillId="0" borderId="0" xfId="2639" applyNumberFormat="1" applyFont="1">
      <alignment vertical="center"/>
    </xf>
    <xf numFmtId="0" fontId="47" fillId="0" borderId="0" xfId="0" applyFont="1"/>
    <xf numFmtId="178" fontId="38" fillId="0" borderId="0" xfId="0" applyNumberFormat="1" applyFont="1"/>
    <xf numFmtId="182" fontId="208" fillId="0" borderId="6" xfId="0" applyNumberFormat="1" applyFont="1" applyBorder="1" applyAlignment="1">
      <alignment vertical="center"/>
    </xf>
    <xf numFmtId="178" fontId="208" fillId="0" borderId="24" xfId="0" applyNumberFormat="1" applyFont="1" applyBorder="1" applyAlignment="1">
      <alignment vertical="center"/>
    </xf>
    <xf numFmtId="41" fontId="208" fillId="0" borderId="6" xfId="0" applyNumberFormat="1" applyFont="1" applyBorder="1" applyAlignment="1">
      <alignment vertical="center"/>
    </xf>
    <xf numFmtId="195" fontId="113" fillId="0" borderId="109" xfId="1959" applyNumberFormat="1" applyFont="1" applyBorder="1"/>
    <xf numFmtId="221" fontId="38" fillId="0" borderId="0" xfId="0" applyNumberFormat="1" applyFont="1"/>
    <xf numFmtId="41" fontId="38" fillId="0" borderId="0" xfId="1959" applyFont="1"/>
    <xf numFmtId="195" fontId="113" fillId="0" borderId="107" xfId="1959" applyNumberFormat="1" applyFont="1" applyFill="1" applyBorder="1" applyAlignment="1">
      <alignment vertical="center"/>
    </xf>
    <xf numFmtId="0" fontId="38" fillId="0" borderId="0" xfId="0" applyFont="1" applyAlignment="1">
      <alignment horizontal="left" vertical="center"/>
    </xf>
    <xf numFmtId="222" fontId="40" fillId="0" borderId="0" xfId="0" applyNumberFormat="1" applyFont="1" applyAlignment="1">
      <alignment vertical="center"/>
    </xf>
    <xf numFmtId="222" fontId="206" fillId="0" borderId="0" xfId="0" applyNumberFormat="1" applyFont="1" applyAlignment="1">
      <alignment vertical="center"/>
    </xf>
    <xf numFmtId="223" fontId="44" fillId="0" borderId="0" xfId="0" applyNumberFormat="1" applyFont="1"/>
    <xf numFmtId="222" fontId="45" fillId="0" borderId="0" xfId="0" applyNumberFormat="1" applyFont="1" applyAlignment="1">
      <alignment vertical="center"/>
    </xf>
    <xf numFmtId="186" fontId="40" fillId="0" borderId="0" xfId="0" applyNumberFormat="1" applyFont="1" applyAlignment="1">
      <alignment vertical="center"/>
    </xf>
    <xf numFmtId="222" fontId="40" fillId="0" borderId="0" xfId="1959" applyNumberFormat="1" applyFont="1" applyAlignment="1">
      <alignment vertical="center"/>
    </xf>
    <xf numFmtId="222" fontId="38" fillId="0" borderId="0" xfId="0" applyNumberFormat="1" applyFont="1"/>
    <xf numFmtId="222" fontId="36" fillId="0" borderId="0" xfId="0" applyNumberFormat="1" applyFont="1" applyAlignment="1">
      <alignment vertical="center"/>
    </xf>
    <xf numFmtId="184" fontId="40" fillId="0" borderId="0" xfId="1959" applyNumberFormat="1" applyFont="1" applyAlignment="1">
      <alignment vertical="center"/>
    </xf>
    <xf numFmtId="182" fontId="38" fillId="0" borderId="0" xfId="0" applyNumberFormat="1" applyFont="1"/>
    <xf numFmtId="0" fontId="44" fillId="0" borderId="0" xfId="0" applyFont="1"/>
    <xf numFmtId="193" fontId="44" fillId="0" borderId="0" xfId="1959" applyNumberFormat="1" applyFont="1" applyAlignment="1">
      <alignment vertical="center"/>
    </xf>
    <xf numFmtId="183" fontId="209" fillId="0" borderId="0" xfId="0" applyNumberFormat="1" applyFont="1" applyAlignment="1">
      <alignment vertical="center"/>
    </xf>
    <xf numFmtId="183" fontId="44" fillId="0" borderId="0" xfId="0" applyNumberFormat="1" applyFont="1" applyAlignment="1">
      <alignment vertical="center"/>
    </xf>
    <xf numFmtId="3" fontId="40" fillId="62" borderId="0" xfId="0" applyNumberFormat="1" applyFont="1" applyFill="1" applyAlignment="1">
      <alignment vertical="center"/>
    </xf>
    <xf numFmtId="189" fontId="38" fillId="0" borderId="0" xfId="0" applyNumberFormat="1" applyFont="1"/>
    <xf numFmtId="193" fontId="44" fillId="0" borderId="0" xfId="1959" applyNumberFormat="1" applyFont="1"/>
    <xf numFmtId="185" fontId="38" fillId="0" borderId="0" xfId="0" applyNumberFormat="1" applyFont="1"/>
    <xf numFmtId="0" fontId="40" fillId="0" borderId="0" xfId="0" applyFont="1"/>
    <xf numFmtId="0" fontId="50" fillId="0" borderId="0" xfId="0" applyFont="1"/>
    <xf numFmtId="193" fontId="210" fillId="0" borderId="0" xfId="1959" applyNumberFormat="1" applyFont="1" applyAlignment="1">
      <alignment vertical="center"/>
    </xf>
    <xf numFmtId="0" fontId="44" fillId="0" borderId="0" xfId="0" applyFont="1" applyAlignment="1">
      <alignment horizontal="center"/>
    </xf>
    <xf numFmtId="0" fontId="136" fillId="0" borderId="0" xfId="0" applyFont="1"/>
    <xf numFmtId="189" fontId="40" fillId="0" borderId="0" xfId="0" applyNumberFormat="1" applyFont="1"/>
    <xf numFmtId="193" fontId="44" fillId="0" borderId="0" xfId="0" applyNumberFormat="1" applyFont="1"/>
    <xf numFmtId="0" fontId="211" fillId="0" borderId="0" xfId="0" applyFont="1"/>
    <xf numFmtId="0" fontId="211" fillId="0" borderId="0" xfId="0" quotePrefix="1" applyFont="1"/>
    <xf numFmtId="195" fontId="36" fillId="0" borderId="0" xfId="1959" applyNumberFormat="1" applyFont="1"/>
    <xf numFmtId="195" fontId="212" fillId="0" borderId="0" xfId="1959" applyNumberFormat="1" applyFont="1"/>
    <xf numFmtId="195" fontId="36" fillId="0" borderId="0" xfId="0" applyNumberFormat="1" applyFont="1"/>
    <xf numFmtId="43" fontId="38" fillId="0" borderId="0" xfId="0" applyNumberFormat="1" applyFont="1"/>
    <xf numFmtId="0" fontId="213" fillId="0" borderId="0" xfId="0" applyFont="1"/>
    <xf numFmtId="177" fontId="36" fillId="0" borderId="0" xfId="0" applyNumberFormat="1" applyFont="1" applyAlignment="1">
      <alignment vertical="center"/>
    </xf>
    <xf numFmtId="0" fontId="36" fillId="56" borderId="6" xfId="0" applyFont="1" applyFill="1" applyBorder="1" applyAlignment="1">
      <alignment horizontal="center" vertical="center"/>
    </xf>
    <xf numFmtId="0" fontId="36" fillId="0" borderId="6" xfId="0" applyFont="1" applyBorder="1" applyAlignment="1">
      <alignment horizontal="center" vertical="center" shrinkToFit="1"/>
    </xf>
    <xf numFmtId="0" fontId="162" fillId="52" borderId="142" xfId="0" applyFont="1" applyFill="1" applyBorder="1" applyAlignment="1">
      <alignment horizontal="center" vertical="center" wrapText="1"/>
    </xf>
    <xf numFmtId="0" fontId="161" fillId="57" borderId="6" xfId="0" applyFont="1" applyFill="1" applyBorder="1" applyAlignment="1">
      <alignment horizontal="center" vertical="center" shrinkToFit="1"/>
    </xf>
    <xf numFmtId="0" fontId="42" fillId="0" borderId="0" xfId="0" applyFont="1" applyAlignment="1">
      <alignment horizontal="centerContinuous" vertical="center"/>
    </xf>
    <xf numFmtId="0" fontId="42" fillId="0" borderId="0" xfId="0" applyFont="1" applyAlignment="1">
      <alignment vertical="center"/>
    </xf>
    <xf numFmtId="0" fontId="36" fillId="0" borderId="0" xfId="0" applyFont="1" applyAlignment="1">
      <alignment horizontal="centerContinuous" vertical="center"/>
    </xf>
    <xf numFmtId="0" fontId="137" fillId="0" borderId="0" xfId="0" applyFont="1" applyAlignment="1">
      <alignment vertical="center"/>
    </xf>
    <xf numFmtId="0" fontId="136" fillId="0" borderId="0" xfId="0" applyFont="1" applyAlignment="1">
      <alignment vertical="center"/>
    </xf>
    <xf numFmtId="0" fontId="159" fillId="0" borderId="0" xfId="0" applyFont="1" applyAlignment="1">
      <alignment vertical="center"/>
    </xf>
    <xf numFmtId="0" fontId="164" fillId="0" borderId="0" xfId="0" applyFont="1" applyAlignment="1">
      <alignment vertical="center"/>
    </xf>
    <xf numFmtId="0" fontId="162" fillId="0" borderId="0" xfId="0" applyFont="1" applyAlignment="1">
      <alignment horizontal="right" vertical="center"/>
    </xf>
    <xf numFmtId="0" fontId="55" fillId="0" borderId="0" xfId="0" applyFont="1" applyAlignment="1">
      <alignment vertical="center"/>
    </xf>
    <xf numFmtId="0" fontId="55" fillId="0" borderId="0" xfId="0" applyFont="1" applyAlignment="1">
      <alignment horizontal="right" vertical="center"/>
    </xf>
    <xf numFmtId="176" fontId="36" fillId="0" borderId="0" xfId="0" applyNumberFormat="1" applyFont="1" applyAlignment="1">
      <alignment vertical="center"/>
    </xf>
    <xf numFmtId="191" fontId="159" fillId="0" borderId="0" xfId="0" applyNumberFormat="1" applyFont="1" applyAlignment="1">
      <alignment horizontal="right" vertical="center"/>
    </xf>
    <xf numFmtId="176" fontId="214" fillId="0" borderId="208" xfId="0" applyNumberFormat="1" applyFont="1" applyBorder="1" applyAlignment="1">
      <alignment vertical="center"/>
    </xf>
    <xf numFmtId="176" fontId="214" fillId="0" borderId="6" xfId="0" applyNumberFormat="1" applyFont="1" applyBorder="1" applyAlignment="1">
      <alignment vertical="center"/>
    </xf>
    <xf numFmtId="176" fontId="214" fillId="0" borderId="209" xfId="0" applyNumberFormat="1" applyFont="1" applyBorder="1" applyAlignment="1">
      <alignment vertical="center"/>
    </xf>
    <xf numFmtId="213" fontId="214" fillId="0" borderId="6" xfId="0" applyNumberFormat="1" applyFont="1" applyBorder="1" applyAlignment="1">
      <alignment vertical="center"/>
    </xf>
    <xf numFmtId="205" fontId="215" fillId="0" borderId="147" xfId="1959" applyNumberFormat="1" applyFont="1" applyFill="1" applyBorder="1" applyAlignment="1">
      <alignment vertical="center"/>
    </xf>
    <xf numFmtId="205" fontId="215" fillId="0" borderId="136" xfId="1959" applyNumberFormat="1" applyFont="1" applyFill="1" applyBorder="1" applyAlignment="1">
      <alignment vertical="center"/>
    </xf>
    <xf numFmtId="206" fontId="215" fillId="0" borderId="41" xfId="1959" applyNumberFormat="1" applyFont="1" applyFill="1" applyBorder="1" applyAlignment="1">
      <alignment vertical="center"/>
    </xf>
    <xf numFmtId="206" fontId="215" fillId="0" borderId="56" xfId="1959" applyNumberFormat="1" applyFont="1" applyFill="1" applyBorder="1" applyAlignment="1">
      <alignment vertical="center"/>
    </xf>
    <xf numFmtId="206" fontId="215" fillId="0" borderId="177" xfId="1959" applyNumberFormat="1" applyFont="1" applyFill="1" applyBorder="1" applyAlignment="1">
      <alignment vertical="center"/>
    </xf>
    <xf numFmtId="41" fontId="215" fillId="0" borderId="22" xfId="1959" applyFont="1" applyFill="1" applyBorder="1" applyAlignment="1">
      <alignment vertical="center" shrinkToFit="1"/>
    </xf>
    <xf numFmtId="41" fontId="215" fillId="0" borderId="101" xfId="1959" applyFont="1" applyFill="1" applyBorder="1" applyAlignment="1">
      <alignment vertical="center" shrinkToFit="1"/>
    </xf>
    <xf numFmtId="41" fontId="215" fillId="0" borderId="102" xfId="1959" applyFont="1" applyFill="1" applyBorder="1" applyAlignment="1">
      <alignment vertical="center" shrinkToFit="1"/>
    </xf>
    <xf numFmtId="41" fontId="215" fillId="0" borderId="41" xfId="1959" applyFont="1" applyFill="1" applyBorder="1" applyAlignment="1">
      <alignment vertical="center" shrinkToFit="1"/>
    </xf>
    <xf numFmtId="41" fontId="215" fillId="0" borderId="56" xfId="1959" applyFont="1" applyFill="1" applyBorder="1" applyAlignment="1">
      <alignment vertical="center" shrinkToFit="1"/>
    </xf>
    <xf numFmtId="41" fontId="215" fillId="0" borderId="192" xfId="1959" applyFont="1" applyFill="1" applyBorder="1" applyAlignment="1">
      <alignment vertical="center" shrinkToFit="1"/>
    </xf>
    <xf numFmtId="208" fontId="215" fillId="0" borderId="22" xfId="1959" applyNumberFormat="1" applyFont="1" applyFill="1" applyBorder="1" applyAlignment="1">
      <alignment vertical="center" shrinkToFit="1"/>
    </xf>
    <xf numFmtId="208" fontId="215" fillId="0" borderId="101" xfId="1959" applyNumberFormat="1" applyFont="1" applyFill="1" applyBorder="1" applyAlignment="1">
      <alignment vertical="center" shrinkToFit="1"/>
    </xf>
    <xf numFmtId="208" fontId="215" fillId="0" borderId="102" xfId="1959" applyNumberFormat="1" applyFont="1" applyFill="1" applyBorder="1" applyAlignment="1">
      <alignment vertical="center" shrinkToFit="1"/>
    </xf>
    <xf numFmtId="208" fontId="215" fillId="0" borderId="41" xfId="1959" applyNumberFormat="1" applyFont="1" applyFill="1" applyBorder="1" applyAlignment="1">
      <alignment vertical="center" shrinkToFit="1"/>
    </xf>
    <xf numFmtId="208" fontId="215" fillId="0" borderId="56" xfId="1959" applyNumberFormat="1" applyFont="1" applyFill="1" applyBorder="1" applyAlignment="1">
      <alignment vertical="center" shrinkToFit="1"/>
    </xf>
    <xf numFmtId="206" fontId="214" fillId="0" borderId="208" xfId="1959" applyNumberFormat="1" applyFont="1" applyBorder="1" applyAlignment="1">
      <alignment horizontal="right" vertical="center"/>
    </xf>
    <xf numFmtId="206" fontId="214" fillId="0" borderId="27" xfId="1959" applyNumberFormat="1" applyFont="1" applyBorder="1" applyAlignment="1">
      <alignment horizontal="right" vertical="center"/>
    </xf>
    <xf numFmtId="206" fontId="214" fillId="0" borderId="209" xfId="0" applyNumberFormat="1" applyFont="1" applyBorder="1" applyAlignment="1">
      <alignment horizontal="right" vertical="center"/>
    </xf>
    <xf numFmtId="208" fontId="216" fillId="0" borderId="132" xfId="1959" applyNumberFormat="1" applyFont="1" applyFill="1" applyBorder="1" applyAlignment="1">
      <alignment vertical="center" shrinkToFit="1"/>
    </xf>
    <xf numFmtId="41" fontId="217" fillId="0" borderId="188" xfId="1959" applyFont="1" applyFill="1" applyBorder="1" applyAlignment="1">
      <alignment horizontal="center" vertical="center" wrapText="1"/>
    </xf>
    <xf numFmtId="41" fontId="217" fillId="0" borderId="184" xfId="1959" applyFont="1" applyFill="1" applyBorder="1" applyAlignment="1">
      <alignment horizontal="center" vertical="center" wrapText="1"/>
    </xf>
    <xf numFmtId="206" fontId="217" fillId="0" borderId="188" xfId="1959" applyNumberFormat="1" applyFont="1" applyFill="1" applyBorder="1" applyAlignment="1">
      <alignment horizontal="right" vertical="center" wrapText="1"/>
    </xf>
    <xf numFmtId="206" fontId="217" fillId="0" borderId="200" xfId="1959" applyNumberFormat="1" applyFont="1" applyFill="1" applyBorder="1" applyAlignment="1">
      <alignment horizontal="right" vertical="center" wrapText="1"/>
    </xf>
    <xf numFmtId="193" fontId="218" fillId="0" borderId="60" xfId="0" applyNumberFormat="1" applyFont="1" applyBorder="1" applyAlignment="1">
      <alignment vertical="center"/>
    </xf>
    <xf numFmtId="189" fontId="218" fillId="0" borderId="67" xfId="1959" applyNumberFormat="1" applyFont="1" applyBorder="1"/>
    <xf numFmtId="189" fontId="218" fillId="0" borderId="69" xfId="1959" applyNumberFormat="1" applyFont="1" applyBorder="1"/>
    <xf numFmtId="0" fontId="219" fillId="0" borderId="0" xfId="0" applyFont="1"/>
    <xf numFmtId="0" fontId="220" fillId="0" borderId="0" xfId="0" applyFont="1"/>
    <xf numFmtId="41" fontId="221" fillId="0" borderId="25" xfId="1959" applyFont="1" applyFill="1" applyBorder="1" applyAlignment="1">
      <alignment vertical="center"/>
    </xf>
    <xf numFmtId="176" fontId="112" fillId="0" borderId="100" xfId="1959" applyNumberFormat="1" applyFont="1" applyFill="1" applyBorder="1" applyAlignment="1" applyProtection="1">
      <alignment vertical="center"/>
    </xf>
    <xf numFmtId="176" fontId="112" fillId="0" borderId="16" xfId="1959" applyNumberFormat="1" applyFont="1" applyFill="1" applyBorder="1" applyAlignment="1">
      <alignment vertical="center"/>
    </xf>
    <xf numFmtId="199" fontId="158" fillId="0" borderId="33" xfId="3362" applyNumberFormat="1" applyFont="1" applyFill="1" applyBorder="1" applyAlignment="1">
      <alignment vertical="center"/>
    </xf>
    <xf numFmtId="199" fontId="158" fillId="0" borderId="12" xfId="3362" applyNumberFormat="1" applyFont="1" applyFill="1" applyBorder="1" applyAlignment="1">
      <alignment vertical="center"/>
    </xf>
    <xf numFmtId="0" fontId="40" fillId="17" borderId="146" xfId="0" applyFont="1" applyFill="1" applyBorder="1" applyAlignment="1">
      <alignment horizontal="centerContinuous" vertical="center"/>
    </xf>
    <xf numFmtId="195" fontId="40" fillId="17" borderId="15" xfId="0" applyNumberFormat="1" applyFont="1" applyFill="1" applyBorder="1" applyAlignment="1">
      <alignment vertical="center"/>
    </xf>
    <xf numFmtId="195" fontId="40" fillId="17" borderId="25" xfId="0" applyNumberFormat="1" applyFont="1" applyFill="1" applyBorder="1" applyAlignment="1">
      <alignment vertical="center"/>
    </xf>
    <xf numFmtId="199" fontId="158" fillId="0" borderId="15" xfId="3362" applyNumberFormat="1" applyFont="1" applyFill="1" applyBorder="1" applyAlignment="1">
      <alignment vertical="center"/>
    </xf>
    <xf numFmtId="0" fontId="219" fillId="0" borderId="0" xfId="0" applyFont="1" applyAlignment="1">
      <alignment vertical="center"/>
    </xf>
    <xf numFmtId="0" fontId="222" fillId="0" borderId="92" xfId="0" applyFont="1" applyBorder="1" applyAlignment="1">
      <alignment horizontal="center" vertical="center"/>
    </xf>
    <xf numFmtId="176" fontId="225" fillId="0" borderId="94" xfId="0" applyNumberFormat="1" applyFont="1" applyBorder="1" applyAlignment="1">
      <alignment vertical="center"/>
    </xf>
    <xf numFmtId="206" fontId="215" fillId="0" borderId="225" xfId="1959" applyNumberFormat="1" applyFont="1" applyFill="1" applyBorder="1" applyAlignment="1">
      <alignment vertical="center"/>
    </xf>
    <xf numFmtId="199" fontId="112" fillId="0" borderId="100" xfId="1959" applyNumberFormat="1" applyFont="1" applyFill="1" applyBorder="1" applyAlignment="1" applyProtection="1">
      <alignment vertical="center"/>
    </xf>
    <xf numFmtId="176" fontId="112" fillId="0" borderId="25" xfId="0" applyNumberFormat="1" applyFont="1" applyBorder="1" applyAlignment="1">
      <alignment vertical="center"/>
    </xf>
    <xf numFmtId="177" fontId="112" fillId="0" borderId="25" xfId="1959" applyNumberFormat="1" applyFont="1" applyFill="1" applyBorder="1" applyAlignment="1" applyProtection="1">
      <alignment vertical="center"/>
    </xf>
    <xf numFmtId="0" fontId="40" fillId="17" borderId="33" xfId="0" applyFont="1" applyFill="1" applyBorder="1" applyAlignment="1">
      <alignment horizontal="center" vertical="center"/>
    </xf>
    <xf numFmtId="199" fontId="117" fillId="0" borderId="100" xfId="1959" applyNumberFormat="1" applyFont="1" applyFill="1" applyBorder="1" applyAlignment="1" applyProtection="1">
      <alignment vertical="center"/>
    </xf>
    <xf numFmtId="199" fontId="117" fillId="0" borderId="100" xfId="1959" applyNumberFormat="1" applyFont="1" applyFill="1" applyBorder="1" applyAlignment="1">
      <alignment vertical="center"/>
    </xf>
    <xf numFmtId="177" fontId="228" fillId="0" borderId="100" xfId="0" applyNumberFormat="1" applyFont="1" applyBorder="1" applyAlignment="1">
      <alignment vertical="center"/>
    </xf>
    <xf numFmtId="195" fontId="40" fillId="0" borderId="33" xfId="1959" applyNumberFormat="1" applyFont="1" applyFill="1" applyBorder="1" applyAlignment="1">
      <alignment vertical="center"/>
    </xf>
    <xf numFmtId="41" fontId="117" fillId="0" borderId="33" xfId="1959" applyFont="1" applyFill="1" applyBorder="1" applyAlignment="1">
      <alignment vertical="center"/>
    </xf>
    <xf numFmtId="176" fontId="112" fillId="17" borderId="33" xfId="1959" applyNumberFormat="1" applyFont="1" applyFill="1" applyBorder="1" applyAlignment="1">
      <alignment vertical="center"/>
    </xf>
    <xf numFmtId="199" fontId="117" fillId="0" borderId="99" xfId="1959" applyNumberFormat="1" applyFont="1" applyFill="1" applyBorder="1" applyAlignment="1">
      <alignment vertical="center"/>
    </xf>
    <xf numFmtId="177" fontId="40" fillId="17" borderId="174" xfId="0" applyNumberFormat="1" applyFont="1" applyFill="1" applyBorder="1" applyAlignment="1">
      <alignment vertical="center"/>
    </xf>
    <xf numFmtId="41" fontId="112" fillId="17" borderId="33" xfId="1959" applyFont="1" applyFill="1" applyBorder="1" applyAlignment="1">
      <alignment vertical="center"/>
    </xf>
    <xf numFmtId="41" fontId="40" fillId="17" borderId="33" xfId="1959" applyFont="1" applyFill="1" applyBorder="1" applyAlignment="1">
      <alignment vertical="center"/>
    </xf>
    <xf numFmtId="199" fontId="117" fillId="0" borderId="98" xfId="1959" applyNumberFormat="1" applyFont="1" applyFill="1" applyBorder="1" applyAlignment="1">
      <alignment vertical="center"/>
    </xf>
    <xf numFmtId="199" fontId="117" fillId="0" borderId="16" xfId="1959" applyNumberFormat="1" applyFont="1" applyFill="1" applyBorder="1" applyAlignment="1">
      <alignment vertical="center"/>
    </xf>
    <xf numFmtId="199" fontId="158" fillId="0" borderId="100" xfId="1959" applyNumberFormat="1" applyFont="1" applyFill="1" applyBorder="1" applyAlignment="1">
      <alignment vertical="center"/>
    </xf>
    <xf numFmtId="199" fontId="158" fillId="0" borderId="98" xfId="1959" applyNumberFormat="1" applyFont="1" applyFill="1" applyBorder="1" applyAlignment="1">
      <alignment vertical="center"/>
    </xf>
    <xf numFmtId="0" fontId="42" fillId="0" borderId="0" xfId="0" applyFont="1" applyAlignment="1">
      <alignment horizontal="center" vertical="center"/>
    </xf>
    <xf numFmtId="0" fontId="40" fillId="0" borderId="100" xfId="0" applyFont="1" applyBorder="1" applyAlignment="1">
      <alignment horizontal="center" vertical="center"/>
    </xf>
    <xf numFmtId="206" fontId="166" fillId="0" borderId="124" xfId="1959" applyNumberFormat="1" applyFont="1" applyFill="1" applyBorder="1" applyAlignment="1">
      <alignment vertical="center" shrinkToFit="1"/>
    </xf>
    <xf numFmtId="0" fontId="229" fillId="0" borderId="0" xfId="0" applyFont="1" applyAlignment="1">
      <alignment horizontal="left" vertical="center"/>
    </xf>
    <xf numFmtId="199" fontId="158" fillId="0" borderId="25" xfId="1959" applyNumberFormat="1" applyFont="1" applyFill="1" applyBorder="1" applyAlignment="1">
      <alignment vertical="center"/>
    </xf>
    <xf numFmtId="199" fontId="158" fillId="0" borderId="146" xfId="1959" applyNumberFormat="1" applyFont="1" applyFill="1" applyBorder="1" applyAlignment="1">
      <alignment vertical="center"/>
    </xf>
    <xf numFmtId="0" fontId="230" fillId="0" borderId="0" xfId="0" applyFont="1" applyAlignment="1">
      <alignment horizontal="centerContinuous" vertical="center"/>
    </xf>
    <xf numFmtId="176" fontId="231" fillId="17" borderId="15" xfId="1959" applyNumberFormat="1" applyFont="1" applyFill="1" applyBorder="1" applyAlignment="1">
      <alignment vertical="center"/>
    </xf>
    <xf numFmtId="41" fontId="231" fillId="17" borderId="15" xfId="1959" applyFont="1" applyFill="1" applyBorder="1" applyAlignment="1">
      <alignment vertical="center"/>
    </xf>
    <xf numFmtId="41" fontId="231" fillId="17" borderId="100" xfId="1959" applyFont="1" applyFill="1" applyBorder="1" applyAlignment="1">
      <alignment vertical="center"/>
    </xf>
    <xf numFmtId="195" fontId="231" fillId="0" borderId="100" xfId="0" applyNumberFormat="1" applyFont="1" applyBorder="1" applyAlignment="1">
      <alignment vertical="center"/>
    </xf>
    <xf numFmtId="41" fontId="231" fillId="0" borderId="100" xfId="1959" applyFont="1" applyFill="1" applyBorder="1" applyAlignment="1">
      <alignment vertical="center"/>
    </xf>
    <xf numFmtId="41" fontId="231" fillId="0" borderId="16" xfId="1959" applyFont="1" applyFill="1" applyBorder="1" applyAlignment="1">
      <alignment vertical="center"/>
    </xf>
    <xf numFmtId="41" fontId="231" fillId="17" borderId="25" xfId="1959" applyFont="1" applyFill="1" applyBorder="1" applyAlignment="1">
      <alignment vertical="center"/>
    </xf>
    <xf numFmtId="41" fontId="231" fillId="17" borderId="105" xfId="1959" applyFont="1" applyFill="1" applyBorder="1" applyAlignment="1">
      <alignment vertical="center"/>
    </xf>
    <xf numFmtId="176" fontId="231" fillId="0" borderId="100" xfId="1959" applyNumberFormat="1" applyFont="1" applyFill="1" applyBorder="1" applyAlignment="1" applyProtection="1">
      <alignment vertical="center"/>
    </xf>
    <xf numFmtId="195" fontId="231" fillId="0" borderId="16" xfId="1959" applyNumberFormat="1" applyFont="1" applyFill="1" applyBorder="1" applyAlignment="1">
      <alignment vertical="center"/>
    </xf>
    <xf numFmtId="41" fontId="231" fillId="17" borderId="33" xfId="1959" applyFont="1" applyFill="1" applyBorder="1" applyAlignment="1">
      <alignment vertical="center"/>
    </xf>
    <xf numFmtId="41" fontId="231" fillId="17" borderId="16" xfId="1959" applyFont="1" applyFill="1" applyBorder="1" applyAlignment="1">
      <alignment vertical="center"/>
    </xf>
    <xf numFmtId="41" fontId="231" fillId="17" borderId="55" xfId="1959" applyFont="1" applyFill="1" applyBorder="1" applyAlignment="1">
      <alignment vertical="center"/>
    </xf>
    <xf numFmtId="206" fontId="161" fillId="57" borderId="208" xfId="1959" applyNumberFormat="1" applyFont="1" applyFill="1" applyBorder="1" applyAlignment="1">
      <alignment horizontal="right" vertical="center"/>
    </xf>
    <xf numFmtId="206" fontId="161" fillId="57" borderId="27" xfId="1959" applyNumberFormat="1" applyFont="1" applyFill="1" applyBorder="1" applyAlignment="1">
      <alignment horizontal="right" vertical="center"/>
    </xf>
    <xf numFmtId="206" fontId="161" fillId="57" borderId="209" xfId="1959" applyNumberFormat="1" applyFont="1" applyFill="1" applyBorder="1" applyAlignment="1">
      <alignment horizontal="right" vertical="center"/>
    </xf>
    <xf numFmtId="41" fontId="215" fillId="0" borderId="126" xfId="1959" applyFont="1" applyFill="1" applyBorder="1" applyAlignment="1">
      <alignment vertical="center" shrinkToFit="1"/>
    </xf>
    <xf numFmtId="205" fontId="166" fillId="52" borderId="82" xfId="0" applyNumberFormat="1" applyFont="1" applyFill="1" applyBorder="1" applyAlignment="1">
      <alignment vertical="center"/>
    </xf>
    <xf numFmtId="206" fontId="166" fillId="52" borderId="167" xfId="0" applyNumberFormat="1" applyFont="1" applyFill="1" applyBorder="1" applyAlignment="1">
      <alignment vertical="center"/>
    </xf>
    <xf numFmtId="205" fontId="166" fillId="52" borderId="134" xfId="0" applyNumberFormat="1" applyFont="1" applyFill="1" applyBorder="1" applyAlignment="1">
      <alignment vertical="center"/>
    </xf>
    <xf numFmtId="206" fontId="166" fillId="52" borderId="87" xfId="0" applyNumberFormat="1" applyFont="1" applyFill="1" applyBorder="1" applyAlignment="1">
      <alignment vertical="center"/>
    </xf>
    <xf numFmtId="199" fontId="40" fillId="0" borderId="104" xfId="1959" applyNumberFormat="1" applyFont="1" applyFill="1" applyBorder="1" applyAlignment="1">
      <alignment vertical="center"/>
    </xf>
    <xf numFmtId="199" fontId="231" fillId="0" borderId="100" xfId="1959" applyNumberFormat="1" applyFont="1" applyFill="1" applyBorder="1" applyAlignment="1">
      <alignment vertical="center"/>
    </xf>
    <xf numFmtId="41" fontId="231" fillId="0" borderId="15" xfId="1959" applyFont="1" applyFill="1" applyBorder="1" applyAlignment="1">
      <alignment vertical="center"/>
    </xf>
    <xf numFmtId="176" fontId="231" fillId="0" borderId="100" xfId="0" applyNumberFormat="1" applyFont="1" applyBorder="1" applyAlignment="1">
      <alignment vertical="center"/>
    </xf>
    <xf numFmtId="176" fontId="231" fillId="0" borderId="100" xfId="1959" applyNumberFormat="1" applyFont="1" applyFill="1" applyBorder="1" applyAlignment="1">
      <alignment vertical="center"/>
    </xf>
    <xf numFmtId="176" fontId="231" fillId="0" borderId="16" xfId="1959" applyNumberFormat="1" applyFont="1" applyFill="1" applyBorder="1" applyAlignment="1">
      <alignment vertical="center"/>
    </xf>
    <xf numFmtId="199" fontId="158" fillId="0" borderId="100" xfId="1959" applyNumberFormat="1" applyFont="1" applyFill="1" applyBorder="1" applyAlignment="1" applyProtection="1">
      <alignment vertical="center"/>
    </xf>
    <xf numFmtId="177" fontId="158" fillId="0" borderId="15" xfId="0" applyNumberFormat="1" applyFont="1" applyBorder="1" applyAlignment="1">
      <alignment vertical="center"/>
    </xf>
    <xf numFmtId="177" fontId="158" fillId="0" borderId="100" xfId="0" applyNumberFormat="1" applyFont="1" applyBorder="1" applyAlignment="1">
      <alignment vertical="center"/>
    </xf>
    <xf numFmtId="176" fontId="158" fillId="0" borderId="15" xfId="0" applyNumberFormat="1" applyFont="1" applyBorder="1" applyAlignment="1">
      <alignment vertical="center"/>
    </xf>
    <xf numFmtId="41" fontId="158" fillId="0" borderId="15" xfId="1959" applyFont="1" applyFill="1" applyBorder="1" applyAlignment="1">
      <alignment vertical="center"/>
    </xf>
    <xf numFmtId="176" fontId="158" fillId="0" borderId="100" xfId="0" applyNumberFormat="1" applyFont="1" applyBorder="1" applyAlignment="1">
      <alignment vertical="center"/>
    </xf>
    <xf numFmtId="177" fontId="231" fillId="0" borderId="33" xfId="1959" applyNumberFormat="1" applyFont="1" applyFill="1" applyBorder="1" applyAlignment="1" applyProtection="1">
      <alignment vertical="center"/>
    </xf>
    <xf numFmtId="199" fontId="231" fillId="0" borderId="33" xfId="1959" applyNumberFormat="1" applyFont="1" applyFill="1" applyBorder="1" applyAlignment="1" applyProtection="1">
      <alignment vertical="center"/>
    </xf>
    <xf numFmtId="177" fontId="158" fillId="0" borderId="100" xfId="1959" applyNumberFormat="1" applyFont="1" applyFill="1" applyBorder="1" applyAlignment="1" applyProtection="1">
      <alignment vertical="center"/>
    </xf>
    <xf numFmtId="177" fontId="158" fillId="0" borderId="100" xfId="1959" applyNumberFormat="1" applyFont="1" applyFill="1" applyBorder="1" applyAlignment="1">
      <alignment vertical="center"/>
    </xf>
    <xf numFmtId="41" fontId="232" fillId="0" borderId="15" xfId="1959" applyFont="1" applyFill="1" applyBorder="1" applyAlignment="1">
      <alignment vertical="center"/>
    </xf>
    <xf numFmtId="41" fontId="158" fillId="0" borderId="25" xfId="1959" applyFont="1" applyFill="1" applyBorder="1" applyAlignment="1">
      <alignment vertical="center"/>
    </xf>
    <xf numFmtId="176" fontId="158" fillId="0" borderId="25" xfId="0" applyNumberFormat="1" applyFont="1" applyBorder="1" applyAlignment="1">
      <alignment vertical="center"/>
    </xf>
    <xf numFmtId="41" fontId="158" fillId="0" borderId="100" xfId="1959" applyFont="1" applyFill="1" applyBorder="1" applyAlignment="1">
      <alignment vertical="center"/>
    </xf>
    <xf numFmtId="176" fontId="158" fillId="0" borderId="100" xfId="1959" applyNumberFormat="1" applyFont="1" applyFill="1" applyBorder="1" applyAlignment="1">
      <alignment vertical="center"/>
    </xf>
    <xf numFmtId="176" fontId="158" fillId="0" borderId="100" xfId="1959" applyNumberFormat="1" applyFont="1" applyFill="1" applyBorder="1" applyAlignment="1" applyProtection="1">
      <alignment vertical="center"/>
    </xf>
    <xf numFmtId="177" fontId="158" fillId="0" borderId="16" xfId="0" applyNumberFormat="1" applyFont="1" applyBorder="1" applyAlignment="1">
      <alignment vertical="center"/>
    </xf>
    <xf numFmtId="176" fontId="233" fillId="0" borderId="15" xfId="1959" applyNumberFormat="1" applyFont="1" applyFill="1" applyBorder="1" applyAlignment="1" applyProtection="1">
      <alignment vertical="center"/>
    </xf>
    <xf numFmtId="41" fontId="234" fillId="0" borderId="98" xfId="1959" applyFont="1" applyFill="1" applyBorder="1" applyAlignment="1">
      <alignment vertical="center"/>
    </xf>
    <xf numFmtId="41" fontId="214" fillId="0" borderId="47" xfId="1959" applyFont="1" applyFill="1" applyBorder="1" applyAlignment="1">
      <alignment horizontal="center" vertical="center"/>
    </xf>
    <xf numFmtId="41" fontId="234" fillId="0" borderId="93" xfId="1959" applyFont="1" applyFill="1" applyBorder="1" applyAlignment="1">
      <alignment vertical="center"/>
    </xf>
    <xf numFmtId="0" fontId="1" fillId="0" borderId="0" xfId="3681">
      <alignment vertical="center"/>
    </xf>
    <xf numFmtId="17" fontId="1" fillId="0" borderId="0" xfId="3681" applyNumberFormat="1">
      <alignment vertical="center"/>
    </xf>
    <xf numFmtId="3" fontId="1" fillId="0" borderId="0" xfId="3681" applyNumberFormat="1">
      <alignment vertical="center"/>
    </xf>
    <xf numFmtId="189" fontId="1" fillId="0" borderId="0" xfId="3681" applyNumberFormat="1">
      <alignment vertical="center"/>
    </xf>
    <xf numFmtId="188" fontId="165" fillId="0" borderId="96" xfId="0" applyNumberFormat="1" applyFont="1" applyBorder="1" applyAlignment="1">
      <alignment horizontal="right" vertical="center"/>
    </xf>
    <xf numFmtId="188" fontId="165" fillId="0" borderId="131" xfId="0" applyNumberFormat="1" applyFont="1" applyBorder="1" applyAlignment="1">
      <alignment horizontal="right" vertical="center"/>
    </xf>
    <xf numFmtId="188" fontId="165" fillId="52" borderId="48" xfId="0" applyNumberFormat="1" applyFont="1" applyFill="1" applyBorder="1" applyAlignment="1">
      <alignment horizontal="right" vertical="center"/>
    </xf>
    <xf numFmtId="188" fontId="165" fillId="52" borderId="127" xfId="0" applyNumberFormat="1" applyFont="1" applyFill="1" applyBorder="1" applyAlignment="1">
      <alignment horizontal="right" vertical="center"/>
    </xf>
    <xf numFmtId="188" fontId="165" fillId="52" borderId="223" xfId="0" applyNumberFormat="1" applyFont="1" applyFill="1" applyBorder="1" applyAlignment="1">
      <alignment horizontal="right" vertical="center"/>
    </xf>
    <xf numFmtId="188" fontId="165" fillId="52" borderId="224" xfId="0" applyNumberFormat="1" applyFont="1" applyFill="1" applyBorder="1" applyAlignment="1">
      <alignment horizontal="right" vertical="center"/>
    </xf>
    <xf numFmtId="0" fontId="162" fillId="52" borderId="142" xfId="0" applyFont="1" applyFill="1" applyBorder="1" applyAlignment="1">
      <alignment horizontal="center" vertical="center" wrapText="1"/>
    </xf>
    <xf numFmtId="0" fontId="162" fillId="52" borderId="143" xfId="0" applyFont="1" applyFill="1" applyBorder="1" applyAlignment="1">
      <alignment horizontal="center" vertical="center" wrapText="1"/>
    </xf>
    <xf numFmtId="188" fontId="165" fillId="0" borderId="53" xfId="0" applyNumberFormat="1" applyFont="1" applyBorder="1" applyAlignment="1">
      <alignment horizontal="right" vertical="center"/>
    </xf>
    <xf numFmtId="188" fontId="165" fillId="0" borderId="222" xfId="0" applyNumberFormat="1" applyFont="1" applyBorder="1" applyAlignment="1">
      <alignment horizontal="right" vertical="center"/>
    </xf>
    <xf numFmtId="188" fontId="165" fillId="0" borderId="93" xfId="0" applyNumberFormat="1" applyFont="1" applyBorder="1" applyAlignment="1">
      <alignment horizontal="right" vertical="center"/>
    </xf>
    <xf numFmtId="188" fontId="165" fillId="0" borderId="130" xfId="0" applyNumberFormat="1" applyFont="1" applyBorder="1" applyAlignment="1">
      <alignment horizontal="right" vertical="center"/>
    </xf>
    <xf numFmtId="0" fontId="161" fillId="57" borderId="55" xfId="0" applyFont="1" applyFill="1" applyBorder="1" applyAlignment="1">
      <alignment horizontal="center" vertical="center"/>
    </xf>
    <xf numFmtId="0" fontId="36" fillId="56" borderId="6" xfId="0" applyFont="1" applyFill="1" applyBorder="1" applyAlignment="1">
      <alignment horizontal="center" vertical="center"/>
    </xf>
    <xf numFmtId="0" fontId="161" fillId="57" borderId="6" xfId="0" applyFont="1" applyFill="1" applyBorder="1" applyAlignment="1">
      <alignment horizontal="center" vertical="center" shrinkToFit="1"/>
    </xf>
    <xf numFmtId="0" fontId="36" fillId="0" borderId="6" xfId="0" applyFont="1" applyBorder="1" applyAlignment="1">
      <alignment horizontal="center" vertical="center"/>
    </xf>
    <xf numFmtId="0" fontId="36" fillId="0" borderId="6" xfId="0" applyFont="1" applyBorder="1" applyAlignment="1">
      <alignment horizontal="center" vertical="center" textRotation="255"/>
    </xf>
    <xf numFmtId="0" fontId="161" fillId="57" borderId="55" xfId="0" applyFont="1" applyFill="1" applyBorder="1" applyAlignment="1">
      <alignment horizontal="center" vertical="center" shrinkToFit="1"/>
    </xf>
    <xf numFmtId="0" fontId="161" fillId="57" borderId="191" xfId="0" applyFont="1" applyFill="1" applyBorder="1" applyAlignment="1">
      <alignment horizontal="center" vertical="center" shrinkToFit="1"/>
    </xf>
    <xf numFmtId="0" fontId="36" fillId="0" borderId="6" xfId="0" applyFont="1" applyBorder="1" applyAlignment="1">
      <alignment horizontal="center" vertical="center" shrinkToFit="1"/>
    </xf>
    <xf numFmtId="0" fontId="36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 shrinkToFit="1"/>
    </xf>
    <xf numFmtId="0" fontId="36" fillId="0" borderId="0" xfId="0" applyFont="1" applyAlignment="1">
      <alignment horizontal="center" vertical="center" textRotation="255"/>
    </xf>
    <xf numFmtId="2" fontId="36" fillId="0" borderId="0" xfId="0" applyNumberFormat="1" applyFont="1" applyAlignment="1">
      <alignment horizontal="center" vertical="center"/>
    </xf>
    <xf numFmtId="0" fontId="162" fillId="0" borderId="220" xfId="0" applyFont="1" applyBorder="1" applyAlignment="1">
      <alignment horizontal="center" vertical="center" shrinkToFit="1"/>
    </xf>
    <xf numFmtId="0" fontId="162" fillId="0" borderId="221" xfId="0" applyFont="1" applyBorder="1" applyAlignment="1">
      <alignment horizontal="center" vertical="center" shrinkToFit="1"/>
    </xf>
    <xf numFmtId="0" fontId="162" fillId="0" borderId="121" xfId="0" applyFont="1" applyBorder="1" applyAlignment="1">
      <alignment horizontal="center" vertical="center" shrinkToFit="1"/>
    </xf>
    <xf numFmtId="0" fontId="162" fillId="0" borderId="103" xfId="0" applyFont="1" applyBorder="1" applyAlignment="1">
      <alignment horizontal="center" vertical="center" shrinkToFit="1"/>
    </xf>
    <xf numFmtId="0" fontId="162" fillId="52" borderId="203" xfId="0" applyFont="1" applyFill="1" applyBorder="1" applyAlignment="1">
      <alignment horizontal="center" vertical="center" shrinkToFit="1"/>
    </xf>
    <xf numFmtId="0" fontId="162" fillId="52" borderId="62" xfId="0" applyFont="1" applyFill="1" applyBorder="1" applyAlignment="1">
      <alignment horizontal="center" vertical="center" shrinkToFit="1"/>
    </xf>
    <xf numFmtId="0" fontId="162" fillId="52" borderId="72" xfId="0" applyFont="1" applyFill="1" applyBorder="1" applyAlignment="1">
      <alignment horizontal="center" vertical="center" shrinkToFit="1"/>
    </xf>
    <xf numFmtId="0" fontId="162" fillId="52" borderId="230" xfId="0" applyFont="1" applyFill="1" applyBorder="1" applyAlignment="1">
      <alignment horizontal="center" vertical="center" shrinkToFit="1"/>
    </xf>
    <xf numFmtId="0" fontId="56" fillId="0" borderId="85" xfId="0" applyFont="1" applyBorder="1" applyAlignment="1">
      <alignment horizontal="center" vertical="center" shrinkToFit="1"/>
    </xf>
    <xf numFmtId="0" fontId="56" fillId="0" borderId="68" xfId="0" applyFont="1" applyBorder="1" applyAlignment="1">
      <alignment horizontal="center" vertical="center" shrinkToFit="1"/>
    </xf>
    <xf numFmtId="0" fontId="162" fillId="0" borderId="75" xfId="0" applyFont="1" applyBorder="1" applyAlignment="1">
      <alignment horizontal="center" vertical="center" shrinkToFit="1"/>
    </xf>
    <xf numFmtId="0" fontId="162" fillId="0" borderId="71" xfId="0" applyFont="1" applyBorder="1" applyAlignment="1">
      <alignment horizontal="center" vertical="center" shrinkToFit="1"/>
    </xf>
    <xf numFmtId="0" fontId="162" fillId="0" borderId="104" xfId="0" applyFont="1" applyBorder="1" applyAlignment="1">
      <alignment horizontal="center" vertical="center" shrinkToFit="1"/>
    </xf>
    <xf numFmtId="0" fontId="162" fillId="52" borderId="85" xfId="0" applyFont="1" applyFill="1" applyBorder="1" applyAlignment="1">
      <alignment horizontal="center" vertical="center"/>
    </xf>
    <xf numFmtId="0" fontId="162" fillId="52" borderId="68" xfId="0" applyFont="1" applyFill="1" applyBorder="1" applyAlignment="1">
      <alignment horizontal="center" vertical="center"/>
    </xf>
    <xf numFmtId="0" fontId="162" fillId="52" borderId="84" xfId="0" applyFont="1" applyFill="1" applyBorder="1" applyAlignment="1">
      <alignment horizontal="center" vertical="center"/>
    </xf>
    <xf numFmtId="0" fontId="162" fillId="52" borderId="59" xfId="0" applyFont="1" applyFill="1" applyBorder="1" applyAlignment="1">
      <alignment horizontal="center" vertical="center"/>
    </xf>
    <xf numFmtId="0" fontId="162" fillId="0" borderId="31" xfId="0" applyFont="1" applyBorder="1" applyAlignment="1">
      <alignment horizontal="center" vertical="center" textRotation="255"/>
    </xf>
    <xf numFmtId="0" fontId="162" fillId="0" borderId="11" xfId="0" applyFont="1" applyBorder="1" applyAlignment="1">
      <alignment horizontal="center" vertical="center" textRotation="255"/>
    </xf>
    <xf numFmtId="0" fontId="162" fillId="0" borderId="9" xfId="0" applyFont="1" applyBorder="1" applyAlignment="1">
      <alignment horizontal="center" vertical="center" textRotation="255"/>
    </xf>
    <xf numFmtId="0" fontId="162" fillId="0" borderId="99" xfId="0" applyFont="1" applyBorder="1" applyAlignment="1">
      <alignment horizontal="center" vertical="center" shrinkToFit="1"/>
    </xf>
    <xf numFmtId="0" fontId="162" fillId="0" borderId="203" xfId="0" applyFont="1" applyBorder="1" applyAlignment="1">
      <alignment horizontal="center" vertical="center" shrinkToFit="1"/>
    </xf>
    <xf numFmtId="0" fontId="162" fillId="0" borderId="23" xfId="0" applyFont="1" applyBorder="1" applyAlignment="1">
      <alignment horizontal="center" vertical="center" shrinkToFit="1"/>
    </xf>
    <xf numFmtId="0" fontId="162" fillId="25" borderId="72" xfId="0" applyFont="1" applyFill="1" applyBorder="1" applyAlignment="1">
      <alignment horizontal="center" vertical="center" shrinkToFit="1"/>
    </xf>
    <xf numFmtId="0" fontId="162" fillId="25" borderId="74" xfId="0" applyFont="1" applyFill="1" applyBorder="1" applyAlignment="1">
      <alignment horizontal="center" vertical="center" shrinkToFit="1"/>
    </xf>
    <xf numFmtId="0" fontId="162" fillId="52" borderId="77" xfId="0" applyFont="1" applyFill="1" applyBorder="1" applyAlignment="1">
      <alignment horizontal="center" vertical="center"/>
    </xf>
    <xf numFmtId="0" fontId="162" fillId="52" borderId="10" xfId="0" applyFont="1" applyFill="1" applyBorder="1" applyAlignment="1">
      <alignment horizontal="center" vertical="center"/>
    </xf>
    <xf numFmtId="0" fontId="162" fillId="0" borderId="70" xfId="0" applyFont="1" applyBorder="1" applyAlignment="1">
      <alignment horizontal="center" vertical="center" shrinkToFit="1"/>
    </xf>
    <xf numFmtId="0" fontId="55" fillId="56" borderId="6" xfId="0" applyFont="1" applyFill="1" applyBorder="1" applyAlignment="1">
      <alignment horizontal="center" vertical="center"/>
    </xf>
    <xf numFmtId="0" fontId="55" fillId="56" borderId="26" xfId="0" applyFont="1" applyFill="1" applyBorder="1" applyAlignment="1">
      <alignment horizontal="center" vertical="center"/>
    </xf>
    <xf numFmtId="0" fontId="160" fillId="56" borderId="214" xfId="0" applyFont="1" applyFill="1" applyBorder="1" applyAlignment="1">
      <alignment horizontal="center" vertical="center"/>
    </xf>
    <xf numFmtId="0" fontId="160" fillId="56" borderId="215" xfId="0" applyFont="1" applyFill="1" applyBorder="1" applyAlignment="1">
      <alignment horizontal="center" vertical="center"/>
    </xf>
    <xf numFmtId="0" fontId="160" fillId="56" borderId="216" xfId="0" applyFont="1" applyFill="1" applyBorder="1" applyAlignment="1">
      <alignment horizontal="center" vertical="center"/>
    </xf>
    <xf numFmtId="0" fontId="37" fillId="56" borderId="205" xfId="0" applyFont="1" applyFill="1" applyBorder="1" applyAlignment="1">
      <alignment horizontal="center" vertical="center"/>
    </xf>
    <xf numFmtId="0" fontId="37" fillId="56" borderId="206" xfId="0" applyFont="1" applyFill="1" applyBorder="1" applyAlignment="1">
      <alignment horizontal="center" vertical="center"/>
    </xf>
    <xf numFmtId="0" fontId="37" fillId="56" borderId="207" xfId="0" applyFont="1" applyFill="1" applyBorder="1" applyAlignment="1">
      <alignment horizontal="center" vertical="center"/>
    </xf>
    <xf numFmtId="0" fontId="162" fillId="52" borderId="118" xfId="0" applyFont="1" applyFill="1" applyBorder="1" applyAlignment="1">
      <alignment horizontal="center" vertical="center"/>
    </xf>
    <xf numFmtId="0" fontId="162" fillId="52" borderId="7" xfId="0" applyFont="1" applyFill="1" applyBorder="1" applyAlignment="1">
      <alignment horizontal="center" vertical="center"/>
    </xf>
    <xf numFmtId="0" fontId="162" fillId="52" borderId="204" xfId="0" applyFont="1" applyFill="1" applyBorder="1" applyAlignment="1">
      <alignment horizontal="center" vertical="center"/>
    </xf>
    <xf numFmtId="0" fontId="162" fillId="52" borderId="119" xfId="0" applyFont="1" applyFill="1" applyBorder="1" applyAlignment="1">
      <alignment horizontal="center" vertical="center"/>
    </xf>
    <xf numFmtId="0" fontId="39" fillId="0" borderId="0" xfId="0" applyFont="1" applyAlignment="1">
      <alignment horizontal="center" vertical="center"/>
    </xf>
    <xf numFmtId="0" fontId="40" fillId="52" borderId="40" xfId="0" applyFont="1" applyFill="1" applyBorder="1" applyAlignment="1">
      <alignment horizontal="center" vertical="center"/>
    </xf>
    <xf numFmtId="0" fontId="38" fillId="52" borderId="38" xfId="0" applyFont="1" applyFill="1" applyBorder="1" applyAlignment="1">
      <alignment horizontal="center" vertical="center"/>
    </xf>
    <xf numFmtId="0" fontId="40" fillId="52" borderId="76" xfId="0" applyFont="1" applyFill="1" applyBorder="1" applyAlignment="1">
      <alignment horizontal="center" vertical="center"/>
    </xf>
    <xf numFmtId="0" fontId="40" fillId="52" borderId="9" xfId="0" applyFont="1" applyFill="1" applyBorder="1" applyAlignment="1">
      <alignment horizontal="center" vertical="center"/>
    </xf>
    <xf numFmtId="0" fontId="40" fillId="52" borderId="37" xfId="0" applyFont="1" applyFill="1" applyBorder="1" applyAlignment="1">
      <alignment horizontal="center" vertical="center"/>
    </xf>
    <xf numFmtId="0" fontId="40" fillId="52" borderId="77" xfId="0" applyFont="1" applyFill="1" applyBorder="1" applyAlignment="1">
      <alignment horizontal="center" vertical="center"/>
    </xf>
    <xf numFmtId="0" fontId="40" fillId="52" borderId="24" xfId="0" applyFont="1" applyFill="1" applyBorder="1" applyAlignment="1">
      <alignment horizontal="center" vertical="center"/>
    </xf>
    <xf numFmtId="0" fontId="40" fillId="52" borderId="10" xfId="0" applyFont="1" applyFill="1" applyBorder="1" applyAlignment="1">
      <alignment horizontal="center" vertical="center"/>
    </xf>
    <xf numFmtId="176" fontId="40" fillId="52" borderId="54" xfId="0" applyNumberFormat="1" applyFont="1" applyFill="1" applyBorder="1" applyAlignment="1">
      <alignment horizontal="center" vertical="center"/>
    </xf>
    <xf numFmtId="176" fontId="38" fillId="52" borderId="55" xfId="0" applyNumberFormat="1" applyFont="1" applyFill="1" applyBorder="1" applyAlignment="1">
      <alignment horizontal="center" vertical="center"/>
    </xf>
    <xf numFmtId="0" fontId="40" fillId="52" borderId="54" xfId="0" applyFont="1" applyFill="1" applyBorder="1" applyAlignment="1">
      <alignment horizontal="center" vertical="center"/>
    </xf>
    <xf numFmtId="0" fontId="38" fillId="52" borderId="55" xfId="0" applyFont="1" applyFill="1" applyBorder="1" applyAlignment="1">
      <alignment horizontal="center" vertical="center"/>
    </xf>
    <xf numFmtId="0" fontId="40" fillId="17" borderId="34" xfId="0" applyFont="1" applyFill="1" applyBorder="1" applyAlignment="1">
      <alignment horizontal="center" vertical="center" wrapText="1"/>
    </xf>
    <xf numFmtId="0" fontId="40" fillId="17" borderId="33" xfId="0" applyFont="1" applyFill="1" applyBorder="1" applyAlignment="1">
      <alignment horizontal="center" vertical="center"/>
    </xf>
    <xf numFmtId="0" fontId="40" fillId="17" borderId="55" xfId="0" applyFont="1" applyFill="1" applyBorder="1" applyAlignment="1">
      <alignment horizontal="center" vertical="center"/>
    </xf>
    <xf numFmtId="194" fontId="231" fillId="0" borderId="0" xfId="0" applyNumberFormat="1" applyFont="1" applyAlignment="1">
      <alignment horizontal="left" vertical="center"/>
    </xf>
    <xf numFmtId="194" fontId="45" fillId="0" borderId="0" xfId="0" applyNumberFormat="1" applyFont="1" applyAlignment="1">
      <alignment horizontal="left" vertical="center"/>
    </xf>
    <xf numFmtId="190" fontId="40" fillId="0" borderId="0" xfId="2696" applyNumberFormat="1" applyFont="1" applyAlignment="1"/>
    <xf numFmtId="0" fontId="40" fillId="17" borderId="33" xfId="0" applyFont="1" applyFill="1" applyBorder="1" applyAlignment="1">
      <alignment horizontal="center" vertical="center" wrapText="1"/>
    </xf>
    <xf numFmtId="0" fontId="40" fillId="17" borderId="55" xfId="0" applyFont="1" applyFill="1" applyBorder="1" applyAlignment="1">
      <alignment horizontal="center" vertical="center" wrapText="1"/>
    </xf>
    <xf numFmtId="0" fontId="40" fillId="17" borderId="33" xfId="0" applyFont="1" applyFill="1" applyBorder="1" applyAlignment="1">
      <alignment horizontal="center" vertical="center" wrapText="1" shrinkToFit="1"/>
    </xf>
    <xf numFmtId="0" fontId="40" fillId="17" borderId="55" xfId="0" applyFont="1" applyFill="1" applyBorder="1" applyAlignment="1">
      <alignment horizontal="center" vertical="center" wrapText="1" shrinkToFit="1"/>
    </xf>
    <xf numFmtId="0" fontId="44" fillId="0" borderId="33" xfId="0" applyFont="1" applyBorder="1" applyAlignment="1">
      <alignment horizontal="center" vertical="center" wrapText="1"/>
    </xf>
    <xf numFmtId="0" fontId="44" fillId="0" borderId="55" xfId="0" applyFont="1" applyBorder="1" applyAlignment="1">
      <alignment horizontal="center" vertical="center" wrapText="1"/>
    </xf>
    <xf numFmtId="194" fontId="40" fillId="0" borderId="0" xfId="0" applyNumberFormat="1" applyFont="1" applyAlignment="1">
      <alignment horizontal="left" vertical="center"/>
    </xf>
    <xf numFmtId="10" fontId="40" fillId="0" borderId="0" xfId="0" applyNumberFormat="1" applyFont="1" applyAlignment="1">
      <alignment horizontal="left" vertical="center"/>
    </xf>
    <xf numFmtId="0" fontId="40" fillId="16" borderId="26" xfId="0" applyFont="1" applyFill="1" applyBorder="1" applyAlignment="1">
      <alignment horizontal="center" vertical="center"/>
    </xf>
    <xf numFmtId="0" fontId="40" fillId="16" borderId="27" xfId="0" applyFont="1" applyFill="1" applyBorder="1" applyAlignment="1">
      <alignment horizontal="center" vertical="center"/>
    </xf>
    <xf numFmtId="0" fontId="40" fillId="17" borderId="80" xfId="0" applyFont="1" applyFill="1" applyBorder="1" applyAlignment="1">
      <alignment horizontal="center" vertical="center"/>
    </xf>
    <xf numFmtId="0" fontId="40" fillId="17" borderId="13" xfId="0" applyFont="1" applyFill="1" applyBorder="1" applyAlignment="1">
      <alignment horizontal="center" vertical="center"/>
    </xf>
    <xf numFmtId="0" fontId="40" fillId="17" borderId="27" xfId="0" applyFont="1" applyFill="1" applyBorder="1" applyAlignment="1">
      <alignment horizontal="center" vertical="center"/>
    </xf>
    <xf numFmtId="0" fontId="40" fillId="17" borderId="72" xfId="0" applyFont="1" applyFill="1" applyBorder="1" applyAlignment="1">
      <alignment horizontal="center" vertical="center"/>
    </xf>
    <xf numFmtId="0" fontId="40" fillId="17" borderId="73" xfId="0" applyFont="1" applyFill="1" applyBorder="1" applyAlignment="1">
      <alignment horizontal="center" vertical="center"/>
    </xf>
    <xf numFmtId="0" fontId="40" fillId="17" borderId="74" xfId="0" applyFont="1" applyFill="1" applyBorder="1" applyAlignment="1">
      <alignment horizontal="center" vertical="center"/>
    </xf>
    <xf numFmtId="196" fontId="38" fillId="0" borderId="93" xfId="1960" applyNumberFormat="1" applyFont="1" applyBorder="1" applyAlignment="1">
      <alignment horizontal="left" vertical="center" shrinkToFit="1"/>
    </xf>
    <xf numFmtId="196" fontId="38" fillId="0" borderId="94" xfId="1960" applyNumberFormat="1" applyFont="1" applyBorder="1" applyAlignment="1">
      <alignment horizontal="left" vertical="center" shrinkToFit="1"/>
    </xf>
    <xf numFmtId="196" fontId="38" fillId="0" borderId="66" xfId="1960" applyNumberFormat="1" applyFont="1" applyFill="1" applyBorder="1" applyAlignment="1">
      <alignment horizontal="left" vertical="center" shrinkToFit="1"/>
    </xf>
    <xf numFmtId="196" fontId="38" fillId="0" borderId="98" xfId="1960" applyNumberFormat="1" applyFont="1" applyFill="1" applyBorder="1" applyAlignment="1">
      <alignment horizontal="left" vertical="center" shrinkToFit="1"/>
    </xf>
    <xf numFmtId="196" fontId="38" fillId="0" borderId="96" xfId="1960" applyNumberFormat="1" applyFont="1" applyFill="1" applyBorder="1" applyAlignment="1">
      <alignment horizontal="left" vertical="center" shrinkToFit="1"/>
    </xf>
    <xf numFmtId="196" fontId="38" fillId="0" borderId="97" xfId="1960" applyNumberFormat="1" applyFont="1" applyFill="1" applyBorder="1" applyAlignment="1">
      <alignment horizontal="left" vertical="center" shrinkToFit="1"/>
    </xf>
    <xf numFmtId="177" fontId="40" fillId="52" borderId="42" xfId="0" applyNumberFormat="1" applyFont="1" applyFill="1" applyBorder="1" applyAlignment="1">
      <alignment horizontal="center" vertical="center"/>
    </xf>
    <xf numFmtId="177" fontId="40" fillId="52" borderId="43" xfId="0" applyNumberFormat="1" applyFont="1" applyFill="1" applyBorder="1" applyAlignment="1">
      <alignment horizontal="center" vertical="center"/>
    </xf>
    <xf numFmtId="177" fontId="0" fillId="0" borderId="0" xfId="0" applyNumberFormat="1"/>
    <xf numFmtId="0" fontId="0" fillId="0" borderId="0" xfId="0"/>
    <xf numFmtId="182" fontId="207" fillId="52" borderId="34" xfId="0" applyNumberFormat="1" applyFont="1" applyFill="1" applyBorder="1" applyAlignment="1">
      <alignment vertical="center"/>
    </xf>
    <xf numFmtId="182" fontId="207" fillId="52" borderId="33" xfId="0" applyNumberFormat="1" applyFont="1" applyFill="1" applyBorder="1" applyAlignment="1">
      <alignment vertical="center"/>
    </xf>
    <xf numFmtId="182" fontId="207" fillId="52" borderId="78" xfId="0" applyNumberFormat="1" applyFont="1" applyFill="1" applyBorder="1" applyAlignment="1">
      <alignment vertical="center"/>
    </xf>
    <xf numFmtId="189" fontId="207" fillId="52" borderId="35" xfId="0" applyNumberFormat="1" applyFont="1" applyFill="1" applyBorder="1" applyAlignment="1">
      <alignment horizontal="center" vertical="center"/>
    </xf>
    <xf numFmtId="189" fontId="207" fillId="52" borderId="39" xfId="0" applyNumberFormat="1" applyFont="1" applyFill="1" applyBorder="1" applyAlignment="1">
      <alignment horizontal="center" vertical="center"/>
    </xf>
    <xf numFmtId="189" fontId="207" fillId="52" borderId="79" xfId="0" applyNumberFormat="1" applyFont="1" applyFill="1" applyBorder="1" applyAlignment="1">
      <alignment horizontal="center" vertical="center"/>
    </xf>
    <xf numFmtId="193" fontId="113" fillId="60" borderId="108" xfId="0" applyNumberFormat="1" applyFont="1" applyFill="1" applyBorder="1" applyAlignment="1">
      <alignment vertical="center"/>
    </xf>
    <xf numFmtId="193" fontId="113" fillId="60" borderId="109" xfId="0" applyNumberFormat="1" applyFont="1" applyFill="1" applyBorder="1" applyAlignment="1">
      <alignment vertical="center"/>
    </xf>
    <xf numFmtId="193" fontId="113" fillId="60" borderId="110" xfId="0" applyNumberFormat="1" applyFont="1" applyFill="1" applyBorder="1" applyAlignment="1">
      <alignment vertical="center"/>
    </xf>
    <xf numFmtId="0" fontId="38" fillId="0" borderId="0" xfId="0" applyFont="1" applyAlignment="1">
      <alignment horizontal="center"/>
    </xf>
    <xf numFmtId="0" fontId="136" fillId="0" borderId="0" xfId="0" applyFont="1" applyAlignment="1">
      <alignment horizontal="center" vertical="center"/>
    </xf>
    <xf numFmtId="182" fontId="207" fillId="52" borderId="34" xfId="0" applyNumberFormat="1" applyFont="1" applyFill="1" applyBorder="1" applyAlignment="1">
      <alignment horizontal="center" vertical="center"/>
    </xf>
    <xf numFmtId="182" fontId="207" fillId="52" borderId="33" xfId="0" applyNumberFormat="1" applyFont="1" applyFill="1" applyBorder="1" applyAlignment="1">
      <alignment horizontal="center" vertical="center"/>
    </xf>
    <xf numFmtId="182" fontId="207" fillId="52" borderId="78" xfId="0" applyNumberFormat="1" applyFont="1" applyFill="1" applyBorder="1" applyAlignment="1">
      <alignment horizontal="center" vertical="center"/>
    </xf>
    <xf numFmtId="0" fontId="207" fillId="0" borderId="84" xfId="0" applyFont="1" applyBorder="1" applyAlignment="1">
      <alignment horizontal="center" vertical="center"/>
    </xf>
    <xf numFmtId="0" fontId="207" fillId="0" borderId="59" xfId="0" applyFont="1" applyBorder="1" applyAlignment="1">
      <alignment horizontal="center" vertical="center"/>
    </xf>
    <xf numFmtId="0" fontId="207" fillId="0" borderId="10" xfId="0" applyFont="1" applyBorder="1" applyAlignment="1">
      <alignment horizontal="center" vertical="center"/>
    </xf>
    <xf numFmtId="0" fontId="207" fillId="0" borderId="80" xfId="0" applyFont="1" applyBorder="1" applyAlignment="1">
      <alignment horizontal="center" vertical="center" wrapText="1"/>
    </xf>
    <xf numFmtId="0" fontId="207" fillId="0" borderId="13" xfId="0" applyFont="1" applyBorder="1" applyAlignment="1">
      <alignment horizontal="center" vertical="center"/>
    </xf>
    <xf numFmtId="0" fontId="207" fillId="0" borderId="27" xfId="0" applyFont="1" applyBorder="1" applyAlignment="1">
      <alignment horizontal="center" vertical="center"/>
    </xf>
    <xf numFmtId="0" fontId="207" fillId="52" borderId="75" xfId="0" applyFont="1" applyFill="1" applyBorder="1" applyAlignment="1">
      <alignment horizontal="center" vertical="center"/>
    </xf>
    <xf numFmtId="0" fontId="207" fillId="52" borderId="70" xfId="0" applyFont="1" applyFill="1" applyBorder="1" applyAlignment="1">
      <alignment horizontal="center" vertical="center"/>
    </xf>
    <xf numFmtId="0" fontId="207" fillId="52" borderId="71" xfId="0" applyFont="1" applyFill="1" applyBorder="1" applyAlignment="1">
      <alignment horizontal="center" vertical="center"/>
    </xf>
    <xf numFmtId="0" fontId="207" fillId="52" borderId="81" xfId="0" applyFont="1" applyFill="1" applyBorder="1" applyAlignment="1">
      <alignment horizontal="center" vertical="center"/>
    </xf>
    <xf numFmtId="0" fontId="207" fillId="52" borderId="0" xfId="0" applyFont="1" applyFill="1" applyAlignment="1">
      <alignment horizontal="center" vertical="center"/>
    </xf>
    <xf numFmtId="0" fontId="207" fillId="52" borderId="12" xfId="0" applyFont="1" applyFill="1" applyBorder="1" applyAlignment="1">
      <alignment horizontal="center" vertical="center"/>
    </xf>
    <xf numFmtId="0" fontId="207" fillId="52" borderId="82" xfId="0" applyFont="1" applyFill="1" applyBorder="1" applyAlignment="1">
      <alignment horizontal="center" vertical="center"/>
    </xf>
    <xf numFmtId="0" fontId="207" fillId="52" borderId="252" xfId="0" applyFont="1" applyFill="1" applyBorder="1" applyAlignment="1">
      <alignment horizontal="center" vertical="center"/>
    </xf>
    <xf numFmtId="0" fontId="207" fillId="52" borderId="83" xfId="0" applyFont="1" applyFill="1" applyBorder="1" applyAlignment="1">
      <alignment horizontal="center" vertical="center"/>
    </xf>
    <xf numFmtId="0" fontId="207" fillId="0" borderId="80" xfId="0" applyFont="1" applyBorder="1" applyAlignment="1">
      <alignment horizontal="center" vertical="center"/>
    </xf>
    <xf numFmtId="0" fontId="36" fillId="0" borderId="0" xfId="0" applyFont="1" applyAlignment="1">
      <alignment horizontal="left" vertical="top" wrapText="1"/>
    </xf>
    <xf numFmtId="0" fontId="207" fillId="52" borderId="85" xfId="0" applyFont="1" applyFill="1" applyBorder="1" applyAlignment="1">
      <alignment horizontal="center" vertical="center"/>
    </xf>
    <xf numFmtId="0" fontId="207" fillId="52" borderId="68" xfId="0" applyFont="1" applyFill="1" applyBorder="1" applyAlignment="1">
      <alignment horizontal="center" vertical="center"/>
    </xf>
    <xf numFmtId="0" fontId="207" fillId="52" borderId="77" xfId="0" applyFont="1" applyFill="1" applyBorder="1" applyAlignment="1">
      <alignment horizontal="center" vertical="center"/>
    </xf>
    <xf numFmtId="0" fontId="207" fillId="52" borderId="84" xfId="0" applyFont="1" applyFill="1" applyBorder="1" applyAlignment="1">
      <alignment horizontal="center" vertical="center"/>
    </xf>
    <xf numFmtId="0" fontId="207" fillId="52" borderId="59" xfId="0" applyFont="1" applyFill="1" applyBorder="1" applyAlignment="1">
      <alignment horizontal="center" vertical="center"/>
    </xf>
    <xf numFmtId="0" fontId="207" fillId="52" borderId="10" xfId="0" applyFont="1" applyFill="1" applyBorder="1" applyAlignment="1">
      <alignment horizontal="center" vertical="center"/>
    </xf>
    <xf numFmtId="0" fontId="207" fillId="0" borderId="31" xfId="0" applyFont="1" applyBorder="1" applyAlignment="1">
      <alignment horizontal="center" vertical="center" textRotation="255"/>
    </xf>
    <xf numFmtId="0" fontId="207" fillId="0" borderId="11" xfId="0" applyFont="1" applyBorder="1"/>
    <xf numFmtId="0" fontId="207" fillId="0" borderId="9" xfId="0" applyFont="1" applyBorder="1"/>
    <xf numFmtId="0" fontId="207" fillId="0" borderId="65" xfId="0" applyFont="1" applyBorder="1" applyAlignment="1">
      <alignment horizontal="center" vertical="center"/>
    </xf>
    <xf numFmtId="0" fontId="207" fillId="0" borderId="71" xfId="0" applyFont="1" applyBorder="1" applyAlignment="1">
      <alignment horizontal="center" vertical="center"/>
    </xf>
    <xf numFmtId="0" fontId="207" fillId="0" borderId="101" xfId="0" applyFont="1" applyBorder="1" applyAlignment="1">
      <alignment horizontal="center" vertical="center"/>
    </xf>
    <xf numFmtId="0" fontId="207" fillId="0" borderId="98" xfId="0" applyFont="1" applyBorder="1" applyAlignment="1">
      <alignment horizontal="center" vertical="center"/>
    </xf>
    <xf numFmtId="0" fontId="207" fillId="52" borderId="102" xfId="0" applyFont="1" applyFill="1" applyBorder="1" applyAlignment="1">
      <alignment horizontal="center" vertical="center"/>
    </xf>
    <xf numFmtId="0" fontId="207" fillId="52" borderId="99" xfId="0" applyFont="1" applyFill="1" applyBorder="1" applyAlignment="1">
      <alignment horizontal="center" vertical="center"/>
    </xf>
    <xf numFmtId="0" fontId="207" fillId="0" borderId="31" xfId="0" applyFont="1" applyBorder="1" applyAlignment="1">
      <alignment horizontal="center" vertical="center" wrapText="1"/>
    </xf>
    <xf numFmtId="0" fontId="207" fillId="0" borderId="9" xfId="0" applyFont="1" applyBorder="1" applyAlignment="1">
      <alignment horizontal="center" vertical="center" wrapText="1"/>
    </xf>
    <xf numFmtId="0" fontId="38" fillId="52" borderId="24" xfId="0" applyFont="1" applyFill="1" applyBorder="1" applyAlignment="1">
      <alignment horizontal="center" vertical="center"/>
    </xf>
    <xf numFmtId="0" fontId="38" fillId="52" borderId="10" xfId="0" applyFont="1" applyFill="1" applyBorder="1" applyAlignment="1">
      <alignment horizontal="center" vertical="center"/>
    </xf>
    <xf numFmtId="0" fontId="38" fillId="17" borderId="71" xfId="0" applyFont="1" applyFill="1" applyBorder="1" applyAlignment="1">
      <alignment horizontal="center" vertical="center" wrapText="1"/>
    </xf>
    <xf numFmtId="0" fontId="38" fillId="17" borderId="12" xfId="0" applyFont="1" applyFill="1" applyBorder="1" applyAlignment="1">
      <alignment horizontal="center" vertical="center"/>
    </xf>
    <xf numFmtId="0" fontId="38" fillId="17" borderId="10" xfId="0" applyFont="1" applyFill="1" applyBorder="1" applyAlignment="1">
      <alignment horizontal="center" vertical="center"/>
    </xf>
    <xf numFmtId="0" fontId="36" fillId="17" borderId="12" xfId="0" applyFont="1" applyFill="1" applyBorder="1" applyAlignment="1">
      <alignment horizontal="center" vertical="center" wrapText="1"/>
    </xf>
    <xf numFmtId="0" fontId="36" fillId="17" borderId="12" xfId="0" applyFont="1" applyFill="1" applyBorder="1" applyAlignment="1">
      <alignment horizontal="center" vertical="center"/>
    </xf>
    <xf numFmtId="0" fontId="36" fillId="17" borderId="10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182" fontId="38" fillId="17" borderId="34" xfId="0" applyNumberFormat="1" applyFont="1" applyFill="1" applyBorder="1" applyAlignment="1">
      <alignment horizontal="center" vertical="center"/>
    </xf>
    <xf numFmtId="182" fontId="38" fillId="17" borderId="33" xfId="0" applyNumberFormat="1" applyFont="1" applyFill="1" applyBorder="1" applyAlignment="1">
      <alignment horizontal="center" vertical="center"/>
    </xf>
    <xf numFmtId="182" fontId="38" fillId="17" borderId="55" xfId="0" applyNumberFormat="1" applyFont="1" applyFill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textRotation="255"/>
    </xf>
    <xf numFmtId="0" fontId="38" fillId="0" borderId="33" xfId="0" applyFont="1" applyBorder="1" applyAlignment="1">
      <alignment horizontal="center" vertical="center" textRotation="255"/>
    </xf>
    <xf numFmtId="0" fontId="38" fillId="0" borderId="55" xfId="0" applyFont="1" applyBorder="1" applyAlignment="1">
      <alignment horizontal="center" vertical="center" textRotation="255"/>
    </xf>
    <xf numFmtId="0" fontId="38" fillId="52" borderId="198" xfId="0" applyFont="1" applyFill="1" applyBorder="1" applyAlignment="1">
      <alignment horizontal="center" vertical="center"/>
    </xf>
    <xf numFmtId="0" fontId="38" fillId="52" borderId="233" xfId="0" applyFont="1" applyFill="1" applyBorder="1" applyAlignment="1">
      <alignment horizontal="center" vertical="center"/>
    </xf>
    <xf numFmtId="0" fontId="38" fillId="0" borderId="65" xfId="0" applyFont="1" applyBorder="1" applyAlignment="1">
      <alignment horizontal="center" vertical="center" wrapText="1"/>
    </xf>
    <xf numFmtId="0" fontId="38" fillId="0" borderId="71" xfId="0" applyFont="1" applyBorder="1" applyAlignment="1">
      <alignment horizontal="center" vertical="center" wrapText="1"/>
    </xf>
    <xf numFmtId="0" fontId="38" fillId="0" borderId="32" xfId="0" applyFont="1" applyBorder="1" applyAlignment="1">
      <alignment horizontal="center" vertical="center" wrapText="1"/>
    </xf>
    <xf numFmtId="0" fontId="38" fillId="0" borderId="12" xfId="0" applyFont="1" applyBorder="1" applyAlignment="1">
      <alignment horizontal="center" vertical="center" wrapText="1"/>
    </xf>
    <xf numFmtId="0" fontId="38" fillId="0" borderId="24" xfId="0" applyFont="1" applyBorder="1" applyAlignment="1">
      <alignment horizontal="center" vertical="center" wrapText="1"/>
    </xf>
    <xf numFmtId="0" fontId="38" fillId="0" borderId="10" xfId="0" applyFont="1" applyBorder="1" applyAlignment="1">
      <alignment horizontal="center" vertical="center" wrapText="1"/>
    </xf>
    <xf numFmtId="0" fontId="41" fillId="0" borderId="0" xfId="0" applyFont="1" applyAlignment="1">
      <alignment horizontal="center"/>
    </xf>
    <xf numFmtId="0" fontId="38" fillId="52" borderId="34" xfId="0" applyFont="1" applyFill="1" applyBorder="1" applyAlignment="1">
      <alignment horizontal="center" vertical="center"/>
    </xf>
    <xf numFmtId="0" fontId="38" fillId="52" borderId="6" xfId="0" applyFont="1" applyFill="1" applyBorder="1" applyAlignment="1">
      <alignment horizontal="center" vertical="center"/>
    </xf>
    <xf numFmtId="0" fontId="38" fillId="52" borderId="65" xfId="0" applyFont="1" applyFill="1" applyBorder="1" applyAlignment="1">
      <alignment horizontal="center" vertical="center" wrapText="1"/>
    </xf>
    <xf numFmtId="0" fontId="38" fillId="52" borderId="71" xfId="0" applyFont="1" applyFill="1" applyBorder="1" applyAlignment="1">
      <alignment horizontal="center" vertical="center" wrapText="1"/>
    </xf>
    <xf numFmtId="0" fontId="38" fillId="52" borderId="24" xfId="0" applyFont="1" applyFill="1" applyBorder="1" applyAlignment="1">
      <alignment horizontal="center" vertical="center" wrapText="1"/>
    </xf>
    <xf numFmtId="0" fontId="38" fillId="52" borderId="10" xfId="0" applyFont="1" applyFill="1" applyBorder="1" applyAlignment="1">
      <alignment horizontal="center" vertical="center" wrapText="1"/>
    </xf>
    <xf numFmtId="0" fontId="38" fillId="52" borderId="13" xfId="0" applyFont="1" applyFill="1" applyBorder="1" applyAlignment="1">
      <alignment horizontal="center" vertical="center"/>
    </xf>
    <xf numFmtId="0" fontId="38" fillId="0" borderId="34" xfId="0" applyFont="1" applyBorder="1" applyAlignment="1">
      <alignment horizontal="center" vertical="center" wrapText="1"/>
    </xf>
    <xf numFmtId="0" fontId="38" fillId="0" borderId="33" xfId="0" applyFont="1" applyBorder="1" applyAlignment="1">
      <alignment horizontal="center" vertical="center"/>
    </xf>
    <xf numFmtId="0" fontId="38" fillId="0" borderId="55" xfId="0" applyFont="1" applyBorder="1" applyAlignment="1">
      <alignment horizontal="center" vertical="center"/>
    </xf>
    <xf numFmtId="0" fontId="49" fillId="0" borderId="26" xfId="2639" applyFont="1" applyBorder="1" applyAlignment="1">
      <alignment horizontal="center" vertical="center"/>
    </xf>
    <xf numFmtId="0" fontId="49" fillId="0" borderId="87" xfId="2639" applyFont="1" applyBorder="1" applyAlignment="1">
      <alignment horizontal="center" vertical="center"/>
    </xf>
    <xf numFmtId="4" fontId="49" fillId="52" borderId="26" xfId="2639" applyNumberFormat="1" applyFont="1" applyFill="1" applyBorder="1" applyAlignment="1">
      <alignment horizontal="center" vertical="center"/>
    </xf>
    <xf numFmtId="4" fontId="49" fillId="52" borderId="87" xfId="2639" applyNumberFormat="1" applyFont="1" applyFill="1" applyBorder="1" applyAlignment="1">
      <alignment horizontal="center" vertical="center"/>
    </xf>
    <xf numFmtId="198" fontId="184" fillId="0" borderId="149" xfId="2699" applyNumberFormat="1" applyFont="1" applyBorder="1" applyAlignment="1">
      <alignment horizontal="center" vertical="center"/>
    </xf>
    <xf numFmtId="198" fontId="184" fillId="0" borderId="28" xfId="2699" applyNumberFormat="1" applyFont="1" applyBorder="1" applyAlignment="1">
      <alignment horizontal="center" vertical="center"/>
    </xf>
    <xf numFmtId="190" fontId="184" fillId="52" borderId="148" xfId="2699" applyNumberFormat="1" applyFont="1" applyFill="1" applyBorder="1" applyAlignment="1">
      <alignment horizontal="center" vertical="center"/>
    </xf>
    <xf numFmtId="190" fontId="184" fillId="52" borderId="169" xfId="2699" applyNumberFormat="1" applyFont="1" applyFill="1" applyBorder="1" applyAlignment="1">
      <alignment horizontal="center" vertical="center"/>
    </xf>
    <xf numFmtId="186" fontId="184" fillId="0" borderId="6" xfId="2699" applyNumberFormat="1" applyFont="1" applyBorder="1" applyAlignment="1">
      <alignment horizontal="center" vertical="center"/>
    </xf>
    <xf numFmtId="186" fontId="184" fillId="0" borderId="14" xfId="2699" applyNumberFormat="1" applyFont="1" applyBorder="1" applyAlignment="1">
      <alignment horizontal="center" vertical="center"/>
    </xf>
    <xf numFmtId="186" fontId="184" fillId="0" borderId="190" xfId="2699" applyNumberFormat="1" applyFont="1" applyBorder="1" applyAlignment="1">
      <alignment horizontal="center" vertical="center"/>
    </xf>
    <xf numFmtId="186" fontId="184" fillId="0" borderId="189" xfId="2699" applyNumberFormat="1" applyFont="1" applyBorder="1" applyAlignment="1">
      <alignment horizontal="center" vertical="center"/>
    </xf>
    <xf numFmtId="186" fontId="184" fillId="0" borderId="27" xfId="2699" applyNumberFormat="1" applyFont="1" applyBorder="1" applyAlignment="1">
      <alignment horizontal="center" vertical="center"/>
    </xf>
    <xf numFmtId="190" fontId="184" fillId="52" borderId="54" xfId="2699" applyNumberFormat="1" applyFont="1" applyFill="1" applyBorder="1" applyAlignment="1">
      <alignment horizontal="center" vertical="center"/>
    </xf>
    <xf numFmtId="190" fontId="184" fillId="52" borderId="78" xfId="2699" applyNumberFormat="1" applyFont="1" applyFill="1" applyBorder="1" applyAlignment="1">
      <alignment horizontal="center" vertical="center"/>
    </xf>
    <xf numFmtId="190" fontId="184" fillId="0" borderId="6" xfId="2699" applyNumberFormat="1" applyFont="1" applyBorder="1" applyAlignment="1">
      <alignment horizontal="center" vertical="center"/>
    </xf>
    <xf numFmtId="190" fontId="184" fillId="0" borderId="14" xfId="2699" applyNumberFormat="1" applyFont="1" applyBorder="1" applyAlignment="1">
      <alignment horizontal="center" vertical="center"/>
    </xf>
    <xf numFmtId="0" fontId="184" fillId="52" borderId="234" xfId="2697" applyFont="1" applyFill="1" applyBorder="1" applyAlignment="1">
      <alignment horizontal="center" vertical="center"/>
    </xf>
    <xf numFmtId="0" fontId="184" fillId="52" borderId="22" xfId="2697" applyFont="1" applyFill="1" applyBorder="1" applyAlignment="1">
      <alignment horizontal="center" vertical="center"/>
    </xf>
    <xf numFmtId="0" fontId="184" fillId="52" borderId="23" xfId="2697" applyFont="1" applyFill="1" applyBorder="1" applyAlignment="1">
      <alignment horizontal="center" vertical="center"/>
    </xf>
    <xf numFmtId="0" fontId="184" fillId="52" borderId="6" xfId="2697" applyFont="1" applyFill="1" applyBorder="1" applyAlignment="1">
      <alignment horizontal="center" vertical="center"/>
    </xf>
    <xf numFmtId="49" fontId="184" fillId="52" borderId="27" xfId="2697" applyNumberFormat="1" applyFont="1" applyFill="1" applyBorder="1" applyAlignment="1">
      <alignment horizontal="center" vertical="center"/>
    </xf>
    <xf numFmtId="0" fontId="184" fillId="52" borderId="149" xfId="2697" applyFont="1" applyFill="1" applyBorder="1" applyAlignment="1">
      <alignment horizontal="center" vertical="center"/>
    </xf>
    <xf numFmtId="0" fontId="184" fillId="52" borderId="28" xfId="2697" applyFont="1" applyFill="1" applyBorder="1" applyAlignment="1">
      <alignment horizontal="center" vertical="center"/>
    </xf>
    <xf numFmtId="186" fontId="184" fillId="0" borderId="10" xfId="2699" applyNumberFormat="1" applyFont="1" applyBorder="1" applyAlignment="1">
      <alignment horizontal="center" vertical="center"/>
    </xf>
    <xf numFmtId="49" fontId="184" fillId="52" borderId="190" xfId="2697" applyNumberFormat="1" applyFont="1" applyFill="1" applyBorder="1" applyAlignment="1">
      <alignment horizontal="center" vertical="center"/>
    </xf>
    <xf numFmtId="186" fontId="184" fillId="0" borderId="175" xfId="2699" applyNumberFormat="1" applyFont="1" applyBorder="1" applyAlignment="1">
      <alignment horizontal="center" vertical="center"/>
    </xf>
    <xf numFmtId="49" fontId="184" fillId="52" borderId="6" xfId="2697" applyNumberFormat="1" applyFont="1" applyFill="1" applyBorder="1" applyAlignment="1">
      <alignment horizontal="center" vertical="center"/>
    </xf>
    <xf numFmtId="186" fontId="184" fillId="0" borderId="55" xfId="2699" applyNumberFormat="1" applyFont="1" applyBorder="1" applyAlignment="1">
      <alignment horizontal="center" vertical="center"/>
    </xf>
    <xf numFmtId="190" fontId="184" fillId="0" borderId="55" xfId="2699" applyNumberFormat="1" applyFont="1" applyBorder="1" applyAlignment="1">
      <alignment horizontal="center" vertical="center"/>
    </xf>
    <xf numFmtId="198" fontId="184" fillId="0" borderId="174" xfId="2699" applyNumberFormat="1" applyFont="1" applyBorder="1" applyAlignment="1">
      <alignment horizontal="center" vertical="center"/>
    </xf>
    <xf numFmtId="0" fontId="184" fillId="52" borderId="106" xfId="2697" applyFont="1" applyFill="1" applyBorder="1" applyAlignment="1">
      <alignment horizontal="center" vertical="center" wrapText="1"/>
    </xf>
    <xf numFmtId="0" fontId="184" fillId="52" borderId="109" xfId="2697" applyFont="1" applyFill="1" applyBorder="1" applyAlignment="1">
      <alignment horizontal="center" vertical="center"/>
    </xf>
    <xf numFmtId="0" fontId="184" fillId="52" borderId="107" xfId="2697" applyFont="1" applyFill="1" applyBorder="1" applyAlignment="1">
      <alignment horizontal="center" vertical="center"/>
    </xf>
    <xf numFmtId="49" fontId="184" fillId="52" borderId="153" xfId="2697" applyNumberFormat="1" applyFont="1" applyFill="1" applyBorder="1" applyAlignment="1">
      <alignment horizontal="center" vertical="center"/>
    </xf>
    <xf numFmtId="49" fontId="184" fillId="52" borderId="151" xfId="2697" applyNumberFormat="1" applyFont="1" applyFill="1" applyBorder="1" applyAlignment="1">
      <alignment horizontal="center" vertical="center"/>
    </xf>
    <xf numFmtId="0" fontId="184" fillId="52" borderId="34" xfId="2697" applyFont="1" applyFill="1" applyBorder="1" applyAlignment="1">
      <alignment horizontal="center" vertical="center"/>
    </xf>
    <xf numFmtId="0" fontId="184" fillId="52" borderId="55" xfId="2697" applyFont="1" applyFill="1" applyBorder="1" applyAlignment="1">
      <alignment horizontal="center" vertical="center"/>
    </xf>
    <xf numFmtId="0" fontId="184" fillId="52" borderId="62" xfId="2697" applyFont="1" applyFill="1" applyBorder="1" applyAlignment="1">
      <alignment horizontal="center" vertical="center"/>
    </xf>
    <xf numFmtId="49" fontId="184" fillId="52" borderId="157" xfId="2697" applyNumberFormat="1" applyFont="1" applyFill="1" applyBorder="1" applyAlignment="1">
      <alignment horizontal="center" vertical="center"/>
    </xf>
    <xf numFmtId="49" fontId="184" fillId="52" borderId="159" xfId="2697" applyNumberFormat="1" applyFont="1" applyFill="1" applyBorder="1" applyAlignment="1">
      <alignment horizontal="center" vertical="center"/>
    </xf>
    <xf numFmtId="186" fontId="184" fillId="0" borderId="152" xfId="2699" applyNumberFormat="1" applyFont="1" applyBorder="1" applyAlignment="1">
      <alignment horizontal="center" vertical="center"/>
    </xf>
    <xf numFmtId="190" fontId="184" fillId="0" borderId="33" xfId="2699" applyNumberFormat="1" applyFont="1" applyBorder="1" applyAlignment="1">
      <alignment horizontal="center" vertical="center"/>
    </xf>
    <xf numFmtId="186" fontId="184" fillId="0" borderId="201" xfId="2699" applyNumberFormat="1" applyFont="1" applyBorder="1" applyAlignment="1">
      <alignment horizontal="center" vertical="center"/>
    </xf>
    <xf numFmtId="198" fontId="184" fillId="0" borderId="194" xfId="2699" applyNumberFormat="1" applyFont="1" applyBorder="1" applyAlignment="1">
      <alignment horizontal="center" vertical="center"/>
    </xf>
    <xf numFmtId="198" fontId="184" fillId="0" borderId="234" xfId="2699" applyNumberFormat="1" applyFont="1" applyBorder="1" applyAlignment="1">
      <alignment horizontal="center" vertical="center"/>
    </xf>
    <xf numFmtId="190" fontId="184" fillId="0" borderId="0" xfId="2699" applyNumberFormat="1" applyFont="1" applyBorder="1" applyAlignment="1">
      <alignment horizontal="center" vertical="center"/>
    </xf>
    <xf numFmtId="190" fontId="184" fillId="0" borderId="59" xfId="2699" applyNumberFormat="1" applyFont="1" applyBorder="1" applyAlignment="1">
      <alignment horizontal="center" vertical="center"/>
    </xf>
    <xf numFmtId="186" fontId="184" fillId="0" borderId="168" xfId="1959" applyNumberFormat="1" applyFont="1" applyBorder="1" applyAlignment="1">
      <alignment horizontal="center" vertical="center"/>
    </xf>
    <xf numFmtId="186" fontId="184" fillId="0" borderId="177" xfId="1959" applyNumberFormat="1" applyFont="1" applyBorder="1" applyAlignment="1">
      <alignment horizontal="center" vertical="center"/>
    </xf>
    <xf numFmtId="186" fontId="184" fillId="0" borderId="178" xfId="1959" applyNumberFormat="1" applyFont="1" applyBorder="1" applyAlignment="1">
      <alignment horizontal="center" vertical="center"/>
    </xf>
    <xf numFmtId="190" fontId="184" fillId="0" borderId="71" xfId="2699" applyNumberFormat="1" applyFont="1" applyBorder="1" applyAlignment="1">
      <alignment horizontal="center" vertical="center"/>
    </xf>
    <xf numFmtId="190" fontId="184" fillId="0" borderId="10" xfId="2699" applyNumberFormat="1" applyFont="1" applyBorder="1" applyAlignment="1">
      <alignment horizontal="center" vertical="center"/>
    </xf>
    <xf numFmtId="186" fontId="184" fillId="0" borderId="153" xfId="2699" applyNumberFormat="1" applyFont="1" applyBorder="1" applyAlignment="1">
      <alignment horizontal="center" vertical="center"/>
    </xf>
    <xf numFmtId="186" fontId="184" fillId="0" borderId="151" xfId="2699" applyNumberFormat="1" applyFont="1" applyBorder="1" applyAlignment="1">
      <alignment horizontal="center" vertical="center"/>
    </xf>
    <xf numFmtId="190" fontId="184" fillId="0" borderId="34" xfId="2699" applyNumberFormat="1" applyFont="1" applyBorder="1" applyAlignment="1">
      <alignment horizontal="center" vertical="center"/>
    </xf>
    <xf numFmtId="186" fontId="184" fillId="0" borderId="157" xfId="2699" applyNumberFormat="1" applyFont="1" applyBorder="1" applyAlignment="1">
      <alignment horizontal="center" vertical="center"/>
    </xf>
    <xf numFmtId="186" fontId="184" fillId="0" borderId="159" xfId="2699" applyNumberFormat="1" applyFont="1" applyBorder="1" applyAlignment="1">
      <alignment horizontal="center" vertical="center"/>
    </xf>
    <xf numFmtId="198" fontId="184" fillId="0" borderId="193" xfId="2699" applyNumberFormat="1" applyFont="1" applyBorder="1" applyAlignment="1">
      <alignment horizontal="center" vertical="center"/>
    </xf>
    <xf numFmtId="186" fontId="184" fillId="0" borderId="156" xfId="2699" applyNumberFormat="1" applyFont="1" applyBorder="1" applyAlignment="1">
      <alignment horizontal="center" vertical="center"/>
    </xf>
    <xf numFmtId="186" fontId="184" fillId="0" borderId="74" xfId="2699" applyNumberFormat="1" applyFont="1" applyBorder="1" applyAlignment="1">
      <alignment horizontal="center" vertical="center"/>
    </xf>
    <xf numFmtId="186" fontId="184" fillId="0" borderId="165" xfId="1959" applyNumberFormat="1" applyFont="1" applyBorder="1" applyAlignment="1">
      <alignment horizontal="center" vertical="center"/>
    </xf>
    <xf numFmtId="190" fontId="184" fillId="0" borderId="83" xfId="2699" applyNumberFormat="1" applyFont="1" applyBorder="1" applyAlignment="1">
      <alignment horizontal="center" vertical="center"/>
    </xf>
    <xf numFmtId="186" fontId="184" fillId="52" borderId="150" xfId="2699" applyNumberFormat="1" applyFont="1" applyFill="1" applyBorder="1" applyAlignment="1">
      <alignment horizontal="center" vertical="center"/>
    </xf>
    <xf numFmtId="186" fontId="184" fillId="52" borderId="154" xfId="2699" applyNumberFormat="1" applyFont="1" applyFill="1" applyBorder="1" applyAlignment="1">
      <alignment horizontal="center" vertical="center"/>
    </xf>
    <xf numFmtId="186" fontId="184" fillId="52" borderId="155" xfId="2699" applyNumberFormat="1" applyFont="1" applyFill="1" applyBorder="1" applyAlignment="1">
      <alignment horizontal="center" vertical="center"/>
    </xf>
    <xf numFmtId="186" fontId="184" fillId="52" borderId="160" xfId="2699" applyNumberFormat="1" applyFont="1" applyFill="1" applyBorder="1" applyAlignment="1">
      <alignment horizontal="center" vertical="center"/>
    </xf>
    <xf numFmtId="190" fontId="184" fillId="53" borderId="235" xfId="2699" applyNumberFormat="1" applyFont="1" applyFill="1" applyBorder="1" applyAlignment="1">
      <alignment horizontal="center" vertical="center"/>
    </xf>
    <xf numFmtId="190" fontId="184" fillId="53" borderId="236" xfId="2699" applyNumberFormat="1" applyFont="1" applyFill="1" applyBorder="1" applyAlignment="1">
      <alignment horizontal="center" vertical="center"/>
    </xf>
    <xf numFmtId="186" fontId="184" fillId="53" borderId="8" xfId="2699" applyNumberFormat="1" applyFont="1" applyFill="1" applyBorder="1" applyAlignment="1">
      <alignment horizontal="center" vertical="center"/>
    </xf>
    <xf numFmtId="186" fontId="184" fillId="53" borderId="74" xfId="2699" applyNumberFormat="1" applyFont="1" applyFill="1" applyBorder="1" applyAlignment="1">
      <alignment horizontal="center" vertical="center"/>
    </xf>
    <xf numFmtId="186" fontId="184" fillId="53" borderId="86" xfId="2699" applyNumberFormat="1" applyFont="1" applyFill="1" applyBorder="1" applyAlignment="1">
      <alignment horizontal="center" vertical="center"/>
    </xf>
    <xf numFmtId="186" fontId="184" fillId="53" borderId="14" xfId="2699" applyNumberFormat="1" applyFont="1" applyFill="1" applyBorder="1" applyAlignment="1">
      <alignment horizontal="center" vertical="center"/>
    </xf>
    <xf numFmtId="190" fontId="184" fillId="52" borderId="77" xfId="2699" applyNumberFormat="1" applyFont="1" applyFill="1" applyBorder="1" applyAlignment="1">
      <alignment horizontal="center" vertical="center"/>
    </xf>
    <xf numFmtId="190" fontId="184" fillId="52" borderId="83" xfId="2699" applyNumberFormat="1" applyFont="1" applyFill="1" applyBorder="1" applyAlignment="1">
      <alignment horizontal="center" vertical="center"/>
    </xf>
    <xf numFmtId="186" fontId="184" fillId="52" borderId="176" xfId="1959" applyNumberFormat="1" applyFont="1" applyFill="1" applyBorder="1" applyAlignment="1">
      <alignment horizontal="center" vertical="center"/>
    </xf>
    <xf numFmtId="186" fontId="184" fillId="52" borderId="165" xfId="1959" applyNumberFormat="1" applyFont="1" applyFill="1" applyBorder="1" applyAlignment="1">
      <alignment horizontal="center" vertical="center"/>
    </xf>
    <xf numFmtId="190" fontId="184" fillId="53" borderId="86" xfId="2699" applyNumberFormat="1" applyFont="1" applyFill="1" applyBorder="1" applyAlignment="1">
      <alignment horizontal="center" vertical="center"/>
    </xf>
    <xf numFmtId="190" fontId="184" fillId="53" borderId="191" xfId="2699" applyNumberFormat="1" applyFont="1" applyFill="1" applyBorder="1" applyAlignment="1">
      <alignment horizontal="center" vertical="center"/>
    </xf>
    <xf numFmtId="209" fontId="184" fillId="0" borderId="201" xfId="2699" applyNumberFormat="1" applyFont="1" applyBorder="1" applyAlignment="1">
      <alignment horizontal="center" vertical="center"/>
    </xf>
    <xf numFmtId="209" fontId="184" fillId="0" borderId="175" xfId="2699" applyNumberFormat="1" applyFont="1" applyBorder="1" applyAlignment="1">
      <alignment horizontal="center" vertical="center"/>
    </xf>
    <xf numFmtId="0" fontId="184" fillId="52" borderId="158" xfId="2697" applyFont="1" applyFill="1" applyBorder="1" applyAlignment="1">
      <alignment horizontal="center" vertical="center"/>
    </xf>
    <xf numFmtId="0" fontId="184" fillId="52" borderId="239" xfId="2697" applyFont="1" applyFill="1" applyBorder="1" applyAlignment="1">
      <alignment horizontal="center" vertical="center"/>
    </xf>
    <xf numFmtId="209" fontId="184" fillId="0" borderId="197" xfId="2699" applyNumberFormat="1" applyFont="1" applyBorder="1" applyAlignment="1">
      <alignment horizontal="center" vertical="center"/>
    </xf>
    <xf numFmtId="209" fontId="184" fillId="53" borderId="8" xfId="2699" applyNumberFormat="1" applyFont="1" applyFill="1" applyBorder="1" applyAlignment="1">
      <alignment horizontal="center" vertical="center"/>
    </xf>
    <xf numFmtId="209" fontId="184" fillId="53" borderId="74" xfId="2699" applyNumberFormat="1" applyFont="1" applyFill="1" applyBorder="1" applyAlignment="1">
      <alignment horizontal="center" vertical="center"/>
    </xf>
    <xf numFmtId="204" fontId="184" fillId="0" borderId="193" xfId="2699" applyNumberFormat="1" applyFont="1" applyBorder="1" applyAlignment="1">
      <alignment horizontal="center" vertical="center"/>
    </xf>
    <xf numFmtId="204" fontId="184" fillId="0" borderId="194" xfId="2699" applyNumberFormat="1" applyFont="1" applyBorder="1" applyAlignment="1">
      <alignment horizontal="center" vertical="center"/>
    </xf>
    <xf numFmtId="190" fontId="184" fillId="53" borderId="238" xfId="2699" applyNumberFormat="1" applyFont="1" applyFill="1" applyBorder="1" applyAlignment="1">
      <alignment horizontal="center" vertical="center"/>
    </xf>
    <xf numFmtId="204" fontId="184" fillId="0" borderId="202" xfId="2699" applyNumberFormat="1" applyFont="1" applyBorder="1" applyAlignment="1">
      <alignment horizontal="center" vertical="center"/>
    </xf>
    <xf numFmtId="204" fontId="184" fillId="0" borderId="195" xfId="2699" applyNumberFormat="1" applyFont="1" applyBorder="1" applyAlignment="1">
      <alignment horizontal="center" vertical="center"/>
    </xf>
    <xf numFmtId="209" fontId="184" fillId="0" borderId="196" xfId="2699" applyNumberFormat="1" applyFont="1" applyBorder="1" applyAlignment="1">
      <alignment horizontal="center" vertical="center"/>
    </xf>
    <xf numFmtId="0" fontId="184" fillId="52" borderId="106" xfId="2697" applyFont="1" applyFill="1" applyBorder="1" applyAlignment="1">
      <alignment horizontal="center" vertical="center"/>
    </xf>
    <xf numFmtId="0" fontId="184" fillId="0" borderId="108" xfId="2697" applyFont="1" applyBorder="1" applyAlignment="1">
      <alignment horizontal="center" vertical="center"/>
    </xf>
    <xf numFmtId="0" fontId="184" fillId="0" borderId="107" xfId="2697" applyFont="1" applyBorder="1" applyAlignment="1">
      <alignment horizontal="center" vertical="center"/>
    </xf>
    <xf numFmtId="0" fontId="184" fillId="0" borderId="109" xfId="2697" applyFont="1" applyBorder="1" applyAlignment="1">
      <alignment horizontal="center" vertical="center"/>
    </xf>
    <xf numFmtId="0" fontId="184" fillId="0" borderId="108" xfId="2697" applyFont="1" applyBorder="1" applyAlignment="1">
      <alignment horizontal="center" vertical="center" wrapText="1"/>
    </xf>
    <xf numFmtId="0" fontId="184" fillId="0" borderId="107" xfId="2697" applyFont="1" applyBorder="1" applyAlignment="1">
      <alignment horizontal="center" vertical="center" wrapText="1"/>
    </xf>
    <xf numFmtId="0" fontId="184" fillId="0" borderId="110" xfId="2697" applyFont="1" applyBorder="1" applyAlignment="1">
      <alignment horizontal="center" vertical="center"/>
    </xf>
    <xf numFmtId="0" fontId="184" fillId="53" borderId="85" xfId="2697" applyFont="1" applyFill="1" applyBorder="1" applyAlignment="1">
      <alignment horizontal="center" vertical="center"/>
    </xf>
    <xf numFmtId="0" fontId="184" fillId="53" borderId="82" xfId="2697" applyFont="1" applyFill="1" applyBorder="1" applyAlignment="1">
      <alignment horizontal="center" vertical="center"/>
    </xf>
    <xf numFmtId="190" fontId="184" fillId="53" borderId="14" xfId="2699" applyNumberFormat="1" applyFont="1" applyFill="1" applyBorder="1" applyAlignment="1">
      <alignment horizontal="center" vertical="center"/>
    </xf>
    <xf numFmtId="190" fontId="184" fillId="0" borderId="78" xfId="2699" applyNumberFormat="1" applyFont="1" applyBorder="1" applyAlignment="1">
      <alignment horizontal="center" vertical="center"/>
    </xf>
    <xf numFmtId="209" fontId="184" fillId="53" borderId="237" xfId="2699" applyNumberFormat="1" applyFont="1" applyFill="1" applyBorder="1" applyAlignment="1">
      <alignment horizontal="center" vertical="center"/>
    </xf>
    <xf numFmtId="209" fontId="184" fillId="53" borderId="189" xfId="2699" applyNumberFormat="1" applyFont="1" applyFill="1" applyBorder="1" applyAlignment="1">
      <alignment horizontal="center" vertical="center"/>
    </xf>
    <xf numFmtId="190" fontId="184" fillId="53" borderId="120" xfId="2699" applyNumberFormat="1" applyFont="1" applyFill="1" applyBorder="1" applyAlignment="1">
      <alignment horizontal="center" vertical="center"/>
    </xf>
    <xf numFmtId="190" fontId="184" fillId="53" borderId="21" xfId="2699" applyNumberFormat="1" applyFont="1" applyFill="1" applyBorder="1" applyAlignment="1">
      <alignment horizontal="center" vertical="center"/>
    </xf>
    <xf numFmtId="204" fontId="184" fillId="0" borderId="35" xfId="2699" applyNumberFormat="1" applyFont="1" applyBorder="1" applyAlignment="1">
      <alignment horizontal="center" vertical="center"/>
    </xf>
    <xf numFmtId="204" fontId="184" fillId="0" borderId="38" xfId="2699" applyNumberFormat="1" applyFont="1" applyBorder="1" applyAlignment="1">
      <alignment horizontal="center" vertical="center"/>
    </xf>
    <xf numFmtId="204" fontId="184" fillId="0" borderId="39" xfId="2699" applyNumberFormat="1" applyFont="1" applyBorder="1" applyAlignment="1">
      <alignment horizontal="center" vertical="center"/>
    </xf>
    <xf numFmtId="204" fontId="184" fillId="0" borderId="79" xfId="2699" applyNumberFormat="1" applyFont="1" applyBorder="1" applyAlignment="1">
      <alignment horizontal="center" vertical="center"/>
    </xf>
    <xf numFmtId="0" fontId="37" fillId="52" borderId="22" xfId="0" applyFont="1" applyFill="1" applyBorder="1" applyAlignment="1">
      <alignment horizontal="center" vertical="center"/>
    </xf>
    <xf numFmtId="0" fontId="0" fillId="52" borderId="128" xfId="0" applyFill="1" applyBorder="1"/>
    <xf numFmtId="0" fontId="37" fillId="52" borderId="140" xfId="0" applyFont="1" applyFill="1" applyBorder="1" applyAlignment="1">
      <alignment horizontal="center" vertical="center"/>
    </xf>
    <xf numFmtId="0" fontId="37" fillId="52" borderId="23" xfId="0" applyFont="1" applyFill="1" applyBorder="1" applyAlignment="1">
      <alignment horizontal="center" vertical="center"/>
    </xf>
    <xf numFmtId="0" fontId="150" fillId="54" borderId="179" xfId="0" applyFont="1" applyFill="1" applyBorder="1" applyAlignment="1">
      <alignment horizontal="center" vertical="center" wrapText="1"/>
    </xf>
    <xf numFmtId="0" fontId="150" fillId="54" borderId="180" xfId="0" applyFont="1" applyFill="1" applyBorder="1" applyAlignment="1">
      <alignment horizontal="center" vertical="center" wrapText="1"/>
    </xf>
    <xf numFmtId="0" fontId="172" fillId="54" borderId="179" xfId="0" applyFont="1" applyFill="1" applyBorder="1" applyAlignment="1">
      <alignment horizontal="center" vertical="center" wrapText="1"/>
    </xf>
    <xf numFmtId="0" fontId="172" fillId="54" borderId="180" xfId="0" applyFont="1" applyFill="1" applyBorder="1" applyAlignment="1">
      <alignment horizontal="center" vertical="center" wrapText="1"/>
    </xf>
    <xf numFmtId="185" fontId="166" fillId="0" borderId="93" xfId="0" applyNumberFormat="1" applyFont="1" applyBorder="1" applyAlignment="1">
      <alignment vertical="center" shrinkToFit="1"/>
    </xf>
    <xf numFmtId="189" fontId="166" fillId="51" borderId="93" xfId="0" applyNumberFormat="1" applyFont="1" applyFill="1" applyBorder="1" applyAlignment="1">
      <alignment vertical="center" shrinkToFit="1"/>
    </xf>
    <xf numFmtId="177" fontId="164" fillId="51" borderId="93" xfId="0" applyNumberFormat="1" applyFont="1" applyFill="1" applyBorder="1" applyAlignment="1">
      <alignment vertical="center" shrinkToFit="1"/>
    </xf>
  </cellXfs>
  <cellStyles count="3701">
    <cellStyle name="20% - 강조색1" xfId="2657" builtinId="30" customBuiltin="1"/>
    <cellStyle name="20% - 강조색1 10" xfId="1" xr:uid="{00000000-0005-0000-0000-000001000000}"/>
    <cellStyle name="20% - 강조색1 11" xfId="2" xr:uid="{00000000-0005-0000-0000-000002000000}"/>
    <cellStyle name="20% - 강조색1 12" xfId="3" xr:uid="{00000000-0005-0000-0000-000003000000}"/>
    <cellStyle name="20% - 강조색1 13" xfId="4" xr:uid="{00000000-0005-0000-0000-000004000000}"/>
    <cellStyle name="20% - 강조색1 14" xfId="5" xr:uid="{00000000-0005-0000-0000-000005000000}"/>
    <cellStyle name="20% - 강조색1 15" xfId="6" xr:uid="{00000000-0005-0000-0000-000006000000}"/>
    <cellStyle name="20% - 강조색1 16" xfId="7" xr:uid="{00000000-0005-0000-0000-000007000000}"/>
    <cellStyle name="20% - 강조색1 17" xfId="8" xr:uid="{00000000-0005-0000-0000-000008000000}"/>
    <cellStyle name="20% - 강조색1 18" xfId="9" xr:uid="{00000000-0005-0000-0000-000009000000}"/>
    <cellStyle name="20% - 강조색1 19" xfId="10" xr:uid="{00000000-0005-0000-0000-00000A000000}"/>
    <cellStyle name="20% - 강조색1 2" xfId="11" xr:uid="{00000000-0005-0000-0000-00000B000000}"/>
    <cellStyle name="20% - 강조색1 20" xfId="12" xr:uid="{00000000-0005-0000-0000-00000C000000}"/>
    <cellStyle name="20% - 강조색1 21" xfId="13" xr:uid="{00000000-0005-0000-0000-00000D000000}"/>
    <cellStyle name="20% - 강조색1 22" xfId="14" xr:uid="{00000000-0005-0000-0000-00000E000000}"/>
    <cellStyle name="20% - 강조색1 23" xfId="15" xr:uid="{00000000-0005-0000-0000-00000F000000}"/>
    <cellStyle name="20% - 강조색1 24" xfId="16" xr:uid="{00000000-0005-0000-0000-000010000000}"/>
    <cellStyle name="20% - 강조색1 25" xfId="17" xr:uid="{00000000-0005-0000-0000-000011000000}"/>
    <cellStyle name="20% - 강조색1 26" xfId="18" xr:uid="{00000000-0005-0000-0000-000012000000}"/>
    <cellStyle name="20% - 강조색1 27" xfId="19" xr:uid="{00000000-0005-0000-0000-000013000000}"/>
    <cellStyle name="20% - 강조색1 28" xfId="20" xr:uid="{00000000-0005-0000-0000-000014000000}"/>
    <cellStyle name="20% - 강조색1 29" xfId="21" xr:uid="{00000000-0005-0000-0000-000015000000}"/>
    <cellStyle name="20% - 강조색1 3" xfId="22" xr:uid="{00000000-0005-0000-0000-000016000000}"/>
    <cellStyle name="20% - 강조색1 30" xfId="23" xr:uid="{00000000-0005-0000-0000-000017000000}"/>
    <cellStyle name="20% - 강조색1 31" xfId="24" xr:uid="{00000000-0005-0000-0000-000018000000}"/>
    <cellStyle name="20% - 강조색1 32" xfId="25" xr:uid="{00000000-0005-0000-0000-000019000000}"/>
    <cellStyle name="20% - 강조색1 33" xfId="26" xr:uid="{00000000-0005-0000-0000-00001A000000}"/>
    <cellStyle name="20% - 강조색1 34" xfId="27" xr:uid="{00000000-0005-0000-0000-00001B000000}"/>
    <cellStyle name="20% - 강조색1 35" xfId="28" xr:uid="{00000000-0005-0000-0000-00001C000000}"/>
    <cellStyle name="20% - 강조색1 36" xfId="29" xr:uid="{00000000-0005-0000-0000-00001D000000}"/>
    <cellStyle name="20% - 강조색1 37" xfId="30" xr:uid="{00000000-0005-0000-0000-00001E000000}"/>
    <cellStyle name="20% - 강조색1 38" xfId="31" xr:uid="{00000000-0005-0000-0000-00001F000000}"/>
    <cellStyle name="20% - 강조색1 39" xfId="32" xr:uid="{00000000-0005-0000-0000-000020000000}"/>
    <cellStyle name="20% - 강조색1 4" xfId="33" xr:uid="{00000000-0005-0000-0000-000021000000}"/>
    <cellStyle name="20% - 강조색1 40" xfId="34" xr:uid="{00000000-0005-0000-0000-000022000000}"/>
    <cellStyle name="20% - 강조색1 41" xfId="35" xr:uid="{00000000-0005-0000-0000-000023000000}"/>
    <cellStyle name="20% - 강조색1 42" xfId="36" xr:uid="{00000000-0005-0000-0000-000024000000}"/>
    <cellStyle name="20% - 강조색1 43" xfId="37" xr:uid="{00000000-0005-0000-0000-000025000000}"/>
    <cellStyle name="20% - 강조색1 44" xfId="38" xr:uid="{00000000-0005-0000-0000-000026000000}"/>
    <cellStyle name="20% - 강조색1 45" xfId="39" xr:uid="{00000000-0005-0000-0000-000027000000}"/>
    <cellStyle name="20% - 강조색1 46" xfId="40" xr:uid="{00000000-0005-0000-0000-000028000000}"/>
    <cellStyle name="20% - 강조색1 47" xfId="41" xr:uid="{00000000-0005-0000-0000-000029000000}"/>
    <cellStyle name="20% - 강조색1 48" xfId="42" xr:uid="{00000000-0005-0000-0000-00002A000000}"/>
    <cellStyle name="20% - 강조색1 49" xfId="43" xr:uid="{00000000-0005-0000-0000-00002B000000}"/>
    <cellStyle name="20% - 강조색1 5" xfId="44" xr:uid="{00000000-0005-0000-0000-00002C000000}"/>
    <cellStyle name="20% - 강조색1 50" xfId="45" xr:uid="{00000000-0005-0000-0000-00002D000000}"/>
    <cellStyle name="20% - 강조색1 51" xfId="46" xr:uid="{00000000-0005-0000-0000-00002E000000}"/>
    <cellStyle name="20% - 강조색1 52" xfId="47" xr:uid="{00000000-0005-0000-0000-00002F000000}"/>
    <cellStyle name="20% - 강조색1 53" xfId="48" xr:uid="{00000000-0005-0000-0000-000030000000}"/>
    <cellStyle name="20% - 강조색1 54" xfId="49" xr:uid="{00000000-0005-0000-0000-000031000000}"/>
    <cellStyle name="20% - 강조색1 55" xfId="50" xr:uid="{00000000-0005-0000-0000-000032000000}"/>
    <cellStyle name="20% - 강조색1 56" xfId="51" xr:uid="{00000000-0005-0000-0000-000033000000}"/>
    <cellStyle name="20% - 강조색1 57" xfId="52" xr:uid="{00000000-0005-0000-0000-000034000000}"/>
    <cellStyle name="20% - 강조색1 58" xfId="53" xr:uid="{00000000-0005-0000-0000-000035000000}"/>
    <cellStyle name="20% - 강조색1 59" xfId="54" xr:uid="{00000000-0005-0000-0000-000036000000}"/>
    <cellStyle name="20% - 강조색1 6" xfId="55" xr:uid="{00000000-0005-0000-0000-000037000000}"/>
    <cellStyle name="20% - 강조색1 60" xfId="56" xr:uid="{00000000-0005-0000-0000-000038000000}"/>
    <cellStyle name="20% - 강조색1 61" xfId="57" xr:uid="{00000000-0005-0000-0000-000039000000}"/>
    <cellStyle name="20% - 강조색1 62" xfId="58" xr:uid="{00000000-0005-0000-0000-00003A000000}"/>
    <cellStyle name="20% - 강조색1 63" xfId="59" xr:uid="{00000000-0005-0000-0000-00003B000000}"/>
    <cellStyle name="20% - 강조색1 64" xfId="60" xr:uid="{00000000-0005-0000-0000-00003C000000}"/>
    <cellStyle name="20% - 강조색1 65" xfId="2684" xr:uid="{00000000-0005-0000-0000-00003D000000}"/>
    <cellStyle name="20% - 강조색1 65 2" xfId="2921" xr:uid="{00000000-0005-0000-0000-0000340B0000}"/>
    <cellStyle name="20% - 강조색1 65 2 2" xfId="3369" xr:uid="{00000000-0005-0000-0000-0000340B0000}"/>
    <cellStyle name="20% - 강조색1 65 3" xfId="3193" xr:uid="{00000000-0005-0000-0000-00003D000000}"/>
    <cellStyle name="20% - 강조색1 66" xfId="2713" xr:uid="{00000000-0005-0000-0000-00003E000000}"/>
    <cellStyle name="20% - 강조색1 66 2" xfId="2943" xr:uid="{00000000-0005-0000-0000-0000350B0000}"/>
    <cellStyle name="20% - 강조색1 66 2 2" xfId="3390" xr:uid="{00000000-0005-0000-0000-0000350B0000}"/>
    <cellStyle name="20% - 강조색1 66 3" xfId="3214" xr:uid="{00000000-0005-0000-0000-00003E000000}"/>
    <cellStyle name="20% - 강조색1 67" xfId="2727" xr:uid="{00000000-0005-0000-0000-00003F000000}"/>
    <cellStyle name="20% - 강조색1 67 2" xfId="2957" xr:uid="{00000000-0005-0000-0000-0000360B0000}"/>
    <cellStyle name="20% - 강조색1 67 2 2" xfId="3404" xr:uid="{00000000-0005-0000-0000-0000360B0000}"/>
    <cellStyle name="20% - 강조색1 67 3" xfId="3228" xr:uid="{00000000-0005-0000-0000-00003F000000}"/>
    <cellStyle name="20% - 강조색1 68" xfId="2741" xr:uid="{00000000-0005-0000-0000-000040000000}"/>
    <cellStyle name="20% - 강조색1 68 2" xfId="2971" xr:uid="{00000000-0005-0000-0000-0000370B0000}"/>
    <cellStyle name="20% - 강조색1 68 2 2" xfId="3418" xr:uid="{00000000-0005-0000-0000-0000370B0000}"/>
    <cellStyle name="20% - 강조색1 68 3" xfId="3242" xr:uid="{00000000-0005-0000-0000-000040000000}"/>
    <cellStyle name="20% - 강조색1 69" xfId="2756" xr:uid="{00000000-0005-0000-0000-000041000000}"/>
    <cellStyle name="20% - 강조색1 69 2" xfId="2986" xr:uid="{00000000-0005-0000-0000-0000380B0000}"/>
    <cellStyle name="20% - 강조색1 69 2 2" xfId="3433" xr:uid="{00000000-0005-0000-0000-0000380B0000}"/>
    <cellStyle name="20% - 강조색1 69 3" xfId="3257" xr:uid="{00000000-0005-0000-0000-000041000000}"/>
    <cellStyle name="20% - 강조색1 7" xfId="61" xr:uid="{00000000-0005-0000-0000-000042000000}"/>
    <cellStyle name="20% - 강조색1 70" xfId="2771" xr:uid="{00000000-0005-0000-0000-000043000000}"/>
    <cellStyle name="20% - 강조색1 70 2" xfId="3001" xr:uid="{00000000-0005-0000-0000-0000390B0000}"/>
    <cellStyle name="20% - 강조색1 70 2 2" xfId="3448" xr:uid="{00000000-0005-0000-0000-0000390B0000}"/>
    <cellStyle name="20% - 강조색1 70 3" xfId="3272" xr:uid="{00000000-0005-0000-0000-000043000000}"/>
    <cellStyle name="20% - 강조색1 71" xfId="2785" xr:uid="{00000000-0005-0000-0000-000044000000}"/>
    <cellStyle name="20% - 강조색1 71 2" xfId="3015" xr:uid="{00000000-0005-0000-0000-00003A0B0000}"/>
    <cellStyle name="20% - 강조색1 71 2 2" xfId="3462" xr:uid="{00000000-0005-0000-0000-00003A0B0000}"/>
    <cellStyle name="20% - 강조색1 71 3" xfId="3286" xr:uid="{00000000-0005-0000-0000-000044000000}"/>
    <cellStyle name="20% - 강조색1 72" xfId="2803" xr:uid="{00000000-0005-0000-0000-0000F40A0000}"/>
    <cellStyle name="20% - 강조색1 72 2" xfId="3032" xr:uid="{00000000-0005-0000-0000-00003B0B0000}"/>
    <cellStyle name="20% - 강조색1 72 2 2" xfId="3479" xr:uid="{00000000-0005-0000-0000-00003B0B0000}"/>
    <cellStyle name="20% - 강조색1 72 3" xfId="3303" xr:uid="{00000000-0005-0000-0000-0000F40A0000}"/>
    <cellStyle name="20% - 강조색1 73" xfId="2823" xr:uid="{00000000-0005-0000-0000-0000090B0000}"/>
    <cellStyle name="20% - 강조색1 73 2" xfId="3052" xr:uid="{00000000-0005-0000-0000-00003C0B0000}"/>
    <cellStyle name="20% - 강조색1 73 2 2" xfId="3499" xr:uid="{00000000-0005-0000-0000-00003C0B0000}"/>
    <cellStyle name="20% - 강조색1 73 3" xfId="3323" xr:uid="{00000000-0005-0000-0000-0000090B0000}"/>
    <cellStyle name="20% - 강조색1 74" xfId="2844" xr:uid="{00000000-0005-0000-0000-00001E0B0000}"/>
    <cellStyle name="20% - 강조색1 74 2" xfId="3344" xr:uid="{00000000-0005-0000-0000-00001E0B0000}"/>
    <cellStyle name="20% - 강조색1 75" xfId="3073" xr:uid="{00000000-0005-0000-0000-0000030C0000}"/>
    <cellStyle name="20% - 강조색1 75 2" xfId="3520" xr:uid="{00000000-0005-0000-0000-0000030C0000}"/>
    <cellStyle name="20% - 강조색1 76" xfId="3093" xr:uid="{00000000-0005-0000-0000-0000170C0000}"/>
    <cellStyle name="20% - 강조색1 76 2" xfId="3540" xr:uid="{00000000-0005-0000-0000-0000170C0000}"/>
    <cellStyle name="20% - 강조색1 77" xfId="3114" xr:uid="{00000000-0005-0000-0000-00002B0C0000}"/>
    <cellStyle name="20% - 강조색1 77 2" xfId="3561" xr:uid="{00000000-0005-0000-0000-00002B0C0000}"/>
    <cellStyle name="20% - 강조색1 78" xfId="3135" xr:uid="{00000000-0005-0000-0000-0000400C0000}"/>
    <cellStyle name="20% - 강조색1 78 2" xfId="3582" xr:uid="{00000000-0005-0000-0000-0000400C0000}"/>
    <cellStyle name="20% - 강조색1 79" xfId="3156" xr:uid="{00000000-0005-0000-0000-0000550C0000}"/>
    <cellStyle name="20% - 강조색1 79 2" xfId="3603" xr:uid="{00000000-0005-0000-0000-0000550C0000}"/>
    <cellStyle name="20% - 강조색1 8" xfId="62" xr:uid="{00000000-0005-0000-0000-000045000000}"/>
    <cellStyle name="20% - 강조색1 80" xfId="3177" xr:uid="{00000000-0005-0000-0000-00006A0C0000}"/>
    <cellStyle name="20% - 강조색1 81" xfId="3623" xr:uid="{00000000-0005-0000-0000-0000290E0000}"/>
    <cellStyle name="20% - 강조색1 82" xfId="3643" xr:uid="{00000000-0005-0000-0000-00003D0E0000}"/>
    <cellStyle name="20% - 강조색1 83" xfId="3663" xr:uid="{00000000-0005-0000-0000-0000510E0000}"/>
    <cellStyle name="20% - 강조색1 84" xfId="3683" xr:uid="{00000000-0005-0000-0000-0000650E0000}"/>
    <cellStyle name="20% - 강조색1 9" xfId="63" xr:uid="{00000000-0005-0000-0000-000046000000}"/>
    <cellStyle name="20% - 강조색2" xfId="2661" builtinId="34" customBuiltin="1"/>
    <cellStyle name="20% - 강조색2 10" xfId="64" xr:uid="{00000000-0005-0000-0000-000048000000}"/>
    <cellStyle name="20% - 강조색2 11" xfId="65" xr:uid="{00000000-0005-0000-0000-000049000000}"/>
    <cellStyle name="20% - 강조색2 12" xfId="66" xr:uid="{00000000-0005-0000-0000-00004A000000}"/>
    <cellStyle name="20% - 강조색2 13" xfId="67" xr:uid="{00000000-0005-0000-0000-00004B000000}"/>
    <cellStyle name="20% - 강조색2 14" xfId="68" xr:uid="{00000000-0005-0000-0000-00004C000000}"/>
    <cellStyle name="20% - 강조색2 15" xfId="69" xr:uid="{00000000-0005-0000-0000-00004D000000}"/>
    <cellStyle name="20% - 강조색2 16" xfId="70" xr:uid="{00000000-0005-0000-0000-00004E000000}"/>
    <cellStyle name="20% - 강조색2 17" xfId="71" xr:uid="{00000000-0005-0000-0000-00004F000000}"/>
    <cellStyle name="20% - 강조색2 18" xfId="72" xr:uid="{00000000-0005-0000-0000-000050000000}"/>
    <cellStyle name="20% - 강조색2 19" xfId="73" xr:uid="{00000000-0005-0000-0000-000051000000}"/>
    <cellStyle name="20% - 강조색2 2" xfId="74" xr:uid="{00000000-0005-0000-0000-000052000000}"/>
    <cellStyle name="20% - 강조색2 20" xfId="75" xr:uid="{00000000-0005-0000-0000-000053000000}"/>
    <cellStyle name="20% - 강조색2 21" xfId="76" xr:uid="{00000000-0005-0000-0000-000054000000}"/>
    <cellStyle name="20% - 강조색2 22" xfId="77" xr:uid="{00000000-0005-0000-0000-000055000000}"/>
    <cellStyle name="20% - 강조색2 23" xfId="78" xr:uid="{00000000-0005-0000-0000-000056000000}"/>
    <cellStyle name="20% - 강조색2 24" xfId="79" xr:uid="{00000000-0005-0000-0000-000057000000}"/>
    <cellStyle name="20% - 강조색2 25" xfId="80" xr:uid="{00000000-0005-0000-0000-000058000000}"/>
    <cellStyle name="20% - 강조색2 26" xfId="81" xr:uid="{00000000-0005-0000-0000-000059000000}"/>
    <cellStyle name="20% - 강조색2 27" xfId="82" xr:uid="{00000000-0005-0000-0000-00005A000000}"/>
    <cellStyle name="20% - 강조색2 28" xfId="83" xr:uid="{00000000-0005-0000-0000-00005B000000}"/>
    <cellStyle name="20% - 강조색2 29" xfId="84" xr:uid="{00000000-0005-0000-0000-00005C000000}"/>
    <cellStyle name="20% - 강조색2 3" xfId="85" xr:uid="{00000000-0005-0000-0000-00005D000000}"/>
    <cellStyle name="20% - 강조색2 30" xfId="86" xr:uid="{00000000-0005-0000-0000-00005E000000}"/>
    <cellStyle name="20% - 강조색2 31" xfId="87" xr:uid="{00000000-0005-0000-0000-00005F000000}"/>
    <cellStyle name="20% - 강조색2 32" xfId="88" xr:uid="{00000000-0005-0000-0000-000060000000}"/>
    <cellStyle name="20% - 강조색2 33" xfId="89" xr:uid="{00000000-0005-0000-0000-000061000000}"/>
    <cellStyle name="20% - 강조색2 34" xfId="90" xr:uid="{00000000-0005-0000-0000-000062000000}"/>
    <cellStyle name="20% - 강조색2 35" xfId="91" xr:uid="{00000000-0005-0000-0000-000063000000}"/>
    <cellStyle name="20% - 강조색2 36" xfId="92" xr:uid="{00000000-0005-0000-0000-000064000000}"/>
    <cellStyle name="20% - 강조색2 37" xfId="93" xr:uid="{00000000-0005-0000-0000-000065000000}"/>
    <cellStyle name="20% - 강조색2 38" xfId="94" xr:uid="{00000000-0005-0000-0000-000066000000}"/>
    <cellStyle name="20% - 강조색2 39" xfId="95" xr:uid="{00000000-0005-0000-0000-000067000000}"/>
    <cellStyle name="20% - 강조색2 4" xfId="96" xr:uid="{00000000-0005-0000-0000-000068000000}"/>
    <cellStyle name="20% - 강조색2 40" xfId="97" xr:uid="{00000000-0005-0000-0000-000069000000}"/>
    <cellStyle name="20% - 강조색2 41" xfId="98" xr:uid="{00000000-0005-0000-0000-00006A000000}"/>
    <cellStyle name="20% - 강조색2 42" xfId="99" xr:uid="{00000000-0005-0000-0000-00006B000000}"/>
    <cellStyle name="20% - 강조색2 43" xfId="100" xr:uid="{00000000-0005-0000-0000-00006C000000}"/>
    <cellStyle name="20% - 강조색2 44" xfId="101" xr:uid="{00000000-0005-0000-0000-00006D000000}"/>
    <cellStyle name="20% - 강조색2 45" xfId="102" xr:uid="{00000000-0005-0000-0000-00006E000000}"/>
    <cellStyle name="20% - 강조색2 46" xfId="103" xr:uid="{00000000-0005-0000-0000-00006F000000}"/>
    <cellStyle name="20% - 강조색2 47" xfId="104" xr:uid="{00000000-0005-0000-0000-000070000000}"/>
    <cellStyle name="20% - 강조색2 48" xfId="105" xr:uid="{00000000-0005-0000-0000-000071000000}"/>
    <cellStyle name="20% - 강조색2 49" xfId="106" xr:uid="{00000000-0005-0000-0000-000072000000}"/>
    <cellStyle name="20% - 강조색2 5" xfId="107" xr:uid="{00000000-0005-0000-0000-000073000000}"/>
    <cellStyle name="20% - 강조색2 50" xfId="108" xr:uid="{00000000-0005-0000-0000-000074000000}"/>
    <cellStyle name="20% - 강조색2 51" xfId="109" xr:uid="{00000000-0005-0000-0000-000075000000}"/>
    <cellStyle name="20% - 강조색2 52" xfId="110" xr:uid="{00000000-0005-0000-0000-000076000000}"/>
    <cellStyle name="20% - 강조색2 53" xfId="111" xr:uid="{00000000-0005-0000-0000-000077000000}"/>
    <cellStyle name="20% - 강조색2 54" xfId="112" xr:uid="{00000000-0005-0000-0000-000078000000}"/>
    <cellStyle name="20% - 강조색2 55" xfId="113" xr:uid="{00000000-0005-0000-0000-000079000000}"/>
    <cellStyle name="20% - 강조색2 56" xfId="114" xr:uid="{00000000-0005-0000-0000-00007A000000}"/>
    <cellStyle name="20% - 강조색2 57" xfId="115" xr:uid="{00000000-0005-0000-0000-00007B000000}"/>
    <cellStyle name="20% - 강조색2 58" xfId="116" xr:uid="{00000000-0005-0000-0000-00007C000000}"/>
    <cellStyle name="20% - 강조색2 59" xfId="117" xr:uid="{00000000-0005-0000-0000-00007D000000}"/>
    <cellStyle name="20% - 강조색2 6" xfId="118" xr:uid="{00000000-0005-0000-0000-00007E000000}"/>
    <cellStyle name="20% - 강조색2 60" xfId="119" xr:uid="{00000000-0005-0000-0000-00007F000000}"/>
    <cellStyle name="20% - 강조색2 61" xfId="120" xr:uid="{00000000-0005-0000-0000-000080000000}"/>
    <cellStyle name="20% - 강조색2 62" xfId="121" xr:uid="{00000000-0005-0000-0000-000081000000}"/>
    <cellStyle name="20% - 강조색2 63" xfId="122" xr:uid="{00000000-0005-0000-0000-000082000000}"/>
    <cellStyle name="20% - 강조색2 64" xfId="123" xr:uid="{00000000-0005-0000-0000-000083000000}"/>
    <cellStyle name="20% - 강조색2 65" xfId="2686" xr:uid="{00000000-0005-0000-0000-000084000000}"/>
    <cellStyle name="20% - 강조색2 65 2" xfId="2923" xr:uid="{00000000-0005-0000-0000-00003D0B0000}"/>
    <cellStyle name="20% - 강조색2 65 2 2" xfId="3371" xr:uid="{00000000-0005-0000-0000-00003D0B0000}"/>
    <cellStyle name="20% - 강조색2 65 3" xfId="3195" xr:uid="{00000000-0005-0000-0000-000084000000}"/>
    <cellStyle name="20% - 강조색2 66" xfId="2715" xr:uid="{00000000-0005-0000-0000-000085000000}"/>
    <cellStyle name="20% - 강조색2 66 2" xfId="2945" xr:uid="{00000000-0005-0000-0000-00003E0B0000}"/>
    <cellStyle name="20% - 강조색2 66 2 2" xfId="3392" xr:uid="{00000000-0005-0000-0000-00003E0B0000}"/>
    <cellStyle name="20% - 강조색2 66 3" xfId="3216" xr:uid="{00000000-0005-0000-0000-000085000000}"/>
    <cellStyle name="20% - 강조색2 67" xfId="2729" xr:uid="{00000000-0005-0000-0000-000086000000}"/>
    <cellStyle name="20% - 강조색2 67 2" xfId="2959" xr:uid="{00000000-0005-0000-0000-00003F0B0000}"/>
    <cellStyle name="20% - 강조색2 67 2 2" xfId="3406" xr:uid="{00000000-0005-0000-0000-00003F0B0000}"/>
    <cellStyle name="20% - 강조색2 67 3" xfId="3230" xr:uid="{00000000-0005-0000-0000-000086000000}"/>
    <cellStyle name="20% - 강조색2 68" xfId="2743" xr:uid="{00000000-0005-0000-0000-000087000000}"/>
    <cellStyle name="20% - 강조색2 68 2" xfId="2973" xr:uid="{00000000-0005-0000-0000-0000400B0000}"/>
    <cellStyle name="20% - 강조색2 68 2 2" xfId="3420" xr:uid="{00000000-0005-0000-0000-0000400B0000}"/>
    <cellStyle name="20% - 강조색2 68 3" xfId="3244" xr:uid="{00000000-0005-0000-0000-000087000000}"/>
    <cellStyle name="20% - 강조색2 69" xfId="2758" xr:uid="{00000000-0005-0000-0000-000088000000}"/>
    <cellStyle name="20% - 강조색2 69 2" xfId="2988" xr:uid="{00000000-0005-0000-0000-0000410B0000}"/>
    <cellStyle name="20% - 강조색2 69 2 2" xfId="3435" xr:uid="{00000000-0005-0000-0000-0000410B0000}"/>
    <cellStyle name="20% - 강조색2 69 3" xfId="3259" xr:uid="{00000000-0005-0000-0000-000088000000}"/>
    <cellStyle name="20% - 강조색2 7" xfId="124" xr:uid="{00000000-0005-0000-0000-000089000000}"/>
    <cellStyle name="20% - 강조색2 70" xfId="2773" xr:uid="{00000000-0005-0000-0000-00008A000000}"/>
    <cellStyle name="20% - 강조색2 70 2" xfId="3003" xr:uid="{00000000-0005-0000-0000-0000420B0000}"/>
    <cellStyle name="20% - 강조색2 70 2 2" xfId="3450" xr:uid="{00000000-0005-0000-0000-0000420B0000}"/>
    <cellStyle name="20% - 강조색2 70 3" xfId="3274" xr:uid="{00000000-0005-0000-0000-00008A000000}"/>
    <cellStyle name="20% - 강조색2 71" xfId="2787" xr:uid="{00000000-0005-0000-0000-00008B000000}"/>
    <cellStyle name="20% - 강조색2 71 2" xfId="3017" xr:uid="{00000000-0005-0000-0000-0000430B0000}"/>
    <cellStyle name="20% - 강조색2 71 2 2" xfId="3464" xr:uid="{00000000-0005-0000-0000-0000430B0000}"/>
    <cellStyle name="20% - 강조색2 71 3" xfId="3288" xr:uid="{00000000-0005-0000-0000-00008B000000}"/>
    <cellStyle name="20% - 강조색2 72" xfId="2806" xr:uid="{00000000-0005-0000-0000-0000F50A0000}"/>
    <cellStyle name="20% - 강조색2 72 2" xfId="3035" xr:uid="{00000000-0005-0000-0000-0000440B0000}"/>
    <cellStyle name="20% - 강조색2 72 2 2" xfId="3482" xr:uid="{00000000-0005-0000-0000-0000440B0000}"/>
    <cellStyle name="20% - 강조색2 72 3" xfId="3306" xr:uid="{00000000-0005-0000-0000-0000F50A0000}"/>
    <cellStyle name="20% - 강조색2 73" xfId="2826" xr:uid="{00000000-0005-0000-0000-00000A0B0000}"/>
    <cellStyle name="20% - 강조색2 73 2" xfId="3055" xr:uid="{00000000-0005-0000-0000-0000450B0000}"/>
    <cellStyle name="20% - 강조색2 73 2 2" xfId="3502" xr:uid="{00000000-0005-0000-0000-0000450B0000}"/>
    <cellStyle name="20% - 강조색2 73 3" xfId="3326" xr:uid="{00000000-0005-0000-0000-00000A0B0000}"/>
    <cellStyle name="20% - 강조색2 74" xfId="2847" xr:uid="{00000000-0005-0000-0000-00001F0B0000}"/>
    <cellStyle name="20% - 강조색2 74 2" xfId="3347" xr:uid="{00000000-0005-0000-0000-00001F0B0000}"/>
    <cellStyle name="20% - 강조색2 75" xfId="3076" xr:uid="{00000000-0005-0000-0000-0000040C0000}"/>
    <cellStyle name="20% - 강조색2 75 2" xfId="3523" xr:uid="{00000000-0005-0000-0000-0000040C0000}"/>
    <cellStyle name="20% - 강조색2 76" xfId="3096" xr:uid="{00000000-0005-0000-0000-0000180C0000}"/>
    <cellStyle name="20% - 강조색2 76 2" xfId="3543" xr:uid="{00000000-0005-0000-0000-0000180C0000}"/>
    <cellStyle name="20% - 강조색2 77" xfId="3117" xr:uid="{00000000-0005-0000-0000-00002C0C0000}"/>
    <cellStyle name="20% - 강조색2 77 2" xfId="3564" xr:uid="{00000000-0005-0000-0000-00002C0C0000}"/>
    <cellStyle name="20% - 강조색2 78" xfId="3138" xr:uid="{00000000-0005-0000-0000-0000410C0000}"/>
    <cellStyle name="20% - 강조색2 78 2" xfId="3585" xr:uid="{00000000-0005-0000-0000-0000410C0000}"/>
    <cellStyle name="20% - 강조색2 79" xfId="3159" xr:uid="{00000000-0005-0000-0000-0000560C0000}"/>
    <cellStyle name="20% - 강조색2 79 2" xfId="3606" xr:uid="{00000000-0005-0000-0000-0000560C0000}"/>
    <cellStyle name="20% - 강조색2 8" xfId="125" xr:uid="{00000000-0005-0000-0000-00008C000000}"/>
    <cellStyle name="20% - 강조색2 80" xfId="3179" xr:uid="{00000000-0005-0000-0000-0000830C0000}"/>
    <cellStyle name="20% - 강조색2 81" xfId="3626" xr:uid="{00000000-0005-0000-0000-00002A0E0000}"/>
    <cellStyle name="20% - 강조색2 82" xfId="3646" xr:uid="{00000000-0005-0000-0000-00003E0E0000}"/>
    <cellStyle name="20% - 강조색2 83" xfId="3666" xr:uid="{00000000-0005-0000-0000-0000520E0000}"/>
    <cellStyle name="20% - 강조색2 84" xfId="3686" xr:uid="{00000000-0005-0000-0000-0000660E0000}"/>
    <cellStyle name="20% - 강조색2 9" xfId="126" xr:uid="{00000000-0005-0000-0000-00008D000000}"/>
    <cellStyle name="20% - 강조색3" xfId="2665" builtinId="38" customBuiltin="1"/>
    <cellStyle name="20% - 강조색3 10" xfId="127" xr:uid="{00000000-0005-0000-0000-00008F000000}"/>
    <cellStyle name="20% - 강조색3 11" xfId="128" xr:uid="{00000000-0005-0000-0000-000090000000}"/>
    <cellStyle name="20% - 강조색3 12" xfId="129" xr:uid="{00000000-0005-0000-0000-000091000000}"/>
    <cellStyle name="20% - 강조색3 13" xfId="130" xr:uid="{00000000-0005-0000-0000-000092000000}"/>
    <cellStyle name="20% - 강조색3 14" xfId="131" xr:uid="{00000000-0005-0000-0000-000093000000}"/>
    <cellStyle name="20% - 강조색3 15" xfId="132" xr:uid="{00000000-0005-0000-0000-000094000000}"/>
    <cellStyle name="20% - 강조색3 16" xfId="133" xr:uid="{00000000-0005-0000-0000-000095000000}"/>
    <cellStyle name="20% - 강조색3 17" xfId="134" xr:uid="{00000000-0005-0000-0000-000096000000}"/>
    <cellStyle name="20% - 강조색3 18" xfId="135" xr:uid="{00000000-0005-0000-0000-000097000000}"/>
    <cellStyle name="20% - 강조색3 19" xfId="136" xr:uid="{00000000-0005-0000-0000-000098000000}"/>
    <cellStyle name="20% - 강조색3 2" xfId="137" xr:uid="{00000000-0005-0000-0000-000099000000}"/>
    <cellStyle name="20% - 강조색3 20" xfId="138" xr:uid="{00000000-0005-0000-0000-00009A000000}"/>
    <cellStyle name="20% - 강조색3 21" xfId="139" xr:uid="{00000000-0005-0000-0000-00009B000000}"/>
    <cellStyle name="20% - 강조색3 22" xfId="140" xr:uid="{00000000-0005-0000-0000-00009C000000}"/>
    <cellStyle name="20% - 강조색3 23" xfId="141" xr:uid="{00000000-0005-0000-0000-00009D000000}"/>
    <cellStyle name="20% - 강조색3 24" xfId="142" xr:uid="{00000000-0005-0000-0000-00009E000000}"/>
    <cellStyle name="20% - 강조색3 25" xfId="143" xr:uid="{00000000-0005-0000-0000-00009F000000}"/>
    <cellStyle name="20% - 강조색3 26" xfId="144" xr:uid="{00000000-0005-0000-0000-0000A0000000}"/>
    <cellStyle name="20% - 강조색3 27" xfId="145" xr:uid="{00000000-0005-0000-0000-0000A1000000}"/>
    <cellStyle name="20% - 강조색3 28" xfId="146" xr:uid="{00000000-0005-0000-0000-0000A2000000}"/>
    <cellStyle name="20% - 강조색3 29" xfId="147" xr:uid="{00000000-0005-0000-0000-0000A3000000}"/>
    <cellStyle name="20% - 강조색3 3" xfId="148" xr:uid="{00000000-0005-0000-0000-0000A4000000}"/>
    <cellStyle name="20% - 강조색3 30" xfId="149" xr:uid="{00000000-0005-0000-0000-0000A5000000}"/>
    <cellStyle name="20% - 강조색3 31" xfId="150" xr:uid="{00000000-0005-0000-0000-0000A6000000}"/>
    <cellStyle name="20% - 강조색3 32" xfId="151" xr:uid="{00000000-0005-0000-0000-0000A7000000}"/>
    <cellStyle name="20% - 강조색3 33" xfId="152" xr:uid="{00000000-0005-0000-0000-0000A8000000}"/>
    <cellStyle name="20% - 강조색3 34" xfId="153" xr:uid="{00000000-0005-0000-0000-0000A9000000}"/>
    <cellStyle name="20% - 강조색3 35" xfId="154" xr:uid="{00000000-0005-0000-0000-0000AA000000}"/>
    <cellStyle name="20% - 강조색3 36" xfId="155" xr:uid="{00000000-0005-0000-0000-0000AB000000}"/>
    <cellStyle name="20% - 강조색3 37" xfId="156" xr:uid="{00000000-0005-0000-0000-0000AC000000}"/>
    <cellStyle name="20% - 강조색3 38" xfId="157" xr:uid="{00000000-0005-0000-0000-0000AD000000}"/>
    <cellStyle name="20% - 강조색3 39" xfId="158" xr:uid="{00000000-0005-0000-0000-0000AE000000}"/>
    <cellStyle name="20% - 강조색3 4" xfId="159" xr:uid="{00000000-0005-0000-0000-0000AF000000}"/>
    <cellStyle name="20% - 강조색3 40" xfId="160" xr:uid="{00000000-0005-0000-0000-0000B0000000}"/>
    <cellStyle name="20% - 강조색3 41" xfId="161" xr:uid="{00000000-0005-0000-0000-0000B1000000}"/>
    <cellStyle name="20% - 강조색3 42" xfId="162" xr:uid="{00000000-0005-0000-0000-0000B2000000}"/>
    <cellStyle name="20% - 강조색3 43" xfId="163" xr:uid="{00000000-0005-0000-0000-0000B3000000}"/>
    <cellStyle name="20% - 강조색3 44" xfId="164" xr:uid="{00000000-0005-0000-0000-0000B4000000}"/>
    <cellStyle name="20% - 강조색3 45" xfId="165" xr:uid="{00000000-0005-0000-0000-0000B5000000}"/>
    <cellStyle name="20% - 강조색3 46" xfId="166" xr:uid="{00000000-0005-0000-0000-0000B6000000}"/>
    <cellStyle name="20% - 강조색3 47" xfId="167" xr:uid="{00000000-0005-0000-0000-0000B7000000}"/>
    <cellStyle name="20% - 강조색3 48" xfId="168" xr:uid="{00000000-0005-0000-0000-0000B8000000}"/>
    <cellStyle name="20% - 강조색3 49" xfId="169" xr:uid="{00000000-0005-0000-0000-0000B9000000}"/>
    <cellStyle name="20% - 강조색3 5" xfId="170" xr:uid="{00000000-0005-0000-0000-0000BA000000}"/>
    <cellStyle name="20% - 강조색3 50" xfId="171" xr:uid="{00000000-0005-0000-0000-0000BB000000}"/>
    <cellStyle name="20% - 강조색3 51" xfId="172" xr:uid="{00000000-0005-0000-0000-0000BC000000}"/>
    <cellStyle name="20% - 강조색3 52" xfId="173" xr:uid="{00000000-0005-0000-0000-0000BD000000}"/>
    <cellStyle name="20% - 강조색3 53" xfId="174" xr:uid="{00000000-0005-0000-0000-0000BE000000}"/>
    <cellStyle name="20% - 강조색3 54" xfId="175" xr:uid="{00000000-0005-0000-0000-0000BF000000}"/>
    <cellStyle name="20% - 강조색3 55" xfId="176" xr:uid="{00000000-0005-0000-0000-0000C0000000}"/>
    <cellStyle name="20% - 강조색3 56" xfId="177" xr:uid="{00000000-0005-0000-0000-0000C1000000}"/>
    <cellStyle name="20% - 강조색3 57" xfId="178" xr:uid="{00000000-0005-0000-0000-0000C2000000}"/>
    <cellStyle name="20% - 강조색3 58" xfId="179" xr:uid="{00000000-0005-0000-0000-0000C3000000}"/>
    <cellStyle name="20% - 강조색3 59" xfId="180" xr:uid="{00000000-0005-0000-0000-0000C4000000}"/>
    <cellStyle name="20% - 강조색3 6" xfId="181" xr:uid="{00000000-0005-0000-0000-0000C5000000}"/>
    <cellStyle name="20% - 강조색3 60" xfId="182" xr:uid="{00000000-0005-0000-0000-0000C6000000}"/>
    <cellStyle name="20% - 강조색3 61" xfId="183" xr:uid="{00000000-0005-0000-0000-0000C7000000}"/>
    <cellStyle name="20% - 강조색3 62" xfId="184" xr:uid="{00000000-0005-0000-0000-0000C8000000}"/>
    <cellStyle name="20% - 강조색3 63" xfId="185" xr:uid="{00000000-0005-0000-0000-0000C9000000}"/>
    <cellStyle name="20% - 강조색3 64" xfId="186" xr:uid="{00000000-0005-0000-0000-0000CA000000}"/>
    <cellStyle name="20% - 강조색3 65" xfId="2688" xr:uid="{00000000-0005-0000-0000-0000CB000000}"/>
    <cellStyle name="20% - 강조색3 65 2" xfId="2925" xr:uid="{00000000-0005-0000-0000-0000460B0000}"/>
    <cellStyle name="20% - 강조색3 65 2 2" xfId="3373" xr:uid="{00000000-0005-0000-0000-0000460B0000}"/>
    <cellStyle name="20% - 강조색3 65 3" xfId="3197" xr:uid="{00000000-0005-0000-0000-0000CB000000}"/>
    <cellStyle name="20% - 강조색3 66" xfId="2717" xr:uid="{00000000-0005-0000-0000-0000CC000000}"/>
    <cellStyle name="20% - 강조색3 66 2" xfId="2947" xr:uid="{00000000-0005-0000-0000-0000470B0000}"/>
    <cellStyle name="20% - 강조색3 66 2 2" xfId="3394" xr:uid="{00000000-0005-0000-0000-0000470B0000}"/>
    <cellStyle name="20% - 강조색3 66 3" xfId="3218" xr:uid="{00000000-0005-0000-0000-0000CC000000}"/>
    <cellStyle name="20% - 강조색3 67" xfId="2731" xr:uid="{00000000-0005-0000-0000-0000CD000000}"/>
    <cellStyle name="20% - 강조색3 67 2" xfId="2961" xr:uid="{00000000-0005-0000-0000-0000480B0000}"/>
    <cellStyle name="20% - 강조색3 67 2 2" xfId="3408" xr:uid="{00000000-0005-0000-0000-0000480B0000}"/>
    <cellStyle name="20% - 강조색3 67 3" xfId="3232" xr:uid="{00000000-0005-0000-0000-0000CD000000}"/>
    <cellStyle name="20% - 강조색3 68" xfId="2745" xr:uid="{00000000-0005-0000-0000-0000CE000000}"/>
    <cellStyle name="20% - 강조색3 68 2" xfId="2975" xr:uid="{00000000-0005-0000-0000-0000490B0000}"/>
    <cellStyle name="20% - 강조색3 68 2 2" xfId="3422" xr:uid="{00000000-0005-0000-0000-0000490B0000}"/>
    <cellStyle name="20% - 강조색3 68 3" xfId="3246" xr:uid="{00000000-0005-0000-0000-0000CE000000}"/>
    <cellStyle name="20% - 강조색3 69" xfId="2760" xr:uid="{00000000-0005-0000-0000-0000CF000000}"/>
    <cellStyle name="20% - 강조색3 69 2" xfId="2990" xr:uid="{00000000-0005-0000-0000-00004A0B0000}"/>
    <cellStyle name="20% - 강조색3 69 2 2" xfId="3437" xr:uid="{00000000-0005-0000-0000-00004A0B0000}"/>
    <cellStyle name="20% - 강조색3 69 3" xfId="3261" xr:uid="{00000000-0005-0000-0000-0000CF000000}"/>
    <cellStyle name="20% - 강조색3 7" xfId="187" xr:uid="{00000000-0005-0000-0000-0000D0000000}"/>
    <cellStyle name="20% - 강조색3 70" xfId="2775" xr:uid="{00000000-0005-0000-0000-0000D1000000}"/>
    <cellStyle name="20% - 강조색3 70 2" xfId="3005" xr:uid="{00000000-0005-0000-0000-00004B0B0000}"/>
    <cellStyle name="20% - 강조색3 70 2 2" xfId="3452" xr:uid="{00000000-0005-0000-0000-00004B0B0000}"/>
    <cellStyle name="20% - 강조색3 70 3" xfId="3276" xr:uid="{00000000-0005-0000-0000-0000D1000000}"/>
    <cellStyle name="20% - 강조색3 71" xfId="2789" xr:uid="{00000000-0005-0000-0000-0000D2000000}"/>
    <cellStyle name="20% - 강조색3 71 2" xfId="3019" xr:uid="{00000000-0005-0000-0000-00004C0B0000}"/>
    <cellStyle name="20% - 강조색3 71 2 2" xfId="3466" xr:uid="{00000000-0005-0000-0000-00004C0B0000}"/>
    <cellStyle name="20% - 강조색3 71 3" xfId="3290" xr:uid="{00000000-0005-0000-0000-0000D2000000}"/>
    <cellStyle name="20% - 강조색3 72" xfId="2809" xr:uid="{00000000-0005-0000-0000-0000F60A0000}"/>
    <cellStyle name="20% - 강조색3 72 2" xfId="3038" xr:uid="{00000000-0005-0000-0000-00004D0B0000}"/>
    <cellStyle name="20% - 강조색3 72 2 2" xfId="3485" xr:uid="{00000000-0005-0000-0000-00004D0B0000}"/>
    <cellStyle name="20% - 강조색3 72 3" xfId="3309" xr:uid="{00000000-0005-0000-0000-0000F60A0000}"/>
    <cellStyle name="20% - 강조색3 73" xfId="2829" xr:uid="{00000000-0005-0000-0000-00000B0B0000}"/>
    <cellStyle name="20% - 강조색3 73 2" xfId="3058" xr:uid="{00000000-0005-0000-0000-00004E0B0000}"/>
    <cellStyle name="20% - 강조색3 73 2 2" xfId="3505" xr:uid="{00000000-0005-0000-0000-00004E0B0000}"/>
    <cellStyle name="20% - 강조색3 73 3" xfId="3329" xr:uid="{00000000-0005-0000-0000-00000B0B0000}"/>
    <cellStyle name="20% - 강조색3 74" xfId="2850" xr:uid="{00000000-0005-0000-0000-0000200B0000}"/>
    <cellStyle name="20% - 강조색3 74 2" xfId="3350" xr:uid="{00000000-0005-0000-0000-0000200B0000}"/>
    <cellStyle name="20% - 강조색3 75" xfId="3079" xr:uid="{00000000-0005-0000-0000-0000050C0000}"/>
    <cellStyle name="20% - 강조색3 75 2" xfId="3526" xr:uid="{00000000-0005-0000-0000-0000050C0000}"/>
    <cellStyle name="20% - 강조색3 76" xfId="3099" xr:uid="{00000000-0005-0000-0000-0000190C0000}"/>
    <cellStyle name="20% - 강조색3 76 2" xfId="3546" xr:uid="{00000000-0005-0000-0000-0000190C0000}"/>
    <cellStyle name="20% - 강조색3 77" xfId="3120" xr:uid="{00000000-0005-0000-0000-00002D0C0000}"/>
    <cellStyle name="20% - 강조색3 77 2" xfId="3567" xr:uid="{00000000-0005-0000-0000-00002D0C0000}"/>
    <cellStyle name="20% - 강조색3 78" xfId="3141" xr:uid="{00000000-0005-0000-0000-0000420C0000}"/>
    <cellStyle name="20% - 강조색3 78 2" xfId="3588" xr:uid="{00000000-0005-0000-0000-0000420C0000}"/>
    <cellStyle name="20% - 강조색3 79" xfId="3162" xr:uid="{00000000-0005-0000-0000-0000570C0000}"/>
    <cellStyle name="20% - 강조색3 79 2" xfId="3609" xr:uid="{00000000-0005-0000-0000-0000570C0000}"/>
    <cellStyle name="20% - 강조색3 8" xfId="188" xr:uid="{00000000-0005-0000-0000-0000D3000000}"/>
    <cellStyle name="20% - 강조색3 80" xfId="3181" xr:uid="{00000000-0005-0000-0000-00009C0C0000}"/>
    <cellStyle name="20% - 강조색3 81" xfId="3629" xr:uid="{00000000-0005-0000-0000-00002B0E0000}"/>
    <cellStyle name="20% - 강조색3 82" xfId="3649" xr:uid="{00000000-0005-0000-0000-00003F0E0000}"/>
    <cellStyle name="20% - 강조색3 83" xfId="3669" xr:uid="{00000000-0005-0000-0000-0000530E0000}"/>
    <cellStyle name="20% - 강조색3 84" xfId="3689" xr:uid="{00000000-0005-0000-0000-0000670E0000}"/>
    <cellStyle name="20% - 강조색3 9" xfId="189" xr:uid="{00000000-0005-0000-0000-0000D4000000}"/>
    <cellStyle name="20% - 강조색4" xfId="2669" builtinId="42" customBuiltin="1"/>
    <cellStyle name="20% - 강조색4 10" xfId="190" xr:uid="{00000000-0005-0000-0000-0000D6000000}"/>
    <cellStyle name="20% - 강조색4 11" xfId="191" xr:uid="{00000000-0005-0000-0000-0000D7000000}"/>
    <cellStyle name="20% - 강조색4 12" xfId="192" xr:uid="{00000000-0005-0000-0000-0000D8000000}"/>
    <cellStyle name="20% - 강조색4 13" xfId="193" xr:uid="{00000000-0005-0000-0000-0000D9000000}"/>
    <cellStyle name="20% - 강조색4 14" xfId="194" xr:uid="{00000000-0005-0000-0000-0000DA000000}"/>
    <cellStyle name="20% - 강조색4 15" xfId="195" xr:uid="{00000000-0005-0000-0000-0000DB000000}"/>
    <cellStyle name="20% - 강조색4 16" xfId="196" xr:uid="{00000000-0005-0000-0000-0000DC000000}"/>
    <cellStyle name="20% - 강조색4 17" xfId="197" xr:uid="{00000000-0005-0000-0000-0000DD000000}"/>
    <cellStyle name="20% - 강조색4 18" xfId="198" xr:uid="{00000000-0005-0000-0000-0000DE000000}"/>
    <cellStyle name="20% - 강조색4 19" xfId="199" xr:uid="{00000000-0005-0000-0000-0000DF000000}"/>
    <cellStyle name="20% - 강조색4 2" xfId="200" xr:uid="{00000000-0005-0000-0000-0000E0000000}"/>
    <cellStyle name="20% - 강조색4 20" xfId="201" xr:uid="{00000000-0005-0000-0000-0000E1000000}"/>
    <cellStyle name="20% - 강조색4 21" xfId="202" xr:uid="{00000000-0005-0000-0000-0000E2000000}"/>
    <cellStyle name="20% - 강조색4 22" xfId="203" xr:uid="{00000000-0005-0000-0000-0000E3000000}"/>
    <cellStyle name="20% - 강조색4 23" xfId="204" xr:uid="{00000000-0005-0000-0000-0000E4000000}"/>
    <cellStyle name="20% - 강조색4 24" xfId="205" xr:uid="{00000000-0005-0000-0000-0000E5000000}"/>
    <cellStyle name="20% - 강조색4 25" xfId="206" xr:uid="{00000000-0005-0000-0000-0000E6000000}"/>
    <cellStyle name="20% - 강조색4 26" xfId="207" xr:uid="{00000000-0005-0000-0000-0000E7000000}"/>
    <cellStyle name="20% - 강조색4 27" xfId="208" xr:uid="{00000000-0005-0000-0000-0000E8000000}"/>
    <cellStyle name="20% - 강조색4 28" xfId="209" xr:uid="{00000000-0005-0000-0000-0000E9000000}"/>
    <cellStyle name="20% - 강조색4 29" xfId="210" xr:uid="{00000000-0005-0000-0000-0000EA000000}"/>
    <cellStyle name="20% - 강조색4 3" xfId="211" xr:uid="{00000000-0005-0000-0000-0000EB000000}"/>
    <cellStyle name="20% - 강조색4 30" xfId="212" xr:uid="{00000000-0005-0000-0000-0000EC000000}"/>
    <cellStyle name="20% - 강조색4 31" xfId="213" xr:uid="{00000000-0005-0000-0000-0000ED000000}"/>
    <cellStyle name="20% - 강조색4 32" xfId="214" xr:uid="{00000000-0005-0000-0000-0000EE000000}"/>
    <cellStyle name="20% - 강조색4 33" xfId="215" xr:uid="{00000000-0005-0000-0000-0000EF000000}"/>
    <cellStyle name="20% - 강조색4 34" xfId="216" xr:uid="{00000000-0005-0000-0000-0000F0000000}"/>
    <cellStyle name="20% - 강조색4 35" xfId="217" xr:uid="{00000000-0005-0000-0000-0000F1000000}"/>
    <cellStyle name="20% - 강조색4 36" xfId="218" xr:uid="{00000000-0005-0000-0000-0000F2000000}"/>
    <cellStyle name="20% - 강조색4 37" xfId="219" xr:uid="{00000000-0005-0000-0000-0000F3000000}"/>
    <cellStyle name="20% - 강조색4 38" xfId="220" xr:uid="{00000000-0005-0000-0000-0000F4000000}"/>
    <cellStyle name="20% - 강조색4 39" xfId="221" xr:uid="{00000000-0005-0000-0000-0000F5000000}"/>
    <cellStyle name="20% - 강조색4 4" xfId="222" xr:uid="{00000000-0005-0000-0000-0000F6000000}"/>
    <cellStyle name="20% - 강조색4 40" xfId="223" xr:uid="{00000000-0005-0000-0000-0000F7000000}"/>
    <cellStyle name="20% - 강조색4 41" xfId="224" xr:uid="{00000000-0005-0000-0000-0000F8000000}"/>
    <cellStyle name="20% - 강조색4 42" xfId="225" xr:uid="{00000000-0005-0000-0000-0000F9000000}"/>
    <cellStyle name="20% - 강조색4 43" xfId="226" xr:uid="{00000000-0005-0000-0000-0000FA000000}"/>
    <cellStyle name="20% - 강조색4 44" xfId="227" xr:uid="{00000000-0005-0000-0000-0000FB000000}"/>
    <cellStyle name="20% - 강조색4 45" xfId="228" xr:uid="{00000000-0005-0000-0000-0000FC000000}"/>
    <cellStyle name="20% - 강조색4 46" xfId="229" xr:uid="{00000000-0005-0000-0000-0000FD000000}"/>
    <cellStyle name="20% - 강조색4 47" xfId="230" xr:uid="{00000000-0005-0000-0000-0000FE000000}"/>
    <cellStyle name="20% - 강조색4 48" xfId="231" xr:uid="{00000000-0005-0000-0000-0000FF000000}"/>
    <cellStyle name="20% - 강조색4 49" xfId="232" xr:uid="{00000000-0005-0000-0000-000000010000}"/>
    <cellStyle name="20% - 강조색4 5" xfId="233" xr:uid="{00000000-0005-0000-0000-000001010000}"/>
    <cellStyle name="20% - 강조색4 50" xfId="234" xr:uid="{00000000-0005-0000-0000-000002010000}"/>
    <cellStyle name="20% - 강조색4 51" xfId="235" xr:uid="{00000000-0005-0000-0000-000003010000}"/>
    <cellStyle name="20% - 강조색4 52" xfId="236" xr:uid="{00000000-0005-0000-0000-000004010000}"/>
    <cellStyle name="20% - 강조색4 53" xfId="237" xr:uid="{00000000-0005-0000-0000-000005010000}"/>
    <cellStyle name="20% - 강조색4 54" xfId="238" xr:uid="{00000000-0005-0000-0000-000006010000}"/>
    <cellStyle name="20% - 강조색4 55" xfId="239" xr:uid="{00000000-0005-0000-0000-000007010000}"/>
    <cellStyle name="20% - 강조색4 56" xfId="240" xr:uid="{00000000-0005-0000-0000-000008010000}"/>
    <cellStyle name="20% - 강조색4 57" xfId="241" xr:uid="{00000000-0005-0000-0000-000009010000}"/>
    <cellStyle name="20% - 강조색4 58" xfId="242" xr:uid="{00000000-0005-0000-0000-00000A010000}"/>
    <cellStyle name="20% - 강조색4 59" xfId="243" xr:uid="{00000000-0005-0000-0000-00000B010000}"/>
    <cellStyle name="20% - 강조색4 6" xfId="244" xr:uid="{00000000-0005-0000-0000-00000C010000}"/>
    <cellStyle name="20% - 강조색4 60" xfId="245" xr:uid="{00000000-0005-0000-0000-00000D010000}"/>
    <cellStyle name="20% - 강조색4 61" xfId="246" xr:uid="{00000000-0005-0000-0000-00000E010000}"/>
    <cellStyle name="20% - 강조색4 62" xfId="247" xr:uid="{00000000-0005-0000-0000-00000F010000}"/>
    <cellStyle name="20% - 강조색4 63" xfId="248" xr:uid="{00000000-0005-0000-0000-000010010000}"/>
    <cellStyle name="20% - 강조색4 64" xfId="249" xr:uid="{00000000-0005-0000-0000-000011010000}"/>
    <cellStyle name="20% - 강조색4 65" xfId="2690" xr:uid="{00000000-0005-0000-0000-000012010000}"/>
    <cellStyle name="20% - 강조색4 65 2" xfId="2927" xr:uid="{00000000-0005-0000-0000-00004F0B0000}"/>
    <cellStyle name="20% - 강조색4 65 2 2" xfId="3375" xr:uid="{00000000-0005-0000-0000-00004F0B0000}"/>
    <cellStyle name="20% - 강조색4 65 3" xfId="3199" xr:uid="{00000000-0005-0000-0000-000012010000}"/>
    <cellStyle name="20% - 강조색4 66" xfId="2719" xr:uid="{00000000-0005-0000-0000-000013010000}"/>
    <cellStyle name="20% - 강조색4 66 2" xfId="2949" xr:uid="{00000000-0005-0000-0000-0000500B0000}"/>
    <cellStyle name="20% - 강조색4 66 2 2" xfId="3396" xr:uid="{00000000-0005-0000-0000-0000500B0000}"/>
    <cellStyle name="20% - 강조색4 66 3" xfId="3220" xr:uid="{00000000-0005-0000-0000-000013010000}"/>
    <cellStyle name="20% - 강조색4 67" xfId="2733" xr:uid="{00000000-0005-0000-0000-000014010000}"/>
    <cellStyle name="20% - 강조색4 67 2" xfId="2963" xr:uid="{00000000-0005-0000-0000-0000510B0000}"/>
    <cellStyle name="20% - 강조색4 67 2 2" xfId="3410" xr:uid="{00000000-0005-0000-0000-0000510B0000}"/>
    <cellStyle name="20% - 강조색4 67 3" xfId="3234" xr:uid="{00000000-0005-0000-0000-000014010000}"/>
    <cellStyle name="20% - 강조색4 68" xfId="2747" xr:uid="{00000000-0005-0000-0000-000015010000}"/>
    <cellStyle name="20% - 강조색4 68 2" xfId="2977" xr:uid="{00000000-0005-0000-0000-0000520B0000}"/>
    <cellStyle name="20% - 강조색4 68 2 2" xfId="3424" xr:uid="{00000000-0005-0000-0000-0000520B0000}"/>
    <cellStyle name="20% - 강조색4 68 3" xfId="3248" xr:uid="{00000000-0005-0000-0000-000015010000}"/>
    <cellStyle name="20% - 강조색4 69" xfId="2762" xr:uid="{00000000-0005-0000-0000-000016010000}"/>
    <cellStyle name="20% - 강조색4 69 2" xfId="2992" xr:uid="{00000000-0005-0000-0000-0000530B0000}"/>
    <cellStyle name="20% - 강조색4 69 2 2" xfId="3439" xr:uid="{00000000-0005-0000-0000-0000530B0000}"/>
    <cellStyle name="20% - 강조색4 69 3" xfId="3263" xr:uid="{00000000-0005-0000-0000-000016010000}"/>
    <cellStyle name="20% - 강조색4 7" xfId="250" xr:uid="{00000000-0005-0000-0000-000017010000}"/>
    <cellStyle name="20% - 강조색4 70" xfId="2777" xr:uid="{00000000-0005-0000-0000-000018010000}"/>
    <cellStyle name="20% - 강조색4 70 2" xfId="3007" xr:uid="{00000000-0005-0000-0000-0000540B0000}"/>
    <cellStyle name="20% - 강조색4 70 2 2" xfId="3454" xr:uid="{00000000-0005-0000-0000-0000540B0000}"/>
    <cellStyle name="20% - 강조색4 70 3" xfId="3278" xr:uid="{00000000-0005-0000-0000-000018010000}"/>
    <cellStyle name="20% - 강조색4 71" xfId="2791" xr:uid="{00000000-0005-0000-0000-000019010000}"/>
    <cellStyle name="20% - 강조색4 71 2" xfId="3021" xr:uid="{00000000-0005-0000-0000-0000550B0000}"/>
    <cellStyle name="20% - 강조색4 71 2 2" xfId="3468" xr:uid="{00000000-0005-0000-0000-0000550B0000}"/>
    <cellStyle name="20% - 강조색4 71 3" xfId="3292" xr:uid="{00000000-0005-0000-0000-000019010000}"/>
    <cellStyle name="20% - 강조색4 72" xfId="2812" xr:uid="{00000000-0005-0000-0000-0000F70A0000}"/>
    <cellStyle name="20% - 강조색4 72 2" xfId="3041" xr:uid="{00000000-0005-0000-0000-0000560B0000}"/>
    <cellStyle name="20% - 강조색4 72 2 2" xfId="3488" xr:uid="{00000000-0005-0000-0000-0000560B0000}"/>
    <cellStyle name="20% - 강조색4 72 3" xfId="3312" xr:uid="{00000000-0005-0000-0000-0000F70A0000}"/>
    <cellStyle name="20% - 강조색4 73" xfId="2832" xr:uid="{00000000-0005-0000-0000-00000C0B0000}"/>
    <cellStyle name="20% - 강조색4 73 2" xfId="3061" xr:uid="{00000000-0005-0000-0000-0000570B0000}"/>
    <cellStyle name="20% - 강조색4 73 2 2" xfId="3508" xr:uid="{00000000-0005-0000-0000-0000570B0000}"/>
    <cellStyle name="20% - 강조색4 73 3" xfId="3332" xr:uid="{00000000-0005-0000-0000-00000C0B0000}"/>
    <cellStyle name="20% - 강조색4 74" xfId="2853" xr:uid="{00000000-0005-0000-0000-0000210B0000}"/>
    <cellStyle name="20% - 강조색4 74 2" xfId="3353" xr:uid="{00000000-0005-0000-0000-0000210B0000}"/>
    <cellStyle name="20% - 강조색4 75" xfId="3082" xr:uid="{00000000-0005-0000-0000-0000060C0000}"/>
    <cellStyle name="20% - 강조색4 75 2" xfId="3529" xr:uid="{00000000-0005-0000-0000-0000060C0000}"/>
    <cellStyle name="20% - 강조색4 76" xfId="3102" xr:uid="{00000000-0005-0000-0000-00001A0C0000}"/>
    <cellStyle name="20% - 강조색4 76 2" xfId="3549" xr:uid="{00000000-0005-0000-0000-00001A0C0000}"/>
    <cellStyle name="20% - 강조색4 77" xfId="3123" xr:uid="{00000000-0005-0000-0000-00002E0C0000}"/>
    <cellStyle name="20% - 강조색4 77 2" xfId="3570" xr:uid="{00000000-0005-0000-0000-00002E0C0000}"/>
    <cellStyle name="20% - 강조색4 78" xfId="3144" xr:uid="{00000000-0005-0000-0000-0000430C0000}"/>
    <cellStyle name="20% - 강조색4 78 2" xfId="3591" xr:uid="{00000000-0005-0000-0000-0000430C0000}"/>
    <cellStyle name="20% - 강조색4 79" xfId="3165" xr:uid="{00000000-0005-0000-0000-0000580C0000}"/>
    <cellStyle name="20% - 강조색4 79 2" xfId="3612" xr:uid="{00000000-0005-0000-0000-0000580C0000}"/>
    <cellStyle name="20% - 강조색4 8" xfId="251" xr:uid="{00000000-0005-0000-0000-00001A010000}"/>
    <cellStyle name="20% - 강조색4 80" xfId="3183" xr:uid="{00000000-0005-0000-0000-0000B50C0000}"/>
    <cellStyle name="20% - 강조색4 81" xfId="3632" xr:uid="{00000000-0005-0000-0000-00002C0E0000}"/>
    <cellStyle name="20% - 강조색4 82" xfId="3652" xr:uid="{00000000-0005-0000-0000-0000400E0000}"/>
    <cellStyle name="20% - 강조색4 83" xfId="3672" xr:uid="{00000000-0005-0000-0000-0000540E0000}"/>
    <cellStyle name="20% - 강조색4 84" xfId="3692" xr:uid="{00000000-0005-0000-0000-0000680E0000}"/>
    <cellStyle name="20% - 강조색4 9" xfId="252" xr:uid="{00000000-0005-0000-0000-00001B010000}"/>
    <cellStyle name="20% - 강조색5" xfId="2673" builtinId="46" customBuiltin="1"/>
    <cellStyle name="20% - 강조색5 10" xfId="253" xr:uid="{00000000-0005-0000-0000-00001D010000}"/>
    <cellStyle name="20% - 강조색5 11" xfId="254" xr:uid="{00000000-0005-0000-0000-00001E010000}"/>
    <cellStyle name="20% - 강조색5 12" xfId="255" xr:uid="{00000000-0005-0000-0000-00001F010000}"/>
    <cellStyle name="20% - 강조색5 13" xfId="256" xr:uid="{00000000-0005-0000-0000-000020010000}"/>
    <cellStyle name="20% - 강조색5 14" xfId="257" xr:uid="{00000000-0005-0000-0000-000021010000}"/>
    <cellStyle name="20% - 강조색5 15" xfId="258" xr:uid="{00000000-0005-0000-0000-000022010000}"/>
    <cellStyle name="20% - 강조색5 16" xfId="259" xr:uid="{00000000-0005-0000-0000-000023010000}"/>
    <cellStyle name="20% - 강조색5 17" xfId="260" xr:uid="{00000000-0005-0000-0000-000024010000}"/>
    <cellStyle name="20% - 강조색5 18" xfId="261" xr:uid="{00000000-0005-0000-0000-000025010000}"/>
    <cellStyle name="20% - 강조색5 19" xfId="262" xr:uid="{00000000-0005-0000-0000-000026010000}"/>
    <cellStyle name="20% - 강조색5 2" xfId="263" xr:uid="{00000000-0005-0000-0000-000027010000}"/>
    <cellStyle name="20% - 강조색5 20" xfId="264" xr:uid="{00000000-0005-0000-0000-000028010000}"/>
    <cellStyle name="20% - 강조색5 21" xfId="265" xr:uid="{00000000-0005-0000-0000-000029010000}"/>
    <cellStyle name="20% - 강조색5 22" xfId="266" xr:uid="{00000000-0005-0000-0000-00002A010000}"/>
    <cellStyle name="20% - 강조색5 23" xfId="267" xr:uid="{00000000-0005-0000-0000-00002B010000}"/>
    <cellStyle name="20% - 강조색5 24" xfId="268" xr:uid="{00000000-0005-0000-0000-00002C010000}"/>
    <cellStyle name="20% - 강조색5 25" xfId="269" xr:uid="{00000000-0005-0000-0000-00002D010000}"/>
    <cellStyle name="20% - 강조색5 26" xfId="270" xr:uid="{00000000-0005-0000-0000-00002E010000}"/>
    <cellStyle name="20% - 강조색5 27" xfId="271" xr:uid="{00000000-0005-0000-0000-00002F010000}"/>
    <cellStyle name="20% - 강조색5 28" xfId="272" xr:uid="{00000000-0005-0000-0000-000030010000}"/>
    <cellStyle name="20% - 강조색5 29" xfId="273" xr:uid="{00000000-0005-0000-0000-000031010000}"/>
    <cellStyle name="20% - 강조색5 3" xfId="274" xr:uid="{00000000-0005-0000-0000-000032010000}"/>
    <cellStyle name="20% - 강조색5 30" xfId="275" xr:uid="{00000000-0005-0000-0000-000033010000}"/>
    <cellStyle name="20% - 강조색5 31" xfId="276" xr:uid="{00000000-0005-0000-0000-000034010000}"/>
    <cellStyle name="20% - 강조색5 32" xfId="277" xr:uid="{00000000-0005-0000-0000-000035010000}"/>
    <cellStyle name="20% - 강조색5 33" xfId="278" xr:uid="{00000000-0005-0000-0000-000036010000}"/>
    <cellStyle name="20% - 강조색5 34" xfId="279" xr:uid="{00000000-0005-0000-0000-000037010000}"/>
    <cellStyle name="20% - 강조색5 35" xfId="280" xr:uid="{00000000-0005-0000-0000-000038010000}"/>
    <cellStyle name="20% - 강조색5 36" xfId="281" xr:uid="{00000000-0005-0000-0000-000039010000}"/>
    <cellStyle name="20% - 강조색5 37" xfId="282" xr:uid="{00000000-0005-0000-0000-00003A010000}"/>
    <cellStyle name="20% - 강조색5 38" xfId="283" xr:uid="{00000000-0005-0000-0000-00003B010000}"/>
    <cellStyle name="20% - 강조색5 39" xfId="284" xr:uid="{00000000-0005-0000-0000-00003C010000}"/>
    <cellStyle name="20% - 강조색5 4" xfId="285" xr:uid="{00000000-0005-0000-0000-00003D010000}"/>
    <cellStyle name="20% - 강조색5 40" xfId="286" xr:uid="{00000000-0005-0000-0000-00003E010000}"/>
    <cellStyle name="20% - 강조색5 41" xfId="287" xr:uid="{00000000-0005-0000-0000-00003F010000}"/>
    <cellStyle name="20% - 강조색5 42" xfId="288" xr:uid="{00000000-0005-0000-0000-000040010000}"/>
    <cellStyle name="20% - 강조색5 43" xfId="289" xr:uid="{00000000-0005-0000-0000-000041010000}"/>
    <cellStyle name="20% - 강조색5 44" xfId="290" xr:uid="{00000000-0005-0000-0000-000042010000}"/>
    <cellStyle name="20% - 강조색5 45" xfId="291" xr:uid="{00000000-0005-0000-0000-000043010000}"/>
    <cellStyle name="20% - 강조색5 46" xfId="292" xr:uid="{00000000-0005-0000-0000-000044010000}"/>
    <cellStyle name="20% - 강조색5 47" xfId="293" xr:uid="{00000000-0005-0000-0000-000045010000}"/>
    <cellStyle name="20% - 강조색5 48" xfId="294" xr:uid="{00000000-0005-0000-0000-000046010000}"/>
    <cellStyle name="20% - 강조색5 49" xfId="295" xr:uid="{00000000-0005-0000-0000-000047010000}"/>
    <cellStyle name="20% - 강조색5 5" xfId="296" xr:uid="{00000000-0005-0000-0000-000048010000}"/>
    <cellStyle name="20% - 강조색5 50" xfId="297" xr:uid="{00000000-0005-0000-0000-000049010000}"/>
    <cellStyle name="20% - 강조색5 51" xfId="298" xr:uid="{00000000-0005-0000-0000-00004A010000}"/>
    <cellStyle name="20% - 강조색5 52" xfId="299" xr:uid="{00000000-0005-0000-0000-00004B010000}"/>
    <cellStyle name="20% - 강조색5 53" xfId="300" xr:uid="{00000000-0005-0000-0000-00004C010000}"/>
    <cellStyle name="20% - 강조색5 54" xfId="301" xr:uid="{00000000-0005-0000-0000-00004D010000}"/>
    <cellStyle name="20% - 강조색5 55" xfId="302" xr:uid="{00000000-0005-0000-0000-00004E010000}"/>
    <cellStyle name="20% - 강조색5 56" xfId="303" xr:uid="{00000000-0005-0000-0000-00004F010000}"/>
    <cellStyle name="20% - 강조색5 57" xfId="304" xr:uid="{00000000-0005-0000-0000-000050010000}"/>
    <cellStyle name="20% - 강조색5 58" xfId="305" xr:uid="{00000000-0005-0000-0000-000051010000}"/>
    <cellStyle name="20% - 강조색5 59" xfId="306" xr:uid="{00000000-0005-0000-0000-000052010000}"/>
    <cellStyle name="20% - 강조색5 6" xfId="307" xr:uid="{00000000-0005-0000-0000-000053010000}"/>
    <cellStyle name="20% - 강조색5 60" xfId="308" xr:uid="{00000000-0005-0000-0000-000054010000}"/>
    <cellStyle name="20% - 강조색5 61" xfId="309" xr:uid="{00000000-0005-0000-0000-000055010000}"/>
    <cellStyle name="20% - 강조색5 62" xfId="310" xr:uid="{00000000-0005-0000-0000-000056010000}"/>
    <cellStyle name="20% - 강조색5 63" xfId="311" xr:uid="{00000000-0005-0000-0000-000057010000}"/>
    <cellStyle name="20% - 강조색5 64" xfId="312" xr:uid="{00000000-0005-0000-0000-000058010000}"/>
    <cellStyle name="20% - 강조색5 65" xfId="2692" xr:uid="{00000000-0005-0000-0000-000059010000}"/>
    <cellStyle name="20% - 강조색5 65 2" xfId="2929" xr:uid="{00000000-0005-0000-0000-0000580B0000}"/>
    <cellStyle name="20% - 강조색5 65 2 2" xfId="3377" xr:uid="{00000000-0005-0000-0000-0000580B0000}"/>
    <cellStyle name="20% - 강조색5 65 3" xfId="3201" xr:uid="{00000000-0005-0000-0000-000059010000}"/>
    <cellStyle name="20% - 강조색5 66" xfId="2721" xr:uid="{00000000-0005-0000-0000-00005A010000}"/>
    <cellStyle name="20% - 강조색5 66 2" xfId="2951" xr:uid="{00000000-0005-0000-0000-0000590B0000}"/>
    <cellStyle name="20% - 강조색5 66 2 2" xfId="3398" xr:uid="{00000000-0005-0000-0000-0000590B0000}"/>
    <cellStyle name="20% - 강조색5 66 3" xfId="3222" xr:uid="{00000000-0005-0000-0000-00005A010000}"/>
    <cellStyle name="20% - 강조색5 67" xfId="2735" xr:uid="{00000000-0005-0000-0000-00005B010000}"/>
    <cellStyle name="20% - 강조색5 67 2" xfId="2965" xr:uid="{00000000-0005-0000-0000-00005A0B0000}"/>
    <cellStyle name="20% - 강조색5 67 2 2" xfId="3412" xr:uid="{00000000-0005-0000-0000-00005A0B0000}"/>
    <cellStyle name="20% - 강조색5 67 3" xfId="3236" xr:uid="{00000000-0005-0000-0000-00005B010000}"/>
    <cellStyle name="20% - 강조색5 68" xfId="2749" xr:uid="{00000000-0005-0000-0000-00005C010000}"/>
    <cellStyle name="20% - 강조색5 68 2" xfId="2979" xr:uid="{00000000-0005-0000-0000-00005B0B0000}"/>
    <cellStyle name="20% - 강조색5 68 2 2" xfId="3426" xr:uid="{00000000-0005-0000-0000-00005B0B0000}"/>
    <cellStyle name="20% - 강조색5 68 3" xfId="3250" xr:uid="{00000000-0005-0000-0000-00005C010000}"/>
    <cellStyle name="20% - 강조색5 69" xfId="2764" xr:uid="{00000000-0005-0000-0000-00005D010000}"/>
    <cellStyle name="20% - 강조색5 69 2" xfId="2994" xr:uid="{00000000-0005-0000-0000-00005C0B0000}"/>
    <cellStyle name="20% - 강조색5 69 2 2" xfId="3441" xr:uid="{00000000-0005-0000-0000-00005C0B0000}"/>
    <cellStyle name="20% - 강조색5 69 3" xfId="3265" xr:uid="{00000000-0005-0000-0000-00005D010000}"/>
    <cellStyle name="20% - 강조색5 7" xfId="313" xr:uid="{00000000-0005-0000-0000-00005E010000}"/>
    <cellStyle name="20% - 강조색5 70" xfId="2779" xr:uid="{00000000-0005-0000-0000-00005F010000}"/>
    <cellStyle name="20% - 강조색5 70 2" xfId="3009" xr:uid="{00000000-0005-0000-0000-00005D0B0000}"/>
    <cellStyle name="20% - 강조색5 70 2 2" xfId="3456" xr:uid="{00000000-0005-0000-0000-00005D0B0000}"/>
    <cellStyle name="20% - 강조색5 70 3" xfId="3280" xr:uid="{00000000-0005-0000-0000-00005F010000}"/>
    <cellStyle name="20% - 강조색5 71" xfId="2793" xr:uid="{00000000-0005-0000-0000-000060010000}"/>
    <cellStyle name="20% - 강조색5 71 2" xfId="3023" xr:uid="{00000000-0005-0000-0000-00005E0B0000}"/>
    <cellStyle name="20% - 강조색5 71 2 2" xfId="3470" xr:uid="{00000000-0005-0000-0000-00005E0B0000}"/>
    <cellStyle name="20% - 강조색5 71 3" xfId="3294" xr:uid="{00000000-0005-0000-0000-000060010000}"/>
    <cellStyle name="20% - 강조색5 72" xfId="2815" xr:uid="{00000000-0005-0000-0000-0000F80A0000}"/>
    <cellStyle name="20% - 강조색5 72 2" xfId="3044" xr:uid="{00000000-0005-0000-0000-00005F0B0000}"/>
    <cellStyle name="20% - 강조색5 72 2 2" xfId="3491" xr:uid="{00000000-0005-0000-0000-00005F0B0000}"/>
    <cellStyle name="20% - 강조색5 72 3" xfId="3315" xr:uid="{00000000-0005-0000-0000-0000F80A0000}"/>
    <cellStyle name="20% - 강조색5 73" xfId="2835" xr:uid="{00000000-0005-0000-0000-00000D0B0000}"/>
    <cellStyle name="20% - 강조색5 73 2" xfId="3064" xr:uid="{00000000-0005-0000-0000-0000600B0000}"/>
    <cellStyle name="20% - 강조색5 73 2 2" xfId="3511" xr:uid="{00000000-0005-0000-0000-0000600B0000}"/>
    <cellStyle name="20% - 강조색5 73 3" xfId="3335" xr:uid="{00000000-0005-0000-0000-00000D0B0000}"/>
    <cellStyle name="20% - 강조색5 74" xfId="2856" xr:uid="{00000000-0005-0000-0000-0000220B0000}"/>
    <cellStyle name="20% - 강조색5 74 2" xfId="3356" xr:uid="{00000000-0005-0000-0000-0000220B0000}"/>
    <cellStyle name="20% - 강조색5 75" xfId="3085" xr:uid="{00000000-0005-0000-0000-0000070C0000}"/>
    <cellStyle name="20% - 강조색5 75 2" xfId="3532" xr:uid="{00000000-0005-0000-0000-0000070C0000}"/>
    <cellStyle name="20% - 강조색5 76" xfId="3105" xr:uid="{00000000-0005-0000-0000-00001B0C0000}"/>
    <cellStyle name="20% - 강조색5 76 2" xfId="3552" xr:uid="{00000000-0005-0000-0000-00001B0C0000}"/>
    <cellStyle name="20% - 강조색5 77" xfId="3126" xr:uid="{00000000-0005-0000-0000-00002F0C0000}"/>
    <cellStyle name="20% - 강조색5 77 2" xfId="3573" xr:uid="{00000000-0005-0000-0000-00002F0C0000}"/>
    <cellStyle name="20% - 강조색5 78" xfId="3147" xr:uid="{00000000-0005-0000-0000-0000440C0000}"/>
    <cellStyle name="20% - 강조색5 78 2" xfId="3594" xr:uid="{00000000-0005-0000-0000-0000440C0000}"/>
    <cellStyle name="20% - 강조색5 79" xfId="3168" xr:uid="{00000000-0005-0000-0000-0000590C0000}"/>
    <cellStyle name="20% - 강조색5 79 2" xfId="3615" xr:uid="{00000000-0005-0000-0000-0000590C0000}"/>
    <cellStyle name="20% - 강조색5 8" xfId="314" xr:uid="{00000000-0005-0000-0000-000061010000}"/>
    <cellStyle name="20% - 강조색5 80" xfId="3185" xr:uid="{00000000-0005-0000-0000-0000CE0C0000}"/>
    <cellStyle name="20% - 강조색5 81" xfId="3635" xr:uid="{00000000-0005-0000-0000-00002D0E0000}"/>
    <cellStyle name="20% - 강조색5 82" xfId="3655" xr:uid="{00000000-0005-0000-0000-0000410E0000}"/>
    <cellStyle name="20% - 강조색5 83" xfId="3675" xr:uid="{00000000-0005-0000-0000-0000550E0000}"/>
    <cellStyle name="20% - 강조색5 84" xfId="3695" xr:uid="{00000000-0005-0000-0000-0000690E0000}"/>
    <cellStyle name="20% - 강조색5 9" xfId="315" xr:uid="{00000000-0005-0000-0000-000062010000}"/>
    <cellStyle name="20% - 강조색6" xfId="2677" builtinId="50" customBuiltin="1"/>
    <cellStyle name="20% - 강조색6 10" xfId="316" xr:uid="{00000000-0005-0000-0000-000064010000}"/>
    <cellStyle name="20% - 강조색6 11" xfId="317" xr:uid="{00000000-0005-0000-0000-000065010000}"/>
    <cellStyle name="20% - 강조색6 12" xfId="318" xr:uid="{00000000-0005-0000-0000-000066010000}"/>
    <cellStyle name="20% - 강조색6 13" xfId="319" xr:uid="{00000000-0005-0000-0000-000067010000}"/>
    <cellStyle name="20% - 강조색6 14" xfId="320" xr:uid="{00000000-0005-0000-0000-000068010000}"/>
    <cellStyle name="20% - 강조색6 15" xfId="321" xr:uid="{00000000-0005-0000-0000-000069010000}"/>
    <cellStyle name="20% - 강조색6 16" xfId="322" xr:uid="{00000000-0005-0000-0000-00006A010000}"/>
    <cellStyle name="20% - 강조색6 17" xfId="323" xr:uid="{00000000-0005-0000-0000-00006B010000}"/>
    <cellStyle name="20% - 강조색6 18" xfId="324" xr:uid="{00000000-0005-0000-0000-00006C010000}"/>
    <cellStyle name="20% - 강조색6 19" xfId="325" xr:uid="{00000000-0005-0000-0000-00006D010000}"/>
    <cellStyle name="20% - 강조색6 2" xfId="326" xr:uid="{00000000-0005-0000-0000-00006E010000}"/>
    <cellStyle name="20% - 강조색6 20" xfId="327" xr:uid="{00000000-0005-0000-0000-00006F010000}"/>
    <cellStyle name="20% - 강조색6 21" xfId="328" xr:uid="{00000000-0005-0000-0000-000070010000}"/>
    <cellStyle name="20% - 강조색6 22" xfId="329" xr:uid="{00000000-0005-0000-0000-000071010000}"/>
    <cellStyle name="20% - 강조색6 23" xfId="330" xr:uid="{00000000-0005-0000-0000-000072010000}"/>
    <cellStyle name="20% - 강조색6 24" xfId="331" xr:uid="{00000000-0005-0000-0000-000073010000}"/>
    <cellStyle name="20% - 강조색6 25" xfId="332" xr:uid="{00000000-0005-0000-0000-000074010000}"/>
    <cellStyle name="20% - 강조색6 26" xfId="333" xr:uid="{00000000-0005-0000-0000-000075010000}"/>
    <cellStyle name="20% - 강조색6 27" xfId="334" xr:uid="{00000000-0005-0000-0000-000076010000}"/>
    <cellStyle name="20% - 강조색6 28" xfId="335" xr:uid="{00000000-0005-0000-0000-000077010000}"/>
    <cellStyle name="20% - 강조색6 29" xfId="336" xr:uid="{00000000-0005-0000-0000-000078010000}"/>
    <cellStyle name="20% - 강조색6 3" xfId="337" xr:uid="{00000000-0005-0000-0000-000079010000}"/>
    <cellStyle name="20% - 강조색6 30" xfId="338" xr:uid="{00000000-0005-0000-0000-00007A010000}"/>
    <cellStyle name="20% - 강조색6 31" xfId="339" xr:uid="{00000000-0005-0000-0000-00007B010000}"/>
    <cellStyle name="20% - 강조색6 32" xfId="340" xr:uid="{00000000-0005-0000-0000-00007C010000}"/>
    <cellStyle name="20% - 강조색6 33" xfId="341" xr:uid="{00000000-0005-0000-0000-00007D010000}"/>
    <cellStyle name="20% - 강조색6 34" xfId="342" xr:uid="{00000000-0005-0000-0000-00007E010000}"/>
    <cellStyle name="20% - 강조색6 35" xfId="343" xr:uid="{00000000-0005-0000-0000-00007F010000}"/>
    <cellStyle name="20% - 강조색6 36" xfId="344" xr:uid="{00000000-0005-0000-0000-000080010000}"/>
    <cellStyle name="20% - 강조색6 37" xfId="345" xr:uid="{00000000-0005-0000-0000-000081010000}"/>
    <cellStyle name="20% - 강조색6 38" xfId="346" xr:uid="{00000000-0005-0000-0000-000082010000}"/>
    <cellStyle name="20% - 강조색6 39" xfId="347" xr:uid="{00000000-0005-0000-0000-000083010000}"/>
    <cellStyle name="20% - 강조색6 4" xfId="348" xr:uid="{00000000-0005-0000-0000-000084010000}"/>
    <cellStyle name="20% - 강조색6 40" xfId="349" xr:uid="{00000000-0005-0000-0000-000085010000}"/>
    <cellStyle name="20% - 강조색6 41" xfId="350" xr:uid="{00000000-0005-0000-0000-000086010000}"/>
    <cellStyle name="20% - 강조색6 42" xfId="351" xr:uid="{00000000-0005-0000-0000-000087010000}"/>
    <cellStyle name="20% - 강조색6 43" xfId="352" xr:uid="{00000000-0005-0000-0000-000088010000}"/>
    <cellStyle name="20% - 강조색6 44" xfId="353" xr:uid="{00000000-0005-0000-0000-000089010000}"/>
    <cellStyle name="20% - 강조색6 45" xfId="354" xr:uid="{00000000-0005-0000-0000-00008A010000}"/>
    <cellStyle name="20% - 강조색6 46" xfId="355" xr:uid="{00000000-0005-0000-0000-00008B010000}"/>
    <cellStyle name="20% - 강조색6 47" xfId="356" xr:uid="{00000000-0005-0000-0000-00008C010000}"/>
    <cellStyle name="20% - 강조색6 48" xfId="357" xr:uid="{00000000-0005-0000-0000-00008D010000}"/>
    <cellStyle name="20% - 강조색6 49" xfId="358" xr:uid="{00000000-0005-0000-0000-00008E010000}"/>
    <cellStyle name="20% - 강조색6 5" xfId="359" xr:uid="{00000000-0005-0000-0000-00008F010000}"/>
    <cellStyle name="20% - 강조색6 50" xfId="360" xr:uid="{00000000-0005-0000-0000-000090010000}"/>
    <cellStyle name="20% - 강조색6 51" xfId="361" xr:uid="{00000000-0005-0000-0000-000091010000}"/>
    <cellStyle name="20% - 강조색6 52" xfId="362" xr:uid="{00000000-0005-0000-0000-000092010000}"/>
    <cellStyle name="20% - 강조색6 53" xfId="363" xr:uid="{00000000-0005-0000-0000-000093010000}"/>
    <cellStyle name="20% - 강조색6 54" xfId="364" xr:uid="{00000000-0005-0000-0000-000094010000}"/>
    <cellStyle name="20% - 강조색6 55" xfId="365" xr:uid="{00000000-0005-0000-0000-000095010000}"/>
    <cellStyle name="20% - 강조색6 56" xfId="366" xr:uid="{00000000-0005-0000-0000-000096010000}"/>
    <cellStyle name="20% - 강조색6 57" xfId="367" xr:uid="{00000000-0005-0000-0000-000097010000}"/>
    <cellStyle name="20% - 강조색6 58" xfId="368" xr:uid="{00000000-0005-0000-0000-000098010000}"/>
    <cellStyle name="20% - 강조색6 59" xfId="369" xr:uid="{00000000-0005-0000-0000-000099010000}"/>
    <cellStyle name="20% - 강조색6 6" xfId="370" xr:uid="{00000000-0005-0000-0000-00009A010000}"/>
    <cellStyle name="20% - 강조색6 60" xfId="371" xr:uid="{00000000-0005-0000-0000-00009B010000}"/>
    <cellStyle name="20% - 강조색6 61" xfId="372" xr:uid="{00000000-0005-0000-0000-00009C010000}"/>
    <cellStyle name="20% - 강조색6 62" xfId="373" xr:uid="{00000000-0005-0000-0000-00009D010000}"/>
    <cellStyle name="20% - 강조색6 63" xfId="374" xr:uid="{00000000-0005-0000-0000-00009E010000}"/>
    <cellStyle name="20% - 강조색6 64" xfId="375" xr:uid="{00000000-0005-0000-0000-00009F010000}"/>
    <cellStyle name="20% - 강조색6 65" xfId="2694" xr:uid="{00000000-0005-0000-0000-0000A0010000}"/>
    <cellStyle name="20% - 강조색6 65 2" xfId="2931" xr:uid="{00000000-0005-0000-0000-0000610B0000}"/>
    <cellStyle name="20% - 강조색6 65 2 2" xfId="3379" xr:uid="{00000000-0005-0000-0000-0000610B0000}"/>
    <cellStyle name="20% - 강조색6 65 3" xfId="3203" xr:uid="{00000000-0005-0000-0000-0000A0010000}"/>
    <cellStyle name="20% - 강조색6 66" xfId="2723" xr:uid="{00000000-0005-0000-0000-0000A1010000}"/>
    <cellStyle name="20% - 강조색6 66 2" xfId="2953" xr:uid="{00000000-0005-0000-0000-0000620B0000}"/>
    <cellStyle name="20% - 강조색6 66 2 2" xfId="3400" xr:uid="{00000000-0005-0000-0000-0000620B0000}"/>
    <cellStyle name="20% - 강조색6 66 3" xfId="3224" xr:uid="{00000000-0005-0000-0000-0000A1010000}"/>
    <cellStyle name="20% - 강조색6 67" xfId="2737" xr:uid="{00000000-0005-0000-0000-0000A2010000}"/>
    <cellStyle name="20% - 강조색6 67 2" xfId="2967" xr:uid="{00000000-0005-0000-0000-0000630B0000}"/>
    <cellStyle name="20% - 강조색6 67 2 2" xfId="3414" xr:uid="{00000000-0005-0000-0000-0000630B0000}"/>
    <cellStyle name="20% - 강조색6 67 3" xfId="3238" xr:uid="{00000000-0005-0000-0000-0000A2010000}"/>
    <cellStyle name="20% - 강조색6 68" xfId="2751" xr:uid="{00000000-0005-0000-0000-0000A3010000}"/>
    <cellStyle name="20% - 강조색6 68 2" xfId="2981" xr:uid="{00000000-0005-0000-0000-0000640B0000}"/>
    <cellStyle name="20% - 강조색6 68 2 2" xfId="3428" xr:uid="{00000000-0005-0000-0000-0000640B0000}"/>
    <cellStyle name="20% - 강조색6 68 3" xfId="3252" xr:uid="{00000000-0005-0000-0000-0000A3010000}"/>
    <cellStyle name="20% - 강조색6 69" xfId="2766" xr:uid="{00000000-0005-0000-0000-0000A4010000}"/>
    <cellStyle name="20% - 강조색6 69 2" xfId="2996" xr:uid="{00000000-0005-0000-0000-0000650B0000}"/>
    <cellStyle name="20% - 강조색6 69 2 2" xfId="3443" xr:uid="{00000000-0005-0000-0000-0000650B0000}"/>
    <cellStyle name="20% - 강조색6 69 3" xfId="3267" xr:uid="{00000000-0005-0000-0000-0000A4010000}"/>
    <cellStyle name="20% - 강조색6 7" xfId="376" xr:uid="{00000000-0005-0000-0000-0000A5010000}"/>
    <cellStyle name="20% - 강조색6 70" xfId="2781" xr:uid="{00000000-0005-0000-0000-0000A6010000}"/>
    <cellStyle name="20% - 강조색6 70 2" xfId="3011" xr:uid="{00000000-0005-0000-0000-0000660B0000}"/>
    <cellStyle name="20% - 강조색6 70 2 2" xfId="3458" xr:uid="{00000000-0005-0000-0000-0000660B0000}"/>
    <cellStyle name="20% - 강조색6 70 3" xfId="3282" xr:uid="{00000000-0005-0000-0000-0000A6010000}"/>
    <cellStyle name="20% - 강조색6 71" xfId="2795" xr:uid="{00000000-0005-0000-0000-0000A7010000}"/>
    <cellStyle name="20% - 강조색6 71 2" xfId="3025" xr:uid="{00000000-0005-0000-0000-0000670B0000}"/>
    <cellStyle name="20% - 강조색6 71 2 2" xfId="3472" xr:uid="{00000000-0005-0000-0000-0000670B0000}"/>
    <cellStyle name="20% - 강조색6 71 3" xfId="3296" xr:uid="{00000000-0005-0000-0000-0000A7010000}"/>
    <cellStyle name="20% - 강조색6 72" xfId="2818" xr:uid="{00000000-0005-0000-0000-0000F90A0000}"/>
    <cellStyle name="20% - 강조색6 72 2" xfId="3047" xr:uid="{00000000-0005-0000-0000-0000680B0000}"/>
    <cellStyle name="20% - 강조색6 72 2 2" xfId="3494" xr:uid="{00000000-0005-0000-0000-0000680B0000}"/>
    <cellStyle name="20% - 강조색6 72 3" xfId="3318" xr:uid="{00000000-0005-0000-0000-0000F90A0000}"/>
    <cellStyle name="20% - 강조색6 73" xfId="2838" xr:uid="{00000000-0005-0000-0000-00000E0B0000}"/>
    <cellStyle name="20% - 강조색6 73 2" xfId="3067" xr:uid="{00000000-0005-0000-0000-0000690B0000}"/>
    <cellStyle name="20% - 강조색6 73 2 2" xfId="3514" xr:uid="{00000000-0005-0000-0000-0000690B0000}"/>
    <cellStyle name="20% - 강조색6 73 3" xfId="3338" xr:uid="{00000000-0005-0000-0000-00000E0B0000}"/>
    <cellStyle name="20% - 강조색6 74" xfId="2859" xr:uid="{00000000-0005-0000-0000-0000230B0000}"/>
    <cellStyle name="20% - 강조색6 74 2" xfId="3359" xr:uid="{00000000-0005-0000-0000-0000230B0000}"/>
    <cellStyle name="20% - 강조색6 75" xfId="3088" xr:uid="{00000000-0005-0000-0000-0000080C0000}"/>
    <cellStyle name="20% - 강조색6 75 2" xfId="3535" xr:uid="{00000000-0005-0000-0000-0000080C0000}"/>
    <cellStyle name="20% - 강조색6 76" xfId="3108" xr:uid="{00000000-0005-0000-0000-00001C0C0000}"/>
    <cellStyle name="20% - 강조색6 76 2" xfId="3555" xr:uid="{00000000-0005-0000-0000-00001C0C0000}"/>
    <cellStyle name="20% - 강조색6 77" xfId="3129" xr:uid="{00000000-0005-0000-0000-0000300C0000}"/>
    <cellStyle name="20% - 강조색6 77 2" xfId="3576" xr:uid="{00000000-0005-0000-0000-0000300C0000}"/>
    <cellStyle name="20% - 강조색6 78" xfId="3150" xr:uid="{00000000-0005-0000-0000-0000450C0000}"/>
    <cellStyle name="20% - 강조색6 78 2" xfId="3597" xr:uid="{00000000-0005-0000-0000-0000450C0000}"/>
    <cellStyle name="20% - 강조색6 79" xfId="3171" xr:uid="{00000000-0005-0000-0000-00005A0C0000}"/>
    <cellStyle name="20% - 강조색6 79 2" xfId="3618" xr:uid="{00000000-0005-0000-0000-00005A0C0000}"/>
    <cellStyle name="20% - 강조색6 8" xfId="377" xr:uid="{00000000-0005-0000-0000-0000A8010000}"/>
    <cellStyle name="20% - 강조색6 80" xfId="3187" xr:uid="{00000000-0005-0000-0000-0000E70C0000}"/>
    <cellStyle name="20% - 강조색6 81" xfId="3638" xr:uid="{00000000-0005-0000-0000-00002E0E0000}"/>
    <cellStyle name="20% - 강조색6 82" xfId="3658" xr:uid="{00000000-0005-0000-0000-0000420E0000}"/>
    <cellStyle name="20% - 강조색6 83" xfId="3678" xr:uid="{00000000-0005-0000-0000-0000560E0000}"/>
    <cellStyle name="20% - 강조색6 84" xfId="3698" xr:uid="{00000000-0005-0000-0000-00006A0E0000}"/>
    <cellStyle name="20% - 강조색6 9" xfId="378" xr:uid="{00000000-0005-0000-0000-0000A9010000}"/>
    <cellStyle name="40% - 강조색1" xfId="2658" builtinId="31" customBuiltin="1"/>
    <cellStyle name="40% - 강조색1 10" xfId="379" xr:uid="{00000000-0005-0000-0000-0000AB010000}"/>
    <cellStyle name="40% - 강조색1 11" xfId="380" xr:uid="{00000000-0005-0000-0000-0000AC010000}"/>
    <cellStyle name="40% - 강조색1 12" xfId="381" xr:uid="{00000000-0005-0000-0000-0000AD010000}"/>
    <cellStyle name="40% - 강조색1 13" xfId="382" xr:uid="{00000000-0005-0000-0000-0000AE010000}"/>
    <cellStyle name="40% - 강조색1 14" xfId="383" xr:uid="{00000000-0005-0000-0000-0000AF010000}"/>
    <cellStyle name="40% - 강조색1 15" xfId="384" xr:uid="{00000000-0005-0000-0000-0000B0010000}"/>
    <cellStyle name="40% - 강조색1 16" xfId="385" xr:uid="{00000000-0005-0000-0000-0000B1010000}"/>
    <cellStyle name="40% - 강조색1 17" xfId="386" xr:uid="{00000000-0005-0000-0000-0000B2010000}"/>
    <cellStyle name="40% - 강조색1 18" xfId="387" xr:uid="{00000000-0005-0000-0000-0000B3010000}"/>
    <cellStyle name="40% - 강조색1 19" xfId="388" xr:uid="{00000000-0005-0000-0000-0000B4010000}"/>
    <cellStyle name="40% - 강조색1 2" xfId="389" xr:uid="{00000000-0005-0000-0000-0000B5010000}"/>
    <cellStyle name="40% - 강조색1 20" xfId="390" xr:uid="{00000000-0005-0000-0000-0000B6010000}"/>
    <cellStyle name="40% - 강조색1 21" xfId="391" xr:uid="{00000000-0005-0000-0000-0000B7010000}"/>
    <cellStyle name="40% - 강조색1 22" xfId="392" xr:uid="{00000000-0005-0000-0000-0000B8010000}"/>
    <cellStyle name="40% - 강조색1 23" xfId="393" xr:uid="{00000000-0005-0000-0000-0000B9010000}"/>
    <cellStyle name="40% - 강조색1 24" xfId="394" xr:uid="{00000000-0005-0000-0000-0000BA010000}"/>
    <cellStyle name="40% - 강조색1 25" xfId="395" xr:uid="{00000000-0005-0000-0000-0000BB010000}"/>
    <cellStyle name="40% - 강조색1 26" xfId="396" xr:uid="{00000000-0005-0000-0000-0000BC010000}"/>
    <cellStyle name="40% - 강조색1 27" xfId="397" xr:uid="{00000000-0005-0000-0000-0000BD010000}"/>
    <cellStyle name="40% - 강조색1 28" xfId="398" xr:uid="{00000000-0005-0000-0000-0000BE010000}"/>
    <cellStyle name="40% - 강조색1 29" xfId="399" xr:uid="{00000000-0005-0000-0000-0000BF010000}"/>
    <cellStyle name="40% - 강조색1 3" xfId="400" xr:uid="{00000000-0005-0000-0000-0000C0010000}"/>
    <cellStyle name="40% - 강조색1 30" xfId="401" xr:uid="{00000000-0005-0000-0000-0000C1010000}"/>
    <cellStyle name="40% - 강조색1 31" xfId="402" xr:uid="{00000000-0005-0000-0000-0000C2010000}"/>
    <cellStyle name="40% - 강조색1 32" xfId="403" xr:uid="{00000000-0005-0000-0000-0000C3010000}"/>
    <cellStyle name="40% - 강조색1 33" xfId="404" xr:uid="{00000000-0005-0000-0000-0000C4010000}"/>
    <cellStyle name="40% - 강조색1 34" xfId="405" xr:uid="{00000000-0005-0000-0000-0000C5010000}"/>
    <cellStyle name="40% - 강조색1 35" xfId="406" xr:uid="{00000000-0005-0000-0000-0000C6010000}"/>
    <cellStyle name="40% - 강조색1 36" xfId="407" xr:uid="{00000000-0005-0000-0000-0000C7010000}"/>
    <cellStyle name="40% - 강조색1 37" xfId="408" xr:uid="{00000000-0005-0000-0000-0000C8010000}"/>
    <cellStyle name="40% - 강조색1 38" xfId="409" xr:uid="{00000000-0005-0000-0000-0000C9010000}"/>
    <cellStyle name="40% - 강조색1 39" xfId="410" xr:uid="{00000000-0005-0000-0000-0000CA010000}"/>
    <cellStyle name="40% - 강조색1 4" xfId="411" xr:uid="{00000000-0005-0000-0000-0000CB010000}"/>
    <cellStyle name="40% - 강조색1 40" xfId="412" xr:uid="{00000000-0005-0000-0000-0000CC010000}"/>
    <cellStyle name="40% - 강조색1 41" xfId="413" xr:uid="{00000000-0005-0000-0000-0000CD010000}"/>
    <cellStyle name="40% - 강조색1 42" xfId="414" xr:uid="{00000000-0005-0000-0000-0000CE010000}"/>
    <cellStyle name="40% - 강조색1 43" xfId="415" xr:uid="{00000000-0005-0000-0000-0000CF010000}"/>
    <cellStyle name="40% - 강조색1 44" xfId="416" xr:uid="{00000000-0005-0000-0000-0000D0010000}"/>
    <cellStyle name="40% - 강조색1 45" xfId="417" xr:uid="{00000000-0005-0000-0000-0000D1010000}"/>
    <cellStyle name="40% - 강조색1 46" xfId="418" xr:uid="{00000000-0005-0000-0000-0000D2010000}"/>
    <cellStyle name="40% - 강조색1 47" xfId="419" xr:uid="{00000000-0005-0000-0000-0000D3010000}"/>
    <cellStyle name="40% - 강조색1 48" xfId="420" xr:uid="{00000000-0005-0000-0000-0000D4010000}"/>
    <cellStyle name="40% - 강조색1 49" xfId="421" xr:uid="{00000000-0005-0000-0000-0000D5010000}"/>
    <cellStyle name="40% - 강조색1 5" xfId="422" xr:uid="{00000000-0005-0000-0000-0000D6010000}"/>
    <cellStyle name="40% - 강조색1 50" xfId="423" xr:uid="{00000000-0005-0000-0000-0000D7010000}"/>
    <cellStyle name="40% - 강조색1 51" xfId="424" xr:uid="{00000000-0005-0000-0000-0000D8010000}"/>
    <cellStyle name="40% - 강조색1 52" xfId="425" xr:uid="{00000000-0005-0000-0000-0000D9010000}"/>
    <cellStyle name="40% - 강조색1 53" xfId="426" xr:uid="{00000000-0005-0000-0000-0000DA010000}"/>
    <cellStyle name="40% - 강조색1 54" xfId="427" xr:uid="{00000000-0005-0000-0000-0000DB010000}"/>
    <cellStyle name="40% - 강조색1 55" xfId="428" xr:uid="{00000000-0005-0000-0000-0000DC010000}"/>
    <cellStyle name="40% - 강조색1 56" xfId="429" xr:uid="{00000000-0005-0000-0000-0000DD010000}"/>
    <cellStyle name="40% - 강조색1 57" xfId="430" xr:uid="{00000000-0005-0000-0000-0000DE010000}"/>
    <cellStyle name="40% - 강조색1 58" xfId="431" xr:uid="{00000000-0005-0000-0000-0000DF010000}"/>
    <cellStyle name="40% - 강조색1 59" xfId="432" xr:uid="{00000000-0005-0000-0000-0000E0010000}"/>
    <cellStyle name="40% - 강조색1 6" xfId="433" xr:uid="{00000000-0005-0000-0000-0000E1010000}"/>
    <cellStyle name="40% - 강조색1 60" xfId="434" xr:uid="{00000000-0005-0000-0000-0000E2010000}"/>
    <cellStyle name="40% - 강조색1 61" xfId="435" xr:uid="{00000000-0005-0000-0000-0000E3010000}"/>
    <cellStyle name="40% - 강조색1 62" xfId="436" xr:uid="{00000000-0005-0000-0000-0000E4010000}"/>
    <cellStyle name="40% - 강조색1 63" xfId="437" xr:uid="{00000000-0005-0000-0000-0000E5010000}"/>
    <cellStyle name="40% - 강조색1 64" xfId="438" xr:uid="{00000000-0005-0000-0000-0000E6010000}"/>
    <cellStyle name="40% - 강조색1 65" xfId="2685" xr:uid="{00000000-0005-0000-0000-0000E7010000}"/>
    <cellStyle name="40% - 강조색1 65 2" xfId="2922" xr:uid="{00000000-0005-0000-0000-00006A0B0000}"/>
    <cellStyle name="40% - 강조색1 65 2 2" xfId="3370" xr:uid="{00000000-0005-0000-0000-00006A0B0000}"/>
    <cellStyle name="40% - 강조색1 65 3" xfId="3194" xr:uid="{00000000-0005-0000-0000-0000E7010000}"/>
    <cellStyle name="40% - 강조색1 66" xfId="2714" xr:uid="{00000000-0005-0000-0000-0000E8010000}"/>
    <cellStyle name="40% - 강조색1 66 2" xfId="2944" xr:uid="{00000000-0005-0000-0000-00006B0B0000}"/>
    <cellStyle name="40% - 강조색1 66 2 2" xfId="3391" xr:uid="{00000000-0005-0000-0000-00006B0B0000}"/>
    <cellStyle name="40% - 강조색1 66 3" xfId="3215" xr:uid="{00000000-0005-0000-0000-0000E8010000}"/>
    <cellStyle name="40% - 강조색1 67" xfId="2728" xr:uid="{00000000-0005-0000-0000-0000E9010000}"/>
    <cellStyle name="40% - 강조색1 67 2" xfId="2958" xr:uid="{00000000-0005-0000-0000-00006C0B0000}"/>
    <cellStyle name="40% - 강조색1 67 2 2" xfId="3405" xr:uid="{00000000-0005-0000-0000-00006C0B0000}"/>
    <cellStyle name="40% - 강조색1 67 3" xfId="3229" xr:uid="{00000000-0005-0000-0000-0000E9010000}"/>
    <cellStyle name="40% - 강조색1 68" xfId="2742" xr:uid="{00000000-0005-0000-0000-0000EA010000}"/>
    <cellStyle name="40% - 강조색1 68 2" xfId="2972" xr:uid="{00000000-0005-0000-0000-00006D0B0000}"/>
    <cellStyle name="40% - 강조색1 68 2 2" xfId="3419" xr:uid="{00000000-0005-0000-0000-00006D0B0000}"/>
    <cellStyle name="40% - 강조색1 68 3" xfId="3243" xr:uid="{00000000-0005-0000-0000-0000EA010000}"/>
    <cellStyle name="40% - 강조색1 69" xfId="2757" xr:uid="{00000000-0005-0000-0000-0000EB010000}"/>
    <cellStyle name="40% - 강조색1 69 2" xfId="2987" xr:uid="{00000000-0005-0000-0000-00006E0B0000}"/>
    <cellStyle name="40% - 강조색1 69 2 2" xfId="3434" xr:uid="{00000000-0005-0000-0000-00006E0B0000}"/>
    <cellStyle name="40% - 강조색1 69 3" xfId="3258" xr:uid="{00000000-0005-0000-0000-0000EB010000}"/>
    <cellStyle name="40% - 강조색1 7" xfId="439" xr:uid="{00000000-0005-0000-0000-0000EC010000}"/>
    <cellStyle name="40% - 강조색1 70" xfId="2772" xr:uid="{00000000-0005-0000-0000-0000ED010000}"/>
    <cellStyle name="40% - 강조색1 70 2" xfId="3002" xr:uid="{00000000-0005-0000-0000-00006F0B0000}"/>
    <cellStyle name="40% - 강조색1 70 2 2" xfId="3449" xr:uid="{00000000-0005-0000-0000-00006F0B0000}"/>
    <cellStyle name="40% - 강조색1 70 3" xfId="3273" xr:uid="{00000000-0005-0000-0000-0000ED010000}"/>
    <cellStyle name="40% - 강조색1 71" xfId="2786" xr:uid="{00000000-0005-0000-0000-0000EE010000}"/>
    <cellStyle name="40% - 강조색1 71 2" xfId="3016" xr:uid="{00000000-0005-0000-0000-0000700B0000}"/>
    <cellStyle name="40% - 강조색1 71 2 2" xfId="3463" xr:uid="{00000000-0005-0000-0000-0000700B0000}"/>
    <cellStyle name="40% - 강조색1 71 3" xfId="3287" xr:uid="{00000000-0005-0000-0000-0000EE010000}"/>
    <cellStyle name="40% - 강조색1 72" xfId="2804" xr:uid="{00000000-0005-0000-0000-0000FA0A0000}"/>
    <cellStyle name="40% - 강조색1 72 2" xfId="3033" xr:uid="{00000000-0005-0000-0000-0000710B0000}"/>
    <cellStyle name="40% - 강조색1 72 2 2" xfId="3480" xr:uid="{00000000-0005-0000-0000-0000710B0000}"/>
    <cellStyle name="40% - 강조색1 72 3" xfId="3304" xr:uid="{00000000-0005-0000-0000-0000FA0A0000}"/>
    <cellStyle name="40% - 강조색1 73" xfId="2824" xr:uid="{00000000-0005-0000-0000-00000F0B0000}"/>
    <cellStyle name="40% - 강조색1 73 2" xfId="3053" xr:uid="{00000000-0005-0000-0000-0000720B0000}"/>
    <cellStyle name="40% - 강조색1 73 2 2" xfId="3500" xr:uid="{00000000-0005-0000-0000-0000720B0000}"/>
    <cellStyle name="40% - 강조색1 73 3" xfId="3324" xr:uid="{00000000-0005-0000-0000-00000F0B0000}"/>
    <cellStyle name="40% - 강조색1 74" xfId="2845" xr:uid="{00000000-0005-0000-0000-0000240B0000}"/>
    <cellStyle name="40% - 강조색1 74 2" xfId="3345" xr:uid="{00000000-0005-0000-0000-0000240B0000}"/>
    <cellStyle name="40% - 강조색1 75" xfId="3074" xr:uid="{00000000-0005-0000-0000-0000090C0000}"/>
    <cellStyle name="40% - 강조색1 75 2" xfId="3521" xr:uid="{00000000-0005-0000-0000-0000090C0000}"/>
    <cellStyle name="40% - 강조색1 76" xfId="3094" xr:uid="{00000000-0005-0000-0000-00001D0C0000}"/>
    <cellStyle name="40% - 강조색1 76 2" xfId="3541" xr:uid="{00000000-0005-0000-0000-00001D0C0000}"/>
    <cellStyle name="40% - 강조색1 77" xfId="3115" xr:uid="{00000000-0005-0000-0000-0000310C0000}"/>
    <cellStyle name="40% - 강조색1 77 2" xfId="3562" xr:uid="{00000000-0005-0000-0000-0000310C0000}"/>
    <cellStyle name="40% - 강조색1 78" xfId="3136" xr:uid="{00000000-0005-0000-0000-0000460C0000}"/>
    <cellStyle name="40% - 강조색1 78 2" xfId="3583" xr:uid="{00000000-0005-0000-0000-0000460C0000}"/>
    <cellStyle name="40% - 강조색1 79" xfId="3157" xr:uid="{00000000-0005-0000-0000-00005B0C0000}"/>
    <cellStyle name="40% - 강조색1 79 2" xfId="3604" xr:uid="{00000000-0005-0000-0000-00005B0C0000}"/>
    <cellStyle name="40% - 강조색1 8" xfId="440" xr:uid="{00000000-0005-0000-0000-0000EF010000}"/>
    <cellStyle name="40% - 강조색1 80" xfId="3178" xr:uid="{00000000-0005-0000-0000-0000000D0000}"/>
    <cellStyle name="40% - 강조색1 81" xfId="3624" xr:uid="{00000000-0005-0000-0000-00002F0E0000}"/>
    <cellStyle name="40% - 강조색1 82" xfId="3644" xr:uid="{00000000-0005-0000-0000-0000430E0000}"/>
    <cellStyle name="40% - 강조색1 83" xfId="3664" xr:uid="{00000000-0005-0000-0000-0000570E0000}"/>
    <cellStyle name="40% - 강조색1 84" xfId="3684" xr:uid="{00000000-0005-0000-0000-00006B0E0000}"/>
    <cellStyle name="40% - 강조색1 9" xfId="441" xr:uid="{00000000-0005-0000-0000-0000F0010000}"/>
    <cellStyle name="40% - 강조색2" xfId="2662" builtinId="35" customBuiltin="1"/>
    <cellStyle name="40% - 강조색2 10" xfId="442" xr:uid="{00000000-0005-0000-0000-0000F2010000}"/>
    <cellStyle name="40% - 강조색2 11" xfId="443" xr:uid="{00000000-0005-0000-0000-0000F3010000}"/>
    <cellStyle name="40% - 강조색2 12" xfId="444" xr:uid="{00000000-0005-0000-0000-0000F4010000}"/>
    <cellStyle name="40% - 강조색2 13" xfId="445" xr:uid="{00000000-0005-0000-0000-0000F5010000}"/>
    <cellStyle name="40% - 강조색2 14" xfId="446" xr:uid="{00000000-0005-0000-0000-0000F6010000}"/>
    <cellStyle name="40% - 강조색2 15" xfId="447" xr:uid="{00000000-0005-0000-0000-0000F7010000}"/>
    <cellStyle name="40% - 강조색2 16" xfId="448" xr:uid="{00000000-0005-0000-0000-0000F8010000}"/>
    <cellStyle name="40% - 강조색2 17" xfId="449" xr:uid="{00000000-0005-0000-0000-0000F9010000}"/>
    <cellStyle name="40% - 강조색2 18" xfId="450" xr:uid="{00000000-0005-0000-0000-0000FA010000}"/>
    <cellStyle name="40% - 강조색2 19" xfId="451" xr:uid="{00000000-0005-0000-0000-0000FB010000}"/>
    <cellStyle name="40% - 강조색2 2" xfId="452" xr:uid="{00000000-0005-0000-0000-0000FC010000}"/>
    <cellStyle name="40% - 강조색2 20" xfId="453" xr:uid="{00000000-0005-0000-0000-0000FD010000}"/>
    <cellStyle name="40% - 강조색2 21" xfId="454" xr:uid="{00000000-0005-0000-0000-0000FE010000}"/>
    <cellStyle name="40% - 강조색2 22" xfId="455" xr:uid="{00000000-0005-0000-0000-0000FF010000}"/>
    <cellStyle name="40% - 강조색2 23" xfId="456" xr:uid="{00000000-0005-0000-0000-000000020000}"/>
    <cellStyle name="40% - 강조색2 24" xfId="457" xr:uid="{00000000-0005-0000-0000-000001020000}"/>
    <cellStyle name="40% - 강조색2 25" xfId="458" xr:uid="{00000000-0005-0000-0000-000002020000}"/>
    <cellStyle name="40% - 강조색2 26" xfId="459" xr:uid="{00000000-0005-0000-0000-000003020000}"/>
    <cellStyle name="40% - 강조색2 27" xfId="460" xr:uid="{00000000-0005-0000-0000-000004020000}"/>
    <cellStyle name="40% - 강조색2 28" xfId="461" xr:uid="{00000000-0005-0000-0000-000005020000}"/>
    <cellStyle name="40% - 강조색2 29" xfId="462" xr:uid="{00000000-0005-0000-0000-000006020000}"/>
    <cellStyle name="40% - 강조색2 3" xfId="463" xr:uid="{00000000-0005-0000-0000-000007020000}"/>
    <cellStyle name="40% - 강조색2 30" xfId="464" xr:uid="{00000000-0005-0000-0000-000008020000}"/>
    <cellStyle name="40% - 강조색2 31" xfId="465" xr:uid="{00000000-0005-0000-0000-000009020000}"/>
    <cellStyle name="40% - 강조색2 32" xfId="466" xr:uid="{00000000-0005-0000-0000-00000A020000}"/>
    <cellStyle name="40% - 강조색2 33" xfId="467" xr:uid="{00000000-0005-0000-0000-00000B020000}"/>
    <cellStyle name="40% - 강조색2 34" xfId="468" xr:uid="{00000000-0005-0000-0000-00000C020000}"/>
    <cellStyle name="40% - 강조색2 35" xfId="469" xr:uid="{00000000-0005-0000-0000-00000D020000}"/>
    <cellStyle name="40% - 강조색2 36" xfId="470" xr:uid="{00000000-0005-0000-0000-00000E020000}"/>
    <cellStyle name="40% - 강조색2 37" xfId="471" xr:uid="{00000000-0005-0000-0000-00000F020000}"/>
    <cellStyle name="40% - 강조색2 38" xfId="472" xr:uid="{00000000-0005-0000-0000-000010020000}"/>
    <cellStyle name="40% - 강조색2 39" xfId="473" xr:uid="{00000000-0005-0000-0000-000011020000}"/>
    <cellStyle name="40% - 강조색2 4" xfId="474" xr:uid="{00000000-0005-0000-0000-000012020000}"/>
    <cellStyle name="40% - 강조색2 40" xfId="475" xr:uid="{00000000-0005-0000-0000-000013020000}"/>
    <cellStyle name="40% - 강조색2 41" xfId="476" xr:uid="{00000000-0005-0000-0000-000014020000}"/>
    <cellStyle name="40% - 강조색2 42" xfId="477" xr:uid="{00000000-0005-0000-0000-000015020000}"/>
    <cellStyle name="40% - 강조색2 43" xfId="478" xr:uid="{00000000-0005-0000-0000-000016020000}"/>
    <cellStyle name="40% - 강조색2 44" xfId="479" xr:uid="{00000000-0005-0000-0000-000017020000}"/>
    <cellStyle name="40% - 강조색2 45" xfId="480" xr:uid="{00000000-0005-0000-0000-000018020000}"/>
    <cellStyle name="40% - 강조색2 46" xfId="481" xr:uid="{00000000-0005-0000-0000-000019020000}"/>
    <cellStyle name="40% - 강조색2 47" xfId="482" xr:uid="{00000000-0005-0000-0000-00001A020000}"/>
    <cellStyle name="40% - 강조색2 48" xfId="483" xr:uid="{00000000-0005-0000-0000-00001B020000}"/>
    <cellStyle name="40% - 강조색2 49" xfId="484" xr:uid="{00000000-0005-0000-0000-00001C020000}"/>
    <cellStyle name="40% - 강조색2 5" xfId="485" xr:uid="{00000000-0005-0000-0000-00001D020000}"/>
    <cellStyle name="40% - 강조색2 50" xfId="486" xr:uid="{00000000-0005-0000-0000-00001E020000}"/>
    <cellStyle name="40% - 강조색2 51" xfId="487" xr:uid="{00000000-0005-0000-0000-00001F020000}"/>
    <cellStyle name="40% - 강조색2 52" xfId="488" xr:uid="{00000000-0005-0000-0000-000020020000}"/>
    <cellStyle name="40% - 강조색2 53" xfId="489" xr:uid="{00000000-0005-0000-0000-000021020000}"/>
    <cellStyle name="40% - 강조색2 54" xfId="490" xr:uid="{00000000-0005-0000-0000-000022020000}"/>
    <cellStyle name="40% - 강조색2 55" xfId="491" xr:uid="{00000000-0005-0000-0000-000023020000}"/>
    <cellStyle name="40% - 강조색2 56" xfId="492" xr:uid="{00000000-0005-0000-0000-000024020000}"/>
    <cellStyle name="40% - 강조색2 57" xfId="493" xr:uid="{00000000-0005-0000-0000-000025020000}"/>
    <cellStyle name="40% - 강조색2 58" xfId="494" xr:uid="{00000000-0005-0000-0000-000026020000}"/>
    <cellStyle name="40% - 강조색2 59" xfId="495" xr:uid="{00000000-0005-0000-0000-000027020000}"/>
    <cellStyle name="40% - 강조색2 6" xfId="496" xr:uid="{00000000-0005-0000-0000-000028020000}"/>
    <cellStyle name="40% - 강조색2 60" xfId="497" xr:uid="{00000000-0005-0000-0000-000029020000}"/>
    <cellStyle name="40% - 강조색2 61" xfId="498" xr:uid="{00000000-0005-0000-0000-00002A020000}"/>
    <cellStyle name="40% - 강조색2 62" xfId="499" xr:uid="{00000000-0005-0000-0000-00002B020000}"/>
    <cellStyle name="40% - 강조색2 63" xfId="500" xr:uid="{00000000-0005-0000-0000-00002C020000}"/>
    <cellStyle name="40% - 강조색2 64" xfId="501" xr:uid="{00000000-0005-0000-0000-00002D020000}"/>
    <cellStyle name="40% - 강조색2 65" xfId="2687" xr:uid="{00000000-0005-0000-0000-00002E020000}"/>
    <cellStyle name="40% - 강조색2 65 2" xfId="2924" xr:uid="{00000000-0005-0000-0000-0000730B0000}"/>
    <cellStyle name="40% - 강조색2 65 2 2" xfId="3372" xr:uid="{00000000-0005-0000-0000-0000730B0000}"/>
    <cellStyle name="40% - 강조색2 65 3" xfId="3196" xr:uid="{00000000-0005-0000-0000-00002E020000}"/>
    <cellStyle name="40% - 강조색2 66" xfId="2716" xr:uid="{00000000-0005-0000-0000-00002F020000}"/>
    <cellStyle name="40% - 강조색2 66 2" xfId="2946" xr:uid="{00000000-0005-0000-0000-0000740B0000}"/>
    <cellStyle name="40% - 강조색2 66 2 2" xfId="3393" xr:uid="{00000000-0005-0000-0000-0000740B0000}"/>
    <cellStyle name="40% - 강조색2 66 3" xfId="3217" xr:uid="{00000000-0005-0000-0000-00002F020000}"/>
    <cellStyle name="40% - 강조색2 67" xfId="2730" xr:uid="{00000000-0005-0000-0000-000030020000}"/>
    <cellStyle name="40% - 강조색2 67 2" xfId="2960" xr:uid="{00000000-0005-0000-0000-0000750B0000}"/>
    <cellStyle name="40% - 강조색2 67 2 2" xfId="3407" xr:uid="{00000000-0005-0000-0000-0000750B0000}"/>
    <cellStyle name="40% - 강조색2 67 3" xfId="3231" xr:uid="{00000000-0005-0000-0000-000030020000}"/>
    <cellStyle name="40% - 강조색2 68" xfId="2744" xr:uid="{00000000-0005-0000-0000-000031020000}"/>
    <cellStyle name="40% - 강조색2 68 2" xfId="2974" xr:uid="{00000000-0005-0000-0000-0000760B0000}"/>
    <cellStyle name="40% - 강조색2 68 2 2" xfId="3421" xr:uid="{00000000-0005-0000-0000-0000760B0000}"/>
    <cellStyle name="40% - 강조색2 68 3" xfId="3245" xr:uid="{00000000-0005-0000-0000-000031020000}"/>
    <cellStyle name="40% - 강조색2 69" xfId="2759" xr:uid="{00000000-0005-0000-0000-000032020000}"/>
    <cellStyle name="40% - 강조색2 69 2" xfId="2989" xr:uid="{00000000-0005-0000-0000-0000770B0000}"/>
    <cellStyle name="40% - 강조색2 69 2 2" xfId="3436" xr:uid="{00000000-0005-0000-0000-0000770B0000}"/>
    <cellStyle name="40% - 강조색2 69 3" xfId="3260" xr:uid="{00000000-0005-0000-0000-000032020000}"/>
    <cellStyle name="40% - 강조색2 7" xfId="502" xr:uid="{00000000-0005-0000-0000-000033020000}"/>
    <cellStyle name="40% - 강조색2 70" xfId="2774" xr:uid="{00000000-0005-0000-0000-000034020000}"/>
    <cellStyle name="40% - 강조색2 70 2" xfId="3004" xr:uid="{00000000-0005-0000-0000-0000780B0000}"/>
    <cellStyle name="40% - 강조색2 70 2 2" xfId="3451" xr:uid="{00000000-0005-0000-0000-0000780B0000}"/>
    <cellStyle name="40% - 강조색2 70 3" xfId="3275" xr:uid="{00000000-0005-0000-0000-000034020000}"/>
    <cellStyle name="40% - 강조색2 71" xfId="2788" xr:uid="{00000000-0005-0000-0000-000035020000}"/>
    <cellStyle name="40% - 강조색2 71 2" xfId="3018" xr:uid="{00000000-0005-0000-0000-0000790B0000}"/>
    <cellStyle name="40% - 강조색2 71 2 2" xfId="3465" xr:uid="{00000000-0005-0000-0000-0000790B0000}"/>
    <cellStyle name="40% - 강조색2 71 3" xfId="3289" xr:uid="{00000000-0005-0000-0000-000035020000}"/>
    <cellStyle name="40% - 강조색2 72" xfId="2807" xr:uid="{00000000-0005-0000-0000-0000FB0A0000}"/>
    <cellStyle name="40% - 강조색2 72 2" xfId="3036" xr:uid="{00000000-0005-0000-0000-00007A0B0000}"/>
    <cellStyle name="40% - 강조색2 72 2 2" xfId="3483" xr:uid="{00000000-0005-0000-0000-00007A0B0000}"/>
    <cellStyle name="40% - 강조색2 72 3" xfId="3307" xr:uid="{00000000-0005-0000-0000-0000FB0A0000}"/>
    <cellStyle name="40% - 강조색2 73" xfId="2827" xr:uid="{00000000-0005-0000-0000-0000100B0000}"/>
    <cellStyle name="40% - 강조색2 73 2" xfId="3056" xr:uid="{00000000-0005-0000-0000-00007B0B0000}"/>
    <cellStyle name="40% - 강조색2 73 2 2" xfId="3503" xr:uid="{00000000-0005-0000-0000-00007B0B0000}"/>
    <cellStyle name="40% - 강조색2 73 3" xfId="3327" xr:uid="{00000000-0005-0000-0000-0000100B0000}"/>
    <cellStyle name="40% - 강조색2 74" xfId="2848" xr:uid="{00000000-0005-0000-0000-0000250B0000}"/>
    <cellStyle name="40% - 강조색2 74 2" xfId="3348" xr:uid="{00000000-0005-0000-0000-0000250B0000}"/>
    <cellStyle name="40% - 강조색2 75" xfId="3077" xr:uid="{00000000-0005-0000-0000-00000A0C0000}"/>
    <cellStyle name="40% - 강조색2 75 2" xfId="3524" xr:uid="{00000000-0005-0000-0000-00000A0C0000}"/>
    <cellStyle name="40% - 강조색2 76" xfId="3097" xr:uid="{00000000-0005-0000-0000-00001E0C0000}"/>
    <cellStyle name="40% - 강조색2 76 2" xfId="3544" xr:uid="{00000000-0005-0000-0000-00001E0C0000}"/>
    <cellStyle name="40% - 강조색2 77" xfId="3118" xr:uid="{00000000-0005-0000-0000-0000320C0000}"/>
    <cellStyle name="40% - 강조색2 77 2" xfId="3565" xr:uid="{00000000-0005-0000-0000-0000320C0000}"/>
    <cellStyle name="40% - 강조색2 78" xfId="3139" xr:uid="{00000000-0005-0000-0000-0000470C0000}"/>
    <cellStyle name="40% - 강조색2 78 2" xfId="3586" xr:uid="{00000000-0005-0000-0000-0000470C0000}"/>
    <cellStyle name="40% - 강조색2 79" xfId="3160" xr:uid="{00000000-0005-0000-0000-00005C0C0000}"/>
    <cellStyle name="40% - 강조색2 79 2" xfId="3607" xr:uid="{00000000-0005-0000-0000-00005C0C0000}"/>
    <cellStyle name="40% - 강조색2 8" xfId="503" xr:uid="{00000000-0005-0000-0000-000036020000}"/>
    <cellStyle name="40% - 강조색2 80" xfId="3180" xr:uid="{00000000-0005-0000-0000-0000190D0000}"/>
    <cellStyle name="40% - 강조색2 81" xfId="3627" xr:uid="{00000000-0005-0000-0000-0000300E0000}"/>
    <cellStyle name="40% - 강조색2 82" xfId="3647" xr:uid="{00000000-0005-0000-0000-0000440E0000}"/>
    <cellStyle name="40% - 강조색2 83" xfId="3667" xr:uid="{00000000-0005-0000-0000-0000580E0000}"/>
    <cellStyle name="40% - 강조색2 84" xfId="3687" xr:uid="{00000000-0005-0000-0000-00006C0E0000}"/>
    <cellStyle name="40% - 강조색2 9" xfId="504" xr:uid="{00000000-0005-0000-0000-000037020000}"/>
    <cellStyle name="40% - 강조색3" xfId="2666" builtinId="39" customBuiltin="1"/>
    <cellStyle name="40% - 강조색3 10" xfId="505" xr:uid="{00000000-0005-0000-0000-000039020000}"/>
    <cellStyle name="40% - 강조색3 11" xfId="506" xr:uid="{00000000-0005-0000-0000-00003A020000}"/>
    <cellStyle name="40% - 강조색3 12" xfId="507" xr:uid="{00000000-0005-0000-0000-00003B020000}"/>
    <cellStyle name="40% - 강조색3 13" xfId="508" xr:uid="{00000000-0005-0000-0000-00003C020000}"/>
    <cellStyle name="40% - 강조색3 14" xfId="509" xr:uid="{00000000-0005-0000-0000-00003D020000}"/>
    <cellStyle name="40% - 강조색3 15" xfId="510" xr:uid="{00000000-0005-0000-0000-00003E020000}"/>
    <cellStyle name="40% - 강조색3 16" xfId="511" xr:uid="{00000000-0005-0000-0000-00003F020000}"/>
    <cellStyle name="40% - 강조색3 17" xfId="512" xr:uid="{00000000-0005-0000-0000-000040020000}"/>
    <cellStyle name="40% - 강조색3 18" xfId="513" xr:uid="{00000000-0005-0000-0000-000041020000}"/>
    <cellStyle name="40% - 강조색3 19" xfId="514" xr:uid="{00000000-0005-0000-0000-000042020000}"/>
    <cellStyle name="40% - 강조색3 2" xfId="515" xr:uid="{00000000-0005-0000-0000-000043020000}"/>
    <cellStyle name="40% - 강조색3 20" xfId="516" xr:uid="{00000000-0005-0000-0000-000044020000}"/>
    <cellStyle name="40% - 강조색3 21" xfId="517" xr:uid="{00000000-0005-0000-0000-000045020000}"/>
    <cellStyle name="40% - 강조색3 22" xfId="518" xr:uid="{00000000-0005-0000-0000-000046020000}"/>
    <cellStyle name="40% - 강조색3 23" xfId="519" xr:uid="{00000000-0005-0000-0000-000047020000}"/>
    <cellStyle name="40% - 강조색3 24" xfId="520" xr:uid="{00000000-0005-0000-0000-000048020000}"/>
    <cellStyle name="40% - 강조색3 25" xfId="521" xr:uid="{00000000-0005-0000-0000-000049020000}"/>
    <cellStyle name="40% - 강조색3 26" xfId="522" xr:uid="{00000000-0005-0000-0000-00004A020000}"/>
    <cellStyle name="40% - 강조색3 27" xfId="523" xr:uid="{00000000-0005-0000-0000-00004B020000}"/>
    <cellStyle name="40% - 강조색3 28" xfId="524" xr:uid="{00000000-0005-0000-0000-00004C020000}"/>
    <cellStyle name="40% - 강조색3 29" xfId="525" xr:uid="{00000000-0005-0000-0000-00004D020000}"/>
    <cellStyle name="40% - 강조색3 3" xfId="526" xr:uid="{00000000-0005-0000-0000-00004E020000}"/>
    <cellStyle name="40% - 강조색3 30" xfId="527" xr:uid="{00000000-0005-0000-0000-00004F020000}"/>
    <cellStyle name="40% - 강조색3 31" xfId="528" xr:uid="{00000000-0005-0000-0000-000050020000}"/>
    <cellStyle name="40% - 강조색3 32" xfId="529" xr:uid="{00000000-0005-0000-0000-000051020000}"/>
    <cellStyle name="40% - 강조색3 33" xfId="530" xr:uid="{00000000-0005-0000-0000-000052020000}"/>
    <cellStyle name="40% - 강조색3 34" xfId="531" xr:uid="{00000000-0005-0000-0000-000053020000}"/>
    <cellStyle name="40% - 강조색3 35" xfId="532" xr:uid="{00000000-0005-0000-0000-000054020000}"/>
    <cellStyle name="40% - 강조색3 36" xfId="533" xr:uid="{00000000-0005-0000-0000-000055020000}"/>
    <cellStyle name="40% - 강조색3 37" xfId="534" xr:uid="{00000000-0005-0000-0000-000056020000}"/>
    <cellStyle name="40% - 강조색3 38" xfId="535" xr:uid="{00000000-0005-0000-0000-000057020000}"/>
    <cellStyle name="40% - 강조색3 39" xfId="536" xr:uid="{00000000-0005-0000-0000-000058020000}"/>
    <cellStyle name="40% - 강조색3 4" xfId="537" xr:uid="{00000000-0005-0000-0000-000059020000}"/>
    <cellStyle name="40% - 강조색3 40" xfId="538" xr:uid="{00000000-0005-0000-0000-00005A020000}"/>
    <cellStyle name="40% - 강조색3 41" xfId="539" xr:uid="{00000000-0005-0000-0000-00005B020000}"/>
    <cellStyle name="40% - 강조색3 42" xfId="540" xr:uid="{00000000-0005-0000-0000-00005C020000}"/>
    <cellStyle name="40% - 강조색3 43" xfId="541" xr:uid="{00000000-0005-0000-0000-00005D020000}"/>
    <cellStyle name="40% - 강조색3 44" xfId="542" xr:uid="{00000000-0005-0000-0000-00005E020000}"/>
    <cellStyle name="40% - 강조색3 45" xfId="543" xr:uid="{00000000-0005-0000-0000-00005F020000}"/>
    <cellStyle name="40% - 강조색3 46" xfId="544" xr:uid="{00000000-0005-0000-0000-000060020000}"/>
    <cellStyle name="40% - 강조색3 47" xfId="545" xr:uid="{00000000-0005-0000-0000-000061020000}"/>
    <cellStyle name="40% - 강조색3 48" xfId="546" xr:uid="{00000000-0005-0000-0000-000062020000}"/>
    <cellStyle name="40% - 강조색3 49" xfId="547" xr:uid="{00000000-0005-0000-0000-000063020000}"/>
    <cellStyle name="40% - 강조색3 5" xfId="548" xr:uid="{00000000-0005-0000-0000-000064020000}"/>
    <cellStyle name="40% - 강조색3 50" xfId="549" xr:uid="{00000000-0005-0000-0000-000065020000}"/>
    <cellStyle name="40% - 강조색3 51" xfId="550" xr:uid="{00000000-0005-0000-0000-000066020000}"/>
    <cellStyle name="40% - 강조색3 52" xfId="551" xr:uid="{00000000-0005-0000-0000-000067020000}"/>
    <cellStyle name="40% - 강조색3 53" xfId="552" xr:uid="{00000000-0005-0000-0000-000068020000}"/>
    <cellStyle name="40% - 강조색3 54" xfId="553" xr:uid="{00000000-0005-0000-0000-000069020000}"/>
    <cellStyle name="40% - 강조색3 55" xfId="554" xr:uid="{00000000-0005-0000-0000-00006A020000}"/>
    <cellStyle name="40% - 강조색3 56" xfId="555" xr:uid="{00000000-0005-0000-0000-00006B020000}"/>
    <cellStyle name="40% - 강조색3 57" xfId="556" xr:uid="{00000000-0005-0000-0000-00006C020000}"/>
    <cellStyle name="40% - 강조색3 58" xfId="557" xr:uid="{00000000-0005-0000-0000-00006D020000}"/>
    <cellStyle name="40% - 강조색3 59" xfId="558" xr:uid="{00000000-0005-0000-0000-00006E020000}"/>
    <cellStyle name="40% - 강조색3 6" xfId="559" xr:uid="{00000000-0005-0000-0000-00006F020000}"/>
    <cellStyle name="40% - 강조색3 60" xfId="560" xr:uid="{00000000-0005-0000-0000-000070020000}"/>
    <cellStyle name="40% - 강조색3 61" xfId="561" xr:uid="{00000000-0005-0000-0000-000071020000}"/>
    <cellStyle name="40% - 강조색3 62" xfId="562" xr:uid="{00000000-0005-0000-0000-000072020000}"/>
    <cellStyle name="40% - 강조색3 63" xfId="563" xr:uid="{00000000-0005-0000-0000-000073020000}"/>
    <cellStyle name="40% - 강조색3 64" xfId="564" xr:uid="{00000000-0005-0000-0000-000074020000}"/>
    <cellStyle name="40% - 강조색3 65" xfId="2689" xr:uid="{00000000-0005-0000-0000-000075020000}"/>
    <cellStyle name="40% - 강조색3 65 2" xfId="2926" xr:uid="{00000000-0005-0000-0000-00007C0B0000}"/>
    <cellStyle name="40% - 강조색3 65 2 2" xfId="3374" xr:uid="{00000000-0005-0000-0000-00007C0B0000}"/>
    <cellStyle name="40% - 강조색3 65 3" xfId="3198" xr:uid="{00000000-0005-0000-0000-000075020000}"/>
    <cellStyle name="40% - 강조색3 66" xfId="2718" xr:uid="{00000000-0005-0000-0000-000076020000}"/>
    <cellStyle name="40% - 강조색3 66 2" xfId="2948" xr:uid="{00000000-0005-0000-0000-00007D0B0000}"/>
    <cellStyle name="40% - 강조색3 66 2 2" xfId="3395" xr:uid="{00000000-0005-0000-0000-00007D0B0000}"/>
    <cellStyle name="40% - 강조색3 66 3" xfId="3219" xr:uid="{00000000-0005-0000-0000-000076020000}"/>
    <cellStyle name="40% - 강조색3 67" xfId="2732" xr:uid="{00000000-0005-0000-0000-000077020000}"/>
    <cellStyle name="40% - 강조색3 67 2" xfId="2962" xr:uid="{00000000-0005-0000-0000-00007E0B0000}"/>
    <cellStyle name="40% - 강조색3 67 2 2" xfId="3409" xr:uid="{00000000-0005-0000-0000-00007E0B0000}"/>
    <cellStyle name="40% - 강조색3 67 3" xfId="3233" xr:uid="{00000000-0005-0000-0000-000077020000}"/>
    <cellStyle name="40% - 강조색3 68" xfId="2746" xr:uid="{00000000-0005-0000-0000-000078020000}"/>
    <cellStyle name="40% - 강조색3 68 2" xfId="2976" xr:uid="{00000000-0005-0000-0000-00007F0B0000}"/>
    <cellStyle name="40% - 강조색3 68 2 2" xfId="3423" xr:uid="{00000000-0005-0000-0000-00007F0B0000}"/>
    <cellStyle name="40% - 강조색3 68 3" xfId="3247" xr:uid="{00000000-0005-0000-0000-000078020000}"/>
    <cellStyle name="40% - 강조색3 69" xfId="2761" xr:uid="{00000000-0005-0000-0000-000079020000}"/>
    <cellStyle name="40% - 강조색3 69 2" xfId="2991" xr:uid="{00000000-0005-0000-0000-0000800B0000}"/>
    <cellStyle name="40% - 강조색3 69 2 2" xfId="3438" xr:uid="{00000000-0005-0000-0000-0000800B0000}"/>
    <cellStyle name="40% - 강조색3 69 3" xfId="3262" xr:uid="{00000000-0005-0000-0000-000079020000}"/>
    <cellStyle name="40% - 강조색3 7" xfId="565" xr:uid="{00000000-0005-0000-0000-00007A020000}"/>
    <cellStyle name="40% - 강조색3 70" xfId="2776" xr:uid="{00000000-0005-0000-0000-00007B020000}"/>
    <cellStyle name="40% - 강조색3 70 2" xfId="3006" xr:uid="{00000000-0005-0000-0000-0000810B0000}"/>
    <cellStyle name="40% - 강조색3 70 2 2" xfId="3453" xr:uid="{00000000-0005-0000-0000-0000810B0000}"/>
    <cellStyle name="40% - 강조색3 70 3" xfId="3277" xr:uid="{00000000-0005-0000-0000-00007B020000}"/>
    <cellStyle name="40% - 강조색3 71" xfId="2790" xr:uid="{00000000-0005-0000-0000-00007C020000}"/>
    <cellStyle name="40% - 강조색3 71 2" xfId="3020" xr:uid="{00000000-0005-0000-0000-0000820B0000}"/>
    <cellStyle name="40% - 강조색3 71 2 2" xfId="3467" xr:uid="{00000000-0005-0000-0000-0000820B0000}"/>
    <cellStyle name="40% - 강조색3 71 3" xfId="3291" xr:uid="{00000000-0005-0000-0000-00007C020000}"/>
    <cellStyle name="40% - 강조색3 72" xfId="2810" xr:uid="{00000000-0005-0000-0000-0000FC0A0000}"/>
    <cellStyle name="40% - 강조색3 72 2" xfId="3039" xr:uid="{00000000-0005-0000-0000-0000830B0000}"/>
    <cellStyle name="40% - 강조색3 72 2 2" xfId="3486" xr:uid="{00000000-0005-0000-0000-0000830B0000}"/>
    <cellStyle name="40% - 강조색3 72 3" xfId="3310" xr:uid="{00000000-0005-0000-0000-0000FC0A0000}"/>
    <cellStyle name="40% - 강조색3 73" xfId="2830" xr:uid="{00000000-0005-0000-0000-0000110B0000}"/>
    <cellStyle name="40% - 강조색3 73 2" xfId="3059" xr:uid="{00000000-0005-0000-0000-0000840B0000}"/>
    <cellStyle name="40% - 강조색3 73 2 2" xfId="3506" xr:uid="{00000000-0005-0000-0000-0000840B0000}"/>
    <cellStyle name="40% - 강조색3 73 3" xfId="3330" xr:uid="{00000000-0005-0000-0000-0000110B0000}"/>
    <cellStyle name="40% - 강조색3 74" xfId="2851" xr:uid="{00000000-0005-0000-0000-0000260B0000}"/>
    <cellStyle name="40% - 강조색3 74 2" xfId="3351" xr:uid="{00000000-0005-0000-0000-0000260B0000}"/>
    <cellStyle name="40% - 강조색3 75" xfId="3080" xr:uid="{00000000-0005-0000-0000-00000B0C0000}"/>
    <cellStyle name="40% - 강조색3 75 2" xfId="3527" xr:uid="{00000000-0005-0000-0000-00000B0C0000}"/>
    <cellStyle name="40% - 강조색3 76" xfId="3100" xr:uid="{00000000-0005-0000-0000-00001F0C0000}"/>
    <cellStyle name="40% - 강조색3 76 2" xfId="3547" xr:uid="{00000000-0005-0000-0000-00001F0C0000}"/>
    <cellStyle name="40% - 강조색3 77" xfId="3121" xr:uid="{00000000-0005-0000-0000-0000330C0000}"/>
    <cellStyle name="40% - 강조색3 77 2" xfId="3568" xr:uid="{00000000-0005-0000-0000-0000330C0000}"/>
    <cellStyle name="40% - 강조색3 78" xfId="3142" xr:uid="{00000000-0005-0000-0000-0000480C0000}"/>
    <cellStyle name="40% - 강조색3 78 2" xfId="3589" xr:uid="{00000000-0005-0000-0000-0000480C0000}"/>
    <cellStyle name="40% - 강조색3 79" xfId="3163" xr:uid="{00000000-0005-0000-0000-00005D0C0000}"/>
    <cellStyle name="40% - 강조색3 79 2" xfId="3610" xr:uid="{00000000-0005-0000-0000-00005D0C0000}"/>
    <cellStyle name="40% - 강조색3 8" xfId="566" xr:uid="{00000000-0005-0000-0000-00007D020000}"/>
    <cellStyle name="40% - 강조색3 80" xfId="3182" xr:uid="{00000000-0005-0000-0000-0000320D0000}"/>
    <cellStyle name="40% - 강조색3 81" xfId="3630" xr:uid="{00000000-0005-0000-0000-0000310E0000}"/>
    <cellStyle name="40% - 강조색3 82" xfId="3650" xr:uid="{00000000-0005-0000-0000-0000450E0000}"/>
    <cellStyle name="40% - 강조색3 83" xfId="3670" xr:uid="{00000000-0005-0000-0000-0000590E0000}"/>
    <cellStyle name="40% - 강조색3 84" xfId="3690" xr:uid="{00000000-0005-0000-0000-00006D0E0000}"/>
    <cellStyle name="40% - 강조색3 9" xfId="567" xr:uid="{00000000-0005-0000-0000-00007E020000}"/>
    <cellStyle name="40% - 강조색4" xfId="2670" builtinId="43" customBuiltin="1"/>
    <cellStyle name="40% - 강조색4 10" xfId="568" xr:uid="{00000000-0005-0000-0000-000080020000}"/>
    <cellStyle name="40% - 강조색4 11" xfId="569" xr:uid="{00000000-0005-0000-0000-000081020000}"/>
    <cellStyle name="40% - 강조색4 12" xfId="570" xr:uid="{00000000-0005-0000-0000-000082020000}"/>
    <cellStyle name="40% - 강조색4 13" xfId="571" xr:uid="{00000000-0005-0000-0000-000083020000}"/>
    <cellStyle name="40% - 강조색4 14" xfId="572" xr:uid="{00000000-0005-0000-0000-000084020000}"/>
    <cellStyle name="40% - 강조색4 15" xfId="573" xr:uid="{00000000-0005-0000-0000-000085020000}"/>
    <cellStyle name="40% - 강조색4 16" xfId="574" xr:uid="{00000000-0005-0000-0000-000086020000}"/>
    <cellStyle name="40% - 강조색4 17" xfId="575" xr:uid="{00000000-0005-0000-0000-000087020000}"/>
    <cellStyle name="40% - 강조색4 18" xfId="576" xr:uid="{00000000-0005-0000-0000-000088020000}"/>
    <cellStyle name="40% - 강조색4 19" xfId="577" xr:uid="{00000000-0005-0000-0000-000089020000}"/>
    <cellStyle name="40% - 강조색4 2" xfId="578" xr:uid="{00000000-0005-0000-0000-00008A020000}"/>
    <cellStyle name="40% - 강조색4 20" xfId="579" xr:uid="{00000000-0005-0000-0000-00008B020000}"/>
    <cellStyle name="40% - 강조색4 21" xfId="580" xr:uid="{00000000-0005-0000-0000-00008C020000}"/>
    <cellStyle name="40% - 강조색4 22" xfId="581" xr:uid="{00000000-0005-0000-0000-00008D020000}"/>
    <cellStyle name="40% - 강조색4 23" xfId="582" xr:uid="{00000000-0005-0000-0000-00008E020000}"/>
    <cellStyle name="40% - 강조색4 24" xfId="583" xr:uid="{00000000-0005-0000-0000-00008F020000}"/>
    <cellStyle name="40% - 강조색4 25" xfId="584" xr:uid="{00000000-0005-0000-0000-000090020000}"/>
    <cellStyle name="40% - 강조색4 26" xfId="585" xr:uid="{00000000-0005-0000-0000-000091020000}"/>
    <cellStyle name="40% - 강조색4 27" xfId="586" xr:uid="{00000000-0005-0000-0000-000092020000}"/>
    <cellStyle name="40% - 강조색4 28" xfId="587" xr:uid="{00000000-0005-0000-0000-000093020000}"/>
    <cellStyle name="40% - 강조색4 29" xfId="588" xr:uid="{00000000-0005-0000-0000-000094020000}"/>
    <cellStyle name="40% - 강조색4 3" xfId="589" xr:uid="{00000000-0005-0000-0000-000095020000}"/>
    <cellStyle name="40% - 강조색4 30" xfId="590" xr:uid="{00000000-0005-0000-0000-000096020000}"/>
    <cellStyle name="40% - 강조색4 31" xfId="591" xr:uid="{00000000-0005-0000-0000-000097020000}"/>
    <cellStyle name="40% - 강조색4 32" xfId="592" xr:uid="{00000000-0005-0000-0000-000098020000}"/>
    <cellStyle name="40% - 강조색4 33" xfId="593" xr:uid="{00000000-0005-0000-0000-000099020000}"/>
    <cellStyle name="40% - 강조색4 34" xfId="594" xr:uid="{00000000-0005-0000-0000-00009A020000}"/>
    <cellStyle name="40% - 강조색4 35" xfId="595" xr:uid="{00000000-0005-0000-0000-00009B020000}"/>
    <cellStyle name="40% - 강조색4 36" xfId="596" xr:uid="{00000000-0005-0000-0000-00009C020000}"/>
    <cellStyle name="40% - 강조색4 37" xfId="597" xr:uid="{00000000-0005-0000-0000-00009D020000}"/>
    <cellStyle name="40% - 강조색4 38" xfId="598" xr:uid="{00000000-0005-0000-0000-00009E020000}"/>
    <cellStyle name="40% - 강조색4 39" xfId="599" xr:uid="{00000000-0005-0000-0000-00009F020000}"/>
    <cellStyle name="40% - 강조색4 4" xfId="600" xr:uid="{00000000-0005-0000-0000-0000A0020000}"/>
    <cellStyle name="40% - 강조색4 40" xfId="601" xr:uid="{00000000-0005-0000-0000-0000A1020000}"/>
    <cellStyle name="40% - 강조색4 41" xfId="602" xr:uid="{00000000-0005-0000-0000-0000A2020000}"/>
    <cellStyle name="40% - 강조색4 42" xfId="603" xr:uid="{00000000-0005-0000-0000-0000A3020000}"/>
    <cellStyle name="40% - 강조색4 43" xfId="604" xr:uid="{00000000-0005-0000-0000-0000A4020000}"/>
    <cellStyle name="40% - 강조색4 44" xfId="605" xr:uid="{00000000-0005-0000-0000-0000A5020000}"/>
    <cellStyle name="40% - 강조색4 45" xfId="606" xr:uid="{00000000-0005-0000-0000-0000A6020000}"/>
    <cellStyle name="40% - 강조색4 46" xfId="607" xr:uid="{00000000-0005-0000-0000-0000A7020000}"/>
    <cellStyle name="40% - 강조색4 47" xfId="608" xr:uid="{00000000-0005-0000-0000-0000A8020000}"/>
    <cellStyle name="40% - 강조색4 48" xfId="609" xr:uid="{00000000-0005-0000-0000-0000A9020000}"/>
    <cellStyle name="40% - 강조색4 49" xfId="610" xr:uid="{00000000-0005-0000-0000-0000AA020000}"/>
    <cellStyle name="40% - 강조색4 5" xfId="611" xr:uid="{00000000-0005-0000-0000-0000AB020000}"/>
    <cellStyle name="40% - 강조색4 50" xfId="612" xr:uid="{00000000-0005-0000-0000-0000AC020000}"/>
    <cellStyle name="40% - 강조색4 51" xfId="613" xr:uid="{00000000-0005-0000-0000-0000AD020000}"/>
    <cellStyle name="40% - 강조색4 52" xfId="614" xr:uid="{00000000-0005-0000-0000-0000AE020000}"/>
    <cellStyle name="40% - 강조색4 53" xfId="615" xr:uid="{00000000-0005-0000-0000-0000AF020000}"/>
    <cellStyle name="40% - 강조색4 54" xfId="616" xr:uid="{00000000-0005-0000-0000-0000B0020000}"/>
    <cellStyle name="40% - 강조색4 55" xfId="617" xr:uid="{00000000-0005-0000-0000-0000B1020000}"/>
    <cellStyle name="40% - 강조색4 56" xfId="618" xr:uid="{00000000-0005-0000-0000-0000B2020000}"/>
    <cellStyle name="40% - 강조색4 57" xfId="619" xr:uid="{00000000-0005-0000-0000-0000B3020000}"/>
    <cellStyle name="40% - 강조색4 58" xfId="620" xr:uid="{00000000-0005-0000-0000-0000B4020000}"/>
    <cellStyle name="40% - 강조색4 59" xfId="621" xr:uid="{00000000-0005-0000-0000-0000B5020000}"/>
    <cellStyle name="40% - 강조색4 6" xfId="622" xr:uid="{00000000-0005-0000-0000-0000B6020000}"/>
    <cellStyle name="40% - 강조색4 60" xfId="623" xr:uid="{00000000-0005-0000-0000-0000B7020000}"/>
    <cellStyle name="40% - 강조색4 61" xfId="624" xr:uid="{00000000-0005-0000-0000-0000B8020000}"/>
    <cellStyle name="40% - 강조색4 62" xfId="625" xr:uid="{00000000-0005-0000-0000-0000B9020000}"/>
    <cellStyle name="40% - 강조색4 63" xfId="626" xr:uid="{00000000-0005-0000-0000-0000BA020000}"/>
    <cellStyle name="40% - 강조색4 64" xfId="627" xr:uid="{00000000-0005-0000-0000-0000BB020000}"/>
    <cellStyle name="40% - 강조색4 65" xfId="2691" xr:uid="{00000000-0005-0000-0000-0000BC020000}"/>
    <cellStyle name="40% - 강조색4 65 2" xfId="2928" xr:uid="{00000000-0005-0000-0000-0000850B0000}"/>
    <cellStyle name="40% - 강조색4 65 2 2" xfId="3376" xr:uid="{00000000-0005-0000-0000-0000850B0000}"/>
    <cellStyle name="40% - 강조색4 65 3" xfId="3200" xr:uid="{00000000-0005-0000-0000-0000BC020000}"/>
    <cellStyle name="40% - 강조색4 66" xfId="2720" xr:uid="{00000000-0005-0000-0000-0000BD020000}"/>
    <cellStyle name="40% - 강조색4 66 2" xfId="2950" xr:uid="{00000000-0005-0000-0000-0000860B0000}"/>
    <cellStyle name="40% - 강조색4 66 2 2" xfId="3397" xr:uid="{00000000-0005-0000-0000-0000860B0000}"/>
    <cellStyle name="40% - 강조색4 66 3" xfId="3221" xr:uid="{00000000-0005-0000-0000-0000BD020000}"/>
    <cellStyle name="40% - 강조색4 67" xfId="2734" xr:uid="{00000000-0005-0000-0000-0000BE020000}"/>
    <cellStyle name="40% - 강조색4 67 2" xfId="2964" xr:uid="{00000000-0005-0000-0000-0000870B0000}"/>
    <cellStyle name="40% - 강조색4 67 2 2" xfId="3411" xr:uid="{00000000-0005-0000-0000-0000870B0000}"/>
    <cellStyle name="40% - 강조색4 67 3" xfId="3235" xr:uid="{00000000-0005-0000-0000-0000BE020000}"/>
    <cellStyle name="40% - 강조색4 68" xfId="2748" xr:uid="{00000000-0005-0000-0000-0000BF020000}"/>
    <cellStyle name="40% - 강조색4 68 2" xfId="2978" xr:uid="{00000000-0005-0000-0000-0000880B0000}"/>
    <cellStyle name="40% - 강조색4 68 2 2" xfId="3425" xr:uid="{00000000-0005-0000-0000-0000880B0000}"/>
    <cellStyle name="40% - 강조색4 68 3" xfId="3249" xr:uid="{00000000-0005-0000-0000-0000BF020000}"/>
    <cellStyle name="40% - 강조색4 69" xfId="2763" xr:uid="{00000000-0005-0000-0000-0000C0020000}"/>
    <cellStyle name="40% - 강조색4 69 2" xfId="2993" xr:uid="{00000000-0005-0000-0000-0000890B0000}"/>
    <cellStyle name="40% - 강조색4 69 2 2" xfId="3440" xr:uid="{00000000-0005-0000-0000-0000890B0000}"/>
    <cellStyle name="40% - 강조색4 69 3" xfId="3264" xr:uid="{00000000-0005-0000-0000-0000C0020000}"/>
    <cellStyle name="40% - 강조색4 7" xfId="628" xr:uid="{00000000-0005-0000-0000-0000C1020000}"/>
    <cellStyle name="40% - 강조색4 70" xfId="2778" xr:uid="{00000000-0005-0000-0000-0000C2020000}"/>
    <cellStyle name="40% - 강조색4 70 2" xfId="3008" xr:uid="{00000000-0005-0000-0000-00008A0B0000}"/>
    <cellStyle name="40% - 강조색4 70 2 2" xfId="3455" xr:uid="{00000000-0005-0000-0000-00008A0B0000}"/>
    <cellStyle name="40% - 강조색4 70 3" xfId="3279" xr:uid="{00000000-0005-0000-0000-0000C2020000}"/>
    <cellStyle name="40% - 강조색4 71" xfId="2792" xr:uid="{00000000-0005-0000-0000-0000C3020000}"/>
    <cellStyle name="40% - 강조색4 71 2" xfId="3022" xr:uid="{00000000-0005-0000-0000-00008B0B0000}"/>
    <cellStyle name="40% - 강조색4 71 2 2" xfId="3469" xr:uid="{00000000-0005-0000-0000-00008B0B0000}"/>
    <cellStyle name="40% - 강조색4 71 3" xfId="3293" xr:uid="{00000000-0005-0000-0000-0000C3020000}"/>
    <cellStyle name="40% - 강조색4 72" xfId="2813" xr:uid="{00000000-0005-0000-0000-0000FD0A0000}"/>
    <cellStyle name="40% - 강조색4 72 2" xfId="3042" xr:uid="{00000000-0005-0000-0000-00008C0B0000}"/>
    <cellStyle name="40% - 강조색4 72 2 2" xfId="3489" xr:uid="{00000000-0005-0000-0000-00008C0B0000}"/>
    <cellStyle name="40% - 강조색4 72 3" xfId="3313" xr:uid="{00000000-0005-0000-0000-0000FD0A0000}"/>
    <cellStyle name="40% - 강조색4 73" xfId="2833" xr:uid="{00000000-0005-0000-0000-0000120B0000}"/>
    <cellStyle name="40% - 강조색4 73 2" xfId="3062" xr:uid="{00000000-0005-0000-0000-00008D0B0000}"/>
    <cellStyle name="40% - 강조색4 73 2 2" xfId="3509" xr:uid="{00000000-0005-0000-0000-00008D0B0000}"/>
    <cellStyle name="40% - 강조색4 73 3" xfId="3333" xr:uid="{00000000-0005-0000-0000-0000120B0000}"/>
    <cellStyle name="40% - 강조색4 74" xfId="2854" xr:uid="{00000000-0005-0000-0000-0000270B0000}"/>
    <cellStyle name="40% - 강조색4 74 2" xfId="3354" xr:uid="{00000000-0005-0000-0000-0000270B0000}"/>
    <cellStyle name="40% - 강조색4 75" xfId="3083" xr:uid="{00000000-0005-0000-0000-00000C0C0000}"/>
    <cellStyle name="40% - 강조색4 75 2" xfId="3530" xr:uid="{00000000-0005-0000-0000-00000C0C0000}"/>
    <cellStyle name="40% - 강조색4 76" xfId="3103" xr:uid="{00000000-0005-0000-0000-0000200C0000}"/>
    <cellStyle name="40% - 강조색4 76 2" xfId="3550" xr:uid="{00000000-0005-0000-0000-0000200C0000}"/>
    <cellStyle name="40% - 강조색4 77" xfId="3124" xr:uid="{00000000-0005-0000-0000-0000340C0000}"/>
    <cellStyle name="40% - 강조색4 77 2" xfId="3571" xr:uid="{00000000-0005-0000-0000-0000340C0000}"/>
    <cellStyle name="40% - 강조색4 78" xfId="3145" xr:uid="{00000000-0005-0000-0000-0000490C0000}"/>
    <cellStyle name="40% - 강조색4 78 2" xfId="3592" xr:uid="{00000000-0005-0000-0000-0000490C0000}"/>
    <cellStyle name="40% - 강조색4 79" xfId="3166" xr:uid="{00000000-0005-0000-0000-00005E0C0000}"/>
    <cellStyle name="40% - 강조색4 79 2" xfId="3613" xr:uid="{00000000-0005-0000-0000-00005E0C0000}"/>
    <cellStyle name="40% - 강조색4 8" xfId="629" xr:uid="{00000000-0005-0000-0000-0000C4020000}"/>
    <cellStyle name="40% - 강조색4 80" xfId="3184" xr:uid="{00000000-0005-0000-0000-00004B0D0000}"/>
    <cellStyle name="40% - 강조색4 81" xfId="3633" xr:uid="{00000000-0005-0000-0000-0000320E0000}"/>
    <cellStyle name="40% - 강조색4 82" xfId="3653" xr:uid="{00000000-0005-0000-0000-0000460E0000}"/>
    <cellStyle name="40% - 강조색4 83" xfId="3673" xr:uid="{00000000-0005-0000-0000-00005A0E0000}"/>
    <cellStyle name="40% - 강조색4 84" xfId="3693" xr:uid="{00000000-0005-0000-0000-00006E0E0000}"/>
    <cellStyle name="40% - 강조색4 9" xfId="630" xr:uid="{00000000-0005-0000-0000-0000C5020000}"/>
    <cellStyle name="40% - 강조색5" xfId="2674" builtinId="47" customBuiltin="1"/>
    <cellStyle name="40% - 강조색5 10" xfId="631" xr:uid="{00000000-0005-0000-0000-0000C7020000}"/>
    <cellStyle name="40% - 강조색5 11" xfId="632" xr:uid="{00000000-0005-0000-0000-0000C8020000}"/>
    <cellStyle name="40% - 강조색5 12" xfId="633" xr:uid="{00000000-0005-0000-0000-0000C9020000}"/>
    <cellStyle name="40% - 강조색5 13" xfId="634" xr:uid="{00000000-0005-0000-0000-0000CA020000}"/>
    <cellStyle name="40% - 강조색5 14" xfId="635" xr:uid="{00000000-0005-0000-0000-0000CB020000}"/>
    <cellStyle name="40% - 강조색5 15" xfId="636" xr:uid="{00000000-0005-0000-0000-0000CC020000}"/>
    <cellStyle name="40% - 강조색5 16" xfId="637" xr:uid="{00000000-0005-0000-0000-0000CD020000}"/>
    <cellStyle name="40% - 강조색5 17" xfId="638" xr:uid="{00000000-0005-0000-0000-0000CE020000}"/>
    <cellStyle name="40% - 강조색5 18" xfId="639" xr:uid="{00000000-0005-0000-0000-0000CF020000}"/>
    <cellStyle name="40% - 강조색5 19" xfId="640" xr:uid="{00000000-0005-0000-0000-0000D0020000}"/>
    <cellStyle name="40% - 강조색5 2" xfId="641" xr:uid="{00000000-0005-0000-0000-0000D1020000}"/>
    <cellStyle name="40% - 강조색5 20" xfId="642" xr:uid="{00000000-0005-0000-0000-0000D2020000}"/>
    <cellStyle name="40% - 강조색5 21" xfId="643" xr:uid="{00000000-0005-0000-0000-0000D3020000}"/>
    <cellStyle name="40% - 강조색5 22" xfId="644" xr:uid="{00000000-0005-0000-0000-0000D4020000}"/>
    <cellStyle name="40% - 강조색5 23" xfId="645" xr:uid="{00000000-0005-0000-0000-0000D5020000}"/>
    <cellStyle name="40% - 강조색5 24" xfId="646" xr:uid="{00000000-0005-0000-0000-0000D6020000}"/>
    <cellStyle name="40% - 강조색5 25" xfId="647" xr:uid="{00000000-0005-0000-0000-0000D7020000}"/>
    <cellStyle name="40% - 강조색5 26" xfId="648" xr:uid="{00000000-0005-0000-0000-0000D8020000}"/>
    <cellStyle name="40% - 강조색5 27" xfId="649" xr:uid="{00000000-0005-0000-0000-0000D9020000}"/>
    <cellStyle name="40% - 강조색5 28" xfId="650" xr:uid="{00000000-0005-0000-0000-0000DA020000}"/>
    <cellStyle name="40% - 강조색5 29" xfId="651" xr:uid="{00000000-0005-0000-0000-0000DB020000}"/>
    <cellStyle name="40% - 강조색5 3" xfId="652" xr:uid="{00000000-0005-0000-0000-0000DC020000}"/>
    <cellStyle name="40% - 강조색5 30" xfId="653" xr:uid="{00000000-0005-0000-0000-0000DD020000}"/>
    <cellStyle name="40% - 강조색5 31" xfId="654" xr:uid="{00000000-0005-0000-0000-0000DE020000}"/>
    <cellStyle name="40% - 강조색5 32" xfId="655" xr:uid="{00000000-0005-0000-0000-0000DF020000}"/>
    <cellStyle name="40% - 강조색5 33" xfId="656" xr:uid="{00000000-0005-0000-0000-0000E0020000}"/>
    <cellStyle name="40% - 강조색5 34" xfId="657" xr:uid="{00000000-0005-0000-0000-0000E1020000}"/>
    <cellStyle name="40% - 강조색5 35" xfId="658" xr:uid="{00000000-0005-0000-0000-0000E2020000}"/>
    <cellStyle name="40% - 강조색5 36" xfId="659" xr:uid="{00000000-0005-0000-0000-0000E3020000}"/>
    <cellStyle name="40% - 강조색5 37" xfId="660" xr:uid="{00000000-0005-0000-0000-0000E4020000}"/>
    <cellStyle name="40% - 강조색5 38" xfId="661" xr:uid="{00000000-0005-0000-0000-0000E5020000}"/>
    <cellStyle name="40% - 강조색5 39" xfId="662" xr:uid="{00000000-0005-0000-0000-0000E6020000}"/>
    <cellStyle name="40% - 강조색5 4" xfId="663" xr:uid="{00000000-0005-0000-0000-0000E7020000}"/>
    <cellStyle name="40% - 강조색5 40" xfId="664" xr:uid="{00000000-0005-0000-0000-0000E8020000}"/>
    <cellStyle name="40% - 강조색5 41" xfId="665" xr:uid="{00000000-0005-0000-0000-0000E9020000}"/>
    <cellStyle name="40% - 강조색5 42" xfId="666" xr:uid="{00000000-0005-0000-0000-0000EA020000}"/>
    <cellStyle name="40% - 강조색5 43" xfId="667" xr:uid="{00000000-0005-0000-0000-0000EB020000}"/>
    <cellStyle name="40% - 강조색5 44" xfId="668" xr:uid="{00000000-0005-0000-0000-0000EC020000}"/>
    <cellStyle name="40% - 강조색5 45" xfId="669" xr:uid="{00000000-0005-0000-0000-0000ED020000}"/>
    <cellStyle name="40% - 강조색5 46" xfId="670" xr:uid="{00000000-0005-0000-0000-0000EE020000}"/>
    <cellStyle name="40% - 강조색5 47" xfId="671" xr:uid="{00000000-0005-0000-0000-0000EF020000}"/>
    <cellStyle name="40% - 강조색5 48" xfId="672" xr:uid="{00000000-0005-0000-0000-0000F0020000}"/>
    <cellStyle name="40% - 강조색5 49" xfId="673" xr:uid="{00000000-0005-0000-0000-0000F1020000}"/>
    <cellStyle name="40% - 강조색5 5" xfId="674" xr:uid="{00000000-0005-0000-0000-0000F2020000}"/>
    <cellStyle name="40% - 강조색5 50" xfId="675" xr:uid="{00000000-0005-0000-0000-0000F3020000}"/>
    <cellStyle name="40% - 강조색5 51" xfId="676" xr:uid="{00000000-0005-0000-0000-0000F4020000}"/>
    <cellStyle name="40% - 강조색5 52" xfId="677" xr:uid="{00000000-0005-0000-0000-0000F5020000}"/>
    <cellStyle name="40% - 강조색5 53" xfId="678" xr:uid="{00000000-0005-0000-0000-0000F6020000}"/>
    <cellStyle name="40% - 강조색5 54" xfId="679" xr:uid="{00000000-0005-0000-0000-0000F7020000}"/>
    <cellStyle name="40% - 강조색5 55" xfId="680" xr:uid="{00000000-0005-0000-0000-0000F8020000}"/>
    <cellStyle name="40% - 강조색5 56" xfId="681" xr:uid="{00000000-0005-0000-0000-0000F9020000}"/>
    <cellStyle name="40% - 강조색5 57" xfId="682" xr:uid="{00000000-0005-0000-0000-0000FA020000}"/>
    <cellStyle name="40% - 강조색5 58" xfId="683" xr:uid="{00000000-0005-0000-0000-0000FB020000}"/>
    <cellStyle name="40% - 강조색5 59" xfId="684" xr:uid="{00000000-0005-0000-0000-0000FC020000}"/>
    <cellStyle name="40% - 강조색5 6" xfId="685" xr:uid="{00000000-0005-0000-0000-0000FD020000}"/>
    <cellStyle name="40% - 강조색5 60" xfId="686" xr:uid="{00000000-0005-0000-0000-0000FE020000}"/>
    <cellStyle name="40% - 강조색5 61" xfId="687" xr:uid="{00000000-0005-0000-0000-0000FF020000}"/>
    <cellStyle name="40% - 강조색5 62" xfId="688" xr:uid="{00000000-0005-0000-0000-000000030000}"/>
    <cellStyle name="40% - 강조색5 63" xfId="689" xr:uid="{00000000-0005-0000-0000-000001030000}"/>
    <cellStyle name="40% - 강조색5 64" xfId="690" xr:uid="{00000000-0005-0000-0000-000002030000}"/>
    <cellStyle name="40% - 강조색5 65" xfId="2693" xr:uid="{00000000-0005-0000-0000-000003030000}"/>
    <cellStyle name="40% - 강조색5 65 2" xfId="2930" xr:uid="{00000000-0005-0000-0000-00008E0B0000}"/>
    <cellStyle name="40% - 강조색5 65 2 2" xfId="3378" xr:uid="{00000000-0005-0000-0000-00008E0B0000}"/>
    <cellStyle name="40% - 강조색5 65 3" xfId="3202" xr:uid="{00000000-0005-0000-0000-000003030000}"/>
    <cellStyle name="40% - 강조색5 66" xfId="2722" xr:uid="{00000000-0005-0000-0000-000004030000}"/>
    <cellStyle name="40% - 강조색5 66 2" xfId="2952" xr:uid="{00000000-0005-0000-0000-00008F0B0000}"/>
    <cellStyle name="40% - 강조색5 66 2 2" xfId="3399" xr:uid="{00000000-0005-0000-0000-00008F0B0000}"/>
    <cellStyle name="40% - 강조색5 66 3" xfId="3223" xr:uid="{00000000-0005-0000-0000-000004030000}"/>
    <cellStyle name="40% - 강조색5 67" xfId="2736" xr:uid="{00000000-0005-0000-0000-000005030000}"/>
    <cellStyle name="40% - 강조색5 67 2" xfId="2966" xr:uid="{00000000-0005-0000-0000-0000900B0000}"/>
    <cellStyle name="40% - 강조색5 67 2 2" xfId="3413" xr:uid="{00000000-0005-0000-0000-0000900B0000}"/>
    <cellStyle name="40% - 강조색5 67 3" xfId="3237" xr:uid="{00000000-0005-0000-0000-000005030000}"/>
    <cellStyle name="40% - 강조색5 68" xfId="2750" xr:uid="{00000000-0005-0000-0000-000006030000}"/>
    <cellStyle name="40% - 강조색5 68 2" xfId="2980" xr:uid="{00000000-0005-0000-0000-0000910B0000}"/>
    <cellStyle name="40% - 강조색5 68 2 2" xfId="3427" xr:uid="{00000000-0005-0000-0000-0000910B0000}"/>
    <cellStyle name="40% - 강조색5 68 3" xfId="3251" xr:uid="{00000000-0005-0000-0000-000006030000}"/>
    <cellStyle name="40% - 강조색5 69" xfId="2765" xr:uid="{00000000-0005-0000-0000-000007030000}"/>
    <cellStyle name="40% - 강조색5 69 2" xfId="2995" xr:uid="{00000000-0005-0000-0000-0000920B0000}"/>
    <cellStyle name="40% - 강조색5 69 2 2" xfId="3442" xr:uid="{00000000-0005-0000-0000-0000920B0000}"/>
    <cellStyle name="40% - 강조색5 69 3" xfId="3266" xr:uid="{00000000-0005-0000-0000-000007030000}"/>
    <cellStyle name="40% - 강조색5 7" xfId="691" xr:uid="{00000000-0005-0000-0000-000008030000}"/>
    <cellStyle name="40% - 강조색5 70" xfId="2780" xr:uid="{00000000-0005-0000-0000-000009030000}"/>
    <cellStyle name="40% - 강조색5 70 2" xfId="3010" xr:uid="{00000000-0005-0000-0000-0000930B0000}"/>
    <cellStyle name="40% - 강조색5 70 2 2" xfId="3457" xr:uid="{00000000-0005-0000-0000-0000930B0000}"/>
    <cellStyle name="40% - 강조색5 70 3" xfId="3281" xr:uid="{00000000-0005-0000-0000-000009030000}"/>
    <cellStyle name="40% - 강조색5 71" xfId="2794" xr:uid="{00000000-0005-0000-0000-00000A030000}"/>
    <cellStyle name="40% - 강조색5 71 2" xfId="3024" xr:uid="{00000000-0005-0000-0000-0000940B0000}"/>
    <cellStyle name="40% - 강조색5 71 2 2" xfId="3471" xr:uid="{00000000-0005-0000-0000-0000940B0000}"/>
    <cellStyle name="40% - 강조색5 71 3" xfId="3295" xr:uid="{00000000-0005-0000-0000-00000A030000}"/>
    <cellStyle name="40% - 강조색5 72" xfId="2816" xr:uid="{00000000-0005-0000-0000-0000FE0A0000}"/>
    <cellStyle name="40% - 강조색5 72 2" xfId="3045" xr:uid="{00000000-0005-0000-0000-0000950B0000}"/>
    <cellStyle name="40% - 강조색5 72 2 2" xfId="3492" xr:uid="{00000000-0005-0000-0000-0000950B0000}"/>
    <cellStyle name="40% - 강조색5 72 3" xfId="3316" xr:uid="{00000000-0005-0000-0000-0000FE0A0000}"/>
    <cellStyle name="40% - 강조색5 73" xfId="2836" xr:uid="{00000000-0005-0000-0000-0000130B0000}"/>
    <cellStyle name="40% - 강조색5 73 2" xfId="3065" xr:uid="{00000000-0005-0000-0000-0000960B0000}"/>
    <cellStyle name="40% - 강조색5 73 2 2" xfId="3512" xr:uid="{00000000-0005-0000-0000-0000960B0000}"/>
    <cellStyle name="40% - 강조색5 73 3" xfId="3336" xr:uid="{00000000-0005-0000-0000-0000130B0000}"/>
    <cellStyle name="40% - 강조색5 74" xfId="2857" xr:uid="{00000000-0005-0000-0000-0000280B0000}"/>
    <cellStyle name="40% - 강조색5 74 2" xfId="3357" xr:uid="{00000000-0005-0000-0000-0000280B0000}"/>
    <cellStyle name="40% - 강조색5 75" xfId="3086" xr:uid="{00000000-0005-0000-0000-00000D0C0000}"/>
    <cellStyle name="40% - 강조색5 75 2" xfId="3533" xr:uid="{00000000-0005-0000-0000-00000D0C0000}"/>
    <cellStyle name="40% - 강조색5 76" xfId="3106" xr:uid="{00000000-0005-0000-0000-0000210C0000}"/>
    <cellStyle name="40% - 강조색5 76 2" xfId="3553" xr:uid="{00000000-0005-0000-0000-0000210C0000}"/>
    <cellStyle name="40% - 강조색5 77" xfId="3127" xr:uid="{00000000-0005-0000-0000-0000350C0000}"/>
    <cellStyle name="40% - 강조색5 77 2" xfId="3574" xr:uid="{00000000-0005-0000-0000-0000350C0000}"/>
    <cellStyle name="40% - 강조색5 78" xfId="3148" xr:uid="{00000000-0005-0000-0000-00004A0C0000}"/>
    <cellStyle name="40% - 강조색5 78 2" xfId="3595" xr:uid="{00000000-0005-0000-0000-00004A0C0000}"/>
    <cellStyle name="40% - 강조색5 79" xfId="3169" xr:uid="{00000000-0005-0000-0000-00005F0C0000}"/>
    <cellStyle name="40% - 강조색5 79 2" xfId="3616" xr:uid="{00000000-0005-0000-0000-00005F0C0000}"/>
    <cellStyle name="40% - 강조색5 8" xfId="692" xr:uid="{00000000-0005-0000-0000-00000B030000}"/>
    <cellStyle name="40% - 강조색5 80" xfId="3186" xr:uid="{00000000-0005-0000-0000-0000640D0000}"/>
    <cellStyle name="40% - 강조색5 81" xfId="3636" xr:uid="{00000000-0005-0000-0000-0000330E0000}"/>
    <cellStyle name="40% - 강조색5 82" xfId="3656" xr:uid="{00000000-0005-0000-0000-0000470E0000}"/>
    <cellStyle name="40% - 강조색5 83" xfId="3676" xr:uid="{00000000-0005-0000-0000-00005B0E0000}"/>
    <cellStyle name="40% - 강조색5 84" xfId="3696" xr:uid="{00000000-0005-0000-0000-00006F0E0000}"/>
    <cellStyle name="40% - 강조색5 9" xfId="693" xr:uid="{00000000-0005-0000-0000-00000C030000}"/>
    <cellStyle name="40% - 강조색6" xfId="2678" builtinId="51" customBuiltin="1"/>
    <cellStyle name="40% - 강조색6 10" xfId="694" xr:uid="{00000000-0005-0000-0000-00000E030000}"/>
    <cellStyle name="40% - 강조색6 11" xfId="695" xr:uid="{00000000-0005-0000-0000-00000F030000}"/>
    <cellStyle name="40% - 강조색6 12" xfId="696" xr:uid="{00000000-0005-0000-0000-000010030000}"/>
    <cellStyle name="40% - 강조색6 13" xfId="697" xr:uid="{00000000-0005-0000-0000-000011030000}"/>
    <cellStyle name="40% - 강조색6 14" xfId="698" xr:uid="{00000000-0005-0000-0000-000012030000}"/>
    <cellStyle name="40% - 강조색6 15" xfId="699" xr:uid="{00000000-0005-0000-0000-000013030000}"/>
    <cellStyle name="40% - 강조색6 16" xfId="700" xr:uid="{00000000-0005-0000-0000-000014030000}"/>
    <cellStyle name="40% - 강조색6 17" xfId="701" xr:uid="{00000000-0005-0000-0000-000015030000}"/>
    <cellStyle name="40% - 강조색6 18" xfId="702" xr:uid="{00000000-0005-0000-0000-000016030000}"/>
    <cellStyle name="40% - 강조색6 19" xfId="703" xr:uid="{00000000-0005-0000-0000-000017030000}"/>
    <cellStyle name="40% - 강조색6 2" xfId="704" xr:uid="{00000000-0005-0000-0000-000018030000}"/>
    <cellStyle name="40% - 강조색6 20" xfId="705" xr:uid="{00000000-0005-0000-0000-000019030000}"/>
    <cellStyle name="40% - 강조색6 21" xfId="706" xr:uid="{00000000-0005-0000-0000-00001A030000}"/>
    <cellStyle name="40% - 강조색6 22" xfId="707" xr:uid="{00000000-0005-0000-0000-00001B030000}"/>
    <cellStyle name="40% - 강조색6 23" xfId="708" xr:uid="{00000000-0005-0000-0000-00001C030000}"/>
    <cellStyle name="40% - 강조색6 24" xfId="709" xr:uid="{00000000-0005-0000-0000-00001D030000}"/>
    <cellStyle name="40% - 강조색6 25" xfId="710" xr:uid="{00000000-0005-0000-0000-00001E030000}"/>
    <cellStyle name="40% - 강조색6 26" xfId="711" xr:uid="{00000000-0005-0000-0000-00001F030000}"/>
    <cellStyle name="40% - 강조색6 27" xfId="712" xr:uid="{00000000-0005-0000-0000-000020030000}"/>
    <cellStyle name="40% - 강조색6 28" xfId="713" xr:uid="{00000000-0005-0000-0000-000021030000}"/>
    <cellStyle name="40% - 강조색6 29" xfId="714" xr:uid="{00000000-0005-0000-0000-000022030000}"/>
    <cellStyle name="40% - 강조색6 3" xfId="715" xr:uid="{00000000-0005-0000-0000-000023030000}"/>
    <cellStyle name="40% - 강조색6 30" xfId="716" xr:uid="{00000000-0005-0000-0000-000024030000}"/>
    <cellStyle name="40% - 강조색6 31" xfId="717" xr:uid="{00000000-0005-0000-0000-000025030000}"/>
    <cellStyle name="40% - 강조색6 32" xfId="718" xr:uid="{00000000-0005-0000-0000-000026030000}"/>
    <cellStyle name="40% - 강조색6 33" xfId="719" xr:uid="{00000000-0005-0000-0000-000027030000}"/>
    <cellStyle name="40% - 강조색6 34" xfId="720" xr:uid="{00000000-0005-0000-0000-000028030000}"/>
    <cellStyle name="40% - 강조색6 35" xfId="721" xr:uid="{00000000-0005-0000-0000-000029030000}"/>
    <cellStyle name="40% - 강조색6 36" xfId="722" xr:uid="{00000000-0005-0000-0000-00002A030000}"/>
    <cellStyle name="40% - 강조색6 37" xfId="723" xr:uid="{00000000-0005-0000-0000-00002B030000}"/>
    <cellStyle name="40% - 강조색6 38" xfId="724" xr:uid="{00000000-0005-0000-0000-00002C030000}"/>
    <cellStyle name="40% - 강조색6 39" xfId="725" xr:uid="{00000000-0005-0000-0000-00002D030000}"/>
    <cellStyle name="40% - 강조색6 4" xfId="726" xr:uid="{00000000-0005-0000-0000-00002E030000}"/>
    <cellStyle name="40% - 강조색6 40" xfId="727" xr:uid="{00000000-0005-0000-0000-00002F030000}"/>
    <cellStyle name="40% - 강조색6 41" xfId="728" xr:uid="{00000000-0005-0000-0000-000030030000}"/>
    <cellStyle name="40% - 강조색6 42" xfId="729" xr:uid="{00000000-0005-0000-0000-000031030000}"/>
    <cellStyle name="40% - 강조색6 43" xfId="730" xr:uid="{00000000-0005-0000-0000-000032030000}"/>
    <cellStyle name="40% - 강조색6 44" xfId="731" xr:uid="{00000000-0005-0000-0000-000033030000}"/>
    <cellStyle name="40% - 강조색6 45" xfId="732" xr:uid="{00000000-0005-0000-0000-000034030000}"/>
    <cellStyle name="40% - 강조색6 46" xfId="733" xr:uid="{00000000-0005-0000-0000-000035030000}"/>
    <cellStyle name="40% - 강조색6 47" xfId="734" xr:uid="{00000000-0005-0000-0000-000036030000}"/>
    <cellStyle name="40% - 강조색6 48" xfId="735" xr:uid="{00000000-0005-0000-0000-000037030000}"/>
    <cellStyle name="40% - 강조색6 49" xfId="736" xr:uid="{00000000-0005-0000-0000-000038030000}"/>
    <cellStyle name="40% - 강조색6 5" xfId="737" xr:uid="{00000000-0005-0000-0000-000039030000}"/>
    <cellStyle name="40% - 강조색6 50" xfId="738" xr:uid="{00000000-0005-0000-0000-00003A030000}"/>
    <cellStyle name="40% - 강조색6 51" xfId="739" xr:uid="{00000000-0005-0000-0000-00003B030000}"/>
    <cellStyle name="40% - 강조색6 52" xfId="740" xr:uid="{00000000-0005-0000-0000-00003C030000}"/>
    <cellStyle name="40% - 강조색6 53" xfId="741" xr:uid="{00000000-0005-0000-0000-00003D030000}"/>
    <cellStyle name="40% - 강조색6 54" xfId="742" xr:uid="{00000000-0005-0000-0000-00003E030000}"/>
    <cellStyle name="40% - 강조색6 55" xfId="743" xr:uid="{00000000-0005-0000-0000-00003F030000}"/>
    <cellStyle name="40% - 강조색6 56" xfId="744" xr:uid="{00000000-0005-0000-0000-000040030000}"/>
    <cellStyle name="40% - 강조색6 57" xfId="745" xr:uid="{00000000-0005-0000-0000-000041030000}"/>
    <cellStyle name="40% - 강조색6 58" xfId="746" xr:uid="{00000000-0005-0000-0000-000042030000}"/>
    <cellStyle name="40% - 강조색6 59" xfId="747" xr:uid="{00000000-0005-0000-0000-000043030000}"/>
    <cellStyle name="40% - 강조색6 6" xfId="748" xr:uid="{00000000-0005-0000-0000-000044030000}"/>
    <cellStyle name="40% - 강조색6 60" xfId="749" xr:uid="{00000000-0005-0000-0000-000045030000}"/>
    <cellStyle name="40% - 강조색6 61" xfId="750" xr:uid="{00000000-0005-0000-0000-000046030000}"/>
    <cellStyle name="40% - 강조색6 62" xfId="751" xr:uid="{00000000-0005-0000-0000-000047030000}"/>
    <cellStyle name="40% - 강조색6 63" xfId="752" xr:uid="{00000000-0005-0000-0000-000048030000}"/>
    <cellStyle name="40% - 강조색6 64" xfId="753" xr:uid="{00000000-0005-0000-0000-000049030000}"/>
    <cellStyle name="40% - 강조색6 65" xfId="2695" xr:uid="{00000000-0005-0000-0000-00004A030000}"/>
    <cellStyle name="40% - 강조색6 65 2" xfId="2932" xr:uid="{00000000-0005-0000-0000-0000970B0000}"/>
    <cellStyle name="40% - 강조색6 65 2 2" xfId="3380" xr:uid="{00000000-0005-0000-0000-0000970B0000}"/>
    <cellStyle name="40% - 강조색6 65 3" xfId="3204" xr:uid="{00000000-0005-0000-0000-00004A030000}"/>
    <cellStyle name="40% - 강조색6 66" xfId="2724" xr:uid="{00000000-0005-0000-0000-00004B030000}"/>
    <cellStyle name="40% - 강조색6 66 2" xfId="2954" xr:uid="{00000000-0005-0000-0000-0000980B0000}"/>
    <cellStyle name="40% - 강조색6 66 2 2" xfId="3401" xr:uid="{00000000-0005-0000-0000-0000980B0000}"/>
    <cellStyle name="40% - 강조색6 66 3" xfId="3225" xr:uid="{00000000-0005-0000-0000-00004B030000}"/>
    <cellStyle name="40% - 강조색6 67" xfId="2738" xr:uid="{00000000-0005-0000-0000-00004C030000}"/>
    <cellStyle name="40% - 강조색6 67 2" xfId="2968" xr:uid="{00000000-0005-0000-0000-0000990B0000}"/>
    <cellStyle name="40% - 강조색6 67 2 2" xfId="3415" xr:uid="{00000000-0005-0000-0000-0000990B0000}"/>
    <cellStyle name="40% - 강조색6 67 3" xfId="3239" xr:uid="{00000000-0005-0000-0000-00004C030000}"/>
    <cellStyle name="40% - 강조색6 68" xfId="2752" xr:uid="{00000000-0005-0000-0000-00004D030000}"/>
    <cellStyle name="40% - 강조색6 68 2" xfId="2982" xr:uid="{00000000-0005-0000-0000-00009A0B0000}"/>
    <cellStyle name="40% - 강조색6 68 2 2" xfId="3429" xr:uid="{00000000-0005-0000-0000-00009A0B0000}"/>
    <cellStyle name="40% - 강조색6 68 3" xfId="3253" xr:uid="{00000000-0005-0000-0000-00004D030000}"/>
    <cellStyle name="40% - 강조색6 69" xfId="2767" xr:uid="{00000000-0005-0000-0000-00004E030000}"/>
    <cellStyle name="40% - 강조색6 69 2" xfId="2997" xr:uid="{00000000-0005-0000-0000-00009B0B0000}"/>
    <cellStyle name="40% - 강조색6 69 2 2" xfId="3444" xr:uid="{00000000-0005-0000-0000-00009B0B0000}"/>
    <cellStyle name="40% - 강조색6 69 3" xfId="3268" xr:uid="{00000000-0005-0000-0000-00004E030000}"/>
    <cellStyle name="40% - 강조색6 7" xfId="754" xr:uid="{00000000-0005-0000-0000-00004F030000}"/>
    <cellStyle name="40% - 강조색6 70" xfId="2782" xr:uid="{00000000-0005-0000-0000-000050030000}"/>
    <cellStyle name="40% - 강조색6 70 2" xfId="3012" xr:uid="{00000000-0005-0000-0000-00009C0B0000}"/>
    <cellStyle name="40% - 강조색6 70 2 2" xfId="3459" xr:uid="{00000000-0005-0000-0000-00009C0B0000}"/>
    <cellStyle name="40% - 강조색6 70 3" xfId="3283" xr:uid="{00000000-0005-0000-0000-000050030000}"/>
    <cellStyle name="40% - 강조색6 71" xfId="2796" xr:uid="{00000000-0005-0000-0000-000051030000}"/>
    <cellStyle name="40% - 강조색6 71 2" xfId="3026" xr:uid="{00000000-0005-0000-0000-00009D0B0000}"/>
    <cellStyle name="40% - 강조색6 71 2 2" xfId="3473" xr:uid="{00000000-0005-0000-0000-00009D0B0000}"/>
    <cellStyle name="40% - 강조색6 71 3" xfId="3297" xr:uid="{00000000-0005-0000-0000-000051030000}"/>
    <cellStyle name="40% - 강조색6 72" xfId="2819" xr:uid="{00000000-0005-0000-0000-0000FF0A0000}"/>
    <cellStyle name="40% - 강조색6 72 2" xfId="3048" xr:uid="{00000000-0005-0000-0000-00009E0B0000}"/>
    <cellStyle name="40% - 강조색6 72 2 2" xfId="3495" xr:uid="{00000000-0005-0000-0000-00009E0B0000}"/>
    <cellStyle name="40% - 강조색6 72 3" xfId="3319" xr:uid="{00000000-0005-0000-0000-0000FF0A0000}"/>
    <cellStyle name="40% - 강조색6 73" xfId="2839" xr:uid="{00000000-0005-0000-0000-0000140B0000}"/>
    <cellStyle name="40% - 강조색6 73 2" xfId="3068" xr:uid="{00000000-0005-0000-0000-00009F0B0000}"/>
    <cellStyle name="40% - 강조색6 73 2 2" xfId="3515" xr:uid="{00000000-0005-0000-0000-00009F0B0000}"/>
    <cellStyle name="40% - 강조색6 73 3" xfId="3339" xr:uid="{00000000-0005-0000-0000-0000140B0000}"/>
    <cellStyle name="40% - 강조색6 74" xfId="2860" xr:uid="{00000000-0005-0000-0000-0000290B0000}"/>
    <cellStyle name="40% - 강조색6 74 2" xfId="3360" xr:uid="{00000000-0005-0000-0000-0000290B0000}"/>
    <cellStyle name="40% - 강조색6 75" xfId="3089" xr:uid="{00000000-0005-0000-0000-00000E0C0000}"/>
    <cellStyle name="40% - 강조색6 75 2" xfId="3536" xr:uid="{00000000-0005-0000-0000-00000E0C0000}"/>
    <cellStyle name="40% - 강조색6 76" xfId="3109" xr:uid="{00000000-0005-0000-0000-0000220C0000}"/>
    <cellStyle name="40% - 강조색6 76 2" xfId="3556" xr:uid="{00000000-0005-0000-0000-0000220C0000}"/>
    <cellStyle name="40% - 강조색6 77" xfId="3130" xr:uid="{00000000-0005-0000-0000-0000360C0000}"/>
    <cellStyle name="40% - 강조색6 77 2" xfId="3577" xr:uid="{00000000-0005-0000-0000-0000360C0000}"/>
    <cellStyle name="40% - 강조색6 78" xfId="3151" xr:uid="{00000000-0005-0000-0000-00004B0C0000}"/>
    <cellStyle name="40% - 강조색6 78 2" xfId="3598" xr:uid="{00000000-0005-0000-0000-00004B0C0000}"/>
    <cellStyle name="40% - 강조색6 79" xfId="3172" xr:uid="{00000000-0005-0000-0000-0000600C0000}"/>
    <cellStyle name="40% - 강조색6 79 2" xfId="3619" xr:uid="{00000000-0005-0000-0000-0000600C0000}"/>
    <cellStyle name="40% - 강조색6 8" xfId="755" xr:uid="{00000000-0005-0000-0000-000052030000}"/>
    <cellStyle name="40% - 강조색6 80" xfId="3188" xr:uid="{00000000-0005-0000-0000-00007D0D0000}"/>
    <cellStyle name="40% - 강조색6 81" xfId="3639" xr:uid="{00000000-0005-0000-0000-0000340E0000}"/>
    <cellStyle name="40% - 강조색6 82" xfId="3659" xr:uid="{00000000-0005-0000-0000-0000480E0000}"/>
    <cellStyle name="40% - 강조색6 83" xfId="3679" xr:uid="{00000000-0005-0000-0000-00005C0E0000}"/>
    <cellStyle name="40% - 강조색6 84" xfId="3699" xr:uid="{00000000-0005-0000-0000-0000700E0000}"/>
    <cellStyle name="40% - 강조색6 9" xfId="756" xr:uid="{00000000-0005-0000-0000-000053030000}"/>
    <cellStyle name="60% - 강조색1" xfId="2659" builtinId="32" customBuiltin="1"/>
    <cellStyle name="60% - 강조색1 10" xfId="757" xr:uid="{00000000-0005-0000-0000-000055030000}"/>
    <cellStyle name="60% - 강조색1 11" xfId="758" xr:uid="{00000000-0005-0000-0000-000056030000}"/>
    <cellStyle name="60% - 강조색1 12" xfId="759" xr:uid="{00000000-0005-0000-0000-000057030000}"/>
    <cellStyle name="60% - 강조색1 13" xfId="760" xr:uid="{00000000-0005-0000-0000-000058030000}"/>
    <cellStyle name="60% - 강조색1 14" xfId="761" xr:uid="{00000000-0005-0000-0000-000059030000}"/>
    <cellStyle name="60% - 강조색1 15" xfId="762" xr:uid="{00000000-0005-0000-0000-00005A030000}"/>
    <cellStyle name="60% - 강조색1 16" xfId="763" xr:uid="{00000000-0005-0000-0000-00005B030000}"/>
    <cellStyle name="60% - 강조색1 17" xfId="764" xr:uid="{00000000-0005-0000-0000-00005C030000}"/>
    <cellStyle name="60% - 강조색1 18" xfId="765" xr:uid="{00000000-0005-0000-0000-00005D030000}"/>
    <cellStyle name="60% - 강조색1 19" xfId="766" xr:uid="{00000000-0005-0000-0000-00005E030000}"/>
    <cellStyle name="60% - 강조색1 2" xfId="767" xr:uid="{00000000-0005-0000-0000-00005F030000}"/>
    <cellStyle name="60% - 강조색1 20" xfId="768" xr:uid="{00000000-0005-0000-0000-000060030000}"/>
    <cellStyle name="60% - 강조색1 21" xfId="769" xr:uid="{00000000-0005-0000-0000-000061030000}"/>
    <cellStyle name="60% - 강조색1 22" xfId="770" xr:uid="{00000000-0005-0000-0000-000062030000}"/>
    <cellStyle name="60% - 강조색1 23" xfId="771" xr:uid="{00000000-0005-0000-0000-000063030000}"/>
    <cellStyle name="60% - 강조색1 24" xfId="772" xr:uid="{00000000-0005-0000-0000-000064030000}"/>
    <cellStyle name="60% - 강조색1 25" xfId="773" xr:uid="{00000000-0005-0000-0000-000065030000}"/>
    <cellStyle name="60% - 강조색1 26" xfId="774" xr:uid="{00000000-0005-0000-0000-000066030000}"/>
    <cellStyle name="60% - 강조색1 27" xfId="775" xr:uid="{00000000-0005-0000-0000-000067030000}"/>
    <cellStyle name="60% - 강조색1 28" xfId="776" xr:uid="{00000000-0005-0000-0000-000068030000}"/>
    <cellStyle name="60% - 강조색1 29" xfId="777" xr:uid="{00000000-0005-0000-0000-000069030000}"/>
    <cellStyle name="60% - 강조색1 3" xfId="778" xr:uid="{00000000-0005-0000-0000-00006A030000}"/>
    <cellStyle name="60% - 강조색1 30" xfId="779" xr:uid="{00000000-0005-0000-0000-00006B030000}"/>
    <cellStyle name="60% - 강조색1 31" xfId="780" xr:uid="{00000000-0005-0000-0000-00006C030000}"/>
    <cellStyle name="60% - 강조색1 32" xfId="781" xr:uid="{00000000-0005-0000-0000-00006D030000}"/>
    <cellStyle name="60% - 강조색1 33" xfId="782" xr:uid="{00000000-0005-0000-0000-00006E030000}"/>
    <cellStyle name="60% - 강조색1 34" xfId="783" xr:uid="{00000000-0005-0000-0000-00006F030000}"/>
    <cellStyle name="60% - 강조색1 35" xfId="784" xr:uid="{00000000-0005-0000-0000-000070030000}"/>
    <cellStyle name="60% - 강조색1 36" xfId="785" xr:uid="{00000000-0005-0000-0000-000071030000}"/>
    <cellStyle name="60% - 강조색1 37" xfId="786" xr:uid="{00000000-0005-0000-0000-000072030000}"/>
    <cellStyle name="60% - 강조색1 38" xfId="787" xr:uid="{00000000-0005-0000-0000-000073030000}"/>
    <cellStyle name="60% - 강조색1 39" xfId="788" xr:uid="{00000000-0005-0000-0000-000074030000}"/>
    <cellStyle name="60% - 강조색1 4" xfId="789" xr:uid="{00000000-0005-0000-0000-000075030000}"/>
    <cellStyle name="60% - 강조색1 40" xfId="790" xr:uid="{00000000-0005-0000-0000-000076030000}"/>
    <cellStyle name="60% - 강조색1 41" xfId="791" xr:uid="{00000000-0005-0000-0000-000077030000}"/>
    <cellStyle name="60% - 강조색1 42" xfId="792" xr:uid="{00000000-0005-0000-0000-000078030000}"/>
    <cellStyle name="60% - 강조색1 43" xfId="793" xr:uid="{00000000-0005-0000-0000-000079030000}"/>
    <cellStyle name="60% - 강조색1 44" xfId="794" xr:uid="{00000000-0005-0000-0000-00007A030000}"/>
    <cellStyle name="60% - 강조색1 45" xfId="795" xr:uid="{00000000-0005-0000-0000-00007B030000}"/>
    <cellStyle name="60% - 강조색1 46" xfId="796" xr:uid="{00000000-0005-0000-0000-00007C030000}"/>
    <cellStyle name="60% - 강조색1 47" xfId="797" xr:uid="{00000000-0005-0000-0000-00007D030000}"/>
    <cellStyle name="60% - 강조색1 48" xfId="798" xr:uid="{00000000-0005-0000-0000-00007E030000}"/>
    <cellStyle name="60% - 강조색1 49" xfId="799" xr:uid="{00000000-0005-0000-0000-00007F030000}"/>
    <cellStyle name="60% - 강조색1 5" xfId="800" xr:uid="{00000000-0005-0000-0000-000080030000}"/>
    <cellStyle name="60% - 강조색1 50" xfId="801" xr:uid="{00000000-0005-0000-0000-000081030000}"/>
    <cellStyle name="60% - 강조색1 51" xfId="802" xr:uid="{00000000-0005-0000-0000-000082030000}"/>
    <cellStyle name="60% - 강조색1 52" xfId="803" xr:uid="{00000000-0005-0000-0000-000083030000}"/>
    <cellStyle name="60% - 강조색1 53" xfId="804" xr:uid="{00000000-0005-0000-0000-000084030000}"/>
    <cellStyle name="60% - 강조색1 54" xfId="805" xr:uid="{00000000-0005-0000-0000-000085030000}"/>
    <cellStyle name="60% - 강조색1 55" xfId="806" xr:uid="{00000000-0005-0000-0000-000086030000}"/>
    <cellStyle name="60% - 강조색1 56" xfId="807" xr:uid="{00000000-0005-0000-0000-000087030000}"/>
    <cellStyle name="60% - 강조색1 57" xfId="808" xr:uid="{00000000-0005-0000-0000-000088030000}"/>
    <cellStyle name="60% - 강조색1 58" xfId="809" xr:uid="{00000000-0005-0000-0000-000089030000}"/>
    <cellStyle name="60% - 강조색1 59" xfId="810" xr:uid="{00000000-0005-0000-0000-00008A030000}"/>
    <cellStyle name="60% - 강조색1 6" xfId="811" xr:uid="{00000000-0005-0000-0000-00008B030000}"/>
    <cellStyle name="60% - 강조색1 60" xfId="812" xr:uid="{00000000-0005-0000-0000-00008C030000}"/>
    <cellStyle name="60% - 강조색1 61" xfId="813" xr:uid="{00000000-0005-0000-0000-00008D030000}"/>
    <cellStyle name="60% - 강조색1 62" xfId="814" xr:uid="{00000000-0005-0000-0000-00008E030000}"/>
    <cellStyle name="60% - 강조색1 63" xfId="815" xr:uid="{00000000-0005-0000-0000-00008F030000}"/>
    <cellStyle name="60% - 강조색1 64" xfId="816" xr:uid="{00000000-0005-0000-0000-000090030000}"/>
    <cellStyle name="60% - 강조색1 65" xfId="2805" xr:uid="{00000000-0005-0000-0000-0000000B0000}"/>
    <cellStyle name="60% - 강조색1 65 2" xfId="3034" xr:uid="{00000000-0005-0000-0000-0000A00B0000}"/>
    <cellStyle name="60% - 강조색1 65 2 2" xfId="3481" xr:uid="{00000000-0005-0000-0000-0000A00B0000}"/>
    <cellStyle name="60% - 강조색1 65 3" xfId="3305" xr:uid="{00000000-0005-0000-0000-0000000B0000}"/>
    <cellStyle name="60% - 강조색1 66" xfId="2825" xr:uid="{00000000-0005-0000-0000-0000150B0000}"/>
    <cellStyle name="60% - 강조색1 66 2" xfId="3054" xr:uid="{00000000-0005-0000-0000-0000A10B0000}"/>
    <cellStyle name="60% - 강조색1 66 2 2" xfId="3501" xr:uid="{00000000-0005-0000-0000-0000A10B0000}"/>
    <cellStyle name="60% - 강조색1 66 3" xfId="3325" xr:uid="{00000000-0005-0000-0000-0000150B0000}"/>
    <cellStyle name="60% - 강조색1 67" xfId="2846" xr:uid="{00000000-0005-0000-0000-00002A0B0000}"/>
    <cellStyle name="60% - 강조색1 67 2" xfId="3346" xr:uid="{00000000-0005-0000-0000-00002A0B0000}"/>
    <cellStyle name="60% - 강조색1 68" xfId="2911" xr:uid="{00000000-0005-0000-0000-0000A20B0000}"/>
    <cellStyle name="60% - 강조색1 69" xfId="3075" xr:uid="{00000000-0005-0000-0000-00000F0C0000}"/>
    <cellStyle name="60% - 강조색1 69 2" xfId="3522" xr:uid="{00000000-0005-0000-0000-00000F0C0000}"/>
    <cellStyle name="60% - 강조색1 7" xfId="817" xr:uid="{00000000-0005-0000-0000-000091030000}"/>
    <cellStyle name="60% - 강조색1 70" xfId="3095" xr:uid="{00000000-0005-0000-0000-0000230C0000}"/>
    <cellStyle name="60% - 강조색1 70 2" xfId="3542" xr:uid="{00000000-0005-0000-0000-0000230C0000}"/>
    <cellStyle name="60% - 강조색1 71" xfId="3116" xr:uid="{00000000-0005-0000-0000-0000370C0000}"/>
    <cellStyle name="60% - 강조색1 71 2" xfId="3563" xr:uid="{00000000-0005-0000-0000-0000370C0000}"/>
    <cellStyle name="60% - 강조색1 72" xfId="3137" xr:uid="{00000000-0005-0000-0000-00004C0C0000}"/>
    <cellStyle name="60% - 강조색1 72 2" xfId="3584" xr:uid="{00000000-0005-0000-0000-00004C0C0000}"/>
    <cellStyle name="60% - 강조색1 73" xfId="3158" xr:uid="{00000000-0005-0000-0000-0000610C0000}"/>
    <cellStyle name="60% - 강조색1 73 2" xfId="3605" xr:uid="{00000000-0005-0000-0000-0000610C0000}"/>
    <cellStyle name="60% - 강조색1 74" xfId="3625" xr:uid="{00000000-0005-0000-0000-0000350E0000}"/>
    <cellStyle name="60% - 강조색1 75" xfId="3645" xr:uid="{00000000-0005-0000-0000-0000490E0000}"/>
    <cellStyle name="60% - 강조색1 76" xfId="3665" xr:uid="{00000000-0005-0000-0000-00005D0E0000}"/>
    <cellStyle name="60% - 강조색1 77" xfId="3685" xr:uid="{00000000-0005-0000-0000-0000710E0000}"/>
    <cellStyle name="60% - 강조색1 8" xfId="818" xr:uid="{00000000-0005-0000-0000-000092030000}"/>
    <cellStyle name="60% - 강조색1 9" xfId="819" xr:uid="{00000000-0005-0000-0000-000093030000}"/>
    <cellStyle name="60% - 강조색2" xfId="2663" builtinId="36" customBuiltin="1"/>
    <cellStyle name="60% - 강조색2 10" xfId="820" xr:uid="{00000000-0005-0000-0000-000095030000}"/>
    <cellStyle name="60% - 강조색2 11" xfId="821" xr:uid="{00000000-0005-0000-0000-000096030000}"/>
    <cellStyle name="60% - 강조색2 12" xfId="822" xr:uid="{00000000-0005-0000-0000-000097030000}"/>
    <cellStyle name="60% - 강조색2 13" xfId="823" xr:uid="{00000000-0005-0000-0000-000098030000}"/>
    <cellStyle name="60% - 강조색2 14" xfId="824" xr:uid="{00000000-0005-0000-0000-000099030000}"/>
    <cellStyle name="60% - 강조색2 15" xfId="825" xr:uid="{00000000-0005-0000-0000-00009A030000}"/>
    <cellStyle name="60% - 강조색2 16" xfId="826" xr:uid="{00000000-0005-0000-0000-00009B030000}"/>
    <cellStyle name="60% - 강조색2 17" xfId="827" xr:uid="{00000000-0005-0000-0000-00009C030000}"/>
    <cellStyle name="60% - 강조색2 18" xfId="828" xr:uid="{00000000-0005-0000-0000-00009D030000}"/>
    <cellStyle name="60% - 강조색2 19" xfId="829" xr:uid="{00000000-0005-0000-0000-00009E030000}"/>
    <cellStyle name="60% - 강조색2 2" xfId="830" xr:uid="{00000000-0005-0000-0000-00009F030000}"/>
    <cellStyle name="60% - 강조색2 20" xfId="831" xr:uid="{00000000-0005-0000-0000-0000A0030000}"/>
    <cellStyle name="60% - 강조색2 21" xfId="832" xr:uid="{00000000-0005-0000-0000-0000A1030000}"/>
    <cellStyle name="60% - 강조색2 22" xfId="833" xr:uid="{00000000-0005-0000-0000-0000A2030000}"/>
    <cellStyle name="60% - 강조색2 23" xfId="834" xr:uid="{00000000-0005-0000-0000-0000A3030000}"/>
    <cellStyle name="60% - 강조색2 24" xfId="835" xr:uid="{00000000-0005-0000-0000-0000A4030000}"/>
    <cellStyle name="60% - 강조색2 25" xfId="836" xr:uid="{00000000-0005-0000-0000-0000A5030000}"/>
    <cellStyle name="60% - 강조색2 26" xfId="837" xr:uid="{00000000-0005-0000-0000-0000A6030000}"/>
    <cellStyle name="60% - 강조색2 27" xfId="838" xr:uid="{00000000-0005-0000-0000-0000A7030000}"/>
    <cellStyle name="60% - 강조색2 28" xfId="839" xr:uid="{00000000-0005-0000-0000-0000A8030000}"/>
    <cellStyle name="60% - 강조색2 29" xfId="840" xr:uid="{00000000-0005-0000-0000-0000A9030000}"/>
    <cellStyle name="60% - 강조색2 3" xfId="841" xr:uid="{00000000-0005-0000-0000-0000AA030000}"/>
    <cellStyle name="60% - 강조색2 30" xfId="842" xr:uid="{00000000-0005-0000-0000-0000AB030000}"/>
    <cellStyle name="60% - 강조색2 31" xfId="843" xr:uid="{00000000-0005-0000-0000-0000AC030000}"/>
    <cellStyle name="60% - 강조색2 32" xfId="844" xr:uid="{00000000-0005-0000-0000-0000AD030000}"/>
    <cellStyle name="60% - 강조색2 33" xfId="845" xr:uid="{00000000-0005-0000-0000-0000AE030000}"/>
    <cellStyle name="60% - 강조색2 34" xfId="846" xr:uid="{00000000-0005-0000-0000-0000AF030000}"/>
    <cellStyle name="60% - 강조색2 35" xfId="847" xr:uid="{00000000-0005-0000-0000-0000B0030000}"/>
    <cellStyle name="60% - 강조색2 36" xfId="848" xr:uid="{00000000-0005-0000-0000-0000B1030000}"/>
    <cellStyle name="60% - 강조색2 37" xfId="849" xr:uid="{00000000-0005-0000-0000-0000B2030000}"/>
    <cellStyle name="60% - 강조색2 38" xfId="850" xr:uid="{00000000-0005-0000-0000-0000B3030000}"/>
    <cellStyle name="60% - 강조색2 39" xfId="851" xr:uid="{00000000-0005-0000-0000-0000B4030000}"/>
    <cellStyle name="60% - 강조색2 4" xfId="852" xr:uid="{00000000-0005-0000-0000-0000B5030000}"/>
    <cellStyle name="60% - 강조색2 40" xfId="853" xr:uid="{00000000-0005-0000-0000-0000B6030000}"/>
    <cellStyle name="60% - 강조색2 41" xfId="854" xr:uid="{00000000-0005-0000-0000-0000B7030000}"/>
    <cellStyle name="60% - 강조색2 42" xfId="855" xr:uid="{00000000-0005-0000-0000-0000B8030000}"/>
    <cellStyle name="60% - 강조색2 43" xfId="856" xr:uid="{00000000-0005-0000-0000-0000B9030000}"/>
    <cellStyle name="60% - 강조색2 44" xfId="857" xr:uid="{00000000-0005-0000-0000-0000BA030000}"/>
    <cellStyle name="60% - 강조색2 45" xfId="858" xr:uid="{00000000-0005-0000-0000-0000BB030000}"/>
    <cellStyle name="60% - 강조색2 46" xfId="859" xr:uid="{00000000-0005-0000-0000-0000BC030000}"/>
    <cellStyle name="60% - 강조색2 47" xfId="860" xr:uid="{00000000-0005-0000-0000-0000BD030000}"/>
    <cellStyle name="60% - 강조색2 48" xfId="861" xr:uid="{00000000-0005-0000-0000-0000BE030000}"/>
    <cellStyle name="60% - 강조색2 49" xfId="862" xr:uid="{00000000-0005-0000-0000-0000BF030000}"/>
    <cellStyle name="60% - 강조색2 5" xfId="863" xr:uid="{00000000-0005-0000-0000-0000C0030000}"/>
    <cellStyle name="60% - 강조색2 50" xfId="864" xr:uid="{00000000-0005-0000-0000-0000C1030000}"/>
    <cellStyle name="60% - 강조색2 51" xfId="865" xr:uid="{00000000-0005-0000-0000-0000C2030000}"/>
    <cellStyle name="60% - 강조색2 52" xfId="866" xr:uid="{00000000-0005-0000-0000-0000C3030000}"/>
    <cellStyle name="60% - 강조색2 53" xfId="867" xr:uid="{00000000-0005-0000-0000-0000C4030000}"/>
    <cellStyle name="60% - 강조색2 54" xfId="868" xr:uid="{00000000-0005-0000-0000-0000C5030000}"/>
    <cellStyle name="60% - 강조색2 55" xfId="869" xr:uid="{00000000-0005-0000-0000-0000C6030000}"/>
    <cellStyle name="60% - 강조색2 56" xfId="870" xr:uid="{00000000-0005-0000-0000-0000C7030000}"/>
    <cellStyle name="60% - 강조색2 57" xfId="871" xr:uid="{00000000-0005-0000-0000-0000C8030000}"/>
    <cellStyle name="60% - 강조색2 58" xfId="872" xr:uid="{00000000-0005-0000-0000-0000C9030000}"/>
    <cellStyle name="60% - 강조색2 59" xfId="873" xr:uid="{00000000-0005-0000-0000-0000CA030000}"/>
    <cellStyle name="60% - 강조색2 6" xfId="874" xr:uid="{00000000-0005-0000-0000-0000CB030000}"/>
    <cellStyle name="60% - 강조색2 60" xfId="875" xr:uid="{00000000-0005-0000-0000-0000CC030000}"/>
    <cellStyle name="60% - 강조색2 61" xfId="876" xr:uid="{00000000-0005-0000-0000-0000CD030000}"/>
    <cellStyle name="60% - 강조색2 62" xfId="877" xr:uid="{00000000-0005-0000-0000-0000CE030000}"/>
    <cellStyle name="60% - 강조색2 63" xfId="878" xr:uid="{00000000-0005-0000-0000-0000CF030000}"/>
    <cellStyle name="60% - 강조색2 64" xfId="879" xr:uid="{00000000-0005-0000-0000-0000D0030000}"/>
    <cellStyle name="60% - 강조색2 65" xfId="2808" xr:uid="{00000000-0005-0000-0000-0000010B0000}"/>
    <cellStyle name="60% - 강조색2 65 2" xfId="3037" xr:uid="{00000000-0005-0000-0000-0000A30B0000}"/>
    <cellStyle name="60% - 강조색2 65 2 2" xfId="3484" xr:uid="{00000000-0005-0000-0000-0000A30B0000}"/>
    <cellStyle name="60% - 강조색2 65 3" xfId="3308" xr:uid="{00000000-0005-0000-0000-0000010B0000}"/>
    <cellStyle name="60% - 강조색2 66" xfId="2828" xr:uid="{00000000-0005-0000-0000-0000160B0000}"/>
    <cellStyle name="60% - 강조색2 66 2" xfId="3057" xr:uid="{00000000-0005-0000-0000-0000A40B0000}"/>
    <cellStyle name="60% - 강조색2 66 2 2" xfId="3504" xr:uid="{00000000-0005-0000-0000-0000A40B0000}"/>
    <cellStyle name="60% - 강조색2 66 3" xfId="3328" xr:uid="{00000000-0005-0000-0000-0000160B0000}"/>
    <cellStyle name="60% - 강조색2 67" xfId="2849" xr:uid="{00000000-0005-0000-0000-00002B0B0000}"/>
    <cellStyle name="60% - 강조색2 67 2" xfId="3349" xr:uid="{00000000-0005-0000-0000-00002B0B0000}"/>
    <cellStyle name="60% - 강조색2 68" xfId="2912" xr:uid="{00000000-0005-0000-0000-0000A50B0000}"/>
    <cellStyle name="60% - 강조색2 69" xfId="3078" xr:uid="{00000000-0005-0000-0000-0000100C0000}"/>
    <cellStyle name="60% - 강조색2 69 2" xfId="3525" xr:uid="{00000000-0005-0000-0000-0000100C0000}"/>
    <cellStyle name="60% - 강조색2 7" xfId="880" xr:uid="{00000000-0005-0000-0000-0000D1030000}"/>
    <cellStyle name="60% - 강조색2 70" xfId="3098" xr:uid="{00000000-0005-0000-0000-0000240C0000}"/>
    <cellStyle name="60% - 강조색2 70 2" xfId="3545" xr:uid="{00000000-0005-0000-0000-0000240C0000}"/>
    <cellStyle name="60% - 강조색2 71" xfId="3119" xr:uid="{00000000-0005-0000-0000-0000380C0000}"/>
    <cellStyle name="60% - 강조색2 71 2" xfId="3566" xr:uid="{00000000-0005-0000-0000-0000380C0000}"/>
    <cellStyle name="60% - 강조색2 72" xfId="3140" xr:uid="{00000000-0005-0000-0000-00004D0C0000}"/>
    <cellStyle name="60% - 강조색2 72 2" xfId="3587" xr:uid="{00000000-0005-0000-0000-00004D0C0000}"/>
    <cellStyle name="60% - 강조색2 73" xfId="3161" xr:uid="{00000000-0005-0000-0000-0000620C0000}"/>
    <cellStyle name="60% - 강조색2 73 2" xfId="3608" xr:uid="{00000000-0005-0000-0000-0000620C0000}"/>
    <cellStyle name="60% - 강조색2 74" xfId="3628" xr:uid="{00000000-0005-0000-0000-0000360E0000}"/>
    <cellStyle name="60% - 강조색2 75" xfId="3648" xr:uid="{00000000-0005-0000-0000-00004A0E0000}"/>
    <cellStyle name="60% - 강조색2 76" xfId="3668" xr:uid="{00000000-0005-0000-0000-00005E0E0000}"/>
    <cellStyle name="60% - 강조색2 77" xfId="3688" xr:uid="{00000000-0005-0000-0000-0000720E0000}"/>
    <cellStyle name="60% - 강조색2 8" xfId="881" xr:uid="{00000000-0005-0000-0000-0000D2030000}"/>
    <cellStyle name="60% - 강조색2 9" xfId="882" xr:uid="{00000000-0005-0000-0000-0000D3030000}"/>
    <cellStyle name="60% - 강조색3" xfId="2667" builtinId="40" customBuiltin="1"/>
    <cellStyle name="60% - 강조색3 10" xfId="883" xr:uid="{00000000-0005-0000-0000-0000D5030000}"/>
    <cellStyle name="60% - 강조색3 11" xfId="884" xr:uid="{00000000-0005-0000-0000-0000D6030000}"/>
    <cellStyle name="60% - 강조색3 12" xfId="885" xr:uid="{00000000-0005-0000-0000-0000D7030000}"/>
    <cellStyle name="60% - 강조색3 13" xfId="886" xr:uid="{00000000-0005-0000-0000-0000D8030000}"/>
    <cellStyle name="60% - 강조색3 14" xfId="887" xr:uid="{00000000-0005-0000-0000-0000D9030000}"/>
    <cellStyle name="60% - 강조색3 15" xfId="888" xr:uid="{00000000-0005-0000-0000-0000DA030000}"/>
    <cellStyle name="60% - 강조색3 16" xfId="889" xr:uid="{00000000-0005-0000-0000-0000DB030000}"/>
    <cellStyle name="60% - 강조색3 17" xfId="890" xr:uid="{00000000-0005-0000-0000-0000DC030000}"/>
    <cellStyle name="60% - 강조색3 18" xfId="891" xr:uid="{00000000-0005-0000-0000-0000DD030000}"/>
    <cellStyle name="60% - 강조색3 19" xfId="892" xr:uid="{00000000-0005-0000-0000-0000DE030000}"/>
    <cellStyle name="60% - 강조색3 2" xfId="893" xr:uid="{00000000-0005-0000-0000-0000DF030000}"/>
    <cellStyle name="60% - 강조색3 20" xfId="894" xr:uid="{00000000-0005-0000-0000-0000E0030000}"/>
    <cellStyle name="60% - 강조색3 21" xfId="895" xr:uid="{00000000-0005-0000-0000-0000E1030000}"/>
    <cellStyle name="60% - 강조색3 22" xfId="896" xr:uid="{00000000-0005-0000-0000-0000E2030000}"/>
    <cellStyle name="60% - 강조색3 23" xfId="897" xr:uid="{00000000-0005-0000-0000-0000E3030000}"/>
    <cellStyle name="60% - 강조색3 24" xfId="898" xr:uid="{00000000-0005-0000-0000-0000E4030000}"/>
    <cellStyle name="60% - 강조색3 25" xfId="899" xr:uid="{00000000-0005-0000-0000-0000E5030000}"/>
    <cellStyle name="60% - 강조색3 26" xfId="900" xr:uid="{00000000-0005-0000-0000-0000E6030000}"/>
    <cellStyle name="60% - 강조색3 27" xfId="901" xr:uid="{00000000-0005-0000-0000-0000E7030000}"/>
    <cellStyle name="60% - 강조색3 28" xfId="902" xr:uid="{00000000-0005-0000-0000-0000E8030000}"/>
    <cellStyle name="60% - 강조색3 29" xfId="903" xr:uid="{00000000-0005-0000-0000-0000E9030000}"/>
    <cellStyle name="60% - 강조색3 3" xfId="904" xr:uid="{00000000-0005-0000-0000-0000EA030000}"/>
    <cellStyle name="60% - 강조색3 30" xfId="905" xr:uid="{00000000-0005-0000-0000-0000EB030000}"/>
    <cellStyle name="60% - 강조색3 31" xfId="906" xr:uid="{00000000-0005-0000-0000-0000EC030000}"/>
    <cellStyle name="60% - 강조색3 32" xfId="907" xr:uid="{00000000-0005-0000-0000-0000ED030000}"/>
    <cellStyle name="60% - 강조색3 33" xfId="908" xr:uid="{00000000-0005-0000-0000-0000EE030000}"/>
    <cellStyle name="60% - 강조색3 34" xfId="909" xr:uid="{00000000-0005-0000-0000-0000EF030000}"/>
    <cellStyle name="60% - 강조색3 35" xfId="910" xr:uid="{00000000-0005-0000-0000-0000F0030000}"/>
    <cellStyle name="60% - 강조색3 36" xfId="911" xr:uid="{00000000-0005-0000-0000-0000F1030000}"/>
    <cellStyle name="60% - 강조색3 37" xfId="912" xr:uid="{00000000-0005-0000-0000-0000F2030000}"/>
    <cellStyle name="60% - 강조색3 38" xfId="913" xr:uid="{00000000-0005-0000-0000-0000F3030000}"/>
    <cellStyle name="60% - 강조색3 39" xfId="914" xr:uid="{00000000-0005-0000-0000-0000F4030000}"/>
    <cellStyle name="60% - 강조색3 4" xfId="915" xr:uid="{00000000-0005-0000-0000-0000F5030000}"/>
    <cellStyle name="60% - 강조색3 40" xfId="916" xr:uid="{00000000-0005-0000-0000-0000F6030000}"/>
    <cellStyle name="60% - 강조색3 41" xfId="917" xr:uid="{00000000-0005-0000-0000-0000F7030000}"/>
    <cellStyle name="60% - 강조색3 42" xfId="918" xr:uid="{00000000-0005-0000-0000-0000F8030000}"/>
    <cellStyle name="60% - 강조색3 43" xfId="919" xr:uid="{00000000-0005-0000-0000-0000F9030000}"/>
    <cellStyle name="60% - 강조색3 44" xfId="920" xr:uid="{00000000-0005-0000-0000-0000FA030000}"/>
    <cellStyle name="60% - 강조색3 45" xfId="921" xr:uid="{00000000-0005-0000-0000-0000FB030000}"/>
    <cellStyle name="60% - 강조색3 46" xfId="922" xr:uid="{00000000-0005-0000-0000-0000FC030000}"/>
    <cellStyle name="60% - 강조색3 47" xfId="923" xr:uid="{00000000-0005-0000-0000-0000FD030000}"/>
    <cellStyle name="60% - 강조색3 48" xfId="924" xr:uid="{00000000-0005-0000-0000-0000FE030000}"/>
    <cellStyle name="60% - 강조색3 49" xfId="925" xr:uid="{00000000-0005-0000-0000-0000FF030000}"/>
    <cellStyle name="60% - 강조색3 5" xfId="926" xr:uid="{00000000-0005-0000-0000-000000040000}"/>
    <cellStyle name="60% - 강조색3 50" xfId="927" xr:uid="{00000000-0005-0000-0000-000001040000}"/>
    <cellStyle name="60% - 강조색3 51" xfId="928" xr:uid="{00000000-0005-0000-0000-000002040000}"/>
    <cellStyle name="60% - 강조색3 52" xfId="929" xr:uid="{00000000-0005-0000-0000-000003040000}"/>
    <cellStyle name="60% - 강조색3 53" xfId="930" xr:uid="{00000000-0005-0000-0000-000004040000}"/>
    <cellStyle name="60% - 강조색3 54" xfId="931" xr:uid="{00000000-0005-0000-0000-000005040000}"/>
    <cellStyle name="60% - 강조색3 55" xfId="932" xr:uid="{00000000-0005-0000-0000-000006040000}"/>
    <cellStyle name="60% - 강조색3 56" xfId="933" xr:uid="{00000000-0005-0000-0000-000007040000}"/>
    <cellStyle name="60% - 강조색3 57" xfId="934" xr:uid="{00000000-0005-0000-0000-000008040000}"/>
    <cellStyle name="60% - 강조색3 58" xfId="935" xr:uid="{00000000-0005-0000-0000-000009040000}"/>
    <cellStyle name="60% - 강조색3 59" xfId="936" xr:uid="{00000000-0005-0000-0000-00000A040000}"/>
    <cellStyle name="60% - 강조색3 6" xfId="937" xr:uid="{00000000-0005-0000-0000-00000B040000}"/>
    <cellStyle name="60% - 강조색3 60" xfId="938" xr:uid="{00000000-0005-0000-0000-00000C040000}"/>
    <cellStyle name="60% - 강조색3 61" xfId="939" xr:uid="{00000000-0005-0000-0000-00000D040000}"/>
    <cellStyle name="60% - 강조색3 62" xfId="940" xr:uid="{00000000-0005-0000-0000-00000E040000}"/>
    <cellStyle name="60% - 강조색3 63" xfId="941" xr:uid="{00000000-0005-0000-0000-00000F040000}"/>
    <cellStyle name="60% - 강조색3 64" xfId="942" xr:uid="{00000000-0005-0000-0000-000010040000}"/>
    <cellStyle name="60% - 강조색3 65" xfId="2811" xr:uid="{00000000-0005-0000-0000-0000020B0000}"/>
    <cellStyle name="60% - 강조색3 65 2" xfId="3040" xr:uid="{00000000-0005-0000-0000-0000A60B0000}"/>
    <cellStyle name="60% - 강조색3 65 2 2" xfId="3487" xr:uid="{00000000-0005-0000-0000-0000A60B0000}"/>
    <cellStyle name="60% - 강조색3 65 3" xfId="3311" xr:uid="{00000000-0005-0000-0000-0000020B0000}"/>
    <cellStyle name="60% - 강조색3 66" xfId="2831" xr:uid="{00000000-0005-0000-0000-0000170B0000}"/>
    <cellStyle name="60% - 강조색3 66 2" xfId="3060" xr:uid="{00000000-0005-0000-0000-0000A70B0000}"/>
    <cellStyle name="60% - 강조색3 66 2 2" xfId="3507" xr:uid="{00000000-0005-0000-0000-0000A70B0000}"/>
    <cellStyle name="60% - 강조색3 66 3" xfId="3331" xr:uid="{00000000-0005-0000-0000-0000170B0000}"/>
    <cellStyle name="60% - 강조색3 67" xfId="2852" xr:uid="{00000000-0005-0000-0000-00002C0B0000}"/>
    <cellStyle name="60% - 강조색3 67 2" xfId="3352" xr:uid="{00000000-0005-0000-0000-00002C0B0000}"/>
    <cellStyle name="60% - 강조색3 68" xfId="2913" xr:uid="{00000000-0005-0000-0000-0000A80B0000}"/>
    <cellStyle name="60% - 강조색3 69" xfId="3081" xr:uid="{00000000-0005-0000-0000-0000110C0000}"/>
    <cellStyle name="60% - 강조색3 69 2" xfId="3528" xr:uid="{00000000-0005-0000-0000-0000110C0000}"/>
    <cellStyle name="60% - 강조색3 7" xfId="943" xr:uid="{00000000-0005-0000-0000-000011040000}"/>
    <cellStyle name="60% - 강조색3 70" xfId="3101" xr:uid="{00000000-0005-0000-0000-0000250C0000}"/>
    <cellStyle name="60% - 강조색3 70 2" xfId="3548" xr:uid="{00000000-0005-0000-0000-0000250C0000}"/>
    <cellStyle name="60% - 강조색3 71" xfId="3122" xr:uid="{00000000-0005-0000-0000-0000390C0000}"/>
    <cellStyle name="60% - 강조색3 71 2" xfId="3569" xr:uid="{00000000-0005-0000-0000-0000390C0000}"/>
    <cellStyle name="60% - 강조색3 72" xfId="3143" xr:uid="{00000000-0005-0000-0000-00004E0C0000}"/>
    <cellStyle name="60% - 강조색3 72 2" xfId="3590" xr:uid="{00000000-0005-0000-0000-00004E0C0000}"/>
    <cellStyle name="60% - 강조색3 73" xfId="3164" xr:uid="{00000000-0005-0000-0000-0000630C0000}"/>
    <cellStyle name="60% - 강조색3 73 2" xfId="3611" xr:uid="{00000000-0005-0000-0000-0000630C0000}"/>
    <cellStyle name="60% - 강조색3 74" xfId="3631" xr:uid="{00000000-0005-0000-0000-0000370E0000}"/>
    <cellStyle name="60% - 강조색3 75" xfId="3651" xr:uid="{00000000-0005-0000-0000-00004B0E0000}"/>
    <cellStyle name="60% - 강조색3 76" xfId="3671" xr:uid="{00000000-0005-0000-0000-00005F0E0000}"/>
    <cellStyle name="60% - 강조색3 77" xfId="3691" xr:uid="{00000000-0005-0000-0000-0000730E0000}"/>
    <cellStyle name="60% - 강조색3 8" xfId="944" xr:uid="{00000000-0005-0000-0000-000012040000}"/>
    <cellStyle name="60% - 강조색3 9" xfId="945" xr:uid="{00000000-0005-0000-0000-000013040000}"/>
    <cellStyle name="60% - 강조색4" xfId="2671" builtinId="44" customBuiltin="1"/>
    <cellStyle name="60% - 강조색4 10" xfId="946" xr:uid="{00000000-0005-0000-0000-000015040000}"/>
    <cellStyle name="60% - 강조색4 11" xfId="947" xr:uid="{00000000-0005-0000-0000-000016040000}"/>
    <cellStyle name="60% - 강조색4 12" xfId="948" xr:uid="{00000000-0005-0000-0000-000017040000}"/>
    <cellStyle name="60% - 강조색4 13" xfId="949" xr:uid="{00000000-0005-0000-0000-000018040000}"/>
    <cellStyle name="60% - 강조색4 14" xfId="950" xr:uid="{00000000-0005-0000-0000-000019040000}"/>
    <cellStyle name="60% - 강조색4 15" xfId="951" xr:uid="{00000000-0005-0000-0000-00001A040000}"/>
    <cellStyle name="60% - 강조색4 16" xfId="952" xr:uid="{00000000-0005-0000-0000-00001B040000}"/>
    <cellStyle name="60% - 강조색4 17" xfId="953" xr:uid="{00000000-0005-0000-0000-00001C040000}"/>
    <cellStyle name="60% - 강조색4 18" xfId="954" xr:uid="{00000000-0005-0000-0000-00001D040000}"/>
    <cellStyle name="60% - 강조색4 19" xfId="955" xr:uid="{00000000-0005-0000-0000-00001E040000}"/>
    <cellStyle name="60% - 강조색4 2" xfId="956" xr:uid="{00000000-0005-0000-0000-00001F040000}"/>
    <cellStyle name="60% - 강조색4 20" xfId="957" xr:uid="{00000000-0005-0000-0000-000020040000}"/>
    <cellStyle name="60% - 강조색4 21" xfId="958" xr:uid="{00000000-0005-0000-0000-000021040000}"/>
    <cellStyle name="60% - 강조색4 22" xfId="959" xr:uid="{00000000-0005-0000-0000-000022040000}"/>
    <cellStyle name="60% - 강조색4 23" xfId="960" xr:uid="{00000000-0005-0000-0000-000023040000}"/>
    <cellStyle name="60% - 강조색4 24" xfId="961" xr:uid="{00000000-0005-0000-0000-000024040000}"/>
    <cellStyle name="60% - 강조색4 25" xfId="962" xr:uid="{00000000-0005-0000-0000-000025040000}"/>
    <cellStyle name="60% - 강조색4 26" xfId="963" xr:uid="{00000000-0005-0000-0000-000026040000}"/>
    <cellStyle name="60% - 강조색4 27" xfId="964" xr:uid="{00000000-0005-0000-0000-000027040000}"/>
    <cellStyle name="60% - 강조색4 28" xfId="965" xr:uid="{00000000-0005-0000-0000-000028040000}"/>
    <cellStyle name="60% - 강조색4 29" xfId="966" xr:uid="{00000000-0005-0000-0000-000029040000}"/>
    <cellStyle name="60% - 강조색4 3" xfId="967" xr:uid="{00000000-0005-0000-0000-00002A040000}"/>
    <cellStyle name="60% - 강조색4 30" xfId="968" xr:uid="{00000000-0005-0000-0000-00002B040000}"/>
    <cellStyle name="60% - 강조색4 31" xfId="969" xr:uid="{00000000-0005-0000-0000-00002C040000}"/>
    <cellStyle name="60% - 강조색4 32" xfId="970" xr:uid="{00000000-0005-0000-0000-00002D040000}"/>
    <cellStyle name="60% - 강조색4 33" xfId="971" xr:uid="{00000000-0005-0000-0000-00002E040000}"/>
    <cellStyle name="60% - 강조색4 34" xfId="972" xr:uid="{00000000-0005-0000-0000-00002F040000}"/>
    <cellStyle name="60% - 강조색4 35" xfId="973" xr:uid="{00000000-0005-0000-0000-000030040000}"/>
    <cellStyle name="60% - 강조색4 36" xfId="974" xr:uid="{00000000-0005-0000-0000-000031040000}"/>
    <cellStyle name="60% - 강조색4 37" xfId="975" xr:uid="{00000000-0005-0000-0000-000032040000}"/>
    <cellStyle name="60% - 강조색4 38" xfId="976" xr:uid="{00000000-0005-0000-0000-000033040000}"/>
    <cellStyle name="60% - 강조색4 39" xfId="977" xr:uid="{00000000-0005-0000-0000-000034040000}"/>
    <cellStyle name="60% - 강조색4 4" xfId="978" xr:uid="{00000000-0005-0000-0000-000035040000}"/>
    <cellStyle name="60% - 강조색4 40" xfId="979" xr:uid="{00000000-0005-0000-0000-000036040000}"/>
    <cellStyle name="60% - 강조색4 41" xfId="980" xr:uid="{00000000-0005-0000-0000-000037040000}"/>
    <cellStyle name="60% - 강조색4 42" xfId="981" xr:uid="{00000000-0005-0000-0000-000038040000}"/>
    <cellStyle name="60% - 강조색4 43" xfId="982" xr:uid="{00000000-0005-0000-0000-000039040000}"/>
    <cellStyle name="60% - 강조색4 44" xfId="983" xr:uid="{00000000-0005-0000-0000-00003A040000}"/>
    <cellStyle name="60% - 강조색4 45" xfId="984" xr:uid="{00000000-0005-0000-0000-00003B040000}"/>
    <cellStyle name="60% - 강조색4 46" xfId="985" xr:uid="{00000000-0005-0000-0000-00003C040000}"/>
    <cellStyle name="60% - 강조색4 47" xfId="986" xr:uid="{00000000-0005-0000-0000-00003D040000}"/>
    <cellStyle name="60% - 강조색4 48" xfId="987" xr:uid="{00000000-0005-0000-0000-00003E040000}"/>
    <cellStyle name="60% - 강조색4 49" xfId="988" xr:uid="{00000000-0005-0000-0000-00003F040000}"/>
    <cellStyle name="60% - 강조색4 5" xfId="989" xr:uid="{00000000-0005-0000-0000-000040040000}"/>
    <cellStyle name="60% - 강조색4 50" xfId="990" xr:uid="{00000000-0005-0000-0000-000041040000}"/>
    <cellStyle name="60% - 강조색4 51" xfId="991" xr:uid="{00000000-0005-0000-0000-000042040000}"/>
    <cellStyle name="60% - 강조색4 52" xfId="992" xr:uid="{00000000-0005-0000-0000-000043040000}"/>
    <cellStyle name="60% - 강조색4 53" xfId="993" xr:uid="{00000000-0005-0000-0000-000044040000}"/>
    <cellStyle name="60% - 강조색4 54" xfId="994" xr:uid="{00000000-0005-0000-0000-000045040000}"/>
    <cellStyle name="60% - 강조색4 55" xfId="995" xr:uid="{00000000-0005-0000-0000-000046040000}"/>
    <cellStyle name="60% - 강조색4 56" xfId="996" xr:uid="{00000000-0005-0000-0000-000047040000}"/>
    <cellStyle name="60% - 강조색4 57" xfId="997" xr:uid="{00000000-0005-0000-0000-000048040000}"/>
    <cellStyle name="60% - 강조색4 58" xfId="998" xr:uid="{00000000-0005-0000-0000-000049040000}"/>
    <cellStyle name="60% - 강조색4 59" xfId="999" xr:uid="{00000000-0005-0000-0000-00004A040000}"/>
    <cellStyle name="60% - 강조색4 6" xfId="1000" xr:uid="{00000000-0005-0000-0000-00004B040000}"/>
    <cellStyle name="60% - 강조색4 60" xfId="1001" xr:uid="{00000000-0005-0000-0000-00004C040000}"/>
    <cellStyle name="60% - 강조색4 61" xfId="1002" xr:uid="{00000000-0005-0000-0000-00004D040000}"/>
    <cellStyle name="60% - 강조색4 62" xfId="1003" xr:uid="{00000000-0005-0000-0000-00004E040000}"/>
    <cellStyle name="60% - 강조색4 63" xfId="1004" xr:uid="{00000000-0005-0000-0000-00004F040000}"/>
    <cellStyle name="60% - 강조색4 64" xfId="1005" xr:uid="{00000000-0005-0000-0000-000050040000}"/>
    <cellStyle name="60% - 강조색4 65" xfId="2814" xr:uid="{00000000-0005-0000-0000-0000030B0000}"/>
    <cellStyle name="60% - 강조색4 65 2" xfId="3043" xr:uid="{00000000-0005-0000-0000-0000A90B0000}"/>
    <cellStyle name="60% - 강조색4 65 2 2" xfId="3490" xr:uid="{00000000-0005-0000-0000-0000A90B0000}"/>
    <cellStyle name="60% - 강조색4 65 3" xfId="3314" xr:uid="{00000000-0005-0000-0000-0000030B0000}"/>
    <cellStyle name="60% - 강조색4 66" xfId="2834" xr:uid="{00000000-0005-0000-0000-0000180B0000}"/>
    <cellStyle name="60% - 강조색4 66 2" xfId="3063" xr:uid="{00000000-0005-0000-0000-0000AA0B0000}"/>
    <cellStyle name="60% - 강조색4 66 2 2" xfId="3510" xr:uid="{00000000-0005-0000-0000-0000AA0B0000}"/>
    <cellStyle name="60% - 강조색4 66 3" xfId="3334" xr:uid="{00000000-0005-0000-0000-0000180B0000}"/>
    <cellStyle name="60% - 강조색4 67" xfId="2855" xr:uid="{00000000-0005-0000-0000-00002D0B0000}"/>
    <cellStyle name="60% - 강조색4 67 2" xfId="3355" xr:uid="{00000000-0005-0000-0000-00002D0B0000}"/>
    <cellStyle name="60% - 강조색4 68" xfId="2914" xr:uid="{00000000-0005-0000-0000-0000AB0B0000}"/>
    <cellStyle name="60% - 강조색4 69" xfId="3084" xr:uid="{00000000-0005-0000-0000-0000120C0000}"/>
    <cellStyle name="60% - 강조색4 69 2" xfId="3531" xr:uid="{00000000-0005-0000-0000-0000120C0000}"/>
    <cellStyle name="60% - 강조색4 7" xfId="1006" xr:uid="{00000000-0005-0000-0000-000051040000}"/>
    <cellStyle name="60% - 강조색4 70" xfId="3104" xr:uid="{00000000-0005-0000-0000-0000260C0000}"/>
    <cellStyle name="60% - 강조색4 70 2" xfId="3551" xr:uid="{00000000-0005-0000-0000-0000260C0000}"/>
    <cellStyle name="60% - 강조색4 71" xfId="3125" xr:uid="{00000000-0005-0000-0000-00003A0C0000}"/>
    <cellStyle name="60% - 강조색4 71 2" xfId="3572" xr:uid="{00000000-0005-0000-0000-00003A0C0000}"/>
    <cellStyle name="60% - 강조색4 72" xfId="3146" xr:uid="{00000000-0005-0000-0000-00004F0C0000}"/>
    <cellStyle name="60% - 강조색4 72 2" xfId="3593" xr:uid="{00000000-0005-0000-0000-00004F0C0000}"/>
    <cellStyle name="60% - 강조색4 73" xfId="3167" xr:uid="{00000000-0005-0000-0000-0000640C0000}"/>
    <cellStyle name="60% - 강조색4 73 2" xfId="3614" xr:uid="{00000000-0005-0000-0000-0000640C0000}"/>
    <cellStyle name="60% - 강조색4 74" xfId="3634" xr:uid="{00000000-0005-0000-0000-0000380E0000}"/>
    <cellStyle name="60% - 강조색4 75" xfId="3654" xr:uid="{00000000-0005-0000-0000-00004C0E0000}"/>
    <cellStyle name="60% - 강조색4 76" xfId="3674" xr:uid="{00000000-0005-0000-0000-0000600E0000}"/>
    <cellStyle name="60% - 강조색4 77" xfId="3694" xr:uid="{00000000-0005-0000-0000-0000740E0000}"/>
    <cellStyle name="60% - 강조색4 8" xfId="1007" xr:uid="{00000000-0005-0000-0000-000052040000}"/>
    <cellStyle name="60% - 강조색4 9" xfId="1008" xr:uid="{00000000-0005-0000-0000-000053040000}"/>
    <cellStyle name="60% - 강조색5" xfId="2675" builtinId="48" customBuiltin="1"/>
    <cellStyle name="60% - 강조색5 10" xfId="1009" xr:uid="{00000000-0005-0000-0000-000055040000}"/>
    <cellStyle name="60% - 강조색5 11" xfId="1010" xr:uid="{00000000-0005-0000-0000-000056040000}"/>
    <cellStyle name="60% - 강조색5 12" xfId="1011" xr:uid="{00000000-0005-0000-0000-000057040000}"/>
    <cellStyle name="60% - 강조색5 13" xfId="1012" xr:uid="{00000000-0005-0000-0000-000058040000}"/>
    <cellStyle name="60% - 강조색5 14" xfId="1013" xr:uid="{00000000-0005-0000-0000-000059040000}"/>
    <cellStyle name="60% - 강조색5 15" xfId="1014" xr:uid="{00000000-0005-0000-0000-00005A040000}"/>
    <cellStyle name="60% - 강조색5 16" xfId="1015" xr:uid="{00000000-0005-0000-0000-00005B040000}"/>
    <cellStyle name="60% - 강조색5 17" xfId="1016" xr:uid="{00000000-0005-0000-0000-00005C040000}"/>
    <cellStyle name="60% - 강조색5 18" xfId="1017" xr:uid="{00000000-0005-0000-0000-00005D040000}"/>
    <cellStyle name="60% - 강조색5 19" xfId="1018" xr:uid="{00000000-0005-0000-0000-00005E040000}"/>
    <cellStyle name="60% - 강조색5 2" xfId="1019" xr:uid="{00000000-0005-0000-0000-00005F040000}"/>
    <cellStyle name="60% - 강조색5 20" xfId="1020" xr:uid="{00000000-0005-0000-0000-000060040000}"/>
    <cellStyle name="60% - 강조색5 21" xfId="1021" xr:uid="{00000000-0005-0000-0000-000061040000}"/>
    <cellStyle name="60% - 강조색5 22" xfId="1022" xr:uid="{00000000-0005-0000-0000-000062040000}"/>
    <cellStyle name="60% - 강조색5 23" xfId="1023" xr:uid="{00000000-0005-0000-0000-000063040000}"/>
    <cellStyle name="60% - 강조색5 24" xfId="1024" xr:uid="{00000000-0005-0000-0000-000064040000}"/>
    <cellStyle name="60% - 강조색5 25" xfId="1025" xr:uid="{00000000-0005-0000-0000-000065040000}"/>
    <cellStyle name="60% - 강조색5 26" xfId="1026" xr:uid="{00000000-0005-0000-0000-000066040000}"/>
    <cellStyle name="60% - 강조색5 27" xfId="1027" xr:uid="{00000000-0005-0000-0000-000067040000}"/>
    <cellStyle name="60% - 강조색5 28" xfId="1028" xr:uid="{00000000-0005-0000-0000-000068040000}"/>
    <cellStyle name="60% - 강조색5 29" xfId="1029" xr:uid="{00000000-0005-0000-0000-000069040000}"/>
    <cellStyle name="60% - 강조색5 3" xfId="1030" xr:uid="{00000000-0005-0000-0000-00006A040000}"/>
    <cellStyle name="60% - 강조색5 30" xfId="1031" xr:uid="{00000000-0005-0000-0000-00006B040000}"/>
    <cellStyle name="60% - 강조색5 31" xfId="1032" xr:uid="{00000000-0005-0000-0000-00006C040000}"/>
    <cellStyle name="60% - 강조색5 32" xfId="1033" xr:uid="{00000000-0005-0000-0000-00006D040000}"/>
    <cellStyle name="60% - 강조색5 33" xfId="1034" xr:uid="{00000000-0005-0000-0000-00006E040000}"/>
    <cellStyle name="60% - 강조색5 34" xfId="1035" xr:uid="{00000000-0005-0000-0000-00006F040000}"/>
    <cellStyle name="60% - 강조색5 35" xfId="1036" xr:uid="{00000000-0005-0000-0000-000070040000}"/>
    <cellStyle name="60% - 강조색5 36" xfId="1037" xr:uid="{00000000-0005-0000-0000-000071040000}"/>
    <cellStyle name="60% - 강조색5 37" xfId="1038" xr:uid="{00000000-0005-0000-0000-000072040000}"/>
    <cellStyle name="60% - 강조색5 38" xfId="1039" xr:uid="{00000000-0005-0000-0000-000073040000}"/>
    <cellStyle name="60% - 강조색5 39" xfId="1040" xr:uid="{00000000-0005-0000-0000-000074040000}"/>
    <cellStyle name="60% - 강조색5 4" xfId="1041" xr:uid="{00000000-0005-0000-0000-000075040000}"/>
    <cellStyle name="60% - 강조색5 40" xfId="1042" xr:uid="{00000000-0005-0000-0000-000076040000}"/>
    <cellStyle name="60% - 강조색5 41" xfId="1043" xr:uid="{00000000-0005-0000-0000-000077040000}"/>
    <cellStyle name="60% - 강조색5 42" xfId="1044" xr:uid="{00000000-0005-0000-0000-000078040000}"/>
    <cellStyle name="60% - 강조색5 43" xfId="1045" xr:uid="{00000000-0005-0000-0000-000079040000}"/>
    <cellStyle name="60% - 강조색5 44" xfId="1046" xr:uid="{00000000-0005-0000-0000-00007A040000}"/>
    <cellStyle name="60% - 강조색5 45" xfId="1047" xr:uid="{00000000-0005-0000-0000-00007B040000}"/>
    <cellStyle name="60% - 강조색5 46" xfId="1048" xr:uid="{00000000-0005-0000-0000-00007C040000}"/>
    <cellStyle name="60% - 강조색5 47" xfId="1049" xr:uid="{00000000-0005-0000-0000-00007D040000}"/>
    <cellStyle name="60% - 강조색5 48" xfId="1050" xr:uid="{00000000-0005-0000-0000-00007E040000}"/>
    <cellStyle name="60% - 강조색5 49" xfId="1051" xr:uid="{00000000-0005-0000-0000-00007F040000}"/>
    <cellStyle name="60% - 강조색5 5" xfId="1052" xr:uid="{00000000-0005-0000-0000-000080040000}"/>
    <cellStyle name="60% - 강조색5 50" xfId="1053" xr:uid="{00000000-0005-0000-0000-000081040000}"/>
    <cellStyle name="60% - 강조색5 51" xfId="1054" xr:uid="{00000000-0005-0000-0000-000082040000}"/>
    <cellStyle name="60% - 강조색5 52" xfId="1055" xr:uid="{00000000-0005-0000-0000-000083040000}"/>
    <cellStyle name="60% - 강조색5 53" xfId="1056" xr:uid="{00000000-0005-0000-0000-000084040000}"/>
    <cellStyle name="60% - 강조색5 54" xfId="1057" xr:uid="{00000000-0005-0000-0000-000085040000}"/>
    <cellStyle name="60% - 강조색5 55" xfId="1058" xr:uid="{00000000-0005-0000-0000-000086040000}"/>
    <cellStyle name="60% - 강조색5 56" xfId="1059" xr:uid="{00000000-0005-0000-0000-000087040000}"/>
    <cellStyle name="60% - 강조색5 57" xfId="1060" xr:uid="{00000000-0005-0000-0000-000088040000}"/>
    <cellStyle name="60% - 강조색5 58" xfId="1061" xr:uid="{00000000-0005-0000-0000-000089040000}"/>
    <cellStyle name="60% - 강조색5 59" xfId="1062" xr:uid="{00000000-0005-0000-0000-00008A040000}"/>
    <cellStyle name="60% - 강조색5 6" xfId="1063" xr:uid="{00000000-0005-0000-0000-00008B040000}"/>
    <cellStyle name="60% - 강조색5 60" xfId="1064" xr:uid="{00000000-0005-0000-0000-00008C040000}"/>
    <cellStyle name="60% - 강조색5 61" xfId="1065" xr:uid="{00000000-0005-0000-0000-00008D040000}"/>
    <cellStyle name="60% - 강조색5 62" xfId="1066" xr:uid="{00000000-0005-0000-0000-00008E040000}"/>
    <cellStyle name="60% - 강조색5 63" xfId="1067" xr:uid="{00000000-0005-0000-0000-00008F040000}"/>
    <cellStyle name="60% - 강조색5 64" xfId="1068" xr:uid="{00000000-0005-0000-0000-000090040000}"/>
    <cellStyle name="60% - 강조색5 65" xfId="2817" xr:uid="{00000000-0005-0000-0000-0000040B0000}"/>
    <cellStyle name="60% - 강조색5 65 2" xfId="3046" xr:uid="{00000000-0005-0000-0000-0000AC0B0000}"/>
    <cellStyle name="60% - 강조색5 65 2 2" xfId="3493" xr:uid="{00000000-0005-0000-0000-0000AC0B0000}"/>
    <cellStyle name="60% - 강조색5 65 3" xfId="3317" xr:uid="{00000000-0005-0000-0000-0000040B0000}"/>
    <cellStyle name="60% - 강조색5 66" xfId="2837" xr:uid="{00000000-0005-0000-0000-0000190B0000}"/>
    <cellStyle name="60% - 강조색5 66 2" xfId="3066" xr:uid="{00000000-0005-0000-0000-0000AD0B0000}"/>
    <cellStyle name="60% - 강조색5 66 2 2" xfId="3513" xr:uid="{00000000-0005-0000-0000-0000AD0B0000}"/>
    <cellStyle name="60% - 강조색5 66 3" xfId="3337" xr:uid="{00000000-0005-0000-0000-0000190B0000}"/>
    <cellStyle name="60% - 강조색5 67" xfId="2858" xr:uid="{00000000-0005-0000-0000-00002E0B0000}"/>
    <cellStyle name="60% - 강조색5 67 2" xfId="3358" xr:uid="{00000000-0005-0000-0000-00002E0B0000}"/>
    <cellStyle name="60% - 강조색5 68" xfId="2915" xr:uid="{00000000-0005-0000-0000-0000AE0B0000}"/>
    <cellStyle name="60% - 강조색5 69" xfId="3087" xr:uid="{00000000-0005-0000-0000-0000130C0000}"/>
    <cellStyle name="60% - 강조색5 69 2" xfId="3534" xr:uid="{00000000-0005-0000-0000-0000130C0000}"/>
    <cellStyle name="60% - 강조색5 7" xfId="1069" xr:uid="{00000000-0005-0000-0000-000091040000}"/>
    <cellStyle name="60% - 강조색5 70" xfId="3107" xr:uid="{00000000-0005-0000-0000-0000270C0000}"/>
    <cellStyle name="60% - 강조색5 70 2" xfId="3554" xr:uid="{00000000-0005-0000-0000-0000270C0000}"/>
    <cellStyle name="60% - 강조색5 71" xfId="3128" xr:uid="{00000000-0005-0000-0000-00003B0C0000}"/>
    <cellStyle name="60% - 강조색5 71 2" xfId="3575" xr:uid="{00000000-0005-0000-0000-00003B0C0000}"/>
    <cellStyle name="60% - 강조색5 72" xfId="3149" xr:uid="{00000000-0005-0000-0000-0000500C0000}"/>
    <cellStyle name="60% - 강조색5 72 2" xfId="3596" xr:uid="{00000000-0005-0000-0000-0000500C0000}"/>
    <cellStyle name="60% - 강조색5 73" xfId="3170" xr:uid="{00000000-0005-0000-0000-0000650C0000}"/>
    <cellStyle name="60% - 강조색5 73 2" xfId="3617" xr:uid="{00000000-0005-0000-0000-0000650C0000}"/>
    <cellStyle name="60% - 강조색5 74" xfId="3637" xr:uid="{00000000-0005-0000-0000-0000390E0000}"/>
    <cellStyle name="60% - 강조색5 75" xfId="3657" xr:uid="{00000000-0005-0000-0000-00004D0E0000}"/>
    <cellStyle name="60% - 강조색5 76" xfId="3677" xr:uid="{00000000-0005-0000-0000-0000610E0000}"/>
    <cellStyle name="60% - 강조색5 77" xfId="3697" xr:uid="{00000000-0005-0000-0000-0000750E0000}"/>
    <cellStyle name="60% - 강조색5 8" xfId="1070" xr:uid="{00000000-0005-0000-0000-000092040000}"/>
    <cellStyle name="60% - 강조색5 9" xfId="1071" xr:uid="{00000000-0005-0000-0000-000093040000}"/>
    <cellStyle name="60% - 강조색6" xfId="2679" builtinId="52" customBuiltin="1"/>
    <cellStyle name="60% - 강조색6 10" xfId="1072" xr:uid="{00000000-0005-0000-0000-000095040000}"/>
    <cellStyle name="60% - 강조색6 11" xfId="1073" xr:uid="{00000000-0005-0000-0000-000096040000}"/>
    <cellStyle name="60% - 강조색6 12" xfId="1074" xr:uid="{00000000-0005-0000-0000-000097040000}"/>
    <cellStyle name="60% - 강조색6 13" xfId="1075" xr:uid="{00000000-0005-0000-0000-000098040000}"/>
    <cellStyle name="60% - 강조색6 14" xfId="1076" xr:uid="{00000000-0005-0000-0000-000099040000}"/>
    <cellStyle name="60% - 강조색6 15" xfId="1077" xr:uid="{00000000-0005-0000-0000-00009A040000}"/>
    <cellStyle name="60% - 강조색6 16" xfId="1078" xr:uid="{00000000-0005-0000-0000-00009B040000}"/>
    <cellStyle name="60% - 강조색6 17" xfId="1079" xr:uid="{00000000-0005-0000-0000-00009C040000}"/>
    <cellStyle name="60% - 강조색6 18" xfId="1080" xr:uid="{00000000-0005-0000-0000-00009D040000}"/>
    <cellStyle name="60% - 강조색6 19" xfId="1081" xr:uid="{00000000-0005-0000-0000-00009E040000}"/>
    <cellStyle name="60% - 강조색6 2" xfId="1082" xr:uid="{00000000-0005-0000-0000-00009F040000}"/>
    <cellStyle name="60% - 강조색6 20" xfId="1083" xr:uid="{00000000-0005-0000-0000-0000A0040000}"/>
    <cellStyle name="60% - 강조색6 21" xfId="1084" xr:uid="{00000000-0005-0000-0000-0000A1040000}"/>
    <cellStyle name="60% - 강조색6 22" xfId="1085" xr:uid="{00000000-0005-0000-0000-0000A2040000}"/>
    <cellStyle name="60% - 강조색6 23" xfId="1086" xr:uid="{00000000-0005-0000-0000-0000A3040000}"/>
    <cellStyle name="60% - 강조색6 24" xfId="1087" xr:uid="{00000000-0005-0000-0000-0000A4040000}"/>
    <cellStyle name="60% - 강조색6 25" xfId="1088" xr:uid="{00000000-0005-0000-0000-0000A5040000}"/>
    <cellStyle name="60% - 강조색6 26" xfId="1089" xr:uid="{00000000-0005-0000-0000-0000A6040000}"/>
    <cellStyle name="60% - 강조색6 27" xfId="1090" xr:uid="{00000000-0005-0000-0000-0000A7040000}"/>
    <cellStyle name="60% - 강조색6 28" xfId="1091" xr:uid="{00000000-0005-0000-0000-0000A8040000}"/>
    <cellStyle name="60% - 강조색6 29" xfId="1092" xr:uid="{00000000-0005-0000-0000-0000A9040000}"/>
    <cellStyle name="60% - 강조색6 3" xfId="1093" xr:uid="{00000000-0005-0000-0000-0000AA040000}"/>
    <cellStyle name="60% - 강조색6 30" xfId="1094" xr:uid="{00000000-0005-0000-0000-0000AB040000}"/>
    <cellStyle name="60% - 강조색6 31" xfId="1095" xr:uid="{00000000-0005-0000-0000-0000AC040000}"/>
    <cellStyle name="60% - 강조색6 32" xfId="1096" xr:uid="{00000000-0005-0000-0000-0000AD040000}"/>
    <cellStyle name="60% - 강조색6 33" xfId="1097" xr:uid="{00000000-0005-0000-0000-0000AE040000}"/>
    <cellStyle name="60% - 강조색6 34" xfId="1098" xr:uid="{00000000-0005-0000-0000-0000AF040000}"/>
    <cellStyle name="60% - 강조색6 35" xfId="1099" xr:uid="{00000000-0005-0000-0000-0000B0040000}"/>
    <cellStyle name="60% - 강조색6 36" xfId="1100" xr:uid="{00000000-0005-0000-0000-0000B1040000}"/>
    <cellStyle name="60% - 강조색6 37" xfId="1101" xr:uid="{00000000-0005-0000-0000-0000B2040000}"/>
    <cellStyle name="60% - 강조색6 38" xfId="1102" xr:uid="{00000000-0005-0000-0000-0000B3040000}"/>
    <cellStyle name="60% - 강조색6 39" xfId="1103" xr:uid="{00000000-0005-0000-0000-0000B4040000}"/>
    <cellStyle name="60% - 강조색6 4" xfId="1104" xr:uid="{00000000-0005-0000-0000-0000B5040000}"/>
    <cellStyle name="60% - 강조색6 40" xfId="1105" xr:uid="{00000000-0005-0000-0000-0000B6040000}"/>
    <cellStyle name="60% - 강조색6 41" xfId="1106" xr:uid="{00000000-0005-0000-0000-0000B7040000}"/>
    <cellStyle name="60% - 강조색6 42" xfId="1107" xr:uid="{00000000-0005-0000-0000-0000B8040000}"/>
    <cellStyle name="60% - 강조색6 43" xfId="1108" xr:uid="{00000000-0005-0000-0000-0000B9040000}"/>
    <cellStyle name="60% - 강조색6 44" xfId="1109" xr:uid="{00000000-0005-0000-0000-0000BA040000}"/>
    <cellStyle name="60% - 강조색6 45" xfId="1110" xr:uid="{00000000-0005-0000-0000-0000BB040000}"/>
    <cellStyle name="60% - 강조색6 46" xfId="1111" xr:uid="{00000000-0005-0000-0000-0000BC040000}"/>
    <cellStyle name="60% - 강조색6 47" xfId="1112" xr:uid="{00000000-0005-0000-0000-0000BD040000}"/>
    <cellStyle name="60% - 강조색6 48" xfId="1113" xr:uid="{00000000-0005-0000-0000-0000BE040000}"/>
    <cellStyle name="60% - 강조색6 49" xfId="1114" xr:uid="{00000000-0005-0000-0000-0000BF040000}"/>
    <cellStyle name="60% - 강조색6 5" xfId="1115" xr:uid="{00000000-0005-0000-0000-0000C0040000}"/>
    <cellStyle name="60% - 강조색6 50" xfId="1116" xr:uid="{00000000-0005-0000-0000-0000C1040000}"/>
    <cellStyle name="60% - 강조색6 51" xfId="1117" xr:uid="{00000000-0005-0000-0000-0000C2040000}"/>
    <cellStyle name="60% - 강조색6 52" xfId="1118" xr:uid="{00000000-0005-0000-0000-0000C3040000}"/>
    <cellStyle name="60% - 강조색6 53" xfId="1119" xr:uid="{00000000-0005-0000-0000-0000C4040000}"/>
    <cellStyle name="60% - 강조색6 54" xfId="1120" xr:uid="{00000000-0005-0000-0000-0000C5040000}"/>
    <cellStyle name="60% - 강조색6 55" xfId="1121" xr:uid="{00000000-0005-0000-0000-0000C6040000}"/>
    <cellStyle name="60% - 강조색6 56" xfId="1122" xr:uid="{00000000-0005-0000-0000-0000C7040000}"/>
    <cellStyle name="60% - 강조색6 57" xfId="1123" xr:uid="{00000000-0005-0000-0000-0000C8040000}"/>
    <cellStyle name="60% - 강조색6 58" xfId="1124" xr:uid="{00000000-0005-0000-0000-0000C9040000}"/>
    <cellStyle name="60% - 강조색6 59" xfId="1125" xr:uid="{00000000-0005-0000-0000-0000CA040000}"/>
    <cellStyle name="60% - 강조색6 6" xfId="1126" xr:uid="{00000000-0005-0000-0000-0000CB040000}"/>
    <cellStyle name="60% - 강조색6 60" xfId="1127" xr:uid="{00000000-0005-0000-0000-0000CC040000}"/>
    <cellStyle name="60% - 강조색6 61" xfId="1128" xr:uid="{00000000-0005-0000-0000-0000CD040000}"/>
    <cellStyle name="60% - 강조색6 62" xfId="1129" xr:uid="{00000000-0005-0000-0000-0000CE040000}"/>
    <cellStyle name="60% - 강조색6 63" xfId="1130" xr:uid="{00000000-0005-0000-0000-0000CF040000}"/>
    <cellStyle name="60% - 강조색6 64" xfId="1131" xr:uid="{00000000-0005-0000-0000-0000D0040000}"/>
    <cellStyle name="60% - 강조색6 65" xfId="2820" xr:uid="{00000000-0005-0000-0000-0000050B0000}"/>
    <cellStyle name="60% - 강조색6 65 2" xfId="3049" xr:uid="{00000000-0005-0000-0000-0000AF0B0000}"/>
    <cellStyle name="60% - 강조색6 65 2 2" xfId="3496" xr:uid="{00000000-0005-0000-0000-0000AF0B0000}"/>
    <cellStyle name="60% - 강조색6 65 3" xfId="3320" xr:uid="{00000000-0005-0000-0000-0000050B0000}"/>
    <cellStyle name="60% - 강조색6 66" xfId="2840" xr:uid="{00000000-0005-0000-0000-00001A0B0000}"/>
    <cellStyle name="60% - 강조색6 66 2" xfId="3069" xr:uid="{00000000-0005-0000-0000-0000B00B0000}"/>
    <cellStyle name="60% - 강조색6 66 2 2" xfId="3516" xr:uid="{00000000-0005-0000-0000-0000B00B0000}"/>
    <cellStyle name="60% - 강조색6 66 3" xfId="3340" xr:uid="{00000000-0005-0000-0000-00001A0B0000}"/>
    <cellStyle name="60% - 강조색6 67" xfId="2861" xr:uid="{00000000-0005-0000-0000-00002F0B0000}"/>
    <cellStyle name="60% - 강조색6 67 2" xfId="3361" xr:uid="{00000000-0005-0000-0000-00002F0B0000}"/>
    <cellStyle name="60% - 강조색6 68" xfId="2916" xr:uid="{00000000-0005-0000-0000-0000B10B0000}"/>
    <cellStyle name="60% - 강조색6 69" xfId="3090" xr:uid="{00000000-0005-0000-0000-0000140C0000}"/>
    <cellStyle name="60% - 강조색6 69 2" xfId="3537" xr:uid="{00000000-0005-0000-0000-0000140C0000}"/>
    <cellStyle name="60% - 강조색6 7" xfId="1132" xr:uid="{00000000-0005-0000-0000-0000D1040000}"/>
    <cellStyle name="60% - 강조색6 70" xfId="3110" xr:uid="{00000000-0005-0000-0000-0000280C0000}"/>
    <cellStyle name="60% - 강조색6 70 2" xfId="3557" xr:uid="{00000000-0005-0000-0000-0000280C0000}"/>
    <cellStyle name="60% - 강조색6 71" xfId="3131" xr:uid="{00000000-0005-0000-0000-00003C0C0000}"/>
    <cellStyle name="60% - 강조색6 71 2" xfId="3578" xr:uid="{00000000-0005-0000-0000-00003C0C0000}"/>
    <cellStyle name="60% - 강조색6 72" xfId="3152" xr:uid="{00000000-0005-0000-0000-0000510C0000}"/>
    <cellStyle name="60% - 강조색6 72 2" xfId="3599" xr:uid="{00000000-0005-0000-0000-0000510C0000}"/>
    <cellStyle name="60% - 강조색6 73" xfId="3173" xr:uid="{00000000-0005-0000-0000-0000660C0000}"/>
    <cellStyle name="60% - 강조색6 73 2" xfId="3620" xr:uid="{00000000-0005-0000-0000-0000660C0000}"/>
    <cellStyle name="60% - 강조색6 74" xfId="3640" xr:uid="{00000000-0005-0000-0000-00003A0E0000}"/>
    <cellStyle name="60% - 강조색6 75" xfId="3660" xr:uid="{00000000-0005-0000-0000-00004E0E0000}"/>
    <cellStyle name="60% - 강조색6 76" xfId="3680" xr:uid="{00000000-0005-0000-0000-0000620E0000}"/>
    <cellStyle name="60% - 강조색6 77" xfId="3700" xr:uid="{00000000-0005-0000-0000-0000760E0000}"/>
    <cellStyle name="60% - 강조색6 8" xfId="1133" xr:uid="{00000000-0005-0000-0000-0000D2040000}"/>
    <cellStyle name="60% - 강조색6 9" xfId="1134" xr:uid="{00000000-0005-0000-0000-0000D3040000}"/>
    <cellStyle name="Comma [0]_ SG&amp;A Bridge " xfId="1135" xr:uid="{00000000-0005-0000-0000-0000D4040000}"/>
    <cellStyle name="Comma_ SG&amp;A Bridge " xfId="1136" xr:uid="{00000000-0005-0000-0000-0000D5040000}"/>
    <cellStyle name="Currency [0]_ SG&amp;A Bridge " xfId="1137" xr:uid="{00000000-0005-0000-0000-0000D6040000}"/>
    <cellStyle name="Currency_ SG&amp;A Bridge " xfId="1138" xr:uid="{00000000-0005-0000-0000-0000D7040000}"/>
    <cellStyle name="Normal_ SG&amp;A Bridge " xfId="1139" xr:uid="{00000000-0005-0000-0000-0000D8040000}"/>
    <cellStyle name="강조색1" xfId="2656" builtinId="29" customBuiltin="1"/>
    <cellStyle name="강조색1 10" xfId="1140" xr:uid="{00000000-0005-0000-0000-0000DA040000}"/>
    <cellStyle name="강조색1 11" xfId="1141" xr:uid="{00000000-0005-0000-0000-0000DB040000}"/>
    <cellStyle name="강조색1 12" xfId="1142" xr:uid="{00000000-0005-0000-0000-0000DC040000}"/>
    <cellStyle name="강조색1 13" xfId="1143" xr:uid="{00000000-0005-0000-0000-0000DD040000}"/>
    <cellStyle name="강조색1 14" xfId="1144" xr:uid="{00000000-0005-0000-0000-0000DE040000}"/>
    <cellStyle name="강조색1 15" xfId="1145" xr:uid="{00000000-0005-0000-0000-0000DF040000}"/>
    <cellStyle name="강조색1 16" xfId="1146" xr:uid="{00000000-0005-0000-0000-0000E0040000}"/>
    <cellStyle name="강조색1 17" xfId="1147" xr:uid="{00000000-0005-0000-0000-0000E1040000}"/>
    <cellStyle name="강조색1 18" xfId="1148" xr:uid="{00000000-0005-0000-0000-0000E2040000}"/>
    <cellStyle name="강조색1 19" xfId="1149" xr:uid="{00000000-0005-0000-0000-0000E3040000}"/>
    <cellStyle name="강조색1 2" xfId="1150" xr:uid="{00000000-0005-0000-0000-0000E4040000}"/>
    <cellStyle name="강조색1 20" xfId="1151" xr:uid="{00000000-0005-0000-0000-0000E5040000}"/>
    <cellStyle name="강조색1 21" xfId="1152" xr:uid="{00000000-0005-0000-0000-0000E6040000}"/>
    <cellStyle name="강조색1 22" xfId="1153" xr:uid="{00000000-0005-0000-0000-0000E7040000}"/>
    <cellStyle name="강조색1 23" xfId="1154" xr:uid="{00000000-0005-0000-0000-0000E8040000}"/>
    <cellStyle name="강조색1 24" xfId="1155" xr:uid="{00000000-0005-0000-0000-0000E9040000}"/>
    <cellStyle name="강조색1 25" xfId="1156" xr:uid="{00000000-0005-0000-0000-0000EA040000}"/>
    <cellStyle name="강조색1 26" xfId="1157" xr:uid="{00000000-0005-0000-0000-0000EB040000}"/>
    <cellStyle name="강조색1 27" xfId="1158" xr:uid="{00000000-0005-0000-0000-0000EC040000}"/>
    <cellStyle name="강조색1 28" xfId="1159" xr:uid="{00000000-0005-0000-0000-0000ED040000}"/>
    <cellStyle name="강조색1 29" xfId="1160" xr:uid="{00000000-0005-0000-0000-0000EE040000}"/>
    <cellStyle name="강조색1 3" xfId="1161" xr:uid="{00000000-0005-0000-0000-0000EF040000}"/>
    <cellStyle name="강조색1 30" xfId="1162" xr:uid="{00000000-0005-0000-0000-0000F0040000}"/>
    <cellStyle name="강조색1 31" xfId="1163" xr:uid="{00000000-0005-0000-0000-0000F1040000}"/>
    <cellStyle name="강조색1 32" xfId="1164" xr:uid="{00000000-0005-0000-0000-0000F2040000}"/>
    <cellStyle name="강조색1 33" xfId="1165" xr:uid="{00000000-0005-0000-0000-0000F3040000}"/>
    <cellStyle name="강조색1 34" xfId="1166" xr:uid="{00000000-0005-0000-0000-0000F4040000}"/>
    <cellStyle name="강조색1 35" xfId="1167" xr:uid="{00000000-0005-0000-0000-0000F5040000}"/>
    <cellStyle name="강조색1 36" xfId="1168" xr:uid="{00000000-0005-0000-0000-0000F6040000}"/>
    <cellStyle name="강조색1 37" xfId="1169" xr:uid="{00000000-0005-0000-0000-0000F7040000}"/>
    <cellStyle name="강조색1 38" xfId="1170" xr:uid="{00000000-0005-0000-0000-0000F8040000}"/>
    <cellStyle name="강조색1 39" xfId="1171" xr:uid="{00000000-0005-0000-0000-0000F9040000}"/>
    <cellStyle name="강조색1 4" xfId="1172" xr:uid="{00000000-0005-0000-0000-0000FA040000}"/>
    <cellStyle name="강조색1 40" xfId="1173" xr:uid="{00000000-0005-0000-0000-0000FB040000}"/>
    <cellStyle name="강조색1 41" xfId="1174" xr:uid="{00000000-0005-0000-0000-0000FC040000}"/>
    <cellStyle name="강조색1 42" xfId="1175" xr:uid="{00000000-0005-0000-0000-0000FD040000}"/>
    <cellStyle name="강조색1 43" xfId="1176" xr:uid="{00000000-0005-0000-0000-0000FE040000}"/>
    <cellStyle name="강조색1 44" xfId="1177" xr:uid="{00000000-0005-0000-0000-0000FF040000}"/>
    <cellStyle name="강조색1 45" xfId="1178" xr:uid="{00000000-0005-0000-0000-000000050000}"/>
    <cellStyle name="강조색1 46" xfId="1179" xr:uid="{00000000-0005-0000-0000-000001050000}"/>
    <cellStyle name="강조색1 47" xfId="1180" xr:uid="{00000000-0005-0000-0000-000002050000}"/>
    <cellStyle name="강조색1 48" xfId="1181" xr:uid="{00000000-0005-0000-0000-000003050000}"/>
    <cellStyle name="강조색1 49" xfId="1182" xr:uid="{00000000-0005-0000-0000-000004050000}"/>
    <cellStyle name="강조색1 5" xfId="1183" xr:uid="{00000000-0005-0000-0000-000005050000}"/>
    <cellStyle name="강조색1 50" xfId="1184" xr:uid="{00000000-0005-0000-0000-000006050000}"/>
    <cellStyle name="강조색1 51" xfId="1185" xr:uid="{00000000-0005-0000-0000-000007050000}"/>
    <cellStyle name="강조색1 52" xfId="1186" xr:uid="{00000000-0005-0000-0000-000008050000}"/>
    <cellStyle name="강조색1 53" xfId="1187" xr:uid="{00000000-0005-0000-0000-000009050000}"/>
    <cellStyle name="강조색1 54" xfId="1188" xr:uid="{00000000-0005-0000-0000-00000A050000}"/>
    <cellStyle name="강조색1 55" xfId="1189" xr:uid="{00000000-0005-0000-0000-00000B050000}"/>
    <cellStyle name="강조색1 56" xfId="1190" xr:uid="{00000000-0005-0000-0000-00000C050000}"/>
    <cellStyle name="강조색1 57" xfId="1191" xr:uid="{00000000-0005-0000-0000-00000D050000}"/>
    <cellStyle name="강조색1 58" xfId="1192" xr:uid="{00000000-0005-0000-0000-00000E050000}"/>
    <cellStyle name="강조색1 59" xfId="1193" xr:uid="{00000000-0005-0000-0000-00000F050000}"/>
    <cellStyle name="강조색1 6" xfId="1194" xr:uid="{00000000-0005-0000-0000-000010050000}"/>
    <cellStyle name="강조색1 60" xfId="1195" xr:uid="{00000000-0005-0000-0000-000011050000}"/>
    <cellStyle name="강조색1 61" xfId="1196" xr:uid="{00000000-0005-0000-0000-000012050000}"/>
    <cellStyle name="강조색1 62" xfId="1197" xr:uid="{00000000-0005-0000-0000-000013050000}"/>
    <cellStyle name="강조색1 63" xfId="1198" xr:uid="{00000000-0005-0000-0000-000014050000}"/>
    <cellStyle name="강조색1 64" xfId="1199" xr:uid="{00000000-0005-0000-0000-000015050000}"/>
    <cellStyle name="강조색1 7" xfId="1200" xr:uid="{00000000-0005-0000-0000-000016050000}"/>
    <cellStyle name="강조색1 8" xfId="1201" xr:uid="{00000000-0005-0000-0000-000017050000}"/>
    <cellStyle name="강조색1 9" xfId="1202" xr:uid="{00000000-0005-0000-0000-000018050000}"/>
    <cellStyle name="강조색2" xfId="2660" builtinId="33" customBuiltin="1"/>
    <cellStyle name="강조색2 10" xfId="1203" xr:uid="{00000000-0005-0000-0000-00001A050000}"/>
    <cellStyle name="강조색2 11" xfId="1204" xr:uid="{00000000-0005-0000-0000-00001B050000}"/>
    <cellStyle name="강조색2 12" xfId="1205" xr:uid="{00000000-0005-0000-0000-00001C050000}"/>
    <cellStyle name="강조색2 13" xfId="1206" xr:uid="{00000000-0005-0000-0000-00001D050000}"/>
    <cellStyle name="강조색2 14" xfId="1207" xr:uid="{00000000-0005-0000-0000-00001E050000}"/>
    <cellStyle name="강조색2 15" xfId="1208" xr:uid="{00000000-0005-0000-0000-00001F050000}"/>
    <cellStyle name="강조색2 16" xfId="1209" xr:uid="{00000000-0005-0000-0000-000020050000}"/>
    <cellStyle name="강조색2 17" xfId="1210" xr:uid="{00000000-0005-0000-0000-000021050000}"/>
    <cellStyle name="강조색2 18" xfId="1211" xr:uid="{00000000-0005-0000-0000-000022050000}"/>
    <cellStyle name="강조색2 19" xfId="1212" xr:uid="{00000000-0005-0000-0000-000023050000}"/>
    <cellStyle name="강조색2 2" xfId="1213" xr:uid="{00000000-0005-0000-0000-000024050000}"/>
    <cellStyle name="강조색2 20" xfId="1214" xr:uid="{00000000-0005-0000-0000-000025050000}"/>
    <cellStyle name="강조색2 21" xfId="1215" xr:uid="{00000000-0005-0000-0000-000026050000}"/>
    <cellStyle name="강조색2 22" xfId="1216" xr:uid="{00000000-0005-0000-0000-000027050000}"/>
    <cellStyle name="강조색2 23" xfId="1217" xr:uid="{00000000-0005-0000-0000-000028050000}"/>
    <cellStyle name="강조색2 24" xfId="1218" xr:uid="{00000000-0005-0000-0000-000029050000}"/>
    <cellStyle name="강조색2 25" xfId="1219" xr:uid="{00000000-0005-0000-0000-00002A050000}"/>
    <cellStyle name="강조색2 26" xfId="1220" xr:uid="{00000000-0005-0000-0000-00002B050000}"/>
    <cellStyle name="강조색2 27" xfId="1221" xr:uid="{00000000-0005-0000-0000-00002C050000}"/>
    <cellStyle name="강조색2 28" xfId="1222" xr:uid="{00000000-0005-0000-0000-00002D050000}"/>
    <cellStyle name="강조색2 29" xfId="1223" xr:uid="{00000000-0005-0000-0000-00002E050000}"/>
    <cellStyle name="강조색2 3" xfId="1224" xr:uid="{00000000-0005-0000-0000-00002F050000}"/>
    <cellStyle name="강조색2 30" xfId="1225" xr:uid="{00000000-0005-0000-0000-000030050000}"/>
    <cellStyle name="강조색2 31" xfId="1226" xr:uid="{00000000-0005-0000-0000-000031050000}"/>
    <cellStyle name="강조색2 32" xfId="1227" xr:uid="{00000000-0005-0000-0000-000032050000}"/>
    <cellStyle name="강조색2 33" xfId="1228" xr:uid="{00000000-0005-0000-0000-000033050000}"/>
    <cellStyle name="강조색2 34" xfId="1229" xr:uid="{00000000-0005-0000-0000-000034050000}"/>
    <cellStyle name="강조색2 35" xfId="1230" xr:uid="{00000000-0005-0000-0000-000035050000}"/>
    <cellStyle name="강조색2 36" xfId="1231" xr:uid="{00000000-0005-0000-0000-000036050000}"/>
    <cellStyle name="강조색2 37" xfId="1232" xr:uid="{00000000-0005-0000-0000-000037050000}"/>
    <cellStyle name="강조색2 38" xfId="1233" xr:uid="{00000000-0005-0000-0000-000038050000}"/>
    <cellStyle name="강조색2 39" xfId="1234" xr:uid="{00000000-0005-0000-0000-000039050000}"/>
    <cellStyle name="강조색2 4" xfId="1235" xr:uid="{00000000-0005-0000-0000-00003A050000}"/>
    <cellStyle name="강조색2 40" xfId="1236" xr:uid="{00000000-0005-0000-0000-00003B050000}"/>
    <cellStyle name="강조색2 41" xfId="1237" xr:uid="{00000000-0005-0000-0000-00003C050000}"/>
    <cellStyle name="강조색2 42" xfId="1238" xr:uid="{00000000-0005-0000-0000-00003D050000}"/>
    <cellStyle name="강조색2 43" xfId="1239" xr:uid="{00000000-0005-0000-0000-00003E050000}"/>
    <cellStyle name="강조색2 44" xfId="1240" xr:uid="{00000000-0005-0000-0000-00003F050000}"/>
    <cellStyle name="강조색2 45" xfId="1241" xr:uid="{00000000-0005-0000-0000-000040050000}"/>
    <cellStyle name="강조색2 46" xfId="1242" xr:uid="{00000000-0005-0000-0000-000041050000}"/>
    <cellStyle name="강조색2 47" xfId="1243" xr:uid="{00000000-0005-0000-0000-000042050000}"/>
    <cellStyle name="강조색2 48" xfId="1244" xr:uid="{00000000-0005-0000-0000-000043050000}"/>
    <cellStyle name="강조색2 49" xfId="1245" xr:uid="{00000000-0005-0000-0000-000044050000}"/>
    <cellStyle name="강조색2 5" xfId="1246" xr:uid="{00000000-0005-0000-0000-000045050000}"/>
    <cellStyle name="강조색2 50" xfId="1247" xr:uid="{00000000-0005-0000-0000-000046050000}"/>
    <cellStyle name="강조색2 51" xfId="1248" xr:uid="{00000000-0005-0000-0000-000047050000}"/>
    <cellStyle name="강조색2 52" xfId="1249" xr:uid="{00000000-0005-0000-0000-000048050000}"/>
    <cellStyle name="강조색2 53" xfId="1250" xr:uid="{00000000-0005-0000-0000-000049050000}"/>
    <cellStyle name="강조색2 54" xfId="1251" xr:uid="{00000000-0005-0000-0000-00004A050000}"/>
    <cellStyle name="강조색2 55" xfId="1252" xr:uid="{00000000-0005-0000-0000-00004B050000}"/>
    <cellStyle name="강조색2 56" xfId="1253" xr:uid="{00000000-0005-0000-0000-00004C050000}"/>
    <cellStyle name="강조색2 57" xfId="1254" xr:uid="{00000000-0005-0000-0000-00004D050000}"/>
    <cellStyle name="강조색2 58" xfId="1255" xr:uid="{00000000-0005-0000-0000-00004E050000}"/>
    <cellStyle name="강조색2 59" xfId="1256" xr:uid="{00000000-0005-0000-0000-00004F050000}"/>
    <cellStyle name="강조색2 6" xfId="1257" xr:uid="{00000000-0005-0000-0000-000050050000}"/>
    <cellStyle name="강조색2 60" xfId="1258" xr:uid="{00000000-0005-0000-0000-000051050000}"/>
    <cellStyle name="강조색2 61" xfId="1259" xr:uid="{00000000-0005-0000-0000-000052050000}"/>
    <cellStyle name="강조색2 62" xfId="1260" xr:uid="{00000000-0005-0000-0000-000053050000}"/>
    <cellStyle name="강조색2 63" xfId="1261" xr:uid="{00000000-0005-0000-0000-000054050000}"/>
    <cellStyle name="강조색2 64" xfId="1262" xr:uid="{00000000-0005-0000-0000-000055050000}"/>
    <cellStyle name="강조색2 7" xfId="1263" xr:uid="{00000000-0005-0000-0000-000056050000}"/>
    <cellStyle name="강조색2 8" xfId="1264" xr:uid="{00000000-0005-0000-0000-000057050000}"/>
    <cellStyle name="강조색2 9" xfId="1265" xr:uid="{00000000-0005-0000-0000-000058050000}"/>
    <cellStyle name="강조색3" xfId="2664" builtinId="37" customBuiltin="1"/>
    <cellStyle name="강조색3 10" xfId="1266" xr:uid="{00000000-0005-0000-0000-00005A050000}"/>
    <cellStyle name="강조색3 11" xfId="1267" xr:uid="{00000000-0005-0000-0000-00005B050000}"/>
    <cellStyle name="강조색3 12" xfId="1268" xr:uid="{00000000-0005-0000-0000-00005C050000}"/>
    <cellStyle name="강조색3 13" xfId="1269" xr:uid="{00000000-0005-0000-0000-00005D050000}"/>
    <cellStyle name="강조색3 14" xfId="1270" xr:uid="{00000000-0005-0000-0000-00005E050000}"/>
    <cellStyle name="강조색3 15" xfId="1271" xr:uid="{00000000-0005-0000-0000-00005F050000}"/>
    <cellStyle name="강조색3 16" xfId="1272" xr:uid="{00000000-0005-0000-0000-000060050000}"/>
    <cellStyle name="강조색3 17" xfId="1273" xr:uid="{00000000-0005-0000-0000-000061050000}"/>
    <cellStyle name="강조색3 18" xfId="1274" xr:uid="{00000000-0005-0000-0000-000062050000}"/>
    <cellStyle name="강조색3 19" xfId="1275" xr:uid="{00000000-0005-0000-0000-000063050000}"/>
    <cellStyle name="강조색3 2" xfId="1276" xr:uid="{00000000-0005-0000-0000-000064050000}"/>
    <cellStyle name="강조색3 20" xfId="1277" xr:uid="{00000000-0005-0000-0000-000065050000}"/>
    <cellStyle name="강조색3 21" xfId="1278" xr:uid="{00000000-0005-0000-0000-000066050000}"/>
    <cellStyle name="강조색3 22" xfId="1279" xr:uid="{00000000-0005-0000-0000-000067050000}"/>
    <cellStyle name="강조색3 23" xfId="1280" xr:uid="{00000000-0005-0000-0000-000068050000}"/>
    <cellStyle name="강조색3 24" xfId="1281" xr:uid="{00000000-0005-0000-0000-000069050000}"/>
    <cellStyle name="강조색3 25" xfId="1282" xr:uid="{00000000-0005-0000-0000-00006A050000}"/>
    <cellStyle name="강조색3 26" xfId="1283" xr:uid="{00000000-0005-0000-0000-00006B050000}"/>
    <cellStyle name="강조색3 27" xfId="1284" xr:uid="{00000000-0005-0000-0000-00006C050000}"/>
    <cellStyle name="강조색3 28" xfId="1285" xr:uid="{00000000-0005-0000-0000-00006D050000}"/>
    <cellStyle name="강조색3 29" xfId="1286" xr:uid="{00000000-0005-0000-0000-00006E050000}"/>
    <cellStyle name="강조색3 3" xfId="1287" xr:uid="{00000000-0005-0000-0000-00006F050000}"/>
    <cellStyle name="강조색3 30" xfId="1288" xr:uid="{00000000-0005-0000-0000-000070050000}"/>
    <cellStyle name="강조색3 31" xfId="1289" xr:uid="{00000000-0005-0000-0000-000071050000}"/>
    <cellStyle name="강조색3 32" xfId="1290" xr:uid="{00000000-0005-0000-0000-000072050000}"/>
    <cellStyle name="강조색3 33" xfId="1291" xr:uid="{00000000-0005-0000-0000-000073050000}"/>
    <cellStyle name="강조색3 34" xfId="1292" xr:uid="{00000000-0005-0000-0000-000074050000}"/>
    <cellStyle name="강조색3 35" xfId="1293" xr:uid="{00000000-0005-0000-0000-000075050000}"/>
    <cellStyle name="강조색3 36" xfId="1294" xr:uid="{00000000-0005-0000-0000-000076050000}"/>
    <cellStyle name="강조색3 37" xfId="1295" xr:uid="{00000000-0005-0000-0000-000077050000}"/>
    <cellStyle name="강조색3 38" xfId="1296" xr:uid="{00000000-0005-0000-0000-000078050000}"/>
    <cellStyle name="강조색3 39" xfId="1297" xr:uid="{00000000-0005-0000-0000-000079050000}"/>
    <cellStyle name="강조색3 4" xfId="1298" xr:uid="{00000000-0005-0000-0000-00007A050000}"/>
    <cellStyle name="강조색3 40" xfId="1299" xr:uid="{00000000-0005-0000-0000-00007B050000}"/>
    <cellStyle name="강조색3 41" xfId="1300" xr:uid="{00000000-0005-0000-0000-00007C050000}"/>
    <cellStyle name="강조색3 42" xfId="1301" xr:uid="{00000000-0005-0000-0000-00007D050000}"/>
    <cellStyle name="강조색3 43" xfId="1302" xr:uid="{00000000-0005-0000-0000-00007E050000}"/>
    <cellStyle name="강조색3 44" xfId="1303" xr:uid="{00000000-0005-0000-0000-00007F050000}"/>
    <cellStyle name="강조색3 45" xfId="1304" xr:uid="{00000000-0005-0000-0000-000080050000}"/>
    <cellStyle name="강조색3 46" xfId="1305" xr:uid="{00000000-0005-0000-0000-000081050000}"/>
    <cellStyle name="강조색3 47" xfId="1306" xr:uid="{00000000-0005-0000-0000-000082050000}"/>
    <cellStyle name="강조색3 48" xfId="1307" xr:uid="{00000000-0005-0000-0000-000083050000}"/>
    <cellStyle name="강조색3 49" xfId="1308" xr:uid="{00000000-0005-0000-0000-000084050000}"/>
    <cellStyle name="강조색3 5" xfId="1309" xr:uid="{00000000-0005-0000-0000-000085050000}"/>
    <cellStyle name="강조색3 50" xfId="1310" xr:uid="{00000000-0005-0000-0000-000086050000}"/>
    <cellStyle name="강조색3 51" xfId="1311" xr:uid="{00000000-0005-0000-0000-000087050000}"/>
    <cellStyle name="강조색3 52" xfId="1312" xr:uid="{00000000-0005-0000-0000-000088050000}"/>
    <cellStyle name="강조색3 53" xfId="1313" xr:uid="{00000000-0005-0000-0000-000089050000}"/>
    <cellStyle name="강조색3 54" xfId="1314" xr:uid="{00000000-0005-0000-0000-00008A050000}"/>
    <cellStyle name="강조색3 55" xfId="1315" xr:uid="{00000000-0005-0000-0000-00008B050000}"/>
    <cellStyle name="강조색3 56" xfId="1316" xr:uid="{00000000-0005-0000-0000-00008C050000}"/>
    <cellStyle name="강조색3 57" xfId="1317" xr:uid="{00000000-0005-0000-0000-00008D050000}"/>
    <cellStyle name="강조색3 58" xfId="1318" xr:uid="{00000000-0005-0000-0000-00008E050000}"/>
    <cellStyle name="강조색3 59" xfId="1319" xr:uid="{00000000-0005-0000-0000-00008F050000}"/>
    <cellStyle name="강조색3 6" xfId="1320" xr:uid="{00000000-0005-0000-0000-000090050000}"/>
    <cellStyle name="강조색3 60" xfId="1321" xr:uid="{00000000-0005-0000-0000-000091050000}"/>
    <cellStyle name="강조색3 61" xfId="1322" xr:uid="{00000000-0005-0000-0000-000092050000}"/>
    <cellStyle name="강조색3 62" xfId="1323" xr:uid="{00000000-0005-0000-0000-000093050000}"/>
    <cellStyle name="강조색3 63" xfId="1324" xr:uid="{00000000-0005-0000-0000-000094050000}"/>
    <cellStyle name="강조색3 64" xfId="1325" xr:uid="{00000000-0005-0000-0000-000095050000}"/>
    <cellStyle name="강조색3 7" xfId="1326" xr:uid="{00000000-0005-0000-0000-000096050000}"/>
    <cellStyle name="강조색3 8" xfId="1327" xr:uid="{00000000-0005-0000-0000-000097050000}"/>
    <cellStyle name="강조색3 9" xfId="1328" xr:uid="{00000000-0005-0000-0000-000098050000}"/>
    <cellStyle name="강조색4" xfId="2668" builtinId="41" customBuiltin="1"/>
    <cellStyle name="강조색4 10" xfId="1329" xr:uid="{00000000-0005-0000-0000-00009A050000}"/>
    <cellStyle name="강조색4 11" xfId="1330" xr:uid="{00000000-0005-0000-0000-00009B050000}"/>
    <cellStyle name="강조색4 12" xfId="1331" xr:uid="{00000000-0005-0000-0000-00009C050000}"/>
    <cellStyle name="강조색4 13" xfId="1332" xr:uid="{00000000-0005-0000-0000-00009D050000}"/>
    <cellStyle name="강조색4 14" xfId="1333" xr:uid="{00000000-0005-0000-0000-00009E050000}"/>
    <cellStyle name="강조색4 15" xfId="1334" xr:uid="{00000000-0005-0000-0000-00009F050000}"/>
    <cellStyle name="강조색4 16" xfId="1335" xr:uid="{00000000-0005-0000-0000-0000A0050000}"/>
    <cellStyle name="강조색4 17" xfId="1336" xr:uid="{00000000-0005-0000-0000-0000A1050000}"/>
    <cellStyle name="강조색4 18" xfId="1337" xr:uid="{00000000-0005-0000-0000-0000A2050000}"/>
    <cellStyle name="강조색4 19" xfId="1338" xr:uid="{00000000-0005-0000-0000-0000A3050000}"/>
    <cellStyle name="강조색4 2" xfId="1339" xr:uid="{00000000-0005-0000-0000-0000A4050000}"/>
    <cellStyle name="강조색4 20" xfId="1340" xr:uid="{00000000-0005-0000-0000-0000A5050000}"/>
    <cellStyle name="강조색4 21" xfId="1341" xr:uid="{00000000-0005-0000-0000-0000A6050000}"/>
    <cellStyle name="강조색4 22" xfId="1342" xr:uid="{00000000-0005-0000-0000-0000A7050000}"/>
    <cellStyle name="강조색4 23" xfId="1343" xr:uid="{00000000-0005-0000-0000-0000A8050000}"/>
    <cellStyle name="강조색4 24" xfId="1344" xr:uid="{00000000-0005-0000-0000-0000A9050000}"/>
    <cellStyle name="강조색4 25" xfId="1345" xr:uid="{00000000-0005-0000-0000-0000AA050000}"/>
    <cellStyle name="강조색4 26" xfId="1346" xr:uid="{00000000-0005-0000-0000-0000AB050000}"/>
    <cellStyle name="강조색4 27" xfId="1347" xr:uid="{00000000-0005-0000-0000-0000AC050000}"/>
    <cellStyle name="강조색4 28" xfId="1348" xr:uid="{00000000-0005-0000-0000-0000AD050000}"/>
    <cellStyle name="강조색4 29" xfId="1349" xr:uid="{00000000-0005-0000-0000-0000AE050000}"/>
    <cellStyle name="강조색4 3" xfId="1350" xr:uid="{00000000-0005-0000-0000-0000AF050000}"/>
    <cellStyle name="강조색4 30" xfId="1351" xr:uid="{00000000-0005-0000-0000-0000B0050000}"/>
    <cellStyle name="강조색4 31" xfId="1352" xr:uid="{00000000-0005-0000-0000-0000B1050000}"/>
    <cellStyle name="강조색4 32" xfId="1353" xr:uid="{00000000-0005-0000-0000-0000B2050000}"/>
    <cellStyle name="강조색4 33" xfId="1354" xr:uid="{00000000-0005-0000-0000-0000B3050000}"/>
    <cellStyle name="강조색4 34" xfId="1355" xr:uid="{00000000-0005-0000-0000-0000B4050000}"/>
    <cellStyle name="강조색4 35" xfId="1356" xr:uid="{00000000-0005-0000-0000-0000B5050000}"/>
    <cellStyle name="강조색4 36" xfId="1357" xr:uid="{00000000-0005-0000-0000-0000B6050000}"/>
    <cellStyle name="강조색4 37" xfId="1358" xr:uid="{00000000-0005-0000-0000-0000B7050000}"/>
    <cellStyle name="강조색4 38" xfId="1359" xr:uid="{00000000-0005-0000-0000-0000B8050000}"/>
    <cellStyle name="강조색4 39" xfId="1360" xr:uid="{00000000-0005-0000-0000-0000B9050000}"/>
    <cellStyle name="강조색4 4" xfId="1361" xr:uid="{00000000-0005-0000-0000-0000BA050000}"/>
    <cellStyle name="강조색4 40" xfId="1362" xr:uid="{00000000-0005-0000-0000-0000BB050000}"/>
    <cellStyle name="강조색4 41" xfId="1363" xr:uid="{00000000-0005-0000-0000-0000BC050000}"/>
    <cellStyle name="강조색4 42" xfId="1364" xr:uid="{00000000-0005-0000-0000-0000BD050000}"/>
    <cellStyle name="강조색4 43" xfId="1365" xr:uid="{00000000-0005-0000-0000-0000BE050000}"/>
    <cellStyle name="강조색4 44" xfId="1366" xr:uid="{00000000-0005-0000-0000-0000BF050000}"/>
    <cellStyle name="강조색4 45" xfId="1367" xr:uid="{00000000-0005-0000-0000-0000C0050000}"/>
    <cellStyle name="강조색4 46" xfId="1368" xr:uid="{00000000-0005-0000-0000-0000C1050000}"/>
    <cellStyle name="강조색4 47" xfId="1369" xr:uid="{00000000-0005-0000-0000-0000C2050000}"/>
    <cellStyle name="강조색4 48" xfId="1370" xr:uid="{00000000-0005-0000-0000-0000C3050000}"/>
    <cellStyle name="강조색4 49" xfId="1371" xr:uid="{00000000-0005-0000-0000-0000C4050000}"/>
    <cellStyle name="강조색4 5" xfId="1372" xr:uid="{00000000-0005-0000-0000-0000C5050000}"/>
    <cellStyle name="강조색4 50" xfId="1373" xr:uid="{00000000-0005-0000-0000-0000C6050000}"/>
    <cellStyle name="강조색4 51" xfId="1374" xr:uid="{00000000-0005-0000-0000-0000C7050000}"/>
    <cellStyle name="강조색4 52" xfId="1375" xr:uid="{00000000-0005-0000-0000-0000C8050000}"/>
    <cellStyle name="강조색4 53" xfId="1376" xr:uid="{00000000-0005-0000-0000-0000C9050000}"/>
    <cellStyle name="강조색4 54" xfId="1377" xr:uid="{00000000-0005-0000-0000-0000CA050000}"/>
    <cellStyle name="강조색4 55" xfId="1378" xr:uid="{00000000-0005-0000-0000-0000CB050000}"/>
    <cellStyle name="강조색4 56" xfId="1379" xr:uid="{00000000-0005-0000-0000-0000CC050000}"/>
    <cellStyle name="강조색4 57" xfId="1380" xr:uid="{00000000-0005-0000-0000-0000CD050000}"/>
    <cellStyle name="강조색4 58" xfId="1381" xr:uid="{00000000-0005-0000-0000-0000CE050000}"/>
    <cellStyle name="강조색4 59" xfId="1382" xr:uid="{00000000-0005-0000-0000-0000CF050000}"/>
    <cellStyle name="강조색4 6" xfId="1383" xr:uid="{00000000-0005-0000-0000-0000D0050000}"/>
    <cellStyle name="강조색4 60" xfId="1384" xr:uid="{00000000-0005-0000-0000-0000D1050000}"/>
    <cellStyle name="강조색4 61" xfId="1385" xr:uid="{00000000-0005-0000-0000-0000D2050000}"/>
    <cellStyle name="강조색4 62" xfId="1386" xr:uid="{00000000-0005-0000-0000-0000D3050000}"/>
    <cellStyle name="강조색4 63" xfId="1387" xr:uid="{00000000-0005-0000-0000-0000D4050000}"/>
    <cellStyle name="강조색4 64" xfId="1388" xr:uid="{00000000-0005-0000-0000-0000D5050000}"/>
    <cellStyle name="강조색4 7" xfId="1389" xr:uid="{00000000-0005-0000-0000-0000D6050000}"/>
    <cellStyle name="강조색4 8" xfId="1390" xr:uid="{00000000-0005-0000-0000-0000D7050000}"/>
    <cellStyle name="강조색4 9" xfId="1391" xr:uid="{00000000-0005-0000-0000-0000D8050000}"/>
    <cellStyle name="강조색5" xfId="2672" builtinId="45" customBuiltin="1"/>
    <cellStyle name="강조색5 10" xfId="1392" xr:uid="{00000000-0005-0000-0000-0000DA050000}"/>
    <cellStyle name="강조색5 11" xfId="1393" xr:uid="{00000000-0005-0000-0000-0000DB050000}"/>
    <cellStyle name="강조색5 12" xfId="1394" xr:uid="{00000000-0005-0000-0000-0000DC050000}"/>
    <cellStyle name="강조색5 13" xfId="1395" xr:uid="{00000000-0005-0000-0000-0000DD050000}"/>
    <cellStyle name="강조색5 14" xfId="1396" xr:uid="{00000000-0005-0000-0000-0000DE050000}"/>
    <cellStyle name="강조색5 15" xfId="1397" xr:uid="{00000000-0005-0000-0000-0000DF050000}"/>
    <cellStyle name="강조색5 16" xfId="1398" xr:uid="{00000000-0005-0000-0000-0000E0050000}"/>
    <cellStyle name="강조색5 17" xfId="1399" xr:uid="{00000000-0005-0000-0000-0000E1050000}"/>
    <cellStyle name="강조색5 18" xfId="1400" xr:uid="{00000000-0005-0000-0000-0000E2050000}"/>
    <cellStyle name="강조색5 19" xfId="1401" xr:uid="{00000000-0005-0000-0000-0000E3050000}"/>
    <cellStyle name="강조색5 2" xfId="1402" xr:uid="{00000000-0005-0000-0000-0000E4050000}"/>
    <cellStyle name="강조색5 20" xfId="1403" xr:uid="{00000000-0005-0000-0000-0000E5050000}"/>
    <cellStyle name="강조색5 21" xfId="1404" xr:uid="{00000000-0005-0000-0000-0000E6050000}"/>
    <cellStyle name="강조색5 22" xfId="1405" xr:uid="{00000000-0005-0000-0000-0000E7050000}"/>
    <cellStyle name="강조색5 23" xfId="1406" xr:uid="{00000000-0005-0000-0000-0000E8050000}"/>
    <cellStyle name="강조색5 24" xfId="1407" xr:uid="{00000000-0005-0000-0000-0000E9050000}"/>
    <cellStyle name="강조색5 25" xfId="1408" xr:uid="{00000000-0005-0000-0000-0000EA050000}"/>
    <cellStyle name="강조색5 26" xfId="1409" xr:uid="{00000000-0005-0000-0000-0000EB050000}"/>
    <cellStyle name="강조색5 27" xfId="1410" xr:uid="{00000000-0005-0000-0000-0000EC050000}"/>
    <cellStyle name="강조색5 28" xfId="1411" xr:uid="{00000000-0005-0000-0000-0000ED050000}"/>
    <cellStyle name="강조색5 29" xfId="1412" xr:uid="{00000000-0005-0000-0000-0000EE050000}"/>
    <cellStyle name="강조색5 3" xfId="1413" xr:uid="{00000000-0005-0000-0000-0000EF050000}"/>
    <cellStyle name="강조색5 30" xfId="1414" xr:uid="{00000000-0005-0000-0000-0000F0050000}"/>
    <cellStyle name="강조색5 31" xfId="1415" xr:uid="{00000000-0005-0000-0000-0000F1050000}"/>
    <cellStyle name="강조색5 32" xfId="1416" xr:uid="{00000000-0005-0000-0000-0000F2050000}"/>
    <cellStyle name="강조색5 33" xfId="1417" xr:uid="{00000000-0005-0000-0000-0000F3050000}"/>
    <cellStyle name="강조색5 34" xfId="1418" xr:uid="{00000000-0005-0000-0000-0000F4050000}"/>
    <cellStyle name="강조색5 35" xfId="1419" xr:uid="{00000000-0005-0000-0000-0000F5050000}"/>
    <cellStyle name="강조색5 36" xfId="1420" xr:uid="{00000000-0005-0000-0000-0000F6050000}"/>
    <cellStyle name="강조색5 37" xfId="1421" xr:uid="{00000000-0005-0000-0000-0000F7050000}"/>
    <cellStyle name="강조색5 38" xfId="1422" xr:uid="{00000000-0005-0000-0000-0000F8050000}"/>
    <cellStyle name="강조색5 39" xfId="1423" xr:uid="{00000000-0005-0000-0000-0000F9050000}"/>
    <cellStyle name="강조색5 4" xfId="1424" xr:uid="{00000000-0005-0000-0000-0000FA050000}"/>
    <cellStyle name="강조색5 40" xfId="1425" xr:uid="{00000000-0005-0000-0000-0000FB050000}"/>
    <cellStyle name="강조색5 41" xfId="1426" xr:uid="{00000000-0005-0000-0000-0000FC050000}"/>
    <cellStyle name="강조색5 42" xfId="1427" xr:uid="{00000000-0005-0000-0000-0000FD050000}"/>
    <cellStyle name="강조색5 43" xfId="1428" xr:uid="{00000000-0005-0000-0000-0000FE050000}"/>
    <cellStyle name="강조색5 44" xfId="1429" xr:uid="{00000000-0005-0000-0000-0000FF050000}"/>
    <cellStyle name="강조색5 45" xfId="1430" xr:uid="{00000000-0005-0000-0000-000000060000}"/>
    <cellStyle name="강조색5 46" xfId="1431" xr:uid="{00000000-0005-0000-0000-000001060000}"/>
    <cellStyle name="강조색5 47" xfId="1432" xr:uid="{00000000-0005-0000-0000-000002060000}"/>
    <cellStyle name="강조색5 48" xfId="1433" xr:uid="{00000000-0005-0000-0000-000003060000}"/>
    <cellStyle name="강조색5 49" xfId="1434" xr:uid="{00000000-0005-0000-0000-000004060000}"/>
    <cellStyle name="강조색5 5" xfId="1435" xr:uid="{00000000-0005-0000-0000-000005060000}"/>
    <cellStyle name="강조색5 50" xfId="1436" xr:uid="{00000000-0005-0000-0000-000006060000}"/>
    <cellStyle name="강조색5 51" xfId="1437" xr:uid="{00000000-0005-0000-0000-000007060000}"/>
    <cellStyle name="강조색5 52" xfId="1438" xr:uid="{00000000-0005-0000-0000-000008060000}"/>
    <cellStyle name="강조색5 53" xfId="1439" xr:uid="{00000000-0005-0000-0000-000009060000}"/>
    <cellStyle name="강조색5 54" xfId="1440" xr:uid="{00000000-0005-0000-0000-00000A060000}"/>
    <cellStyle name="강조색5 55" xfId="1441" xr:uid="{00000000-0005-0000-0000-00000B060000}"/>
    <cellStyle name="강조색5 56" xfId="1442" xr:uid="{00000000-0005-0000-0000-00000C060000}"/>
    <cellStyle name="강조색5 57" xfId="1443" xr:uid="{00000000-0005-0000-0000-00000D060000}"/>
    <cellStyle name="강조색5 58" xfId="1444" xr:uid="{00000000-0005-0000-0000-00000E060000}"/>
    <cellStyle name="강조색5 59" xfId="1445" xr:uid="{00000000-0005-0000-0000-00000F060000}"/>
    <cellStyle name="강조색5 6" xfId="1446" xr:uid="{00000000-0005-0000-0000-000010060000}"/>
    <cellStyle name="강조색5 60" xfId="1447" xr:uid="{00000000-0005-0000-0000-000011060000}"/>
    <cellStyle name="강조색5 61" xfId="1448" xr:uid="{00000000-0005-0000-0000-000012060000}"/>
    <cellStyle name="강조색5 62" xfId="1449" xr:uid="{00000000-0005-0000-0000-000013060000}"/>
    <cellStyle name="강조색5 63" xfId="1450" xr:uid="{00000000-0005-0000-0000-000014060000}"/>
    <cellStyle name="강조색5 64" xfId="1451" xr:uid="{00000000-0005-0000-0000-000015060000}"/>
    <cellStyle name="강조색5 7" xfId="1452" xr:uid="{00000000-0005-0000-0000-000016060000}"/>
    <cellStyle name="강조색5 8" xfId="1453" xr:uid="{00000000-0005-0000-0000-000017060000}"/>
    <cellStyle name="강조색5 9" xfId="1454" xr:uid="{00000000-0005-0000-0000-000018060000}"/>
    <cellStyle name="강조색6" xfId="2676" builtinId="49" customBuiltin="1"/>
    <cellStyle name="강조색6 10" xfId="1455" xr:uid="{00000000-0005-0000-0000-00001A060000}"/>
    <cellStyle name="강조색6 11" xfId="1456" xr:uid="{00000000-0005-0000-0000-00001B060000}"/>
    <cellStyle name="강조색6 12" xfId="1457" xr:uid="{00000000-0005-0000-0000-00001C060000}"/>
    <cellStyle name="강조색6 13" xfId="1458" xr:uid="{00000000-0005-0000-0000-00001D060000}"/>
    <cellStyle name="강조색6 14" xfId="1459" xr:uid="{00000000-0005-0000-0000-00001E060000}"/>
    <cellStyle name="강조색6 15" xfId="1460" xr:uid="{00000000-0005-0000-0000-00001F060000}"/>
    <cellStyle name="강조색6 16" xfId="1461" xr:uid="{00000000-0005-0000-0000-000020060000}"/>
    <cellStyle name="강조색6 17" xfId="1462" xr:uid="{00000000-0005-0000-0000-000021060000}"/>
    <cellStyle name="강조색6 18" xfId="1463" xr:uid="{00000000-0005-0000-0000-000022060000}"/>
    <cellStyle name="강조색6 19" xfId="1464" xr:uid="{00000000-0005-0000-0000-000023060000}"/>
    <cellStyle name="강조색6 2" xfId="1465" xr:uid="{00000000-0005-0000-0000-000024060000}"/>
    <cellStyle name="강조색6 20" xfId="1466" xr:uid="{00000000-0005-0000-0000-000025060000}"/>
    <cellStyle name="강조색6 21" xfId="1467" xr:uid="{00000000-0005-0000-0000-000026060000}"/>
    <cellStyle name="강조색6 22" xfId="1468" xr:uid="{00000000-0005-0000-0000-000027060000}"/>
    <cellStyle name="강조색6 23" xfId="1469" xr:uid="{00000000-0005-0000-0000-000028060000}"/>
    <cellStyle name="강조색6 24" xfId="1470" xr:uid="{00000000-0005-0000-0000-000029060000}"/>
    <cellStyle name="강조색6 25" xfId="1471" xr:uid="{00000000-0005-0000-0000-00002A060000}"/>
    <cellStyle name="강조색6 26" xfId="1472" xr:uid="{00000000-0005-0000-0000-00002B060000}"/>
    <cellStyle name="강조색6 27" xfId="1473" xr:uid="{00000000-0005-0000-0000-00002C060000}"/>
    <cellStyle name="강조색6 28" xfId="1474" xr:uid="{00000000-0005-0000-0000-00002D060000}"/>
    <cellStyle name="강조색6 29" xfId="1475" xr:uid="{00000000-0005-0000-0000-00002E060000}"/>
    <cellStyle name="강조색6 3" xfId="1476" xr:uid="{00000000-0005-0000-0000-00002F060000}"/>
    <cellStyle name="강조색6 30" xfId="1477" xr:uid="{00000000-0005-0000-0000-000030060000}"/>
    <cellStyle name="강조색6 31" xfId="1478" xr:uid="{00000000-0005-0000-0000-000031060000}"/>
    <cellStyle name="강조색6 32" xfId="1479" xr:uid="{00000000-0005-0000-0000-000032060000}"/>
    <cellStyle name="강조색6 33" xfId="1480" xr:uid="{00000000-0005-0000-0000-000033060000}"/>
    <cellStyle name="강조색6 34" xfId="1481" xr:uid="{00000000-0005-0000-0000-000034060000}"/>
    <cellStyle name="강조색6 35" xfId="1482" xr:uid="{00000000-0005-0000-0000-000035060000}"/>
    <cellStyle name="강조색6 36" xfId="1483" xr:uid="{00000000-0005-0000-0000-000036060000}"/>
    <cellStyle name="강조색6 37" xfId="1484" xr:uid="{00000000-0005-0000-0000-000037060000}"/>
    <cellStyle name="강조색6 38" xfId="1485" xr:uid="{00000000-0005-0000-0000-000038060000}"/>
    <cellStyle name="강조색6 39" xfId="1486" xr:uid="{00000000-0005-0000-0000-000039060000}"/>
    <cellStyle name="강조색6 4" xfId="1487" xr:uid="{00000000-0005-0000-0000-00003A060000}"/>
    <cellStyle name="강조색6 40" xfId="1488" xr:uid="{00000000-0005-0000-0000-00003B060000}"/>
    <cellStyle name="강조색6 41" xfId="1489" xr:uid="{00000000-0005-0000-0000-00003C060000}"/>
    <cellStyle name="강조색6 42" xfId="1490" xr:uid="{00000000-0005-0000-0000-00003D060000}"/>
    <cellStyle name="강조색6 43" xfId="1491" xr:uid="{00000000-0005-0000-0000-00003E060000}"/>
    <cellStyle name="강조색6 44" xfId="1492" xr:uid="{00000000-0005-0000-0000-00003F060000}"/>
    <cellStyle name="강조색6 45" xfId="1493" xr:uid="{00000000-0005-0000-0000-000040060000}"/>
    <cellStyle name="강조색6 46" xfId="1494" xr:uid="{00000000-0005-0000-0000-000041060000}"/>
    <cellStyle name="강조색6 47" xfId="1495" xr:uid="{00000000-0005-0000-0000-000042060000}"/>
    <cellStyle name="강조색6 48" xfId="1496" xr:uid="{00000000-0005-0000-0000-000043060000}"/>
    <cellStyle name="강조색6 49" xfId="1497" xr:uid="{00000000-0005-0000-0000-000044060000}"/>
    <cellStyle name="강조색6 5" xfId="1498" xr:uid="{00000000-0005-0000-0000-000045060000}"/>
    <cellStyle name="강조색6 50" xfId="1499" xr:uid="{00000000-0005-0000-0000-000046060000}"/>
    <cellStyle name="강조색6 51" xfId="1500" xr:uid="{00000000-0005-0000-0000-000047060000}"/>
    <cellStyle name="강조색6 52" xfId="1501" xr:uid="{00000000-0005-0000-0000-000048060000}"/>
    <cellStyle name="강조색6 53" xfId="1502" xr:uid="{00000000-0005-0000-0000-000049060000}"/>
    <cellStyle name="강조색6 54" xfId="1503" xr:uid="{00000000-0005-0000-0000-00004A060000}"/>
    <cellStyle name="강조색6 55" xfId="1504" xr:uid="{00000000-0005-0000-0000-00004B060000}"/>
    <cellStyle name="강조색6 56" xfId="1505" xr:uid="{00000000-0005-0000-0000-00004C060000}"/>
    <cellStyle name="강조색6 57" xfId="1506" xr:uid="{00000000-0005-0000-0000-00004D060000}"/>
    <cellStyle name="강조색6 58" xfId="1507" xr:uid="{00000000-0005-0000-0000-00004E060000}"/>
    <cellStyle name="강조색6 59" xfId="1508" xr:uid="{00000000-0005-0000-0000-00004F060000}"/>
    <cellStyle name="강조색6 6" xfId="1509" xr:uid="{00000000-0005-0000-0000-000050060000}"/>
    <cellStyle name="강조색6 60" xfId="1510" xr:uid="{00000000-0005-0000-0000-000051060000}"/>
    <cellStyle name="강조색6 61" xfId="1511" xr:uid="{00000000-0005-0000-0000-000052060000}"/>
    <cellStyle name="강조색6 62" xfId="1512" xr:uid="{00000000-0005-0000-0000-000053060000}"/>
    <cellStyle name="강조색6 63" xfId="1513" xr:uid="{00000000-0005-0000-0000-000054060000}"/>
    <cellStyle name="강조색6 64" xfId="1514" xr:uid="{00000000-0005-0000-0000-000055060000}"/>
    <cellStyle name="강조색6 7" xfId="1515" xr:uid="{00000000-0005-0000-0000-000056060000}"/>
    <cellStyle name="강조색6 8" xfId="1516" xr:uid="{00000000-0005-0000-0000-000057060000}"/>
    <cellStyle name="강조색6 9" xfId="1517" xr:uid="{00000000-0005-0000-0000-000058060000}"/>
    <cellStyle name="경고문" xfId="2653" builtinId="11" customBuiltin="1"/>
    <cellStyle name="경고문 10" xfId="1518" xr:uid="{00000000-0005-0000-0000-00005A060000}"/>
    <cellStyle name="경고문 11" xfId="1519" xr:uid="{00000000-0005-0000-0000-00005B060000}"/>
    <cellStyle name="경고문 12" xfId="1520" xr:uid="{00000000-0005-0000-0000-00005C060000}"/>
    <cellStyle name="경고문 13" xfId="1521" xr:uid="{00000000-0005-0000-0000-00005D060000}"/>
    <cellStyle name="경고문 14" xfId="1522" xr:uid="{00000000-0005-0000-0000-00005E060000}"/>
    <cellStyle name="경고문 15" xfId="1523" xr:uid="{00000000-0005-0000-0000-00005F060000}"/>
    <cellStyle name="경고문 16" xfId="1524" xr:uid="{00000000-0005-0000-0000-000060060000}"/>
    <cellStyle name="경고문 17" xfId="1525" xr:uid="{00000000-0005-0000-0000-000061060000}"/>
    <cellStyle name="경고문 18" xfId="1526" xr:uid="{00000000-0005-0000-0000-000062060000}"/>
    <cellStyle name="경고문 19" xfId="1527" xr:uid="{00000000-0005-0000-0000-000063060000}"/>
    <cellStyle name="경고문 2" xfId="1528" xr:uid="{00000000-0005-0000-0000-000064060000}"/>
    <cellStyle name="경고문 20" xfId="1529" xr:uid="{00000000-0005-0000-0000-000065060000}"/>
    <cellStyle name="경고문 21" xfId="1530" xr:uid="{00000000-0005-0000-0000-000066060000}"/>
    <cellStyle name="경고문 22" xfId="1531" xr:uid="{00000000-0005-0000-0000-000067060000}"/>
    <cellStyle name="경고문 23" xfId="1532" xr:uid="{00000000-0005-0000-0000-000068060000}"/>
    <cellStyle name="경고문 24" xfId="1533" xr:uid="{00000000-0005-0000-0000-000069060000}"/>
    <cellStyle name="경고문 25" xfId="1534" xr:uid="{00000000-0005-0000-0000-00006A060000}"/>
    <cellStyle name="경고문 26" xfId="1535" xr:uid="{00000000-0005-0000-0000-00006B060000}"/>
    <cellStyle name="경고문 27" xfId="1536" xr:uid="{00000000-0005-0000-0000-00006C060000}"/>
    <cellStyle name="경고문 28" xfId="1537" xr:uid="{00000000-0005-0000-0000-00006D060000}"/>
    <cellStyle name="경고문 29" xfId="1538" xr:uid="{00000000-0005-0000-0000-00006E060000}"/>
    <cellStyle name="경고문 3" xfId="1539" xr:uid="{00000000-0005-0000-0000-00006F060000}"/>
    <cellStyle name="경고문 30" xfId="1540" xr:uid="{00000000-0005-0000-0000-000070060000}"/>
    <cellStyle name="경고문 31" xfId="1541" xr:uid="{00000000-0005-0000-0000-000071060000}"/>
    <cellStyle name="경고문 32" xfId="1542" xr:uid="{00000000-0005-0000-0000-000072060000}"/>
    <cellStyle name="경고문 33" xfId="1543" xr:uid="{00000000-0005-0000-0000-000073060000}"/>
    <cellStyle name="경고문 34" xfId="1544" xr:uid="{00000000-0005-0000-0000-000074060000}"/>
    <cellStyle name="경고문 35" xfId="1545" xr:uid="{00000000-0005-0000-0000-000075060000}"/>
    <cellStyle name="경고문 36" xfId="1546" xr:uid="{00000000-0005-0000-0000-000076060000}"/>
    <cellStyle name="경고문 37" xfId="1547" xr:uid="{00000000-0005-0000-0000-000077060000}"/>
    <cellStyle name="경고문 38" xfId="1548" xr:uid="{00000000-0005-0000-0000-000078060000}"/>
    <cellStyle name="경고문 39" xfId="1549" xr:uid="{00000000-0005-0000-0000-000079060000}"/>
    <cellStyle name="경고문 4" xfId="1550" xr:uid="{00000000-0005-0000-0000-00007A060000}"/>
    <cellStyle name="경고문 40" xfId="1551" xr:uid="{00000000-0005-0000-0000-00007B060000}"/>
    <cellStyle name="경고문 41" xfId="1552" xr:uid="{00000000-0005-0000-0000-00007C060000}"/>
    <cellStyle name="경고문 42" xfId="1553" xr:uid="{00000000-0005-0000-0000-00007D060000}"/>
    <cellStyle name="경고문 43" xfId="1554" xr:uid="{00000000-0005-0000-0000-00007E060000}"/>
    <cellStyle name="경고문 44" xfId="1555" xr:uid="{00000000-0005-0000-0000-00007F060000}"/>
    <cellStyle name="경고문 45" xfId="1556" xr:uid="{00000000-0005-0000-0000-000080060000}"/>
    <cellStyle name="경고문 46" xfId="1557" xr:uid="{00000000-0005-0000-0000-000081060000}"/>
    <cellStyle name="경고문 47" xfId="1558" xr:uid="{00000000-0005-0000-0000-000082060000}"/>
    <cellStyle name="경고문 48" xfId="1559" xr:uid="{00000000-0005-0000-0000-000083060000}"/>
    <cellStyle name="경고문 49" xfId="1560" xr:uid="{00000000-0005-0000-0000-000084060000}"/>
    <cellStyle name="경고문 5" xfId="1561" xr:uid="{00000000-0005-0000-0000-000085060000}"/>
    <cellStyle name="경고문 50" xfId="1562" xr:uid="{00000000-0005-0000-0000-000086060000}"/>
    <cellStyle name="경고문 51" xfId="1563" xr:uid="{00000000-0005-0000-0000-000087060000}"/>
    <cellStyle name="경고문 52" xfId="1564" xr:uid="{00000000-0005-0000-0000-000088060000}"/>
    <cellStyle name="경고문 53" xfId="1565" xr:uid="{00000000-0005-0000-0000-000089060000}"/>
    <cellStyle name="경고문 54" xfId="1566" xr:uid="{00000000-0005-0000-0000-00008A060000}"/>
    <cellStyle name="경고문 55" xfId="1567" xr:uid="{00000000-0005-0000-0000-00008B060000}"/>
    <cellStyle name="경고문 56" xfId="1568" xr:uid="{00000000-0005-0000-0000-00008C060000}"/>
    <cellStyle name="경고문 57" xfId="1569" xr:uid="{00000000-0005-0000-0000-00008D060000}"/>
    <cellStyle name="경고문 58" xfId="1570" xr:uid="{00000000-0005-0000-0000-00008E060000}"/>
    <cellStyle name="경고문 59" xfId="1571" xr:uid="{00000000-0005-0000-0000-00008F060000}"/>
    <cellStyle name="경고문 6" xfId="1572" xr:uid="{00000000-0005-0000-0000-000090060000}"/>
    <cellStyle name="경고문 60" xfId="1573" xr:uid="{00000000-0005-0000-0000-000091060000}"/>
    <cellStyle name="경고문 61" xfId="1574" xr:uid="{00000000-0005-0000-0000-000092060000}"/>
    <cellStyle name="경고문 62" xfId="1575" xr:uid="{00000000-0005-0000-0000-000093060000}"/>
    <cellStyle name="경고문 63" xfId="1576" xr:uid="{00000000-0005-0000-0000-000094060000}"/>
    <cellStyle name="경고문 64" xfId="1577" xr:uid="{00000000-0005-0000-0000-000095060000}"/>
    <cellStyle name="경고문 7" xfId="1578" xr:uid="{00000000-0005-0000-0000-000096060000}"/>
    <cellStyle name="경고문 8" xfId="1579" xr:uid="{00000000-0005-0000-0000-000097060000}"/>
    <cellStyle name="경고문 9" xfId="1580" xr:uid="{00000000-0005-0000-0000-000098060000}"/>
    <cellStyle name="계산" xfId="2650" builtinId="22" customBuiltin="1"/>
    <cellStyle name="계산 10" xfId="1581" xr:uid="{00000000-0005-0000-0000-00009A060000}"/>
    <cellStyle name="계산 11" xfId="1582" xr:uid="{00000000-0005-0000-0000-00009B060000}"/>
    <cellStyle name="계산 12" xfId="1583" xr:uid="{00000000-0005-0000-0000-00009C060000}"/>
    <cellStyle name="계산 13" xfId="1584" xr:uid="{00000000-0005-0000-0000-00009D060000}"/>
    <cellStyle name="계산 14" xfId="1585" xr:uid="{00000000-0005-0000-0000-00009E060000}"/>
    <cellStyle name="계산 15" xfId="1586" xr:uid="{00000000-0005-0000-0000-00009F060000}"/>
    <cellStyle name="계산 16" xfId="1587" xr:uid="{00000000-0005-0000-0000-0000A0060000}"/>
    <cellStyle name="계산 17" xfId="1588" xr:uid="{00000000-0005-0000-0000-0000A1060000}"/>
    <cellStyle name="계산 18" xfId="1589" xr:uid="{00000000-0005-0000-0000-0000A2060000}"/>
    <cellStyle name="계산 19" xfId="1590" xr:uid="{00000000-0005-0000-0000-0000A3060000}"/>
    <cellStyle name="계산 2" xfId="1591" xr:uid="{00000000-0005-0000-0000-0000A4060000}"/>
    <cellStyle name="계산 20" xfId="1592" xr:uid="{00000000-0005-0000-0000-0000A5060000}"/>
    <cellStyle name="계산 21" xfId="1593" xr:uid="{00000000-0005-0000-0000-0000A6060000}"/>
    <cellStyle name="계산 22" xfId="1594" xr:uid="{00000000-0005-0000-0000-0000A7060000}"/>
    <cellStyle name="계산 23" xfId="1595" xr:uid="{00000000-0005-0000-0000-0000A8060000}"/>
    <cellStyle name="계산 24" xfId="1596" xr:uid="{00000000-0005-0000-0000-0000A9060000}"/>
    <cellStyle name="계산 25" xfId="1597" xr:uid="{00000000-0005-0000-0000-0000AA060000}"/>
    <cellStyle name="계산 26" xfId="1598" xr:uid="{00000000-0005-0000-0000-0000AB060000}"/>
    <cellStyle name="계산 27" xfId="1599" xr:uid="{00000000-0005-0000-0000-0000AC060000}"/>
    <cellStyle name="계산 28" xfId="1600" xr:uid="{00000000-0005-0000-0000-0000AD060000}"/>
    <cellStyle name="계산 29" xfId="1601" xr:uid="{00000000-0005-0000-0000-0000AE060000}"/>
    <cellStyle name="계산 3" xfId="1602" xr:uid="{00000000-0005-0000-0000-0000AF060000}"/>
    <cellStyle name="계산 30" xfId="1603" xr:uid="{00000000-0005-0000-0000-0000B0060000}"/>
    <cellStyle name="계산 31" xfId="1604" xr:uid="{00000000-0005-0000-0000-0000B1060000}"/>
    <cellStyle name="계산 32" xfId="1605" xr:uid="{00000000-0005-0000-0000-0000B2060000}"/>
    <cellStyle name="계산 33" xfId="1606" xr:uid="{00000000-0005-0000-0000-0000B3060000}"/>
    <cellStyle name="계산 34" xfId="1607" xr:uid="{00000000-0005-0000-0000-0000B4060000}"/>
    <cellStyle name="계산 35" xfId="1608" xr:uid="{00000000-0005-0000-0000-0000B5060000}"/>
    <cellStyle name="계산 36" xfId="1609" xr:uid="{00000000-0005-0000-0000-0000B6060000}"/>
    <cellStyle name="계산 37" xfId="1610" xr:uid="{00000000-0005-0000-0000-0000B7060000}"/>
    <cellStyle name="계산 38" xfId="1611" xr:uid="{00000000-0005-0000-0000-0000B8060000}"/>
    <cellStyle name="계산 39" xfId="1612" xr:uid="{00000000-0005-0000-0000-0000B9060000}"/>
    <cellStyle name="계산 4" xfId="1613" xr:uid="{00000000-0005-0000-0000-0000BA060000}"/>
    <cellStyle name="계산 40" xfId="1614" xr:uid="{00000000-0005-0000-0000-0000BB060000}"/>
    <cellStyle name="계산 41" xfId="1615" xr:uid="{00000000-0005-0000-0000-0000BC060000}"/>
    <cellStyle name="계산 42" xfId="1616" xr:uid="{00000000-0005-0000-0000-0000BD060000}"/>
    <cellStyle name="계산 43" xfId="1617" xr:uid="{00000000-0005-0000-0000-0000BE060000}"/>
    <cellStyle name="계산 44" xfId="1618" xr:uid="{00000000-0005-0000-0000-0000BF060000}"/>
    <cellStyle name="계산 45" xfId="1619" xr:uid="{00000000-0005-0000-0000-0000C0060000}"/>
    <cellStyle name="계산 46" xfId="1620" xr:uid="{00000000-0005-0000-0000-0000C1060000}"/>
    <cellStyle name="계산 47" xfId="1621" xr:uid="{00000000-0005-0000-0000-0000C2060000}"/>
    <cellStyle name="계산 48" xfId="1622" xr:uid="{00000000-0005-0000-0000-0000C3060000}"/>
    <cellStyle name="계산 49" xfId="1623" xr:uid="{00000000-0005-0000-0000-0000C4060000}"/>
    <cellStyle name="계산 5" xfId="1624" xr:uid="{00000000-0005-0000-0000-0000C5060000}"/>
    <cellStyle name="계산 50" xfId="1625" xr:uid="{00000000-0005-0000-0000-0000C6060000}"/>
    <cellStyle name="계산 51" xfId="1626" xr:uid="{00000000-0005-0000-0000-0000C7060000}"/>
    <cellStyle name="계산 52" xfId="1627" xr:uid="{00000000-0005-0000-0000-0000C8060000}"/>
    <cellStyle name="계산 53" xfId="1628" xr:uid="{00000000-0005-0000-0000-0000C9060000}"/>
    <cellStyle name="계산 54" xfId="1629" xr:uid="{00000000-0005-0000-0000-0000CA060000}"/>
    <cellStyle name="계산 55" xfId="1630" xr:uid="{00000000-0005-0000-0000-0000CB060000}"/>
    <cellStyle name="계산 56" xfId="1631" xr:uid="{00000000-0005-0000-0000-0000CC060000}"/>
    <cellStyle name="계산 57" xfId="1632" xr:uid="{00000000-0005-0000-0000-0000CD060000}"/>
    <cellStyle name="계산 58" xfId="1633" xr:uid="{00000000-0005-0000-0000-0000CE060000}"/>
    <cellStyle name="계산 59" xfId="1634" xr:uid="{00000000-0005-0000-0000-0000CF060000}"/>
    <cellStyle name="계산 6" xfId="1635" xr:uid="{00000000-0005-0000-0000-0000D0060000}"/>
    <cellStyle name="계산 60" xfId="1636" xr:uid="{00000000-0005-0000-0000-0000D1060000}"/>
    <cellStyle name="계산 61" xfId="1637" xr:uid="{00000000-0005-0000-0000-0000D2060000}"/>
    <cellStyle name="계산 62" xfId="1638" xr:uid="{00000000-0005-0000-0000-0000D3060000}"/>
    <cellStyle name="계산 63" xfId="1639" xr:uid="{00000000-0005-0000-0000-0000D4060000}"/>
    <cellStyle name="계산 64" xfId="1640" xr:uid="{00000000-0005-0000-0000-0000D5060000}"/>
    <cellStyle name="계산 7" xfId="1641" xr:uid="{00000000-0005-0000-0000-0000D6060000}"/>
    <cellStyle name="계산 8" xfId="1642" xr:uid="{00000000-0005-0000-0000-0000D7060000}"/>
    <cellStyle name="계산 9" xfId="1643" xr:uid="{00000000-0005-0000-0000-0000D8060000}"/>
    <cellStyle name="나쁨" xfId="2646" builtinId="27" customBuiltin="1"/>
    <cellStyle name="나쁨 10" xfId="1644" xr:uid="{00000000-0005-0000-0000-0000DA060000}"/>
    <cellStyle name="나쁨 11" xfId="1645" xr:uid="{00000000-0005-0000-0000-0000DB060000}"/>
    <cellStyle name="나쁨 12" xfId="1646" xr:uid="{00000000-0005-0000-0000-0000DC060000}"/>
    <cellStyle name="나쁨 13" xfId="1647" xr:uid="{00000000-0005-0000-0000-0000DD060000}"/>
    <cellStyle name="나쁨 14" xfId="1648" xr:uid="{00000000-0005-0000-0000-0000DE060000}"/>
    <cellStyle name="나쁨 15" xfId="1649" xr:uid="{00000000-0005-0000-0000-0000DF060000}"/>
    <cellStyle name="나쁨 16" xfId="1650" xr:uid="{00000000-0005-0000-0000-0000E0060000}"/>
    <cellStyle name="나쁨 17" xfId="1651" xr:uid="{00000000-0005-0000-0000-0000E1060000}"/>
    <cellStyle name="나쁨 18" xfId="1652" xr:uid="{00000000-0005-0000-0000-0000E2060000}"/>
    <cellStyle name="나쁨 19" xfId="1653" xr:uid="{00000000-0005-0000-0000-0000E3060000}"/>
    <cellStyle name="나쁨 2" xfId="1654" xr:uid="{00000000-0005-0000-0000-0000E4060000}"/>
    <cellStyle name="나쁨 20" xfId="1655" xr:uid="{00000000-0005-0000-0000-0000E5060000}"/>
    <cellStyle name="나쁨 21" xfId="1656" xr:uid="{00000000-0005-0000-0000-0000E6060000}"/>
    <cellStyle name="나쁨 22" xfId="1657" xr:uid="{00000000-0005-0000-0000-0000E7060000}"/>
    <cellStyle name="나쁨 23" xfId="1658" xr:uid="{00000000-0005-0000-0000-0000E8060000}"/>
    <cellStyle name="나쁨 24" xfId="1659" xr:uid="{00000000-0005-0000-0000-0000E9060000}"/>
    <cellStyle name="나쁨 25" xfId="1660" xr:uid="{00000000-0005-0000-0000-0000EA060000}"/>
    <cellStyle name="나쁨 26" xfId="1661" xr:uid="{00000000-0005-0000-0000-0000EB060000}"/>
    <cellStyle name="나쁨 27" xfId="1662" xr:uid="{00000000-0005-0000-0000-0000EC060000}"/>
    <cellStyle name="나쁨 28" xfId="1663" xr:uid="{00000000-0005-0000-0000-0000ED060000}"/>
    <cellStyle name="나쁨 29" xfId="1664" xr:uid="{00000000-0005-0000-0000-0000EE060000}"/>
    <cellStyle name="나쁨 3" xfId="1665" xr:uid="{00000000-0005-0000-0000-0000EF060000}"/>
    <cellStyle name="나쁨 30" xfId="1666" xr:uid="{00000000-0005-0000-0000-0000F0060000}"/>
    <cellStyle name="나쁨 31" xfId="1667" xr:uid="{00000000-0005-0000-0000-0000F1060000}"/>
    <cellStyle name="나쁨 32" xfId="1668" xr:uid="{00000000-0005-0000-0000-0000F2060000}"/>
    <cellStyle name="나쁨 33" xfId="1669" xr:uid="{00000000-0005-0000-0000-0000F3060000}"/>
    <cellStyle name="나쁨 34" xfId="1670" xr:uid="{00000000-0005-0000-0000-0000F4060000}"/>
    <cellStyle name="나쁨 35" xfId="1671" xr:uid="{00000000-0005-0000-0000-0000F5060000}"/>
    <cellStyle name="나쁨 36" xfId="1672" xr:uid="{00000000-0005-0000-0000-0000F6060000}"/>
    <cellStyle name="나쁨 37" xfId="1673" xr:uid="{00000000-0005-0000-0000-0000F7060000}"/>
    <cellStyle name="나쁨 38" xfId="1674" xr:uid="{00000000-0005-0000-0000-0000F8060000}"/>
    <cellStyle name="나쁨 39" xfId="1675" xr:uid="{00000000-0005-0000-0000-0000F9060000}"/>
    <cellStyle name="나쁨 4" xfId="1676" xr:uid="{00000000-0005-0000-0000-0000FA060000}"/>
    <cellStyle name="나쁨 40" xfId="1677" xr:uid="{00000000-0005-0000-0000-0000FB060000}"/>
    <cellStyle name="나쁨 41" xfId="1678" xr:uid="{00000000-0005-0000-0000-0000FC060000}"/>
    <cellStyle name="나쁨 42" xfId="1679" xr:uid="{00000000-0005-0000-0000-0000FD060000}"/>
    <cellStyle name="나쁨 43" xfId="1680" xr:uid="{00000000-0005-0000-0000-0000FE060000}"/>
    <cellStyle name="나쁨 44" xfId="1681" xr:uid="{00000000-0005-0000-0000-0000FF060000}"/>
    <cellStyle name="나쁨 45" xfId="1682" xr:uid="{00000000-0005-0000-0000-000000070000}"/>
    <cellStyle name="나쁨 46" xfId="1683" xr:uid="{00000000-0005-0000-0000-000001070000}"/>
    <cellStyle name="나쁨 47" xfId="1684" xr:uid="{00000000-0005-0000-0000-000002070000}"/>
    <cellStyle name="나쁨 48" xfId="1685" xr:uid="{00000000-0005-0000-0000-000003070000}"/>
    <cellStyle name="나쁨 49" xfId="1686" xr:uid="{00000000-0005-0000-0000-000004070000}"/>
    <cellStyle name="나쁨 5" xfId="1687" xr:uid="{00000000-0005-0000-0000-000005070000}"/>
    <cellStyle name="나쁨 50" xfId="1688" xr:uid="{00000000-0005-0000-0000-000006070000}"/>
    <cellStyle name="나쁨 51" xfId="1689" xr:uid="{00000000-0005-0000-0000-000007070000}"/>
    <cellStyle name="나쁨 52" xfId="1690" xr:uid="{00000000-0005-0000-0000-000008070000}"/>
    <cellStyle name="나쁨 53" xfId="1691" xr:uid="{00000000-0005-0000-0000-000009070000}"/>
    <cellStyle name="나쁨 54" xfId="1692" xr:uid="{00000000-0005-0000-0000-00000A070000}"/>
    <cellStyle name="나쁨 55" xfId="1693" xr:uid="{00000000-0005-0000-0000-00000B070000}"/>
    <cellStyle name="나쁨 56" xfId="1694" xr:uid="{00000000-0005-0000-0000-00000C070000}"/>
    <cellStyle name="나쁨 57" xfId="1695" xr:uid="{00000000-0005-0000-0000-00000D070000}"/>
    <cellStyle name="나쁨 58" xfId="1696" xr:uid="{00000000-0005-0000-0000-00000E070000}"/>
    <cellStyle name="나쁨 59" xfId="1697" xr:uid="{00000000-0005-0000-0000-00000F070000}"/>
    <cellStyle name="나쁨 6" xfId="1698" xr:uid="{00000000-0005-0000-0000-000010070000}"/>
    <cellStyle name="나쁨 60" xfId="1699" xr:uid="{00000000-0005-0000-0000-000011070000}"/>
    <cellStyle name="나쁨 61" xfId="1700" xr:uid="{00000000-0005-0000-0000-000012070000}"/>
    <cellStyle name="나쁨 62" xfId="1701" xr:uid="{00000000-0005-0000-0000-000013070000}"/>
    <cellStyle name="나쁨 63" xfId="1702" xr:uid="{00000000-0005-0000-0000-000014070000}"/>
    <cellStyle name="나쁨 64" xfId="1703" xr:uid="{00000000-0005-0000-0000-000015070000}"/>
    <cellStyle name="나쁨 7" xfId="1704" xr:uid="{00000000-0005-0000-0000-000016070000}"/>
    <cellStyle name="나쁨 8" xfId="1705" xr:uid="{00000000-0005-0000-0000-000017070000}"/>
    <cellStyle name="나쁨 9" xfId="1706" xr:uid="{00000000-0005-0000-0000-000018070000}"/>
    <cellStyle name="메모 10" xfId="1707" xr:uid="{00000000-0005-0000-0000-000019070000}"/>
    <cellStyle name="메모 11" xfId="1708" xr:uid="{00000000-0005-0000-0000-00001A070000}"/>
    <cellStyle name="메모 12" xfId="1709" xr:uid="{00000000-0005-0000-0000-00001B070000}"/>
    <cellStyle name="메모 13" xfId="1710" xr:uid="{00000000-0005-0000-0000-00001C070000}"/>
    <cellStyle name="메모 14" xfId="1711" xr:uid="{00000000-0005-0000-0000-00001D070000}"/>
    <cellStyle name="메모 15" xfId="1712" xr:uid="{00000000-0005-0000-0000-00001E070000}"/>
    <cellStyle name="메모 16" xfId="1713" xr:uid="{00000000-0005-0000-0000-00001F070000}"/>
    <cellStyle name="메모 17" xfId="1714" xr:uid="{00000000-0005-0000-0000-000020070000}"/>
    <cellStyle name="메모 18" xfId="1715" xr:uid="{00000000-0005-0000-0000-000021070000}"/>
    <cellStyle name="메모 19" xfId="1716" xr:uid="{00000000-0005-0000-0000-000022070000}"/>
    <cellStyle name="메모 2" xfId="1717" xr:uid="{00000000-0005-0000-0000-000023070000}"/>
    <cellStyle name="메모 20" xfId="1718" xr:uid="{00000000-0005-0000-0000-000024070000}"/>
    <cellStyle name="메모 21" xfId="1719" xr:uid="{00000000-0005-0000-0000-000025070000}"/>
    <cellStyle name="메모 22" xfId="1720" xr:uid="{00000000-0005-0000-0000-000026070000}"/>
    <cellStyle name="메모 23" xfId="1721" xr:uid="{00000000-0005-0000-0000-000027070000}"/>
    <cellStyle name="메모 24" xfId="1722" xr:uid="{00000000-0005-0000-0000-000028070000}"/>
    <cellStyle name="메모 25" xfId="1723" xr:uid="{00000000-0005-0000-0000-000029070000}"/>
    <cellStyle name="메모 26" xfId="1724" xr:uid="{00000000-0005-0000-0000-00002A070000}"/>
    <cellStyle name="메모 27" xfId="1725" xr:uid="{00000000-0005-0000-0000-00002B070000}"/>
    <cellStyle name="메모 28" xfId="1726" xr:uid="{00000000-0005-0000-0000-00002C070000}"/>
    <cellStyle name="메모 29" xfId="1727" xr:uid="{00000000-0005-0000-0000-00002D070000}"/>
    <cellStyle name="메모 3" xfId="1728" xr:uid="{00000000-0005-0000-0000-00002E070000}"/>
    <cellStyle name="메모 30" xfId="1729" xr:uid="{00000000-0005-0000-0000-00002F070000}"/>
    <cellStyle name="메모 31" xfId="1730" xr:uid="{00000000-0005-0000-0000-000030070000}"/>
    <cellStyle name="메모 32" xfId="1731" xr:uid="{00000000-0005-0000-0000-000031070000}"/>
    <cellStyle name="메모 33" xfId="1732" xr:uid="{00000000-0005-0000-0000-000032070000}"/>
    <cellStyle name="메모 34" xfId="1733" xr:uid="{00000000-0005-0000-0000-000033070000}"/>
    <cellStyle name="메모 35" xfId="1734" xr:uid="{00000000-0005-0000-0000-000034070000}"/>
    <cellStyle name="메모 36" xfId="1735" xr:uid="{00000000-0005-0000-0000-000035070000}"/>
    <cellStyle name="메모 37" xfId="1736" xr:uid="{00000000-0005-0000-0000-000036070000}"/>
    <cellStyle name="메모 38" xfId="1737" xr:uid="{00000000-0005-0000-0000-000037070000}"/>
    <cellStyle name="메모 39" xfId="1738" xr:uid="{00000000-0005-0000-0000-000038070000}"/>
    <cellStyle name="메모 4" xfId="1739" xr:uid="{00000000-0005-0000-0000-000039070000}"/>
    <cellStyle name="메모 40" xfId="1740" xr:uid="{00000000-0005-0000-0000-00003A070000}"/>
    <cellStyle name="메모 41" xfId="1741" xr:uid="{00000000-0005-0000-0000-00003B070000}"/>
    <cellStyle name="메모 42" xfId="1742" xr:uid="{00000000-0005-0000-0000-00003C070000}"/>
    <cellStyle name="메모 43" xfId="1743" xr:uid="{00000000-0005-0000-0000-00003D070000}"/>
    <cellStyle name="메모 44" xfId="1744" xr:uid="{00000000-0005-0000-0000-00003E070000}"/>
    <cellStyle name="메모 45" xfId="1745" xr:uid="{00000000-0005-0000-0000-00003F070000}"/>
    <cellStyle name="메모 46" xfId="1746" xr:uid="{00000000-0005-0000-0000-000040070000}"/>
    <cellStyle name="메모 47" xfId="1747" xr:uid="{00000000-0005-0000-0000-000041070000}"/>
    <cellStyle name="메모 48" xfId="1748" xr:uid="{00000000-0005-0000-0000-000042070000}"/>
    <cellStyle name="메모 49" xfId="1749" xr:uid="{00000000-0005-0000-0000-000043070000}"/>
    <cellStyle name="메모 5" xfId="1750" xr:uid="{00000000-0005-0000-0000-000044070000}"/>
    <cellStyle name="메모 50" xfId="1751" xr:uid="{00000000-0005-0000-0000-000045070000}"/>
    <cellStyle name="메모 51" xfId="1752" xr:uid="{00000000-0005-0000-0000-000046070000}"/>
    <cellStyle name="메모 52" xfId="1753" xr:uid="{00000000-0005-0000-0000-000047070000}"/>
    <cellStyle name="메모 53" xfId="1754" xr:uid="{00000000-0005-0000-0000-000048070000}"/>
    <cellStyle name="메모 54" xfId="1755" xr:uid="{00000000-0005-0000-0000-000049070000}"/>
    <cellStyle name="메모 55" xfId="1756" xr:uid="{00000000-0005-0000-0000-00004A070000}"/>
    <cellStyle name="메모 56" xfId="1757" xr:uid="{00000000-0005-0000-0000-00004B070000}"/>
    <cellStyle name="메모 57" xfId="1758" xr:uid="{00000000-0005-0000-0000-00004C070000}"/>
    <cellStyle name="메모 58" xfId="1759" xr:uid="{00000000-0005-0000-0000-00004D070000}"/>
    <cellStyle name="메모 58 2" xfId="2863" xr:uid="{00000000-0005-0000-0000-0000B20B0000}"/>
    <cellStyle name="메모 59" xfId="1760" xr:uid="{00000000-0005-0000-0000-00004E070000}"/>
    <cellStyle name="메모 59 2" xfId="2864" xr:uid="{00000000-0005-0000-0000-0000B30B0000}"/>
    <cellStyle name="메모 6" xfId="1761" xr:uid="{00000000-0005-0000-0000-00004F070000}"/>
    <cellStyle name="메모 60" xfId="1762" xr:uid="{00000000-0005-0000-0000-000050070000}"/>
    <cellStyle name="메모 60 2" xfId="2865" xr:uid="{00000000-0005-0000-0000-0000B40B0000}"/>
    <cellStyle name="메모 61" xfId="1763" xr:uid="{00000000-0005-0000-0000-000051070000}"/>
    <cellStyle name="메모 61 2" xfId="2866" xr:uid="{00000000-0005-0000-0000-0000B50B0000}"/>
    <cellStyle name="메모 62" xfId="1764" xr:uid="{00000000-0005-0000-0000-000052070000}"/>
    <cellStyle name="메모 62 2" xfId="2867" xr:uid="{00000000-0005-0000-0000-0000B60B0000}"/>
    <cellStyle name="메모 63" xfId="1765" xr:uid="{00000000-0005-0000-0000-000053070000}"/>
    <cellStyle name="메모 63 2" xfId="2868" xr:uid="{00000000-0005-0000-0000-0000B70B0000}"/>
    <cellStyle name="메모 64" xfId="1766" xr:uid="{00000000-0005-0000-0000-000054070000}"/>
    <cellStyle name="메모 64 2" xfId="2869" xr:uid="{00000000-0005-0000-0000-0000B80B0000}"/>
    <cellStyle name="메모 65" xfId="2681" xr:uid="{00000000-0005-0000-0000-000055070000}"/>
    <cellStyle name="메모 65 2" xfId="2918" xr:uid="{00000000-0005-0000-0000-0000B90B0000}"/>
    <cellStyle name="메모 65 2 2" xfId="3366" xr:uid="{00000000-0005-0000-0000-0000B90B0000}"/>
    <cellStyle name="메모 65 3" xfId="3190" xr:uid="{00000000-0005-0000-0000-000055070000}"/>
    <cellStyle name="메모 66" xfId="2683" xr:uid="{00000000-0005-0000-0000-000056070000}"/>
    <cellStyle name="메모 66 2" xfId="2920" xr:uid="{00000000-0005-0000-0000-0000BA0B0000}"/>
    <cellStyle name="메모 66 2 2" xfId="3368" xr:uid="{00000000-0005-0000-0000-0000BA0B0000}"/>
    <cellStyle name="메모 66 3" xfId="3192" xr:uid="{00000000-0005-0000-0000-000056070000}"/>
    <cellStyle name="메모 67" xfId="2712" xr:uid="{00000000-0005-0000-0000-000057070000}"/>
    <cellStyle name="메모 67 2" xfId="2942" xr:uid="{00000000-0005-0000-0000-0000BB0B0000}"/>
    <cellStyle name="메모 67 2 2" xfId="3389" xr:uid="{00000000-0005-0000-0000-0000BB0B0000}"/>
    <cellStyle name="메모 67 3" xfId="3213" xr:uid="{00000000-0005-0000-0000-000057070000}"/>
    <cellStyle name="메모 68" xfId="2726" xr:uid="{00000000-0005-0000-0000-000058070000}"/>
    <cellStyle name="메모 68 2" xfId="2956" xr:uid="{00000000-0005-0000-0000-0000BC0B0000}"/>
    <cellStyle name="메모 68 2 2" xfId="3403" xr:uid="{00000000-0005-0000-0000-0000BC0B0000}"/>
    <cellStyle name="메모 68 3" xfId="3227" xr:uid="{00000000-0005-0000-0000-000058070000}"/>
    <cellStyle name="메모 69" xfId="2740" xr:uid="{00000000-0005-0000-0000-000059070000}"/>
    <cellStyle name="메모 69 2" xfId="2970" xr:uid="{00000000-0005-0000-0000-0000BD0B0000}"/>
    <cellStyle name="메모 69 2 2" xfId="3417" xr:uid="{00000000-0005-0000-0000-0000BD0B0000}"/>
    <cellStyle name="메모 69 3" xfId="3241" xr:uid="{00000000-0005-0000-0000-000059070000}"/>
    <cellStyle name="메모 7" xfId="1767" xr:uid="{00000000-0005-0000-0000-00005A070000}"/>
    <cellStyle name="메모 70" xfId="2755" xr:uid="{00000000-0005-0000-0000-00005B070000}"/>
    <cellStyle name="메모 70 2" xfId="2985" xr:uid="{00000000-0005-0000-0000-0000BE0B0000}"/>
    <cellStyle name="메모 70 2 2" xfId="3432" xr:uid="{00000000-0005-0000-0000-0000BE0B0000}"/>
    <cellStyle name="메모 70 3" xfId="3256" xr:uid="{00000000-0005-0000-0000-00005B070000}"/>
    <cellStyle name="메모 71" xfId="2770" xr:uid="{00000000-0005-0000-0000-00005C070000}"/>
    <cellStyle name="메모 71 2" xfId="3000" xr:uid="{00000000-0005-0000-0000-0000BF0B0000}"/>
    <cellStyle name="메모 71 2 2" xfId="3447" xr:uid="{00000000-0005-0000-0000-0000BF0B0000}"/>
    <cellStyle name="메모 71 3" xfId="3271" xr:uid="{00000000-0005-0000-0000-00005C070000}"/>
    <cellStyle name="메모 72" xfId="2784" xr:uid="{00000000-0005-0000-0000-00005D070000}"/>
    <cellStyle name="메모 72 2" xfId="3014" xr:uid="{00000000-0005-0000-0000-0000C00B0000}"/>
    <cellStyle name="메모 72 2 2" xfId="3461" xr:uid="{00000000-0005-0000-0000-0000C00B0000}"/>
    <cellStyle name="메모 72 3" xfId="3285" xr:uid="{00000000-0005-0000-0000-00005D070000}"/>
    <cellStyle name="메모 73" xfId="2802" xr:uid="{00000000-0005-0000-0000-0000060B0000}"/>
    <cellStyle name="메모 73 2" xfId="3031" xr:uid="{00000000-0005-0000-0000-0000C10B0000}"/>
    <cellStyle name="메모 73 2 2" xfId="3478" xr:uid="{00000000-0005-0000-0000-0000C10B0000}"/>
    <cellStyle name="메모 73 3" xfId="3302" xr:uid="{00000000-0005-0000-0000-0000060B0000}"/>
    <cellStyle name="메모 74" xfId="2822" xr:uid="{00000000-0005-0000-0000-00001B0B0000}"/>
    <cellStyle name="메모 74 2" xfId="3051" xr:uid="{00000000-0005-0000-0000-0000C20B0000}"/>
    <cellStyle name="메모 74 2 2" xfId="3498" xr:uid="{00000000-0005-0000-0000-0000C20B0000}"/>
    <cellStyle name="메모 74 3" xfId="3322" xr:uid="{00000000-0005-0000-0000-00001B0B0000}"/>
    <cellStyle name="메모 75" xfId="2843" xr:uid="{00000000-0005-0000-0000-0000300B0000}"/>
    <cellStyle name="메모 75 2" xfId="3343" xr:uid="{00000000-0005-0000-0000-0000300B0000}"/>
    <cellStyle name="메모 76" xfId="3072" xr:uid="{00000000-0005-0000-0000-0000150C0000}"/>
    <cellStyle name="메모 76 2" xfId="3519" xr:uid="{00000000-0005-0000-0000-0000150C0000}"/>
    <cellStyle name="메모 77" xfId="3092" xr:uid="{00000000-0005-0000-0000-0000290C0000}"/>
    <cellStyle name="메모 77 2" xfId="3539" xr:uid="{00000000-0005-0000-0000-0000290C0000}"/>
    <cellStyle name="메모 78" xfId="3113" xr:uid="{00000000-0005-0000-0000-00003D0C0000}"/>
    <cellStyle name="메모 78 2" xfId="3560" xr:uid="{00000000-0005-0000-0000-00003D0C0000}"/>
    <cellStyle name="메모 79" xfId="3134" xr:uid="{00000000-0005-0000-0000-0000520C0000}"/>
    <cellStyle name="메모 79 2" xfId="3581" xr:uid="{00000000-0005-0000-0000-0000520C0000}"/>
    <cellStyle name="메모 8" xfId="1768" xr:uid="{00000000-0005-0000-0000-00005E070000}"/>
    <cellStyle name="메모 80" xfId="3155" xr:uid="{00000000-0005-0000-0000-0000670C0000}"/>
    <cellStyle name="메모 80 2" xfId="3602" xr:uid="{00000000-0005-0000-0000-0000670C0000}"/>
    <cellStyle name="메모 81" xfId="3622" xr:uid="{00000000-0005-0000-0000-00003B0E0000}"/>
    <cellStyle name="메모 82" xfId="3642" xr:uid="{00000000-0005-0000-0000-00004F0E0000}"/>
    <cellStyle name="메모 83" xfId="3662" xr:uid="{00000000-0005-0000-0000-0000630E0000}"/>
    <cellStyle name="메모 84" xfId="3682" xr:uid="{00000000-0005-0000-0000-0000770E0000}"/>
    <cellStyle name="메모 9" xfId="1769" xr:uid="{00000000-0005-0000-0000-00005F070000}"/>
    <cellStyle name="백분율" xfId="2696" builtinId="5"/>
    <cellStyle name="백분율 2" xfId="2700" xr:uid="{00000000-0005-0000-0000-000061070000}"/>
    <cellStyle name="백분율 3" xfId="2709" xr:uid="{00000000-0005-0000-0000-000062070000}"/>
    <cellStyle name="백분율 4" xfId="2933" xr:uid="{00000000-0005-0000-0000-0000C30B0000}"/>
    <cellStyle name="보통" xfId="2647" builtinId="28" customBuiltin="1"/>
    <cellStyle name="보통 10" xfId="1770" xr:uid="{00000000-0005-0000-0000-000064070000}"/>
    <cellStyle name="보통 11" xfId="1771" xr:uid="{00000000-0005-0000-0000-000065070000}"/>
    <cellStyle name="보통 12" xfId="1772" xr:uid="{00000000-0005-0000-0000-000066070000}"/>
    <cellStyle name="보통 13" xfId="1773" xr:uid="{00000000-0005-0000-0000-000067070000}"/>
    <cellStyle name="보통 14" xfId="1774" xr:uid="{00000000-0005-0000-0000-000068070000}"/>
    <cellStyle name="보통 15" xfId="1775" xr:uid="{00000000-0005-0000-0000-000069070000}"/>
    <cellStyle name="보통 16" xfId="1776" xr:uid="{00000000-0005-0000-0000-00006A070000}"/>
    <cellStyle name="보통 17" xfId="1777" xr:uid="{00000000-0005-0000-0000-00006B070000}"/>
    <cellStyle name="보통 18" xfId="1778" xr:uid="{00000000-0005-0000-0000-00006C070000}"/>
    <cellStyle name="보통 19" xfId="1779" xr:uid="{00000000-0005-0000-0000-00006D070000}"/>
    <cellStyle name="보통 2" xfId="1780" xr:uid="{00000000-0005-0000-0000-00006E070000}"/>
    <cellStyle name="보통 20" xfId="1781" xr:uid="{00000000-0005-0000-0000-00006F070000}"/>
    <cellStyle name="보통 21" xfId="1782" xr:uid="{00000000-0005-0000-0000-000070070000}"/>
    <cellStyle name="보통 22" xfId="1783" xr:uid="{00000000-0005-0000-0000-000071070000}"/>
    <cellStyle name="보통 23" xfId="1784" xr:uid="{00000000-0005-0000-0000-000072070000}"/>
    <cellStyle name="보통 24" xfId="1785" xr:uid="{00000000-0005-0000-0000-000073070000}"/>
    <cellStyle name="보통 25" xfId="1786" xr:uid="{00000000-0005-0000-0000-000074070000}"/>
    <cellStyle name="보통 26" xfId="1787" xr:uid="{00000000-0005-0000-0000-000075070000}"/>
    <cellStyle name="보통 27" xfId="1788" xr:uid="{00000000-0005-0000-0000-000076070000}"/>
    <cellStyle name="보통 28" xfId="1789" xr:uid="{00000000-0005-0000-0000-000077070000}"/>
    <cellStyle name="보통 29" xfId="1790" xr:uid="{00000000-0005-0000-0000-000078070000}"/>
    <cellStyle name="보통 3" xfId="1791" xr:uid="{00000000-0005-0000-0000-000079070000}"/>
    <cellStyle name="보통 30" xfId="1792" xr:uid="{00000000-0005-0000-0000-00007A070000}"/>
    <cellStyle name="보통 31" xfId="1793" xr:uid="{00000000-0005-0000-0000-00007B070000}"/>
    <cellStyle name="보통 32" xfId="1794" xr:uid="{00000000-0005-0000-0000-00007C070000}"/>
    <cellStyle name="보통 33" xfId="1795" xr:uid="{00000000-0005-0000-0000-00007D070000}"/>
    <cellStyle name="보통 34" xfId="1796" xr:uid="{00000000-0005-0000-0000-00007E070000}"/>
    <cellStyle name="보통 35" xfId="1797" xr:uid="{00000000-0005-0000-0000-00007F070000}"/>
    <cellStyle name="보통 36" xfId="1798" xr:uid="{00000000-0005-0000-0000-000080070000}"/>
    <cellStyle name="보통 37" xfId="1799" xr:uid="{00000000-0005-0000-0000-000081070000}"/>
    <cellStyle name="보통 38" xfId="1800" xr:uid="{00000000-0005-0000-0000-000082070000}"/>
    <cellStyle name="보통 39" xfId="1801" xr:uid="{00000000-0005-0000-0000-000083070000}"/>
    <cellStyle name="보통 4" xfId="1802" xr:uid="{00000000-0005-0000-0000-000084070000}"/>
    <cellStyle name="보통 40" xfId="1803" xr:uid="{00000000-0005-0000-0000-000085070000}"/>
    <cellStyle name="보통 41" xfId="1804" xr:uid="{00000000-0005-0000-0000-000086070000}"/>
    <cellStyle name="보통 42" xfId="1805" xr:uid="{00000000-0005-0000-0000-000087070000}"/>
    <cellStyle name="보통 43" xfId="1806" xr:uid="{00000000-0005-0000-0000-000088070000}"/>
    <cellStyle name="보통 44" xfId="1807" xr:uid="{00000000-0005-0000-0000-000089070000}"/>
    <cellStyle name="보통 45" xfId="1808" xr:uid="{00000000-0005-0000-0000-00008A070000}"/>
    <cellStyle name="보통 46" xfId="1809" xr:uid="{00000000-0005-0000-0000-00008B070000}"/>
    <cellStyle name="보통 47" xfId="1810" xr:uid="{00000000-0005-0000-0000-00008C070000}"/>
    <cellStyle name="보통 48" xfId="1811" xr:uid="{00000000-0005-0000-0000-00008D070000}"/>
    <cellStyle name="보통 49" xfId="1812" xr:uid="{00000000-0005-0000-0000-00008E070000}"/>
    <cellStyle name="보통 5" xfId="1813" xr:uid="{00000000-0005-0000-0000-00008F070000}"/>
    <cellStyle name="보통 50" xfId="1814" xr:uid="{00000000-0005-0000-0000-000090070000}"/>
    <cellStyle name="보통 51" xfId="1815" xr:uid="{00000000-0005-0000-0000-000091070000}"/>
    <cellStyle name="보통 52" xfId="1816" xr:uid="{00000000-0005-0000-0000-000092070000}"/>
    <cellStyle name="보통 53" xfId="1817" xr:uid="{00000000-0005-0000-0000-000093070000}"/>
    <cellStyle name="보통 54" xfId="1818" xr:uid="{00000000-0005-0000-0000-000094070000}"/>
    <cellStyle name="보통 55" xfId="1819" xr:uid="{00000000-0005-0000-0000-000095070000}"/>
    <cellStyle name="보통 56" xfId="1820" xr:uid="{00000000-0005-0000-0000-000096070000}"/>
    <cellStyle name="보통 57" xfId="1821" xr:uid="{00000000-0005-0000-0000-000097070000}"/>
    <cellStyle name="보통 58" xfId="1822" xr:uid="{00000000-0005-0000-0000-000098070000}"/>
    <cellStyle name="보통 59" xfId="1823" xr:uid="{00000000-0005-0000-0000-000099070000}"/>
    <cellStyle name="보통 6" xfId="1824" xr:uid="{00000000-0005-0000-0000-00009A070000}"/>
    <cellStyle name="보통 60" xfId="1825" xr:uid="{00000000-0005-0000-0000-00009B070000}"/>
    <cellStyle name="보통 61" xfId="1826" xr:uid="{00000000-0005-0000-0000-00009C070000}"/>
    <cellStyle name="보통 62" xfId="1827" xr:uid="{00000000-0005-0000-0000-00009D070000}"/>
    <cellStyle name="보통 63" xfId="1828" xr:uid="{00000000-0005-0000-0000-00009E070000}"/>
    <cellStyle name="보통 64" xfId="1829" xr:uid="{00000000-0005-0000-0000-00009F070000}"/>
    <cellStyle name="보통 65" xfId="2801" xr:uid="{00000000-0005-0000-0000-0000070B0000}"/>
    <cellStyle name="보통 66" xfId="2910" xr:uid="{00000000-0005-0000-0000-0000C40B0000}"/>
    <cellStyle name="보통 7" xfId="1830" xr:uid="{00000000-0005-0000-0000-0000A0070000}"/>
    <cellStyle name="보통 8" xfId="1831" xr:uid="{00000000-0005-0000-0000-0000A1070000}"/>
    <cellStyle name="보통 9" xfId="1832" xr:uid="{00000000-0005-0000-0000-0000A2070000}"/>
    <cellStyle name="설명 텍스트" xfId="2654" builtinId="53" customBuiltin="1"/>
    <cellStyle name="설명 텍스트 10" xfId="1833" xr:uid="{00000000-0005-0000-0000-0000A4070000}"/>
    <cellStyle name="설명 텍스트 11" xfId="1834" xr:uid="{00000000-0005-0000-0000-0000A5070000}"/>
    <cellStyle name="설명 텍스트 12" xfId="1835" xr:uid="{00000000-0005-0000-0000-0000A6070000}"/>
    <cellStyle name="설명 텍스트 13" xfId="1836" xr:uid="{00000000-0005-0000-0000-0000A7070000}"/>
    <cellStyle name="설명 텍스트 14" xfId="1837" xr:uid="{00000000-0005-0000-0000-0000A8070000}"/>
    <cellStyle name="설명 텍스트 15" xfId="1838" xr:uid="{00000000-0005-0000-0000-0000A9070000}"/>
    <cellStyle name="설명 텍스트 16" xfId="1839" xr:uid="{00000000-0005-0000-0000-0000AA070000}"/>
    <cellStyle name="설명 텍스트 17" xfId="1840" xr:uid="{00000000-0005-0000-0000-0000AB070000}"/>
    <cellStyle name="설명 텍스트 18" xfId="1841" xr:uid="{00000000-0005-0000-0000-0000AC070000}"/>
    <cellStyle name="설명 텍스트 19" xfId="1842" xr:uid="{00000000-0005-0000-0000-0000AD070000}"/>
    <cellStyle name="설명 텍스트 2" xfId="1843" xr:uid="{00000000-0005-0000-0000-0000AE070000}"/>
    <cellStyle name="설명 텍스트 20" xfId="1844" xr:uid="{00000000-0005-0000-0000-0000AF070000}"/>
    <cellStyle name="설명 텍스트 21" xfId="1845" xr:uid="{00000000-0005-0000-0000-0000B0070000}"/>
    <cellStyle name="설명 텍스트 22" xfId="1846" xr:uid="{00000000-0005-0000-0000-0000B1070000}"/>
    <cellStyle name="설명 텍스트 23" xfId="1847" xr:uid="{00000000-0005-0000-0000-0000B2070000}"/>
    <cellStyle name="설명 텍스트 24" xfId="1848" xr:uid="{00000000-0005-0000-0000-0000B3070000}"/>
    <cellStyle name="설명 텍스트 25" xfId="1849" xr:uid="{00000000-0005-0000-0000-0000B4070000}"/>
    <cellStyle name="설명 텍스트 26" xfId="1850" xr:uid="{00000000-0005-0000-0000-0000B5070000}"/>
    <cellStyle name="설명 텍스트 27" xfId="1851" xr:uid="{00000000-0005-0000-0000-0000B6070000}"/>
    <cellStyle name="설명 텍스트 28" xfId="1852" xr:uid="{00000000-0005-0000-0000-0000B7070000}"/>
    <cellStyle name="설명 텍스트 29" xfId="1853" xr:uid="{00000000-0005-0000-0000-0000B8070000}"/>
    <cellStyle name="설명 텍스트 3" xfId="1854" xr:uid="{00000000-0005-0000-0000-0000B9070000}"/>
    <cellStyle name="설명 텍스트 30" xfId="1855" xr:uid="{00000000-0005-0000-0000-0000BA070000}"/>
    <cellStyle name="설명 텍스트 31" xfId="1856" xr:uid="{00000000-0005-0000-0000-0000BB070000}"/>
    <cellStyle name="설명 텍스트 32" xfId="1857" xr:uid="{00000000-0005-0000-0000-0000BC070000}"/>
    <cellStyle name="설명 텍스트 33" xfId="1858" xr:uid="{00000000-0005-0000-0000-0000BD070000}"/>
    <cellStyle name="설명 텍스트 34" xfId="1859" xr:uid="{00000000-0005-0000-0000-0000BE070000}"/>
    <cellStyle name="설명 텍스트 35" xfId="1860" xr:uid="{00000000-0005-0000-0000-0000BF070000}"/>
    <cellStyle name="설명 텍스트 36" xfId="1861" xr:uid="{00000000-0005-0000-0000-0000C0070000}"/>
    <cellStyle name="설명 텍스트 37" xfId="1862" xr:uid="{00000000-0005-0000-0000-0000C1070000}"/>
    <cellStyle name="설명 텍스트 38" xfId="1863" xr:uid="{00000000-0005-0000-0000-0000C2070000}"/>
    <cellStyle name="설명 텍스트 39" xfId="1864" xr:uid="{00000000-0005-0000-0000-0000C3070000}"/>
    <cellStyle name="설명 텍스트 4" xfId="1865" xr:uid="{00000000-0005-0000-0000-0000C4070000}"/>
    <cellStyle name="설명 텍스트 40" xfId="1866" xr:uid="{00000000-0005-0000-0000-0000C5070000}"/>
    <cellStyle name="설명 텍스트 41" xfId="1867" xr:uid="{00000000-0005-0000-0000-0000C6070000}"/>
    <cellStyle name="설명 텍스트 42" xfId="1868" xr:uid="{00000000-0005-0000-0000-0000C7070000}"/>
    <cellStyle name="설명 텍스트 43" xfId="1869" xr:uid="{00000000-0005-0000-0000-0000C8070000}"/>
    <cellStyle name="설명 텍스트 44" xfId="1870" xr:uid="{00000000-0005-0000-0000-0000C9070000}"/>
    <cellStyle name="설명 텍스트 45" xfId="1871" xr:uid="{00000000-0005-0000-0000-0000CA070000}"/>
    <cellStyle name="설명 텍스트 46" xfId="1872" xr:uid="{00000000-0005-0000-0000-0000CB070000}"/>
    <cellStyle name="설명 텍스트 47" xfId="1873" xr:uid="{00000000-0005-0000-0000-0000CC070000}"/>
    <cellStyle name="설명 텍스트 48" xfId="1874" xr:uid="{00000000-0005-0000-0000-0000CD070000}"/>
    <cellStyle name="설명 텍스트 49" xfId="1875" xr:uid="{00000000-0005-0000-0000-0000CE070000}"/>
    <cellStyle name="설명 텍스트 5" xfId="1876" xr:uid="{00000000-0005-0000-0000-0000CF070000}"/>
    <cellStyle name="설명 텍스트 50" xfId="1877" xr:uid="{00000000-0005-0000-0000-0000D0070000}"/>
    <cellStyle name="설명 텍스트 51" xfId="1878" xr:uid="{00000000-0005-0000-0000-0000D1070000}"/>
    <cellStyle name="설명 텍스트 52" xfId="1879" xr:uid="{00000000-0005-0000-0000-0000D2070000}"/>
    <cellStyle name="설명 텍스트 53" xfId="1880" xr:uid="{00000000-0005-0000-0000-0000D3070000}"/>
    <cellStyle name="설명 텍스트 54" xfId="1881" xr:uid="{00000000-0005-0000-0000-0000D4070000}"/>
    <cellStyle name="설명 텍스트 55" xfId="1882" xr:uid="{00000000-0005-0000-0000-0000D5070000}"/>
    <cellStyle name="설명 텍스트 56" xfId="1883" xr:uid="{00000000-0005-0000-0000-0000D6070000}"/>
    <cellStyle name="설명 텍스트 57" xfId="1884" xr:uid="{00000000-0005-0000-0000-0000D7070000}"/>
    <cellStyle name="설명 텍스트 58" xfId="1885" xr:uid="{00000000-0005-0000-0000-0000D8070000}"/>
    <cellStyle name="설명 텍스트 59" xfId="1886" xr:uid="{00000000-0005-0000-0000-0000D9070000}"/>
    <cellStyle name="설명 텍스트 6" xfId="1887" xr:uid="{00000000-0005-0000-0000-0000DA070000}"/>
    <cellStyle name="설명 텍스트 60" xfId="1888" xr:uid="{00000000-0005-0000-0000-0000DB070000}"/>
    <cellStyle name="설명 텍스트 61" xfId="1889" xr:uid="{00000000-0005-0000-0000-0000DC070000}"/>
    <cellStyle name="설명 텍스트 62" xfId="1890" xr:uid="{00000000-0005-0000-0000-0000DD070000}"/>
    <cellStyle name="설명 텍스트 63" xfId="1891" xr:uid="{00000000-0005-0000-0000-0000DE070000}"/>
    <cellStyle name="설명 텍스트 64" xfId="1892" xr:uid="{00000000-0005-0000-0000-0000DF070000}"/>
    <cellStyle name="설명 텍스트 7" xfId="1893" xr:uid="{00000000-0005-0000-0000-0000E0070000}"/>
    <cellStyle name="설명 텍스트 8" xfId="1894" xr:uid="{00000000-0005-0000-0000-0000E1070000}"/>
    <cellStyle name="설명 텍스트 9" xfId="1895" xr:uid="{00000000-0005-0000-0000-0000E2070000}"/>
    <cellStyle name="셀 확인" xfId="2652" builtinId="23" customBuiltin="1"/>
    <cellStyle name="셀 확인 10" xfId="1896" xr:uid="{00000000-0005-0000-0000-0000E4070000}"/>
    <cellStyle name="셀 확인 11" xfId="1897" xr:uid="{00000000-0005-0000-0000-0000E5070000}"/>
    <cellStyle name="셀 확인 12" xfId="1898" xr:uid="{00000000-0005-0000-0000-0000E6070000}"/>
    <cellStyle name="셀 확인 13" xfId="1899" xr:uid="{00000000-0005-0000-0000-0000E7070000}"/>
    <cellStyle name="셀 확인 14" xfId="1900" xr:uid="{00000000-0005-0000-0000-0000E8070000}"/>
    <cellStyle name="셀 확인 15" xfId="1901" xr:uid="{00000000-0005-0000-0000-0000E9070000}"/>
    <cellStyle name="셀 확인 16" xfId="1902" xr:uid="{00000000-0005-0000-0000-0000EA070000}"/>
    <cellStyle name="셀 확인 17" xfId="1903" xr:uid="{00000000-0005-0000-0000-0000EB070000}"/>
    <cellStyle name="셀 확인 18" xfId="1904" xr:uid="{00000000-0005-0000-0000-0000EC070000}"/>
    <cellStyle name="셀 확인 19" xfId="1905" xr:uid="{00000000-0005-0000-0000-0000ED070000}"/>
    <cellStyle name="셀 확인 2" xfId="1906" xr:uid="{00000000-0005-0000-0000-0000EE070000}"/>
    <cellStyle name="셀 확인 20" xfId="1907" xr:uid="{00000000-0005-0000-0000-0000EF070000}"/>
    <cellStyle name="셀 확인 21" xfId="1908" xr:uid="{00000000-0005-0000-0000-0000F0070000}"/>
    <cellStyle name="셀 확인 22" xfId="1909" xr:uid="{00000000-0005-0000-0000-0000F1070000}"/>
    <cellStyle name="셀 확인 23" xfId="1910" xr:uid="{00000000-0005-0000-0000-0000F2070000}"/>
    <cellStyle name="셀 확인 24" xfId="1911" xr:uid="{00000000-0005-0000-0000-0000F3070000}"/>
    <cellStyle name="셀 확인 25" xfId="1912" xr:uid="{00000000-0005-0000-0000-0000F4070000}"/>
    <cellStyle name="셀 확인 26" xfId="1913" xr:uid="{00000000-0005-0000-0000-0000F5070000}"/>
    <cellStyle name="셀 확인 27" xfId="1914" xr:uid="{00000000-0005-0000-0000-0000F6070000}"/>
    <cellStyle name="셀 확인 28" xfId="1915" xr:uid="{00000000-0005-0000-0000-0000F7070000}"/>
    <cellStyle name="셀 확인 29" xfId="1916" xr:uid="{00000000-0005-0000-0000-0000F8070000}"/>
    <cellStyle name="셀 확인 3" xfId="1917" xr:uid="{00000000-0005-0000-0000-0000F9070000}"/>
    <cellStyle name="셀 확인 30" xfId="1918" xr:uid="{00000000-0005-0000-0000-0000FA070000}"/>
    <cellStyle name="셀 확인 31" xfId="1919" xr:uid="{00000000-0005-0000-0000-0000FB070000}"/>
    <cellStyle name="셀 확인 32" xfId="1920" xr:uid="{00000000-0005-0000-0000-0000FC070000}"/>
    <cellStyle name="셀 확인 33" xfId="1921" xr:uid="{00000000-0005-0000-0000-0000FD070000}"/>
    <cellStyle name="셀 확인 34" xfId="1922" xr:uid="{00000000-0005-0000-0000-0000FE070000}"/>
    <cellStyle name="셀 확인 35" xfId="1923" xr:uid="{00000000-0005-0000-0000-0000FF070000}"/>
    <cellStyle name="셀 확인 36" xfId="1924" xr:uid="{00000000-0005-0000-0000-000000080000}"/>
    <cellStyle name="셀 확인 37" xfId="1925" xr:uid="{00000000-0005-0000-0000-000001080000}"/>
    <cellStyle name="셀 확인 38" xfId="1926" xr:uid="{00000000-0005-0000-0000-000002080000}"/>
    <cellStyle name="셀 확인 39" xfId="1927" xr:uid="{00000000-0005-0000-0000-000003080000}"/>
    <cellStyle name="셀 확인 4" xfId="1928" xr:uid="{00000000-0005-0000-0000-000004080000}"/>
    <cellStyle name="셀 확인 40" xfId="1929" xr:uid="{00000000-0005-0000-0000-000005080000}"/>
    <cellStyle name="셀 확인 41" xfId="1930" xr:uid="{00000000-0005-0000-0000-000006080000}"/>
    <cellStyle name="셀 확인 42" xfId="1931" xr:uid="{00000000-0005-0000-0000-000007080000}"/>
    <cellStyle name="셀 확인 43" xfId="1932" xr:uid="{00000000-0005-0000-0000-000008080000}"/>
    <cellStyle name="셀 확인 44" xfId="1933" xr:uid="{00000000-0005-0000-0000-000009080000}"/>
    <cellStyle name="셀 확인 45" xfId="1934" xr:uid="{00000000-0005-0000-0000-00000A080000}"/>
    <cellStyle name="셀 확인 46" xfId="1935" xr:uid="{00000000-0005-0000-0000-00000B080000}"/>
    <cellStyle name="셀 확인 47" xfId="1936" xr:uid="{00000000-0005-0000-0000-00000C080000}"/>
    <cellStyle name="셀 확인 48" xfId="1937" xr:uid="{00000000-0005-0000-0000-00000D080000}"/>
    <cellStyle name="셀 확인 49" xfId="1938" xr:uid="{00000000-0005-0000-0000-00000E080000}"/>
    <cellStyle name="셀 확인 5" xfId="1939" xr:uid="{00000000-0005-0000-0000-00000F080000}"/>
    <cellStyle name="셀 확인 50" xfId="1940" xr:uid="{00000000-0005-0000-0000-000010080000}"/>
    <cellStyle name="셀 확인 51" xfId="1941" xr:uid="{00000000-0005-0000-0000-000011080000}"/>
    <cellStyle name="셀 확인 52" xfId="1942" xr:uid="{00000000-0005-0000-0000-000012080000}"/>
    <cellStyle name="셀 확인 53" xfId="1943" xr:uid="{00000000-0005-0000-0000-000013080000}"/>
    <cellStyle name="셀 확인 54" xfId="1944" xr:uid="{00000000-0005-0000-0000-000014080000}"/>
    <cellStyle name="셀 확인 55" xfId="1945" xr:uid="{00000000-0005-0000-0000-000015080000}"/>
    <cellStyle name="셀 확인 56" xfId="1946" xr:uid="{00000000-0005-0000-0000-000016080000}"/>
    <cellStyle name="셀 확인 57" xfId="1947" xr:uid="{00000000-0005-0000-0000-000017080000}"/>
    <cellStyle name="셀 확인 58" xfId="1948" xr:uid="{00000000-0005-0000-0000-000018080000}"/>
    <cellStyle name="셀 확인 59" xfId="1949" xr:uid="{00000000-0005-0000-0000-000019080000}"/>
    <cellStyle name="셀 확인 6" xfId="1950" xr:uid="{00000000-0005-0000-0000-00001A080000}"/>
    <cellStyle name="셀 확인 60" xfId="1951" xr:uid="{00000000-0005-0000-0000-00001B080000}"/>
    <cellStyle name="셀 확인 61" xfId="1952" xr:uid="{00000000-0005-0000-0000-00001C080000}"/>
    <cellStyle name="셀 확인 62" xfId="1953" xr:uid="{00000000-0005-0000-0000-00001D080000}"/>
    <cellStyle name="셀 확인 63" xfId="1954" xr:uid="{00000000-0005-0000-0000-00001E080000}"/>
    <cellStyle name="셀 확인 64" xfId="1955" xr:uid="{00000000-0005-0000-0000-00001F080000}"/>
    <cellStyle name="셀 확인 7" xfId="1956" xr:uid="{00000000-0005-0000-0000-000020080000}"/>
    <cellStyle name="셀 확인 8" xfId="1957" xr:uid="{00000000-0005-0000-0000-000021080000}"/>
    <cellStyle name="셀 확인 9" xfId="1958" xr:uid="{00000000-0005-0000-0000-000022080000}"/>
    <cellStyle name="쉼표 [0]" xfId="1959" builtinId="6"/>
    <cellStyle name="쉼표 [0] 2" xfId="1960" xr:uid="{00000000-0005-0000-0000-000024080000}"/>
    <cellStyle name="쉼표 [0] 2 2" xfId="2698" xr:uid="{00000000-0005-0000-0000-000025080000}"/>
    <cellStyle name="쉼표 [0] 2 2 2" xfId="2934" xr:uid="{00000000-0005-0000-0000-0000C60B0000}"/>
    <cellStyle name="쉼표 [0] 2 2 2 2" xfId="3381" xr:uid="{00000000-0005-0000-0000-0000C60B0000}"/>
    <cellStyle name="쉼표 [0] 2 2 3" xfId="3205" xr:uid="{00000000-0005-0000-0000-000025080000}"/>
    <cellStyle name="쉼표 [0] 2 3" xfId="2871" xr:uid="{00000000-0005-0000-0000-0000C50B0000}"/>
    <cellStyle name="쉼표 [0] 2 3 2" xfId="3363" xr:uid="{00000000-0005-0000-0000-0000C50B0000}"/>
    <cellStyle name="쉼표 [0] 2 4" xfId="3175" xr:uid="{00000000-0005-0000-0000-000024080000}"/>
    <cellStyle name="쉼표 [0] 3" xfId="1961" xr:uid="{00000000-0005-0000-0000-000026080000}"/>
    <cellStyle name="쉼표 [0] 3 2" xfId="2872" xr:uid="{00000000-0005-0000-0000-0000C70B0000}"/>
    <cellStyle name="쉼표 [0] 3 2 2" xfId="3364" xr:uid="{00000000-0005-0000-0000-0000C70B0000}"/>
    <cellStyle name="쉼표 [0] 3 3" xfId="3176" xr:uid="{00000000-0005-0000-0000-000026080000}"/>
    <cellStyle name="쉼표 [0] 4" xfId="2708" xr:uid="{00000000-0005-0000-0000-000027080000}"/>
    <cellStyle name="쉼표 [0] 4 2" xfId="2940" xr:uid="{00000000-0005-0000-0000-0000C80B0000}"/>
    <cellStyle name="쉼표 [0] 4 2 2" xfId="3387" xr:uid="{00000000-0005-0000-0000-0000C80B0000}"/>
    <cellStyle name="쉼표 [0] 4 3" xfId="3211" xr:uid="{00000000-0005-0000-0000-000027080000}"/>
    <cellStyle name="쉼표 [0] 5" xfId="2870" xr:uid="{00000000-0005-0000-0000-0000C90B0000}"/>
    <cellStyle name="쉼표 [0] 5 2" xfId="3362" xr:uid="{00000000-0005-0000-0000-0000C90B0000}"/>
    <cellStyle name="쉼표 [0] 6" xfId="3112" xr:uid="{00000000-0005-0000-0000-00003E0C0000}"/>
    <cellStyle name="쉼표 [0] 6 2" xfId="3559" xr:uid="{00000000-0005-0000-0000-00003E0C0000}"/>
    <cellStyle name="쉼표 [0] 7" xfId="3133" xr:uid="{00000000-0005-0000-0000-0000530C0000}"/>
    <cellStyle name="쉼표 [0] 7 2" xfId="3580" xr:uid="{00000000-0005-0000-0000-0000530C0000}"/>
    <cellStyle name="쉼표 [0] 8" xfId="3154" xr:uid="{00000000-0005-0000-0000-0000680C0000}"/>
    <cellStyle name="쉼표 [0] 8 2" xfId="3601" xr:uid="{00000000-0005-0000-0000-0000680C0000}"/>
    <cellStyle name="쉼표 [0] 9" xfId="3174" xr:uid="{00000000-0005-0000-0000-0000EC0D0000}"/>
    <cellStyle name="쉼표 2" xfId="2699" xr:uid="{00000000-0005-0000-0000-000028080000}"/>
    <cellStyle name="쉼표 2 2" xfId="2701" xr:uid="{00000000-0005-0000-0000-000029080000}"/>
    <cellStyle name="쉼표 2 2 2" xfId="2936" xr:uid="{00000000-0005-0000-0000-0000CB0B0000}"/>
    <cellStyle name="쉼표 2 2 2 2" xfId="3383" xr:uid="{00000000-0005-0000-0000-0000CB0B0000}"/>
    <cellStyle name="쉼표 2 2 3" xfId="3207" xr:uid="{00000000-0005-0000-0000-000029080000}"/>
    <cellStyle name="쉼표 2 3" xfId="2935" xr:uid="{00000000-0005-0000-0000-0000CA0B0000}"/>
    <cellStyle name="쉼표 2 3 2" xfId="3382" xr:uid="{00000000-0005-0000-0000-0000CA0B0000}"/>
    <cellStyle name="쉼표 2 4" xfId="3206" xr:uid="{00000000-0005-0000-0000-000028080000}"/>
    <cellStyle name="연결된 셀" xfId="2651" builtinId="24" customBuiltin="1"/>
    <cellStyle name="연결된 셀 10" xfId="1962" xr:uid="{00000000-0005-0000-0000-00002B080000}"/>
    <cellStyle name="연결된 셀 11" xfId="1963" xr:uid="{00000000-0005-0000-0000-00002C080000}"/>
    <cellStyle name="연결된 셀 12" xfId="1964" xr:uid="{00000000-0005-0000-0000-00002D080000}"/>
    <cellStyle name="연결된 셀 13" xfId="1965" xr:uid="{00000000-0005-0000-0000-00002E080000}"/>
    <cellStyle name="연결된 셀 14" xfId="1966" xr:uid="{00000000-0005-0000-0000-00002F080000}"/>
    <cellStyle name="연결된 셀 15" xfId="1967" xr:uid="{00000000-0005-0000-0000-000030080000}"/>
    <cellStyle name="연결된 셀 16" xfId="1968" xr:uid="{00000000-0005-0000-0000-000031080000}"/>
    <cellStyle name="연결된 셀 17" xfId="1969" xr:uid="{00000000-0005-0000-0000-000032080000}"/>
    <cellStyle name="연결된 셀 18" xfId="1970" xr:uid="{00000000-0005-0000-0000-000033080000}"/>
    <cellStyle name="연결된 셀 19" xfId="1971" xr:uid="{00000000-0005-0000-0000-000034080000}"/>
    <cellStyle name="연결된 셀 2" xfId="1972" xr:uid="{00000000-0005-0000-0000-000035080000}"/>
    <cellStyle name="연결된 셀 20" xfId="1973" xr:uid="{00000000-0005-0000-0000-000036080000}"/>
    <cellStyle name="연결된 셀 21" xfId="1974" xr:uid="{00000000-0005-0000-0000-000037080000}"/>
    <cellStyle name="연결된 셀 22" xfId="1975" xr:uid="{00000000-0005-0000-0000-000038080000}"/>
    <cellStyle name="연결된 셀 23" xfId="1976" xr:uid="{00000000-0005-0000-0000-000039080000}"/>
    <cellStyle name="연결된 셀 24" xfId="1977" xr:uid="{00000000-0005-0000-0000-00003A080000}"/>
    <cellStyle name="연결된 셀 25" xfId="1978" xr:uid="{00000000-0005-0000-0000-00003B080000}"/>
    <cellStyle name="연결된 셀 26" xfId="1979" xr:uid="{00000000-0005-0000-0000-00003C080000}"/>
    <cellStyle name="연결된 셀 27" xfId="1980" xr:uid="{00000000-0005-0000-0000-00003D080000}"/>
    <cellStyle name="연결된 셀 28" xfId="1981" xr:uid="{00000000-0005-0000-0000-00003E080000}"/>
    <cellStyle name="연결된 셀 29" xfId="1982" xr:uid="{00000000-0005-0000-0000-00003F080000}"/>
    <cellStyle name="연결된 셀 3" xfId="1983" xr:uid="{00000000-0005-0000-0000-000040080000}"/>
    <cellStyle name="연결된 셀 30" xfId="1984" xr:uid="{00000000-0005-0000-0000-000041080000}"/>
    <cellStyle name="연결된 셀 31" xfId="1985" xr:uid="{00000000-0005-0000-0000-000042080000}"/>
    <cellStyle name="연결된 셀 32" xfId="1986" xr:uid="{00000000-0005-0000-0000-000043080000}"/>
    <cellStyle name="연결된 셀 33" xfId="1987" xr:uid="{00000000-0005-0000-0000-000044080000}"/>
    <cellStyle name="연결된 셀 34" xfId="1988" xr:uid="{00000000-0005-0000-0000-000045080000}"/>
    <cellStyle name="연결된 셀 35" xfId="1989" xr:uid="{00000000-0005-0000-0000-000046080000}"/>
    <cellStyle name="연결된 셀 36" xfId="1990" xr:uid="{00000000-0005-0000-0000-000047080000}"/>
    <cellStyle name="연결된 셀 37" xfId="1991" xr:uid="{00000000-0005-0000-0000-000048080000}"/>
    <cellStyle name="연결된 셀 38" xfId="1992" xr:uid="{00000000-0005-0000-0000-000049080000}"/>
    <cellStyle name="연결된 셀 39" xfId="1993" xr:uid="{00000000-0005-0000-0000-00004A080000}"/>
    <cellStyle name="연결된 셀 4" xfId="1994" xr:uid="{00000000-0005-0000-0000-00004B080000}"/>
    <cellStyle name="연결된 셀 40" xfId="1995" xr:uid="{00000000-0005-0000-0000-00004C080000}"/>
    <cellStyle name="연결된 셀 41" xfId="1996" xr:uid="{00000000-0005-0000-0000-00004D080000}"/>
    <cellStyle name="연결된 셀 42" xfId="1997" xr:uid="{00000000-0005-0000-0000-00004E080000}"/>
    <cellStyle name="연결된 셀 43" xfId="1998" xr:uid="{00000000-0005-0000-0000-00004F080000}"/>
    <cellStyle name="연결된 셀 44" xfId="1999" xr:uid="{00000000-0005-0000-0000-000050080000}"/>
    <cellStyle name="연결된 셀 45" xfId="2000" xr:uid="{00000000-0005-0000-0000-000051080000}"/>
    <cellStyle name="연결된 셀 46" xfId="2001" xr:uid="{00000000-0005-0000-0000-000052080000}"/>
    <cellStyle name="연결된 셀 47" xfId="2002" xr:uid="{00000000-0005-0000-0000-000053080000}"/>
    <cellStyle name="연결된 셀 48" xfId="2003" xr:uid="{00000000-0005-0000-0000-000054080000}"/>
    <cellStyle name="연결된 셀 49" xfId="2004" xr:uid="{00000000-0005-0000-0000-000055080000}"/>
    <cellStyle name="연결된 셀 5" xfId="2005" xr:uid="{00000000-0005-0000-0000-000056080000}"/>
    <cellStyle name="연결된 셀 50" xfId="2006" xr:uid="{00000000-0005-0000-0000-000057080000}"/>
    <cellStyle name="연결된 셀 51" xfId="2007" xr:uid="{00000000-0005-0000-0000-000058080000}"/>
    <cellStyle name="연결된 셀 52" xfId="2008" xr:uid="{00000000-0005-0000-0000-000059080000}"/>
    <cellStyle name="연결된 셀 53" xfId="2009" xr:uid="{00000000-0005-0000-0000-00005A080000}"/>
    <cellStyle name="연결된 셀 54" xfId="2010" xr:uid="{00000000-0005-0000-0000-00005B080000}"/>
    <cellStyle name="연결된 셀 55" xfId="2011" xr:uid="{00000000-0005-0000-0000-00005C080000}"/>
    <cellStyle name="연결된 셀 56" xfId="2012" xr:uid="{00000000-0005-0000-0000-00005D080000}"/>
    <cellStyle name="연결된 셀 57" xfId="2013" xr:uid="{00000000-0005-0000-0000-00005E080000}"/>
    <cellStyle name="연결된 셀 58" xfId="2014" xr:uid="{00000000-0005-0000-0000-00005F080000}"/>
    <cellStyle name="연결된 셀 59" xfId="2015" xr:uid="{00000000-0005-0000-0000-000060080000}"/>
    <cellStyle name="연결된 셀 59 2" xfId="2873" xr:uid="{00000000-0005-0000-0000-0000CC0B0000}"/>
    <cellStyle name="연결된 셀 6" xfId="2016" xr:uid="{00000000-0005-0000-0000-000061080000}"/>
    <cellStyle name="연결된 셀 60" xfId="2017" xr:uid="{00000000-0005-0000-0000-000062080000}"/>
    <cellStyle name="연결된 셀 60 2" xfId="2874" xr:uid="{00000000-0005-0000-0000-0000CD0B0000}"/>
    <cellStyle name="연결된 셀 61" xfId="2018" xr:uid="{00000000-0005-0000-0000-000063080000}"/>
    <cellStyle name="연결된 셀 61 2" xfId="2875" xr:uid="{00000000-0005-0000-0000-0000CE0B0000}"/>
    <cellStyle name="연결된 셀 62" xfId="2019" xr:uid="{00000000-0005-0000-0000-000064080000}"/>
    <cellStyle name="연결된 셀 62 2" xfId="2876" xr:uid="{00000000-0005-0000-0000-0000CF0B0000}"/>
    <cellStyle name="연결된 셀 63" xfId="2020" xr:uid="{00000000-0005-0000-0000-000065080000}"/>
    <cellStyle name="연결된 셀 63 2" xfId="2877" xr:uid="{00000000-0005-0000-0000-0000D00B0000}"/>
    <cellStyle name="연결된 셀 64" xfId="2021" xr:uid="{00000000-0005-0000-0000-000066080000}"/>
    <cellStyle name="연결된 셀 64 2" xfId="2878" xr:uid="{00000000-0005-0000-0000-0000D10B0000}"/>
    <cellStyle name="연결된 셀 7" xfId="2022" xr:uid="{00000000-0005-0000-0000-000067080000}"/>
    <cellStyle name="연결된 셀 8" xfId="2023" xr:uid="{00000000-0005-0000-0000-000068080000}"/>
    <cellStyle name="연결된 셀 9" xfId="2024" xr:uid="{00000000-0005-0000-0000-000069080000}"/>
    <cellStyle name="요약" xfId="2655" builtinId="25" customBuiltin="1"/>
    <cellStyle name="요약 10" xfId="2025" xr:uid="{00000000-0005-0000-0000-00006B080000}"/>
    <cellStyle name="요약 11" xfId="2026" xr:uid="{00000000-0005-0000-0000-00006C080000}"/>
    <cellStyle name="요약 12" xfId="2027" xr:uid="{00000000-0005-0000-0000-00006D080000}"/>
    <cellStyle name="요약 13" xfId="2028" xr:uid="{00000000-0005-0000-0000-00006E080000}"/>
    <cellStyle name="요약 14" xfId="2029" xr:uid="{00000000-0005-0000-0000-00006F080000}"/>
    <cellStyle name="요약 15" xfId="2030" xr:uid="{00000000-0005-0000-0000-000070080000}"/>
    <cellStyle name="요약 16" xfId="2031" xr:uid="{00000000-0005-0000-0000-000071080000}"/>
    <cellStyle name="요약 17" xfId="2032" xr:uid="{00000000-0005-0000-0000-000072080000}"/>
    <cellStyle name="요약 18" xfId="2033" xr:uid="{00000000-0005-0000-0000-000073080000}"/>
    <cellStyle name="요약 19" xfId="2034" xr:uid="{00000000-0005-0000-0000-000074080000}"/>
    <cellStyle name="요약 2" xfId="2035" xr:uid="{00000000-0005-0000-0000-000075080000}"/>
    <cellStyle name="요약 20" xfId="2036" xr:uid="{00000000-0005-0000-0000-000076080000}"/>
    <cellStyle name="요약 21" xfId="2037" xr:uid="{00000000-0005-0000-0000-000077080000}"/>
    <cellStyle name="요약 22" xfId="2038" xr:uid="{00000000-0005-0000-0000-000078080000}"/>
    <cellStyle name="요약 23" xfId="2039" xr:uid="{00000000-0005-0000-0000-000079080000}"/>
    <cellStyle name="요약 24" xfId="2040" xr:uid="{00000000-0005-0000-0000-00007A080000}"/>
    <cellStyle name="요약 25" xfId="2041" xr:uid="{00000000-0005-0000-0000-00007B080000}"/>
    <cellStyle name="요약 26" xfId="2042" xr:uid="{00000000-0005-0000-0000-00007C080000}"/>
    <cellStyle name="요약 27" xfId="2043" xr:uid="{00000000-0005-0000-0000-00007D080000}"/>
    <cellStyle name="요약 28" xfId="2044" xr:uid="{00000000-0005-0000-0000-00007E080000}"/>
    <cellStyle name="요약 29" xfId="2045" xr:uid="{00000000-0005-0000-0000-00007F080000}"/>
    <cellStyle name="요약 3" xfId="2046" xr:uid="{00000000-0005-0000-0000-000080080000}"/>
    <cellStyle name="요약 30" xfId="2047" xr:uid="{00000000-0005-0000-0000-000081080000}"/>
    <cellStyle name="요약 31" xfId="2048" xr:uid="{00000000-0005-0000-0000-000082080000}"/>
    <cellStyle name="요약 32" xfId="2049" xr:uid="{00000000-0005-0000-0000-000083080000}"/>
    <cellStyle name="요약 33" xfId="2050" xr:uid="{00000000-0005-0000-0000-000084080000}"/>
    <cellStyle name="요약 34" xfId="2051" xr:uid="{00000000-0005-0000-0000-000085080000}"/>
    <cellStyle name="요약 35" xfId="2052" xr:uid="{00000000-0005-0000-0000-000086080000}"/>
    <cellStyle name="요약 36" xfId="2053" xr:uid="{00000000-0005-0000-0000-000087080000}"/>
    <cellStyle name="요약 37" xfId="2054" xr:uid="{00000000-0005-0000-0000-000088080000}"/>
    <cellStyle name="요약 38" xfId="2055" xr:uid="{00000000-0005-0000-0000-000089080000}"/>
    <cellStyle name="요약 39" xfId="2056" xr:uid="{00000000-0005-0000-0000-00008A080000}"/>
    <cellStyle name="요약 4" xfId="2057" xr:uid="{00000000-0005-0000-0000-00008B080000}"/>
    <cellStyle name="요약 40" xfId="2058" xr:uid="{00000000-0005-0000-0000-00008C080000}"/>
    <cellStyle name="요약 41" xfId="2059" xr:uid="{00000000-0005-0000-0000-00008D080000}"/>
    <cellStyle name="요약 42" xfId="2060" xr:uid="{00000000-0005-0000-0000-00008E080000}"/>
    <cellStyle name="요약 43" xfId="2061" xr:uid="{00000000-0005-0000-0000-00008F080000}"/>
    <cellStyle name="요약 44" xfId="2062" xr:uid="{00000000-0005-0000-0000-000090080000}"/>
    <cellStyle name="요약 45" xfId="2063" xr:uid="{00000000-0005-0000-0000-000091080000}"/>
    <cellStyle name="요약 46" xfId="2064" xr:uid="{00000000-0005-0000-0000-000092080000}"/>
    <cellStyle name="요약 47" xfId="2065" xr:uid="{00000000-0005-0000-0000-000093080000}"/>
    <cellStyle name="요약 48" xfId="2066" xr:uid="{00000000-0005-0000-0000-000094080000}"/>
    <cellStyle name="요약 49" xfId="2067" xr:uid="{00000000-0005-0000-0000-000095080000}"/>
    <cellStyle name="요약 5" xfId="2068" xr:uid="{00000000-0005-0000-0000-000096080000}"/>
    <cellStyle name="요약 50" xfId="2069" xr:uid="{00000000-0005-0000-0000-000097080000}"/>
    <cellStyle name="요약 51" xfId="2070" xr:uid="{00000000-0005-0000-0000-000098080000}"/>
    <cellStyle name="요약 52" xfId="2071" xr:uid="{00000000-0005-0000-0000-000099080000}"/>
    <cellStyle name="요약 53" xfId="2072" xr:uid="{00000000-0005-0000-0000-00009A080000}"/>
    <cellStyle name="요약 54" xfId="2073" xr:uid="{00000000-0005-0000-0000-00009B080000}"/>
    <cellStyle name="요약 55" xfId="2074" xr:uid="{00000000-0005-0000-0000-00009C080000}"/>
    <cellStyle name="요약 56" xfId="2075" xr:uid="{00000000-0005-0000-0000-00009D080000}"/>
    <cellStyle name="요약 57" xfId="2076" xr:uid="{00000000-0005-0000-0000-00009E080000}"/>
    <cellStyle name="요약 58" xfId="2077" xr:uid="{00000000-0005-0000-0000-00009F080000}"/>
    <cellStyle name="요약 59" xfId="2078" xr:uid="{00000000-0005-0000-0000-0000A0080000}"/>
    <cellStyle name="요약 6" xfId="2079" xr:uid="{00000000-0005-0000-0000-0000A1080000}"/>
    <cellStyle name="요약 60" xfId="2080" xr:uid="{00000000-0005-0000-0000-0000A2080000}"/>
    <cellStyle name="요약 61" xfId="2081" xr:uid="{00000000-0005-0000-0000-0000A3080000}"/>
    <cellStyle name="요약 62" xfId="2082" xr:uid="{00000000-0005-0000-0000-0000A4080000}"/>
    <cellStyle name="요약 63" xfId="2083" xr:uid="{00000000-0005-0000-0000-0000A5080000}"/>
    <cellStyle name="요약 64" xfId="2084" xr:uid="{00000000-0005-0000-0000-0000A6080000}"/>
    <cellStyle name="요약 7" xfId="2085" xr:uid="{00000000-0005-0000-0000-0000A7080000}"/>
    <cellStyle name="요약 8" xfId="2086" xr:uid="{00000000-0005-0000-0000-0000A8080000}"/>
    <cellStyle name="요약 9" xfId="2087" xr:uid="{00000000-0005-0000-0000-0000A9080000}"/>
    <cellStyle name="입력" xfId="2648" builtinId="20" customBuiltin="1"/>
    <cellStyle name="입력 10" xfId="2088" xr:uid="{00000000-0005-0000-0000-0000AB080000}"/>
    <cellStyle name="입력 11" xfId="2089" xr:uid="{00000000-0005-0000-0000-0000AC080000}"/>
    <cellStyle name="입력 12" xfId="2090" xr:uid="{00000000-0005-0000-0000-0000AD080000}"/>
    <cellStyle name="입력 13" xfId="2091" xr:uid="{00000000-0005-0000-0000-0000AE080000}"/>
    <cellStyle name="입력 14" xfId="2092" xr:uid="{00000000-0005-0000-0000-0000AF080000}"/>
    <cellStyle name="입력 15" xfId="2093" xr:uid="{00000000-0005-0000-0000-0000B0080000}"/>
    <cellStyle name="입력 16" xfId="2094" xr:uid="{00000000-0005-0000-0000-0000B1080000}"/>
    <cellStyle name="입력 17" xfId="2095" xr:uid="{00000000-0005-0000-0000-0000B2080000}"/>
    <cellStyle name="입력 18" xfId="2096" xr:uid="{00000000-0005-0000-0000-0000B3080000}"/>
    <cellStyle name="입력 19" xfId="2097" xr:uid="{00000000-0005-0000-0000-0000B4080000}"/>
    <cellStyle name="입력 2" xfId="2098" xr:uid="{00000000-0005-0000-0000-0000B5080000}"/>
    <cellStyle name="입력 20" xfId="2099" xr:uid="{00000000-0005-0000-0000-0000B6080000}"/>
    <cellStyle name="입력 21" xfId="2100" xr:uid="{00000000-0005-0000-0000-0000B7080000}"/>
    <cellStyle name="입력 22" xfId="2101" xr:uid="{00000000-0005-0000-0000-0000B8080000}"/>
    <cellStyle name="입력 23" xfId="2102" xr:uid="{00000000-0005-0000-0000-0000B9080000}"/>
    <cellStyle name="입력 24" xfId="2103" xr:uid="{00000000-0005-0000-0000-0000BA080000}"/>
    <cellStyle name="입력 25" xfId="2104" xr:uid="{00000000-0005-0000-0000-0000BB080000}"/>
    <cellStyle name="입력 26" xfId="2105" xr:uid="{00000000-0005-0000-0000-0000BC080000}"/>
    <cellStyle name="입력 27" xfId="2106" xr:uid="{00000000-0005-0000-0000-0000BD080000}"/>
    <cellStyle name="입력 28" xfId="2107" xr:uid="{00000000-0005-0000-0000-0000BE080000}"/>
    <cellStyle name="입력 29" xfId="2108" xr:uid="{00000000-0005-0000-0000-0000BF080000}"/>
    <cellStyle name="입력 3" xfId="2109" xr:uid="{00000000-0005-0000-0000-0000C0080000}"/>
    <cellStyle name="입력 30" xfId="2110" xr:uid="{00000000-0005-0000-0000-0000C1080000}"/>
    <cellStyle name="입력 31" xfId="2111" xr:uid="{00000000-0005-0000-0000-0000C2080000}"/>
    <cellStyle name="입력 32" xfId="2112" xr:uid="{00000000-0005-0000-0000-0000C3080000}"/>
    <cellStyle name="입력 33" xfId="2113" xr:uid="{00000000-0005-0000-0000-0000C4080000}"/>
    <cellStyle name="입력 34" xfId="2114" xr:uid="{00000000-0005-0000-0000-0000C5080000}"/>
    <cellStyle name="입력 35" xfId="2115" xr:uid="{00000000-0005-0000-0000-0000C6080000}"/>
    <cellStyle name="입력 36" xfId="2116" xr:uid="{00000000-0005-0000-0000-0000C7080000}"/>
    <cellStyle name="입력 37" xfId="2117" xr:uid="{00000000-0005-0000-0000-0000C8080000}"/>
    <cellStyle name="입력 38" xfId="2118" xr:uid="{00000000-0005-0000-0000-0000C9080000}"/>
    <cellStyle name="입력 39" xfId="2119" xr:uid="{00000000-0005-0000-0000-0000CA080000}"/>
    <cellStyle name="입력 4" xfId="2120" xr:uid="{00000000-0005-0000-0000-0000CB080000}"/>
    <cellStyle name="입력 40" xfId="2121" xr:uid="{00000000-0005-0000-0000-0000CC080000}"/>
    <cellStyle name="입력 41" xfId="2122" xr:uid="{00000000-0005-0000-0000-0000CD080000}"/>
    <cellStyle name="입력 42" xfId="2123" xr:uid="{00000000-0005-0000-0000-0000CE080000}"/>
    <cellStyle name="입력 43" xfId="2124" xr:uid="{00000000-0005-0000-0000-0000CF080000}"/>
    <cellStyle name="입력 44" xfId="2125" xr:uid="{00000000-0005-0000-0000-0000D0080000}"/>
    <cellStyle name="입력 45" xfId="2126" xr:uid="{00000000-0005-0000-0000-0000D1080000}"/>
    <cellStyle name="입력 46" xfId="2127" xr:uid="{00000000-0005-0000-0000-0000D2080000}"/>
    <cellStyle name="입력 47" xfId="2128" xr:uid="{00000000-0005-0000-0000-0000D3080000}"/>
    <cellStyle name="입력 48" xfId="2129" xr:uid="{00000000-0005-0000-0000-0000D4080000}"/>
    <cellStyle name="입력 49" xfId="2130" xr:uid="{00000000-0005-0000-0000-0000D5080000}"/>
    <cellStyle name="입력 5" xfId="2131" xr:uid="{00000000-0005-0000-0000-0000D6080000}"/>
    <cellStyle name="입력 50" xfId="2132" xr:uid="{00000000-0005-0000-0000-0000D7080000}"/>
    <cellStyle name="입력 51" xfId="2133" xr:uid="{00000000-0005-0000-0000-0000D8080000}"/>
    <cellStyle name="입력 52" xfId="2134" xr:uid="{00000000-0005-0000-0000-0000D9080000}"/>
    <cellStyle name="입력 53" xfId="2135" xr:uid="{00000000-0005-0000-0000-0000DA080000}"/>
    <cellStyle name="입력 54" xfId="2136" xr:uid="{00000000-0005-0000-0000-0000DB080000}"/>
    <cellStyle name="입력 55" xfId="2137" xr:uid="{00000000-0005-0000-0000-0000DC080000}"/>
    <cellStyle name="입력 56" xfId="2138" xr:uid="{00000000-0005-0000-0000-0000DD080000}"/>
    <cellStyle name="입력 57" xfId="2139" xr:uid="{00000000-0005-0000-0000-0000DE080000}"/>
    <cellStyle name="입력 58" xfId="2140" xr:uid="{00000000-0005-0000-0000-0000DF080000}"/>
    <cellStyle name="입력 59" xfId="2141" xr:uid="{00000000-0005-0000-0000-0000E0080000}"/>
    <cellStyle name="입력 6" xfId="2142" xr:uid="{00000000-0005-0000-0000-0000E1080000}"/>
    <cellStyle name="입력 60" xfId="2143" xr:uid="{00000000-0005-0000-0000-0000E2080000}"/>
    <cellStyle name="입력 61" xfId="2144" xr:uid="{00000000-0005-0000-0000-0000E3080000}"/>
    <cellStyle name="입력 62" xfId="2145" xr:uid="{00000000-0005-0000-0000-0000E4080000}"/>
    <cellStyle name="입력 63" xfId="2146" xr:uid="{00000000-0005-0000-0000-0000E5080000}"/>
    <cellStyle name="입력 64" xfId="2147" xr:uid="{00000000-0005-0000-0000-0000E6080000}"/>
    <cellStyle name="입력 7" xfId="2148" xr:uid="{00000000-0005-0000-0000-0000E7080000}"/>
    <cellStyle name="입력 8" xfId="2149" xr:uid="{00000000-0005-0000-0000-0000E8080000}"/>
    <cellStyle name="입력 9" xfId="2150" xr:uid="{00000000-0005-0000-0000-0000E9080000}"/>
    <cellStyle name="제목" xfId="2640" builtinId="15" customBuiltin="1"/>
    <cellStyle name="제목 1" xfId="2641" builtinId="16" customBuiltin="1"/>
    <cellStyle name="제목 1 10" xfId="2151" xr:uid="{00000000-0005-0000-0000-0000EC080000}"/>
    <cellStyle name="제목 1 11" xfId="2152" xr:uid="{00000000-0005-0000-0000-0000ED080000}"/>
    <cellStyle name="제목 1 12" xfId="2153" xr:uid="{00000000-0005-0000-0000-0000EE080000}"/>
    <cellStyle name="제목 1 13" xfId="2154" xr:uid="{00000000-0005-0000-0000-0000EF080000}"/>
    <cellStyle name="제목 1 14" xfId="2155" xr:uid="{00000000-0005-0000-0000-0000F0080000}"/>
    <cellStyle name="제목 1 15" xfId="2156" xr:uid="{00000000-0005-0000-0000-0000F1080000}"/>
    <cellStyle name="제목 1 16" xfId="2157" xr:uid="{00000000-0005-0000-0000-0000F2080000}"/>
    <cellStyle name="제목 1 17" xfId="2158" xr:uid="{00000000-0005-0000-0000-0000F3080000}"/>
    <cellStyle name="제목 1 18" xfId="2159" xr:uid="{00000000-0005-0000-0000-0000F4080000}"/>
    <cellStyle name="제목 1 19" xfId="2160" xr:uid="{00000000-0005-0000-0000-0000F5080000}"/>
    <cellStyle name="제목 1 2" xfId="2161" xr:uid="{00000000-0005-0000-0000-0000F6080000}"/>
    <cellStyle name="제목 1 20" xfId="2162" xr:uid="{00000000-0005-0000-0000-0000F7080000}"/>
    <cellStyle name="제목 1 21" xfId="2163" xr:uid="{00000000-0005-0000-0000-0000F8080000}"/>
    <cellStyle name="제목 1 22" xfId="2164" xr:uid="{00000000-0005-0000-0000-0000F9080000}"/>
    <cellStyle name="제목 1 23" xfId="2165" xr:uid="{00000000-0005-0000-0000-0000FA080000}"/>
    <cellStyle name="제목 1 24" xfId="2166" xr:uid="{00000000-0005-0000-0000-0000FB080000}"/>
    <cellStyle name="제목 1 25" xfId="2167" xr:uid="{00000000-0005-0000-0000-0000FC080000}"/>
    <cellStyle name="제목 1 26" xfId="2168" xr:uid="{00000000-0005-0000-0000-0000FD080000}"/>
    <cellStyle name="제목 1 27" xfId="2169" xr:uid="{00000000-0005-0000-0000-0000FE080000}"/>
    <cellStyle name="제목 1 28" xfId="2170" xr:uid="{00000000-0005-0000-0000-0000FF080000}"/>
    <cellStyle name="제목 1 29" xfId="2171" xr:uid="{00000000-0005-0000-0000-000000090000}"/>
    <cellStyle name="제목 1 3" xfId="2172" xr:uid="{00000000-0005-0000-0000-000001090000}"/>
    <cellStyle name="제목 1 30" xfId="2173" xr:uid="{00000000-0005-0000-0000-000002090000}"/>
    <cellStyle name="제목 1 31" xfId="2174" xr:uid="{00000000-0005-0000-0000-000003090000}"/>
    <cellStyle name="제목 1 32" xfId="2175" xr:uid="{00000000-0005-0000-0000-000004090000}"/>
    <cellStyle name="제목 1 33" xfId="2176" xr:uid="{00000000-0005-0000-0000-000005090000}"/>
    <cellStyle name="제목 1 34" xfId="2177" xr:uid="{00000000-0005-0000-0000-000006090000}"/>
    <cellStyle name="제목 1 35" xfId="2178" xr:uid="{00000000-0005-0000-0000-000007090000}"/>
    <cellStyle name="제목 1 36" xfId="2179" xr:uid="{00000000-0005-0000-0000-000008090000}"/>
    <cellStyle name="제목 1 37" xfId="2180" xr:uid="{00000000-0005-0000-0000-000009090000}"/>
    <cellStyle name="제목 1 38" xfId="2181" xr:uid="{00000000-0005-0000-0000-00000A090000}"/>
    <cellStyle name="제목 1 39" xfId="2182" xr:uid="{00000000-0005-0000-0000-00000B090000}"/>
    <cellStyle name="제목 1 4" xfId="2183" xr:uid="{00000000-0005-0000-0000-00000C090000}"/>
    <cellStyle name="제목 1 40" xfId="2184" xr:uid="{00000000-0005-0000-0000-00000D090000}"/>
    <cellStyle name="제목 1 41" xfId="2185" xr:uid="{00000000-0005-0000-0000-00000E090000}"/>
    <cellStyle name="제목 1 42" xfId="2186" xr:uid="{00000000-0005-0000-0000-00000F090000}"/>
    <cellStyle name="제목 1 43" xfId="2187" xr:uid="{00000000-0005-0000-0000-000010090000}"/>
    <cellStyle name="제목 1 44" xfId="2188" xr:uid="{00000000-0005-0000-0000-000011090000}"/>
    <cellStyle name="제목 1 45" xfId="2189" xr:uid="{00000000-0005-0000-0000-000012090000}"/>
    <cellStyle name="제목 1 46" xfId="2190" xr:uid="{00000000-0005-0000-0000-000013090000}"/>
    <cellStyle name="제목 1 47" xfId="2191" xr:uid="{00000000-0005-0000-0000-000014090000}"/>
    <cellStyle name="제목 1 48" xfId="2192" xr:uid="{00000000-0005-0000-0000-000015090000}"/>
    <cellStyle name="제목 1 49" xfId="2193" xr:uid="{00000000-0005-0000-0000-000016090000}"/>
    <cellStyle name="제목 1 5" xfId="2194" xr:uid="{00000000-0005-0000-0000-000017090000}"/>
    <cellStyle name="제목 1 50" xfId="2195" xr:uid="{00000000-0005-0000-0000-000018090000}"/>
    <cellStyle name="제목 1 51" xfId="2196" xr:uid="{00000000-0005-0000-0000-000019090000}"/>
    <cellStyle name="제목 1 52" xfId="2197" xr:uid="{00000000-0005-0000-0000-00001A090000}"/>
    <cellStyle name="제목 1 53" xfId="2198" xr:uid="{00000000-0005-0000-0000-00001B090000}"/>
    <cellStyle name="제목 1 54" xfId="2199" xr:uid="{00000000-0005-0000-0000-00001C090000}"/>
    <cellStyle name="제목 1 55" xfId="2200" xr:uid="{00000000-0005-0000-0000-00001D090000}"/>
    <cellStyle name="제목 1 56" xfId="2201" xr:uid="{00000000-0005-0000-0000-00001E090000}"/>
    <cellStyle name="제목 1 57" xfId="2202" xr:uid="{00000000-0005-0000-0000-00001F090000}"/>
    <cellStyle name="제목 1 58" xfId="2203" xr:uid="{00000000-0005-0000-0000-000020090000}"/>
    <cellStyle name="제목 1 59" xfId="2204" xr:uid="{00000000-0005-0000-0000-000021090000}"/>
    <cellStyle name="제목 1 59 2" xfId="2879" xr:uid="{00000000-0005-0000-0000-0000D20B0000}"/>
    <cellStyle name="제목 1 6" xfId="2205" xr:uid="{00000000-0005-0000-0000-000022090000}"/>
    <cellStyle name="제목 1 60" xfId="2206" xr:uid="{00000000-0005-0000-0000-000023090000}"/>
    <cellStyle name="제목 1 60 2" xfId="2880" xr:uid="{00000000-0005-0000-0000-0000D30B0000}"/>
    <cellStyle name="제목 1 61" xfId="2207" xr:uid="{00000000-0005-0000-0000-000024090000}"/>
    <cellStyle name="제목 1 61 2" xfId="2881" xr:uid="{00000000-0005-0000-0000-0000D40B0000}"/>
    <cellStyle name="제목 1 62" xfId="2208" xr:uid="{00000000-0005-0000-0000-000025090000}"/>
    <cellStyle name="제목 1 62 2" xfId="2882" xr:uid="{00000000-0005-0000-0000-0000D50B0000}"/>
    <cellStyle name="제목 1 63" xfId="2209" xr:uid="{00000000-0005-0000-0000-000026090000}"/>
    <cellStyle name="제목 1 63 2" xfId="2883" xr:uid="{00000000-0005-0000-0000-0000D60B0000}"/>
    <cellStyle name="제목 1 64" xfId="2210" xr:uid="{00000000-0005-0000-0000-000027090000}"/>
    <cellStyle name="제목 1 64 2" xfId="2884" xr:uid="{00000000-0005-0000-0000-0000D70B0000}"/>
    <cellStyle name="제목 1 7" xfId="2211" xr:uid="{00000000-0005-0000-0000-000028090000}"/>
    <cellStyle name="제목 1 8" xfId="2212" xr:uid="{00000000-0005-0000-0000-000029090000}"/>
    <cellStyle name="제목 1 9" xfId="2213" xr:uid="{00000000-0005-0000-0000-00002A090000}"/>
    <cellStyle name="제목 10" xfId="2214" xr:uid="{00000000-0005-0000-0000-00002B090000}"/>
    <cellStyle name="제목 11" xfId="2215" xr:uid="{00000000-0005-0000-0000-00002C090000}"/>
    <cellStyle name="제목 12" xfId="2216" xr:uid="{00000000-0005-0000-0000-00002D090000}"/>
    <cellStyle name="제목 13" xfId="2217" xr:uid="{00000000-0005-0000-0000-00002E090000}"/>
    <cellStyle name="제목 14" xfId="2218" xr:uid="{00000000-0005-0000-0000-00002F090000}"/>
    <cellStyle name="제목 15" xfId="2219" xr:uid="{00000000-0005-0000-0000-000030090000}"/>
    <cellStyle name="제목 16" xfId="2220" xr:uid="{00000000-0005-0000-0000-000031090000}"/>
    <cellStyle name="제목 17" xfId="2221" xr:uid="{00000000-0005-0000-0000-000032090000}"/>
    <cellStyle name="제목 18" xfId="2222" xr:uid="{00000000-0005-0000-0000-000033090000}"/>
    <cellStyle name="제목 19" xfId="2223" xr:uid="{00000000-0005-0000-0000-000034090000}"/>
    <cellStyle name="제목 2" xfId="2642" builtinId="17" customBuiltin="1"/>
    <cellStyle name="제목 2 10" xfId="2224" xr:uid="{00000000-0005-0000-0000-000036090000}"/>
    <cellStyle name="제목 2 11" xfId="2225" xr:uid="{00000000-0005-0000-0000-000037090000}"/>
    <cellStyle name="제목 2 12" xfId="2226" xr:uid="{00000000-0005-0000-0000-000038090000}"/>
    <cellStyle name="제목 2 13" xfId="2227" xr:uid="{00000000-0005-0000-0000-000039090000}"/>
    <cellStyle name="제목 2 14" xfId="2228" xr:uid="{00000000-0005-0000-0000-00003A090000}"/>
    <cellStyle name="제목 2 15" xfId="2229" xr:uid="{00000000-0005-0000-0000-00003B090000}"/>
    <cellStyle name="제목 2 16" xfId="2230" xr:uid="{00000000-0005-0000-0000-00003C090000}"/>
    <cellStyle name="제목 2 17" xfId="2231" xr:uid="{00000000-0005-0000-0000-00003D090000}"/>
    <cellStyle name="제목 2 18" xfId="2232" xr:uid="{00000000-0005-0000-0000-00003E090000}"/>
    <cellStyle name="제목 2 19" xfId="2233" xr:uid="{00000000-0005-0000-0000-00003F090000}"/>
    <cellStyle name="제목 2 2" xfId="2234" xr:uid="{00000000-0005-0000-0000-000040090000}"/>
    <cellStyle name="제목 2 20" xfId="2235" xr:uid="{00000000-0005-0000-0000-000041090000}"/>
    <cellStyle name="제목 2 21" xfId="2236" xr:uid="{00000000-0005-0000-0000-000042090000}"/>
    <cellStyle name="제목 2 22" xfId="2237" xr:uid="{00000000-0005-0000-0000-000043090000}"/>
    <cellStyle name="제목 2 23" xfId="2238" xr:uid="{00000000-0005-0000-0000-000044090000}"/>
    <cellStyle name="제목 2 24" xfId="2239" xr:uid="{00000000-0005-0000-0000-000045090000}"/>
    <cellStyle name="제목 2 25" xfId="2240" xr:uid="{00000000-0005-0000-0000-000046090000}"/>
    <cellStyle name="제목 2 26" xfId="2241" xr:uid="{00000000-0005-0000-0000-000047090000}"/>
    <cellStyle name="제목 2 27" xfId="2242" xr:uid="{00000000-0005-0000-0000-000048090000}"/>
    <cellStyle name="제목 2 28" xfId="2243" xr:uid="{00000000-0005-0000-0000-000049090000}"/>
    <cellStyle name="제목 2 29" xfId="2244" xr:uid="{00000000-0005-0000-0000-00004A090000}"/>
    <cellStyle name="제목 2 3" xfId="2245" xr:uid="{00000000-0005-0000-0000-00004B090000}"/>
    <cellStyle name="제목 2 30" xfId="2246" xr:uid="{00000000-0005-0000-0000-00004C090000}"/>
    <cellStyle name="제목 2 31" xfId="2247" xr:uid="{00000000-0005-0000-0000-00004D090000}"/>
    <cellStyle name="제목 2 32" xfId="2248" xr:uid="{00000000-0005-0000-0000-00004E090000}"/>
    <cellStyle name="제목 2 33" xfId="2249" xr:uid="{00000000-0005-0000-0000-00004F090000}"/>
    <cellStyle name="제목 2 34" xfId="2250" xr:uid="{00000000-0005-0000-0000-000050090000}"/>
    <cellStyle name="제목 2 35" xfId="2251" xr:uid="{00000000-0005-0000-0000-000051090000}"/>
    <cellStyle name="제목 2 36" xfId="2252" xr:uid="{00000000-0005-0000-0000-000052090000}"/>
    <cellStyle name="제목 2 37" xfId="2253" xr:uid="{00000000-0005-0000-0000-000053090000}"/>
    <cellStyle name="제목 2 38" xfId="2254" xr:uid="{00000000-0005-0000-0000-000054090000}"/>
    <cellStyle name="제목 2 39" xfId="2255" xr:uid="{00000000-0005-0000-0000-000055090000}"/>
    <cellStyle name="제목 2 4" xfId="2256" xr:uid="{00000000-0005-0000-0000-000056090000}"/>
    <cellStyle name="제목 2 40" xfId="2257" xr:uid="{00000000-0005-0000-0000-000057090000}"/>
    <cellStyle name="제목 2 41" xfId="2258" xr:uid="{00000000-0005-0000-0000-000058090000}"/>
    <cellStyle name="제목 2 42" xfId="2259" xr:uid="{00000000-0005-0000-0000-000059090000}"/>
    <cellStyle name="제목 2 43" xfId="2260" xr:uid="{00000000-0005-0000-0000-00005A090000}"/>
    <cellStyle name="제목 2 44" xfId="2261" xr:uid="{00000000-0005-0000-0000-00005B090000}"/>
    <cellStyle name="제목 2 45" xfId="2262" xr:uid="{00000000-0005-0000-0000-00005C090000}"/>
    <cellStyle name="제목 2 46" xfId="2263" xr:uid="{00000000-0005-0000-0000-00005D090000}"/>
    <cellStyle name="제목 2 47" xfId="2264" xr:uid="{00000000-0005-0000-0000-00005E090000}"/>
    <cellStyle name="제목 2 48" xfId="2265" xr:uid="{00000000-0005-0000-0000-00005F090000}"/>
    <cellStyle name="제목 2 49" xfId="2266" xr:uid="{00000000-0005-0000-0000-000060090000}"/>
    <cellStyle name="제목 2 5" xfId="2267" xr:uid="{00000000-0005-0000-0000-000061090000}"/>
    <cellStyle name="제목 2 50" xfId="2268" xr:uid="{00000000-0005-0000-0000-000062090000}"/>
    <cellStyle name="제목 2 51" xfId="2269" xr:uid="{00000000-0005-0000-0000-000063090000}"/>
    <cellStyle name="제목 2 52" xfId="2270" xr:uid="{00000000-0005-0000-0000-000064090000}"/>
    <cellStyle name="제목 2 53" xfId="2271" xr:uid="{00000000-0005-0000-0000-000065090000}"/>
    <cellStyle name="제목 2 54" xfId="2272" xr:uid="{00000000-0005-0000-0000-000066090000}"/>
    <cellStyle name="제목 2 55" xfId="2273" xr:uid="{00000000-0005-0000-0000-000067090000}"/>
    <cellStyle name="제목 2 56" xfId="2274" xr:uid="{00000000-0005-0000-0000-000068090000}"/>
    <cellStyle name="제목 2 57" xfId="2275" xr:uid="{00000000-0005-0000-0000-000069090000}"/>
    <cellStyle name="제목 2 58" xfId="2276" xr:uid="{00000000-0005-0000-0000-00006A090000}"/>
    <cellStyle name="제목 2 59" xfId="2277" xr:uid="{00000000-0005-0000-0000-00006B090000}"/>
    <cellStyle name="제목 2 59 2" xfId="2885" xr:uid="{00000000-0005-0000-0000-0000D80B0000}"/>
    <cellStyle name="제목 2 6" xfId="2278" xr:uid="{00000000-0005-0000-0000-00006C090000}"/>
    <cellStyle name="제목 2 60" xfId="2279" xr:uid="{00000000-0005-0000-0000-00006D090000}"/>
    <cellStyle name="제목 2 60 2" xfId="2886" xr:uid="{00000000-0005-0000-0000-0000D90B0000}"/>
    <cellStyle name="제목 2 61" xfId="2280" xr:uid="{00000000-0005-0000-0000-00006E090000}"/>
    <cellStyle name="제목 2 61 2" xfId="2887" xr:uid="{00000000-0005-0000-0000-0000DA0B0000}"/>
    <cellStyle name="제목 2 62" xfId="2281" xr:uid="{00000000-0005-0000-0000-00006F090000}"/>
    <cellStyle name="제목 2 62 2" xfId="2888" xr:uid="{00000000-0005-0000-0000-0000DB0B0000}"/>
    <cellStyle name="제목 2 63" xfId="2282" xr:uid="{00000000-0005-0000-0000-000070090000}"/>
    <cellStyle name="제목 2 63 2" xfId="2889" xr:uid="{00000000-0005-0000-0000-0000DC0B0000}"/>
    <cellStyle name="제목 2 64" xfId="2283" xr:uid="{00000000-0005-0000-0000-000071090000}"/>
    <cellStyle name="제목 2 64 2" xfId="2890" xr:uid="{00000000-0005-0000-0000-0000DD0B0000}"/>
    <cellStyle name="제목 2 7" xfId="2284" xr:uid="{00000000-0005-0000-0000-000072090000}"/>
    <cellStyle name="제목 2 8" xfId="2285" xr:uid="{00000000-0005-0000-0000-000073090000}"/>
    <cellStyle name="제목 2 9" xfId="2286" xr:uid="{00000000-0005-0000-0000-000074090000}"/>
    <cellStyle name="제목 20" xfId="2287" xr:uid="{00000000-0005-0000-0000-000075090000}"/>
    <cellStyle name="제목 21" xfId="2288" xr:uid="{00000000-0005-0000-0000-000076090000}"/>
    <cellStyle name="제목 22" xfId="2289" xr:uid="{00000000-0005-0000-0000-000077090000}"/>
    <cellStyle name="제목 23" xfId="2290" xr:uid="{00000000-0005-0000-0000-000078090000}"/>
    <cellStyle name="제목 24" xfId="2291" xr:uid="{00000000-0005-0000-0000-000079090000}"/>
    <cellStyle name="제목 25" xfId="2292" xr:uid="{00000000-0005-0000-0000-00007A090000}"/>
    <cellStyle name="제목 26" xfId="2293" xr:uid="{00000000-0005-0000-0000-00007B090000}"/>
    <cellStyle name="제목 27" xfId="2294" xr:uid="{00000000-0005-0000-0000-00007C090000}"/>
    <cellStyle name="제목 28" xfId="2295" xr:uid="{00000000-0005-0000-0000-00007D090000}"/>
    <cellStyle name="제목 29" xfId="2296" xr:uid="{00000000-0005-0000-0000-00007E090000}"/>
    <cellStyle name="제목 3" xfId="2643" builtinId="18" customBuiltin="1"/>
    <cellStyle name="제목 3 10" xfId="2297" xr:uid="{00000000-0005-0000-0000-000080090000}"/>
    <cellStyle name="제목 3 11" xfId="2298" xr:uid="{00000000-0005-0000-0000-000081090000}"/>
    <cellStyle name="제목 3 12" xfId="2299" xr:uid="{00000000-0005-0000-0000-000082090000}"/>
    <cellStyle name="제목 3 13" xfId="2300" xr:uid="{00000000-0005-0000-0000-000083090000}"/>
    <cellStyle name="제목 3 14" xfId="2301" xr:uid="{00000000-0005-0000-0000-000084090000}"/>
    <cellStyle name="제목 3 15" xfId="2302" xr:uid="{00000000-0005-0000-0000-000085090000}"/>
    <cellStyle name="제목 3 16" xfId="2303" xr:uid="{00000000-0005-0000-0000-000086090000}"/>
    <cellStyle name="제목 3 17" xfId="2304" xr:uid="{00000000-0005-0000-0000-000087090000}"/>
    <cellStyle name="제목 3 18" xfId="2305" xr:uid="{00000000-0005-0000-0000-000088090000}"/>
    <cellStyle name="제목 3 19" xfId="2306" xr:uid="{00000000-0005-0000-0000-000089090000}"/>
    <cellStyle name="제목 3 2" xfId="2307" xr:uid="{00000000-0005-0000-0000-00008A090000}"/>
    <cellStyle name="제목 3 20" xfId="2308" xr:uid="{00000000-0005-0000-0000-00008B090000}"/>
    <cellStyle name="제목 3 21" xfId="2309" xr:uid="{00000000-0005-0000-0000-00008C090000}"/>
    <cellStyle name="제목 3 22" xfId="2310" xr:uid="{00000000-0005-0000-0000-00008D090000}"/>
    <cellStyle name="제목 3 23" xfId="2311" xr:uid="{00000000-0005-0000-0000-00008E090000}"/>
    <cellStyle name="제목 3 24" xfId="2312" xr:uid="{00000000-0005-0000-0000-00008F090000}"/>
    <cellStyle name="제목 3 25" xfId="2313" xr:uid="{00000000-0005-0000-0000-000090090000}"/>
    <cellStyle name="제목 3 26" xfId="2314" xr:uid="{00000000-0005-0000-0000-000091090000}"/>
    <cellStyle name="제목 3 27" xfId="2315" xr:uid="{00000000-0005-0000-0000-000092090000}"/>
    <cellStyle name="제목 3 28" xfId="2316" xr:uid="{00000000-0005-0000-0000-000093090000}"/>
    <cellStyle name="제목 3 29" xfId="2317" xr:uid="{00000000-0005-0000-0000-000094090000}"/>
    <cellStyle name="제목 3 3" xfId="2318" xr:uid="{00000000-0005-0000-0000-000095090000}"/>
    <cellStyle name="제목 3 30" xfId="2319" xr:uid="{00000000-0005-0000-0000-000096090000}"/>
    <cellStyle name="제목 3 31" xfId="2320" xr:uid="{00000000-0005-0000-0000-000097090000}"/>
    <cellStyle name="제목 3 32" xfId="2321" xr:uid="{00000000-0005-0000-0000-000098090000}"/>
    <cellStyle name="제목 3 33" xfId="2322" xr:uid="{00000000-0005-0000-0000-000099090000}"/>
    <cellStyle name="제목 3 34" xfId="2323" xr:uid="{00000000-0005-0000-0000-00009A090000}"/>
    <cellStyle name="제목 3 35" xfId="2324" xr:uid="{00000000-0005-0000-0000-00009B090000}"/>
    <cellStyle name="제목 3 36" xfId="2325" xr:uid="{00000000-0005-0000-0000-00009C090000}"/>
    <cellStyle name="제목 3 37" xfId="2326" xr:uid="{00000000-0005-0000-0000-00009D090000}"/>
    <cellStyle name="제목 3 38" xfId="2327" xr:uid="{00000000-0005-0000-0000-00009E090000}"/>
    <cellStyle name="제목 3 39" xfId="2328" xr:uid="{00000000-0005-0000-0000-00009F090000}"/>
    <cellStyle name="제목 3 4" xfId="2329" xr:uid="{00000000-0005-0000-0000-0000A0090000}"/>
    <cellStyle name="제목 3 40" xfId="2330" xr:uid="{00000000-0005-0000-0000-0000A1090000}"/>
    <cellStyle name="제목 3 41" xfId="2331" xr:uid="{00000000-0005-0000-0000-0000A2090000}"/>
    <cellStyle name="제목 3 42" xfId="2332" xr:uid="{00000000-0005-0000-0000-0000A3090000}"/>
    <cellStyle name="제목 3 43" xfId="2333" xr:uid="{00000000-0005-0000-0000-0000A4090000}"/>
    <cellStyle name="제목 3 44" xfId="2334" xr:uid="{00000000-0005-0000-0000-0000A5090000}"/>
    <cellStyle name="제목 3 45" xfId="2335" xr:uid="{00000000-0005-0000-0000-0000A6090000}"/>
    <cellStyle name="제목 3 46" xfId="2336" xr:uid="{00000000-0005-0000-0000-0000A7090000}"/>
    <cellStyle name="제목 3 47" xfId="2337" xr:uid="{00000000-0005-0000-0000-0000A8090000}"/>
    <cellStyle name="제목 3 48" xfId="2338" xr:uid="{00000000-0005-0000-0000-0000A9090000}"/>
    <cellStyle name="제목 3 49" xfId="2339" xr:uid="{00000000-0005-0000-0000-0000AA090000}"/>
    <cellStyle name="제목 3 5" xfId="2340" xr:uid="{00000000-0005-0000-0000-0000AB090000}"/>
    <cellStyle name="제목 3 50" xfId="2341" xr:uid="{00000000-0005-0000-0000-0000AC090000}"/>
    <cellStyle name="제목 3 51" xfId="2342" xr:uid="{00000000-0005-0000-0000-0000AD090000}"/>
    <cellStyle name="제목 3 52" xfId="2343" xr:uid="{00000000-0005-0000-0000-0000AE090000}"/>
    <cellStyle name="제목 3 53" xfId="2344" xr:uid="{00000000-0005-0000-0000-0000AF090000}"/>
    <cellStyle name="제목 3 54" xfId="2345" xr:uid="{00000000-0005-0000-0000-0000B0090000}"/>
    <cellStyle name="제목 3 55" xfId="2346" xr:uid="{00000000-0005-0000-0000-0000B1090000}"/>
    <cellStyle name="제목 3 56" xfId="2347" xr:uid="{00000000-0005-0000-0000-0000B2090000}"/>
    <cellStyle name="제목 3 57" xfId="2348" xr:uid="{00000000-0005-0000-0000-0000B3090000}"/>
    <cellStyle name="제목 3 58" xfId="2349" xr:uid="{00000000-0005-0000-0000-0000B4090000}"/>
    <cellStyle name="제목 3 59" xfId="2350" xr:uid="{00000000-0005-0000-0000-0000B5090000}"/>
    <cellStyle name="제목 3 59 2" xfId="2891" xr:uid="{00000000-0005-0000-0000-0000DE0B0000}"/>
    <cellStyle name="제목 3 6" xfId="2351" xr:uid="{00000000-0005-0000-0000-0000B6090000}"/>
    <cellStyle name="제목 3 60" xfId="2352" xr:uid="{00000000-0005-0000-0000-0000B7090000}"/>
    <cellStyle name="제목 3 60 2" xfId="2892" xr:uid="{00000000-0005-0000-0000-0000DF0B0000}"/>
    <cellStyle name="제목 3 61" xfId="2353" xr:uid="{00000000-0005-0000-0000-0000B8090000}"/>
    <cellStyle name="제목 3 61 2" xfId="2893" xr:uid="{00000000-0005-0000-0000-0000E00B0000}"/>
    <cellStyle name="제목 3 62" xfId="2354" xr:uid="{00000000-0005-0000-0000-0000B9090000}"/>
    <cellStyle name="제목 3 62 2" xfId="2894" xr:uid="{00000000-0005-0000-0000-0000E10B0000}"/>
    <cellStyle name="제목 3 63" xfId="2355" xr:uid="{00000000-0005-0000-0000-0000BA090000}"/>
    <cellStyle name="제목 3 63 2" xfId="2895" xr:uid="{00000000-0005-0000-0000-0000E20B0000}"/>
    <cellStyle name="제목 3 64" xfId="2356" xr:uid="{00000000-0005-0000-0000-0000BB090000}"/>
    <cellStyle name="제목 3 64 2" xfId="2896" xr:uid="{00000000-0005-0000-0000-0000E30B0000}"/>
    <cellStyle name="제목 3 7" xfId="2357" xr:uid="{00000000-0005-0000-0000-0000BC090000}"/>
    <cellStyle name="제목 3 8" xfId="2358" xr:uid="{00000000-0005-0000-0000-0000BD090000}"/>
    <cellStyle name="제목 3 9" xfId="2359" xr:uid="{00000000-0005-0000-0000-0000BE090000}"/>
    <cellStyle name="제목 30" xfId="2360" xr:uid="{00000000-0005-0000-0000-0000BF090000}"/>
    <cellStyle name="제목 31" xfId="2361" xr:uid="{00000000-0005-0000-0000-0000C0090000}"/>
    <cellStyle name="제목 32" xfId="2362" xr:uid="{00000000-0005-0000-0000-0000C1090000}"/>
    <cellStyle name="제목 33" xfId="2363" xr:uid="{00000000-0005-0000-0000-0000C2090000}"/>
    <cellStyle name="제목 34" xfId="2364" xr:uid="{00000000-0005-0000-0000-0000C3090000}"/>
    <cellStyle name="제목 35" xfId="2365" xr:uid="{00000000-0005-0000-0000-0000C4090000}"/>
    <cellStyle name="제목 36" xfId="2366" xr:uid="{00000000-0005-0000-0000-0000C5090000}"/>
    <cellStyle name="제목 37" xfId="2367" xr:uid="{00000000-0005-0000-0000-0000C6090000}"/>
    <cellStyle name="제목 38" xfId="2368" xr:uid="{00000000-0005-0000-0000-0000C7090000}"/>
    <cellStyle name="제목 39" xfId="2369" xr:uid="{00000000-0005-0000-0000-0000C8090000}"/>
    <cellStyle name="제목 4" xfId="2644" builtinId="19" customBuiltin="1"/>
    <cellStyle name="제목 4 10" xfId="2370" xr:uid="{00000000-0005-0000-0000-0000CA090000}"/>
    <cellStyle name="제목 4 11" xfId="2371" xr:uid="{00000000-0005-0000-0000-0000CB090000}"/>
    <cellStyle name="제목 4 12" xfId="2372" xr:uid="{00000000-0005-0000-0000-0000CC090000}"/>
    <cellStyle name="제목 4 13" xfId="2373" xr:uid="{00000000-0005-0000-0000-0000CD090000}"/>
    <cellStyle name="제목 4 14" xfId="2374" xr:uid="{00000000-0005-0000-0000-0000CE090000}"/>
    <cellStyle name="제목 4 15" xfId="2375" xr:uid="{00000000-0005-0000-0000-0000CF090000}"/>
    <cellStyle name="제목 4 16" xfId="2376" xr:uid="{00000000-0005-0000-0000-0000D0090000}"/>
    <cellStyle name="제목 4 17" xfId="2377" xr:uid="{00000000-0005-0000-0000-0000D1090000}"/>
    <cellStyle name="제목 4 18" xfId="2378" xr:uid="{00000000-0005-0000-0000-0000D2090000}"/>
    <cellStyle name="제목 4 19" xfId="2379" xr:uid="{00000000-0005-0000-0000-0000D3090000}"/>
    <cellStyle name="제목 4 2" xfId="2380" xr:uid="{00000000-0005-0000-0000-0000D4090000}"/>
    <cellStyle name="제목 4 20" xfId="2381" xr:uid="{00000000-0005-0000-0000-0000D5090000}"/>
    <cellStyle name="제목 4 21" xfId="2382" xr:uid="{00000000-0005-0000-0000-0000D6090000}"/>
    <cellStyle name="제목 4 22" xfId="2383" xr:uid="{00000000-0005-0000-0000-0000D7090000}"/>
    <cellStyle name="제목 4 23" xfId="2384" xr:uid="{00000000-0005-0000-0000-0000D8090000}"/>
    <cellStyle name="제목 4 24" xfId="2385" xr:uid="{00000000-0005-0000-0000-0000D9090000}"/>
    <cellStyle name="제목 4 25" xfId="2386" xr:uid="{00000000-0005-0000-0000-0000DA090000}"/>
    <cellStyle name="제목 4 26" xfId="2387" xr:uid="{00000000-0005-0000-0000-0000DB090000}"/>
    <cellStyle name="제목 4 27" xfId="2388" xr:uid="{00000000-0005-0000-0000-0000DC090000}"/>
    <cellStyle name="제목 4 28" xfId="2389" xr:uid="{00000000-0005-0000-0000-0000DD090000}"/>
    <cellStyle name="제목 4 29" xfId="2390" xr:uid="{00000000-0005-0000-0000-0000DE090000}"/>
    <cellStyle name="제목 4 3" xfId="2391" xr:uid="{00000000-0005-0000-0000-0000DF090000}"/>
    <cellStyle name="제목 4 30" xfId="2392" xr:uid="{00000000-0005-0000-0000-0000E0090000}"/>
    <cellStyle name="제목 4 31" xfId="2393" xr:uid="{00000000-0005-0000-0000-0000E1090000}"/>
    <cellStyle name="제목 4 32" xfId="2394" xr:uid="{00000000-0005-0000-0000-0000E2090000}"/>
    <cellStyle name="제목 4 33" xfId="2395" xr:uid="{00000000-0005-0000-0000-0000E3090000}"/>
    <cellStyle name="제목 4 34" xfId="2396" xr:uid="{00000000-0005-0000-0000-0000E4090000}"/>
    <cellStyle name="제목 4 35" xfId="2397" xr:uid="{00000000-0005-0000-0000-0000E5090000}"/>
    <cellStyle name="제목 4 36" xfId="2398" xr:uid="{00000000-0005-0000-0000-0000E6090000}"/>
    <cellStyle name="제목 4 37" xfId="2399" xr:uid="{00000000-0005-0000-0000-0000E7090000}"/>
    <cellStyle name="제목 4 38" xfId="2400" xr:uid="{00000000-0005-0000-0000-0000E8090000}"/>
    <cellStyle name="제목 4 39" xfId="2401" xr:uid="{00000000-0005-0000-0000-0000E9090000}"/>
    <cellStyle name="제목 4 4" xfId="2402" xr:uid="{00000000-0005-0000-0000-0000EA090000}"/>
    <cellStyle name="제목 4 40" xfId="2403" xr:uid="{00000000-0005-0000-0000-0000EB090000}"/>
    <cellStyle name="제목 4 41" xfId="2404" xr:uid="{00000000-0005-0000-0000-0000EC090000}"/>
    <cellStyle name="제목 4 42" xfId="2405" xr:uid="{00000000-0005-0000-0000-0000ED090000}"/>
    <cellStyle name="제목 4 43" xfId="2406" xr:uid="{00000000-0005-0000-0000-0000EE090000}"/>
    <cellStyle name="제목 4 44" xfId="2407" xr:uid="{00000000-0005-0000-0000-0000EF090000}"/>
    <cellStyle name="제목 4 45" xfId="2408" xr:uid="{00000000-0005-0000-0000-0000F0090000}"/>
    <cellStyle name="제목 4 46" xfId="2409" xr:uid="{00000000-0005-0000-0000-0000F1090000}"/>
    <cellStyle name="제목 4 47" xfId="2410" xr:uid="{00000000-0005-0000-0000-0000F2090000}"/>
    <cellStyle name="제목 4 48" xfId="2411" xr:uid="{00000000-0005-0000-0000-0000F3090000}"/>
    <cellStyle name="제목 4 49" xfId="2412" xr:uid="{00000000-0005-0000-0000-0000F4090000}"/>
    <cellStyle name="제목 4 5" xfId="2413" xr:uid="{00000000-0005-0000-0000-0000F5090000}"/>
    <cellStyle name="제목 4 50" xfId="2414" xr:uid="{00000000-0005-0000-0000-0000F6090000}"/>
    <cellStyle name="제목 4 51" xfId="2415" xr:uid="{00000000-0005-0000-0000-0000F7090000}"/>
    <cellStyle name="제목 4 52" xfId="2416" xr:uid="{00000000-0005-0000-0000-0000F8090000}"/>
    <cellStyle name="제목 4 53" xfId="2417" xr:uid="{00000000-0005-0000-0000-0000F9090000}"/>
    <cellStyle name="제목 4 54" xfId="2418" xr:uid="{00000000-0005-0000-0000-0000FA090000}"/>
    <cellStyle name="제목 4 55" xfId="2419" xr:uid="{00000000-0005-0000-0000-0000FB090000}"/>
    <cellStyle name="제목 4 56" xfId="2420" xr:uid="{00000000-0005-0000-0000-0000FC090000}"/>
    <cellStyle name="제목 4 57" xfId="2421" xr:uid="{00000000-0005-0000-0000-0000FD090000}"/>
    <cellStyle name="제목 4 58" xfId="2422" xr:uid="{00000000-0005-0000-0000-0000FE090000}"/>
    <cellStyle name="제목 4 59" xfId="2423" xr:uid="{00000000-0005-0000-0000-0000FF090000}"/>
    <cellStyle name="제목 4 59 2" xfId="2897" xr:uid="{00000000-0005-0000-0000-0000E40B0000}"/>
    <cellStyle name="제목 4 6" xfId="2424" xr:uid="{00000000-0005-0000-0000-0000000A0000}"/>
    <cellStyle name="제목 4 60" xfId="2425" xr:uid="{00000000-0005-0000-0000-0000010A0000}"/>
    <cellStyle name="제목 4 60 2" xfId="2898" xr:uid="{00000000-0005-0000-0000-0000E50B0000}"/>
    <cellStyle name="제목 4 61" xfId="2426" xr:uid="{00000000-0005-0000-0000-0000020A0000}"/>
    <cellStyle name="제목 4 61 2" xfId="2899" xr:uid="{00000000-0005-0000-0000-0000E60B0000}"/>
    <cellStyle name="제목 4 62" xfId="2427" xr:uid="{00000000-0005-0000-0000-0000030A0000}"/>
    <cellStyle name="제목 4 62 2" xfId="2900" xr:uid="{00000000-0005-0000-0000-0000E70B0000}"/>
    <cellStyle name="제목 4 63" xfId="2428" xr:uid="{00000000-0005-0000-0000-0000040A0000}"/>
    <cellStyle name="제목 4 63 2" xfId="2901" xr:uid="{00000000-0005-0000-0000-0000E80B0000}"/>
    <cellStyle name="제목 4 64" xfId="2429" xr:uid="{00000000-0005-0000-0000-0000050A0000}"/>
    <cellStyle name="제목 4 64 2" xfId="2902" xr:uid="{00000000-0005-0000-0000-0000E90B0000}"/>
    <cellStyle name="제목 4 7" xfId="2430" xr:uid="{00000000-0005-0000-0000-0000060A0000}"/>
    <cellStyle name="제목 4 8" xfId="2431" xr:uid="{00000000-0005-0000-0000-0000070A0000}"/>
    <cellStyle name="제목 4 9" xfId="2432" xr:uid="{00000000-0005-0000-0000-0000080A0000}"/>
    <cellStyle name="제목 40" xfId="2433" xr:uid="{00000000-0005-0000-0000-0000090A0000}"/>
    <cellStyle name="제목 41" xfId="2434" xr:uid="{00000000-0005-0000-0000-00000A0A0000}"/>
    <cellStyle name="제목 42" xfId="2435" xr:uid="{00000000-0005-0000-0000-00000B0A0000}"/>
    <cellStyle name="제목 43" xfId="2436" xr:uid="{00000000-0005-0000-0000-00000C0A0000}"/>
    <cellStyle name="제목 44" xfId="2437" xr:uid="{00000000-0005-0000-0000-00000D0A0000}"/>
    <cellStyle name="제목 45" xfId="2438" xr:uid="{00000000-0005-0000-0000-00000E0A0000}"/>
    <cellStyle name="제목 46" xfId="2439" xr:uid="{00000000-0005-0000-0000-00000F0A0000}"/>
    <cellStyle name="제목 47" xfId="2440" xr:uid="{00000000-0005-0000-0000-0000100A0000}"/>
    <cellStyle name="제목 48" xfId="2441" xr:uid="{00000000-0005-0000-0000-0000110A0000}"/>
    <cellStyle name="제목 49" xfId="2442" xr:uid="{00000000-0005-0000-0000-0000120A0000}"/>
    <cellStyle name="제목 5" xfId="2443" xr:uid="{00000000-0005-0000-0000-0000130A0000}"/>
    <cellStyle name="제목 50" xfId="2444" xr:uid="{00000000-0005-0000-0000-0000140A0000}"/>
    <cellStyle name="제목 51" xfId="2445" xr:uid="{00000000-0005-0000-0000-0000150A0000}"/>
    <cellStyle name="제목 52" xfId="2446" xr:uid="{00000000-0005-0000-0000-0000160A0000}"/>
    <cellStyle name="제목 53" xfId="2447" xr:uid="{00000000-0005-0000-0000-0000170A0000}"/>
    <cellStyle name="제목 54" xfId="2448" xr:uid="{00000000-0005-0000-0000-0000180A0000}"/>
    <cellStyle name="제목 55" xfId="2449" xr:uid="{00000000-0005-0000-0000-0000190A0000}"/>
    <cellStyle name="제목 56" xfId="2450" xr:uid="{00000000-0005-0000-0000-00001A0A0000}"/>
    <cellStyle name="제목 57" xfId="2451" xr:uid="{00000000-0005-0000-0000-00001B0A0000}"/>
    <cellStyle name="제목 58" xfId="2452" xr:uid="{00000000-0005-0000-0000-00001C0A0000}"/>
    <cellStyle name="제목 59" xfId="2453" xr:uid="{00000000-0005-0000-0000-00001D0A0000}"/>
    <cellStyle name="제목 6" xfId="2454" xr:uid="{00000000-0005-0000-0000-00001E0A0000}"/>
    <cellStyle name="제목 60" xfId="2455" xr:uid="{00000000-0005-0000-0000-00001F0A0000}"/>
    <cellStyle name="제목 61" xfId="2456" xr:uid="{00000000-0005-0000-0000-0000200A0000}"/>
    <cellStyle name="제목 62" xfId="2457" xr:uid="{00000000-0005-0000-0000-0000210A0000}"/>
    <cellStyle name="제목 62 2" xfId="2903" xr:uid="{00000000-0005-0000-0000-0000EA0B0000}"/>
    <cellStyle name="제목 63" xfId="2458" xr:uid="{00000000-0005-0000-0000-0000220A0000}"/>
    <cellStyle name="제목 63 2" xfId="2904" xr:uid="{00000000-0005-0000-0000-0000EB0B0000}"/>
    <cellStyle name="제목 64" xfId="2459" xr:uid="{00000000-0005-0000-0000-0000230A0000}"/>
    <cellStyle name="제목 64 2" xfId="2905" xr:uid="{00000000-0005-0000-0000-0000EC0B0000}"/>
    <cellStyle name="제목 65" xfId="2460" xr:uid="{00000000-0005-0000-0000-0000240A0000}"/>
    <cellStyle name="제목 65 2" xfId="2906" xr:uid="{00000000-0005-0000-0000-0000ED0B0000}"/>
    <cellStyle name="제목 66" xfId="2461" xr:uid="{00000000-0005-0000-0000-0000250A0000}"/>
    <cellStyle name="제목 66 2" xfId="2907" xr:uid="{00000000-0005-0000-0000-0000EE0B0000}"/>
    <cellStyle name="제목 67" xfId="2462" xr:uid="{00000000-0005-0000-0000-0000260A0000}"/>
    <cellStyle name="제목 67 2" xfId="2908" xr:uid="{00000000-0005-0000-0000-0000EF0B0000}"/>
    <cellStyle name="제목 68" xfId="2711" xr:uid="{00000000-0005-0000-0000-0000270A0000}"/>
    <cellStyle name="제목 69" xfId="2909" xr:uid="{00000000-0005-0000-0000-0000F00B0000}"/>
    <cellStyle name="제목 7" xfId="2463" xr:uid="{00000000-0005-0000-0000-0000280A0000}"/>
    <cellStyle name="제목 8" xfId="2464" xr:uid="{00000000-0005-0000-0000-0000290A0000}"/>
    <cellStyle name="제목 9" xfId="2465" xr:uid="{00000000-0005-0000-0000-00002A0A0000}"/>
    <cellStyle name="좋음" xfId="2645" builtinId="26" customBuiltin="1"/>
    <cellStyle name="좋음 10" xfId="2466" xr:uid="{00000000-0005-0000-0000-00002C0A0000}"/>
    <cellStyle name="좋음 11" xfId="2467" xr:uid="{00000000-0005-0000-0000-00002D0A0000}"/>
    <cellStyle name="좋음 12" xfId="2468" xr:uid="{00000000-0005-0000-0000-00002E0A0000}"/>
    <cellStyle name="좋음 13" xfId="2469" xr:uid="{00000000-0005-0000-0000-00002F0A0000}"/>
    <cellStyle name="좋음 14" xfId="2470" xr:uid="{00000000-0005-0000-0000-0000300A0000}"/>
    <cellStyle name="좋음 15" xfId="2471" xr:uid="{00000000-0005-0000-0000-0000310A0000}"/>
    <cellStyle name="좋음 16" xfId="2472" xr:uid="{00000000-0005-0000-0000-0000320A0000}"/>
    <cellStyle name="좋음 17" xfId="2473" xr:uid="{00000000-0005-0000-0000-0000330A0000}"/>
    <cellStyle name="좋음 18" xfId="2474" xr:uid="{00000000-0005-0000-0000-0000340A0000}"/>
    <cellStyle name="좋음 19" xfId="2475" xr:uid="{00000000-0005-0000-0000-0000350A0000}"/>
    <cellStyle name="좋음 2" xfId="2476" xr:uid="{00000000-0005-0000-0000-0000360A0000}"/>
    <cellStyle name="좋음 20" xfId="2477" xr:uid="{00000000-0005-0000-0000-0000370A0000}"/>
    <cellStyle name="좋음 21" xfId="2478" xr:uid="{00000000-0005-0000-0000-0000380A0000}"/>
    <cellStyle name="좋음 22" xfId="2479" xr:uid="{00000000-0005-0000-0000-0000390A0000}"/>
    <cellStyle name="좋음 23" xfId="2480" xr:uid="{00000000-0005-0000-0000-00003A0A0000}"/>
    <cellStyle name="좋음 24" xfId="2481" xr:uid="{00000000-0005-0000-0000-00003B0A0000}"/>
    <cellStyle name="좋음 25" xfId="2482" xr:uid="{00000000-0005-0000-0000-00003C0A0000}"/>
    <cellStyle name="좋음 26" xfId="2483" xr:uid="{00000000-0005-0000-0000-00003D0A0000}"/>
    <cellStyle name="좋음 27" xfId="2484" xr:uid="{00000000-0005-0000-0000-00003E0A0000}"/>
    <cellStyle name="좋음 28" xfId="2485" xr:uid="{00000000-0005-0000-0000-00003F0A0000}"/>
    <cellStyle name="좋음 29" xfId="2486" xr:uid="{00000000-0005-0000-0000-0000400A0000}"/>
    <cellStyle name="좋음 3" xfId="2487" xr:uid="{00000000-0005-0000-0000-0000410A0000}"/>
    <cellStyle name="좋음 30" xfId="2488" xr:uid="{00000000-0005-0000-0000-0000420A0000}"/>
    <cellStyle name="좋음 31" xfId="2489" xr:uid="{00000000-0005-0000-0000-0000430A0000}"/>
    <cellStyle name="좋음 32" xfId="2490" xr:uid="{00000000-0005-0000-0000-0000440A0000}"/>
    <cellStyle name="좋음 33" xfId="2491" xr:uid="{00000000-0005-0000-0000-0000450A0000}"/>
    <cellStyle name="좋음 34" xfId="2492" xr:uid="{00000000-0005-0000-0000-0000460A0000}"/>
    <cellStyle name="좋음 35" xfId="2493" xr:uid="{00000000-0005-0000-0000-0000470A0000}"/>
    <cellStyle name="좋음 36" xfId="2494" xr:uid="{00000000-0005-0000-0000-0000480A0000}"/>
    <cellStyle name="좋음 37" xfId="2495" xr:uid="{00000000-0005-0000-0000-0000490A0000}"/>
    <cellStyle name="좋음 38" xfId="2496" xr:uid="{00000000-0005-0000-0000-00004A0A0000}"/>
    <cellStyle name="좋음 39" xfId="2497" xr:uid="{00000000-0005-0000-0000-00004B0A0000}"/>
    <cellStyle name="좋음 4" xfId="2498" xr:uid="{00000000-0005-0000-0000-00004C0A0000}"/>
    <cellStyle name="좋음 40" xfId="2499" xr:uid="{00000000-0005-0000-0000-00004D0A0000}"/>
    <cellStyle name="좋음 41" xfId="2500" xr:uid="{00000000-0005-0000-0000-00004E0A0000}"/>
    <cellStyle name="좋음 42" xfId="2501" xr:uid="{00000000-0005-0000-0000-00004F0A0000}"/>
    <cellStyle name="좋음 43" xfId="2502" xr:uid="{00000000-0005-0000-0000-0000500A0000}"/>
    <cellStyle name="좋음 44" xfId="2503" xr:uid="{00000000-0005-0000-0000-0000510A0000}"/>
    <cellStyle name="좋음 45" xfId="2504" xr:uid="{00000000-0005-0000-0000-0000520A0000}"/>
    <cellStyle name="좋음 46" xfId="2505" xr:uid="{00000000-0005-0000-0000-0000530A0000}"/>
    <cellStyle name="좋음 47" xfId="2506" xr:uid="{00000000-0005-0000-0000-0000540A0000}"/>
    <cellStyle name="좋음 48" xfId="2507" xr:uid="{00000000-0005-0000-0000-0000550A0000}"/>
    <cellStyle name="좋음 49" xfId="2508" xr:uid="{00000000-0005-0000-0000-0000560A0000}"/>
    <cellStyle name="좋음 5" xfId="2509" xr:uid="{00000000-0005-0000-0000-0000570A0000}"/>
    <cellStyle name="좋음 50" xfId="2510" xr:uid="{00000000-0005-0000-0000-0000580A0000}"/>
    <cellStyle name="좋음 51" xfId="2511" xr:uid="{00000000-0005-0000-0000-0000590A0000}"/>
    <cellStyle name="좋음 52" xfId="2512" xr:uid="{00000000-0005-0000-0000-00005A0A0000}"/>
    <cellStyle name="좋음 53" xfId="2513" xr:uid="{00000000-0005-0000-0000-00005B0A0000}"/>
    <cellStyle name="좋음 54" xfId="2514" xr:uid="{00000000-0005-0000-0000-00005C0A0000}"/>
    <cellStyle name="좋음 55" xfId="2515" xr:uid="{00000000-0005-0000-0000-00005D0A0000}"/>
    <cellStyle name="좋음 56" xfId="2516" xr:uid="{00000000-0005-0000-0000-00005E0A0000}"/>
    <cellStyle name="좋음 57" xfId="2517" xr:uid="{00000000-0005-0000-0000-00005F0A0000}"/>
    <cellStyle name="좋음 58" xfId="2518" xr:uid="{00000000-0005-0000-0000-0000600A0000}"/>
    <cellStyle name="좋음 59" xfId="2519" xr:uid="{00000000-0005-0000-0000-0000610A0000}"/>
    <cellStyle name="좋음 6" xfId="2520" xr:uid="{00000000-0005-0000-0000-0000620A0000}"/>
    <cellStyle name="좋음 60" xfId="2521" xr:uid="{00000000-0005-0000-0000-0000630A0000}"/>
    <cellStyle name="좋음 61" xfId="2522" xr:uid="{00000000-0005-0000-0000-0000640A0000}"/>
    <cellStyle name="좋음 62" xfId="2523" xr:uid="{00000000-0005-0000-0000-0000650A0000}"/>
    <cellStyle name="좋음 63" xfId="2524" xr:uid="{00000000-0005-0000-0000-0000660A0000}"/>
    <cellStyle name="좋음 64" xfId="2525" xr:uid="{00000000-0005-0000-0000-0000670A0000}"/>
    <cellStyle name="좋음 7" xfId="2526" xr:uid="{00000000-0005-0000-0000-0000680A0000}"/>
    <cellStyle name="좋음 8" xfId="2527" xr:uid="{00000000-0005-0000-0000-0000690A0000}"/>
    <cellStyle name="좋음 9" xfId="2528" xr:uid="{00000000-0005-0000-0000-00006A0A0000}"/>
    <cellStyle name="출력" xfId="2649" builtinId="21" customBuiltin="1"/>
    <cellStyle name="출력 10" xfId="2529" xr:uid="{00000000-0005-0000-0000-00006C0A0000}"/>
    <cellStyle name="출력 11" xfId="2530" xr:uid="{00000000-0005-0000-0000-00006D0A0000}"/>
    <cellStyle name="출력 12" xfId="2531" xr:uid="{00000000-0005-0000-0000-00006E0A0000}"/>
    <cellStyle name="출력 13" xfId="2532" xr:uid="{00000000-0005-0000-0000-00006F0A0000}"/>
    <cellStyle name="출력 14" xfId="2533" xr:uid="{00000000-0005-0000-0000-0000700A0000}"/>
    <cellStyle name="출력 15" xfId="2534" xr:uid="{00000000-0005-0000-0000-0000710A0000}"/>
    <cellStyle name="출력 16" xfId="2535" xr:uid="{00000000-0005-0000-0000-0000720A0000}"/>
    <cellStyle name="출력 17" xfId="2536" xr:uid="{00000000-0005-0000-0000-0000730A0000}"/>
    <cellStyle name="출력 18" xfId="2537" xr:uid="{00000000-0005-0000-0000-0000740A0000}"/>
    <cellStyle name="출력 19" xfId="2538" xr:uid="{00000000-0005-0000-0000-0000750A0000}"/>
    <cellStyle name="출력 2" xfId="2539" xr:uid="{00000000-0005-0000-0000-0000760A0000}"/>
    <cellStyle name="출력 20" xfId="2540" xr:uid="{00000000-0005-0000-0000-0000770A0000}"/>
    <cellStyle name="출력 21" xfId="2541" xr:uid="{00000000-0005-0000-0000-0000780A0000}"/>
    <cellStyle name="출력 22" xfId="2542" xr:uid="{00000000-0005-0000-0000-0000790A0000}"/>
    <cellStyle name="출력 23" xfId="2543" xr:uid="{00000000-0005-0000-0000-00007A0A0000}"/>
    <cellStyle name="출력 24" xfId="2544" xr:uid="{00000000-0005-0000-0000-00007B0A0000}"/>
    <cellStyle name="출력 25" xfId="2545" xr:uid="{00000000-0005-0000-0000-00007C0A0000}"/>
    <cellStyle name="출력 26" xfId="2546" xr:uid="{00000000-0005-0000-0000-00007D0A0000}"/>
    <cellStyle name="출력 27" xfId="2547" xr:uid="{00000000-0005-0000-0000-00007E0A0000}"/>
    <cellStyle name="출력 28" xfId="2548" xr:uid="{00000000-0005-0000-0000-00007F0A0000}"/>
    <cellStyle name="출력 29" xfId="2549" xr:uid="{00000000-0005-0000-0000-0000800A0000}"/>
    <cellStyle name="출력 3" xfId="2550" xr:uid="{00000000-0005-0000-0000-0000810A0000}"/>
    <cellStyle name="출력 30" xfId="2551" xr:uid="{00000000-0005-0000-0000-0000820A0000}"/>
    <cellStyle name="출력 31" xfId="2552" xr:uid="{00000000-0005-0000-0000-0000830A0000}"/>
    <cellStyle name="출력 32" xfId="2553" xr:uid="{00000000-0005-0000-0000-0000840A0000}"/>
    <cellStyle name="출력 33" xfId="2554" xr:uid="{00000000-0005-0000-0000-0000850A0000}"/>
    <cellStyle name="출력 34" xfId="2555" xr:uid="{00000000-0005-0000-0000-0000860A0000}"/>
    <cellStyle name="출력 35" xfId="2556" xr:uid="{00000000-0005-0000-0000-0000870A0000}"/>
    <cellStyle name="출력 36" xfId="2557" xr:uid="{00000000-0005-0000-0000-0000880A0000}"/>
    <cellStyle name="출력 37" xfId="2558" xr:uid="{00000000-0005-0000-0000-0000890A0000}"/>
    <cellStyle name="출력 38" xfId="2559" xr:uid="{00000000-0005-0000-0000-00008A0A0000}"/>
    <cellStyle name="출력 39" xfId="2560" xr:uid="{00000000-0005-0000-0000-00008B0A0000}"/>
    <cellStyle name="출력 4" xfId="2561" xr:uid="{00000000-0005-0000-0000-00008C0A0000}"/>
    <cellStyle name="출력 40" xfId="2562" xr:uid="{00000000-0005-0000-0000-00008D0A0000}"/>
    <cellStyle name="출력 41" xfId="2563" xr:uid="{00000000-0005-0000-0000-00008E0A0000}"/>
    <cellStyle name="출력 42" xfId="2564" xr:uid="{00000000-0005-0000-0000-00008F0A0000}"/>
    <cellStyle name="출력 43" xfId="2565" xr:uid="{00000000-0005-0000-0000-0000900A0000}"/>
    <cellStyle name="출력 44" xfId="2566" xr:uid="{00000000-0005-0000-0000-0000910A0000}"/>
    <cellStyle name="출력 45" xfId="2567" xr:uid="{00000000-0005-0000-0000-0000920A0000}"/>
    <cellStyle name="출력 46" xfId="2568" xr:uid="{00000000-0005-0000-0000-0000930A0000}"/>
    <cellStyle name="출력 47" xfId="2569" xr:uid="{00000000-0005-0000-0000-0000940A0000}"/>
    <cellStyle name="출력 48" xfId="2570" xr:uid="{00000000-0005-0000-0000-0000950A0000}"/>
    <cellStyle name="출력 49" xfId="2571" xr:uid="{00000000-0005-0000-0000-0000960A0000}"/>
    <cellStyle name="출력 5" xfId="2572" xr:uid="{00000000-0005-0000-0000-0000970A0000}"/>
    <cellStyle name="출력 50" xfId="2573" xr:uid="{00000000-0005-0000-0000-0000980A0000}"/>
    <cellStyle name="출력 51" xfId="2574" xr:uid="{00000000-0005-0000-0000-0000990A0000}"/>
    <cellStyle name="출력 52" xfId="2575" xr:uid="{00000000-0005-0000-0000-00009A0A0000}"/>
    <cellStyle name="출력 53" xfId="2576" xr:uid="{00000000-0005-0000-0000-00009B0A0000}"/>
    <cellStyle name="출력 54" xfId="2577" xr:uid="{00000000-0005-0000-0000-00009C0A0000}"/>
    <cellStyle name="출력 55" xfId="2578" xr:uid="{00000000-0005-0000-0000-00009D0A0000}"/>
    <cellStyle name="출력 56" xfId="2579" xr:uid="{00000000-0005-0000-0000-00009E0A0000}"/>
    <cellStyle name="출력 57" xfId="2580" xr:uid="{00000000-0005-0000-0000-00009F0A0000}"/>
    <cellStyle name="출력 58" xfId="2581" xr:uid="{00000000-0005-0000-0000-0000A00A0000}"/>
    <cellStyle name="출력 59" xfId="2582" xr:uid="{00000000-0005-0000-0000-0000A10A0000}"/>
    <cellStyle name="출력 6" xfId="2583" xr:uid="{00000000-0005-0000-0000-0000A20A0000}"/>
    <cellStyle name="출력 60" xfId="2584" xr:uid="{00000000-0005-0000-0000-0000A30A0000}"/>
    <cellStyle name="출력 61" xfId="2585" xr:uid="{00000000-0005-0000-0000-0000A40A0000}"/>
    <cellStyle name="출력 62" xfId="2586" xr:uid="{00000000-0005-0000-0000-0000A50A0000}"/>
    <cellStyle name="출력 63" xfId="2587" xr:uid="{00000000-0005-0000-0000-0000A60A0000}"/>
    <cellStyle name="출력 64" xfId="2588" xr:uid="{00000000-0005-0000-0000-0000A70A0000}"/>
    <cellStyle name="출력 7" xfId="2589" xr:uid="{00000000-0005-0000-0000-0000A80A0000}"/>
    <cellStyle name="출력 8" xfId="2590" xr:uid="{00000000-0005-0000-0000-0000A90A0000}"/>
    <cellStyle name="출력 9" xfId="2591" xr:uid="{00000000-0005-0000-0000-0000AA0A0000}"/>
    <cellStyle name="표준" xfId="0" builtinId="0"/>
    <cellStyle name="표준 10" xfId="2592" xr:uid="{00000000-0005-0000-0000-0000AC0A0000}"/>
    <cellStyle name="표준 11" xfId="2707" xr:uid="{00000000-0005-0000-0000-0000AD0A0000}"/>
    <cellStyle name="표준 12" xfId="2710" xr:uid="{00000000-0005-0000-0000-0000AE0A0000}"/>
    <cellStyle name="표준 12 2" xfId="2941" xr:uid="{00000000-0005-0000-0000-0000F10B0000}"/>
    <cellStyle name="표준 12 2 2" xfId="3388" xr:uid="{00000000-0005-0000-0000-0000F10B0000}"/>
    <cellStyle name="표준 12 3" xfId="3212" xr:uid="{00000000-0005-0000-0000-0000AE0A0000}"/>
    <cellStyle name="표준 13" xfId="2725" xr:uid="{00000000-0005-0000-0000-0000AF0A0000}"/>
    <cellStyle name="표준 13 2" xfId="2955" xr:uid="{00000000-0005-0000-0000-0000F20B0000}"/>
    <cellStyle name="표준 13 2 2" xfId="3402" xr:uid="{00000000-0005-0000-0000-0000F20B0000}"/>
    <cellStyle name="표준 13 3" xfId="3226" xr:uid="{00000000-0005-0000-0000-0000AF0A0000}"/>
    <cellStyle name="표준 14" xfId="2739" xr:uid="{00000000-0005-0000-0000-0000B00A0000}"/>
    <cellStyle name="표준 14 2" xfId="2969" xr:uid="{00000000-0005-0000-0000-0000F30B0000}"/>
    <cellStyle name="표준 14 2 2" xfId="3416" xr:uid="{00000000-0005-0000-0000-0000F30B0000}"/>
    <cellStyle name="표준 14 3" xfId="3240" xr:uid="{00000000-0005-0000-0000-0000B00A0000}"/>
    <cellStyle name="표준 15" xfId="2753" xr:uid="{00000000-0005-0000-0000-0000B10A0000}"/>
    <cellStyle name="표준 15 2" xfId="2983" xr:uid="{00000000-0005-0000-0000-0000F40B0000}"/>
    <cellStyle name="표준 15 2 2" xfId="3430" xr:uid="{00000000-0005-0000-0000-0000F40B0000}"/>
    <cellStyle name="표준 15 3" xfId="3254" xr:uid="{00000000-0005-0000-0000-0000B10A0000}"/>
    <cellStyle name="표준 16" xfId="2754" xr:uid="{00000000-0005-0000-0000-0000B20A0000}"/>
    <cellStyle name="표준 16 2" xfId="2984" xr:uid="{00000000-0005-0000-0000-0000F50B0000}"/>
    <cellStyle name="표준 16 2 2" xfId="3431" xr:uid="{00000000-0005-0000-0000-0000F50B0000}"/>
    <cellStyle name="표준 16 3" xfId="3255" xr:uid="{00000000-0005-0000-0000-0000B20A0000}"/>
    <cellStyle name="표준 17" xfId="2768" xr:uid="{00000000-0005-0000-0000-0000B30A0000}"/>
    <cellStyle name="표준 17 2" xfId="2998" xr:uid="{00000000-0005-0000-0000-0000F60B0000}"/>
    <cellStyle name="표준 17 2 2" xfId="3445" xr:uid="{00000000-0005-0000-0000-0000F60B0000}"/>
    <cellStyle name="표준 17 3" xfId="3269" xr:uid="{00000000-0005-0000-0000-0000B30A0000}"/>
    <cellStyle name="표준 18" xfId="2769" xr:uid="{00000000-0005-0000-0000-0000B40A0000}"/>
    <cellStyle name="표준 18 2" xfId="2999" xr:uid="{00000000-0005-0000-0000-0000F70B0000}"/>
    <cellStyle name="표준 18 2 2" xfId="3446" xr:uid="{00000000-0005-0000-0000-0000F70B0000}"/>
    <cellStyle name="표준 18 3" xfId="3270" xr:uid="{00000000-0005-0000-0000-0000B40A0000}"/>
    <cellStyle name="표준 19" xfId="2783" xr:uid="{00000000-0005-0000-0000-0000B50A0000}"/>
    <cellStyle name="표준 19 2" xfId="3013" xr:uid="{00000000-0005-0000-0000-0000F80B0000}"/>
    <cellStyle name="표준 19 2 2" xfId="3460" xr:uid="{00000000-0005-0000-0000-0000F80B0000}"/>
    <cellStyle name="표준 19 3" xfId="3284" xr:uid="{00000000-0005-0000-0000-0000B50A0000}"/>
    <cellStyle name="표준 2" xfId="2593" xr:uid="{00000000-0005-0000-0000-0000B60A0000}"/>
    <cellStyle name="표준 2 2" xfId="2697" xr:uid="{00000000-0005-0000-0000-0000B70A0000}"/>
    <cellStyle name="표준 20" xfId="2594" xr:uid="{00000000-0005-0000-0000-0000B80A0000}"/>
    <cellStyle name="표준 21" xfId="2595" xr:uid="{00000000-0005-0000-0000-0000B90A0000}"/>
    <cellStyle name="표준 22" xfId="2596" xr:uid="{00000000-0005-0000-0000-0000BA0A0000}"/>
    <cellStyle name="표준 23" xfId="2597" xr:uid="{00000000-0005-0000-0000-0000BB0A0000}"/>
    <cellStyle name="표준 24" xfId="2598" xr:uid="{00000000-0005-0000-0000-0000BC0A0000}"/>
    <cellStyle name="표준 25" xfId="2599" xr:uid="{00000000-0005-0000-0000-0000BD0A0000}"/>
    <cellStyle name="표준 26" xfId="2600" xr:uid="{00000000-0005-0000-0000-0000BE0A0000}"/>
    <cellStyle name="표준 27" xfId="2601" xr:uid="{00000000-0005-0000-0000-0000BF0A0000}"/>
    <cellStyle name="표준 28" xfId="2602" xr:uid="{00000000-0005-0000-0000-0000C00A0000}"/>
    <cellStyle name="표준 29" xfId="2603" xr:uid="{00000000-0005-0000-0000-0000C10A0000}"/>
    <cellStyle name="표준 3" xfId="2680" xr:uid="{00000000-0005-0000-0000-0000C20A0000}"/>
    <cellStyle name="표준 3 2" xfId="2917" xr:uid="{00000000-0005-0000-0000-0000F90B0000}"/>
    <cellStyle name="표준 3 2 2" xfId="3365" xr:uid="{00000000-0005-0000-0000-0000F90B0000}"/>
    <cellStyle name="표준 3 3" xfId="3189" xr:uid="{00000000-0005-0000-0000-0000C20A0000}"/>
    <cellStyle name="표준 30" xfId="2604" xr:uid="{00000000-0005-0000-0000-0000C30A0000}"/>
    <cellStyle name="표준 31" xfId="2605" xr:uid="{00000000-0005-0000-0000-0000C40A0000}"/>
    <cellStyle name="표준 32" xfId="2606" xr:uid="{00000000-0005-0000-0000-0000C50A0000}"/>
    <cellStyle name="표준 33" xfId="2607" xr:uid="{00000000-0005-0000-0000-0000C60A0000}"/>
    <cellStyle name="표준 34" xfId="2608" xr:uid="{00000000-0005-0000-0000-0000C70A0000}"/>
    <cellStyle name="표준 35" xfId="2609" xr:uid="{00000000-0005-0000-0000-0000C80A0000}"/>
    <cellStyle name="표준 36" xfId="2610" xr:uid="{00000000-0005-0000-0000-0000C90A0000}"/>
    <cellStyle name="표준 37" xfId="2611" xr:uid="{00000000-0005-0000-0000-0000CA0A0000}"/>
    <cellStyle name="표준 38" xfId="2612" xr:uid="{00000000-0005-0000-0000-0000CB0A0000}"/>
    <cellStyle name="표준 39" xfId="2613" xr:uid="{00000000-0005-0000-0000-0000CC0A0000}"/>
    <cellStyle name="표준 4" xfId="2682" xr:uid="{00000000-0005-0000-0000-0000CD0A0000}"/>
    <cellStyle name="표준 4 2" xfId="2919" xr:uid="{00000000-0005-0000-0000-0000FA0B0000}"/>
    <cellStyle name="표준 4 2 2" xfId="3367" xr:uid="{00000000-0005-0000-0000-0000FA0B0000}"/>
    <cellStyle name="표준 4 3" xfId="3191" xr:uid="{00000000-0005-0000-0000-0000CD0A0000}"/>
    <cellStyle name="표준 40" xfId="2614" xr:uid="{00000000-0005-0000-0000-0000CE0A0000}"/>
    <cellStyle name="표준 41" xfId="2615" xr:uid="{00000000-0005-0000-0000-0000CF0A0000}"/>
    <cellStyle name="표준 42" xfId="2616" xr:uid="{00000000-0005-0000-0000-0000D00A0000}"/>
    <cellStyle name="표준 43" xfId="2617" xr:uid="{00000000-0005-0000-0000-0000D10A0000}"/>
    <cellStyle name="표준 44" xfId="2618" xr:uid="{00000000-0005-0000-0000-0000D20A0000}"/>
    <cellStyle name="표준 45" xfId="2619" xr:uid="{00000000-0005-0000-0000-0000D30A0000}"/>
    <cellStyle name="표준 46" xfId="2620" xr:uid="{00000000-0005-0000-0000-0000D40A0000}"/>
    <cellStyle name="표준 47" xfId="2621" xr:uid="{00000000-0005-0000-0000-0000D50A0000}"/>
    <cellStyle name="표준 48" xfId="2622" xr:uid="{00000000-0005-0000-0000-0000D60A0000}"/>
    <cellStyle name="표준 49" xfId="2623" xr:uid="{00000000-0005-0000-0000-0000D70A0000}"/>
    <cellStyle name="표준 5" xfId="2702" xr:uid="{00000000-0005-0000-0000-0000D80A0000}"/>
    <cellStyle name="표준 50" xfId="2624" xr:uid="{00000000-0005-0000-0000-0000D90A0000}"/>
    <cellStyle name="표준 51" xfId="2625" xr:uid="{00000000-0005-0000-0000-0000DA0A0000}"/>
    <cellStyle name="표준 52" xfId="2626" xr:uid="{00000000-0005-0000-0000-0000DB0A0000}"/>
    <cellStyle name="표준 53" xfId="2627" xr:uid="{00000000-0005-0000-0000-0000DC0A0000}"/>
    <cellStyle name="표준 54" xfId="2628" xr:uid="{00000000-0005-0000-0000-0000DD0A0000}"/>
    <cellStyle name="표준 55" xfId="2629" xr:uid="{00000000-0005-0000-0000-0000DE0A0000}"/>
    <cellStyle name="표준 56" xfId="2630" xr:uid="{00000000-0005-0000-0000-0000DF0A0000}"/>
    <cellStyle name="표준 57" xfId="2631" xr:uid="{00000000-0005-0000-0000-0000E00A0000}"/>
    <cellStyle name="표준 58" xfId="2632" xr:uid="{00000000-0005-0000-0000-0000E10A0000}"/>
    <cellStyle name="표준 59" xfId="2633" xr:uid="{00000000-0005-0000-0000-0000E20A0000}"/>
    <cellStyle name="표준 6" xfId="2704" xr:uid="{00000000-0005-0000-0000-0000E30A0000}"/>
    <cellStyle name="표준 6 2" xfId="2937" xr:uid="{00000000-0005-0000-0000-0000FB0B0000}"/>
    <cellStyle name="표준 6 2 2" xfId="3384" xr:uid="{00000000-0005-0000-0000-0000FB0B0000}"/>
    <cellStyle name="표준 6 3" xfId="3208" xr:uid="{00000000-0005-0000-0000-0000E30A0000}"/>
    <cellStyle name="표준 60" xfId="2634" xr:uid="{00000000-0005-0000-0000-0000E40A0000}"/>
    <cellStyle name="표준 61" xfId="2635" xr:uid="{00000000-0005-0000-0000-0000E50A0000}"/>
    <cellStyle name="표준 62" xfId="2636" xr:uid="{00000000-0005-0000-0000-0000E60A0000}"/>
    <cellStyle name="표준 63" xfId="2637" xr:uid="{00000000-0005-0000-0000-0000E70A0000}"/>
    <cellStyle name="표준 64" xfId="2638" xr:uid="{00000000-0005-0000-0000-0000E80A0000}"/>
    <cellStyle name="표준 65" xfId="2797" xr:uid="{00000000-0005-0000-0000-0000E90A0000}"/>
    <cellStyle name="표준 65 2" xfId="3027" xr:uid="{00000000-0005-0000-0000-0000FC0B0000}"/>
    <cellStyle name="표준 65 2 2" xfId="3474" xr:uid="{00000000-0005-0000-0000-0000FC0B0000}"/>
    <cellStyle name="표준 65 3" xfId="3298" xr:uid="{00000000-0005-0000-0000-0000E90A0000}"/>
    <cellStyle name="표준 66" xfId="2798" xr:uid="{00000000-0005-0000-0000-0000EA0A0000}"/>
    <cellStyle name="표준 66 2" xfId="3028" xr:uid="{00000000-0005-0000-0000-0000FD0B0000}"/>
    <cellStyle name="표준 66 2 2" xfId="3475" xr:uid="{00000000-0005-0000-0000-0000FD0B0000}"/>
    <cellStyle name="표준 66 3" xfId="3299" xr:uid="{00000000-0005-0000-0000-0000EA0A0000}"/>
    <cellStyle name="표준 67" xfId="2799" xr:uid="{00000000-0005-0000-0000-0000EB0A0000}"/>
    <cellStyle name="표준 67 2" xfId="3029" xr:uid="{00000000-0005-0000-0000-0000FE0B0000}"/>
    <cellStyle name="표준 67 2 2" xfId="3476" xr:uid="{00000000-0005-0000-0000-0000FE0B0000}"/>
    <cellStyle name="표준 67 3" xfId="3300" xr:uid="{00000000-0005-0000-0000-0000EB0A0000}"/>
    <cellStyle name="표준 68" xfId="2800" xr:uid="{00000000-0005-0000-0000-0000080B0000}"/>
    <cellStyle name="표준 68 2" xfId="3030" xr:uid="{00000000-0005-0000-0000-0000FF0B0000}"/>
    <cellStyle name="표준 68 2 2" xfId="3477" xr:uid="{00000000-0005-0000-0000-0000FF0B0000}"/>
    <cellStyle name="표준 68 3" xfId="3301" xr:uid="{00000000-0005-0000-0000-0000080B0000}"/>
    <cellStyle name="표준 69" xfId="2821" xr:uid="{00000000-0005-0000-0000-00001C0B0000}"/>
    <cellStyle name="표준 69 2" xfId="3050" xr:uid="{00000000-0005-0000-0000-0000000C0000}"/>
    <cellStyle name="표준 69 2 2" xfId="3497" xr:uid="{00000000-0005-0000-0000-0000000C0000}"/>
    <cellStyle name="표준 69 3" xfId="3321" xr:uid="{00000000-0005-0000-0000-00001C0B0000}"/>
    <cellStyle name="표준 7" xfId="2703" xr:uid="{00000000-0005-0000-0000-0000EC0A0000}"/>
    <cellStyle name="표준 70" xfId="2841" xr:uid="{00000000-0005-0000-0000-00001D0B0000}"/>
    <cellStyle name="표준 70 2" xfId="3070" xr:uid="{00000000-0005-0000-0000-0000010C0000}"/>
    <cellStyle name="표준 70 2 2" xfId="3517" xr:uid="{00000000-0005-0000-0000-0000010C0000}"/>
    <cellStyle name="표준 70 3" xfId="3341" xr:uid="{00000000-0005-0000-0000-00001D0B0000}"/>
    <cellStyle name="표준 71" xfId="2842" xr:uid="{00000000-0005-0000-0000-0000310B0000}"/>
    <cellStyle name="표준 71 2" xfId="3342" xr:uid="{00000000-0005-0000-0000-0000310B0000}"/>
    <cellStyle name="표준 72" xfId="2862" xr:uid="{00000000-0005-0000-0000-0000020C0000}"/>
    <cellStyle name="표준 73" xfId="3071" xr:uid="{00000000-0005-0000-0000-0000160C0000}"/>
    <cellStyle name="표준 73 2" xfId="3518" xr:uid="{00000000-0005-0000-0000-0000160C0000}"/>
    <cellStyle name="표준 74" xfId="3091" xr:uid="{00000000-0005-0000-0000-00002A0C0000}"/>
    <cellStyle name="표준 74 2" xfId="3538" xr:uid="{00000000-0005-0000-0000-00002A0C0000}"/>
    <cellStyle name="표준 75" xfId="3111" xr:uid="{00000000-0005-0000-0000-00003F0C0000}"/>
    <cellStyle name="표준 75 2" xfId="3558" xr:uid="{00000000-0005-0000-0000-00003F0C0000}"/>
    <cellStyle name="표준 76" xfId="3132" xr:uid="{00000000-0005-0000-0000-0000540C0000}"/>
    <cellStyle name="표준 76 2" xfId="3579" xr:uid="{00000000-0005-0000-0000-0000540C0000}"/>
    <cellStyle name="표준 77" xfId="3153" xr:uid="{00000000-0005-0000-0000-0000690C0000}"/>
    <cellStyle name="표준 77 2" xfId="3600" xr:uid="{00000000-0005-0000-0000-0000690C0000}"/>
    <cellStyle name="표준 78" xfId="3621" xr:uid="{00000000-0005-0000-0000-00003C0E0000}"/>
    <cellStyle name="표준 79" xfId="3641" xr:uid="{00000000-0005-0000-0000-0000500E0000}"/>
    <cellStyle name="표준 8" xfId="2705" xr:uid="{00000000-0005-0000-0000-0000ED0A0000}"/>
    <cellStyle name="표준 8 2" xfId="2938" xr:uid="{00000000-0005-0000-0000-0000030C0000}"/>
    <cellStyle name="표준 8 2 2" xfId="3385" xr:uid="{00000000-0005-0000-0000-0000030C0000}"/>
    <cellStyle name="표준 8 3" xfId="3209" xr:uid="{00000000-0005-0000-0000-0000ED0A0000}"/>
    <cellStyle name="표준 80" xfId="3661" xr:uid="{00000000-0005-0000-0000-0000640E0000}"/>
    <cellStyle name="표준 81" xfId="3681" xr:uid="{00000000-0005-0000-0000-0000780E0000}"/>
    <cellStyle name="표준 9" xfId="2706" xr:uid="{00000000-0005-0000-0000-0000EE0A0000}"/>
    <cellStyle name="표준 9 2" xfId="2939" xr:uid="{00000000-0005-0000-0000-0000040C0000}"/>
    <cellStyle name="표준 9 2 2" xfId="3386" xr:uid="{00000000-0005-0000-0000-0000040C0000}"/>
    <cellStyle name="표준 9 3" xfId="3210" xr:uid="{00000000-0005-0000-0000-0000EE0A0000}"/>
    <cellStyle name="표준_Sheet1" xfId="2639" xr:uid="{00000000-0005-0000-0000-0000EF0A0000}"/>
  </cellStyles>
  <dxfs count="10"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006100"/>
      </font>
      <fill>
        <patternFill>
          <bgColor rgb="FFC6EFCE"/>
        </patternFill>
      </fill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  <dxf>
      <font>
        <b/>
        <i val="0"/>
      </font>
    </dxf>
  </dxf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8080FF"/>
      <rgbColor rgb="00802060"/>
      <rgbColor rgb="00FFFFC0"/>
      <rgbColor rgb="00A0E0E0"/>
      <rgbColor rgb="00600080"/>
      <rgbColor rgb="00FF8080"/>
      <rgbColor rgb="000080C0"/>
      <rgbColor rgb="00C0C0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69FFFF"/>
      <rgbColor rgb="00CCFFCC"/>
      <rgbColor rgb="00FFFF99"/>
      <rgbColor rgb="00A6CAF0"/>
      <rgbColor rgb="00CC9CCC"/>
      <rgbColor rgb="00CC99FF"/>
      <rgbColor rgb="00E3E3E3"/>
      <rgbColor rgb="003366FF"/>
      <rgbColor rgb="0033CCCC"/>
      <rgbColor rgb="00339933"/>
      <rgbColor rgb="00999933"/>
      <rgbColor rgb="00996633"/>
      <rgbColor rgb="00996666"/>
      <rgbColor rgb="00666699"/>
      <rgbColor rgb="00969696"/>
      <rgbColor rgb="003333CC"/>
      <rgbColor rgb="00336666"/>
      <rgbColor rgb="00003300"/>
      <rgbColor rgb="00333300"/>
      <rgbColor rgb="00663300"/>
      <rgbColor rgb="00993366"/>
      <rgbColor rgb="00333399"/>
      <rgbColor rgb="00424242"/>
    </indexedColors>
    <mruColors>
      <color rgb="FF0000FF"/>
      <color rgb="FF0000CC"/>
      <color rgb="FFFF0066"/>
      <color rgb="FF008000"/>
      <color rgb="FF00CC00"/>
      <color rgb="FF000066"/>
      <color rgb="FF3399FF"/>
      <color rgb="FF00FFCC"/>
      <color rgb="FF00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1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microsoft.com/office/2006/relationships/attachedToolbars" Target="attachedToolbars.bin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3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6.xml"/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3" Type="http://schemas.openxmlformats.org/officeDocument/2006/relationships/chartUserShapes" Target="../drawings/drawing7.xml"/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데이터!$B$10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D97F-4FC0-81D3-01DC14E01D20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D97F-4FC0-81D3-01DC14E01D20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D97F-4FC0-81D3-01DC14E01D20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D97F-4FC0-81D3-01DC14E01D20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D97F-4FC0-81D3-01DC14E01D20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D97F-4FC0-81D3-01DC14E01D20}"/>
              </c:ext>
            </c:extLst>
          </c:dPt>
          <c:dLbls>
            <c:dLbl>
              <c:idx val="0"/>
              <c:layout>
                <c:manualLayout>
                  <c:x val="0.18630280213411174"/>
                  <c:y val="-2.1363120923661914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97F-4FC0-81D3-01DC14E01D20}"/>
                </c:ext>
              </c:extLst>
            </c:dLbl>
            <c:dLbl>
              <c:idx val="1"/>
              <c:layout>
                <c:manualLayout>
                  <c:x val="-0.17204908979610134"/>
                  <c:y val="3.5576151343303178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8445197414236164"/>
                      <c:h val="9.2204415494154729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D97F-4FC0-81D3-01DC14E01D20}"/>
                </c:ext>
              </c:extLst>
            </c:dLbl>
            <c:dLbl>
              <c:idx val="2"/>
              <c:layout>
                <c:manualLayout>
                  <c:x val="-0.15985016377950645"/>
                  <c:y val="-4.2425879629024825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97F-4FC0-81D3-01DC14E01D20}"/>
                </c:ext>
              </c:extLst>
            </c:dLbl>
            <c:dLbl>
              <c:idx val="3"/>
              <c:layout>
                <c:manualLayout>
                  <c:x val="-0.17036211150689384"/>
                  <c:y val="-4.707484816062924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97F-4FC0-81D3-01DC14E01D20}"/>
                </c:ext>
              </c:extLst>
            </c:dLbl>
            <c:dLbl>
              <c:idx val="4"/>
              <c:layout>
                <c:manualLayout>
                  <c:x val="-0.13940823008002923"/>
                  <c:y val="-9.5938196761690867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D97F-4FC0-81D3-01DC14E01D20}"/>
                </c:ext>
              </c:extLst>
            </c:dLbl>
            <c:dLbl>
              <c:idx val="5"/>
              <c:layout>
                <c:manualLayout>
                  <c:x val="1.2351391444418982E-2"/>
                  <c:y val="-0.146436083364640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D97F-4FC0-81D3-01DC14E01D20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데이터!$A$11:$A$16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데이터!$B$11:$B$16</c:f>
              <c:numCache>
                <c:formatCode>#,##0.0" %"</c:formatCode>
                <c:ptCount val="6"/>
                <c:pt idx="0">
                  <c:v>54.000000000000007</c:v>
                </c:pt>
                <c:pt idx="1">
                  <c:v>9.6</c:v>
                </c:pt>
                <c:pt idx="2">
                  <c:v>2.2999999999999998</c:v>
                </c:pt>
                <c:pt idx="3">
                  <c:v>23.8</c:v>
                </c:pt>
                <c:pt idx="4">
                  <c:v>9.1</c:v>
                </c:pt>
                <c:pt idx="5">
                  <c:v>1.2000000000000002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7F-4FC0-81D3-01DC14E01D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899" l="0.70000000000000062" r="0.70000000000000062" t="0.75000000000000899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doughnutChart>
        <c:varyColors val="1"/>
        <c:ser>
          <c:idx val="0"/>
          <c:order val="0"/>
          <c:tx>
            <c:strRef>
              <c:f>데이터!$D$10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169-4961-9BC0-2110C8B5185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169-4961-9BC0-2110C8B5185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169-4961-9BC0-2110C8B5185F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169-4961-9BC0-2110C8B5185F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169-4961-9BC0-2110C8B5185F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317500" algn="ctr" rotWithShape="0">
                  <a:prstClr val="black">
                    <a:alpha val="25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169-4961-9BC0-2110C8B5185F}"/>
              </c:ext>
            </c:extLst>
          </c:dPt>
          <c:dLbls>
            <c:dLbl>
              <c:idx val="0"/>
              <c:layout>
                <c:manualLayout>
                  <c:x val="0.19370081880189804"/>
                  <c:y val="-5.8346526201677774E-2"/>
                </c:manualLayout>
              </c:layout>
              <c:numFmt formatCode="0.0%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7921397667328343"/>
                      <c:h val="7.5841548224369171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8169-4961-9BC0-2110C8B5185F}"/>
                </c:ext>
              </c:extLst>
            </c:dLbl>
            <c:dLbl>
              <c:idx val="1"/>
              <c:layout>
                <c:manualLayout>
                  <c:x val="-0.15655650900930956"/>
                  <c:y val="1.7540694972543024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169-4961-9BC0-2110C8B5185F}"/>
                </c:ext>
              </c:extLst>
            </c:dLbl>
            <c:dLbl>
              <c:idx val="2"/>
              <c:layout>
                <c:manualLayout>
                  <c:x val="-0.15531479929604"/>
                  <c:y val="-7.1262652424468886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8169-4961-9BC0-2110C8B5185F}"/>
                </c:ext>
              </c:extLst>
            </c:dLbl>
            <c:dLbl>
              <c:idx val="3"/>
              <c:layout>
                <c:manualLayout>
                  <c:x val="-0.16592578425974783"/>
                  <c:y val="-7.2555983014034181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8169-4961-9BC0-2110C8B5185F}"/>
                </c:ext>
              </c:extLst>
            </c:dLbl>
            <c:dLbl>
              <c:idx val="4"/>
              <c:layout>
                <c:manualLayout>
                  <c:x val="-8.5708656775150743E-2"/>
                  <c:y val="-0.1309008908407321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8169-4961-9BC0-2110C8B5185F}"/>
                </c:ext>
              </c:extLst>
            </c:dLbl>
            <c:dLbl>
              <c:idx val="5"/>
              <c:layout>
                <c:manualLayout>
                  <c:x val="6.4935205934408574E-2"/>
                  <c:y val="-0.1374940260177431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8169-4961-9BC0-2110C8B5185F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데이터!$C$11:$C$16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데이터!$D$11:$D$16</c:f>
              <c:numCache>
                <c:formatCode>#,##0.0" %"</c:formatCode>
                <c:ptCount val="6"/>
                <c:pt idx="0">
                  <c:v>70.099999999999994</c:v>
                </c:pt>
                <c:pt idx="1">
                  <c:v>6.2</c:v>
                </c:pt>
                <c:pt idx="2">
                  <c:v>3.7</c:v>
                </c:pt>
                <c:pt idx="3">
                  <c:v>14.6</c:v>
                </c:pt>
                <c:pt idx="4">
                  <c:v>4.6000000000000005</c:v>
                </c:pt>
                <c:pt idx="5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8169-4961-9BC0-2110C8B518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21" l="0.70000000000000062" r="0.70000000000000062" t="0.75000000000000921" header="0.30000000000000032" footer="0.30000000000000032"/>
    <c:pageSetup orientation="portrait"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천</a:t>
            </a:r>
            <a:r>
              <a:rPr lang="en-US" altLang="ko-KR" sz="2000" b="1">
                <a:solidFill>
                  <a:schemeClr val="tx1"/>
                </a:solidFill>
              </a:rPr>
              <a:t>MJ)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5517260467255432"/>
          <c:y val="2.3726723231588381E-4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4513120027983739"/>
          <c:y val="4.1376571476557801E-2"/>
          <c:w val="0.58213723751258006"/>
          <c:h val="0.8803402322077748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데이터!$E$5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27822263</c:v>
                </c:pt>
                <c:pt idx="1">
                  <c:v>28095425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499566456"/>
        <c:axId val="499567240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데이터!$E$4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3105318</c:v>
                </c:pt>
                <c:pt idx="1">
                  <c:v>3009471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E45-458B-AAFE-08ADC5D5C60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499568024"/>
        <c:axId val="499567632"/>
      </c:barChart>
      <c:catAx>
        <c:axId val="499566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7240"/>
        <c:crosses val="autoZero"/>
        <c:auto val="1"/>
        <c:lblAlgn val="ctr"/>
        <c:lblOffset val="100"/>
        <c:noMultiLvlLbl val="0"/>
      </c:catAx>
      <c:valAx>
        <c:axId val="499567240"/>
        <c:scaling>
          <c:orientation val="minMax"/>
          <c:max val="3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6456"/>
        <c:crosses val="autoZero"/>
        <c:crossBetween val="between"/>
        <c:majorUnit val="6000000"/>
      </c:valAx>
      <c:valAx>
        <c:axId val="499567632"/>
        <c:scaling>
          <c:orientation val="minMax"/>
          <c:max val="15000000"/>
          <c:min val="0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tx2">
                    <a:lumMod val="60000"/>
                    <a:lumOff val="4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499568024"/>
        <c:crosses val="max"/>
        <c:crossBetween val="between"/>
        <c:majorUnit val="3000000"/>
      </c:valAx>
      <c:catAx>
        <c:axId val="499568024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49956763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 orientation="portrait"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데이터!$B$23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1AF8-4783-BEE0-9220AEEBA339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1AF8-4783-BEE0-9220AEEBA339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1AF8-4783-BEE0-9220AEEBA339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1AF8-4783-BEE0-9220AEEBA339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1AF8-4783-BEE0-9220AEEBA339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1AF8-4783-BEE0-9220AEEBA339}"/>
              </c:ext>
            </c:extLst>
          </c:dPt>
          <c:dLbls>
            <c:dLbl>
              <c:idx val="0"/>
              <c:layout>
                <c:manualLayout>
                  <c:x val="1.3041776030917664E-2"/>
                  <c:y val="-9.752754145800642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1AF8-4783-BEE0-9220AEEBA339}"/>
                </c:ext>
              </c:extLst>
            </c:dLbl>
            <c:dLbl>
              <c:idx val="1"/>
              <c:layout>
                <c:manualLayout>
                  <c:x val="-1.340177114161443E-2"/>
                  <c:y val="-5.6044053298672958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1AF8-4783-BEE0-9220AEEBA339}"/>
                </c:ext>
              </c:extLst>
            </c:dLbl>
            <c:dLbl>
              <c:idx val="2"/>
              <c:layout>
                <c:manualLayout>
                  <c:x val="-7.364047993017489E-2"/>
                  <c:y val="-4.0104737113832722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1AF8-4783-BEE0-9220AEEBA339}"/>
                </c:ext>
              </c:extLst>
            </c:dLbl>
            <c:dLbl>
              <c:idx val="3"/>
              <c:layout>
                <c:manualLayout>
                  <c:x val="8.6396036691724007E-3"/>
                  <c:y val="4.9309444887822348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1AF8-4783-BEE0-9220AEEBA339}"/>
                </c:ext>
              </c:extLst>
            </c:dLbl>
            <c:dLbl>
              <c:idx val="4"/>
              <c:layout>
                <c:manualLayout>
                  <c:x val="-2.2690602925347091E-2"/>
                  <c:y val="4.1483618500706643E-2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1AF8-4783-BEE0-9220AEEBA339}"/>
                </c:ext>
              </c:extLst>
            </c:dLbl>
            <c:dLbl>
              <c:idx val="5"/>
              <c:layout>
                <c:manualLayout>
                  <c:x val="2.6320624275622987E-2"/>
                  <c:y val="-2.1579317743723051E-3"/>
                </c:manualLayout>
              </c:layout>
              <c:showLegendKey val="0"/>
              <c:showVal val="0"/>
              <c:showCatName val="1"/>
              <c:showSerName val="0"/>
              <c:showPercent val="1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1AF8-4783-BEE0-9220AEEBA339}"/>
                </c:ext>
              </c:extLst>
            </c:dLbl>
            <c:numFmt formatCode="0.0%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0"/>
            <c:showCatName val="1"/>
            <c:showSerName val="0"/>
            <c:showPercent val="1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데이터!$A$24:$A$29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데이터!$B$24:$B$29</c:f>
              <c:numCache>
                <c:formatCode>#,##0.0" %"</c:formatCode>
                <c:ptCount val="6"/>
                <c:pt idx="0">
                  <c:v>56.099999999999987</c:v>
                </c:pt>
                <c:pt idx="1">
                  <c:v>9.6</c:v>
                </c:pt>
                <c:pt idx="2">
                  <c:v>2.2999999999999998</c:v>
                </c:pt>
                <c:pt idx="3">
                  <c:v>21.8</c:v>
                </c:pt>
                <c:pt idx="4">
                  <c:v>9.2000000000000011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1AF8-4783-BEE0-9220AEEBA3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611" l="0.70000000000000062" r="0.70000000000000062" t="0.75000000000000611" header="0.30000000000000032" footer="0.30000000000000032"/>
    <c:pageSetup orientation="portrait"/>
  </c:printSettings>
  <c:userShapes r:id="rId3"/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view3D>
      <c:rotX val="50"/>
      <c:rotY val="0"/>
      <c:depthPercent val="100"/>
      <c:rAngAx val="0"/>
      <c:perspective val="6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tx>
            <c:strRef>
              <c:f>데이터!$D$23</c:f>
              <c:strCache>
                <c:ptCount val="1"/>
                <c:pt idx="0">
                  <c:v>구성비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1-29E5-43B7-86CB-EC0A957A7EF3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3-29E5-43B7-86CB-EC0A957A7EF3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5-29E5-43B7-86CB-EC0A957A7EF3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7-29E5-43B7-86CB-EC0A957A7EF3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9-29E5-43B7-86CB-EC0A957A7EF3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88900" sx="102000" sy="102000" algn="ctr" rotWithShape="0">
                  <a:prstClr val="black">
                    <a:alpha val="20000"/>
                  </a:prstClr>
                </a:outerShdw>
              </a:effectLst>
              <a:scene3d>
                <a:camera prst="orthographicFront"/>
                <a:lightRig rig="threePt" dir="t"/>
              </a:scene3d>
              <a:sp3d prstMaterial="matte"/>
            </c:spPr>
            <c:extLst>
              <c:ext xmlns:c16="http://schemas.microsoft.com/office/drawing/2014/chart" uri="{C3380CC4-5D6E-409C-BE32-E72D297353CC}">
                <c16:uniqueId val="{0000000B-29E5-43B7-86CB-EC0A957A7EF3}"/>
              </c:ext>
            </c:extLst>
          </c:dPt>
          <c:dLbls>
            <c:dLbl>
              <c:idx val="0"/>
              <c:layout>
                <c:manualLayout>
                  <c:x val="4.1722209347122063E-2"/>
                  <c:y val="-8.5259406707701615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29E5-43B7-86CB-EC0A957A7EF3}"/>
                </c:ext>
              </c:extLst>
            </c:dLbl>
            <c:dLbl>
              <c:idx val="1"/>
              <c:layout>
                <c:manualLayout>
                  <c:x val="-2.1831057450368997E-2"/>
                  <c:y val="6.5690683286983159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29E5-43B7-86CB-EC0A957A7EF3}"/>
                </c:ext>
              </c:extLst>
            </c:dLbl>
            <c:dLbl>
              <c:idx val="2"/>
              <c:layout>
                <c:manualLayout>
                  <c:x val="-1.504610957947582E-2"/>
                  <c:y val="2.1995469669085573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29E5-43B7-86CB-EC0A957A7EF3}"/>
                </c:ext>
              </c:extLst>
            </c:dLbl>
            <c:dLbl>
              <c:idx val="3"/>
              <c:layout>
                <c:manualLayout>
                  <c:x val="-1.8906507711014531E-2"/>
                  <c:y val="2.3818374087599518E-2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29E5-43B7-86CB-EC0A957A7EF3}"/>
                </c:ext>
              </c:extLst>
            </c:dLbl>
            <c:dLbl>
              <c:idx val="4"/>
              <c:layout>
                <c:manualLayout>
                  <c:x val="-2.6756799056138147E-2"/>
                  <c:y val="-8.2053456691037804E-3"/>
                </c:manualLayout>
              </c:layout>
              <c:numFmt formatCode="#,##0.0&quot; %&quot;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2500" b="1" i="0" u="none" strike="noStrike" kern="1200" baseline="0">
                      <a:solidFill>
                        <a:schemeClr val="tx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ko-KR"/>
                </a:p>
              </c:txPr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>
                  <c15:layout>
                    <c:manualLayout>
                      <c:w val="0.19255339320756534"/>
                      <c:h val="4.7769375913791212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9-29E5-43B7-86CB-EC0A957A7EF3}"/>
                </c:ext>
              </c:extLst>
            </c:dLbl>
            <c:dLbl>
              <c:idx val="5"/>
              <c:layout>
                <c:manualLayout>
                  <c:x val="1.040802613678774E-2"/>
                  <c:y val="-5.6262482052900388E-3"/>
                </c:manualLayout>
              </c:layout>
              <c:showLegendKey val="0"/>
              <c:showVal val="1"/>
              <c:showCatName val="1"/>
              <c:showSerName val="0"/>
              <c:showPercent val="0"/>
              <c:showBubbleSize val="0"/>
              <c:separator>, </c:separator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29E5-43B7-86CB-EC0A957A7EF3}"/>
                </c:ext>
              </c:extLst>
            </c:dLbl>
            <c:numFmt formatCode="#,##0.0&quot; %&quot;" sourceLinked="0"/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500" b="1" i="0" u="none" strike="noStrike" kern="1200" baseline="0">
                    <a:solidFill>
                      <a:schemeClr val="tx1"/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1"/>
            <c:showSerName val="0"/>
            <c:showPercent val="0"/>
            <c:showBubbleSize val="0"/>
            <c:separator>, </c:separator>
            <c:showLeaderLines val="1"/>
            <c:leaderLines>
              <c:spPr>
                <a:ln w="9525" cap="flat" cmpd="sng" algn="ctr">
                  <a:solidFill>
                    <a:schemeClr val="dk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데이터!$C$24:$C$29</c:f>
              <c:strCache>
                <c:ptCount val="6"/>
                <c:pt idx="0">
                  <c:v>주 택 용</c:v>
                </c:pt>
                <c:pt idx="1">
                  <c:v>일 반 용</c:v>
                </c:pt>
                <c:pt idx="2">
                  <c:v>업무냉방용</c:v>
                </c:pt>
                <c:pt idx="3">
                  <c:v>산 업 용</c:v>
                </c:pt>
                <c:pt idx="4">
                  <c:v>수 송 용</c:v>
                </c:pt>
                <c:pt idx="5">
                  <c:v>기 타</c:v>
                </c:pt>
              </c:strCache>
            </c:strRef>
          </c:cat>
          <c:val>
            <c:numRef>
              <c:f>데이터!$D$24:$D$29</c:f>
              <c:numCache>
                <c:formatCode>#,##0.0" %"</c:formatCode>
                <c:ptCount val="6"/>
                <c:pt idx="0">
                  <c:v>69.7</c:v>
                </c:pt>
                <c:pt idx="1">
                  <c:v>6.3</c:v>
                </c:pt>
                <c:pt idx="2">
                  <c:v>4.2</c:v>
                </c:pt>
                <c:pt idx="3">
                  <c:v>14</c:v>
                </c:pt>
                <c:pt idx="4">
                  <c:v>5</c:v>
                </c:pt>
                <c:pt idx="5">
                  <c:v>0.79999999999999993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29E5-43B7-86CB-EC0A957A7E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</c:pie3DChart>
      <c:spPr>
        <a:noFill/>
        <a:ln>
          <a:noFill/>
        </a:ln>
        <a:effectLst/>
      </c:spPr>
    </c:plotArea>
    <c:plotVisOnly val="1"/>
    <c:dispBlanksAs val="zero"/>
    <c:showDLblsOverMax val="0"/>
  </c:chart>
  <c:spPr>
    <a:pattFill prst="dkDnDiag">
      <a:fgClr>
        <a:schemeClr val="lt1">
          <a:lumMod val="95000"/>
        </a:schemeClr>
      </a:fgClr>
      <a:bgClr>
        <a:schemeClr val="lt1"/>
      </a:bgClr>
    </a:patt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000000000000944" l="0.70000000000000062" r="0.70000000000000062" t="0.75000000000000944" header="0.30000000000000032" footer="0.30000000000000032"/>
    <c:pageSetup orientation="portrait"/>
  </c:printSettings>
  <c:userShapes r:id="rId3"/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1" i="0" u="none" strike="noStrike" kern="1200" spc="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r>
              <a:rPr lang="en-US" altLang="ko-KR" sz="2000" b="1">
                <a:solidFill>
                  <a:schemeClr val="tx1"/>
                </a:solidFill>
              </a:rPr>
              <a:t>(</a:t>
            </a:r>
            <a:r>
              <a:rPr lang="ko-KR" altLang="en-US" sz="2000" b="1">
                <a:solidFill>
                  <a:schemeClr val="tx1"/>
                </a:solidFill>
              </a:rPr>
              <a:t>단위 </a:t>
            </a:r>
            <a:r>
              <a:rPr lang="en-US" altLang="ko-KR" sz="2000" b="1">
                <a:solidFill>
                  <a:schemeClr val="tx1"/>
                </a:solidFill>
              </a:rPr>
              <a:t>: </a:t>
            </a:r>
            <a:r>
              <a:rPr lang="ko-KR" altLang="en-US" sz="2000" b="1">
                <a:solidFill>
                  <a:schemeClr val="tx1"/>
                </a:solidFill>
              </a:rPr>
              <a:t>백만원</a:t>
            </a:r>
            <a:r>
              <a:rPr lang="en-US" altLang="ko-KR" sz="2000" b="1">
                <a:solidFill>
                  <a:schemeClr val="tx1"/>
                </a:solidFill>
              </a:rPr>
              <a:t>)</a:t>
            </a:r>
            <a:endParaRPr lang="ko-KR" altLang="en-US" sz="2000" b="1">
              <a:solidFill>
                <a:schemeClr val="tx1"/>
              </a:solidFill>
            </a:endParaRPr>
          </a:p>
        </c:rich>
      </c:tx>
      <c:layout>
        <c:manualLayout>
          <c:xMode val="edge"/>
          <c:yMode val="edge"/>
          <c:x val="0.74011610938490646"/>
          <c:y val="3.432003432003432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1" i="0" u="none" strike="noStrike" kern="1200" spc="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 alt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503191563033886"/>
          <c:y val="5.4802021389117404E-2"/>
          <c:w val="0.63438976371884104"/>
          <c:h val="0.88755554510910017"/>
        </c:manualLayout>
      </c:layout>
      <c:barChart>
        <c:barDir val="col"/>
        <c:grouping val="clustered"/>
        <c:varyColors val="0"/>
        <c:ser>
          <c:idx val="1"/>
          <c:order val="1"/>
          <c:tx>
            <c:strRef>
              <c:f>데이터!$E$20</c:f>
              <c:strCache>
                <c:ptCount val="1"/>
                <c:pt idx="0">
                  <c:v>누계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28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데이터!$F$20:$G$20</c:f>
              <c:numCache>
                <c:formatCode>#,###,_ ;[Red]\-#,###,\ </c:formatCode>
                <c:ptCount val="2"/>
                <c:pt idx="0">
                  <c:v>618630481.7650001</c:v>
                </c:pt>
                <c:pt idx="1">
                  <c:v>619699244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00"/>
        <c:axId val="508973120"/>
        <c:axId val="508973904"/>
      </c:barChart>
      <c:barChart>
        <c:barDir val="col"/>
        <c:grouping val="clustered"/>
        <c:varyColors val="0"/>
        <c:ser>
          <c:idx val="0"/>
          <c:order val="0"/>
          <c:tx>
            <c:strRef>
              <c:f>데이터!$E$19</c:f>
              <c:strCache>
                <c:ptCount val="1"/>
                <c:pt idx="0">
                  <c:v>당월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3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ko-K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데이터!$F$18:$G$18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데이터!$F$19:$G$19</c:f>
              <c:numCache>
                <c:formatCode>#,###,_ ;[Red]\-#,###,\ </c:formatCode>
                <c:ptCount val="2"/>
                <c:pt idx="0">
                  <c:v>70782710</c:v>
                </c:pt>
                <c:pt idx="1">
                  <c:v>68024790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AE9-4467-BB62-9A7B3DAE1F9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00"/>
        <c:axId val="539510728"/>
        <c:axId val="508975472"/>
      </c:barChart>
      <c:catAx>
        <c:axId val="50897312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3000" b="1" i="0" u="none" strike="noStrike" kern="1200" baseline="0">
                <a:solidFill>
                  <a:schemeClr val="tx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904"/>
        <c:crosses val="autoZero"/>
        <c:auto val="1"/>
        <c:lblAlgn val="ctr"/>
        <c:lblOffset val="100"/>
        <c:noMultiLvlLbl val="0"/>
      </c:catAx>
      <c:valAx>
        <c:axId val="508973904"/>
        <c:scaling>
          <c:orientation val="minMax"/>
          <c:max val="700000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#,_ ;[Red]\-#,###,\ 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3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08973120"/>
        <c:crosses val="autoZero"/>
        <c:crossBetween val="between"/>
        <c:majorUnit val="140000000"/>
      </c:valAx>
      <c:valAx>
        <c:axId val="508975472"/>
        <c:scaling>
          <c:orientation val="minMax"/>
          <c:max val="700000000"/>
          <c:min val="0"/>
        </c:scaling>
        <c:delete val="0"/>
        <c:axPos val="r"/>
        <c:numFmt formatCode="#,###,_ ;[Red]\-#,###,\ 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500" b="1" i="0" u="none" strike="noStrike" kern="1200" baseline="0">
                <a:solidFill>
                  <a:schemeClr val="accent1"/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0728"/>
        <c:crosses val="max"/>
        <c:crossBetween val="between"/>
        <c:majorUnit val="140000000"/>
      </c:valAx>
      <c:catAx>
        <c:axId val="539510728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08975472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4000" b="1" i="0" u="none" strike="noStrike" kern="1200" baseline="0">
              <a:solidFill>
                <a:schemeClr val="tx1"/>
              </a:solidFill>
              <a:latin typeface="+mn-lt"/>
              <a:ea typeface="+mn-ea"/>
              <a:cs typeface="+mn-cs"/>
            </a:defRPr>
          </a:pPr>
          <a:endParaRPr lang="ko-K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ko-K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ko-KR"/>
        </a:p>
      </c:txPr>
    </c:title>
    <c:autoTitleDeleted val="0"/>
    <c:plotArea>
      <c:layout/>
      <c:barChart>
        <c:barDir val="col"/>
        <c:grouping val="clustered"/>
        <c:varyColors val="0"/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데이터!$F$5:$G$5</c:f>
              <c:numCache>
                <c:formatCode>_(* #,##0_);_(* \(#,##0\);_(* "-"_);_(@_)</c:formatCode>
                <c:ptCount val="2"/>
                <c:pt idx="0">
                  <c:v>27822263</c:v>
                </c:pt>
                <c:pt idx="1">
                  <c:v>28095425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9515040"/>
        <c:axId val="539515432"/>
      </c:barChart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데이터!$F$3:$G$3</c:f>
              <c:strCache>
                <c:ptCount val="2"/>
                <c:pt idx="0">
                  <c:v>계획</c:v>
                </c:pt>
                <c:pt idx="1">
                  <c:v>실적</c:v>
                </c:pt>
              </c:strCache>
            </c:strRef>
          </c:cat>
          <c:val>
            <c:numRef>
              <c:f>데이터!$F$4:$G$4</c:f>
              <c:numCache>
                <c:formatCode>_(* #,##0_);_(* \(#,##0\);_(* "-"_);_(@_)</c:formatCode>
                <c:ptCount val="2"/>
                <c:pt idx="0">
                  <c:v>3105318</c:v>
                </c:pt>
                <c:pt idx="1">
                  <c:v>3009471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820-40C4-8E27-E0457697A25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34388160"/>
        <c:axId val="539516216"/>
      </c:barChart>
      <c:catAx>
        <c:axId val="53951504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432"/>
        <c:crosses val="autoZero"/>
        <c:auto val="1"/>
        <c:lblAlgn val="ctr"/>
        <c:lblOffset val="100"/>
        <c:noMultiLvlLbl val="0"/>
      </c:catAx>
      <c:valAx>
        <c:axId val="5395154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_);_(* \(#,##0\);_(* &quot;-&quot;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9515040"/>
        <c:crosses val="autoZero"/>
        <c:crossBetween val="between"/>
      </c:valAx>
      <c:valAx>
        <c:axId val="539516216"/>
        <c:scaling>
          <c:orientation val="minMax"/>
        </c:scaling>
        <c:delete val="0"/>
        <c:axPos val="r"/>
        <c:numFmt formatCode="_(* #,##0_);_(* \(#,##0\);_(* &quot;-&quot;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ko-KR"/>
          </a:p>
        </c:txPr>
        <c:crossAx val="534388160"/>
        <c:crosses val="max"/>
        <c:crossBetween val="between"/>
      </c:valAx>
      <c:catAx>
        <c:axId val="5343881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539516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ko-K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5.xml><?xml version="1.0" encoding="utf-8"?>
<cs:chartStyle xmlns:cs="http://schemas.microsoft.com/office/drawing/2012/chartStyle" xmlns:a="http://schemas.openxmlformats.org/drawingml/2006/main" id="261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categoryAxis>
  <cs:chartArea>
    <cs:lnRef idx="0"/>
    <cs:fillRef idx="0"/>
    <cs:effectRef idx="0"/>
    <cs:fontRef idx="minor">
      <a:schemeClr val="dk1"/>
    </cs:fontRef>
    <cs:spPr>
      <a:pattFill prst="dkDnDiag">
        <a:fgClr>
          <a:schemeClr val="lt1">
            <a:lumMod val="95000"/>
          </a:schemeClr>
        </a:fgClr>
        <a:bgClr>
          <a:schemeClr val="lt1"/>
        </a:bgClr>
      </a:patt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5000"/>
        </a:schemeClr>
      </a:solidFill>
      <a:ln w="9525"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317500" algn="ctr" rotWithShape="0">
          <a:prstClr val="black">
            <a:alpha val="25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88900" sx="102000" sy="102000" algn="ctr" rotWithShape="0">
          <a:prstClr val="black">
            <a:alpha val="20000"/>
          </a:prstClr>
        </a:outerShdw>
      </a:effectLst>
      <a:scene3d>
        <a:camera prst="orthographicFront"/>
        <a:lightRig rig="threePt" dir="t"/>
      </a:scene3d>
      <a:sp3d prstMaterial="matte"/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noFill/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>
          <a:alpha val="78000"/>
        </a:schemeClr>
      </a:solidFill>
    </cs:spPr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dk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7.png"/><Relationship Id="rId2" Type="http://schemas.openxmlformats.org/officeDocument/2006/relationships/image" Target="../media/image6.emf"/><Relationship Id="rId1" Type="http://schemas.openxmlformats.org/officeDocument/2006/relationships/image" Target="../media/image5.emf"/><Relationship Id="rId4" Type="http://schemas.openxmlformats.org/officeDocument/2006/relationships/image" Target="../media/image8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5" Type="http://schemas.openxmlformats.org/officeDocument/2006/relationships/image" Target="../media/image12.emf"/><Relationship Id="rId4" Type="http://schemas.openxmlformats.org/officeDocument/2006/relationships/image" Target="../media/image11.emf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emf"/></Relationships>
</file>

<file path=xl/drawings/_rels/drawing10.xml.rels><?xml version="1.0" encoding="UTF-8" standalone="yes"?>
<Relationships xmlns="http://schemas.openxmlformats.org/package/2006/relationships"><Relationship Id="rId1" Type="http://schemas.openxmlformats.org/officeDocument/2006/relationships/image" Target="../media/image17.png"/></Relationships>
</file>

<file path=xl/drawings/_rels/drawing1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8.png"/></Relationships>
</file>

<file path=xl/drawings/_rels/vmlDrawing2.v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vmlDrawing3.vml.rels><?xml version="1.0" encoding="UTF-8" standalone="yes"?>
<Relationships xmlns="http://schemas.openxmlformats.org/package/2006/relationships"><Relationship Id="rId1" Type="http://schemas.openxmlformats.org/officeDocument/2006/relationships/image" Target="../media/image4.emf"/></Relationships>
</file>

<file path=xl/drawings/_rels/vmlDrawing5.vml.rels><?xml version="1.0" encoding="UTF-8" standalone="yes"?>
<Relationships xmlns="http://schemas.openxmlformats.org/package/2006/relationships"><Relationship Id="rId2" Type="http://schemas.openxmlformats.org/officeDocument/2006/relationships/image" Target="../media/image10.emf"/><Relationship Id="rId1" Type="http://schemas.openxmlformats.org/officeDocument/2006/relationships/image" Target="../media/image9.emf"/></Relationships>
</file>

<file path=xl/drawings/_rels/vmlDrawing6.vml.rels><?xml version="1.0" encoding="UTF-8" standalone="yes"?>
<Relationships xmlns="http://schemas.openxmlformats.org/package/2006/relationships"><Relationship Id="rId2" Type="http://schemas.openxmlformats.org/officeDocument/2006/relationships/image" Target="../media/image14.emf"/><Relationship Id="rId1" Type="http://schemas.openxmlformats.org/officeDocument/2006/relationships/image" Target="../media/image13.emf"/></Relationships>
</file>

<file path=xl/drawings/_rels/vmlDrawing7.vml.rels><?xml version="1.0" encoding="UTF-8" standalone="yes"?>
<Relationships xmlns="http://schemas.openxmlformats.org/package/2006/relationships"><Relationship Id="rId1" Type="http://schemas.openxmlformats.org/officeDocument/2006/relationships/image" Target="../media/image16.emf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2</xdr:col>
          <xdr:colOff>842618</xdr:colOff>
          <xdr:row>93</xdr:row>
          <xdr:rowOff>47625</xdr:rowOff>
        </xdr:from>
        <xdr:to>
          <xdr:col>8</xdr:col>
          <xdr:colOff>727904</xdr:colOff>
          <xdr:row>97</xdr:row>
          <xdr:rowOff>180976</xdr:rowOff>
        </xdr:to>
        <xdr:pic>
          <xdr:nvPicPr>
            <xdr:cNvPr id="2458" name="Picture 87">
              <a:extLst>
                <a:ext uri="{FF2B5EF4-FFF2-40B4-BE49-F238E27FC236}">
                  <a16:creationId xmlns:a16="http://schemas.microsoft.com/office/drawing/2014/main" id="{00000000-0008-0000-0100-00009A09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P$107:$S$111" spid="_x0000_s257272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331292" y="15734886"/>
              <a:ext cx="7546699" cy="106100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2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47627</xdr:colOff>
          <xdr:row>24</xdr:row>
          <xdr:rowOff>152401</xdr:rowOff>
        </xdr:from>
        <xdr:to>
          <xdr:col>27</xdr:col>
          <xdr:colOff>126067</xdr:colOff>
          <xdr:row>67</xdr:row>
          <xdr:rowOff>29135</xdr:rowOff>
        </xdr:to>
        <xdr:pic>
          <xdr:nvPicPr>
            <xdr:cNvPr id="2" name="Picture 13">
              <a:extLst>
                <a:ext uri="{FF2B5EF4-FFF2-40B4-BE49-F238E27FC236}">
                  <a16:creationId xmlns:a16="http://schemas.microsoft.com/office/drawing/2014/main" id="{75569F60-09CC-4361-9DD4-386971D3634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3:$M$23" spid="_x0000_s240108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10480303" y="7447430"/>
              <a:ext cx="7956176" cy="6622676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 editAs="oneCell">
    <xdr:from>
      <xdr:col>16</xdr:col>
      <xdr:colOff>762000</xdr:colOff>
      <xdr:row>24</xdr:row>
      <xdr:rowOff>47625</xdr:rowOff>
    </xdr:from>
    <xdr:to>
      <xdr:col>24</xdr:col>
      <xdr:colOff>676275</xdr:colOff>
      <xdr:row>65</xdr:row>
      <xdr:rowOff>123825</xdr:rowOff>
    </xdr:to>
    <xdr:sp macro="" textlink="">
      <xdr:nvSpPr>
        <xdr:cNvPr id="3" name="AutoShape 2555">
          <a:extLst>
            <a:ext uri="{FF2B5EF4-FFF2-40B4-BE49-F238E27FC236}">
              <a16:creationId xmlns:a16="http://schemas.microsoft.com/office/drawing/2014/main" id="{4DAEC20F-6336-46FA-B664-438DEA59D658}"/>
            </a:ext>
          </a:extLst>
        </xdr:cNvPr>
        <xdr:cNvSpPr>
          <a:spLocks noChangeAspect="1" noChangeArrowheads="1"/>
        </xdr:cNvSpPr>
      </xdr:nvSpPr>
      <xdr:spPr bwMode="auto">
        <a:xfrm>
          <a:off x="9810750" y="7419975"/>
          <a:ext cx="6877050" cy="67151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>
    <xdr:from>
      <xdr:col>26</xdr:col>
      <xdr:colOff>423335</xdr:colOff>
      <xdr:row>41</xdr:row>
      <xdr:rowOff>148167</xdr:rowOff>
    </xdr:from>
    <xdr:to>
      <xdr:col>34</xdr:col>
      <xdr:colOff>603251</xdr:colOff>
      <xdr:row>64</xdr:row>
      <xdr:rowOff>21167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37AB139B-F08A-442A-8C74-12C784C42A2B}"/>
            </a:ext>
          </a:extLst>
        </xdr:cNvPr>
        <xdr:cNvSpPr txBox="1"/>
      </xdr:nvSpPr>
      <xdr:spPr>
        <a:xfrm>
          <a:off x="17958860" y="10273242"/>
          <a:ext cx="6275916" cy="3597275"/>
        </a:xfrm>
        <a:prstGeom prst="rect">
          <a:avLst/>
        </a:prstGeom>
        <a:solidFill>
          <a:schemeClr val="accent6">
            <a:lumMod val="40000"/>
            <a:lumOff val="6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냉난방용 계절단가 처리시 적용</a:t>
          </a:r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endParaRPr lang="en-US" altLang="ko-KR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====================================================================================</a:t>
          </a:r>
        </a:p>
        <a:p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[ 5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 10</a:t>
          </a:r>
          <a:r>
            <a:rPr lang="ko-KR" altLang="en-US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ko-KR" altLang="en-US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가스공사 멘트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]</a:t>
          </a:r>
          <a:endParaRPr lang="en-US" altLang="ko-KR" sz="1100" b="1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</a:t>
          </a:r>
          <a:r>
            <a:rPr lang="en-US" altLang="ko-KR" sz="1100" b="0" i="0" u="none" strike="noStrike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63,234,568.4318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MJ]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적용함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en-US" sz="1100" b="0" i="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r>
            <a:rPr lang="en-US" altLang="ko-KR" sz="1100"/>
            <a:t>=====================================================================================</a:t>
          </a:r>
        </a:p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[ 6</a:t>
          </a:r>
          <a:r>
            <a:rPr lang="ko-KR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</a:t>
          </a:r>
          <a:r>
            <a:rPr lang="en-US" altLang="ko-KR" sz="1100" b="1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/ 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11</a:t>
          </a:r>
          <a:r>
            <a:rPr lang="ko-KR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 가스공사 멘트</a:t>
          </a:r>
          <a:r>
            <a:rPr lang="en-US" altLang="ko-KR" sz="1100" b="1" i="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]</a:t>
          </a:r>
          <a:endParaRPr lang="ko-KR" altLang="ko-KR" b="1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1.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귀 공사의 무궁한 발전을 기원하오며 “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 도시가스 판매실적”을 다음 과 같이 통보하오니 업무에 참고하시기 바랍니다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2.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 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2024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년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10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(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사용기간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: 9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월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) 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냉난방공조용 판매량 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[63,234,568.4318MJ]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를 </a:t>
          </a:r>
          <a:r>
            <a:rPr lang="ko-KR" altLang="en-US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차감</a:t>
          </a:r>
          <a:r>
            <a:rPr lang="ko-KR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함</a:t>
          </a:r>
          <a:r>
            <a:rPr lang="en-US" altLang="ko-KR" sz="1100" b="0" i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  <a:endParaRPr lang="ko-KR" altLang="ko-KR">
            <a:effectLst/>
          </a:endParaRPr>
        </a:p>
        <a:p>
          <a:r>
            <a:rPr lang="en-US" altLang="ko-KR" sz="1100"/>
            <a:t>=====================================================================================</a:t>
          </a:r>
          <a:endParaRPr lang="ko-KR" alt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367334</xdr:colOff>
          <xdr:row>48</xdr:row>
          <xdr:rowOff>57564</xdr:rowOff>
        </xdr:from>
        <xdr:to>
          <xdr:col>4</xdr:col>
          <xdr:colOff>723486</xdr:colOff>
          <xdr:row>56</xdr:row>
          <xdr:rowOff>7869</xdr:rowOff>
        </xdr:to>
        <xdr:pic>
          <xdr:nvPicPr>
            <xdr:cNvPr id="12831" name="Picture 19">
              <a:extLst>
                <a:ext uri="{FF2B5EF4-FFF2-40B4-BE49-F238E27FC236}">
                  <a16:creationId xmlns:a16="http://schemas.microsoft.com/office/drawing/2014/main" id="{00000000-0008-0000-0400-00001F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50439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367334" y="7834934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399222</xdr:colOff>
          <xdr:row>39</xdr:row>
          <xdr:rowOff>142461</xdr:rowOff>
        </xdr:from>
        <xdr:to>
          <xdr:col>4</xdr:col>
          <xdr:colOff>755374</xdr:colOff>
          <xdr:row>47</xdr:row>
          <xdr:rowOff>92766</xdr:rowOff>
        </xdr:to>
        <xdr:pic>
          <xdr:nvPicPr>
            <xdr:cNvPr id="12832" name="Picture 20">
              <a:extLst>
                <a:ext uri="{FF2B5EF4-FFF2-40B4-BE49-F238E27FC236}">
                  <a16:creationId xmlns:a16="http://schemas.microsoft.com/office/drawing/2014/main" id="{00000000-0008-0000-0400-00002032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B$2:$E$12" spid="_x0000_s250440"/>
                </a:ext>
              </a:extLst>
            </xdr:cNvPicPr>
          </xdr:nvPicPr>
          <xdr:blipFill>
            <a:blip xmlns:r="http://schemas.openxmlformats.org/officeDocument/2006/relationships" r:embed="rId2"/>
            <a:srcRect/>
            <a:stretch>
              <a:fillRect/>
            </a:stretch>
          </xdr:blipFill>
          <xdr:spPr bwMode="auto">
            <a:xfrm>
              <a:off x="399222" y="6354418"/>
              <a:ext cx="3834848" cy="1341783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solidFill>
                <a:srgbClr val="000000" mc:Ignorable="a14" a14:legacySpreadsheetColorIndex="64"/>
              </a:solidFill>
              <a:miter lim="800000"/>
              <a:headEnd/>
              <a:tailEnd/>
            </a:ln>
          </xdr:spPr>
        </xdr:pic>
        <xdr:clientData/>
      </xdr:twoCellAnchor>
    </mc:Choice>
    <mc:Fallback/>
  </mc:AlternateContent>
  <xdr:twoCellAnchor>
    <xdr:from>
      <xdr:col>9</xdr:col>
      <xdr:colOff>563218</xdr:colOff>
      <xdr:row>1</xdr:row>
      <xdr:rowOff>140805</xdr:rowOff>
    </xdr:from>
    <xdr:to>
      <xdr:col>13</xdr:col>
      <xdr:colOff>734668</xdr:colOff>
      <xdr:row>11</xdr:row>
      <xdr:rowOff>81585</xdr:rowOff>
    </xdr:to>
    <xdr:sp macro="" textlink="">
      <xdr:nvSpPr>
        <xdr:cNvPr id="7" name="설명선: 선(강조선) 6">
          <a:extLst>
            <a:ext uri="{FF2B5EF4-FFF2-40B4-BE49-F238E27FC236}">
              <a16:creationId xmlns:a16="http://schemas.microsoft.com/office/drawing/2014/main" id="{5794ACB3-EC15-49BE-8EF5-881AE56AA681}"/>
            </a:ext>
          </a:extLst>
        </xdr:cNvPr>
        <xdr:cNvSpPr/>
      </xdr:nvSpPr>
      <xdr:spPr>
        <a:xfrm>
          <a:off x="8208066" y="314740"/>
          <a:ext cx="3219450" cy="1133475"/>
        </a:xfrm>
        <a:prstGeom prst="accentCallout1">
          <a:avLst>
            <a:gd name="adj1" fmla="val 18750"/>
            <a:gd name="adj2" fmla="val -8333"/>
            <a:gd name="adj3" fmla="val 14688"/>
            <a:gd name="adj4" fmla="val -48386"/>
          </a:avLst>
        </a:prstGeom>
        <a:solidFill>
          <a:srgbClr val="66FFFF"/>
        </a:solidFill>
      </xdr:spPr>
      <xdr:style>
        <a:lnRef idx="2">
          <a:schemeClr val="accent2"/>
        </a:lnRef>
        <a:fillRef idx="1">
          <a:schemeClr val="lt1"/>
        </a:fillRef>
        <a:effectRef idx="0">
          <a:schemeClr val="accent2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n-US" altLang="ko-KR" sz="1100"/>
            <a:t>1. </a:t>
          </a:r>
          <a:r>
            <a:rPr lang="ko-KR" altLang="en-US" sz="1100"/>
            <a:t>자가소모 청구작업 후 </a:t>
          </a:r>
          <a:r>
            <a:rPr lang="ko-KR" altLang="en-US" sz="1100" baseline="0"/>
            <a:t> 피봇 집계하여 작성</a:t>
          </a:r>
          <a:endParaRPr lang="en-US" altLang="ko-KR" sz="1100" baseline="0"/>
        </a:p>
        <a:p>
          <a:pPr algn="l"/>
          <a:endParaRPr lang="en-US" altLang="ko-KR" sz="1100" baseline="0"/>
        </a:p>
        <a:p>
          <a:pPr algn="l"/>
          <a:r>
            <a:rPr lang="en-US" altLang="ko-KR" sz="1100" baseline="0"/>
            <a:t>2. </a:t>
          </a:r>
          <a:r>
            <a:rPr lang="ko-KR" altLang="en-US" sz="1100" baseline="0"/>
            <a:t>퍼지량</a:t>
          </a:r>
          <a:r>
            <a:rPr lang="en-US" altLang="ko-KR" sz="1100" baseline="0"/>
            <a:t>(</a:t>
          </a:r>
          <a:r>
            <a:rPr lang="ko-KR" altLang="en-US" sz="1100" baseline="0"/>
            <a:t>업무난방</a:t>
          </a:r>
          <a:r>
            <a:rPr lang="en-US" altLang="ko-KR" sz="1100" baseline="0"/>
            <a:t>) : </a:t>
          </a:r>
          <a:r>
            <a:rPr lang="ko-KR" altLang="en-US" sz="1100" baseline="0"/>
            <a:t>총무결재본</a:t>
          </a:r>
          <a:endParaRPr lang="en-US" altLang="ko-KR" sz="1100" baseline="0"/>
        </a:p>
        <a:p>
          <a:pPr algn="l"/>
          <a:r>
            <a:rPr lang="en-US" altLang="ko-KR" sz="1100" baseline="0"/>
            <a:t> 22</a:t>
          </a:r>
          <a:r>
            <a:rPr lang="ko-KR" altLang="en-US" sz="1100" baseline="0"/>
            <a:t>라인 </a:t>
          </a:r>
          <a:r>
            <a:rPr lang="en-US" altLang="ko-KR" sz="1100" baseline="0"/>
            <a:t>/</a:t>
          </a:r>
          <a:r>
            <a:rPr lang="ko-KR" altLang="en-US" sz="1100" baseline="0"/>
            <a:t>당월사용 </a:t>
          </a:r>
          <a:r>
            <a:rPr lang="en-US" altLang="ko-KR" sz="1100" baseline="0"/>
            <a:t>/</a:t>
          </a:r>
          <a:r>
            <a:rPr lang="ko-KR" altLang="en-US" sz="1100" baseline="0"/>
            <a:t>당월열량</a:t>
          </a:r>
          <a:endParaRPr lang="en-US" altLang="ko-KR" sz="1100" baseline="0"/>
        </a:p>
        <a:p>
          <a:pPr algn="l"/>
          <a:endParaRPr lang="ko-KR" altLang="en-US" sz="1100"/>
        </a:p>
      </xdr:txBody>
    </xdr:sp>
    <xdr:clientData/>
  </xdr:twoCellAnchor>
  <xdr:twoCellAnchor editAs="oneCell">
    <xdr:from>
      <xdr:col>5</xdr:col>
      <xdr:colOff>266701</xdr:colOff>
      <xdr:row>17</xdr:row>
      <xdr:rowOff>104775</xdr:rowOff>
    </xdr:from>
    <xdr:to>
      <xdr:col>17</xdr:col>
      <xdr:colOff>146253</xdr:colOff>
      <xdr:row>36</xdr:row>
      <xdr:rowOff>104775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3C64F882-F8D2-4E69-B2E4-D4F1A41B02B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4848226" y="2505075"/>
          <a:ext cx="9023552" cy="3257550"/>
        </a:xfrm>
        <a:prstGeom prst="rect">
          <a:avLst/>
        </a:prstGeom>
      </xdr:spPr>
    </xdr:pic>
    <xdr:clientData/>
  </xdr:twoCellAnchor>
  <xdr:twoCellAnchor editAs="oneCell">
    <xdr:from>
      <xdr:col>0</xdr:col>
      <xdr:colOff>123826</xdr:colOff>
      <xdr:row>17</xdr:row>
      <xdr:rowOff>76201</xdr:rowOff>
    </xdr:from>
    <xdr:to>
      <xdr:col>5</xdr:col>
      <xdr:colOff>12839</xdr:colOff>
      <xdr:row>37</xdr:row>
      <xdr:rowOff>66675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47976BF1-5CB3-4E6D-8A9F-9C33BC9422D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123826" y="2476501"/>
          <a:ext cx="4470538" cy="341947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23</xdr:col>
      <xdr:colOff>1381125</xdr:colOff>
      <xdr:row>27</xdr:row>
      <xdr:rowOff>3402</xdr:rowOff>
    </xdr:from>
    <xdr:to>
      <xdr:col>34</xdr:col>
      <xdr:colOff>2047877</xdr:colOff>
      <xdr:row>44</xdr:row>
      <xdr:rowOff>119063</xdr:rowOff>
    </xdr:to>
    <xdr:graphicFrame macro="">
      <xdr:nvGraphicFramePr>
        <xdr:cNvPr id="3" name="차트 2">
          <a:extLst>
            <a:ext uri="{FF2B5EF4-FFF2-40B4-BE49-F238E27FC236}">
              <a16:creationId xmlns:a16="http://schemas.microsoft.com/office/drawing/2014/main" id="{00000000-0008-0000-0500-000003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23</xdr:col>
      <xdr:colOff>1658927</xdr:colOff>
      <xdr:row>25</xdr:row>
      <xdr:rowOff>26993</xdr:rowOff>
    </xdr:from>
    <xdr:to>
      <xdr:col>34</xdr:col>
      <xdr:colOff>1674802</xdr:colOff>
      <xdr:row>26</xdr:row>
      <xdr:rowOff>230192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500-000005000000}"/>
            </a:ext>
          </a:extLst>
        </xdr:cNvPr>
        <xdr:cNvSpPr/>
      </xdr:nvSpPr>
      <xdr:spPr>
        <a:xfrm>
          <a:off x="16779865" y="20648618"/>
          <a:ext cx="14874875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14</xdr:col>
      <xdr:colOff>349250</xdr:colOff>
      <xdr:row>27</xdr:row>
      <xdr:rowOff>365125</xdr:rowOff>
    </xdr:from>
    <xdr:to>
      <xdr:col>15</xdr:col>
      <xdr:colOff>730250</xdr:colOff>
      <xdr:row>29</xdr:row>
      <xdr:rowOff>254000</xdr:rowOff>
    </xdr:to>
    <xdr:sp macro="" textlink="">
      <xdr:nvSpPr>
        <xdr:cNvPr id="7" name="직사각형 6">
          <a:extLst>
            <a:ext uri="{FF2B5EF4-FFF2-40B4-BE49-F238E27FC236}">
              <a16:creationId xmlns:a16="http://schemas.microsoft.com/office/drawing/2014/main" id="{00000000-0008-0000-0500-000007000000}"/>
            </a:ext>
          </a:extLst>
        </xdr:cNvPr>
        <xdr:cNvSpPr/>
      </xdr:nvSpPr>
      <xdr:spPr>
        <a:xfrm>
          <a:off x="11731625" y="15224125"/>
          <a:ext cx="1793875" cy="68262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r>
            <a:rPr lang="ko-KR" altLang="en-US" sz="1800" b="1">
              <a:solidFill>
                <a:schemeClr val="tx1"/>
              </a:solidFill>
            </a:rPr>
            <a:t>단위 </a:t>
          </a:r>
          <a:r>
            <a:rPr lang="en-US" altLang="ko-KR" sz="1800" b="1">
              <a:solidFill>
                <a:schemeClr val="tx1"/>
              </a:solidFill>
            </a:rPr>
            <a:t>: </a:t>
          </a:r>
          <a:r>
            <a:rPr lang="en-US" altLang="ko-KR" sz="1800" b="1" baseline="0">
              <a:solidFill>
                <a:schemeClr val="tx1"/>
              </a:solidFill>
            </a:rPr>
            <a:t> </a:t>
          </a:r>
          <a:r>
            <a:rPr lang="ko-KR" altLang="en-US" sz="1800" b="1" baseline="0">
              <a:solidFill>
                <a:schemeClr val="tx1"/>
              </a:solidFill>
            </a:rPr>
            <a:t>천</a:t>
          </a:r>
          <a:r>
            <a:rPr lang="en-US" altLang="ko-KR" sz="1800" b="1" baseline="0">
              <a:solidFill>
                <a:schemeClr val="tx1"/>
              </a:solidFill>
            </a:rPr>
            <a:t>MJ</a:t>
          </a:r>
          <a:endParaRPr lang="ko-KR" altLang="en-US" sz="1800" b="1">
            <a:solidFill>
              <a:schemeClr val="tx1"/>
            </a:solidFill>
          </a:endParaRPr>
        </a:p>
      </xdr:txBody>
    </xdr:sp>
    <xdr:clientData/>
  </xdr:twoCellAnchor>
  <xdr:twoCellAnchor>
    <xdr:from>
      <xdr:col>23</xdr:col>
      <xdr:colOff>1380456</xdr:colOff>
      <xdr:row>44</xdr:row>
      <xdr:rowOff>428627</xdr:rowOff>
    </xdr:from>
    <xdr:to>
      <xdr:col>34</xdr:col>
      <xdr:colOff>2033133</xdr:colOff>
      <xdr:row>62</xdr:row>
      <xdr:rowOff>317501</xdr:rowOff>
    </xdr:to>
    <xdr:graphicFrame macro="">
      <xdr:nvGraphicFramePr>
        <xdr:cNvPr id="9" name="차트 8">
          <a:extLst>
            <a:ext uri="{FF2B5EF4-FFF2-40B4-BE49-F238E27FC236}">
              <a16:creationId xmlns:a16="http://schemas.microsoft.com/office/drawing/2014/main" id="{00000000-0008-0000-0500-000009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23</xdr:col>
      <xdr:colOff>1448234</xdr:colOff>
      <xdr:row>27</xdr:row>
      <xdr:rowOff>140710</xdr:rowOff>
    </xdr:from>
    <xdr:to>
      <xdr:col>27</xdr:col>
      <xdr:colOff>1067234</xdr:colOff>
      <xdr:row>29</xdr:row>
      <xdr:rowOff>93085</xdr:rowOff>
    </xdr:to>
    <xdr:sp macro="" textlink="">
      <xdr:nvSpPr>
        <xdr:cNvPr id="6" name="TextBox 5">
          <a:extLst>
            <a:ext uri="{FF2B5EF4-FFF2-40B4-BE49-F238E27FC236}">
              <a16:creationId xmlns:a16="http://schemas.microsoft.com/office/drawing/2014/main" id="{00000000-0008-0000-0500-000006000000}"/>
            </a:ext>
          </a:extLst>
        </xdr:cNvPr>
        <xdr:cNvSpPr txBox="1"/>
      </xdr:nvSpPr>
      <xdr:spPr>
        <a:xfrm>
          <a:off x="16569172" y="21667210"/>
          <a:ext cx="2095500" cy="85725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당 월</a:t>
          </a:r>
        </a:p>
      </xdr:txBody>
    </xdr:sp>
    <xdr:clientData/>
  </xdr:twoCellAnchor>
  <xdr:twoCellAnchor>
    <xdr:from>
      <xdr:col>23</xdr:col>
      <xdr:colOff>1501054</xdr:colOff>
      <xdr:row>45</xdr:row>
      <xdr:rowOff>197859</xdr:rowOff>
    </xdr:from>
    <xdr:to>
      <xdr:col>27</xdr:col>
      <xdr:colOff>1120054</xdr:colOff>
      <xdr:row>47</xdr:row>
      <xdr:rowOff>150235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00000000-0008-0000-0500-00000A000000}"/>
            </a:ext>
          </a:extLst>
        </xdr:cNvPr>
        <xdr:cNvSpPr txBox="1"/>
      </xdr:nvSpPr>
      <xdr:spPr>
        <a:xfrm>
          <a:off x="16621992" y="29868234"/>
          <a:ext cx="2095500" cy="857251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ko-KR" altLang="en-US" sz="4000" b="1"/>
            <a:t>누 계</a:t>
          </a:r>
        </a:p>
      </xdr:txBody>
    </xdr:sp>
    <xdr:clientData/>
  </xdr:twoCellAnchor>
  <xdr:twoCellAnchor>
    <xdr:from>
      <xdr:col>1</xdr:col>
      <xdr:colOff>178591</xdr:colOff>
      <xdr:row>27</xdr:row>
      <xdr:rowOff>23812</xdr:rowOff>
    </xdr:from>
    <xdr:to>
      <xdr:col>23</xdr:col>
      <xdr:colOff>714373</xdr:colOff>
      <xdr:row>62</xdr:row>
      <xdr:rowOff>309562</xdr:rowOff>
    </xdr:to>
    <xdr:graphicFrame macro="">
      <xdr:nvGraphicFramePr>
        <xdr:cNvPr id="14" name="차트 13">
          <a:extLst>
            <a:ext uri="{FF2B5EF4-FFF2-40B4-BE49-F238E27FC236}">
              <a16:creationId xmlns:a16="http://schemas.microsoft.com/office/drawing/2014/main" id="{00000000-0008-0000-0500-00000E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2309807</xdr:colOff>
      <xdr:row>24</xdr:row>
      <xdr:rowOff>417517</xdr:rowOff>
    </xdr:from>
    <xdr:to>
      <xdr:col>19</xdr:col>
      <xdr:colOff>1785931</xdr:colOff>
      <xdr:row>26</xdr:row>
      <xdr:rowOff>168279</xdr:rowOff>
    </xdr:to>
    <xdr:sp macro="" textlink="">
      <xdr:nvSpPr>
        <xdr:cNvPr id="15" name="직사각형 14">
          <a:extLst>
            <a:ext uri="{FF2B5EF4-FFF2-40B4-BE49-F238E27FC236}">
              <a16:creationId xmlns:a16="http://schemas.microsoft.com/office/drawing/2014/main" id="{00000000-0008-0000-0500-00000F000000}"/>
            </a:ext>
          </a:extLst>
        </xdr:cNvPr>
        <xdr:cNvSpPr/>
      </xdr:nvSpPr>
      <xdr:spPr>
        <a:xfrm>
          <a:off x="2595557" y="20586705"/>
          <a:ext cx="9358312" cy="655637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판매량 현황</a:t>
          </a:r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928687</xdr:colOff>
          <xdr:row>28</xdr:row>
          <xdr:rowOff>195266</xdr:rowOff>
        </xdr:from>
        <xdr:to>
          <xdr:col>18</xdr:col>
          <xdr:colOff>2452687</xdr:colOff>
          <xdr:row>29</xdr:row>
          <xdr:rowOff>195266</xdr:rowOff>
        </xdr:to>
        <xdr:pic>
          <xdr:nvPicPr>
            <xdr:cNvPr id="18" name="그림 17">
              <a:extLst>
                <a:ext uri="{FF2B5EF4-FFF2-40B4-BE49-F238E27FC236}">
                  <a16:creationId xmlns:a16="http://schemas.microsoft.com/office/drawing/2014/main" id="{1239AEA7-5C8B-4C12-9DA9-0F33BCEF0E6B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2" spid="_x0000_s268401"/>
                </a:ext>
              </a:extLst>
            </xdr:cNvPicPr>
          </xdr:nvPicPr>
          <xdr:blipFill>
            <a:blip xmlns:r="http://schemas.openxmlformats.org/officeDocument/2006/relationships" r:embed="rId4"/>
            <a:srcRect/>
            <a:stretch>
              <a:fillRect/>
            </a:stretch>
          </xdr:blipFill>
          <xdr:spPr bwMode="auto">
            <a:xfrm>
              <a:off x="8620125" y="23341016"/>
              <a:ext cx="1524000" cy="452438"/>
            </a:xfrm>
            <a:prstGeom prst="rect">
              <a:avLst/>
            </a:prstGeom>
            <a:noFill/>
            <a:ln w="9525">
              <a:noFill/>
              <a:prstDash val="sysDot"/>
              <a:miter lim="800000"/>
              <a:headEnd/>
              <a:tailEnd/>
            </a:ln>
          </xdr:spPr>
        </xdr:pic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18</xdr:col>
          <xdr:colOff>928692</xdr:colOff>
          <xdr:row>51</xdr:row>
          <xdr:rowOff>171450</xdr:rowOff>
        </xdr:from>
        <xdr:to>
          <xdr:col>18</xdr:col>
          <xdr:colOff>2452692</xdr:colOff>
          <xdr:row>52</xdr:row>
          <xdr:rowOff>171451</xdr:rowOff>
        </xdr:to>
        <xdr:pic>
          <xdr:nvPicPr>
            <xdr:cNvPr id="19" name="그림 18">
              <a:extLst>
                <a:ext uri="{FF2B5EF4-FFF2-40B4-BE49-F238E27FC236}">
                  <a16:creationId xmlns:a16="http://schemas.microsoft.com/office/drawing/2014/main" id="{5C548C6C-C25C-4CCB-93F8-CB2F60BB49E2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L$23" spid="_x0000_s268402"/>
                </a:ext>
              </a:extLst>
            </xdr:cNvPicPr>
          </xdr:nvPicPr>
          <xdr:blipFill>
            <a:blip xmlns:r="http://schemas.openxmlformats.org/officeDocument/2006/relationships" r:embed="rId5"/>
            <a:srcRect/>
            <a:stretch>
              <a:fillRect/>
            </a:stretch>
          </xdr:blipFill>
          <xdr:spPr bwMode="auto">
            <a:xfrm>
              <a:off x="8620130" y="33723263"/>
              <a:ext cx="1524000" cy="452438"/>
            </a:xfrm>
            <a:prstGeom prst="rect">
              <a:avLst/>
            </a:prstGeom>
            <a:noFill/>
            <a:ln w="9525">
              <a:noFill/>
              <a:prstDash val="sysDash"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357184</xdr:colOff>
      <xdr:row>23</xdr:row>
      <xdr:rowOff>284863</xdr:rowOff>
    </xdr:from>
    <xdr:to>
      <xdr:col>5</xdr:col>
      <xdr:colOff>1595434</xdr:colOff>
      <xdr:row>25</xdr:row>
      <xdr:rowOff>127720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/>
      </xdr:nvSpPr>
      <xdr:spPr>
        <a:xfrm>
          <a:off x="3095622" y="20001613"/>
          <a:ext cx="8667750" cy="676295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계획대비 판매금액 현황</a:t>
          </a:r>
        </a:p>
      </xdr:txBody>
    </xdr:sp>
    <xdr:clientData/>
  </xdr:twoCellAnchor>
  <xdr:twoCellAnchor>
    <xdr:from>
      <xdr:col>7</xdr:col>
      <xdr:colOff>1467712</xdr:colOff>
      <xdr:row>23</xdr:row>
      <xdr:rowOff>357189</xdr:rowOff>
    </xdr:from>
    <xdr:to>
      <xdr:col>13</xdr:col>
      <xdr:colOff>1485030</xdr:colOff>
      <xdr:row>25</xdr:row>
      <xdr:rowOff>166690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/>
      </xdr:nvSpPr>
      <xdr:spPr>
        <a:xfrm>
          <a:off x="16588650" y="20073939"/>
          <a:ext cx="14876318" cy="642939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ko-KR" altLang="en-US" sz="4000" b="1">
              <a:solidFill>
                <a:sysClr val="windowText" lastClr="000000"/>
              </a:solidFill>
            </a:rPr>
            <a:t>구성비 현황</a:t>
          </a:r>
        </a:p>
      </xdr:txBody>
    </xdr:sp>
    <xdr:clientData/>
  </xdr:twoCellAnchor>
  <xdr:twoCellAnchor>
    <xdr:from>
      <xdr:col>7</xdr:col>
      <xdr:colOff>1333499</xdr:colOff>
      <xdr:row>26</xdr:row>
      <xdr:rowOff>27214</xdr:rowOff>
    </xdr:from>
    <xdr:to>
      <xdr:col>13</xdr:col>
      <xdr:colOff>1672648</xdr:colOff>
      <xdr:row>46</xdr:row>
      <xdr:rowOff>79375</xdr:rowOff>
    </xdr:to>
    <xdr:graphicFrame macro="">
      <xdr:nvGraphicFramePr>
        <xdr:cNvPr id="15" name="차트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1345638</xdr:colOff>
      <xdr:row>47</xdr:row>
      <xdr:rowOff>95252</xdr:rowOff>
    </xdr:from>
    <xdr:to>
      <xdr:col>13</xdr:col>
      <xdr:colOff>1634093</xdr:colOff>
      <xdr:row>67</xdr:row>
      <xdr:rowOff>313171</xdr:rowOff>
    </xdr:to>
    <xdr:graphicFrame macro="">
      <xdr:nvGraphicFramePr>
        <xdr:cNvPr id="16" name="차트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511966</xdr:colOff>
      <xdr:row>26</xdr:row>
      <xdr:rowOff>47624</xdr:rowOff>
    </xdr:from>
    <xdr:to>
      <xdr:col>7</xdr:col>
      <xdr:colOff>809624</xdr:colOff>
      <xdr:row>67</xdr:row>
      <xdr:rowOff>309562</xdr:rowOff>
    </xdr:to>
    <xdr:graphicFrame macro="">
      <xdr:nvGraphicFramePr>
        <xdr:cNvPr id="6" name="차트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4</xdr:col>
      <xdr:colOff>881062</xdr:colOff>
      <xdr:row>59</xdr:row>
      <xdr:rowOff>329047</xdr:rowOff>
    </xdr:from>
    <xdr:to>
      <xdr:col>5</xdr:col>
      <xdr:colOff>714374</xdr:colOff>
      <xdr:row>61</xdr:row>
      <xdr:rowOff>209986</xdr:rowOff>
    </xdr:to>
    <xdr:sp macro="" textlink="">
      <xdr:nvSpPr>
        <xdr:cNvPr id="8" name="직사각형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/>
      </xdr:nvSpPr>
      <xdr:spPr>
        <a:xfrm>
          <a:off x="8572500" y="35000047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97.2%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  <xdr:twoCellAnchor>
    <xdr:from>
      <xdr:col>4</xdr:col>
      <xdr:colOff>881063</xdr:colOff>
      <xdr:row>29</xdr:row>
      <xdr:rowOff>186170</xdr:rowOff>
    </xdr:from>
    <xdr:to>
      <xdr:col>5</xdr:col>
      <xdr:colOff>714375</xdr:colOff>
      <xdr:row>31</xdr:row>
      <xdr:rowOff>67109</xdr:rowOff>
    </xdr:to>
    <xdr:sp macro="" textlink="">
      <xdr:nvSpPr>
        <xdr:cNvPr id="9" name="직사각형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/>
      </xdr:nvSpPr>
      <xdr:spPr>
        <a:xfrm>
          <a:off x="8572501" y="23427170"/>
          <a:ext cx="2309812" cy="642939"/>
        </a:xfrm>
        <a:prstGeom prst="rect">
          <a:avLst/>
        </a:prstGeom>
        <a:noFill/>
        <a:ln>
          <a:noFill/>
        </a:ln>
      </xdr:spPr>
      <xdr:style>
        <a:lnRef idx="2">
          <a:schemeClr val="accent3"/>
        </a:lnRef>
        <a:fillRef idx="1">
          <a:schemeClr val="lt1"/>
        </a:fillRef>
        <a:effectRef idx="0">
          <a:schemeClr val="accent3"/>
        </a:effectRef>
        <a:fontRef idx="minor">
          <a:schemeClr val="dk1"/>
        </a:fontRef>
      </xdr:style>
      <xdr:txBody>
        <a:bodyPr wrap="square" rtlCol="0" anchor="ctr"/>
        <a:lstStyle>
          <a:lvl1pPr marL="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/>
          <a:r>
            <a:rPr lang="en-US" altLang="ko-KR" sz="2800" b="1" u="sng">
              <a:solidFill>
                <a:sysClr val="windowText" lastClr="000000"/>
              </a:solidFill>
            </a:rPr>
            <a:t>92.8%</a:t>
          </a:r>
          <a:endParaRPr lang="ko-KR" altLang="en-US" sz="2800" b="1" u="sng">
            <a:solidFill>
              <a:sysClr val="windowText" lastClr="000000"/>
            </a:solidFill>
          </a:endParaRPr>
        </a:p>
      </xdr:txBody>
    </xdr:sp>
    <xdr:clientData/>
  </xdr:twoCellAnchor>
</xdr:wsDr>
</file>

<file path=xl/drawings/drawing6.xml><?xml version="1.0" encoding="utf-8"?>
<c:userShapes xmlns:c="http://schemas.openxmlformats.org/drawingml/2006/chart">
  <cdr:relSizeAnchor xmlns:cdr="http://schemas.openxmlformats.org/drawingml/2006/chartDrawing">
    <cdr:from>
      <cdr:x>0.01004</cdr:x>
      <cdr:y>0.02214</cdr:y>
    </cdr:from>
    <cdr:to>
      <cdr:x>0.12402</cdr:x>
      <cdr:y>0.13388</cdr:y>
    </cdr:to>
    <cdr:sp macro="" textlink="">
      <cdr:nvSpPr>
        <cdr:cNvPr id="2" name="TextBox 5"/>
        <cdr:cNvSpPr txBox="1"/>
      </cdr:nvSpPr>
      <cdr:spPr>
        <a:xfrm xmlns:a="http://schemas.openxmlformats.org/drawingml/2006/main">
          <a:off x="133946" y="169833"/>
          <a:ext cx="1520581" cy="857287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당 월</a:t>
          </a:r>
        </a:p>
      </cdr:txBody>
    </cdr:sp>
  </cdr:relSizeAnchor>
</c:userShapes>
</file>

<file path=xl/drawings/drawing7.xml><?xml version="1.0" encoding="utf-8"?>
<c:userShapes xmlns:c="http://schemas.openxmlformats.org/drawingml/2006/chart">
  <cdr:relSizeAnchor xmlns:cdr="http://schemas.openxmlformats.org/drawingml/2006/chartDrawing">
    <cdr:from>
      <cdr:x>0.01018</cdr:x>
      <cdr:y>0.01546</cdr:y>
    </cdr:from>
    <cdr:to>
      <cdr:x>0.11812</cdr:x>
      <cdr:y>0.12384</cdr:y>
    </cdr:to>
    <cdr:sp macro="" textlink="">
      <cdr:nvSpPr>
        <cdr:cNvPr id="3" name="TextBox 9"/>
        <cdr:cNvSpPr txBox="1"/>
      </cdr:nvSpPr>
      <cdr:spPr>
        <a:xfrm xmlns:a="http://schemas.openxmlformats.org/drawingml/2006/main">
          <a:off x="135309" y="122263"/>
          <a:ext cx="1434531" cy="857216"/>
        </a:xfrm>
        <a:prstGeom xmlns:a="http://schemas.openxmlformats.org/drawingml/2006/main" prst="rect">
          <a:avLst/>
        </a:prstGeom>
        <a:solidFill xmlns:a="http://schemas.openxmlformats.org/drawingml/2006/main">
          <a:schemeClr val="lt1"/>
        </a:solidFill>
        <a:ln xmlns:a="http://schemas.openxmlformats.org/drawingml/2006/main" w="9525" cmpd="sng">
          <a:solidFill>
            <a:schemeClr val="lt1">
              <a:shade val="50000"/>
            </a:schemeClr>
          </a:solidFill>
        </a:ln>
      </cdr:spPr>
      <cdr:style>
        <a:lnRef xmlns:a="http://schemas.openxmlformats.org/drawingml/2006/main" idx="0">
          <a:scrgbClr r="0" g="0" b="0"/>
        </a:lnRef>
        <a:fillRef xmlns:a="http://schemas.openxmlformats.org/drawingml/2006/main" idx="0">
          <a:scrgbClr r="0" g="0" b="0"/>
        </a:fillRef>
        <a:effectRef xmlns:a="http://schemas.openxmlformats.org/drawingml/2006/main" idx="0">
          <a:scrgbClr r="0" g="0" b="0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square" rtlCol="0" anchor="ctr"/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/>
          <a:r>
            <a:rPr lang="ko-KR" altLang="en-US" sz="4000" b="1"/>
            <a:t>누 계</a:t>
          </a:r>
        </a:p>
      </cdr:txBody>
    </cdr:sp>
  </cdr:relSizeAnchor>
</c:userShapes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704850</xdr:colOff>
      <xdr:row>5</xdr:row>
      <xdr:rowOff>171450</xdr:rowOff>
    </xdr:from>
    <xdr:to>
      <xdr:col>15</xdr:col>
      <xdr:colOff>704850</xdr:colOff>
      <xdr:row>15</xdr:row>
      <xdr:rowOff>152400</xdr:rowOff>
    </xdr:to>
    <xdr:graphicFrame macro="">
      <xdr:nvGraphicFramePr>
        <xdr:cNvPr id="2" name="차트 1">
          <a:extLst>
            <a:ext uri="{FF2B5EF4-FFF2-40B4-BE49-F238E27FC236}">
              <a16:creationId xmlns:a16="http://schemas.microsoft.com/office/drawing/2014/main" id="{00000000-0008-0000-07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219075</xdr:colOff>
      <xdr:row>7</xdr:row>
      <xdr:rowOff>85725</xdr:rowOff>
    </xdr:from>
    <xdr:to>
      <xdr:col>5</xdr:col>
      <xdr:colOff>895350</xdr:colOff>
      <xdr:row>7</xdr:row>
      <xdr:rowOff>323850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SpPr/>
      </xdr:nvSpPr>
      <xdr:spPr>
        <a:xfrm>
          <a:off x="3495675" y="2619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8</xdr:row>
      <xdr:rowOff>76200</xdr:rowOff>
    </xdr:from>
    <xdr:to>
      <xdr:col>5</xdr:col>
      <xdr:colOff>895350</xdr:colOff>
      <xdr:row>8</xdr:row>
      <xdr:rowOff>314325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00000000-0008-0000-0A00-000003000000}"/>
            </a:ext>
          </a:extLst>
        </xdr:cNvPr>
        <xdr:cNvSpPr/>
      </xdr:nvSpPr>
      <xdr:spPr>
        <a:xfrm>
          <a:off x="3495675" y="3000375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9</xdr:row>
      <xdr:rowOff>95250</xdr:rowOff>
    </xdr:from>
    <xdr:to>
      <xdr:col>5</xdr:col>
      <xdr:colOff>895350</xdr:colOff>
      <xdr:row>9</xdr:row>
      <xdr:rowOff>333375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00000000-0008-0000-0A00-000004000000}"/>
            </a:ext>
          </a:extLst>
        </xdr:cNvPr>
        <xdr:cNvSpPr/>
      </xdr:nvSpPr>
      <xdr:spPr>
        <a:xfrm>
          <a:off x="3400425" y="3609975"/>
          <a:ext cx="1828800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xdr:twoCellAnchor>
    <xdr:from>
      <xdr:col>4</xdr:col>
      <xdr:colOff>219075</xdr:colOff>
      <xdr:row>10</xdr:row>
      <xdr:rowOff>104775</xdr:rowOff>
    </xdr:from>
    <xdr:to>
      <xdr:col>5</xdr:col>
      <xdr:colOff>895350</xdr:colOff>
      <xdr:row>10</xdr:row>
      <xdr:rowOff>342900</xdr:rowOff>
    </xdr:to>
    <xdr:sp macro="" textlink="">
      <xdr:nvSpPr>
        <xdr:cNvPr id="5" name="직사각형 4">
          <a:extLst>
            <a:ext uri="{FF2B5EF4-FFF2-40B4-BE49-F238E27FC236}">
              <a16:creationId xmlns:a16="http://schemas.microsoft.com/office/drawing/2014/main" id="{00000000-0008-0000-0A00-000005000000}"/>
            </a:ext>
          </a:extLst>
        </xdr:cNvPr>
        <xdr:cNvSpPr/>
      </xdr:nvSpPr>
      <xdr:spPr>
        <a:xfrm>
          <a:off x="3495675" y="3810000"/>
          <a:ext cx="1952625" cy="238125"/>
        </a:xfrm>
        <a:prstGeom prst="rect">
          <a:avLst/>
        </a:prstGeom>
        <a:solidFill>
          <a:srgbClr val="FFD757">
            <a:alpha val="20000"/>
          </a:srgbClr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  <mc:AlternateContent xmlns:mc="http://schemas.openxmlformats.org/markup-compatibility/2006">
    <mc:Choice xmlns:a14="http://schemas.microsoft.com/office/drawing/2010/main" Requires="a14">
      <xdr:twoCellAnchor editAs="oneCell">
        <xdr:from>
          <xdr:col>9</xdr:col>
          <xdr:colOff>171450</xdr:colOff>
          <xdr:row>1</xdr:row>
          <xdr:rowOff>76200</xdr:rowOff>
        </xdr:from>
        <xdr:to>
          <xdr:col>20</xdr:col>
          <xdr:colOff>38100</xdr:colOff>
          <xdr:row>16</xdr:row>
          <xdr:rowOff>28575</xdr:rowOff>
        </xdr:to>
        <xdr:pic>
          <xdr:nvPicPr>
            <xdr:cNvPr id="6" name="그림 5">
              <a:extLst>
                <a:ext uri="{FF2B5EF4-FFF2-40B4-BE49-F238E27FC236}">
                  <a16:creationId xmlns:a16="http://schemas.microsoft.com/office/drawing/2014/main" id="{00000000-0008-0000-0A00-000006000000}"/>
                </a:ext>
              </a:extLst>
            </xdr:cNvPr>
            <xdr:cNvPicPr>
              <a:picLocks noChangeAspect="1" noChangeArrowheads="1"/>
              <a:extLst>
                <a:ext uri="{84589F7E-364E-4C9E-8A38-B11213B215E9}">
                  <a14:cameraTool cellRange="$A$2:$I$16" spid="_x0000_s223053"/>
                </a:ext>
              </a:extLst>
            </xdr:cNvPicPr>
          </xdr:nvPicPr>
          <xdr:blipFill>
            <a:blip xmlns:r="http://schemas.openxmlformats.org/officeDocument/2006/relationships" r:embed="rId1"/>
            <a:srcRect/>
            <a:stretch>
              <a:fillRect/>
            </a:stretch>
          </xdr:blipFill>
          <xdr:spPr bwMode="auto">
            <a:xfrm>
              <a:off x="8724900" y="466725"/>
              <a:ext cx="8248650" cy="5210175"/>
            </a:xfrm>
            <a:prstGeom prst="rect">
              <a:avLst/>
            </a:prstGeom>
            <a:solidFill>
              <a:srgbClr val="FFFFFF" mc:Ignorable="a14" a14:legacySpreadsheetColorIndex="9"/>
            </a:solidFill>
            <a:ln w="9525">
              <a:noFill/>
              <a:miter lim="800000"/>
              <a:headEnd/>
              <a:tailEnd/>
            </a:ln>
          </xdr:spPr>
        </xdr:pic>
        <xdr:clientData/>
      </xdr:twoCellAnchor>
    </mc:Choice>
    <mc:Fallback/>
  </mc:AlternateContent>
</xdr:wsDr>
</file>

<file path=xl/drawings/drawing10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57150</xdr:colOff>
      <xdr:row>3</xdr:row>
      <xdr:rowOff>57150</xdr:rowOff>
    </xdr:from>
    <xdr:to>
      <xdr:col>20</xdr:col>
      <xdr:colOff>608388</xdr:colOff>
      <xdr:row>37</xdr:row>
      <xdr:rowOff>56379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ECDC4DBA-A8AA-4DDB-A08B-81287AF133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944225" y="685800"/>
          <a:ext cx="9695238" cy="6171429"/>
        </a:xfrm>
        <a:prstGeom prst="rect">
          <a:avLst/>
        </a:prstGeom>
      </xdr:spPr>
    </xdr:pic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123825</xdr:rowOff>
    </xdr:from>
    <xdr:to>
      <xdr:col>10</xdr:col>
      <xdr:colOff>303821</xdr:colOff>
      <xdr:row>21</xdr:row>
      <xdr:rowOff>75756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96A889EB-457E-4C64-ABCA-70BD5A3E58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250" y="123825"/>
          <a:ext cx="7828571" cy="35523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1&#50900;&#48516;(202502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1__GM&#50629;&#47924;&#50857;/1__&#48716;&#47553;32G/(&#47588;&#50900;)05&#51068;__&#47588;&#52636;&#47560;&#44048;(&#50900;)/2025&#45380;02&#50900;&#48516;(20250305&#51089;&#50629;)/1__&#49324;&#51204;&#51456;&#48708;(25&#51068;&#44221;)/()%2025&#45380;%20&#49324;&#50629;&#44228;&#54925;%20&#51089;&#49457;(CS&#48376;&#48512;%20CS&#48716;&#47553;&#54016;)_241028_normal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1.&#49688;&#45225;&#51452;&#50836;&#50629;&#47924;/10.%20&#50900;%20&#47588;&#52636;%20&#47560;&#44048;/2023&#45380;/&#54620;&#49884;&#51201;&#54624;&#51064;%20&#44288;&#47144;/(&#51204;&#49328;&#51088;&#47308;)%20&#52397;&#44396;&#50900;%20&#44592;&#51456;%20&#49324;&#54924;&#48373;&#51648;&#49884;&#49444;%20&#49345;&#54408;,&#45225;&#44592;&#48324;%20&#54032;&#47588;&#47049;%20&#51665;&#44228;_2023030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표지"/>
      <sheetName val="1. 24년 실적 총현황"/>
      <sheetName val="1-1. 24년 기타경비 실적"/>
      <sheetName val="1-2. 24년판매실적(재고)"/>
      <sheetName val="1-3. 판매비실적(1)"/>
      <sheetName val="1-3. 판매비실적(2)"/>
      <sheetName val="1-3. 판매비실적(2-1)"/>
      <sheetName val="2. 23년 신규투자 실적"/>
      <sheetName val="2-1. 24년 신규투자 실적계획"/>
      <sheetName val="2. 신규투자 실적 계획"/>
      <sheetName val="2. 신규투자 현황"/>
      <sheetName val="2-1. '24년 실적"/>
      <sheetName val="2-2. '25년 계획"/>
      <sheetName val="2-3. 중장기 신규투자 계획"/>
      <sheetName val="3. 총괄표"/>
      <sheetName val="3. 25년 사업계획 총현황"/>
      <sheetName val="3-1. 25년 기타경비 계획"/>
      <sheetName val="3-2. 25년판매계획(재고)"/>
      <sheetName val="3-3. 판매비계획(1)"/>
      <sheetName val="3-3. 판매비계획(2)"/>
      <sheetName val="3-3. 판매비계획(2-1)"/>
      <sheetName val="3-4. 기타경비(중장기)"/>
      <sheetName val="3-4. 26년판매계획(재고)"/>
      <sheetName val="3-4. 26년판매비계획1"/>
      <sheetName val="3-4. 26년판매비계획2"/>
      <sheetName val="3-4. 26년판매비계획2-1"/>
      <sheetName val="3-4. 27년판매계획(재고)"/>
      <sheetName val="3-4. 27년판매비계획1"/>
      <sheetName val="3-4. 27년판매비계획2"/>
      <sheetName val="3-4. 27년판매비계획2-1"/>
      <sheetName val="분석(공급량및판매량))"/>
      <sheetName val="전자청구(카카오&amp;EBPP)"/>
      <sheetName val="문자수수료"/>
      <sheetName val="수납수수료"/>
      <sheetName val="책임수납"/>
      <sheetName val="연체료"/>
      <sheetName val="우편수수료"/>
      <sheetName val="유치수수료"/>
      <sheetName val="전출수수료"/>
      <sheetName val="사회배려대상"/>
      <sheetName val="수수료 등(전표)"/>
      <sheetName val="기타후생,광고(전표)"/>
      <sheetName val="교육실적 및 계획"/>
      <sheetName val="2024년 사업계획(원)"/>
      <sheetName val="2024년 판매비1(원)"/>
      <sheetName val="2024년 판매비2(원)"/>
      <sheetName val="2024년 기타경비(원)"/>
      <sheetName val="2023년 실적(재고)"/>
      <sheetName val="2023년 경비실적"/>
      <sheetName val="2023년 판매비1실적"/>
      <sheetName val="2023년 판매비2실적"/>
      <sheetName val="2023년 판매비2-1실적"/>
    </sheetNames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(수정)주택용 등 재정산 집계"/>
      <sheetName val="가스공사 할인단가"/>
      <sheetName val="가스공사확정청구 기정산"/>
      <sheetName val="(전산)집계"/>
      <sheetName val="상세"/>
      <sheetName val="Sheet3"/>
    </sheetNames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2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4.xml"/><Relationship Id="rId2" Type="http://schemas.openxmlformats.org/officeDocument/2006/relationships/vmlDrawing" Target="../drawings/vmlDrawing4.v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5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6.vml"/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5.bin"/><Relationship Id="rId4" Type="http://schemas.openxmlformats.org/officeDocument/2006/relationships/comments" Target="../comments5.xm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7.bin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7.vml"/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8.bin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0.xml"/><Relationship Id="rId1" Type="http://schemas.openxmlformats.org/officeDocument/2006/relationships/printerSettings" Target="../printerSettings/printerSettings9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0000FF"/>
    <pageSetUpPr fitToPage="1"/>
  </sheetPr>
  <dimension ref="A1:BA92"/>
  <sheetViews>
    <sheetView showGridLines="0" tabSelected="1" zoomScale="80" zoomScaleNormal="80" workbookViewId="0">
      <selection activeCell="E2" sqref="E2"/>
    </sheetView>
  </sheetViews>
  <sheetFormatPr defaultColWidth="8.88671875" defaultRowHeight="12" outlineLevelCol="1"/>
  <cols>
    <col min="1" max="1" width="4" style="7" customWidth="1"/>
    <col min="2" max="2" width="11.44140625" style="7" customWidth="1"/>
    <col min="3" max="3" width="11.33203125" style="7" customWidth="1"/>
    <col min="4" max="4" width="10.88671875" style="7" customWidth="1"/>
    <col min="5" max="5" width="11.33203125" style="7" customWidth="1"/>
    <col min="6" max="6" width="10.77734375" style="7" customWidth="1"/>
    <col min="7" max="7" width="9.77734375" style="7" customWidth="1"/>
    <col min="8" max="8" width="6.77734375" style="7" customWidth="1"/>
    <col min="9" max="9" width="8.109375" style="7" customWidth="1"/>
    <col min="10" max="10" width="12.21875" style="7" customWidth="1"/>
    <col min="11" max="11" width="12" style="7" customWidth="1"/>
    <col min="12" max="12" width="12.5546875" style="7" customWidth="1"/>
    <col min="13" max="13" width="11.44140625" style="7" customWidth="1"/>
    <col min="14" max="14" width="11.21875" style="7" customWidth="1"/>
    <col min="15" max="15" width="6.44140625" style="7" customWidth="1"/>
    <col min="16" max="16" width="7.33203125" style="7" customWidth="1"/>
    <col min="17" max="17" width="1.6640625" style="7" customWidth="1"/>
    <col min="18" max="18" width="7.6640625" style="7" hidden="1" customWidth="1" outlineLevel="1"/>
    <col min="19" max="21" width="9.5546875" style="7" hidden="1" customWidth="1" outlineLevel="1"/>
    <col min="22" max="22" width="11.44140625" style="7" hidden="1" customWidth="1" outlineLevel="1"/>
    <col min="23" max="23" width="10.33203125" style="7" hidden="1" customWidth="1" outlineLevel="1"/>
    <col min="24" max="24" width="11.77734375" style="7" hidden="1" customWidth="1" outlineLevel="1"/>
    <col min="25" max="25" width="10.77734375" style="7" hidden="1" customWidth="1" outlineLevel="1"/>
    <col min="26" max="30" width="10.44140625" style="7" hidden="1" customWidth="1" outlineLevel="1"/>
    <col min="31" max="31" width="10.44140625" style="7" customWidth="1" collapsed="1"/>
    <col min="32" max="46" width="10.44140625" style="7" customWidth="1"/>
    <col min="47" max="16384" width="8.88671875" style="7"/>
  </cols>
  <sheetData>
    <row r="1" spans="1:29" ht="7.5" customHeight="1"/>
    <row r="2" spans="1:29" ht="58.5" customHeight="1">
      <c r="A2" s="950" t="s">
        <v>464</v>
      </c>
      <c r="B2" s="947"/>
      <c r="C2" s="953"/>
      <c r="D2" s="953"/>
      <c r="E2" s="953"/>
      <c r="F2" s="871"/>
      <c r="G2" s="871"/>
      <c r="H2" s="871"/>
      <c r="I2" s="871"/>
      <c r="J2" s="871"/>
      <c r="K2" s="871"/>
      <c r="L2" s="871"/>
      <c r="M2" s="871"/>
      <c r="N2" s="871"/>
      <c r="O2" s="871"/>
      <c r="P2" s="871"/>
      <c r="Q2" s="871"/>
      <c r="R2" s="31" t="s">
        <v>256</v>
      </c>
      <c r="S2" s="871"/>
      <c r="T2" s="871"/>
      <c r="U2" s="871"/>
      <c r="V2" s="872"/>
      <c r="W2" s="873"/>
    </row>
    <row r="3" spans="1:29" ht="36" customHeight="1">
      <c r="A3" s="398" t="s">
        <v>56</v>
      </c>
      <c r="I3" s="871"/>
      <c r="R3" s="31" t="s">
        <v>63</v>
      </c>
      <c r="V3" s="875" t="s">
        <v>459</v>
      </c>
    </row>
    <row r="4" spans="1:29" ht="4.5" customHeight="1" thickBot="1">
      <c r="A4" s="874"/>
    </row>
    <row r="5" spans="1:29" ht="26.25" customHeight="1">
      <c r="A5" s="1043" t="s">
        <v>118</v>
      </c>
      <c r="B5" s="1055"/>
      <c r="C5" s="1066" t="s">
        <v>20</v>
      </c>
      <c r="D5" s="1067"/>
      <c r="E5" s="1067"/>
      <c r="F5" s="1067"/>
      <c r="G5" s="1067"/>
      <c r="H5" s="1067"/>
      <c r="I5" s="1067"/>
      <c r="J5" s="1068" t="s">
        <v>246</v>
      </c>
      <c r="K5" s="1067"/>
      <c r="L5" s="1067"/>
      <c r="M5" s="1067"/>
      <c r="N5" s="1067"/>
      <c r="O5" s="1067"/>
      <c r="P5" s="1069"/>
      <c r="Q5" s="254"/>
      <c r="R5" s="1019" t="s">
        <v>248</v>
      </c>
      <c r="S5" s="1019"/>
      <c r="T5" s="1058" t="s">
        <v>249</v>
      </c>
      <c r="U5" s="1059"/>
      <c r="V5" s="1063" t="s">
        <v>255</v>
      </c>
      <c r="W5" s="1064"/>
      <c r="X5" s="1064"/>
      <c r="Y5" s="1065"/>
      <c r="AA5"/>
      <c r="AB5"/>
      <c r="AC5"/>
    </row>
    <row r="6" spans="1:29" ht="26.25" customHeight="1">
      <c r="A6" s="1045"/>
      <c r="B6" s="1056"/>
      <c r="C6" s="277" t="s">
        <v>257</v>
      </c>
      <c r="D6" s="278" t="s">
        <v>258</v>
      </c>
      <c r="E6" s="278" t="s">
        <v>259</v>
      </c>
      <c r="F6" s="423" t="s">
        <v>260</v>
      </c>
      <c r="G6" s="280" t="s">
        <v>261</v>
      </c>
      <c r="H6" s="279" t="s">
        <v>260</v>
      </c>
      <c r="I6" s="278" t="s">
        <v>262</v>
      </c>
      <c r="J6" s="281" t="s">
        <v>257</v>
      </c>
      <c r="K6" s="278" t="s">
        <v>258</v>
      </c>
      <c r="L6" s="278" t="s">
        <v>259</v>
      </c>
      <c r="M6" s="279" t="s">
        <v>260</v>
      </c>
      <c r="N6" s="280" t="s">
        <v>261</v>
      </c>
      <c r="O6" s="279" t="s">
        <v>260</v>
      </c>
      <c r="P6" s="282" t="s">
        <v>262</v>
      </c>
      <c r="Q6" s="12"/>
      <c r="R6" s="1019"/>
      <c r="S6" s="1019"/>
      <c r="T6" s="867" t="s">
        <v>250</v>
      </c>
      <c r="U6" s="255" t="s">
        <v>251</v>
      </c>
      <c r="V6" s="257" t="s">
        <v>64</v>
      </c>
      <c r="W6" s="867" t="s">
        <v>100</v>
      </c>
      <c r="X6" s="867" t="s">
        <v>65</v>
      </c>
      <c r="Y6" s="258" t="s">
        <v>66</v>
      </c>
      <c r="AA6"/>
      <c r="AB6"/>
      <c r="AC6"/>
    </row>
    <row r="7" spans="1:29" ht="26.25" customHeight="1">
      <c r="A7" s="1047" t="s">
        <v>370</v>
      </c>
      <c r="B7" s="283" t="s">
        <v>28</v>
      </c>
      <c r="C7" s="892">
        <v>17291</v>
      </c>
      <c r="D7" s="284">
        <f>(매출액표!D23)/1000</f>
        <v>479.53624539999998</v>
      </c>
      <c r="E7" s="284">
        <f>ROUND((매출액표!E23)/1000,0)</f>
        <v>20514</v>
      </c>
      <c r="F7" s="285">
        <f>ROUND(E7/C7*100,1)</f>
        <v>118.6</v>
      </c>
      <c r="G7" s="898">
        <v>21626</v>
      </c>
      <c r="H7" s="286">
        <f t="shared" ref="H7:H16" si="0">E7/G7*100</f>
        <v>94.858041246647545</v>
      </c>
      <c r="I7" s="287">
        <f>IF(E7=MAX($E$7:$E$10,$E$12:$E$21),MAX($T$7:$T$21)+(100-SUM($T$7:$T$21)),T7)</f>
        <v>0.7</v>
      </c>
      <c r="J7" s="728">
        <f t="shared" ref="J7:L10" si="1">C7+V7</f>
        <v>107636</v>
      </c>
      <c r="K7" s="729">
        <f t="shared" si="1"/>
        <v>2555.6041722</v>
      </c>
      <c r="L7" s="284">
        <f t="shared" si="1"/>
        <v>109579</v>
      </c>
      <c r="M7" s="288">
        <f t="shared" ref="M7:M24" si="2">L7/J7*100</f>
        <v>101.80515812553421</v>
      </c>
      <c r="N7" s="730">
        <f>G7+Y7</f>
        <v>115989</v>
      </c>
      <c r="O7" s="285">
        <f t="shared" ref="O7:O16" si="3">L7/N7*100</f>
        <v>94.473613877178011</v>
      </c>
      <c r="P7" s="289">
        <f>IF(L7=MAX($L$7:$L$10,$L$12:$L$21),MAX($U$7:$U$21)+(100-SUM($U$7:$U$21)),U7)</f>
        <v>0.4</v>
      </c>
      <c r="R7" s="1022" t="s">
        <v>25</v>
      </c>
      <c r="S7" s="868" t="s">
        <v>37</v>
      </c>
      <c r="T7" s="260">
        <f>ROUND(E7/$E$23*100,1)</f>
        <v>0.7</v>
      </c>
      <c r="U7" s="260">
        <f>ROUND(L7/$L$23*100,1)</f>
        <v>0.4</v>
      </c>
      <c r="V7" s="883">
        <v>90345</v>
      </c>
      <c r="W7" s="884">
        <v>2076.0679267999999</v>
      </c>
      <c r="X7" s="884">
        <v>89065</v>
      </c>
      <c r="Y7" s="885">
        <v>94363</v>
      </c>
      <c r="AA7"/>
      <c r="AB7"/>
      <c r="AC7"/>
    </row>
    <row r="8" spans="1:29" ht="26.25" customHeight="1">
      <c r="A8" s="1048"/>
      <c r="B8" s="290" t="s">
        <v>156</v>
      </c>
      <c r="C8" s="893">
        <v>1551370</v>
      </c>
      <c r="D8" s="291">
        <f>(매출액표!D31+매출액표!D36)/1000</f>
        <v>36789.914156399995</v>
      </c>
      <c r="E8" s="291">
        <f>ROUND((매출액표!E31+매출액표!E36)/1000,0)-1</f>
        <v>1565946</v>
      </c>
      <c r="F8" s="292">
        <f>ROUND(E8/C8*100,1)</f>
        <v>100.9</v>
      </c>
      <c r="G8" s="899">
        <v>1386865</v>
      </c>
      <c r="H8" s="293">
        <f t="shared" si="0"/>
        <v>112.91264831111896</v>
      </c>
      <c r="I8" s="294">
        <f>IF(E8=MAX($E$7:$E$10,$E$12:$E$21),MAX($T$7:$T$21)+(100-SUM($T$7:$T$21)),T8)</f>
        <v>52.100000000000009</v>
      </c>
      <c r="J8" s="731">
        <f>C8+V8</f>
        <v>18563796</v>
      </c>
      <c r="K8" s="295">
        <f t="shared" si="1"/>
        <v>442361.67624789994</v>
      </c>
      <c r="L8" s="291">
        <f t="shared" si="1"/>
        <v>18973747</v>
      </c>
      <c r="M8" s="296">
        <f t="shared" si="2"/>
        <v>102.20833605368212</v>
      </c>
      <c r="N8" s="732">
        <f>G8+Y8</f>
        <v>17937817</v>
      </c>
      <c r="O8" s="297">
        <f t="shared" si="3"/>
        <v>105.77511745158287</v>
      </c>
      <c r="P8" s="298">
        <f>IF(L8=MAX($L$7:$L$10,$L$12:$L$21),MAX($U$7:$U$21)+(100-SUM($U$7:$U$21)),U8)</f>
        <v>67.599999999999994</v>
      </c>
      <c r="R8" s="1022"/>
      <c r="S8" s="868" t="s">
        <v>187</v>
      </c>
      <c r="T8" s="260">
        <f>ROUND(E8/$E$23*100,1)</f>
        <v>52</v>
      </c>
      <c r="U8" s="260">
        <f>ROUND(L8/$L$23*100,1)</f>
        <v>67.5</v>
      </c>
      <c r="V8" s="883">
        <v>17012426</v>
      </c>
      <c r="W8" s="884">
        <v>405571.76209149993</v>
      </c>
      <c r="X8" s="884">
        <v>17407801</v>
      </c>
      <c r="Y8" s="885">
        <v>16550952</v>
      </c>
      <c r="AA8"/>
      <c r="AB8"/>
      <c r="AC8"/>
    </row>
    <row r="9" spans="1:29" ht="26.25" customHeight="1">
      <c r="A9" s="1048"/>
      <c r="B9" s="290" t="s">
        <v>190</v>
      </c>
      <c r="C9" s="893">
        <v>27108</v>
      </c>
      <c r="D9" s="291">
        <f>매출액표!D40/1000</f>
        <v>612.43204689999993</v>
      </c>
      <c r="E9" s="291">
        <f>ROUND(매출액표!E40/1000,0)</f>
        <v>26084</v>
      </c>
      <c r="F9" s="292">
        <f>ROUND(E9/C9*100,1)</f>
        <v>96.2</v>
      </c>
      <c r="G9" s="899">
        <v>25664</v>
      </c>
      <c r="H9" s="293">
        <f t="shared" si="0"/>
        <v>101.6365336658354</v>
      </c>
      <c r="I9" s="294">
        <f>IF(E9=MAX($E$7:$E$10,$E$12:$E$21),MAX($T$7:$T$21)+(100-SUM($T$7:$T$21)),T9)</f>
        <v>0.9</v>
      </c>
      <c r="J9" s="731">
        <f t="shared" si="1"/>
        <v>344476</v>
      </c>
      <c r="K9" s="295">
        <f t="shared" si="1"/>
        <v>8693.0148634999987</v>
      </c>
      <c r="L9" s="291">
        <f t="shared" si="1"/>
        <v>372837</v>
      </c>
      <c r="M9" s="296">
        <f t="shared" si="2"/>
        <v>108.23308445290817</v>
      </c>
      <c r="N9" s="732">
        <f>G9+Y9</f>
        <v>355514</v>
      </c>
      <c r="O9" s="297">
        <f t="shared" si="3"/>
        <v>104.87266324251647</v>
      </c>
      <c r="P9" s="298">
        <f>IF(L9=MAX($L$7:$L$10,$L$12:$L$21),MAX($U$7:$U$21)+(100-SUM($U$7:$U$21)),U9)</f>
        <v>1.3</v>
      </c>
      <c r="R9" s="1022"/>
      <c r="S9" s="868" t="s">
        <v>188</v>
      </c>
      <c r="T9" s="260">
        <f>ROUND(E9/$E$23*100,1)</f>
        <v>0.9</v>
      </c>
      <c r="U9" s="260">
        <f>ROUND(L9/$L$23*100,1)</f>
        <v>1.3</v>
      </c>
      <c r="V9" s="883">
        <v>317368</v>
      </c>
      <c r="W9" s="884">
        <v>8080.5828165999992</v>
      </c>
      <c r="X9" s="884">
        <v>346753</v>
      </c>
      <c r="Y9" s="885">
        <v>329850</v>
      </c>
      <c r="AA9"/>
      <c r="AB9"/>
      <c r="AC9"/>
    </row>
    <row r="10" spans="1:29" ht="26.25" customHeight="1">
      <c r="A10" s="1048"/>
      <c r="B10" s="299" t="s">
        <v>157</v>
      </c>
      <c r="C10" s="894">
        <v>11990</v>
      </c>
      <c r="D10" s="300">
        <f>(매출액표!D43)/1000</f>
        <v>246.29400000000001</v>
      </c>
      <c r="E10" s="300">
        <f>ROUND((매출액표!E43)/1000,0)</f>
        <v>10497</v>
      </c>
      <c r="F10" s="301">
        <f>ROUND(E10/C10*100,1)</f>
        <v>87.5</v>
      </c>
      <c r="G10" s="900">
        <v>9216</v>
      </c>
      <c r="H10" s="302">
        <f t="shared" si="0"/>
        <v>113.89973958333333</v>
      </c>
      <c r="I10" s="303">
        <f>IF(E10=MAX($E$7:$E$10,$E$12:$E$21),MAX($T$7:$T$21)+(100-SUM($T$7:$T$21)),T10)</f>
        <v>0.3</v>
      </c>
      <c r="J10" s="733">
        <f t="shared" si="1"/>
        <v>230960</v>
      </c>
      <c r="K10" s="304">
        <f t="shared" si="1"/>
        <v>5066.866</v>
      </c>
      <c r="L10" s="300">
        <f t="shared" si="1"/>
        <v>217406</v>
      </c>
      <c r="M10" s="305">
        <f t="shared" si="2"/>
        <v>94.131451333564257</v>
      </c>
      <c r="N10" s="734">
        <f>G10+Y10</f>
        <v>210827</v>
      </c>
      <c r="O10" s="306">
        <f t="shared" si="3"/>
        <v>103.12056804868446</v>
      </c>
      <c r="P10" s="307">
        <f>IF(L10=MAX($L$7:$L$10,$L$12:$L$21),MAX($U$7:$U$21)+(100-SUM($U$7:$U$21)),U10)</f>
        <v>0.8</v>
      </c>
      <c r="R10" s="1022"/>
      <c r="S10" s="868" t="s">
        <v>189</v>
      </c>
      <c r="T10" s="260">
        <f>ROUND(E10/$E$23*100,1)</f>
        <v>0.3</v>
      </c>
      <c r="U10" s="260">
        <f>ROUND(L10/$L$23*100,1)</f>
        <v>0.8</v>
      </c>
      <c r="V10" s="883">
        <v>218970</v>
      </c>
      <c r="W10" s="884">
        <v>4820.5720000000001</v>
      </c>
      <c r="X10" s="884">
        <v>206909</v>
      </c>
      <c r="Y10" s="885">
        <v>201611</v>
      </c>
      <c r="AA10"/>
      <c r="AB10"/>
      <c r="AC10"/>
    </row>
    <row r="11" spans="1:29" ht="26.25" customHeight="1">
      <c r="A11" s="1049"/>
      <c r="B11" s="308" t="s">
        <v>41</v>
      </c>
      <c r="C11" s="309">
        <f>ROUND(SUM(C7:C10),0)</f>
        <v>1607759</v>
      </c>
      <c r="D11" s="310">
        <f>SUM(D7:D10)</f>
        <v>38128.176448699996</v>
      </c>
      <c r="E11" s="310">
        <f>SUM(E7:E10)</f>
        <v>1623041</v>
      </c>
      <c r="F11" s="311">
        <f>E11/C11*100</f>
        <v>100.95051559344404</v>
      </c>
      <c r="G11" s="312">
        <f>SUM(G7:G10)</f>
        <v>1443371</v>
      </c>
      <c r="H11" s="313">
        <f t="shared" si="0"/>
        <v>112.4479430444425</v>
      </c>
      <c r="I11" s="314">
        <f>SUM(I7:I10)</f>
        <v>54.000000000000007</v>
      </c>
      <c r="J11" s="315">
        <f>ROUNDUP(SUM(J7:J10),0)</f>
        <v>19246868</v>
      </c>
      <c r="K11" s="310">
        <f>SUM(K7:K10)</f>
        <v>458677.16128359997</v>
      </c>
      <c r="L11" s="316">
        <f>SUM(L7:L10)</f>
        <v>19673569</v>
      </c>
      <c r="M11" s="317">
        <f t="shared" si="2"/>
        <v>102.21698927846339</v>
      </c>
      <c r="N11" s="318">
        <f>SUM(N7:N10)</f>
        <v>18620147</v>
      </c>
      <c r="O11" s="319">
        <f t="shared" si="3"/>
        <v>105.65743116850797</v>
      </c>
      <c r="P11" s="320">
        <f>SUM(P7:P10)</f>
        <v>70.099999999999994</v>
      </c>
      <c r="R11" s="1022"/>
      <c r="S11" s="870" t="s">
        <v>17</v>
      </c>
      <c r="T11" s="276"/>
      <c r="U11" s="276"/>
      <c r="V11" s="735">
        <f>ROUNDUP(SUM(V7:V10),0)</f>
        <v>17639109</v>
      </c>
      <c r="W11" s="736">
        <f t="shared" ref="W11:Y11" si="4">SUM(W7:W10)</f>
        <v>420548.98483489989</v>
      </c>
      <c r="X11" s="736">
        <f t="shared" si="4"/>
        <v>18050528</v>
      </c>
      <c r="Y11" s="737">
        <f t="shared" si="4"/>
        <v>17176776</v>
      </c>
      <c r="AA11"/>
      <c r="AB11"/>
      <c r="AC11"/>
    </row>
    <row r="12" spans="1:29" ht="26.25" customHeight="1">
      <c r="A12" s="1040" t="s">
        <v>239</v>
      </c>
      <c r="B12" s="1041"/>
      <c r="C12" s="895">
        <v>280557</v>
      </c>
      <c r="D12" s="321">
        <f>매출액표!D54/1000</f>
        <v>6791.0177045</v>
      </c>
      <c r="E12" s="751">
        <f>ROUND(매출액표!E54/1000,0)</f>
        <v>289022</v>
      </c>
      <c r="F12" s="322">
        <f t="shared" ref="F12:F21" si="5">ROUND(E12/C12*100,1)</f>
        <v>103</v>
      </c>
      <c r="G12" s="901">
        <v>285280.6019673</v>
      </c>
      <c r="H12" s="323">
        <f t="shared" si="0"/>
        <v>101.31147999790355</v>
      </c>
      <c r="I12" s="287">
        <f t="shared" ref="I12:I21" si="6">IF(E12=MAX($E$7:$E$10,$E$12:$E$21),MAX($T$7:$T$21)+(100-SUM($T$7:$T$21)),T12)</f>
        <v>9.6</v>
      </c>
      <c r="J12" s="738">
        <f t="shared" ref="J12:J21" si="7">C12+V12</f>
        <v>1759015</v>
      </c>
      <c r="K12" s="321">
        <f t="shared" ref="K12:K21" si="8">D12+W12</f>
        <v>40387.041855100004</v>
      </c>
      <c r="L12" s="324">
        <f t="shared" ref="L12:L21" si="9">E12+X12</f>
        <v>1730855</v>
      </c>
      <c r="M12" s="495">
        <f t="shared" si="2"/>
        <v>98.399104044024639</v>
      </c>
      <c r="N12" s="739">
        <f t="shared" ref="N12:N21" si="10">G12+Y12</f>
        <v>1738824.872866</v>
      </c>
      <c r="O12" s="325">
        <f t="shared" si="3"/>
        <v>99.541651779292536</v>
      </c>
      <c r="P12" s="289">
        <f t="shared" ref="P12:P21" si="11">IF(L12=MAX($L$7:$L$10,$L$12:$L$21),MAX($U$7:$U$21)+(100-SUM($U$7:$U$21)),U12)</f>
        <v>6.2</v>
      </c>
      <c r="R12" s="1021" t="s">
        <v>39</v>
      </c>
      <c r="S12" s="1021"/>
      <c r="T12" s="260">
        <f t="shared" ref="T12:T21" si="12">ROUND(E12/$E$23*100,1)</f>
        <v>9.6</v>
      </c>
      <c r="U12" s="260">
        <f t="shared" ref="U12:U21" si="13">ROUND(L12/$L$23*100,1)</f>
        <v>6.2</v>
      </c>
      <c r="V12" s="883">
        <v>1478458</v>
      </c>
      <c r="W12" s="884">
        <v>33596.024150600002</v>
      </c>
      <c r="X12" s="884">
        <v>1441833</v>
      </c>
      <c r="Y12" s="885">
        <v>1453544.2708987</v>
      </c>
      <c r="AA12"/>
      <c r="AB12"/>
      <c r="AC12"/>
    </row>
    <row r="13" spans="1:29" ht="26.25" customHeight="1">
      <c r="A13" s="1030" t="s">
        <v>42</v>
      </c>
      <c r="B13" s="1042"/>
      <c r="C13" s="896">
        <v>36693</v>
      </c>
      <c r="D13" s="1316">
        <f>매출액표!D62/1000</f>
        <v>885.63497580000001</v>
      </c>
      <c r="E13" s="291">
        <f>ROUND(매출액표!E62/1000,0)</f>
        <v>37690</v>
      </c>
      <c r="F13" s="326">
        <f t="shared" si="5"/>
        <v>102.7</v>
      </c>
      <c r="G13" s="902">
        <v>35392</v>
      </c>
      <c r="H13" s="293">
        <f t="shared" si="0"/>
        <v>106.49299276672694</v>
      </c>
      <c r="I13" s="327">
        <f t="shared" si="6"/>
        <v>1.3</v>
      </c>
      <c r="J13" s="731">
        <f t="shared" si="7"/>
        <v>482058</v>
      </c>
      <c r="K13" s="295">
        <f t="shared" si="8"/>
        <v>11756.377737299999</v>
      </c>
      <c r="L13" s="291">
        <f t="shared" si="9"/>
        <v>504313</v>
      </c>
      <c r="M13" s="296">
        <f t="shared" si="2"/>
        <v>104.61666438478356</v>
      </c>
      <c r="N13" s="732">
        <f t="shared" si="10"/>
        <v>481588</v>
      </c>
      <c r="O13" s="297">
        <f t="shared" si="3"/>
        <v>104.718763756572</v>
      </c>
      <c r="P13" s="298">
        <f t="shared" si="11"/>
        <v>1.8</v>
      </c>
      <c r="R13" s="1021" t="s">
        <v>42</v>
      </c>
      <c r="S13" s="1021"/>
      <c r="T13" s="260">
        <f t="shared" si="12"/>
        <v>1.3</v>
      </c>
      <c r="U13" s="260">
        <f t="shared" si="13"/>
        <v>1.8</v>
      </c>
      <c r="V13" s="883">
        <v>445365</v>
      </c>
      <c r="W13" s="884">
        <v>10870.7427615</v>
      </c>
      <c r="X13" s="884">
        <v>466623</v>
      </c>
      <c r="Y13" s="885">
        <v>446196</v>
      </c>
      <c r="AA13"/>
      <c r="AB13"/>
      <c r="AC13"/>
    </row>
    <row r="14" spans="1:29" ht="26.25" customHeight="1">
      <c r="A14" s="1030" t="s">
        <v>238</v>
      </c>
      <c r="B14" s="1042"/>
      <c r="C14" s="893">
        <v>49877</v>
      </c>
      <c r="D14" s="295">
        <f>매출액표!D69/1000</f>
        <v>724.84469430000001</v>
      </c>
      <c r="E14" s="291">
        <f>ROUND(매출액표!E69/1000,0)</f>
        <v>30852</v>
      </c>
      <c r="F14" s="292">
        <f t="shared" si="5"/>
        <v>61.9</v>
      </c>
      <c r="G14" s="899">
        <v>30066</v>
      </c>
      <c r="H14" s="293">
        <f t="shared" si="0"/>
        <v>102.6142486529635</v>
      </c>
      <c r="I14" s="294">
        <f t="shared" si="6"/>
        <v>1</v>
      </c>
      <c r="J14" s="731">
        <f t="shared" si="7"/>
        <v>514016</v>
      </c>
      <c r="K14" s="295">
        <f t="shared" si="8"/>
        <v>12585.384299400001</v>
      </c>
      <c r="L14" s="291">
        <f t="shared" si="9"/>
        <v>540056</v>
      </c>
      <c r="M14" s="296">
        <f t="shared" si="2"/>
        <v>105.06599016373031</v>
      </c>
      <c r="N14" s="732">
        <f t="shared" si="10"/>
        <v>505401</v>
      </c>
      <c r="O14" s="297">
        <f t="shared" si="3"/>
        <v>106.85693142672848</v>
      </c>
      <c r="P14" s="298">
        <f t="shared" si="11"/>
        <v>1.9</v>
      </c>
      <c r="R14" s="1021" t="s">
        <v>238</v>
      </c>
      <c r="S14" s="1021"/>
      <c r="T14" s="260">
        <f t="shared" si="12"/>
        <v>1</v>
      </c>
      <c r="U14" s="260">
        <f t="shared" si="13"/>
        <v>1.9</v>
      </c>
      <c r="V14" s="883">
        <v>464139</v>
      </c>
      <c r="W14" s="884">
        <v>11860.539605100001</v>
      </c>
      <c r="X14" s="884">
        <v>509204</v>
      </c>
      <c r="Y14" s="885">
        <v>475335</v>
      </c>
      <c r="AA14"/>
      <c r="AB14"/>
      <c r="AC14"/>
    </row>
    <row r="15" spans="1:29" ht="26.25" customHeight="1">
      <c r="A15" s="1030" t="s">
        <v>243</v>
      </c>
      <c r="B15" s="1042"/>
      <c r="C15" s="893">
        <v>818098</v>
      </c>
      <c r="D15" s="1317">
        <f>매출액표!D73/1000</f>
        <v>16853.112431099999</v>
      </c>
      <c r="E15" s="1318">
        <f>ROUND(매출액표!E73/1000,0)-1</f>
        <v>717448</v>
      </c>
      <c r="F15" s="292">
        <f t="shared" si="5"/>
        <v>87.7</v>
      </c>
      <c r="G15" s="899">
        <v>805815</v>
      </c>
      <c r="H15" s="293">
        <f t="shared" si="0"/>
        <v>89.033835309593385</v>
      </c>
      <c r="I15" s="294">
        <f t="shared" si="6"/>
        <v>23.8</v>
      </c>
      <c r="J15" s="731">
        <f>C15+V15</f>
        <v>4278567</v>
      </c>
      <c r="K15" s="295">
        <f t="shared" si="8"/>
        <v>95727.6154522</v>
      </c>
      <c r="L15" s="291">
        <f t="shared" si="9"/>
        <v>4100646</v>
      </c>
      <c r="M15" s="296">
        <f t="shared" si="2"/>
        <v>95.841574994618526</v>
      </c>
      <c r="N15" s="732">
        <f t="shared" si="10"/>
        <v>4380432</v>
      </c>
      <c r="O15" s="297">
        <f t="shared" si="3"/>
        <v>93.612821749087757</v>
      </c>
      <c r="P15" s="298">
        <f t="shared" si="11"/>
        <v>14.6</v>
      </c>
      <c r="R15" s="1021" t="s">
        <v>243</v>
      </c>
      <c r="S15" s="1021"/>
      <c r="T15" s="260">
        <f t="shared" si="12"/>
        <v>23.8</v>
      </c>
      <c r="U15" s="260">
        <f t="shared" si="13"/>
        <v>14.6</v>
      </c>
      <c r="V15" s="883">
        <v>3460469</v>
      </c>
      <c r="W15" s="884">
        <v>78874.503021099998</v>
      </c>
      <c r="X15" s="884">
        <v>3383198</v>
      </c>
      <c r="Y15" s="885">
        <v>3574617</v>
      </c>
      <c r="AA15"/>
      <c r="AB15"/>
      <c r="AC15"/>
    </row>
    <row r="16" spans="1:29" ht="26.25" customHeight="1">
      <c r="A16" s="1030" t="s">
        <v>244</v>
      </c>
      <c r="B16" s="1042"/>
      <c r="C16" s="893">
        <v>256799</v>
      </c>
      <c r="D16" s="295">
        <f>ROUND((매출액표!D55)/1000,0)</f>
        <v>6074</v>
      </c>
      <c r="E16" s="324">
        <f>ROUND((매출액표!E55)/1000,0)</f>
        <v>262403</v>
      </c>
      <c r="F16" s="292">
        <f>ROUND(E16/C16*100,1)</f>
        <v>102.2</v>
      </c>
      <c r="G16" s="899">
        <v>264610</v>
      </c>
      <c r="H16" s="293">
        <f t="shared" si="0"/>
        <v>99.165942330221839</v>
      </c>
      <c r="I16" s="327">
        <f t="shared" si="6"/>
        <v>8.6999999999999993</v>
      </c>
      <c r="J16" s="731">
        <f t="shared" si="7"/>
        <v>1235930</v>
      </c>
      <c r="K16" s="295">
        <f t="shared" si="8"/>
        <v>28881</v>
      </c>
      <c r="L16" s="291">
        <f t="shared" si="9"/>
        <v>1246904</v>
      </c>
      <c r="M16" s="296">
        <f t="shared" si="2"/>
        <v>100.88791436408211</v>
      </c>
      <c r="N16" s="732">
        <f t="shared" si="10"/>
        <v>1268707</v>
      </c>
      <c r="O16" s="297">
        <f t="shared" si="3"/>
        <v>98.281478702332365</v>
      </c>
      <c r="P16" s="298">
        <f t="shared" si="11"/>
        <v>4.4000000000000004</v>
      </c>
      <c r="R16" s="1021" t="s">
        <v>244</v>
      </c>
      <c r="S16" s="1021"/>
      <c r="T16" s="260">
        <f t="shared" si="12"/>
        <v>8.6999999999999993</v>
      </c>
      <c r="U16" s="260">
        <f t="shared" si="13"/>
        <v>4.4000000000000004</v>
      </c>
      <c r="V16" s="883">
        <v>979131</v>
      </c>
      <c r="W16" s="884">
        <v>22807</v>
      </c>
      <c r="X16" s="884">
        <v>984501</v>
      </c>
      <c r="Y16" s="885">
        <v>1004097</v>
      </c>
      <c r="AA16"/>
      <c r="AB16"/>
      <c r="AC16"/>
    </row>
    <row r="17" spans="1:39" ht="26.25" customHeight="1">
      <c r="A17" s="1030" t="s">
        <v>245</v>
      </c>
      <c r="B17" s="1042"/>
      <c r="C17" s="893">
        <v>13030</v>
      </c>
      <c r="D17" s="295">
        <f>ROUND((매출액표!D56)/1000,0)</f>
        <v>283</v>
      </c>
      <c r="E17" s="324">
        <f>ROUND((매출액표!E56)/1000,0)</f>
        <v>11964</v>
      </c>
      <c r="F17" s="292">
        <f t="shared" si="5"/>
        <v>91.8</v>
      </c>
      <c r="G17" s="893">
        <v>13430</v>
      </c>
      <c r="H17" s="293">
        <f>IFERROR(E17/G17*100,0)</f>
        <v>89.084139985107967</v>
      </c>
      <c r="I17" s="294">
        <f t="shared" si="6"/>
        <v>0.4</v>
      </c>
      <c r="J17" s="731">
        <f t="shared" si="7"/>
        <v>62710</v>
      </c>
      <c r="K17" s="295">
        <f t="shared" si="8"/>
        <v>1345</v>
      </c>
      <c r="L17" s="291">
        <f t="shared" si="9"/>
        <v>56939</v>
      </c>
      <c r="M17" s="296">
        <f t="shared" si="2"/>
        <v>90.797321001435179</v>
      </c>
      <c r="N17" s="740">
        <f t="shared" si="10"/>
        <v>62738</v>
      </c>
      <c r="O17" s="297">
        <f>IFERROR(L17/N17*100,0)</f>
        <v>90.756798112786512</v>
      </c>
      <c r="P17" s="298">
        <f t="shared" si="11"/>
        <v>0.2</v>
      </c>
      <c r="R17" s="1021" t="s">
        <v>245</v>
      </c>
      <c r="S17" s="1021"/>
      <c r="T17" s="260">
        <f t="shared" si="12"/>
        <v>0.4</v>
      </c>
      <c r="U17" s="260">
        <f t="shared" si="13"/>
        <v>0.2</v>
      </c>
      <c r="V17" s="883">
        <v>49680</v>
      </c>
      <c r="W17" s="884">
        <v>1062</v>
      </c>
      <c r="X17" s="884">
        <v>44975</v>
      </c>
      <c r="Y17" s="885">
        <v>49308</v>
      </c>
      <c r="AA17"/>
      <c r="AB17"/>
      <c r="AC17"/>
    </row>
    <row r="18" spans="1:39" ht="26.25" customHeight="1">
      <c r="A18" s="1030" t="s">
        <v>180</v>
      </c>
      <c r="B18" s="1042"/>
      <c r="C18" s="893">
        <v>19593</v>
      </c>
      <c r="D18" s="295">
        <f>매출액표!D78/1000</f>
        <v>420.99799999999999</v>
      </c>
      <c r="E18" s="324">
        <f>ROUND(매출액표!E78/1000,0)</f>
        <v>17947</v>
      </c>
      <c r="F18" s="292">
        <f t="shared" si="5"/>
        <v>91.6</v>
      </c>
      <c r="G18" s="899">
        <v>19779</v>
      </c>
      <c r="H18" s="328">
        <f t="shared" ref="H18:H23" si="14">E18/G18*100</f>
        <v>90.73765104403661</v>
      </c>
      <c r="I18" s="294">
        <f t="shared" si="6"/>
        <v>0.6</v>
      </c>
      <c r="J18" s="731">
        <f t="shared" si="7"/>
        <v>101341</v>
      </c>
      <c r="K18" s="295">
        <f t="shared" si="8"/>
        <v>2756.7270000000003</v>
      </c>
      <c r="L18" s="291">
        <f t="shared" si="9"/>
        <v>118088</v>
      </c>
      <c r="M18" s="296">
        <f t="shared" si="2"/>
        <v>116.52539446028753</v>
      </c>
      <c r="N18" s="732">
        <f t="shared" si="10"/>
        <v>104574</v>
      </c>
      <c r="O18" s="297">
        <f t="shared" ref="O18:O24" si="15">L18/N18*100</f>
        <v>112.92290626733224</v>
      </c>
      <c r="P18" s="298">
        <f t="shared" si="11"/>
        <v>0.4</v>
      </c>
      <c r="R18" s="1021" t="s">
        <v>180</v>
      </c>
      <c r="S18" s="1021"/>
      <c r="T18" s="260">
        <f t="shared" si="12"/>
        <v>0.6</v>
      </c>
      <c r="U18" s="260">
        <f t="shared" si="13"/>
        <v>0.4</v>
      </c>
      <c r="V18" s="883">
        <v>81748</v>
      </c>
      <c r="W18" s="884">
        <v>2335.7290000000003</v>
      </c>
      <c r="X18" s="884">
        <v>100141</v>
      </c>
      <c r="Y18" s="885">
        <v>84795</v>
      </c>
      <c r="AA18"/>
      <c r="AB18"/>
      <c r="AC18"/>
    </row>
    <row r="19" spans="1:39" ht="26.25" customHeight="1">
      <c r="A19" s="1030" t="s">
        <v>181</v>
      </c>
      <c r="B19" s="1042"/>
      <c r="C19" s="893">
        <v>19144</v>
      </c>
      <c r="D19" s="295">
        <f>매출액표!D83/1000</f>
        <v>385.14071720000004</v>
      </c>
      <c r="E19" s="291">
        <f>ROUND(매출액표!E83/1000,0)</f>
        <v>16412</v>
      </c>
      <c r="F19" s="292">
        <f t="shared" si="5"/>
        <v>85.7</v>
      </c>
      <c r="G19" s="899">
        <v>18601</v>
      </c>
      <c r="H19" s="293">
        <f t="shared" si="14"/>
        <v>88.231815493790648</v>
      </c>
      <c r="I19" s="294">
        <f t="shared" si="6"/>
        <v>0.5</v>
      </c>
      <c r="J19" s="731">
        <f t="shared" si="7"/>
        <v>93672</v>
      </c>
      <c r="K19" s="295">
        <f t="shared" si="8"/>
        <v>2000.0431349999999</v>
      </c>
      <c r="L19" s="291">
        <f t="shared" si="9"/>
        <v>85655</v>
      </c>
      <c r="M19" s="296">
        <f t="shared" si="2"/>
        <v>91.441412588607051</v>
      </c>
      <c r="N19" s="732">
        <f t="shared" si="10"/>
        <v>91299</v>
      </c>
      <c r="O19" s="297">
        <f t="shared" si="15"/>
        <v>93.818114108588276</v>
      </c>
      <c r="P19" s="298">
        <f t="shared" si="11"/>
        <v>0.3</v>
      </c>
      <c r="R19" s="1021" t="s">
        <v>181</v>
      </c>
      <c r="S19" s="1021"/>
      <c r="T19" s="260">
        <f t="shared" si="12"/>
        <v>0.5</v>
      </c>
      <c r="U19" s="260">
        <f t="shared" si="13"/>
        <v>0.3</v>
      </c>
      <c r="V19" s="883">
        <v>74528</v>
      </c>
      <c r="W19" s="884">
        <v>1614.9024178</v>
      </c>
      <c r="X19" s="884">
        <v>69243</v>
      </c>
      <c r="Y19" s="885">
        <v>72698</v>
      </c>
      <c r="AA19"/>
      <c r="AB19"/>
      <c r="AC19"/>
    </row>
    <row r="20" spans="1:39" ht="26.25" customHeight="1">
      <c r="A20" s="1030" t="s">
        <v>182</v>
      </c>
      <c r="B20" s="1042"/>
      <c r="C20" s="893">
        <v>459</v>
      </c>
      <c r="D20" s="295">
        <f>매출액표!D85/1000</f>
        <v>10.898999999999999</v>
      </c>
      <c r="E20" s="291">
        <f>ROUND(매출액표!E85/1000,0)</f>
        <v>465</v>
      </c>
      <c r="F20" s="292">
        <f t="shared" si="5"/>
        <v>101.3</v>
      </c>
      <c r="G20" s="899">
        <v>9397</v>
      </c>
      <c r="H20" s="293">
        <f t="shared" si="14"/>
        <v>4.9483877833351073</v>
      </c>
      <c r="I20" s="294">
        <f t="shared" si="6"/>
        <v>0</v>
      </c>
      <c r="J20" s="731">
        <f t="shared" si="7"/>
        <v>12264</v>
      </c>
      <c r="K20" s="295">
        <f t="shared" si="8"/>
        <v>92.004999999999995</v>
      </c>
      <c r="L20" s="291">
        <f t="shared" si="9"/>
        <v>3938</v>
      </c>
      <c r="M20" s="296">
        <f t="shared" si="2"/>
        <v>32.110241356816701</v>
      </c>
      <c r="N20" s="732">
        <f t="shared" si="10"/>
        <v>100345</v>
      </c>
      <c r="O20" s="297">
        <f t="shared" si="15"/>
        <v>3.9244606108924209</v>
      </c>
      <c r="P20" s="298">
        <f t="shared" si="11"/>
        <v>0</v>
      </c>
      <c r="R20" s="1021" t="s">
        <v>182</v>
      </c>
      <c r="S20" s="1021"/>
      <c r="T20" s="260">
        <f t="shared" si="12"/>
        <v>0</v>
      </c>
      <c r="U20" s="260">
        <f t="shared" si="13"/>
        <v>0</v>
      </c>
      <c r="V20" s="883">
        <v>11805</v>
      </c>
      <c r="W20" s="884">
        <v>81.105999999999995</v>
      </c>
      <c r="X20" s="884">
        <v>3473</v>
      </c>
      <c r="Y20" s="885">
        <v>90948</v>
      </c>
      <c r="AA20"/>
      <c r="AB20"/>
      <c r="AC20"/>
    </row>
    <row r="21" spans="1:39" ht="26.25" customHeight="1">
      <c r="A21" s="1032" t="s">
        <v>59</v>
      </c>
      <c r="B21" s="1050"/>
      <c r="C21" s="894">
        <v>3309</v>
      </c>
      <c r="D21" s="304">
        <f>매출액표!D88/1000</f>
        <v>52.229372499999997</v>
      </c>
      <c r="E21" s="300">
        <f>ROUND(매출액표!E88/1000,0)</f>
        <v>2227</v>
      </c>
      <c r="F21" s="292">
        <f t="shared" si="5"/>
        <v>67.3</v>
      </c>
      <c r="G21" s="900">
        <v>4058</v>
      </c>
      <c r="H21" s="302">
        <f t="shared" si="14"/>
        <v>54.879250862493848</v>
      </c>
      <c r="I21" s="303">
        <f t="shared" si="6"/>
        <v>0.1</v>
      </c>
      <c r="J21" s="733">
        <f t="shared" si="7"/>
        <v>35822</v>
      </c>
      <c r="K21" s="304">
        <f t="shared" si="8"/>
        <v>803.19539199999986</v>
      </c>
      <c r="L21" s="300">
        <f t="shared" si="9"/>
        <v>34462</v>
      </c>
      <c r="M21" s="305">
        <f t="shared" si="2"/>
        <v>96.203450393612869</v>
      </c>
      <c r="N21" s="734">
        <f t="shared" si="10"/>
        <v>38271</v>
      </c>
      <c r="O21" s="306">
        <f t="shared" si="15"/>
        <v>90.047294295942095</v>
      </c>
      <c r="P21" s="329">
        <f t="shared" si="11"/>
        <v>0.1</v>
      </c>
      <c r="R21" s="1021" t="s">
        <v>59</v>
      </c>
      <c r="S21" s="1021"/>
      <c r="T21" s="260">
        <f t="shared" si="12"/>
        <v>0.1</v>
      </c>
      <c r="U21" s="260">
        <f t="shared" si="13"/>
        <v>0.1</v>
      </c>
      <c r="V21" s="883">
        <v>32513</v>
      </c>
      <c r="W21" s="884">
        <v>750.9660194999999</v>
      </c>
      <c r="X21" s="884">
        <v>32235</v>
      </c>
      <c r="Y21" s="885">
        <v>34213</v>
      </c>
      <c r="AA21"/>
      <c r="AB21"/>
      <c r="AC21"/>
    </row>
    <row r="22" spans="1:39" ht="26.25" customHeight="1" thickBot="1">
      <c r="A22" s="1051" t="s">
        <v>41</v>
      </c>
      <c r="B22" s="1052"/>
      <c r="C22" s="309">
        <f>SUM(C12:C21)</f>
        <v>1497559</v>
      </c>
      <c r="D22" s="310">
        <f>SUM(D12:D21)</f>
        <v>32480.876895400001</v>
      </c>
      <c r="E22" s="330">
        <f>SUM(E12:E21)</f>
        <v>1386430</v>
      </c>
      <c r="F22" s="331">
        <f>E22/C22*100</f>
        <v>92.57932408673048</v>
      </c>
      <c r="G22" s="312">
        <f>SUM(G12:G21)</f>
        <v>1486428.6019673001</v>
      </c>
      <c r="H22" s="332">
        <f t="shared" si="14"/>
        <v>93.272559352332763</v>
      </c>
      <c r="I22" s="314">
        <f>SUM(I12:I21)</f>
        <v>46.000000000000007</v>
      </c>
      <c r="J22" s="333">
        <f>SUM(J12:J21)</f>
        <v>8575395</v>
      </c>
      <c r="K22" s="316">
        <f>SUM(K12:K21)</f>
        <v>196334.38987099999</v>
      </c>
      <c r="L22" s="330">
        <f>SUM(L12:L21)</f>
        <v>8421856</v>
      </c>
      <c r="M22" s="334">
        <f t="shared" si="2"/>
        <v>98.209540201938211</v>
      </c>
      <c r="N22" s="318">
        <f>SUM(N12:N21)</f>
        <v>8772179.872866001</v>
      </c>
      <c r="O22" s="319">
        <f t="shared" si="15"/>
        <v>96.006421688301003</v>
      </c>
      <c r="P22" s="335">
        <f>P23-P11</f>
        <v>29.900000000000006</v>
      </c>
      <c r="R22" s="1024" t="s">
        <v>46</v>
      </c>
      <c r="S22" s="1024"/>
      <c r="T22" s="268"/>
      <c r="U22" s="269"/>
      <c r="V22" s="496">
        <f>SUM(V12:V21)</f>
        <v>7077836</v>
      </c>
      <c r="W22" s="497">
        <f t="shared" ref="W22:Y22" si="16">SUM(W12:W21)</f>
        <v>163853.5129756</v>
      </c>
      <c r="X22" s="497">
        <f t="shared" si="16"/>
        <v>7035426</v>
      </c>
      <c r="Y22" s="498">
        <f t="shared" si="16"/>
        <v>7285751.2708986998</v>
      </c>
      <c r="AA22"/>
      <c r="AB22"/>
      <c r="AC22"/>
    </row>
    <row r="23" spans="1:39" ht="26.25" customHeight="1" thickTop="1">
      <c r="A23" s="1051" t="s">
        <v>114</v>
      </c>
      <c r="B23" s="1052"/>
      <c r="C23" s="309">
        <f>C11+C22</f>
        <v>3105318</v>
      </c>
      <c r="D23" s="394">
        <f>D11+D22</f>
        <v>70609.053344100001</v>
      </c>
      <c r="E23" s="336">
        <f>E22+E11</f>
        <v>3009471</v>
      </c>
      <c r="F23" s="396">
        <f>E23/C23*100</f>
        <v>96.913456206417507</v>
      </c>
      <c r="G23" s="395">
        <f>G22+G11</f>
        <v>2929799.6019673003</v>
      </c>
      <c r="H23" s="332">
        <f t="shared" si="14"/>
        <v>102.71934633273901</v>
      </c>
      <c r="I23" s="337">
        <f>I11+I22</f>
        <v>100.00000000000001</v>
      </c>
      <c r="J23" s="333">
        <f>J11+J22</f>
        <v>27822263</v>
      </c>
      <c r="K23" s="316">
        <f>K22+K11</f>
        <v>655011.55115459999</v>
      </c>
      <c r="L23" s="336">
        <f>L11+L22</f>
        <v>28095425</v>
      </c>
      <c r="M23" s="338">
        <f t="shared" si="2"/>
        <v>100.98181086132354</v>
      </c>
      <c r="N23" s="339">
        <f>N11+N22</f>
        <v>27392326.872866001</v>
      </c>
      <c r="O23" s="319">
        <f t="shared" si="15"/>
        <v>102.56677036017143</v>
      </c>
      <c r="P23" s="340">
        <v>100</v>
      </c>
      <c r="R23" s="1023" t="s">
        <v>247</v>
      </c>
      <c r="S23" s="1023"/>
      <c r="T23" s="272"/>
      <c r="U23" s="273"/>
      <c r="V23" s="499">
        <f>V11+V22</f>
        <v>24716945</v>
      </c>
      <c r="W23" s="500">
        <f t="shared" ref="W23:Y23" si="17">W11+W22</f>
        <v>584402.49781049986</v>
      </c>
      <c r="X23" s="500">
        <f t="shared" si="17"/>
        <v>25085954</v>
      </c>
      <c r="Y23" s="501">
        <f t="shared" si="17"/>
        <v>24462527.2708987</v>
      </c>
      <c r="AA23"/>
      <c r="AB23"/>
      <c r="AC23"/>
    </row>
    <row r="24" spans="1:39" ht="26.25" customHeight="1" thickBot="1">
      <c r="A24" s="1053" t="s">
        <v>43</v>
      </c>
      <c r="B24" s="1054"/>
      <c r="C24" s="897">
        <v>2471083</v>
      </c>
      <c r="D24" s="949">
        <v>55536662</v>
      </c>
      <c r="E24" s="970">
        <v>2367845</v>
      </c>
      <c r="F24" s="397">
        <f>E24/C24*100</f>
        <v>95.822155710674224</v>
      </c>
      <c r="G24" s="906">
        <v>2399132</v>
      </c>
      <c r="H24" s="341">
        <f>$E$24/G24*100</f>
        <v>98.695903351712204</v>
      </c>
      <c r="I24" s="342"/>
      <c r="J24" s="741">
        <f>C24+V24</f>
        <v>23436510</v>
      </c>
      <c r="K24" s="749">
        <f>D24+W24</f>
        <v>563686662</v>
      </c>
      <c r="L24" s="750">
        <f>E24+X24</f>
        <v>24166235</v>
      </c>
      <c r="M24" s="343">
        <f t="shared" si="2"/>
        <v>103.11362485284712</v>
      </c>
      <c r="N24" s="742">
        <f>G24+Y24</f>
        <v>23335062.550000004</v>
      </c>
      <c r="O24" s="342">
        <f t="shared" si="15"/>
        <v>103.56190367272016</v>
      </c>
      <c r="P24" s="344"/>
      <c r="R24" s="1020" t="s">
        <v>43</v>
      </c>
      <c r="S24" s="1020"/>
      <c r="T24" s="424"/>
      <c r="U24" s="425"/>
      <c r="V24" s="883">
        <v>20965427</v>
      </c>
      <c r="W24" s="886">
        <v>508150000</v>
      </c>
      <c r="X24" s="884">
        <v>21798390</v>
      </c>
      <c r="Y24" s="885">
        <v>20935930.550000004</v>
      </c>
      <c r="AA24"/>
      <c r="AB24"/>
      <c r="AC24"/>
    </row>
    <row r="25" spans="1:39" ht="26.25" customHeight="1">
      <c r="A25" s="345"/>
      <c r="B25" s="345"/>
      <c r="C25" s="420"/>
      <c r="D25" s="421"/>
      <c r="E25" s="420"/>
      <c r="F25" s="346"/>
      <c r="G25" s="420"/>
      <c r="H25" s="347"/>
      <c r="I25" s="346"/>
      <c r="J25" s="348"/>
      <c r="K25" s="349"/>
      <c r="L25" s="350"/>
      <c r="M25" s="346"/>
      <c r="N25" s="351"/>
      <c r="O25" s="346"/>
      <c r="P25" s="352"/>
      <c r="R25" s="755"/>
      <c r="S25" s="755"/>
      <c r="T25" s="261"/>
      <c r="U25" s="261"/>
      <c r="V25" s="262"/>
      <c r="W25" s="263"/>
      <c r="X25" s="262"/>
      <c r="Y25" s="262"/>
      <c r="AA25"/>
      <c r="AB25"/>
      <c r="AC25"/>
    </row>
    <row r="26" spans="1:39" ht="26.25" customHeight="1">
      <c r="A26" s="353"/>
      <c r="B26" s="353"/>
      <c r="C26" s="354"/>
      <c r="D26" s="355"/>
      <c r="E26" s="355"/>
      <c r="F26" s="354"/>
      <c r="G26" s="354"/>
      <c r="H26" s="354"/>
      <c r="I26" s="354"/>
      <c r="J26" s="356"/>
      <c r="K26" s="356"/>
      <c r="L26" s="356"/>
      <c r="M26" s="356"/>
      <c r="N26" s="354"/>
      <c r="O26" s="354"/>
      <c r="P26" s="354"/>
      <c r="Q26" s="47"/>
      <c r="R26" s="47"/>
      <c r="S26" s="47"/>
      <c r="T26" s="47"/>
      <c r="U26" s="47"/>
      <c r="V26" s="876"/>
      <c r="W26" s="876"/>
      <c r="X26" s="876"/>
      <c r="Y26" s="876"/>
      <c r="AA26"/>
      <c r="AB26"/>
      <c r="AC26"/>
    </row>
    <row r="27" spans="1:39" ht="26.25" customHeight="1">
      <c r="A27" s="874"/>
      <c r="B27" s="877"/>
      <c r="C27" s="877"/>
      <c r="D27" s="877"/>
      <c r="E27" s="877"/>
      <c r="F27" s="877"/>
      <c r="G27" s="877"/>
      <c r="H27" s="877"/>
      <c r="I27" s="877"/>
      <c r="J27" s="877"/>
      <c r="K27" s="877"/>
      <c r="L27" s="877"/>
      <c r="M27" s="877"/>
      <c r="N27" s="877"/>
      <c r="O27" s="877"/>
      <c r="P27" s="878"/>
      <c r="Q27" s="879"/>
      <c r="R27" s="31" t="s">
        <v>19</v>
      </c>
      <c r="S27" s="879"/>
      <c r="T27" s="880"/>
      <c r="U27" s="880"/>
      <c r="V27" s="264"/>
      <c r="W27" s="264"/>
      <c r="X27" s="876"/>
      <c r="Y27" s="876"/>
      <c r="Z27" s="875"/>
      <c r="AA27" s="875"/>
      <c r="AB27" s="875"/>
      <c r="AC27" s="875"/>
      <c r="AD27" s="875"/>
      <c r="AE27" s="875"/>
      <c r="AF27" s="875"/>
      <c r="AG27" s="875"/>
      <c r="AH27" s="875"/>
      <c r="AI27" s="875"/>
      <c r="AJ27" s="875"/>
      <c r="AK27" s="875"/>
      <c r="AL27" s="875"/>
      <c r="AM27" s="875"/>
    </row>
    <row r="28" spans="1:39" ht="26.25" customHeight="1" thickBot="1">
      <c r="A28" s="398" t="s">
        <v>116</v>
      </c>
      <c r="B28" s="877"/>
      <c r="C28" s="877"/>
      <c r="D28" s="877"/>
      <c r="E28" s="877"/>
      <c r="F28" s="877"/>
      <c r="G28" s="877"/>
      <c r="H28" s="877"/>
      <c r="I28" s="877"/>
      <c r="J28" s="877"/>
      <c r="K28" s="877"/>
      <c r="L28" s="877"/>
      <c r="M28" s="877"/>
      <c r="N28" s="877"/>
      <c r="O28" s="877"/>
      <c r="P28" s="878" t="s">
        <v>117</v>
      </c>
      <c r="Q28" s="879"/>
      <c r="R28" s="879"/>
      <c r="S28" s="879"/>
      <c r="T28" s="880"/>
      <c r="U28" s="880"/>
      <c r="V28" s="209" t="s">
        <v>268</v>
      </c>
      <c r="W28" s="876"/>
      <c r="X28" s="876"/>
      <c r="Y28" s="876"/>
      <c r="Z28"/>
      <c r="AA28"/>
      <c r="AB28"/>
      <c r="AC28"/>
      <c r="AD28" s="875"/>
      <c r="AE28" s="875"/>
      <c r="AF28" s="875"/>
      <c r="AG28" s="875"/>
      <c r="AH28" s="875"/>
      <c r="AI28" s="875"/>
      <c r="AJ28" s="875"/>
      <c r="AK28" s="875"/>
      <c r="AL28" s="875"/>
      <c r="AM28" s="875"/>
    </row>
    <row r="29" spans="1:39" ht="29.25" customHeight="1">
      <c r="A29" s="1043" t="s">
        <v>118</v>
      </c>
      <c r="B29" s="1044"/>
      <c r="C29" s="1068" t="s">
        <v>20</v>
      </c>
      <c r="D29" s="1067"/>
      <c r="E29" s="1067"/>
      <c r="F29" s="1067"/>
      <c r="G29" s="1067"/>
      <c r="H29" s="1067"/>
      <c r="I29" s="1069"/>
      <c r="J29" s="1068" t="s">
        <v>21</v>
      </c>
      <c r="K29" s="1067"/>
      <c r="L29" s="1067"/>
      <c r="M29" s="1067"/>
      <c r="N29" s="1067"/>
      <c r="O29" s="1067"/>
      <c r="P29" s="1069"/>
      <c r="Q29" s="253"/>
      <c r="R29" s="1019" t="s">
        <v>45</v>
      </c>
      <c r="S29" s="1019"/>
      <c r="T29" s="1058" t="s">
        <v>249</v>
      </c>
      <c r="U29" s="1059"/>
      <c r="V29" s="1060" t="s">
        <v>254</v>
      </c>
      <c r="W29" s="1061"/>
      <c r="X29" s="1062"/>
      <c r="Y29" s="876"/>
      <c r="Z29"/>
      <c r="AA29"/>
      <c r="AB29"/>
      <c r="AC29"/>
      <c r="AD29" s="875"/>
      <c r="AE29" s="875"/>
      <c r="AF29" s="875"/>
      <c r="AG29" s="875"/>
      <c r="AH29" s="875"/>
      <c r="AI29" s="875"/>
      <c r="AJ29" s="875"/>
      <c r="AK29" s="875"/>
      <c r="AL29" s="875"/>
      <c r="AM29" s="875"/>
    </row>
    <row r="30" spans="1:39" ht="29.25" customHeight="1">
      <c r="A30" s="1045"/>
      <c r="B30" s="1046"/>
      <c r="C30" s="357" t="s">
        <v>22</v>
      </c>
      <c r="D30" s="358" t="s">
        <v>109</v>
      </c>
      <c r="E30" s="359" t="s">
        <v>260</v>
      </c>
      <c r="F30" s="360" t="s">
        <v>24</v>
      </c>
      <c r="G30" s="869" t="s">
        <v>263</v>
      </c>
      <c r="H30" s="1012" t="s">
        <v>262</v>
      </c>
      <c r="I30" s="1013"/>
      <c r="J30" s="361" t="s">
        <v>22</v>
      </c>
      <c r="K30" s="358" t="s">
        <v>23</v>
      </c>
      <c r="L30" s="362" t="s">
        <v>260</v>
      </c>
      <c r="M30" s="363" t="s">
        <v>24</v>
      </c>
      <c r="N30" s="869" t="s">
        <v>263</v>
      </c>
      <c r="O30" s="1012" t="s">
        <v>262</v>
      </c>
      <c r="P30" s="1013"/>
      <c r="Q30" s="12"/>
      <c r="R30" s="1019"/>
      <c r="S30" s="1019"/>
      <c r="T30" s="256" t="s">
        <v>252</v>
      </c>
      <c r="U30" s="259" t="s">
        <v>253</v>
      </c>
      <c r="V30" s="265" t="s">
        <v>108</v>
      </c>
      <c r="W30" s="266" t="s">
        <v>109</v>
      </c>
      <c r="X30" s="400" t="s">
        <v>267</v>
      </c>
      <c r="Y30" s="876"/>
      <c r="Z30"/>
      <c r="AA30"/>
      <c r="AB30"/>
      <c r="AC30"/>
    </row>
    <row r="31" spans="1:39" ht="29.25" customHeight="1">
      <c r="A31" s="1047" t="s">
        <v>370</v>
      </c>
      <c r="B31" s="283" t="s">
        <v>28</v>
      </c>
      <c r="C31" s="887">
        <v>562629.80000000005</v>
      </c>
      <c r="D31" s="364">
        <f>ROUND((매출액표!G23+매출액표!H23)/1000,0)</f>
        <v>558589</v>
      </c>
      <c r="E31" s="365"/>
      <c r="F31" s="889">
        <v>552076</v>
      </c>
      <c r="G31" s="366"/>
      <c r="H31" s="1014">
        <f>IF(D31=MAX($D$31:$D$34,$D$36:$D$45),MAX($T$31:$T$45)+(100-SUM($T$31:$T$45)),T31)</f>
        <v>0.8</v>
      </c>
      <c r="I31" s="1015"/>
      <c r="J31" s="719">
        <f t="shared" ref="J31:K34" si="18">C31+V31</f>
        <v>3309956.6499999994</v>
      </c>
      <c r="K31" s="720">
        <f t="shared" si="18"/>
        <v>2956082</v>
      </c>
      <c r="L31" s="367"/>
      <c r="M31" s="721">
        <f>X31+F31-1</f>
        <v>2931613.5980000002</v>
      </c>
      <c r="N31" s="366"/>
      <c r="O31" s="1014">
        <f>IF(K31=MAX($K$31:$K$34,$K$36:$K$45),MAX($U$31:$U$45)+(100-SUM($U$31:$U$45)),U31)</f>
        <v>0.5</v>
      </c>
      <c r="P31" s="1015"/>
      <c r="R31" s="1022" t="s">
        <v>25</v>
      </c>
      <c r="S31" s="868" t="s">
        <v>37</v>
      </c>
      <c r="T31" s="260">
        <f>ROUND(D31/$D$47*100,1)</f>
        <v>0.8</v>
      </c>
      <c r="U31" s="260">
        <f>ROUND(K31/$K$47*100,1)</f>
        <v>0.5</v>
      </c>
      <c r="V31" s="903">
        <v>2747326.8499999996</v>
      </c>
      <c r="W31" s="904">
        <v>2397493</v>
      </c>
      <c r="X31" s="905">
        <v>2379538.5980000002</v>
      </c>
      <c r="Y31" s="876"/>
      <c r="Z31"/>
      <c r="AA31"/>
      <c r="AB31"/>
      <c r="AC31"/>
    </row>
    <row r="32" spans="1:39" ht="29.25" customHeight="1">
      <c r="A32" s="1048"/>
      <c r="B32" s="290" t="s">
        <v>156</v>
      </c>
      <c r="C32" s="888">
        <v>36413139.200000003</v>
      </c>
      <c r="D32" s="368">
        <f>ROUND((매출액표!G31+매출액표!H31+매출액표!G36+매출액표!H36)/1000,0)</f>
        <v>36836821</v>
      </c>
      <c r="E32" s="369"/>
      <c r="F32" s="890">
        <v>30360785</v>
      </c>
      <c r="G32" s="370"/>
      <c r="H32" s="1016">
        <f>IF(D32=MAX($D$31:$D$34,$D$36:$D$45),MAX($T$31:$T$45)+(100-SUM($T$31:$T$45)),T32)</f>
        <v>54.099999999999994</v>
      </c>
      <c r="I32" s="1017"/>
      <c r="J32" s="722">
        <f t="shared" si="18"/>
        <v>409565345.11500001</v>
      </c>
      <c r="K32" s="723">
        <f t="shared" si="18"/>
        <v>416385547</v>
      </c>
      <c r="L32" s="371"/>
      <c r="M32" s="721">
        <f t="shared" ref="M32:M34" si="19">X32+F32</f>
        <v>365614782.324</v>
      </c>
      <c r="N32" s="370"/>
      <c r="O32" s="1016">
        <f>IF(K32=MAX($K$31:$K$34,$K$36:$K$45),MAX($U$31:$U$45)+(100-SUM($U$31:$U$45)),U32)</f>
        <v>67.100000000000009</v>
      </c>
      <c r="P32" s="1017"/>
      <c r="R32" s="1022"/>
      <c r="S32" s="868" t="s">
        <v>187</v>
      </c>
      <c r="T32" s="260">
        <f>ROUND(D32/$D$47*100,1)</f>
        <v>54.2</v>
      </c>
      <c r="U32" s="260">
        <f>ROUND(K32/$K$47*100,1)</f>
        <v>67.2</v>
      </c>
      <c r="V32" s="903">
        <v>373152205.91500002</v>
      </c>
      <c r="W32" s="904">
        <v>379548726</v>
      </c>
      <c r="X32" s="905">
        <v>335253997.324</v>
      </c>
      <c r="Y32" s="876"/>
      <c r="Z32"/>
      <c r="AA32"/>
      <c r="AB32"/>
      <c r="AC32"/>
    </row>
    <row r="33" spans="1:29" ht="29.25" customHeight="1">
      <c r="A33" s="1048"/>
      <c r="B33" s="290" t="s">
        <v>188</v>
      </c>
      <c r="C33" s="888">
        <v>636192</v>
      </c>
      <c r="D33" s="368">
        <f>ROUND((매출액표!G40+매출액표!H40)/1000,0)</f>
        <v>574989</v>
      </c>
      <c r="E33" s="369"/>
      <c r="F33" s="890">
        <v>523312</v>
      </c>
      <c r="G33" s="370"/>
      <c r="H33" s="1016">
        <f>IF(D33=MAX($D$31:$D$34,$D$36:$D$45),MAX($T$31:$T$45)+(100-SUM($T$31:$T$45)),T33)</f>
        <v>0.8</v>
      </c>
      <c r="I33" s="1017"/>
      <c r="J33" s="722">
        <f t="shared" si="18"/>
        <v>8084436</v>
      </c>
      <c r="K33" s="724">
        <f t="shared" si="18"/>
        <v>7909079</v>
      </c>
      <c r="L33" s="371"/>
      <c r="M33" s="721">
        <f t="shared" si="19"/>
        <v>6969939.352</v>
      </c>
      <c r="N33" s="370"/>
      <c r="O33" s="1016">
        <f>IF(K33=MAX($K$31:$K$34,$K$36:$K$45),MAX($U$31:$U$45)+(100-SUM($U$31:$U$45)),U33)</f>
        <v>1.3</v>
      </c>
      <c r="P33" s="1017"/>
      <c r="R33" s="1022"/>
      <c r="S33" s="868" t="s">
        <v>188</v>
      </c>
      <c r="T33" s="260">
        <f>ROUND(D33/$D$47*100,1)</f>
        <v>0.8</v>
      </c>
      <c r="U33" s="260">
        <f>ROUND(K33/$K$47*100,1)</f>
        <v>1.3</v>
      </c>
      <c r="V33" s="903">
        <v>7448244</v>
      </c>
      <c r="W33" s="904">
        <v>7334090</v>
      </c>
      <c r="X33" s="905">
        <v>6446627.352</v>
      </c>
      <c r="Y33" s="876"/>
      <c r="Z33"/>
      <c r="AA33"/>
      <c r="AB33"/>
      <c r="AC33"/>
    </row>
    <row r="34" spans="1:29" ht="29.25" customHeight="1">
      <c r="A34" s="1048"/>
      <c r="B34" s="299" t="s">
        <v>157</v>
      </c>
      <c r="C34" s="888">
        <v>281390</v>
      </c>
      <c r="D34" s="372">
        <f>ROUND((매출액표!G43+매출액표!H43)/1000,0)</f>
        <v>242437</v>
      </c>
      <c r="E34" s="373"/>
      <c r="F34" s="891">
        <v>197119</v>
      </c>
      <c r="G34" s="374"/>
      <c r="H34" s="1006">
        <f>IF(D34=MAX($D$31:$D$34,$D$36:$D$45),MAX($T$31:$T$45)+(100-SUM($T$31:$T$45)),T34)</f>
        <v>0.4</v>
      </c>
      <c r="I34" s="1007"/>
      <c r="J34" s="725">
        <f t="shared" si="18"/>
        <v>5420351</v>
      </c>
      <c r="K34" s="726">
        <f t="shared" si="18"/>
        <v>4969815</v>
      </c>
      <c r="L34" s="375"/>
      <c r="M34" s="721">
        <f t="shared" si="19"/>
        <v>4472432.5889999997</v>
      </c>
      <c r="N34" s="374"/>
      <c r="O34" s="1006">
        <f>IF(K34=MAX($K$31:$K$34,$K$36:$K$45),MAX($U$31:$U$45)+(100-SUM($U$31:$U$45)),U34)</f>
        <v>0.8</v>
      </c>
      <c r="P34" s="1007"/>
      <c r="R34" s="1022"/>
      <c r="S34" s="868" t="s">
        <v>189</v>
      </c>
      <c r="T34" s="260">
        <f>ROUND(D34/$D$47*100,1)</f>
        <v>0.4</v>
      </c>
      <c r="U34" s="260">
        <f>ROUND(K34/$K$47*100,1)</f>
        <v>0.8</v>
      </c>
      <c r="V34" s="903">
        <v>5138961</v>
      </c>
      <c r="W34" s="904">
        <v>4727378</v>
      </c>
      <c r="X34" s="905">
        <v>4275313.5889999997</v>
      </c>
      <c r="Y34" s="876"/>
      <c r="Z34"/>
      <c r="AA34"/>
      <c r="AB34"/>
      <c r="AC34"/>
    </row>
    <row r="35" spans="1:29" ht="29.25" customHeight="1">
      <c r="A35" s="1049"/>
      <c r="B35" s="308" t="s">
        <v>41</v>
      </c>
      <c r="C35" s="973">
        <f>SUM(C31:C34)</f>
        <v>37893351</v>
      </c>
      <c r="D35" s="376">
        <f>SUM(D31:D34)</f>
        <v>38212836</v>
      </c>
      <c r="E35" s="377">
        <f>D35/C35*100</f>
        <v>100.84311625013054</v>
      </c>
      <c r="F35" s="974">
        <f>SUM(F31:F34)</f>
        <v>31633292</v>
      </c>
      <c r="G35" s="378">
        <f>D35/F35*100</f>
        <v>120.79942865257274</v>
      </c>
      <c r="H35" s="1008">
        <f>SUM(H31:I34)</f>
        <v>56.099999999999987</v>
      </c>
      <c r="I35" s="1009"/>
      <c r="J35" s="379">
        <f t="shared" ref="J35:J45" si="20">C35+V35</f>
        <v>426380088.76500005</v>
      </c>
      <c r="K35" s="380">
        <f>SUM(K31:K34)</f>
        <v>432220523</v>
      </c>
      <c r="L35" s="377">
        <f>K35/J35*100</f>
        <v>101.36977180428772</v>
      </c>
      <c r="M35" s="381">
        <f>SUM(M31:M34)</f>
        <v>379988767.86299998</v>
      </c>
      <c r="N35" s="382">
        <f>K35/M35*100</f>
        <v>113.74560501636499</v>
      </c>
      <c r="O35" s="1008">
        <f>SUM(O31:P34)</f>
        <v>69.7</v>
      </c>
      <c r="P35" s="1009"/>
      <c r="R35" s="1022"/>
      <c r="S35" s="870" t="s">
        <v>241</v>
      </c>
      <c r="T35" s="267"/>
      <c r="U35" s="267"/>
      <c r="V35" s="967">
        <f>SUM(V31:V34)</f>
        <v>388486737.76500005</v>
      </c>
      <c r="W35" s="968">
        <f>SUM(W31:W34)</f>
        <v>394007687</v>
      </c>
      <c r="X35" s="969">
        <f>SUM(X31:X34)</f>
        <v>348355476.86299998</v>
      </c>
      <c r="Y35" s="876"/>
      <c r="Z35"/>
      <c r="AA35"/>
      <c r="AB35"/>
      <c r="AC35"/>
    </row>
    <row r="36" spans="1:29" ht="29.25" customHeight="1">
      <c r="A36" s="1040" t="s">
        <v>239</v>
      </c>
      <c r="B36" s="1057"/>
      <c r="C36" s="887">
        <v>6343505</v>
      </c>
      <c r="D36" s="364">
        <f>ROUNDDOWN((매출액표!G49+매출액표!G53)/1000,-3)</f>
        <v>6527000</v>
      </c>
      <c r="E36" s="367"/>
      <c r="F36" s="928">
        <v>5982830</v>
      </c>
      <c r="G36" s="366"/>
      <c r="H36" s="1014">
        <f t="shared" ref="H36:H45" si="21">IF(D36=MAX($D$31:$D$34,$D$36:$D$45),MAX($T$31:$T$45)+(100-SUM($T$31:$T$45)),T36)</f>
        <v>9.6</v>
      </c>
      <c r="I36" s="1015"/>
      <c r="J36" s="719">
        <f t="shared" si="20"/>
        <v>39772028</v>
      </c>
      <c r="K36" s="720">
        <f t="shared" ref="K36:K45" si="22">D36+W36</f>
        <v>39084000</v>
      </c>
      <c r="L36" s="367"/>
      <c r="M36" s="721">
        <f>X36+F36</f>
        <v>36754313.013999999</v>
      </c>
      <c r="N36" s="366"/>
      <c r="O36" s="1014">
        <f t="shared" ref="O36:O45" si="23">IF(K36=MAX($K$31:$K$34,$K$36:$K$45),MAX($U$31:$U$45)+(100-SUM($U$31:$U$45)),U36)</f>
        <v>6.3</v>
      </c>
      <c r="P36" s="1015"/>
      <c r="R36" s="1025" t="s">
        <v>39</v>
      </c>
      <c r="S36" s="1025"/>
      <c r="T36" s="260">
        <f t="shared" ref="T36:T45" si="24">ROUND(D36/$D$47*100,1)</f>
        <v>9.6</v>
      </c>
      <c r="U36" s="260">
        <f t="shared" ref="U36:U45" si="25">ROUND(K36/$K$47*100,1)</f>
        <v>6.3</v>
      </c>
      <c r="V36" s="903">
        <v>33428523</v>
      </c>
      <c r="W36" s="904">
        <v>32557000</v>
      </c>
      <c r="X36" s="905">
        <v>30771483.013999999</v>
      </c>
      <c r="Y36" s="876"/>
      <c r="Z36"/>
      <c r="AA36"/>
      <c r="AB36"/>
      <c r="AC36"/>
    </row>
    <row r="37" spans="1:29" ht="29.25" customHeight="1">
      <c r="A37" s="1030" t="s">
        <v>42</v>
      </c>
      <c r="B37" s="1031"/>
      <c r="C37" s="887">
        <v>941021</v>
      </c>
      <c r="D37" s="368">
        <f>ROUND((매출액표!G62+매출액표!H62)/1000,0)</f>
        <v>919890</v>
      </c>
      <c r="E37" s="371"/>
      <c r="F37" s="928">
        <v>818127</v>
      </c>
      <c r="G37" s="370"/>
      <c r="H37" s="1016">
        <f t="shared" si="21"/>
        <v>1.4</v>
      </c>
      <c r="I37" s="1017"/>
      <c r="J37" s="722">
        <f t="shared" si="20"/>
        <v>12362760</v>
      </c>
      <c r="K37" s="723">
        <f t="shared" si="22"/>
        <v>12446655</v>
      </c>
      <c r="L37" s="371"/>
      <c r="M37" s="721">
        <f t="shared" ref="M37:M45" si="26">X37+F37</f>
        <v>11721274</v>
      </c>
      <c r="N37" s="370"/>
      <c r="O37" s="1016">
        <f t="shared" si="23"/>
        <v>2</v>
      </c>
      <c r="P37" s="1017"/>
      <c r="R37" s="1025" t="s">
        <v>35</v>
      </c>
      <c r="S37" s="1025"/>
      <c r="T37" s="260">
        <f t="shared" si="24"/>
        <v>1.4</v>
      </c>
      <c r="U37" s="260">
        <f t="shared" si="25"/>
        <v>2</v>
      </c>
      <c r="V37" s="903">
        <v>11421739</v>
      </c>
      <c r="W37" s="904">
        <v>11526765</v>
      </c>
      <c r="X37" s="905">
        <v>10903147</v>
      </c>
      <c r="Y37" s="876"/>
      <c r="Z37"/>
      <c r="AA37"/>
      <c r="AB37"/>
      <c r="AC37"/>
    </row>
    <row r="38" spans="1:29" ht="29.25" customHeight="1">
      <c r="A38" s="1030" t="s">
        <v>238</v>
      </c>
      <c r="B38" s="1031"/>
      <c r="C38" s="887">
        <v>762778</v>
      </c>
      <c r="D38" s="368">
        <f>ROUND((매출액표!G69+매출액표!H69)/1000,0)</f>
        <v>599269</v>
      </c>
      <c r="E38" s="371"/>
      <c r="F38" s="928">
        <v>539705</v>
      </c>
      <c r="G38" s="370"/>
      <c r="H38" s="1016">
        <f t="shared" si="21"/>
        <v>0.9</v>
      </c>
      <c r="I38" s="1017"/>
      <c r="J38" s="722">
        <f t="shared" si="20"/>
        <v>12374676</v>
      </c>
      <c r="K38" s="723">
        <f t="shared" si="22"/>
        <v>13367853</v>
      </c>
      <c r="L38" s="371"/>
      <c r="M38" s="721">
        <f t="shared" si="26"/>
        <v>12467986</v>
      </c>
      <c r="N38" s="370"/>
      <c r="O38" s="1016">
        <f t="shared" si="23"/>
        <v>2.2000000000000002</v>
      </c>
      <c r="P38" s="1017"/>
      <c r="R38" s="1025" t="s">
        <v>240</v>
      </c>
      <c r="S38" s="1025"/>
      <c r="T38" s="260">
        <f t="shared" si="24"/>
        <v>0.9</v>
      </c>
      <c r="U38" s="260">
        <f t="shared" si="25"/>
        <v>2.2000000000000002</v>
      </c>
      <c r="V38" s="903">
        <v>11611898</v>
      </c>
      <c r="W38" s="904">
        <v>12768584</v>
      </c>
      <c r="X38" s="905">
        <v>11928281</v>
      </c>
      <c r="Y38" s="876"/>
      <c r="Z38"/>
      <c r="AA38"/>
      <c r="AB38"/>
      <c r="AC38"/>
    </row>
    <row r="39" spans="1:29" ht="29.25" customHeight="1">
      <c r="A39" s="1030" t="s">
        <v>243</v>
      </c>
      <c r="B39" s="1031"/>
      <c r="C39" s="887">
        <v>17423360</v>
      </c>
      <c r="D39" s="368">
        <f>ROUND((매출액표!G73+매출액표!H73)/1000,0)</f>
        <v>14807698</v>
      </c>
      <c r="E39" s="371"/>
      <c r="F39" s="928">
        <v>16196722</v>
      </c>
      <c r="G39" s="370"/>
      <c r="H39" s="1016">
        <f t="shared" si="21"/>
        <v>21.8</v>
      </c>
      <c r="I39" s="1017"/>
      <c r="J39" s="722">
        <f t="shared" si="20"/>
        <v>91122350</v>
      </c>
      <c r="K39" s="723">
        <f t="shared" si="22"/>
        <v>86694410</v>
      </c>
      <c r="L39" s="371"/>
      <c r="M39" s="721">
        <f>X39+F39+1</f>
        <v>93645774</v>
      </c>
      <c r="N39" s="370" t="s">
        <v>110</v>
      </c>
      <c r="O39" s="1016">
        <f t="shared" si="23"/>
        <v>14</v>
      </c>
      <c r="P39" s="1017"/>
      <c r="R39" s="1025" t="s">
        <v>175</v>
      </c>
      <c r="S39" s="1025"/>
      <c r="T39" s="260">
        <f t="shared" si="24"/>
        <v>21.8</v>
      </c>
      <c r="U39" s="260">
        <f t="shared" si="25"/>
        <v>14</v>
      </c>
      <c r="V39" s="903">
        <v>73698990</v>
      </c>
      <c r="W39" s="904">
        <v>71886712</v>
      </c>
      <c r="X39" s="905">
        <v>77449051</v>
      </c>
      <c r="Y39" s="876"/>
      <c r="Z39"/>
      <c r="AA39"/>
      <c r="AB39"/>
      <c r="AC39"/>
    </row>
    <row r="40" spans="1:29" ht="29.25" customHeight="1">
      <c r="A40" s="1030" t="s">
        <v>244</v>
      </c>
      <c r="B40" s="1031"/>
      <c r="C40" s="887">
        <v>6176067</v>
      </c>
      <c r="D40" s="368">
        <f>ROUND(매출액표!G55/1000,0)</f>
        <v>5976262</v>
      </c>
      <c r="E40" s="371"/>
      <c r="F40" s="928">
        <v>6143566</v>
      </c>
      <c r="G40" s="370"/>
      <c r="H40" s="1016">
        <f t="shared" si="21"/>
        <v>8.8000000000000007</v>
      </c>
      <c r="I40" s="1017"/>
      <c r="J40" s="722">
        <f t="shared" si="20"/>
        <v>29724362</v>
      </c>
      <c r="K40" s="723">
        <f t="shared" si="22"/>
        <v>29569897</v>
      </c>
      <c r="L40" s="371"/>
      <c r="M40" s="721">
        <f t="shared" si="26"/>
        <v>29874702</v>
      </c>
      <c r="N40" s="370" t="s">
        <v>110</v>
      </c>
      <c r="O40" s="1016">
        <f t="shared" si="23"/>
        <v>4.8</v>
      </c>
      <c r="P40" s="1017"/>
      <c r="R40" s="1025" t="s">
        <v>26</v>
      </c>
      <c r="S40" s="1025"/>
      <c r="T40" s="260">
        <f t="shared" si="24"/>
        <v>8.8000000000000007</v>
      </c>
      <c r="U40" s="260">
        <f t="shared" si="25"/>
        <v>4.8</v>
      </c>
      <c r="V40" s="903">
        <v>23548295</v>
      </c>
      <c r="W40" s="904">
        <v>23593635</v>
      </c>
      <c r="X40" s="905">
        <v>23731136</v>
      </c>
      <c r="Y40" s="876"/>
      <c r="Z40"/>
      <c r="AA40"/>
      <c r="AB40"/>
      <c r="AC40"/>
    </row>
    <row r="41" spans="1:29" ht="29.25" customHeight="1">
      <c r="A41" s="1030" t="s">
        <v>245</v>
      </c>
      <c r="B41" s="1031"/>
      <c r="C41" s="887">
        <v>313374</v>
      </c>
      <c r="D41" s="368">
        <f>ROUND(매출액표!G56/1000,0)</f>
        <v>272490</v>
      </c>
      <c r="E41" s="371"/>
      <c r="F41" s="928">
        <v>311817</v>
      </c>
      <c r="G41" s="370"/>
      <c r="H41" s="1016">
        <f t="shared" si="21"/>
        <v>0.4</v>
      </c>
      <c r="I41" s="1017"/>
      <c r="J41" s="722">
        <f t="shared" si="20"/>
        <v>1508187</v>
      </c>
      <c r="K41" s="723">
        <f t="shared" si="22"/>
        <v>1350359</v>
      </c>
      <c r="L41" s="371"/>
      <c r="M41" s="721">
        <f t="shared" si="26"/>
        <v>1473997</v>
      </c>
      <c r="N41" s="370"/>
      <c r="O41" s="1016">
        <f t="shared" si="23"/>
        <v>0.2</v>
      </c>
      <c r="P41" s="1017"/>
      <c r="R41" s="1025" t="s">
        <v>73</v>
      </c>
      <c r="S41" s="1025"/>
      <c r="T41" s="260">
        <f t="shared" si="24"/>
        <v>0.4</v>
      </c>
      <c r="U41" s="260">
        <f t="shared" si="25"/>
        <v>0.2</v>
      </c>
      <c r="V41" s="903">
        <v>1194813</v>
      </c>
      <c r="W41" s="904">
        <v>1077869</v>
      </c>
      <c r="X41" s="905">
        <v>1162180</v>
      </c>
      <c r="Y41" s="876"/>
      <c r="Z41"/>
      <c r="AA41"/>
      <c r="AB41"/>
      <c r="AC41"/>
    </row>
    <row r="42" spans="1:29" ht="29.25" customHeight="1">
      <c r="A42" s="1030" t="s">
        <v>180</v>
      </c>
      <c r="B42" s="1031"/>
      <c r="C42" s="887">
        <v>456154</v>
      </c>
      <c r="D42" s="368">
        <f>ROUND((매출액표!G78)/1000,0)</f>
        <v>368602</v>
      </c>
      <c r="E42" s="371"/>
      <c r="F42" s="928">
        <v>440711</v>
      </c>
      <c r="G42" s="370"/>
      <c r="H42" s="1016">
        <f t="shared" si="21"/>
        <v>0.5</v>
      </c>
      <c r="I42" s="1017"/>
      <c r="J42" s="722">
        <f t="shared" si="20"/>
        <v>2359368</v>
      </c>
      <c r="K42" s="723">
        <f t="shared" si="22"/>
        <v>2523642</v>
      </c>
      <c r="L42" s="371"/>
      <c r="M42" s="721">
        <f t="shared" si="26"/>
        <v>2214559</v>
      </c>
      <c r="N42" s="370"/>
      <c r="O42" s="1016">
        <f t="shared" si="23"/>
        <v>0.4</v>
      </c>
      <c r="P42" s="1017"/>
      <c r="R42" s="1025" t="s">
        <v>180</v>
      </c>
      <c r="S42" s="1025"/>
      <c r="T42" s="260">
        <f t="shared" si="24"/>
        <v>0.5</v>
      </c>
      <c r="U42" s="260">
        <f t="shared" si="25"/>
        <v>0.4</v>
      </c>
      <c r="V42" s="903">
        <v>1903214</v>
      </c>
      <c r="W42" s="904">
        <v>2155040</v>
      </c>
      <c r="X42" s="905">
        <v>1773848</v>
      </c>
      <c r="Y42" s="876"/>
      <c r="Z42"/>
      <c r="AA42"/>
      <c r="AB42"/>
      <c r="AC42"/>
    </row>
    <row r="43" spans="1:29" ht="29.25" customHeight="1">
      <c r="A43" s="1030" t="s">
        <v>181</v>
      </c>
      <c r="B43" s="1031"/>
      <c r="C43" s="887">
        <v>385083</v>
      </c>
      <c r="D43" s="368">
        <f>ROUND((매출액표!G83+매출액표!H83)/1000,0)</f>
        <v>284389</v>
      </c>
      <c r="E43" s="371"/>
      <c r="F43" s="928">
        <v>354461</v>
      </c>
      <c r="G43" s="370"/>
      <c r="H43" s="1016">
        <f t="shared" si="21"/>
        <v>0.4</v>
      </c>
      <c r="I43" s="1017"/>
      <c r="J43" s="722">
        <f t="shared" si="20"/>
        <v>1884220</v>
      </c>
      <c r="K43" s="723">
        <f t="shared" si="22"/>
        <v>1562079</v>
      </c>
      <c r="L43" s="371"/>
      <c r="M43" s="721">
        <f t="shared" si="26"/>
        <v>1687643</v>
      </c>
      <c r="N43" s="370"/>
      <c r="O43" s="1016">
        <f t="shared" si="23"/>
        <v>0.3</v>
      </c>
      <c r="P43" s="1017"/>
      <c r="R43" s="1025" t="s">
        <v>181</v>
      </c>
      <c r="S43" s="1025"/>
      <c r="T43" s="260">
        <f t="shared" si="24"/>
        <v>0.4</v>
      </c>
      <c r="U43" s="260">
        <f t="shared" si="25"/>
        <v>0.3</v>
      </c>
      <c r="V43" s="903">
        <v>1499137</v>
      </c>
      <c r="W43" s="904">
        <v>1277690</v>
      </c>
      <c r="X43" s="905">
        <v>1333182</v>
      </c>
      <c r="Y43" s="876"/>
      <c r="Z43"/>
      <c r="AA43"/>
      <c r="AB43"/>
      <c r="AC43"/>
    </row>
    <row r="44" spans="1:29" ht="29.25" customHeight="1">
      <c r="A44" s="1030" t="s">
        <v>182</v>
      </c>
      <c r="B44" s="1031"/>
      <c r="C44" s="887">
        <v>11928</v>
      </c>
      <c r="D44" s="368">
        <f>ROUND((매출액표!G85+매출액표!H85)/1000,0)</f>
        <v>10902</v>
      </c>
      <c r="E44" s="371"/>
      <c r="F44" s="928">
        <v>238190</v>
      </c>
      <c r="G44" s="370"/>
      <c r="H44" s="1016">
        <f t="shared" si="21"/>
        <v>0</v>
      </c>
      <c r="I44" s="1017"/>
      <c r="J44" s="722">
        <f t="shared" si="20"/>
        <v>318725</v>
      </c>
      <c r="K44" s="723">
        <f t="shared" si="22"/>
        <v>95420</v>
      </c>
      <c r="L44" s="371"/>
      <c r="M44" s="721">
        <f t="shared" si="26"/>
        <v>2463693</v>
      </c>
      <c r="N44" s="370"/>
      <c r="O44" s="1016">
        <f t="shared" si="23"/>
        <v>0</v>
      </c>
      <c r="P44" s="1017"/>
      <c r="R44" s="1025" t="s">
        <v>158</v>
      </c>
      <c r="S44" s="1025"/>
      <c r="T44" s="260">
        <f t="shared" si="24"/>
        <v>0</v>
      </c>
      <c r="U44" s="260">
        <f t="shared" si="25"/>
        <v>0</v>
      </c>
      <c r="V44" s="903">
        <v>306797</v>
      </c>
      <c r="W44" s="904">
        <v>84518</v>
      </c>
      <c r="X44" s="905">
        <v>2225503</v>
      </c>
      <c r="Y44" s="876"/>
      <c r="Z44"/>
      <c r="AA44"/>
      <c r="AB44"/>
      <c r="AC44"/>
    </row>
    <row r="45" spans="1:29" ht="29.25" customHeight="1">
      <c r="A45" s="1032" t="s">
        <v>59</v>
      </c>
      <c r="B45" s="1033"/>
      <c r="C45" s="887">
        <v>76089</v>
      </c>
      <c r="D45" s="372">
        <f>ROUND(매출액표!G88/1000,0)</f>
        <v>45452</v>
      </c>
      <c r="E45" s="375"/>
      <c r="F45" s="928">
        <v>67049</v>
      </c>
      <c r="G45" s="374"/>
      <c r="H45" s="1006">
        <f t="shared" si="21"/>
        <v>0.1</v>
      </c>
      <c r="I45" s="1007"/>
      <c r="J45" s="725">
        <f t="shared" si="20"/>
        <v>823717</v>
      </c>
      <c r="K45" s="727">
        <f t="shared" si="22"/>
        <v>784406</v>
      </c>
      <c r="L45" s="375"/>
      <c r="M45" s="721">
        <f t="shared" si="26"/>
        <v>839252</v>
      </c>
      <c r="N45" s="374"/>
      <c r="O45" s="1006">
        <f t="shared" si="23"/>
        <v>0.1</v>
      </c>
      <c r="P45" s="1007"/>
      <c r="R45" s="1025" t="s">
        <v>59</v>
      </c>
      <c r="S45" s="1025"/>
      <c r="T45" s="260">
        <f t="shared" si="24"/>
        <v>0.1</v>
      </c>
      <c r="U45" s="260">
        <f t="shared" si="25"/>
        <v>0.1</v>
      </c>
      <c r="V45" s="903">
        <v>747628</v>
      </c>
      <c r="W45" s="904">
        <v>738954</v>
      </c>
      <c r="X45" s="905">
        <v>772203</v>
      </c>
      <c r="Y45" s="876"/>
      <c r="Z45"/>
      <c r="AA45"/>
      <c r="AB45"/>
      <c r="AC45"/>
    </row>
    <row r="46" spans="1:29" ht="29.25" customHeight="1" thickBot="1">
      <c r="A46" s="1034" t="s">
        <v>41</v>
      </c>
      <c r="B46" s="1035"/>
      <c r="C46" s="757">
        <f>SUM(C36:C45)</f>
        <v>32889359</v>
      </c>
      <c r="D46" s="383">
        <f>SUM(D36:D45)</f>
        <v>29811954</v>
      </c>
      <c r="E46" s="384">
        <f>D46/C46*100</f>
        <v>90.643159083763237</v>
      </c>
      <c r="F46" s="758">
        <f>SUM(F36:F45)</f>
        <v>31093178</v>
      </c>
      <c r="G46" s="378">
        <f>D46/F46*100</f>
        <v>95.879404800628606</v>
      </c>
      <c r="H46" s="1008">
        <f>SUM(H36:I45)</f>
        <v>43.9</v>
      </c>
      <c r="I46" s="1009"/>
      <c r="J46" s="385">
        <f>SUM(J36:J45)</f>
        <v>192250393</v>
      </c>
      <c r="K46" s="386">
        <f>SUM(K36:K45)</f>
        <v>187478721</v>
      </c>
      <c r="L46" s="384">
        <f>K46/J46*100</f>
        <v>97.517991029542401</v>
      </c>
      <c r="M46" s="387">
        <f>SUM(M36:M45)</f>
        <v>193143193.014</v>
      </c>
      <c r="N46" s="382">
        <f>K46/M46*100</f>
        <v>97.067216335400744</v>
      </c>
      <c r="O46" s="1008">
        <f>SUM(O36:P45)</f>
        <v>30.3</v>
      </c>
      <c r="P46" s="1009"/>
      <c r="R46" s="1024" t="s">
        <v>46</v>
      </c>
      <c r="S46" s="1024"/>
      <c r="T46" s="268"/>
      <c r="U46" s="269"/>
      <c r="V46" s="270">
        <f>SUM(V36:V45)</f>
        <v>159361034</v>
      </c>
      <c r="W46" s="271">
        <f>SUM(W36:W45)</f>
        <v>157666767</v>
      </c>
      <c r="X46" s="401">
        <f>SUM(X36:X45)</f>
        <v>162050014.014</v>
      </c>
      <c r="Y46" s="876"/>
      <c r="Z46"/>
      <c r="AA46"/>
      <c r="AB46"/>
      <c r="AC46"/>
    </row>
    <row r="47" spans="1:29" ht="29.25" customHeight="1" thickTop="1" thickBot="1">
      <c r="A47" s="1036" t="s">
        <v>114</v>
      </c>
      <c r="B47" s="1037"/>
      <c r="C47" s="971">
        <f>C35+C46</f>
        <v>70782710</v>
      </c>
      <c r="D47" s="388">
        <f>D35+D46</f>
        <v>68024790</v>
      </c>
      <c r="E47" s="389">
        <f>D47/C47*100</f>
        <v>96.103681252102376</v>
      </c>
      <c r="F47" s="972">
        <f>F35+F46</f>
        <v>62726470</v>
      </c>
      <c r="G47" s="390">
        <f>D47/F47*100</f>
        <v>108.44670519479256</v>
      </c>
      <c r="H47" s="1010">
        <f>H35+H46</f>
        <v>99.999999999999986</v>
      </c>
      <c r="I47" s="1011"/>
      <c r="J47" s="391">
        <f>J35+J46</f>
        <v>618630481.7650001</v>
      </c>
      <c r="K47" s="388">
        <f>K35+K46</f>
        <v>619699244</v>
      </c>
      <c r="L47" s="389">
        <f>K47/J47*100</f>
        <v>100.17276262106429</v>
      </c>
      <c r="M47" s="392">
        <f>M35+M46</f>
        <v>573131960.87699997</v>
      </c>
      <c r="N47" s="393">
        <f>K47/M47*100</f>
        <v>108.12505431589321</v>
      </c>
      <c r="O47" s="1010">
        <f>O35+O46</f>
        <v>100</v>
      </c>
      <c r="P47" s="1011"/>
      <c r="Q47" s="66"/>
      <c r="R47" s="1018" t="s">
        <v>36</v>
      </c>
      <c r="S47" s="1018"/>
      <c r="T47" s="272"/>
      <c r="U47" s="273"/>
      <c r="V47" s="274">
        <f>V35+V46</f>
        <v>547847771.7650001</v>
      </c>
      <c r="W47" s="275">
        <f t="shared" ref="W47:X47" si="27">W35+W46</f>
        <v>551674454</v>
      </c>
      <c r="X47" s="402">
        <f t="shared" si="27"/>
        <v>510405490.87699997</v>
      </c>
      <c r="Y47" s="876"/>
      <c r="Z47"/>
      <c r="AA47"/>
      <c r="AB47"/>
      <c r="AC47"/>
    </row>
    <row r="48" spans="1:29" ht="13.5">
      <c r="A48" s="1038"/>
      <c r="B48" s="1039"/>
      <c r="E48" s="12"/>
      <c r="Z48"/>
      <c r="AA48"/>
      <c r="AB48"/>
      <c r="AC48"/>
    </row>
    <row r="49" spans="1:53" ht="13.5">
      <c r="D49" s="1029"/>
      <c r="E49" s="1029"/>
      <c r="F49" s="1029"/>
      <c r="G49" s="1029"/>
      <c r="Z49"/>
      <c r="AA49"/>
      <c r="AB49"/>
      <c r="AC49"/>
    </row>
    <row r="50" spans="1:53" ht="13.5">
      <c r="A50" s="31"/>
      <c r="Z50"/>
      <c r="AA50"/>
      <c r="AB50"/>
      <c r="AC50"/>
    </row>
    <row r="53" spans="1:53" ht="18" customHeight="1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</row>
    <row r="54" spans="1:53" ht="18" customHeight="1">
      <c r="A54" s="1028"/>
      <c r="B54" s="755"/>
      <c r="C54" s="882"/>
      <c r="D54" s="882"/>
      <c r="E54" s="882"/>
      <c r="F54" s="882"/>
      <c r="G54" s="882"/>
      <c r="H54" s="882"/>
      <c r="I54" s="882"/>
      <c r="J54" s="882"/>
      <c r="K54" s="882"/>
      <c r="L54" s="882"/>
      <c r="M54" s="882"/>
      <c r="N54" s="882"/>
      <c r="O54" s="882"/>
      <c r="P54" s="882"/>
      <c r="Q54" s="882"/>
      <c r="R54" s="882"/>
      <c r="S54" s="882"/>
      <c r="T54" s="882"/>
      <c r="U54" s="882"/>
      <c r="V54" s="882"/>
    </row>
    <row r="55" spans="1:53" ht="18" customHeight="1">
      <c r="A55" s="1028"/>
      <c r="B55" s="755"/>
      <c r="C55" s="882"/>
      <c r="D55" s="882"/>
      <c r="E55" s="882"/>
      <c r="F55" s="882"/>
      <c r="G55" s="882"/>
      <c r="H55" s="882"/>
      <c r="I55" s="882"/>
      <c r="J55" s="882"/>
      <c r="K55" s="882"/>
      <c r="L55" s="882"/>
      <c r="M55" s="882"/>
      <c r="N55" s="882"/>
      <c r="O55" s="882"/>
      <c r="P55" s="882"/>
      <c r="Q55" s="882"/>
      <c r="R55" s="882"/>
      <c r="S55" s="882"/>
      <c r="T55" s="882"/>
      <c r="U55" s="882"/>
      <c r="V55" s="882"/>
    </row>
    <row r="56" spans="1:53" ht="18" customHeight="1">
      <c r="A56" s="1028"/>
      <c r="B56" s="755"/>
      <c r="C56" s="882"/>
      <c r="D56" s="882"/>
      <c r="E56" s="882"/>
      <c r="F56" s="882"/>
      <c r="G56" s="882"/>
      <c r="H56" s="882"/>
      <c r="I56" s="882"/>
      <c r="J56" s="882"/>
      <c r="K56" s="882"/>
      <c r="L56" s="882"/>
      <c r="M56" s="882"/>
      <c r="N56" s="882"/>
      <c r="O56" s="882"/>
      <c r="P56" s="882"/>
      <c r="Q56" s="882"/>
      <c r="R56" s="882"/>
      <c r="S56" s="882"/>
      <c r="T56" s="882"/>
      <c r="U56" s="882"/>
      <c r="V56" s="882"/>
    </row>
    <row r="57" spans="1:53" ht="18" customHeight="1">
      <c r="A57" s="1028"/>
      <c r="B57" s="755"/>
      <c r="C57" s="882"/>
      <c r="D57" s="882"/>
      <c r="E57" s="882"/>
      <c r="F57" s="882"/>
      <c r="G57" s="882"/>
      <c r="H57" s="882"/>
      <c r="I57" s="882"/>
      <c r="J57" s="882"/>
      <c r="K57" s="882"/>
      <c r="L57" s="882"/>
      <c r="M57" s="882"/>
      <c r="N57" s="882"/>
      <c r="O57" s="882"/>
      <c r="P57" s="882"/>
      <c r="Q57" s="882"/>
      <c r="R57" s="882"/>
      <c r="S57" s="882"/>
      <c r="T57" s="882"/>
      <c r="U57" s="882"/>
      <c r="V57" s="882"/>
    </row>
    <row r="58" spans="1:53" ht="19.5" customHeight="1">
      <c r="A58" s="1028"/>
      <c r="B58" s="755"/>
      <c r="C58" s="32"/>
      <c r="D58" s="32"/>
      <c r="E58" s="32"/>
      <c r="F58" s="32"/>
      <c r="G58" s="32"/>
      <c r="H58" s="32"/>
      <c r="I58" s="32"/>
      <c r="J58" s="32"/>
      <c r="K58" s="32"/>
      <c r="L58" s="32"/>
      <c r="M58" s="32"/>
      <c r="N58" s="32"/>
      <c r="O58" s="32"/>
      <c r="P58" s="32"/>
      <c r="Q58" s="32"/>
      <c r="R58" s="32"/>
      <c r="S58" s="32"/>
      <c r="T58" s="32"/>
      <c r="U58" s="32"/>
      <c r="V58" s="32"/>
      <c r="AW58" s="881"/>
      <c r="AX58" s="881"/>
      <c r="AY58" s="881"/>
      <c r="AZ58" s="881"/>
      <c r="BA58" s="881"/>
    </row>
    <row r="59" spans="1:53" ht="18" customHeight="1">
      <c r="A59" s="1026"/>
      <c r="B59" s="1026"/>
      <c r="C59" s="882"/>
      <c r="D59" s="882"/>
      <c r="E59" s="882"/>
      <c r="F59" s="882"/>
      <c r="G59" s="882"/>
      <c r="H59" s="882"/>
      <c r="I59" s="882"/>
      <c r="J59" s="882"/>
      <c r="K59" s="882"/>
      <c r="L59" s="882"/>
      <c r="M59" s="882"/>
      <c r="N59" s="882"/>
      <c r="O59" s="882"/>
      <c r="P59" s="882"/>
      <c r="Q59" s="882"/>
      <c r="R59" s="882"/>
      <c r="S59" s="882"/>
      <c r="T59" s="882"/>
      <c r="U59" s="882"/>
      <c r="V59" s="882"/>
      <c r="AW59" s="881"/>
      <c r="AX59" s="881"/>
      <c r="AY59" s="881"/>
      <c r="AZ59" s="881"/>
      <c r="BA59" s="881"/>
    </row>
    <row r="60" spans="1:53" ht="18" customHeight="1">
      <c r="A60" s="1026"/>
      <c r="B60" s="1026"/>
      <c r="C60" s="882"/>
      <c r="D60" s="882"/>
      <c r="E60" s="882"/>
      <c r="F60" s="882"/>
      <c r="G60" s="882"/>
      <c r="H60" s="882"/>
      <c r="I60" s="882"/>
      <c r="J60" s="882"/>
      <c r="K60" s="882"/>
      <c r="L60" s="882"/>
      <c r="M60" s="882"/>
      <c r="N60" s="882"/>
      <c r="O60" s="882"/>
      <c r="P60" s="882"/>
      <c r="Q60" s="882"/>
      <c r="R60" s="882"/>
      <c r="S60" s="882"/>
      <c r="T60" s="882"/>
      <c r="U60" s="882"/>
      <c r="V60" s="882"/>
      <c r="AW60" s="881"/>
      <c r="AX60" s="881"/>
      <c r="AY60" s="881"/>
      <c r="AZ60" s="881"/>
      <c r="BA60" s="881"/>
    </row>
    <row r="61" spans="1:53" ht="18" customHeight="1">
      <c r="A61" s="1026"/>
      <c r="B61" s="1026"/>
      <c r="C61" s="882"/>
      <c r="D61" s="882"/>
      <c r="E61" s="882"/>
      <c r="F61" s="882"/>
      <c r="G61" s="882"/>
      <c r="H61" s="882"/>
      <c r="I61" s="882"/>
      <c r="J61" s="882"/>
      <c r="K61" s="882"/>
      <c r="L61" s="882"/>
      <c r="M61" s="882"/>
      <c r="N61" s="882"/>
      <c r="O61" s="882"/>
      <c r="P61" s="882"/>
      <c r="Q61" s="882"/>
      <c r="R61" s="882"/>
      <c r="S61" s="882"/>
      <c r="T61" s="882"/>
      <c r="U61" s="882"/>
      <c r="V61" s="882"/>
      <c r="AW61" s="881"/>
      <c r="AX61" s="881"/>
      <c r="AY61" s="881"/>
      <c r="AZ61" s="881"/>
      <c r="BA61" s="881"/>
    </row>
    <row r="62" spans="1:53" ht="18" customHeight="1">
      <c r="A62" s="12"/>
      <c r="B62" s="12"/>
      <c r="C62" s="882"/>
      <c r="D62" s="882"/>
      <c r="E62" s="882"/>
      <c r="F62" s="882"/>
      <c r="G62" s="882"/>
      <c r="H62" s="882"/>
      <c r="I62" s="882"/>
      <c r="J62" s="882"/>
      <c r="K62" s="882"/>
      <c r="L62" s="882"/>
      <c r="M62" s="882"/>
      <c r="N62" s="882"/>
      <c r="O62" s="882"/>
      <c r="P62" s="882"/>
      <c r="Q62" s="882"/>
      <c r="R62" s="882"/>
      <c r="S62" s="882"/>
      <c r="T62" s="882"/>
      <c r="U62" s="882"/>
      <c r="V62" s="882"/>
      <c r="AW62" s="881"/>
      <c r="AX62" s="881"/>
      <c r="AY62" s="881"/>
      <c r="AZ62" s="881"/>
      <c r="BA62" s="881"/>
    </row>
    <row r="63" spans="1:53" ht="18" customHeight="1">
      <c r="A63" s="12"/>
      <c r="B63" s="755"/>
      <c r="C63" s="882"/>
      <c r="D63" s="882"/>
      <c r="E63" s="882"/>
      <c r="F63" s="882"/>
      <c r="G63" s="882"/>
      <c r="H63" s="882"/>
      <c r="I63" s="882"/>
      <c r="J63" s="882"/>
      <c r="K63" s="882"/>
      <c r="L63" s="882"/>
      <c r="M63" s="882"/>
      <c r="N63" s="882"/>
      <c r="O63" s="882"/>
      <c r="P63" s="882"/>
      <c r="Q63" s="882"/>
      <c r="R63" s="882"/>
      <c r="S63" s="882"/>
      <c r="T63" s="882"/>
      <c r="U63" s="882"/>
      <c r="V63" s="882"/>
      <c r="AW63" s="881"/>
      <c r="AX63" s="881"/>
      <c r="AY63" s="881"/>
      <c r="AZ63" s="881"/>
      <c r="BA63" s="881"/>
    </row>
    <row r="64" spans="1:53" ht="18" customHeight="1">
      <c r="A64" s="12"/>
      <c r="B64" s="755"/>
      <c r="C64" s="882"/>
      <c r="D64" s="882"/>
      <c r="E64" s="882"/>
      <c r="F64" s="882"/>
      <c r="G64" s="882"/>
      <c r="H64" s="882"/>
      <c r="I64" s="882"/>
      <c r="J64" s="882"/>
      <c r="K64" s="882"/>
      <c r="L64" s="882"/>
      <c r="M64" s="882"/>
      <c r="N64" s="882"/>
      <c r="O64" s="882"/>
      <c r="P64" s="882"/>
      <c r="Q64" s="882"/>
      <c r="R64" s="882"/>
      <c r="S64" s="882"/>
      <c r="T64" s="882"/>
      <c r="U64" s="882"/>
      <c r="V64" s="882"/>
      <c r="AW64" s="881"/>
      <c r="AX64" s="881"/>
      <c r="AY64" s="881"/>
      <c r="AZ64" s="881"/>
      <c r="BA64" s="881"/>
    </row>
    <row r="65" spans="1:53" ht="16.5" customHeight="1">
      <c r="A65" s="1027"/>
      <c r="B65" s="1027"/>
      <c r="C65" s="882"/>
      <c r="D65" s="882"/>
      <c r="E65" s="882"/>
      <c r="F65" s="882"/>
      <c r="G65" s="882"/>
      <c r="H65" s="882"/>
      <c r="I65" s="882"/>
      <c r="J65" s="882"/>
      <c r="K65" s="882"/>
      <c r="L65" s="882"/>
      <c r="M65" s="882"/>
      <c r="N65" s="882"/>
      <c r="O65" s="882"/>
      <c r="P65" s="882"/>
      <c r="Q65" s="882"/>
      <c r="R65" s="882"/>
      <c r="S65" s="882"/>
      <c r="T65" s="882"/>
      <c r="U65" s="882"/>
      <c r="V65" s="882"/>
      <c r="AW65" s="881"/>
      <c r="AX65" s="881"/>
      <c r="AY65" s="881"/>
      <c r="AZ65" s="881"/>
      <c r="BA65" s="881"/>
    </row>
    <row r="66" spans="1:53" ht="18" customHeight="1">
      <c r="A66" s="1027"/>
      <c r="B66" s="1027"/>
      <c r="C66" s="882"/>
      <c r="D66" s="882"/>
      <c r="E66" s="882"/>
      <c r="F66" s="882"/>
      <c r="G66" s="882"/>
      <c r="H66" s="882"/>
      <c r="I66" s="882"/>
      <c r="J66" s="882"/>
      <c r="K66" s="882"/>
      <c r="L66" s="882"/>
      <c r="M66" s="882"/>
      <c r="N66" s="882"/>
      <c r="O66" s="882"/>
      <c r="P66" s="882"/>
      <c r="Q66" s="882"/>
      <c r="R66" s="882"/>
      <c r="S66" s="882"/>
      <c r="T66" s="882"/>
      <c r="U66" s="882"/>
      <c r="V66" s="882"/>
      <c r="AW66" s="881"/>
      <c r="AX66" s="881"/>
      <c r="AY66" s="881"/>
      <c r="AZ66" s="881"/>
      <c r="BA66" s="881"/>
    </row>
    <row r="67" spans="1:53" ht="18" customHeight="1">
      <c r="A67" s="1027"/>
      <c r="B67" s="1027"/>
      <c r="C67" s="882"/>
      <c r="D67" s="882"/>
      <c r="E67" s="882"/>
      <c r="F67" s="882"/>
      <c r="G67" s="882"/>
      <c r="H67" s="882"/>
      <c r="I67" s="882"/>
      <c r="J67" s="882"/>
      <c r="K67" s="882"/>
      <c r="L67" s="882"/>
      <c r="M67" s="882"/>
      <c r="N67" s="882"/>
      <c r="O67" s="882"/>
      <c r="P67" s="882"/>
      <c r="Q67" s="882"/>
      <c r="R67" s="882"/>
      <c r="S67" s="882"/>
      <c r="T67" s="882"/>
      <c r="U67" s="882"/>
      <c r="V67" s="882"/>
      <c r="AW67" s="881"/>
      <c r="AX67" s="881"/>
      <c r="AY67" s="881"/>
      <c r="AZ67" s="881"/>
      <c r="BA67" s="881"/>
    </row>
    <row r="68" spans="1:53" ht="18" customHeight="1">
      <c r="A68" s="755"/>
      <c r="B68" s="755"/>
      <c r="C68" s="882"/>
      <c r="D68" s="882"/>
      <c r="E68" s="882"/>
      <c r="F68" s="882"/>
      <c r="G68" s="882"/>
      <c r="H68" s="882"/>
      <c r="I68" s="882"/>
      <c r="J68" s="882"/>
      <c r="K68" s="882"/>
      <c r="L68" s="882"/>
      <c r="M68" s="882"/>
      <c r="N68" s="882"/>
      <c r="O68" s="882"/>
      <c r="P68" s="882"/>
      <c r="Q68" s="882"/>
      <c r="R68" s="882"/>
      <c r="S68" s="882"/>
      <c r="T68" s="882"/>
      <c r="U68" s="882"/>
      <c r="V68" s="882"/>
    </row>
    <row r="69" spans="1:53" ht="18" customHeight="1">
      <c r="A69" s="1027"/>
      <c r="B69" s="1027"/>
      <c r="C69" s="32"/>
      <c r="D69" s="32"/>
      <c r="E69" s="32"/>
      <c r="F69" s="32"/>
      <c r="G69" s="32"/>
      <c r="H69" s="32"/>
      <c r="I69" s="32"/>
      <c r="J69" s="32"/>
      <c r="K69" s="32"/>
      <c r="L69" s="32"/>
      <c r="M69" s="32"/>
      <c r="N69" s="32"/>
      <c r="O69" s="32"/>
      <c r="P69" s="32"/>
      <c r="Q69" s="32"/>
      <c r="R69" s="32"/>
      <c r="S69" s="32"/>
      <c r="T69" s="32"/>
      <c r="U69" s="32"/>
      <c r="V69" s="32"/>
    </row>
    <row r="70" spans="1:53" ht="18" customHeight="1">
      <c r="A70" s="1026"/>
      <c r="B70" s="1026"/>
      <c r="C70" s="33"/>
      <c r="D70" s="33"/>
      <c r="E70" s="33"/>
      <c r="F70" s="33"/>
      <c r="G70" s="33"/>
      <c r="H70" s="33"/>
      <c r="I70" s="33"/>
      <c r="J70" s="33"/>
      <c r="K70" s="33"/>
      <c r="L70" s="33"/>
      <c r="M70" s="33"/>
      <c r="N70" s="33"/>
      <c r="O70" s="33"/>
      <c r="P70" s="33"/>
      <c r="Q70" s="33"/>
      <c r="R70" s="33"/>
      <c r="S70" s="33"/>
      <c r="T70" s="33"/>
      <c r="U70" s="33"/>
      <c r="V70" s="33"/>
    </row>
    <row r="71" spans="1:53" ht="18" customHeight="1">
      <c r="C71" s="882"/>
      <c r="D71" s="882"/>
      <c r="E71" s="882"/>
      <c r="F71" s="882"/>
      <c r="G71" s="882"/>
      <c r="H71" s="882"/>
      <c r="I71" s="882"/>
      <c r="J71" s="882"/>
      <c r="K71" s="882"/>
      <c r="L71" s="882"/>
      <c r="M71" s="882"/>
      <c r="N71" s="882"/>
      <c r="O71" s="882"/>
      <c r="P71" s="882"/>
      <c r="Q71" s="882"/>
      <c r="R71" s="882"/>
      <c r="S71" s="882"/>
      <c r="T71" s="882"/>
      <c r="U71" s="882"/>
      <c r="V71" s="882"/>
    </row>
    <row r="72" spans="1:53" ht="18" customHeight="1">
      <c r="A72" s="12"/>
      <c r="B72" s="12"/>
    </row>
    <row r="73" spans="1:53" ht="18" customHeight="1"/>
    <row r="74" spans="1:53" ht="18" customHeight="1">
      <c r="A74" s="31"/>
    </row>
    <row r="75" spans="1:53" ht="18" customHeight="1">
      <c r="A75" s="1026"/>
      <c r="B75" s="1026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X75" s="876"/>
      <c r="Y75" s="876"/>
    </row>
    <row r="76" spans="1:53" ht="18" customHeight="1">
      <c r="A76" s="1028"/>
      <c r="B76" s="755"/>
      <c r="C76" s="882"/>
      <c r="D76" s="882"/>
      <c r="E76" s="882"/>
      <c r="F76" s="882"/>
      <c r="G76" s="882"/>
      <c r="H76" s="882"/>
      <c r="I76" s="882"/>
      <c r="J76" s="882"/>
      <c r="K76" s="882"/>
      <c r="L76" s="882"/>
      <c r="M76" s="882"/>
      <c r="N76" s="882"/>
      <c r="O76" s="882"/>
      <c r="P76" s="882"/>
      <c r="Q76" s="882"/>
      <c r="R76" s="882"/>
      <c r="S76" s="882"/>
      <c r="T76" s="882"/>
      <c r="U76" s="882"/>
      <c r="V76" s="882"/>
    </row>
    <row r="77" spans="1:53" ht="18" customHeight="1">
      <c r="A77" s="1028"/>
      <c r="B77" s="755"/>
      <c r="C77" s="882"/>
      <c r="D77" s="882"/>
      <c r="E77" s="882"/>
      <c r="F77" s="882"/>
      <c r="G77" s="882"/>
      <c r="H77" s="882"/>
      <c r="I77" s="882"/>
      <c r="J77" s="882"/>
      <c r="K77" s="882"/>
      <c r="L77" s="882"/>
      <c r="M77" s="882"/>
      <c r="N77" s="882"/>
      <c r="O77" s="882"/>
      <c r="P77" s="882"/>
      <c r="Q77" s="882"/>
      <c r="R77" s="882"/>
      <c r="S77" s="882"/>
      <c r="T77" s="882"/>
      <c r="U77" s="882"/>
      <c r="V77" s="882"/>
    </row>
    <row r="78" spans="1:53" ht="18" customHeight="1">
      <c r="A78" s="1028"/>
      <c r="B78" s="755"/>
      <c r="C78" s="882"/>
      <c r="D78" s="882"/>
      <c r="E78" s="882"/>
      <c r="F78" s="882"/>
      <c r="G78" s="882"/>
      <c r="H78" s="882"/>
      <c r="I78" s="882"/>
      <c r="J78" s="882"/>
      <c r="K78" s="882"/>
      <c r="L78" s="882"/>
      <c r="M78" s="882"/>
      <c r="N78" s="882"/>
      <c r="O78" s="882"/>
      <c r="P78" s="882"/>
      <c r="Q78" s="882"/>
      <c r="R78" s="882"/>
      <c r="S78" s="882"/>
      <c r="T78" s="882"/>
      <c r="U78" s="882"/>
      <c r="V78" s="882"/>
    </row>
    <row r="79" spans="1:53" ht="18" customHeight="1">
      <c r="A79" s="1028"/>
      <c r="B79" s="755"/>
      <c r="C79" s="882"/>
      <c r="D79" s="882"/>
      <c r="E79" s="882"/>
      <c r="F79" s="882"/>
      <c r="G79" s="882"/>
      <c r="H79" s="882"/>
      <c r="I79" s="882"/>
      <c r="J79" s="882"/>
      <c r="K79" s="882"/>
      <c r="L79" s="882"/>
      <c r="M79" s="882"/>
      <c r="N79" s="882"/>
      <c r="O79" s="882"/>
      <c r="P79" s="882"/>
      <c r="Q79" s="882"/>
      <c r="R79" s="882"/>
      <c r="S79" s="882"/>
      <c r="T79" s="882"/>
      <c r="U79" s="882"/>
      <c r="V79" s="882"/>
    </row>
    <row r="80" spans="1:53" ht="18" customHeight="1">
      <c r="A80" s="34"/>
      <c r="B80" s="755"/>
      <c r="C80" s="33"/>
      <c r="D80" s="33"/>
      <c r="E80" s="33"/>
      <c r="F80" s="33"/>
      <c r="G80" s="33"/>
      <c r="H80" s="33"/>
      <c r="I80" s="33"/>
      <c r="J80" s="33"/>
      <c r="K80" s="33"/>
      <c r="L80" s="33"/>
      <c r="M80" s="33"/>
      <c r="N80" s="33"/>
      <c r="O80" s="33"/>
      <c r="P80" s="33"/>
      <c r="Q80" s="33"/>
      <c r="R80" s="33"/>
      <c r="S80" s="33"/>
      <c r="T80" s="33"/>
      <c r="U80" s="33"/>
      <c r="V80" s="33"/>
    </row>
    <row r="81" spans="1:22" ht="18" customHeight="1">
      <c r="A81" s="1027"/>
      <c r="B81" s="1027"/>
      <c r="C81" s="882"/>
      <c r="D81" s="882"/>
      <c r="E81" s="882"/>
      <c r="F81" s="882"/>
      <c r="G81" s="882"/>
      <c r="H81" s="882"/>
      <c r="I81" s="882"/>
      <c r="J81" s="882"/>
      <c r="K81" s="882"/>
      <c r="L81" s="882"/>
      <c r="M81" s="882"/>
      <c r="N81" s="882"/>
      <c r="O81" s="882"/>
      <c r="P81" s="882"/>
      <c r="Q81" s="882"/>
      <c r="R81" s="882"/>
      <c r="S81" s="882"/>
      <c r="T81" s="882"/>
      <c r="U81" s="882"/>
      <c r="V81" s="882"/>
    </row>
    <row r="82" spans="1:22" ht="18" customHeight="1">
      <c r="A82" s="1027"/>
      <c r="B82" s="1027"/>
      <c r="C82" s="882"/>
      <c r="D82" s="882"/>
      <c r="E82" s="882"/>
      <c r="F82" s="882"/>
      <c r="G82" s="882"/>
      <c r="H82" s="882"/>
      <c r="I82" s="882"/>
      <c r="J82" s="882"/>
      <c r="K82" s="882"/>
      <c r="L82" s="882"/>
      <c r="M82" s="882"/>
      <c r="N82" s="882"/>
      <c r="O82" s="882"/>
      <c r="P82" s="882"/>
      <c r="Q82" s="882"/>
      <c r="R82" s="882"/>
      <c r="S82" s="882"/>
      <c r="T82" s="882"/>
      <c r="U82" s="882"/>
      <c r="V82" s="882"/>
    </row>
    <row r="83" spans="1:22" ht="18" customHeight="1">
      <c r="A83" s="1027"/>
      <c r="B83" s="1027"/>
      <c r="C83" s="882"/>
      <c r="D83" s="882"/>
      <c r="E83" s="882"/>
      <c r="F83" s="882"/>
      <c r="G83" s="882"/>
      <c r="H83" s="882"/>
      <c r="I83" s="882"/>
      <c r="J83" s="882"/>
      <c r="K83" s="882"/>
      <c r="L83" s="882"/>
      <c r="M83" s="882"/>
      <c r="N83" s="882"/>
      <c r="O83" s="882"/>
      <c r="P83" s="882"/>
      <c r="Q83" s="882"/>
      <c r="R83" s="882"/>
      <c r="S83" s="882"/>
      <c r="T83" s="882"/>
      <c r="U83" s="882"/>
      <c r="V83" s="882"/>
    </row>
    <row r="84" spans="1:22" ht="18" customHeight="1">
      <c r="A84" s="12"/>
      <c r="B84" s="12"/>
      <c r="C84" s="882"/>
      <c r="D84" s="882"/>
      <c r="E84" s="882"/>
      <c r="F84" s="882"/>
      <c r="G84" s="882"/>
      <c r="H84" s="882"/>
      <c r="I84" s="882"/>
      <c r="J84" s="882"/>
      <c r="K84" s="882"/>
      <c r="L84" s="882"/>
      <c r="M84" s="882"/>
      <c r="N84" s="882"/>
      <c r="O84" s="882"/>
      <c r="P84" s="882"/>
      <c r="Q84" s="882"/>
      <c r="R84" s="882"/>
      <c r="S84" s="882"/>
      <c r="T84" s="882"/>
      <c r="U84" s="882"/>
      <c r="V84" s="882"/>
    </row>
    <row r="85" spans="1:22" ht="18" customHeight="1">
      <c r="A85" s="12"/>
      <c r="B85" s="755"/>
      <c r="C85" s="882"/>
      <c r="D85" s="882"/>
      <c r="E85" s="882"/>
      <c r="F85" s="882"/>
      <c r="G85" s="882"/>
      <c r="H85" s="882"/>
      <c r="I85" s="882"/>
      <c r="J85" s="882"/>
      <c r="K85" s="882"/>
      <c r="L85" s="882"/>
      <c r="M85" s="882"/>
      <c r="N85" s="882"/>
      <c r="O85" s="882"/>
      <c r="P85" s="882"/>
      <c r="Q85" s="882"/>
      <c r="R85" s="882"/>
      <c r="S85" s="882"/>
      <c r="T85" s="882"/>
      <c r="U85" s="882"/>
      <c r="V85" s="882"/>
    </row>
    <row r="86" spans="1:22" ht="18" customHeight="1">
      <c r="A86" s="12"/>
      <c r="B86" s="755"/>
      <c r="C86" s="882"/>
      <c r="D86" s="882"/>
      <c r="E86" s="882"/>
      <c r="F86" s="882"/>
      <c r="G86" s="882"/>
      <c r="H86" s="882"/>
      <c r="I86" s="882"/>
      <c r="J86" s="882"/>
      <c r="K86" s="882"/>
      <c r="L86" s="882"/>
      <c r="M86" s="882"/>
      <c r="N86" s="882"/>
      <c r="O86" s="882"/>
      <c r="P86" s="882"/>
      <c r="Q86" s="882"/>
      <c r="R86" s="882"/>
      <c r="S86" s="882"/>
      <c r="T86" s="882"/>
      <c r="U86" s="882"/>
      <c r="V86" s="882"/>
    </row>
    <row r="87" spans="1:22" ht="18" customHeight="1">
      <c r="A87" s="1027"/>
      <c r="B87" s="1027"/>
      <c r="C87" s="882"/>
      <c r="D87" s="882"/>
      <c r="E87" s="882"/>
      <c r="F87" s="882"/>
      <c r="G87" s="882"/>
      <c r="H87" s="882"/>
      <c r="I87" s="882"/>
      <c r="J87" s="882"/>
      <c r="K87" s="882"/>
      <c r="L87" s="882"/>
      <c r="M87" s="882"/>
      <c r="N87" s="882"/>
      <c r="O87" s="882"/>
      <c r="P87" s="882"/>
      <c r="Q87" s="882"/>
      <c r="R87" s="882"/>
      <c r="S87" s="882"/>
      <c r="T87" s="882"/>
      <c r="U87" s="882"/>
      <c r="V87" s="882"/>
    </row>
    <row r="88" spans="1:22" ht="18" customHeight="1">
      <c r="A88" s="1027"/>
      <c r="B88" s="1027"/>
      <c r="C88" s="882"/>
      <c r="D88" s="882"/>
      <c r="E88" s="882"/>
      <c r="F88" s="882"/>
      <c r="G88" s="882"/>
      <c r="H88" s="882"/>
      <c r="I88" s="882"/>
      <c r="J88" s="882"/>
      <c r="K88" s="882"/>
      <c r="L88" s="882"/>
      <c r="M88" s="882"/>
      <c r="N88" s="882"/>
      <c r="O88" s="882"/>
      <c r="P88" s="882"/>
      <c r="Q88" s="882"/>
      <c r="R88" s="882"/>
      <c r="S88" s="882"/>
      <c r="T88" s="882"/>
      <c r="U88" s="882"/>
      <c r="V88" s="882"/>
    </row>
    <row r="89" spans="1:22" ht="18" customHeight="1">
      <c r="A89" s="1027"/>
      <c r="B89" s="1027"/>
      <c r="C89" s="882"/>
      <c r="D89" s="882"/>
      <c r="E89" s="882"/>
      <c r="F89" s="882"/>
      <c r="G89" s="882"/>
      <c r="H89" s="882"/>
      <c r="I89" s="882"/>
      <c r="J89" s="882"/>
      <c r="K89" s="882"/>
      <c r="L89" s="882"/>
      <c r="M89" s="882"/>
      <c r="N89" s="882"/>
      <c r="O89" s="882"/>
      <c r="P89" s="882"/>
      <c r="Q89" s="882"/>
      <c r="R89" s="882"/>
      <c r="S89" s="882"/>
      <c r="T89" s="882"/>
      <c r="U89" s="882"/>
      <c r="V89" s="882"/>
    </row>
    <row r="90" spans="1:22" ht="18" customHeight="1">
      <c r="A90" s="755"/>
      <c r="B90" s="755"/>
      <c r="C90" s="882"/>
      <c r="D90" s="882"/>
      <c r="E90" s="882"/>
      <c r="F90" s="882"/>
      <c r="G90" s="882"/>
      <c r="H90" s="882"/>
      <c r="I90" s="882"/>
      <c r="J90" s="882"/>
      <c r="K90" s="882"/>
      <c r="L90" s="882"/>
      <c r="M90" s="882"/>
      <c r="N90" s="882"/>
      <c r="O90" s="882"/>
      <c r="P90" s="882"/>
      <c r="Q90" s="882"/>
      <c r="R90" s="882"/>
      <c r="S90" s="882"/>
      <c r="T90" s="882"/>
      <c r="U90" s="882"/>
      <c r="V90" s="882"/>
    </row>
    <row r="91" spans="1:22" ht="18" customHeight="1">
      <c r="A91" s="1027"/>
      <c r="B91" s="1027"/>
      <c r="C91" s="32"/>
      <c r="D91" s="32"/>
      <c r="E91" s="32"/>
      <c r="F91" s="32"/>
      <c r="G91" s="32"/>
      <c r="H91" s="32"/>
      <c r="I91" s="32"/>
      <c r="J91" s="32"/>
      <c r="K91" s="32"/>
      <c r="L91" s="32"/>
      <c r="M91" s="32"/>
      <c r="N91" s="32"/>
      <c r="O91" s="32"/>
      <c r="P91" s="32"/>
      <c r="Q91" s="32"/>
      <c r="R91" s="32"/>
      <c r="S91" s="32"/>
      <c r="T91" s="32"/>
      <c r="U91" s="32"/>
      <c r="V91" s="32"/>
    </row>
    <row r="92" spans="1:22" ht="18" customHeight="1">
      <c r="A92" s="1026"/>
      <c r="B92" s="1026"/>
      <c r="C92" s="33"/>
      <c r="D92" s="33"/>
      <c r="E92" s="33"/>
      <c r="F92" s="33"/>
      <c r="G92" s="33"/>
      <c r="H92" s="33"/>
      <c r="I92" s="33"/>
      <c r="J92" s="33"/>
      <c r="K92" s="33"/>
      <c r="L92" s="33"/>
      <c r="M92" s="33"/>
      <c r="N92" s="33"/>
      <c r="O92" s="33"/>
      <c r="P92" s="33"/>
      <c r="Q92" s="33"/>
      <c r="R92" s="33"/>
      <c r="S92" s="33"/>
      <c r="T92" s="33"/>
      <c r="U92" s="33"/>
      <c r="V92" s="33"/>
    </row>
  </sheetData>
  <mergeCells count="123">
    <mergeCell ref="R5:S6"/>
    <mergeCell ref="T29:U29"/>
    <mergeCell ref="V29:X29"/>
    <mergeCell ref="T5:U5"/>
    <mergeCell ref="V5:Y5"/>
    <mergeCell ref="R19:S19"/>
    <mergeCell ref="R20:S20"/>
    <mergeCell ref="R22:S22"/>
    <mergeCell ref="C5:I5"/>
    <mergeCell ref="J5:P5"/>
    <mergeCell ref="C29:I29"/>
    <mergeCell ref="J29:P29"/>
    <mergeCell ref="A5:B6"/>
    <mergeCell ref="A36:B36"/>
    <mergeCell ref="A37:B37"/>
    <mergeCell ref="A38:B38"/>
    <mergeCell ref="H38:I38"/>
    <mergeCell ref="R40:S40"/>
    <mergeCell ref="A39:B39"/>
    <mergeCell ref="A40:B40"/>
    <mergeCell ref="A41:B41"/>
    <mergeCell ref="H39:I39"/>
    <mergeCell ref="H40:I40"/>
    <mergeCell ref="H41:I41"/>
    <mergeCell ref="R13:S13"/>
    <mergeCell ref="H34:I34"/>
    <mergeCell ref="H35:I35"/>
    <mergeCell ref="H36:I36"/>
    <mergeCell ref="H37:I37"/>
    <mergeCell ref="A7:A11"/>
    <mergeCell ref="O30:P30"/>
    <mergeCell ref="O31:P31"/>
    <mergeCell ref="O32:P32"/>
    <mergeCell ref="O33:P33"/>
    <mergeCell ref="O34:P34"/>
    <mergeCell ref="O35:P35"/>
    <mergeCell ref="A42:B42"/>
    <mergeCell ref="A43:B43"/>
    <mergeCell ref="A12:B12"/>
    <mergeCell ref="A13:B13"/>
    <mergeCell ref="A14:B14"/>
    <mergeCell ref="A15:B15"/>
    <mergeCell ref="A16:B16"/>
    <mergeCell ref="A17:B17"/>
    <mergeCell ref="A18:B18"/>
    <mergeCell ref="A19:B19"/>
    <mergeCell ref="A20:B20"/>
    <mergeCell ref="A29:B30"/>
    <mergeCell ref="A31:A35"/>
    <mergeCell ref="A21:B21"/>
    <mergeCell ref="A22:B22"/>
    <mergeCell ref="A23:B23"/>
    <mergeCell ref="A24:B24"/>
    <mergeCell ref="D49:G49"/>
    <mergeCell ref="A44:B44"/>
    <mergeCell ref="A45:B45"/>
    <mergeCell ref="A46:B46"/>
    <mergeCell ref="A47:B47"/>
    <mergeCell ref="A48:B48"/>
    <mergeCell ref="H44:I44"/>
    <mergeCell ref="H45:I45"/>
    <mergeCell ref="H46:I46"/>
    <mergeCell ref="H47:I47"/>
    <mergeCell ref="A65:B65"/>
    <mergeCell ref="A88:B88"/>
    <mergeCell ref="A82:B82"/>
    <mergeCell ref="A67:B67"/>
    <mergeCell ref="A60:B60"/>
    <mergeCell ref="A66:B66"/>
    <mergeCell ref="A54:A58"/>
    <mergeCell ref="A59:B59"/>
    <mergeCell ref="A61:B61"/>
    <mergeCell ref="A92:B92"/>
    <mergeCell ref="A69:B69"/>
    <mergeCell ref="A70:B70"/>
    <mergeCell ref="A75:B75"/>
    <mergeCell ref="A76:A79"/>
    <mergeCell ref="A81:B81"/>
    <mergeCell ref="A91:B91"/>
    <mergeCell ref="A87:B87"/>
    <mergeCell ref="A83:B83"/>
    <mergeCell ref="A89:B89"/>
    <mergeCell ref="R47:S47"/>
    <mergeCell ref="R29:S30"/>
    <mergeCell ref="R24:S24"/>
    <mergeCell ref="R18:S18"/>
    <mergeCell ref="R7:R11"/>
    <mergeCell ref="R12:S12"/>
    <mergeCell ref="R23:S23"/>
    <mergeCell ref="R21:S21"/>
    <mergeCell ref="R15:S15"/>
    <mergeCell ref="R16:S16"/>
    <mergeCell ref="R17:S17"/>
    <mergeCell ref="R14:S14"/>
    <mergeCell ref="R46:S46"/>
    <mergeCell ref="R36:S36"/>
    <mergeCell ref="R37:S37"/>
    <mergeCell ref="R41:S41"/>
    <mergeCell ref="R44:S44"/>
    <mergeCell ref="R42:S42"/>
    <mergeCell ref="R43:S43"/>
    <mergeCell ref="R45:S45"/>
    <mergeCell ref="R31:R35"/>
    <mergeCell ref="R38:S38"/>
    <mergeCell ref="R39:S39"/>
    <mergeCell ref="O45:P45"/>
    <mergeCell ref="O46:P46"/>
    <mergeCell ref="O47:P47"/>
    <mergeCell ref="H30:I30"/>
    <mergeCell ref="H31:I31"/>
    <mergeCell ref="H32:I32"/>
    <mergeCell ref="H33:I33"/>
    <mergeCell ref="O36:P36"/>
    <mergeCell ref="O37:P37"/>
    <mergeCell ref="O38:P38"/>
    <mergeCell ref="O39:P39"/>
    <mergeCell ref="O40:P40"/>
    <mergeCell ref="O41:P41"/>
    <mergeCell ref="O42:P42"/>
    <mergeCell ref="O43:P43"/>
    <mergeCell ref="O44:P44"/>
    <mergeCell ref="H42:I42"/>
    <mergeCell ref="H43:I43"/>
  </mergeCells>
  <phoneticPr fontId="34" type="noConversion"/>
  <conditionalFormatting sqref="E7:E10 E12:E21">
    <cfRule type="top10" dxfId="9" priority="17" rank="3"/>
  </conditionalFormatting>
  <conditionalFormatting sqref="I7:I10 I12:I21">
    <cfRule type="top10" dxfId="8" priority="18" rank="3"/>
  </conditionalFormatting>
  <conditionalFormatting sqref="K31:K34 K36:K45">
    <cfRule type="top10" dxfId="7" priority="19" rank="3"/>
  </conditionalFormatting>
  <conditionalFormatting sqref="L7:L10 L12:L21">
    <cfRule type="top10" dxfId="6" priority="20" rank="3"/>
  </conditionalFormatting>
  <conditionalFormatting sqref="O31:O34 O36:O45">
    <cfRule type="top10" dxfId="5" priority="8" rank="3"/>
  </conditionalFormatting>
  <conditionalFormatting sqref="P7:P10 P12:P21">
    <cfRule type="top10" dxfId="4" priority="13" rank="3"/>
  </conditionalFormatting>
  <printOptions horizontalCentered="1"/>
  <pageMargins left="0.27559055118110237" right="0.15748031496062992" top="0.86614173228346458" bottom="0.15748031496062992" header="0" footer="0.43307086614173229"/>
  <pageSetup paperSize="9" scale="55" fitToHeight="0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>
    <tabColor rgb="FFFF0000"/>
    <pageSetUpPr fitToPage="1"/>
  </sheetPr>
  <dimension ref="A1:S114"/>
  <sheetViews>
    <sheetView showGridLines="0" zoomScale="115" zoomScaleNormal="115" zoomScaleSheetLayoutView="70" workbookViewId="0">
      <pane ySplit="8" topLeftCell="A64" activePane="bottomLeft" state="frozen"/>
      <selection activeCell="H14" sqref="H14"/>
      <selection pane="bottomLeft" activeCell="E73" sqref="E73"/>
    </sheetView>
  </sheetViews>
  <sheetFormatPr defaultColWidth="8.88671875" defaultRowHeight="15" customHeight="1"/>
  <cols>
    <col min="1" max="1" width="3.21875" style="2" customWidth="1"/>
    <col min="2" max="2" width="2.5546875" style="2" customWidth="1"/>
    <col min="3" max="3" width="21.21875" style="2" customWidth="1"/>
    <col min="4" max="4" width="14.33203125" style="2" customWidth="1"/>
    <col min="5" max="5" width="15.44140625" style="2" customWidth="1"/>
    <col min="6" max="6" width="12.44140625" style="2" bestFit="1" customWidth="1"/>
    <col min="7" max="7" width="14.44140625" style="24" customWidth="1"/>
    <col min="8" max="8" width="11.44140625" style="5" customWidth="1"/>
    <col min="9" max="9" width="12" style="5" customWidth="1"/>
    <col min="10" max="10" width="10.88671875" style="5" customWidth="1"/>
    <col min="11" max="11" width="11.6640625" style="2" customWidth="1"/>
    <col min="12" max="12" width="10.88671875" style="2" customWidth="1"/>
    <col min="13" max="13" width="9.33203125" style="2" customWidth="1"/>
    <col min="14" max="14" width="16" style="2" bestFit="1" customWidth="1"/>
    <col min="15" max="15" width="7.44140625" style="2" customWidth="1"/>
    <col min="16" max="16" width="22.88671875" style="2" bestFit="1" customWidth="1"/>
    <col min="17" max="17" width="21.44140625" style="2" bestFit="1" customWidth="1"/>
    <col min="18" max="18" width="22.109375" style="2" bestFit="1" customWidth="1"/>
    <col min="19" max="19" width="13.5546875" style="2" customWidth="1"/>
    <col min="20" max="16384" width="8.88671875" style="2"/>
  </cols>
  <sheetData>
    <row r="1" spans="1:16" ht="15" customHeight="1">
      <c r="G1" s="866"/>
      <c r="H1" s="6"/>
    </row>
    <row r="2" spans="1:16" ht="13.5">
      <c r="G2" s="866"/>
      <c r="H2" s="6"/>
    </row>
    <row r="3" spans="1:16" ht="13.5">
      <c r="G3" s="866"/>
      <c r="H3" s="6"/>
    </row>
    <row r="4" spans="1:16" ht="25.5">
      <c r="A4" s="1070" t="str">
        <f>LEFT(총괄표!A2,9)&amp;" 매출액집계표"</f>
        <v>2025년 5월  매출액집계표</v>
      </c>
      <c r="B4" s="1070"/>
      <c r="C4" s="1070"/>
      <c r="D4" s="1070"/>
      <c r="E4" s="1070"/>
      <c r="F4" s="1070"/>
      <c r="G4" s="1070"/>
      <c r="H4" s="1070"/>
      <c r="I4" s="1070"/>
      <c r="J4" s="1070"/>
      <c r="K4" s="1070"/>
      <c r="L4" s="1070"/>
      <c r="M4" s="1070"/>
      <c r="N4" s="1070"/>
    </row>
    <row r="5" spans="1:16" ht="13.5" customHeight="1">
      <c r="A5" s="398"/>
      <c r="B5" s="702"/>
      <c r="C5" s="702"/>
      <c r="D5" s="702"/>
      <c r="E5" s="702"/>
      <c r="F5" s="702"/>
      <c r="G5" s="703"/>
      <c r="H5" s="704"/>
      <c r="I5" s="704"/>
      <c r="J5" s="704"/>
      <c r="K5" s="702"/>
      <c r="L5" s="702"/>
      <c r="M5" s="702"/>
      <c r="N5" s="702"/>
    </row>
    <row r="6" spans="1:16" ht="9" customHeight="1" thickBot="1">
      <c r="A6" s="3"/>
      <c r="B6" s="3"/>
      <c r="C6" s="3"/>
      <c r="D6" s="3"/>
      <c r="E6" s="3"/>
      <c r="F6" s="3"/>
      <c r="G6" s="431"/>
      <c r="H6" s="6"/>
      <c r="I6" s="6"/>
      <c r="J6" s="6"/>
      <c r="K6" s="3"/>
      <c r="L6" s="3"/>
      <c r="M6" s="3"/>
      <c r="N6" s="3"/>
    </row>
    <row r="7" spans="1:16" ht="13.5" customHeight="1">
      <c r="A7" s="1073" t="s">
        <v>5</v>
      </c>
      <c r="B7" s="1075" t="s">
        <v>105</v>
      </c>
      <c r="C7" s="1076"/>
      <c r="D7" s="231" t="s">
        <v>4</v>
      </c>
      <c r="E7" s="231"/>
      <c r="F7" s="231"/>
      <c r="G7" s="432"/>
      <c r="H7" s="1079" t="s">
        <v>12</v>
      </c>
      <c r="I7" s="1079" t="s">
        <v>81</v>
      </c>
      <c r="J7" s="1079" t="s">
        <v>82</v>
      </c>
      <c r="K7" s="1081" t="s">
        <v>6</v>
      </c>
      <c r="L7" s="1081" t="s">
        <v>84</v>
      </c>
      <c r="M7" s="1081" t="s">
        <v>83</v>
      </c>
      <c r="N7" s="1071" t="s">
        <v>2</v>
      </c>
    </row>
    <row r="8" spans="1:16" ht="13.5" customHeight="1">
      <c r="A8" s="1074"/>
      <c r="B8" s="1077"/>
      <c r="C8" s="1078"/>
      <c r="D8" s="232" t="s">
        <v>111</v>
      </c>
      <c r="E8" s="232" t="s">
        <v>112</v>
      </c>
      <c r="F8" s="756" t="s">
        <v>0</v>
      </c>
      <c r="G8" s="433" t="s">
        <v>3</v>
      </c>
      <c r="H8" s="1080"/>
      <c r="I8" s="1080"/>
      <c r="J8" s="1080"/>
      <c r="K8" s="1082"/>
      <c r="L8" s="1082"/>
      <c r="M8" s="1082"/>
      <c r="N8" s="1072"/>
    </row>
    <row r="9" spans="1:16" ht="13.5" customHeight="1">
      <c r="A9" s="4"/>
      <c r="B9" s="10" t="s">
        <v>103</v>
      </c>
      <c r="C9" s="668"/>
      <c r="D9" s="920">
        <v>41002737.564500071</v>
      </c>
      <c r="E9" s="919">
        <v>1739274854.5811007</v>
      </c>
      <c r="F9" s="122"/>
      <c r="G9" s="434"/>
      <c r="H9" s="438"/>
      <c r="I9" s="438"/>
      <c r="J9" s="438"/>
      <c r="K9" s="102"/>
      <c r="L9" s="102"/>
      <c r="M9" s="102"/>
      <c r="N9" s="662"/>
    </row>
    <row r="10" spans="1:16" ht="13.5" customHeight="1">
      <c r="A10" s="4" t="s">
        <v>7</v>
      </c>
      <c r="B10" s="154" t="s">
        <v>67</v>
      </c>
      <c r="C10" s="155"/>
      <c r="D10" s="946">
        <v>55265100.163000003</v>
      </c>
      <c r="E10" s="945">
        <v>2356255726</v>
      </c>
      <c r="F10" s="667"/>
      <c r="G10" s="160"/>
      <c r="H10" s="439"/>
      <c r="I10" s="439"/>
      <c r="J10" s="439"/>
      <c r="K10" s="156"/>
      <c r="L10" s="156"/>
      <c r="M10" s="156"/>
      <c r="N10" s="663"/>
    </row>
    <row r="11" spans="1:16" ht="13.5" customHeight="1">
      <c r="A11" s="4"/>
      <c r="B11" s="154" t="s">
        <v>76</v>
      </c>
      <c r="C11" s="155"/>
      <c r="D11" s="975">
        <f>ROUND(-자가소모!D12-D12,4)</f>
        <v>-1677.9</v>
      </c>
      <c r="E11" s="975">
        <f>ROUND(-자가소모!E12-E12,4)</f>
        <v>-71537.266499999998</v>
      </c>
      <c r="F11" s="157"/>
      <c r="G11" s="435"/>
      <c r="H11" s="440"/>
      <c r="I11" s="440"/>
      <c r="J11" s="440"/>
      <c r="K11" s="158"/>
      <c r="L11" s="158"/>
      <c r="M11" s="158"/>
      <c r="N11" s="664"/>
    </row>
    <row r="12" spans="1:16" ht="13.5" customHeight="1">
      <c r="A12" s="4"/>
      <c r="B12" s="14" t="s">
        <v>77</v>
      </c>
      <c r="C12" s="159"/>
      <c r="D12" s="975">
        <f>ROUND(-SUM(자가소모!D6:D7),4)</f>
        <v>0</v>
      </c>
      <c r="E12" s="975">
        <f>ROUND(-SUM(자가소모!E6:E7),4)</f>
        <v>0</v>
      </c>
      <c r="F12" s="157"/>
      <c r="G12" s="435"/>
      <c r="H12" s="440"/>
      <c r="I12" s="440"/>
      <c r="J12" s="440"/>
      <c r="K12" s="158"/>
      <c r="L12" s="158"/>
      <c r="M12" s="158"/>
      <c r="N12" s="664"/>
    </row>
    <row r="13" spans="1:16" ht="13.5" customHeight="1">
      <c r="A13" s="4"/>
      <c r="B13" s="39" t="s">
        <v>1</v>
      </c>
      <c r="C13" s="40"/>
      <c r="D13" s="180">
        <f>D9+D10+D12+D11</f>
        <v>96266159.827500075</v>
      </c>
      <c r="E13" s="180">
        <f>E9+E10+E11+E12</f>
        <v>4095459043.3146005</v>
      </c>
      <c r="F13" s="123"/>
      <c r="G13" s="54"/>
      <c r="H13" s="441"/>
      <c r="I13" s="441"/>
      <c r="J13" s="441"/>
      <c r="K13" s="103"/>
      <c r="L13" s="103"/>
      <c r="M13" s="103"/>
      <c r="N13" s="665"/>
    </row>
    <row r="14" spans="1:16" ht="13.5" customHeight="1">
      <c r="A14" s="4"/>
      <c r="B14" s="51" t="s">
        <v>102</v>
      </c>
      <c r="C14" s="668"/>
      <c r="D14" s="924">
        <v>-18733.199999999953</v>
      </c>
      <c r="E14" s="924">
        <v>-871537.8257999979</v>
      </c>
      <c r="F14" s="922"/>
      <c r="G14" s="53"/>
      <c r="H14" s="442"/>
      <c r="I14" s="442"/>
      <c r="J14" s="442"/>
      <c r="K14" s="104"/>
      <c r="L14" s="104"/>
      <c r="M14" s="104"/>
      <c r="N14" s="666"/>
      <c r="P14" s="251"/>
    </row>
    <row r="15" spans="1:16" ht="13.5" customHeight="1">
      <c r="A15" s="4" t="s">
        <v>8</v>
      </c>
      <c r="B15" s="14" t="s">
        <v>75</v>
      </c>
      <c r="C15" s="921"/>
      <c r="D15" s="952">
        <v>277800</v>
      </c>
      <c r="E15" s="951">
        <v>11725237.044</v>
      </c>
      <c r="F15" s="923"/>
      <c r="G15" s="160"/>
      <c r="H15" s="439"/>
      <c r="I15" s="439"/>
      <c r="J15" s="443"/>
      <c r="K15" s="156"/>
      <c r="L15" s="156"/>
      <c r="M15" s="156"/>
      <c r="N15" s="663"/>
      <c r="P15" s="251"/>
    </row>
    <row r="16" spans="1:16" ht="13.5" hidden="1" customHeight="1">
      <c r="A16" s="4"/>
      <c r="B16" s="14" t="s">
        <v>74</v>
      </c>
      <c r="C16" s="159"/>
      <c r="D16" s="161"/>
      <c r="E16" s="131"/>
      <c r="F16" s="124"/>
      <c r="G16" s="53"/>
      <c r="H16" s="442"/>
      <c r="I16" s="442"/>
      <c r="J16" s="444"/>
      <c r="K16" s="104"/>
      <c r="L16" s="104"/>
      <c r="M16" s="104"/>
      <c r="N16" s="666"/>
      <c r="P16" s="252"/>
    </row>
    <row r="17" spans="1:16" ht="13.5" customHeight="1">
      <c r="A17" s="152"/>
      <c r="B17" s="39" t="s">
        <v>1</v>
      </c>
      <c r="C17" s="40"/>
      <c r="D17" s="127">
        <f>D14+D15+D16</f>
        <v>259066.80000000005</v>
      </c>
      <c r="E17" s="128">
        <f>E14+E15+E16</f>
        <v>10853699.218200002</v>
      </c>
      <c r="F17" s="123"/>
      <c r="G17" s="54"/>
      <c r="H17" s="441"/>
      <c r="I17" s="441"/>
      <c r="J17" s="441"/>
      <c r="K17" s="103"/>
      <c r="L17" s="103"/>
      <c r="M17" s="103"/>
      <c r="N17" s="665"/>
      <c r="P17" s="252"/>
    </row>
    <row r="18" spans="1:16" ht="13.5" customHeight="1">
      <c r="A18" s="4"/>
      <c r="B18" s="1083" t="s">
        <v>371</v>
      </c>
      <c r="C18" s="711" t="s">
        <v>223</v>
      </c>
      <c r="D18" s="981">
        <v>34.809699999999999</v>
      </c>
      <c r="E18" s="981">
        <v>1489.5116</v>
      </c>
      <c r="F18" s="125">
        <f>G18/E18</f>
        <v>21.104360650833467</v>
      </c>
      <c r="G18" s="982">
        <v>31435.19</v>
      </c>
      <c r="H18" s="984">
        <v>16110</v>
      </c>
      <c r="I18" s="985">
        <v>0</v>
      </c>
      <c r="J18" s="954"/>
      <c r="K18" s="955"/>
      <c r="L18" s="105"/>
      <c r="M18" s="105"/>
      <c r="N18" s="13">
        <f>SUM(G18:M18)</f>
        <v>47545.19</v>
      </c>
      <c r="O18" s="24"/>
      <c r="P18" s="24"/>
    </row>
    <row r="19" spans="1:16" ht="13.5" customHeight="1">
      <c r="A19" s="4"/>
      <c r="B19" s="1084"/>
      <c r="C19" s="711" t="s">
        <v>134</v>
      </c>
      <c r="D19" s="945">
        <v>481872.6923</v>
      </c>
      <c r="E19" s="945">
        <v>20613681.738699999</v>
      </c>
      <c r="F19" s="162">
        <f>G19/E19</f>
        <v>23.503615897028723</v>
      </c>
      <c r="G19" s="983">
        <v>484496057.81</v>
      </c>
      <c r="H19" s="986">
        <v>89626610</v>
      </c>
      <c r="I19" s="986">
        <v>10931200</v>
      </c>
      <c r="J19" s="504"/>
      <c r="K19" s="956"/>
      <c r="L19" s="105"/>
      <c r="M19" s="118"/>
      <c r="N19" s="13">
        <f t="shared" ref="N19:N22" si="0">SUM(G19:M19)</f>
        <v>585053867.80999994</v>
      </c>
      <c r="P19" s="24"/>
    </row>
    <row r="20" spans="1:16" ht="13.5" customHeight="1">
      <c r="A20" s="4"/>
      <c r="B20" s="1084"/>
      <c r="C20" s="69" t="s">
        <v>49</v>
      </c>
      <c r="D20" s="934"/>
      <c r="E20" s="934"/>
      <c r="F20" s="957"/>
      <c r="G20" s="983">
        <v>-41749</v>
      </c>
      <c r="H20" s="979"/>
      <c r="I20" s="979"/>
      <c r="J20" s="445"/>
      <c r="K20" s="958"/>
      <c r="L20" s="105"/>
      <c r="M20" s="105"/>
      <c r="N20" s="13">
        <f t="shared" si="0"/>
        <v>-41749</v>
      </c>
      <c r="P20" s="24"/>
    </row>
    <row r="21" spans="1:16" ht="13.5" customHeight="1">
      <c r="A21" s="4"/>
      <c r="B21" s="1084"/>
      <c r="C21" s="69" t="s">
        <v>32</v>
      </c>
      <c r="D21" s="934"/>
      <c r="E21" s="934"/>
      <c r="F21" s="164"/>
      <c r="G21" s="983">
        <v>-13218200</v>
      </c>
      <c r="H21" s="979"/>
      <c r="I21" s="979"/>
      <c r="J21" s="509"/>
      <c r="K21" s="958"/>
      <c r="L21" s="105"/>
      <c r="M21" s="105"/>
      <c r="N21" s="13">
        <f t="shared" si="0"/>
        <v>-13218200</v>
      </c>
      <c r="P21" s="24"/>
    </row>
    <row r="22" spans="1:16" ht="13.5" customHeight="1">
      <c r="A22" s="4"/>
      <c r="B22" s="1084"/>
      <c r="C22" s="69" t="s">
        <v>33</v>
      </c>
      <c r="D22" s="981">
        <v>-2371.2566000000002</v>
      </c>
      <c r="E22" s="981">
        <v>-101649.23540000001</v>
      </c>
      <c r="F22" s="631"/>
      <c r="G22" s="997">
        <v>-2321218</v>
      </c>
      <c r="H22" s="980"/>
      <c r="I22" s="980"/>
      <c r="J22" s="506"/>
      <c r="K22" s="959"/>
      <c r="L22" s="165"/>
      <c r="M22" s="107"/>
      <c r="N22" s="13">
        <f t="shared" si="0"/>
        <v>-2321218</v>
      </c>
      <c r="P22" s="24"/>
    </row>
    <row r="23" spans="1:16" ht="13.5" customHeight="1">
      <c r="A23" s="4"/>
      <c r="B23" s="1084"/>
      <c r="C23" s="19" t="s">
        <v>17</v>
      </c>
      <c r="D23" s="129">
        <f>SUM(D18:D22)</f>
        <v>479536.24539999996</v>
      </c>
      <c r="E23" s="130">
        <f>SUM(E18:E22)</f>
        <v>20513522.014899999</v>
      </c>
      <c r="F23" s="126">
        <f>G23/E23</f>
        <v>22.860351609020665</v>
      </c>
      <c r="G23" s="49">
        <f t="shared" ref="G23:L23" si="1">SUM(G18:G22)</f>
        <v>468946326</v>
      </c>
      <c r="H23" s="446">
        <f t="shared" si="1"/>
        <v>89642720</v>
      </c>
      <c r="I23" s="446">
        <f t="shared" si="1"/>
        <v>10931200</v>
      </c>
      <c r="J23" s="108">
        <f t="shared" si="1"/>
        <v>0</v>
      </c>
      <c r="K23" s="108">
        <f t="shared" si="1"/>
        <v>0</v>
      </c>
      <c r="L23" s="108">
        <f t="shared" si="1"/>
        <v>0</v>
      </c>
      <c r="M23" s="108">
        <v>0</v>
      </c>
      <c r="N23" s="20">
        <f>SUM(N18:N22)</f>
        <v>569520246</v>
      </c>
      <c r="O23" s="21"/>
      <c r="P23" s="24"/>
    </row>
    <row r="24" spans="1:16" ht="13.5" customHeight="1">
      <c r="A24" s="4"/>
      <c r="B24" s="1084"/>
      <c r="C24" s="69" t="s">
        <v>387</v>
      </c>
      <c r="D24" s="981">
        <v>37.201599999999999</v>
      </c>
      <c r="E24" s="981">
        <v>1591.3595</v>
      </c>
      <c r="F24" s="125">
        <f>G24/E24</f>
        <v>20.487633372597454</v>
      </c>
      <c r="G24" s="989">
        <v>32603.19</v>
      </c>
      <c r="H24" s="984">
        <v>5400</v>
      </c>
      <c r="I24" s="977"/>
      <c r="J24" s="447"/>
      <c r="K24" s="109"/>
      <c r="L24" s="110"/>
      <c r="M24" s="960"/>
      <c r="N24" s="13">
        <f>SUM(G24:M24)</f>
        <v>38003.19</v>
      </c>
      <c r="O24" s="21"/>
      <c r="P24" s="24"/>
    </row>
    <row r="25" spans="1:16" ht="13.5" customHeight="1">
      <c r="A25" s="4"/>
      <c r="B25" s="1084"/>
      <c r="C25" s="69" t="s">
        <v>388</v>
      </c>
      <c r="D25" s="945">
        <v>4820098.9913999997</v>
      </c>
      <c r="E25" s="945">
        <v>205167009.8743</v>
      </c>
      <c r="F25" s="162">
        <f>G25/E25</f>
        <v>23.504852093494758</v>
      </c>
      <c r="G25" s="990">
        <v>4822420221.5600004</v>
      </c>
      <c r="H25" s="986">
        <v>392784300</v>
      </c>
      <c r="I25" s="986">
        <v>34591230</v>
      </c>
      <c r="J25" s="509"/>
      <c r="K25" s="119"/>
      <c r="L25" s="110"/>
      <c r="M25" s="960"/>
      <c r="N25" s="44">
        <f t="shared" ref="N25:N30" si="2">SUM(G25:M25)</f>
        <v>5249795751.5600004</v>
      </c>
      <c r="O25" s="21"/>
      <c r="P25" s="24"/>
    </row>
    <row r="26" spans="1:16" ht="13.5" customHeight="1">
      <c r="A26" s="4"/>
      <c r="B26" s="1084"/>
      <c r="C26" s="69" t="s">
        <v>389</v>
      </c>
      <c r="D26" s="981">
        <v>41.0139</v>
      </c>
      <c r="E26" s="981">
        <v>1754.3124</v>
      </c>
      <c r="F26" s="162">
        <f>G26/E26</f>
        <v>21.1414113016587</v>
      </c>
      <c r="G26" s="989">
        <v>37088.639999999999</v>
      </c>
      <c r="H26" s="979"/>
      <c r="I26" s="979"/>
      <c r="J26" s="509"/>
      <c r="K26" s="119"/>
      <c r="L26" s="110"/>
      <c r="M26" s="960"/>
      <c r="N26" s="44">
        <f t="shared" si="2"/>
        <v>37088.639999999999</v>
      </c>
      <c r="O26" s="21"/>
      <c r="P26" s="24"/>
    </row>
    <row r="27" spans="1:16" ht="13.5" customHeight="1">
      <c r="A27" s="4"/>
      <c r="B27" s="1084"/>
      <c r="C27" s="69" t="s">
        <v>390</v>
      </c>
      <c r="D27" s="981">
        <v>12576008.9989</v>
      </c>
      <c r="E27" s="981">
        <v>535302782.17379999</v>
      </c>
      <c r="F27" s="162">
        <f>G27/E27</f>
        <v>23.504669033318958</v>
      </c>
      <c r="G27" s="989">
        <v>12582114727.610001</v>
      </c>
      <c r="H27" s="979"/>
      <c r="I27" s="979"/>
      <c r="J27" s="509"/>
      <c r="K27" s="119"/>
      <c r="L27" s="110"/>
      <c r="M27" s="960"/>
      <c r="N27" s="44">
        <f t="shared" si="2"/>
        <v>12582114727.610001</v>
      </c>
      <c r="O27" s="21"/>
      <c r="P27" s="24"/>
    </row>
    <row r="28" spans="1:16" ht="13.5" customHeight="1">
      <c r="A28" s="4"/>
      <c r="B28" s="1084"/>
      <c r="C28" s="68" t="s">
        <v>49</v>
      </c>
      <c r="D28" s="976"/>
      <c r="E28" s="976"/>
      <c r="F28" s="162"/>
      <c r="G28" s="983">
        <v>-2134285</v>
      </c>
      <c r="H28" s="979"/>
      <c r="I28" s="979"/>
      <c r="J28" s="445"/>
      <c r="K28" s="119"/>
      <c r="L28" s="166"/>
      <c r="M28" s="956"/>
      <c r="N28" s="44">
        <f t="shared" si="2"/>
        <v>-2134285</v>
      </c>
      <c r="O28" s="21"/>
      <c r="P28" s="24"/>
    </row>
    <row r="29" spans="1:16" ht="13.5" customHeight="1">
      <c r="A29" s="4"/>
      <c r="B29" s="1084"/>
      <c r="C29" s="68" t="s">
        <v>32</v>
      </c>
      <c r="D29" s="976"/>
      <c r="E29" s="976"/>
      <c r="F29" s="183"/>
      <c r="G29" s="983">
        <v>-929826245</v>
      </c>
      <c r="H29" s="979"/>
      <c r="I29" s="979"/>
      <c r="J29" s="509"/>
      <c r="K29" s="119"/>
      <c r="L29" s="111"/>
      <c r="M29" s="961"/>
      <c r="N29" s="44">
        <f t="shared" si="2"/>
        <v>-929826245</v>
      </c>
      <c r="O29" s="21"/>
      <c r="P29" s="24"/>
    </row>
    <row r="30" spans="1:16" ht="13.5" customHeight="1">
      <c r="A30" s="4"/>
      <c r="B30" s="1084"/>
      <c r="C30" s="11" t="s">
        <v>33</v>
      </c>
      <c r="D30" s="981">
        <v>-75598.025599999994</v>
      </c>
      <c r="E30" s="981">
        <v>-3243429.8459999999</v>
      </c>
      <c r="F30" s="631"/>
      <c r="G30" s="997">
        <v>-75374458</v>
      </c>
      <c r="H30" s="980"/>
      <c r="I30" s="980"/>
      <c r="J30" s="506"/>
      <c r="K30" s="106"/>
      <c r="L30" s="112"/>
      <c r="M30" s="112"/>
      <c r="N30" s="48">
        <f t="shared" si="2"/>
        <v>-75374458</v>
      </c>
      <c r="O30" s="21"/>
      <c r="P30" s="24"/>
    </row>
    <row r="31" spans="1:16" ht="13.5" customHeight="1">
      <c r="A31" s="4" t="s">
        <v>9</v>
      </c>
      <c r="B31" s="1084"/>
      <c r="C31" s="19" t="s">
        <v>17</v>
      </c>
      <c r="D31" s="129">
        <f>SUM(D24:D30)</f>
        <v>17320588.180199999</v>
      </c>
      <c r="E31" s="130">
        <f>SUM(E24:E30)</f>
        <v>737229707.87400007</v>
      </c>
      <c r="F31" s="126">
        <f>G31/E31</f>
        <v>22.241737517992775</v>
      </c>
      <c r="G31" s="49">
        <f t="shared" ref="G31:N31" si="3">SUM(G24:G30)</f>
        <v>16397269653</v>
      </c>
      <c r="H31" s="446">
        <f t="shared" si="3"/>
        <v>392789700</v>
      </c>
      <c r="I31" s="446">
        <f t="shared" si="3"/>
        <v>34591230</v>
      </c>
      <c r="J31" s="108">
        <f t="shared" si="3"/>
        <v>0</v>
      </c>
      <c r="K31" s="108">
        <f t="shared" si="3"/>
        <v>0</v>
      </c>
      <c r="L31" s="108">
        <f t="shared" si="3"/>
        <v>0</v>
      </c>
      <c r="M31" s="108">
        <f t="shared" si="3"/>
        <v>0</v>
      </c>
      <c r="N31" s="20">
        <f t="shared" si="3"/>
        <v>16824650583</v>
      </c>
      <c r="O31" s="21"/>
      <c r="P31" s="24"/>
    </row>
    <row r="32" spans="1:16" ht="13.5" customHeight="1">
      <c r="A32" s="4"/>
      <c r="B32" s="1084"/>
      <c r="C32" s="69" t="s">
        <v>213</v>
      </c>
      <c r="D32" s="981">
        <v>72.308899999999994</v>
      </c>
      <c r="E32" s="981">
        <v>3094.1785</v>
      </c>
      <c r="F32" s="125">
        <f>G32/E32</f>
        <v>21.582869249463144</v>
      </c>
      <c r="G32" s="989">
        <v>66781.25</v>
      </c>
      <c r="H32" s="984">
        <v>3600</v>
      </c>
      <c r="I32" s="991"/>
      <c r="J32" s="447"/>
      <c r="K32" s="109"/>
      <c r="L32" s="960"/>
      <c r="M32" s="960"/>
      <c r="N32" s="13">
        <f>SUM(G32:M32)</f>
        <v>70381.25</v>
      </c>
      <c r="O32" s="21"/>
      <c r="P32" s="24"/>
    </row>
    <row r="33" spans="1:16" ht="13.5" customHeight="1">
      <c r="A33" s="4"/>
      <c r="B33" s="1084"/>
      <c r="C33" s="69" t="s">
        <v>91</v>
      </c>
      <c r="D33" s="981">
        <v>19546282.487</v>
      </c>
      <c r="E33" s="981">
        <v>832019573.29499996</v>
      </c>
      <c r="F33" s="162">
        <f>G33/E33</f>
        <v>23.504645995649106</v>
      </c>
      <c r="G33" s="989">
        <v>19556325531.75</v>
      </c>
      <c r="H33" s="986">
        <v>568692000</v>
      </c>
      <c r="I33" s="986">
        <v>136521250</v>
      </c>
      <c r="J33" s="509"/>
      <c r="K33" s="119"/>
      <c r="L33" s="960"/>
      <c r="M33" s="960"/>
      <c r="N33" s="13">
        <f>SUM(G33:M33)</f>
        <v>20261538781.75</v>
      </c>
      <c r="O33" s="21"/>
      <c r="P33" s="24"/>
    </row>
    <row r="34" spans="1:16" ht="13.5" customHeight="1">
      <c r="A34" s="4"/>
      <c r="B34" s="1084"/>
      <c r="C34" s="69" t="s">
        <v>49</v>
      </c>
      <c r="D34" s="976" t="s">
        <v>106</v>
      </c>
      <c r="E34" s="976"/>
      <c r="F34" s="162"/>
      <c r="G34" s="983">
        <v>-654346</v>
      </c>
      <c r="H34" s="979"/>
      <c r="I34" s="979"/>
      <c r="J34" s="445"/>
      <c r="K34" s="119"/>
      <c r="L34" s="956"/>
      <c r="M34" s="956"/>
      <c r="N34" s="13">
        <f>SUM(G34:M34)</f>
        <v>-654346</v>
      </c>
      <c r="O34" s="21"/>
      <c r="P34" s="24"/>
    </row>
    <row r="35" spans="1:16" ht="13.5" customHeight="1">
      <c r="A35" s="4"/>
      <c r="B35" s="1084"/>
      <c r="C35" s="68" t="s">
        <v>33</v>
      </c>
      <c r="D35" s="981">
        <v>-77028.819699999993</v>
      </c>
      <c r="E35" s="981">
        <v>-3305631.3681000001</v>
      </c>
      <c r="F35" s="631"/>
      <c r="G35" s="997">
        <v>-77671500</v>
      </c>
      <c r="H35" s="980"/>
      <c r="I35" s="980"/>
      <c r="J35" s="506"/>
      <c r="K35" s="106"/>
      <c r="L35" s="961"/>
      <c r="M35" s="961"/>
      <c r="N35" s="13">
        <f>SUM(G35:M35)</f>
        <v>-77671500</v>
      </c>
      <c r="O35" s="21"/>
      <c r="P35" s="24"/>
    </row>
    <row r="36" spans="1:16" ht="13.5" customHeight="1">
      <c r="A36" s="4"/>
      <c r="B36" s="1084"/>
      <c r="C36" s="19" t="s">
        <v>17</v>
      </c>
      <c r="D36" s="129">
        <f>SUM(D32:D35)</f>
        <v>19469325.976199999</v>
      </c>
      <c r="E36" s="130">
        <f>SUM(E32:E35)</f>
        <v>828717036.10539997</v>
      </c>
      <c r="F36" s="126">
        <f>G36/E36</f>
        <v>23.50388084036285</v>
      </c>
      <c r="G36" s="49">
        <f>SUM(G32:G35)</f>
        <v>19478066467</v>
      </c>
      <c r="H36" s="446">
        <f>SUM(H32:H35)</f>
        <v>568695600</v>
      </c>
      <c r="I36" s="446">
        <f>SUM(I32:I35)</f>
        <v>136521250</v>
      </c>
      <c r="J36" s="108">
        <v>0</v>
      </c>
      <c r="K36" s="108">
        <f>SUM(K32:K35)</f>
        <v>0</v>
      </c>
      <c r="L36" s="108">
        <f>SUM(L32:L35)</f>
        <v>0</v>
      </c>
      <c r="M36" s="108">
        <v>0</v>
      </c>
      <c r="N36" s="20">
        <f>SUM(N32:N35)</f>
        <v>20183283317</v>
      </c>
      <c r="O36" s="21"/>
      <c r="P36" s="24"/>
    </row>
    <row r="37" spans="1:16" ht="14.25" customHeight="1">
      <c r="A37" s="4"/>
      <c r="B37" s="1084"/>
      <c r="C37" s="712" t="s">
        <v>395</v>
      </c>
      <c r="D37" s="981">
        <v>602509.0993</v>
      </c>
      <c r="E37" s="981">
        <v>25661607.674400002</v>
      </c>
      <c r="F37" s="162">
        <f>G37/E37</f>
        <v>23.468798472856445</v>
      </c>
      <c r="G37" s="989">
        <v>602247099</v>
      </c>
      <c r="H37" s="985"/>
      <c r="I37" s="984">
        <v>1868290</v>
      </c>
      <c r="J37" s="984">
        <v>1049000</v>
      </c>
      <c r="K37" s="119"/>
      <c r="L37" s="960"/>
      <c r="M37" s="960"/>
      <c r="N37" s="44">
        <f>L37+K37+I37+H37+G37+J37</f>
        <v>605164389</v>
      </c>
      <c r="O37" s="21"/>
      <c r="P37" s="24"/>
    </row>
    <row r="38" spans="1:16" ht="14.25" customHeight="1">
      <c r="A38" s="4"/>
      <c r="B38" s="1084"/>
      <c r="C38" s="712" t="s">
        <v>396</v>
      </c>
      <c r="D38" s="981">
        <v>9922.9475999999995</v>
      </c>
      <c r="E38" s="981">
        <v>422227.53159999999</v>
      </c>
      <c r="F38" s="162">
        <f>G38/E38</f>
        <v>23.46879968354958</v>
      </c>
      <c r="G38" s="989">
        <v>9909173.3599999994</v>
      </c>
      <c r="H38" s="992"/>
      <c r="I38" s="993">
        <v>270690</v>
      </c>
      <c r="J38" s="993">
        <v>98200</v>
      </c>
      <c r="K38" s="119"/>
      <c r="L38" s="960"/>
      <c r="M38" s="960"/>
      <c r="N38" s="44">
        <f>L38+K38+I38+H38+G38+J38</f>
        <v>10278063.359999999</v>
      </c>
      <c r="O38" s="21"/>
      <c r="P38" s="24"/>
    </row>
    <row r="39" spans="1:16" ht="13.5" customHeight="1">
      <c r="A39" s="4"/>
      <c r="B39" s="1084"/>
      <c r="C39" s="69" t="s">
        <v>222</v>
      </c>
      <c r="D39" s="163"/>
      <c r="E39" s="163"/>
      <c r="F39" s="162"/>
      <c r="G39" s="983">
        <v>-37167423</v>
      </c>
      <c r="H39" s="509"/>
      <c r="I39" s="445"/>
      <c r="J39" s="445"/>
      <c r="K39" s="119"/>
      <c r="L39" s="117"/>
      <c r="M39" s="956"/>
      <c r="N39" s="13">
        <f t="shared" ref="N39" si="4">SUM(G39:M39)</f>
        <v>-37167423</v>
      </c>
      <c r="O39" s="21"/>
      <c r="P39" s="24"/>
    </row>
    <row r="40" spans="1:16" ht="13.5" customHeight="1">
      <c r="A40" s="4"/>
      <c r="B40" s="1084"/>
      <c r="C40" s="19" t="s">
        <v>17</v>
      </c>
      <c r="D40" s="133">
        <f>SUM(D37:D39)</f>
        <v>612432.04689999996</v>
      </c>
      <c r="E40" s="133">
        <f>SUM(E37:E39)</f>
        <v>26083835.206</v>
      </c>
      <c r="F40" s="126">
        <f>G40/E40</f>
        <v>22.043876784949813</v>
      </c>
      <c r="G40" s="49">
        <f>SUM(G37:G39)</f>
        <v>574988849.36000001</v>
      </c>
      <c r="H40" s="108">
        <f>SUM(H39:H39)</f>
        <v>0</v>
      </c>
      <c r="I40" s="446">
        <f>SUM(I37:I39)</f>
        <v>2138980</v>
      </c>
      <c r="J40" s="446">
        <f>SUM(J37:J39)</f>
        <v>1147200</v>
      </c>
      <c r="K40" s="108">
        <f>SUM(K37:K39)</f>
        <v>0</v>
      </c>
      <c r="L40" s="108">
        <f>SUM(L37:L39)</f>
        <v>0</v>
      </c>
      <c r="M40" s="108">
        <v>0</v>
      </c>
      <c r="N40" s="20">
        <f>SUM(N37:N39)</f>
        <v>578275029.36000001</v>
      </c>
      <c r="O40" s="21"/>
      <c r="P40" s="24"/>
    </row>
    <row r="41" spans="1:16" ht="13.5" customHeight="1">
      <c r="A41" s="4"/>
      <c r="B41" s="1084"/>
      <c r="C41" s="711" t="s">
        <v>157</v>
      </c>
      <c r="D41" s="981">
        <v>246294</v>
      </c>
      <c r="E41" s="981">
        <v>10496607.598999999</v>
      </c>
      <c r="F41" s="162">
        <f>G41/E41</f>
        <v>23.468799293161041</v>
      </c>
      <c r="G41" s="989">
        <v>246342777</v>
      </c>
      <c r="H41" s="994"/>
      <c r="I41" s="986">
        <v>712570</v>
      </c>
      <c r="J41" s="995">
        <v>735000</v>
      </c>
      <c r="K41" s="119"/>
      <c r="L41" s="113"/>
      <c r="M41" s="960"/>
      <c r="N41" s="13">
        <f>SUM(G41:M41)</f>
        <v>247790347</v>
      </c>
      <c r="O41" s="21"/>
      <c r="P41" s="24"/>
    </row>
    <row r="42" spans="1:16" ht="13.5" customHeight="1">
      <c r="A42" s="4"/>
      <c r="B42" s="1084"/>
      <c r="C42" s="69" t="s">
        <v>32</v>
      </c>
      <c r="D42" s="163"/>
      <c r="E42" s="163"/>
      <c r="F42" s="162"/>
      <c r="G42" s="983">
        <v>-3905671</v>
      </c>
      <c r="H42" s="509"/>
      <c r="I42" s="445"/>
      <c r="J42" s="445"/>
      <c r="K42" s="119"/>
      <c r="L42" s="119"/>
      <c r="M42" s="958"/>
      <c r="N42" s="13">
        <f>SUM(G42:M42)</f>
        <v>-3905671</v>
      </c>
      <c r="O42" s="21"/>
      <c r="P42" s="24"/>
    </row>
    <row r="43" spans="1:16" ht="13.5" customHeight="1">
      <c r="A43" s="4"/>
      <c r="B43" s="1084"/>
      <c r="C43" s="19" t="s">
        <v>31</v>
      </c>
      <c r="D43" s="130">
        <f>SUM(D41:D42)</f>
        <v>246294</v>
      </c>
      <c r="E43" s="130">
        <f>SUM(E41:E42)</f>
        <v>10496607.598999999</v>
      </c>
      <c r="F43" s="126">
        <f t="shared" ref="F43:F46" si="5">G43/E43</f>
        <v>23.096710409856296</v>
      </c>
      <c r="G43" s="49">
        <f t="shared" ref="G43:L43" si="6">SUM(G41:G42)</f>
        <v>242437106</v>
      </c>
      <c r="H43" s="108">
        <f t="shared" si="6"/>
        <v>0</v>
      </c>
      <c r="I43" s="446">
        <f t="shared" si="6"/>
        <v>712570</v>
      </c>
      <c r="J43" s="446">
        <f t="shared" si="6"/>
        <v>735000</v>
      </c>
      <c r="K43" s="108">
        <f t="shared" si="6"/>
        <v>0</v>
      </c>
      <c r="L43" s="108">
        <f t="shared" si="6"/>
        <v>0</v>
      </c>
      <c r="M43" s="108">
        <v>0</v>
      </c>
      <c r="N43" s="20">
        <f>SUM(N41:N42)</f>
        <v>243884676</v>
      </c>
      <c r="O43" s="21"/>
      <c r="P43" s="24"/>
    </row>
    <row r="44" spans="1:16" ht="13.5" customHeight="1">
      <c r="A44" s="4"/>
      <c r="B44" s="1085"/>
      <c r="C44" s="635" t="s">
        <v>27</v>
      </c>
      <c r="D44" s="636">
        <f>D23+D31+D36+D43+D40</f>
        <v>38128176.448699996</v>
      </c>
      <c r="E44" s="637">
        <f>E23+E31+E36+E43+E40</f>
        <v>1623040708.7993</v>
      </c>
      <c r="F44" s="638">
        <f t="shared" si="5"/>
        <v>22.896350165395205</v>
      </c>
      <c r="G44" s="639">
        <f t="shared" ref="G44:L44" si="7">G23+G31+G36+G43+G40</f>
        <v>37161708401.360001</v>
      </c>
      <c r="H44" s="640">
        <f t="shared" si="7"/>
        <v>1051128020</v>
      </c>
      <c r="I44" s="640">
        <f t="shared" si="7"/>
        <v>184895230</v>
      </c>
      <c r="J44" s="640">
        <f t="shared" si="7"/>
        <v>1882200</v>
      </c>
      <c r="K44" s="641">
        <f t="shared" si="7"/>
        <v>0</v>
      </c>
      <c r="L44" s="641">
        <f t="shared" si="7"/>
        <v>0</v>
      </c>
      <c r="M44" s="641">
        <v>0</v>
      </c>
      <c r="N44" s="642">
        <f>N23+N31+N36+N43+N40</f>
        <v>38399613851.360001</v>
      </c>
      <c r="O44" s="21"/>
      <c r="P44" s="24"/>
    </row>
    <row r="45" spans="1:16" ht="13.5" hidden="1" customHeight="1">
      <c r="A45" s="4"/>
      <c r="B45" s="1089" t="s">
        <v>401</v>
      </c>
      <c r="C45" s="69" t="s">
        <v>399</v>
      </c>
      <c r="D45" s="929"/>
      <c r="E45" s="929"/>
      <c r="F45" s="70" t="e">
        <f t="shared" ref="F45" si="8">G45/E45</f>
        <v>#DIV/0!</v>
      </c>
      <c r="G45" s="931"/>
      <c r="H45" s="962"/>
      <c r="I45" s="930"/>
      <c r="J45" s="916"/>
      <c r="K45" s="119"/>
      <c r="L45" s="167"/>
      <c r="M45" s="961"/>
      <c r="N45" s="44">
        <f>L45+K45+I45+H45+G45+J45</f>
        <v>0</v>
      </c>
      <c r="O45" s="21"/>
      <c r="P45" s="24"/>
    </row>
    <row r="46" spans="1:16" ht="13.5" customHeight="1">
      <c r="A46" s="4"/>
      <c r="B46" s="1089"/>
      <c r="C46" s="69" t="s">
        <v>461</v>
      </c>
      <c r="D46" s="981">
        <v>4988689.8458000002</v>
      </c>
      <c r="E46" s="981">
        <v>212321694.21619999</v>
      </c>
      <c r="F46" s="70">
        <f t="shared" si="5"/>
        <v>22.610353095202989</v>
      </c>
      <c r="G46" s="990">
        <v>4800668476</v>
      </c>
      <c r="H46" s="445"/>
      <c r="I46" s="995">
        <v>38813250</v>
      </c>
      <c r="J46" s="992">
        <v>1306200</v>
      </c>
      <c r="K46" s="119"/>
      <c r="L46" s="167"/>
      <c r="M46" s="961"/>
      <c r="N46" s="13">
        <f t="shared" ref="N46:N48" si="9">SUM(G46:M46)</f>
        <v>4840787926</v>
      </c>
      <c r="O46" s="21"/>
      <c r="P46" s="24"/>
    </row>
    <row r="47" spans="1:16" ht="13.5" customHeight="1">
      <c r="A47" s="4"/>
      <c r="B47" s="1089"/>
      <c r="C47" s="68" t="s">
        <v>49</v>
      </c>
      <c r="D47" s="976"/>
      <c r="E47" s="976"/>
      <c r="F47" s="70"/>
      <c r="G47" s="983">
        <v>-4541559</v>
      </c>
      <c r="H47" s="445"/>
      <c r="I47" s="445"/>
      <c r="J47" s="445"/>
      <c r="K47" s="119"/>
      <c r="L47" s="167"/>
      <c r="M47" s="961"/>
      <c r="N47" s="13">
        <f t="shared" si="9"/>
        <v>-4541559</v>
      </c>
      <c r="O47" s="21"/>
      <c r="P47" s="24"/>
    </row>
    <row r="48" spans="1:16" ht="13.5" customHeight="1">
      <c r="A48" s="4"/>
      <c r="B48" s="1089"/>
      <c r="C48" s="68" t="s">
        <v>33</v>
      </c>
      <c r="D48" s="981">
        <v>-3814.4045999999998</v>
      </c>
      <c r="E48" s="981">
        <v>-163565.72099999999</v>
      </c>
      <c r="F48" s="963"/>
      <c r="G48" s="997">
        <v>-3698269</v>
      </c>
      <c r="H48" s="506"/>
      <c r="I48" s="918"/>
      <c r="J48" s="918"/>
      <c r="K48" s="106"/>
      <c r="L48" s="167"/>
      <c r="M48" s="961"/>
      <c r="N48" s="13">
        <f t="shared" si="9"/>
        <v>-3698269</v>
      </c>
      <c r="O48" s="21"/>
      <c r="P48" s="24"/>
    </row>
    <row r="49" spans="1:19" ht="13.5" customHeight="1">
      <c r="A49" s="4"/>
      <c r="B49" s="1089"/>
      <c r="C49" s="19" t="s">
        <v>17</v>
      </c>
      <c r="D49" s="129">
        <f>SUM(D45:D48)</f>
        <v>4984875.4412000002</v>
      </c>
      <c r="E49" s="130">
        <f>SUM(E45:E48)</f>
        <v>212158128.49520001</v>
      </c>
      <c r="F49" s="55">
        <f t="shared" ref="F49:F50" si="10">G49/E49</f>
        <v>22.588946659700699</v>
      </c>
      <c r="G49" s="49">
        <f t="shared" ref="G49:L49" si="11">SUM(G45:G48)</f>
        <v>4792428648</v>
      </c>
      <c r="H49" s="108">
        <f t="shared" si="11"/>
        <v>0</v>
      </c>
      <c r="I49" s="446">
        <f t="shared" si="11"/>
        <v>38813250</v>
      </c>
      <c r="J49" s="446">
        <f t="shared" si="11"/>
        <v>1306200</v>
      </c>
      <c r="K49" s="108">
        <f t="shared" si="11"/>
        <v>0</v>
      </c>
      <c r="L49" s="108">
        <f t="shared" si="11"/>
        <v>0</v>
      </c>
      <c r="M49" s="108">
        <v>0</v>
      </c>
      <c r="N49" s="20">
        <f>SUM(N45:N48)</f>
        <v>4832548098</v>
      </c>
      <c r="O49" s="21"/>
      <c r="P49" s="24"/>
    </row>
    <row r="50" spans="1:19" ht="13.5" customHeight="1">
      <c r="A50" s="4"/>
      <c r="B50" s="1089"/>
      <c r="C50" s="69" t="s">
        <v>400</v>
      </c>
      <c r="D50" s="981">
        <v>1806142.2633</v>
      </c>
      <c r="E50" s="981">
        <v>76864293.253700003</v>
      </c>
      <c r="F50" s="632">
        <f t="shared" si="10"/>
        <v>22.610393817890746</v>
      </c>
      <c r="G50" s="990">
        <v>1737931941</v>
      </c>
      <c r="H50" s="995"/>
      <c r="I50" s="995">
        <v>10140380</v>
      </c>
      <c r="J50" s="993">
        <v>2519600</v>
      </c>
      <c r="K50" s="119"/>
      <c r="L50" s="167"/>
      <c r="M50" s="961"/>
      <c r="N50" s="44">
        <f t="shared" ref="N50:N51" si="12">L50+K50+I50+H50+G50+J50</f>
        <v>1750591921</v>
      </c>
      <c r="O50" s="21"/>
      <c r="P50" s="24"/>
      <c r="Q50" s="5"/>
      <c r="R50" s="5"/>
      <c r="S50" s="5"/>
    </row>
    <row r="51" spans="1:19" ht="13.5" customHeight="1">
      <c r="A51" s="4"/>
      <c r="B51" s="1089"/>
      <c r="C51" s="68" t="s">
        <v>49</v>
      </c>
      <c r="D51" s="934"/>
      <c r="E51" s="934"/>
      <c r="F51" s="632"/>
      <c r="G51" s="983">
        <v>-2716290</v>
      </c>
      <c r="H51" s="445"/>
      <c r="I51" s="509"/>
      <c r="J51" s="509"/>
      <c r="K51" s="119"/>
      <c r="L51" s="167"/>
      <c r="M51" s="961"/>
      <c r="N51" s="44">
        <f t="shared" si="12"/>
        <v>-2716290</v>
      </c>
      <c r="O51" s="21"/>
      <c r="P51" s="24"/>
      <c r="Q51" s="5"/>
      <c r="R51" s="5"/>
      <c r="S51" s="5"/>
    </row>
    <row r="52" spans="1:19" ht="13.5" hidden="1" customHeight="1">
      <c r="A52" s="4"/>
      <c r="B52" s="1089"/>
      <c r="C52" s="68" t="s">
        <v>33</v>
      </c>
      <c r="D52" s="933"/>
      <c r="E52" s="933"/>
      <c r="F52" s="632"/>
      <c r="G52" s="935"/>
      <c r="H52" s="445"/>
      <c r="I52" s="445"/>
      <c r="J52" s="445"/>
      <c r="K52" s="119"/>
      <c r="L52" s="167"/>
      <c r="M52" s="961"/>
      <c r="N52" s="44">
        <f t="shared" ref="N52" si="13">L52+K52+I52+H52+G52+J52</f>
        <v>0</v>
      </c>
      <c r="O52" s="21"/>
      <c r="P52" s="24"/>
      <c r="Q52" s="5"/>
      <c r="R52" s="5"/>
      <c r="S52" s="5"/>
    </row>
    <row r="53" spans="1:19" ht="13.5" customHeight="1">
      <c r="A53" s="4"/>
      <c r="B53" s="1089"/>
      <c r="C53" s="19" t="s">
        <v>17</v>
      </c>
      <c r="D53" s="135">
        <f>SUM(D50:D52)</f>
        <v>1806142.2633</v>
      </c>
      <c r="E53" s="130">
        <f>SUM(E50:E52)</f>
        <v>76864293.253700003</v>
      </c>
      <c r="F53" s="56">
        <f t="shared" ref="F53:F59" si="14">G53/E53</f>
        <v>22.575055042433142</v>
      </c>
      <c r="G53" s="52">
        <f t="shared" ref="G53:L53" si="15">SUM(G50:G52)</f>
        <v>1735215651</v>
      </c>
      <c r="H53" s="108">
        <f t="shared" si="15"/>
        <v>0</v>
      </c>
      <c r="I53" s="446">
        <f t="shared" si="15"/>
        <v>10140380</v>
      </c>
      <c r="J53" s="446">
        <f t="shared" si="15"/>
        <v>2519600</v>
      </c>
      <c r="K53" s="108">
        <f t="shared" si="15"/>
        <v>0</v>
      </c>
      <c r="L53" s="108">
        <f t="shared" si="15"/>
        <v>0</v>
      </c>
      <c r="M53" s="108">
        <v>0</v>
      </c>
      <c r="N53" s="20">
        <f>SUM(N50:N52)</f>
        <v>1747875631</v>
      </c>
      <c r="O53" s="21"/>
      <c r="P53" s="24"/>
      <c r="Q53" s="5"/>
      <c r="R53" s="5"/>
      <c r="S53" s="5"/>
    </row>
    <row r="54" spans="1:19" ht="13.5" customHeight="1">
      <c r="A54" s="4" t="s">
        <v>50</v>
      </c>
      <c r="B54" s="1090"/>
      <c r="C54" s="635" t="s">
        <v>27</v>
      </c>
      <c r="D54" s="643">
        <f>D49+D53</f>
        <v>6791017.7045</v>
      </c>
      <c r="E54" s="644">
        <f>E49+E53</f>
        <v>289022421.7489</v>
      </c>
      <c r="F54" s="645">
        <f t="shared" si="14"/>
        <v>22.585252242717544</v>
      </c>
      <c r="G54" s="639">
        <f t="shared" ref="G54:L54" si="16">G49+G53</f>
        <v>6527644299</v>
      </c>
      <c r="H54" s="641">
        <f t="shared" si="16"/>
        <v>0</v>
      </c>
      <c r="I54" s="640">
        <f t="shared" si="16"/>
        <v>48953630</v>
      </c>
      <c r="J54" s="640">
        <f t="shared" si="16"/>
        <v>3825800</v>
      </c>
      <c r="K54" s="641">
        <f t="shared" si="16"/>
        <v>0</v>
      </c>
      <c r="L54" s="641">
        <f t="shared" si="16"/>
        <v>0</v>
      </c>
      <c r="M54" s="641">
        <v>0</v>
      </c>
      <c r="N54" s="646">
        <f>N49+N53</f>
        <v>6580423729</v>
      </c>
      <c r="O54" s="21"/>
      <c r="P54" s="24"/>
    </row>
    <row r="55" spans="1:19" s="23" customFormat="1" ht="13.5" customHeight="1">
      <c r="A55" s="4"/>
      <c r="B55" s="1083" t="s">
        <v>215</v>
      </c>
      <c r="C55" s="713" t="s">
        <v>214</v>
      </c>
      <c r="D55" s="981">
        <v>6074252.9199999999</v>
      </c>
      <c r="E55" s="981">
        <v>262403158.89390001</v>
      </c>
      <c r="F55" s="57">
        <f t="shared" si="14"/>
        <v>22.775113067203733</v>
      </c>
      <c r="G55" s="989">
        <v>5976261613</v>
      </c>
      <c r="H55" s="505"/>
      <c r="I55" s="505"/>
      <c r="J55" s="449"/>
      <c r="K55" s="116"/>
      <c r="L55" s="116"/>
      <c r="M55" s="116"/>
      <c r="N55" s="13">
        <f>SUM(G55:M55)</f>
        <v>5976261613</v>
      </c>
      <c r="O55" s="21"/>
      <c r="P55" s="24"/>
      <c r="Q55" s="2"/>
      <c r="R55" s="2"/>
    </row>
    <row r="56" spans="1:19" ht="13.5" customHeight="1">
      <c r="A56" s="4"/>
      <c r="B56" s="1084"/>
      <c r="C56" s="714" t="s">
        <v>231</v>
      </c>
      <c r="D56" s="981">
        <v>282873.88</v>
      </c>
      <c r="E56" s="981">
        <v>11964368.115700001</v>
      </c>
      <c r="F56" s="58">
        <f>G56/E56</f>
        <v>22.775147702320371</v>
      </c>
      <c r="G56" s="997">
        <v>272490251</v>
      </c>
      <c r="H56" s="507"/>
      <c r="I56" s="507"/>
      <c r="J56" s="509"/>
      <c r="K56" s="168"/>
      <c r="L56" s="168"/>
      <c r="M56" s="168"/>
      <c r="N56" s="48">
        <f>SUM(G56:M56)</f>
        <v>272490251</v>
      </c>
      <c r="O56" s="21"/>
      <c r="P56" s="24"/>
    </row>
    <row r="57" spans="1:19" ht="13.5" customHeight="1">
      <c r="A57" s="4"/>
      <c r="B57" s="1085"/>
      <c r="C57" s="635" t="s">
        <v>27</v>
      </c>
      <c r="D57" s="647">
        <f>SUM(D55:D56)</f>
        <v>6357126.7999999998</v>
      </c>
      <c r="E57" s="647">
        <f>SUM(E55:E56)</f>
        <v>274367527.00959998</v>
      </c>
      <c r="F57" s="648">
        <f t="shared" si="14"/>
        <v>22.775114577540219</v>
      </c>
      <c r="G57" s="639">
        <f>SUM(G55:G56)</f>
        <v>6248751864</v>
      </c>
      <c r="H57" s="654">
        <f>SUM(H55:H56)</f>
        <v>0</v>
      </c>
      <c r="I57" s="654">
        <f t="shared" ref="I57:J57" si="17">SUM(I55:I56)</f>
        <v>0</v>
      </c>
      <c r="J57" s="654">
        <f t="shared" si="17"/>
        <v>0</v>
      </c>
      <c r="K57" s="654">
        <f>SUM(K55:K56)</f>
        <v>0</v>
      </c>
      <c r="L57" s="654">
        <f t="shared" ref="L57" si="18">SUM(L55:L56)</f>
        <v>0</v>
      </c>
      <c r="M57" s="654">
        <f t="shared" ref="M57" si="19">SUM(M55:M56)</f>
        <v>0</v>
      </c>
      <c r="N57" s="646">
        <f>SUM(N55:N56)</f>
        <v>6248751864</v>
      </c>
      <c r="O57" s="21"/>
      <c r="P57" s="24"/>
    </row>
    <row r="58" spans="1:19" ht="13.5" customHeight="1">
      <c r="A58" s="4"/>
      <c r="B58" s="1083" t="s">
        <v>193</v>
      </c>
      <c r="C58" s="69" t="s">
        <v>237</v>
      </c>
      <c r="D58" s="981">
        <v>602042.53469999996</v>
      </c>
      <c r="E58" s="981">
        <v>25580672.6461</v>
      </c>
      <c r="F58" s="57">
        <f t="shared" si="14"/>
        <v>25.971785454253485</v>
      </c>
      <c r="G58" s="989">
        <v>664375741.74000001</v>
      </c>
      <c r="H58" s="505"/>
      <c r="I58" s="984">
        <v>12901100</v>
      </c>
      <c r="J58" s="984">
        <v>1440900</v>
      </c>
      <c r="K58" s="109"/>
      <c r="L58" s="113"/>
      <c r="M58" s="960"/>
      <c r="N58" s="13">
        <f t="shared" ref="N58:N60" si="20">SUM(G58:M58)</f>
        <v>678717741.74000001</v>
      </c>
      <c r="O58" s="21"/>
      <c r="P58" s="24"/>
    </row>
    <row r="59" spans="1:19" ht="13.5" customHeight="1">
      <c r="A59" s="4"/>
      <c r="B59" s="1089"/>
      <c r="C59" s="69" t="s">
        <v>166</v>
      </c>
      <c r="D59" s="981">
        <v>285238.62660000002</v>
      </c>
      <c r="E59" s="981">
        <v>12179529.972100001</v>
      </c>
      <c r="F59" s="70">
        <f t="shared" si="14"/>
        <v>24.576107283751785</v>
      </c>
      <c r="G59" s="989">
        <v>299325435.25999999</v>
      </c>
      <c r="H59" s="507"/>
      <c r="I59" s="986">
        <v>326920</v>
      </c>
      <c r="J59" s="986">
        <v>147000</v>
      </c>
      <c r="K59" s="119"/>
      <c r="L59" s="113"/>
      <c r="M59" s="960"/>
      <c r="N59" s="13">
        <f t="shared" si="20"/>
        <v>299799355.25999999</v>
      </c>
      <c r="O59" s="21"/>
      <c r="P59" s="24"/>
    </row>
    <row r="60" spans="1:19" ht="13.5" customHeight="1">
      <c r="A60" s="4"/>
      <c r="B60" s="1089"/>
      <c r="C60" s="69" t="s">
        <v>49</v>
      </c>
      <c r="D60" s="976"/>
      <c r="E60" s="976"/>
      <c r="F60" s="70"/>
      <c r="G60" s="983">
        <v>-42272785</v>
      </c>
      <c r="H60" s="509"/>
      <c r="I60" s="509"/>
      <c r="J60" s="509"/>
      <c r="K60" s="119"/>
      <c r="L60" s="113"/>
      <c r="M60" s="960"/>
      <c r="N60" s="13">
        <f t="shared" si="20"/>
        <v>-42272785</v>
      </c>
      <c r="O60" s="21"/>
      <c r="P60" s="24"/>
    </row>
    <row r="61" spans="1:19" ht="13.5" customHeight="1">
      <c r="A61" s="4"/>
      <c r="B61" s="1089"/>
      <c r="C61" s="69" t="s">
        <v>87</v>
      </c>
      <c r="D61" s="981">
        <v>-1646.1855</v>
      </c>
      <c r="E61" s="981">
        <v>-70597.043900000004</v>
      </c>
      <c r="F61" s="632"/>
      <c r="G61" s="997">
        <v>-1538537</v>
      </c>
      <c r="H61" s="509"/>
      <c r="I61" s="509"/>
      <c r="J61" s="509"/>
      <c r="K61" s="119"/>
      <c r="L61" s="113"/>
      <c r="M61" s="105"/>
      <c r="N61" s="13">
        <f>SUM(G61:M61)</f>
        <v>-1538537</v>
      </c>
      <c r="O61" s="21"/>
      <c r="P61" s="24"/>
    </row>
    <row r="62" spans="1:19" ht="13.5" customHeight="1">
      <c r="A62" s="4"/>
      <c r="B62" s="1089"/>
      <c r="C62" s="19" t="s">
        <v>17</v>
      </c>
      <c r="D62" s="129">
        <f>SUM(D58:D61)</f>
        <v>885634.97580000001</v>
      </c>
      <c r="E62" s="130">
        <f>SUM(E58:E61)</f>
        <v>37689605.574300006</v>
      </c>
      <c r="F62" s="55">
        <f t="shared" ref="F62" si="21">G62/E62</f>
        <v>24.406990760000404</v>
      </c>
      <c r="G62" s="76">
        <f t="shared" ref="G62:L62" si="22">SUM(G58:G61)</f>
        <v>919889855</v>
      </c>
      <c r="H62" s="454">
        <f t="shared" si="22"/>
        <v>0</v>
      </c>
      <c r="I62" s="450">
        <f t="shared" si="22"/>
        <v>13228020</v>
      </c>
      <c r="J62" s="450">
        <f t="shared" si="22"/>
        <v>1587900</v>
      </c>
      <c r="K62" s="150">
        <f t="shared" si="22"/>
        <v>0</v>
      </c>
      <c r="L62" s="108">
        <f t="shared" si="22"/>
        <v>0</v>
      </c>
      <c r="M62" s="108">
        <v>0</v>
      </c>
      <c r="N62" s="20">
        <f>SUM(N58:N61)</f>
        <v>934705775</v>
      </c>
      <c r="O62" s="21"/>
      <c r="P62" s="24"/>
    </row>
    <row r="63" spans="1:19" ht="13.5" customHeight="1">
      <c r="A63" s="4"/>
      <c r="B63" s="1089"/>
      <c r="C63" s="69" t="s">
        <v>462</v>
      </c>
      <c r="D63" s="981">
        <v>14.7128</v>
      </c>
      <c r="E63" s="981">
        <v>627.3537</v>
      </c>
      <c r="F63" s="70">
        <f t="shared" ref="F63:F66" si="23">G63/E63</f>
        <v>24.481484687186828</v>
      </c>
      <c r="G63" s="989">
        <v>15358.55</v>
      </c>
      <c r="H63" s="451"/>
      <c r="I63" s="986">
        <v>6060</v>
      </c>
      <c r="J63" s="986"/>
      <c r="K63" s="117"/>
      <c r="L63" s="117"/>
      <c r="M63" s="118"/>
      <c r="N63" s="13">
        <f>SUM(G63:L63)</f>
        <v>21418.55</v>
      </c>
      <c r="O63" s="21"/>
      <c r="P63" s="24"/>
    </row>
    <row r="64" spans="1:19" ht="13.5" customHeight="1">
      <c r="A64" s="4"/>
      <c r="B64" s="1089"/>
      <c r="C64" s="948" t="s">
        <v>463</v>
      </c>
      <c r="D64" s="981">
        <v>345861.23180000001</v>
      </c>
      <c r="E64" s="981">
        <v>14666157.213099999</v>
      </c>
      <c r="F64" s="70">
        <f t="shared" si="23"/>
        <v>24.350597856063288</v>
      </c>
      <c r="G64" s="989">
        <v>357129696.38999999</v>
      </c>
      <c r="H64" s="451"/>
      <c r="I64" s="986">
        <v>10052100</v>
      </c>
      <c r="J64" s="986">
        <v>3658000</v>
      </c>
      <c r="K64" s="117"/>
      <c r="L64" s="117"/>
      <c r="M64" s="118"/>
      <c r="N64" s="13">
        <f t="shared" ref="N64:N66" si="24">SUM(G64:L64)</f>
        <v>370839796.38999999</v>
      </c>
      <c r="O64" s="21"/>
      <c r="P64" s="24"/>
    </row>
    <row r="65" spans="1:16" ht="13.5" customHeight="1">
      <c r="A65" s="4"/>
      <c r="B65" s="1089"/>
      <c r="C65" s="948" t="s">
        <v>467</v>
      </c>
      <c r="D65" s="981">
        <v>369102.10159999999</v>
      </c>
      <c r="E65" s="981">
        <v>15765549.5009</v>
      </c>
      <c r="F65" s="70">
        <f t="shared" si="23"/>
        <v>14.9920718619105</v>
      </c>
      <c r="G65" s="989">
        <v>236358251.06</v>
      </c>
      <c r="H65" s="451"/>
      <c r="I65" s="986">
        <v>1306340</v>
      </c>
      <c r="J65" s="986">
        <v>902000</v>
      </c>
      <c r="K65" s="117"/>
      <c r="L65" s="117"/>
      <c r="M65" s="118"/>
      <c r="N65" s="13">
        <f t="shared" si="24"/>
        <v>238566591.06</v>
      </c>
      <c r="O65" s="21"/>
      <c r="P65" s="24"/>
    </row>
    <row r="66" spans="1:16" ht="13.5" customHeight="1">
      <c r="A66" s="4"/>
      <c r="B66" s="1089"/>
      <c r="C66" s="948" t="s">
        <v>468</v>
      </c>
      <c r="D66" s="981">
        <v>9866.6481000000003</v>
      </c>
      <c r="E66" s="981">
        <v>419828.01030000002</v>
      </c>
      <c r="F66" s="70">
        <f t="shared" si="23"/>
        <v>14.992069336922942</v>
      </c>
      <c r="G66" s="989">
        <v>6294090.6399999997</v>
      </c>
      <c r="H66" s="451"/>
      <c r="I66" s="978"/>
      <c r="J66" s="978"/>
      <c r="K66" s="117"/>
      <c r="L66" s="117"/>
      <c r="M66" s="118"/>
      <c r="N66" s="13">
        <f t="shared" si="24"/>
        <v>6294090.6399999997</v>
      </c>
      <c r="O66" s="21"/>
      <c r="P66" s="24"/>
    </row>
    <row r="67" spans="1:16" ht="13.5" customHeight="1">
      <c r="A67" s="4"/>
      <c r="B67" s="1089"/>
      <c r="C67" s="69" t="s">
        <v>49</v>
      </c>
      <c r="D67" s="933"/>
      <c r="E67" s="933"/>
      <c r="F67" s="70"/>
      <c r="G67" s="989">
        <v>-528714</v>
      </c>
      <c r="H67" s="451"/>
      <c r="I67" s="510"/>
      <c r="J67" s="510"/>
      <c r="K67" s="117"/>
      <c r="L67" s="117"/>
      <c r="M67" s="118"/>
      <c r="N67" s="13">
        <f>SUM(G67:L67)</f>
        <v>-528714</v>
      </c>
      <c r="O67" s="21"/>
      <c r="P67" s="24"/>
    </row>
    <row r="68" spans="1:16" ht="13.5" hidden="1" customHeight="1">
      <c r="A68" s="4"/>
      <c r="B68" s="1089"/>
      <c r="C68" s="932" t="s">
        <v>87</v>
      </c>
      <c r="D68" s="988"/>
      <c r="E68" s="988"/>
      <c r="F68" s="936"/>
      <c r="G68" s="987"/>
      <c r="H68" s="938"/>
      <c r="I68" s="937"/>
      <c r="J68" s="937"/>
      <c r="K68" s="941"/>
      <c r="L68" s="941"/>
      <c r="M68" s="942"/>
      <c r="N68" s="940"/>
      <c r="O68" s="21"/>
      <c r="P68" s="24"/>
    </row>
    <row r="69" spans="1:16" ht="13.5" customHeight="1">
      <c r="A69" s="4"/>
      <c r="B69" s="1089"/>
      <c r="C69" s="19" t="s">
        <v>17</v>
      </c>
      <c r="D69" s="130">
        <f>SUM(D63:D68)</f>
        <v>724844.69429999997</v>
      </c>
      <c r="E69" s="130">
        <f>SUM(E63:E68)</f>
        <v>30852162.077999998</v>
      </c>
      <c r="F69" s="55">
        <f>G69/E69</f>
        <v>19.423879633619759</v>
      </c>
      <c r="G69" s="49">
        <f>SUM(G63:G68)</f>
        <v>599268682.63999999</v>
      </c>
      <c r="H69" s="108">
        <f>SUM(H63:H67)</f>
        <v>0</v>
      </c>
      <c r="I69" s="446">
        <f>SUM(I63:I68)</f>
        <v>11364500</v>
      </c>
      <c r="J69" s="446">
        <f>SUM(J63:J68)</f>
        <v>4560000</v>
      </c>
      <c r="K69" s="108">
        <f>SUM(K63:K67)</f>
        <v>0</v>
      </c>
      <c r="L69" s="108">
        <f>SUM(L63:L67)</f>
        <v>0</v>
      </c>
      <c r="M69" s="108">
        <v>0</v>
      </c>
      <c r="N69" s="20">
        <f>SUM(N63:N68)</f>
        <v>615193182.63999999</v>
      </c>
      <c r="O69" s="21"/>
      <c r="P69" s="24"/>
    </row>
    <row r="70" spans="1:16" ht="12" customHeight="1">
      <c r="A70" s="4"/>
      <c r="B70" s="1090"/>
      <c r="C70" s="635" t="s">
        <v>27</v>
      </c>
      <c r="D70" s="643">
        <f>D62+D69</f>
        <v>1610479.6701</v>
      </c>
      <c r="E70" s="644">
        <f>E62+E69</f>
        <v>68541767.6523</v>
      </c>
      <c r="F70" s="645">
        <f>G70/E70</f>
        <v>22.163982483591852</v>
      </c>
      <c r="G70" s="639">
        <f t="shared" ref="G70:L70" si="25">G62+G69</f>
        <v>1519158537.6399999</v>
      </c>
      <c r="H70" s="641">
        <f t="shared" si="25"/>
        <v>0</v>
      </c>
      <c r="I70" s="640">
        <f t="shared" si="25"/>
        <v>24592520</v>
      </c>
      <c r="J70" s="640">
        <f t="shared" si="25"/>
        <v>6147900</v>
      </c>
      <c r="K70" s="641">
        <f t="shared" si="25"/>
        <v>0</v>
      </c>
      <c r="L70" s="641">
        <f t="shared" si="25"/>
        <v>0</v>
      </c>
      <c r="M70" s="641">
        <v>0</v>
      </c>
      <c r="N70" s="646">
        <f>N62+N69</f>
        <v>1549898957.6399999</v>
      </c>
      <c r="O70" s="21"/>
      <c r="P70" s="24"/>
    </row>
    <row r="71" spans="1:16" ht="13.5" customHeight="1">
      <c r="A71" s="4"/>
      <c r="B71" s="1093" t="s">
        <v>392</v>
      </c>
      <c r="C71" s="715" t="s">
        <v>397</v>
      </c>
      <c r="D71" s="945">
        <v>6313720.4506000001</v>
      </c>
      <c r="E71" s="945">
        <v>267597189.1805</v>
      </c>
      <c r="F71" s="70">
        <f>G71/E71</f>
        <v>21.624298454446073</v>
      </c>
      <c r="G71" s="990">
        <v>5786601484.4099998</v>
      </c>
      <c r="H71" s="509"/>
      <c r="I71" s="995">
        <v>1015170</v>
      </c>
      <c r="J71" s="995">
        <v>235200</v>
      </c>
      <c r="K71" s="119"/>
      <c r="L71" s="956"/>
      <c r="M71" s="960"/>
      <c r="N71" s="13">
        <f>SUM(G71:M71)</f>
        <v>5787851854.4099998</v>
      </c>
      <c r="O71" s="21"/>
      <c r="P71" s="24"/>
    </row>
    <row r="72" spans="1:16" ht="13.5" customHeight="1">
      <c r="A72" s="4"/>
      <c r="B72" s="1093"/>
      <c r="C72" s="11" t="s">
        <v>398</v>
      </c>
      <c r="D72" s="945">
        <v>10539391.9805</v>
      </c>
      <c r="E72" s="945">
        <v>449851477.2737</v>
      </c>
      <c r="F72" s="70">
        <f>G72/E72</f>
        <v>20.053498930940172</v>
      </c>
      <c r="G72" s="990">
        <v>9021096118.5900002</v>
      </c>
      <c r="H72" s="623"/>
      <c r="I72" s="995">
        <v>16818700</v>
      </c>
      <c r="J72" s="995">
        <v>12868000</v>
      </c>
      <c r="K72" s="622"/>
      <c r="L72" s="961"/>
      <c r="M72" s="964"/>
      <c r="N72" s="13">
        <f t="shared" ref="N72" si="26">SUM(G72:M72)</f>
        <v>9050782818.5900002</v>
      </c>
      <c r="O72" s="21"/>
      <c r="P72" s="24"/>
    </row>
    <row r="73" spans="1:16" ht="13.5" customHeight="1">
      <c r="A73" s="4"/>
      <c r="B73" s="1094"/>
      <c r="C73" s="635" t="s">
        <v>27</v>
      </c>
      <c r="D73" s="650">
        <f>SUM(D71:D72)</f>
        <v>16853112.4311</v>
      </c>
      <c r="E73" s="650">
        <f>SUM(E71:E72)</f>
        <v>717448666.45420003</v>
      </c>
      <c r="F73" s="651">
        <f t="shared" ref="F73:F75" si="27">G73/E73</f>
        <v>20.639382711773823</v>
      </c>
      <c r="G73" s="652">
        <f>SUM(G71:G72)</f>
        <v>14807697603</v>
      </c>
      <c r="H73" s="654">
        <f>SUM(H71:H72)</f>
        <v>0</v>
      </c>
      <c r="I73" s="653">
        <f>SUM(I71:I72)</f>
        <v>17833870</v>
      </c>
      <c r="J73" s="653">
        <f>SUM(J71:J72)</f>
        <v>13103200</v>
      </c>
      <c r="K73" s="654">
        <v>0</v>
      </c>
      <c r="L73" s="654">
        <v>0</v>
      </c>
      <c r="M73" s="654">
        <v>0</v>
      </c>
      <c r="N73" s="642">
        <f>SUM(N71:N72)</f>
        <v>14838634673</v>
      </c>
      <c r="O73" s="21"/>
      <c r="P73" s="24"/>
    </row>
    <row r="74" spans="1:16" ht="12.75" customHeight="1">
      <c r="A74" s="4"/>
      <c r="B74" s="1089" t="s">
        <v>334</v>
      </c>
      <c r="C74" s="68" t="s">
        <v>236</v>
      </c>
      <c r="D74" s="981">
        <v>14836.6667</v>
      </c>
      <c r="E74" s="981">
        <v>629228.0307</v>
      </c>
      <c r="F74" s="70">
        <f t="shared" si="27"/>
        <v>21.484999984759899</v>
      </c>
      <c r="G74" s="989">
        <v>13518964.23</v>
      </c>
      <c r="H74" s="445"/>
      <c r="I74" s="996">
        <v>71550</v>
      </c>
      <c r="J74" s="996">
        <v>117600</v>
      </c>
      <c r="K74" s="119"/>
      <c r="L74" s="167"/>
      <c r="M74" s="961"/>
      <c r="N74" s="13">
        <f>SUM(G74:M74)</f>
        <v>13708114.23</v>
      </c>
      <c r="O74" s="21"/>
      <c r="P74" s="24"/>
    </row>
    <row r="75" spans="1:16" ht="13.5" customHeight="1">
      <c r="A75" s="4"/>
      <c r="B75" s="1089"/>
      <c r="C75" s="69" t="s">
        <v>233</v>
      </c>
      <c r="D75" s="945">
        <v>406161.3333</v>
      </c>
      <c r="E75" s="945">
        <v>17317855.8693</v>
      </c>
      <c r="F75" s="70">
        <f t="shared" si="27"/>
        <v>20.716699773786814</v>
      </c>
      <c r="G75" s="990">
        <v>358768820.76999998</v>
      </c>
      <c r="H75" s="445"/>
      <c r="I75" s="995">
        <v>256810</v>
      </c>
      <c r="J75" s="995">
        <v>323400</v>
      </c>
      <c r="K75" s="119"/>
      <c r="L75" s="117"/>
      <c r="M75" s="956"/>
      <c r="N75" s="13">
        <f>SUM(G75:M75)</f>
        <v>359349030.76999998</v>
      </c>
      <c r="O75" s="21"/>
      <c r="P75" s="24"/>
    </row>
    <row r="76" spans="1:16" ht="13.5" customHeight="1">
      <c r="A76" s="4"/>
      <c r="B76" s="1089"/>
      <c r="C76" s="68" t="s">
        <v>78</v>
      </c>
      <c r="D76" s="943"/>
      <c r="E76" s="934"/>
      <c r="F76" s="70"/>
      <c r="G76" s="989">
        <v>-2094918</v>
      </c>
      <c r="H76" s="509"/>
      <c r="I76" s="509"/>
      <c r="J76" s="509"/>
      <c r="K76" s="119"/>
      <c r="L76" s="167"/>
      <c r="M76" s="961"/>
      <c r="N76" s="13">
        <f>SUM(G76:M76)</f>
        <v>-2094918</v>
      </c>
      <c r="O76" s="21"/>
      <c r="P76" s="24"/>
    </row>
    <row r="77" spans="1:16" ht="13.5" customHeight="1">
      <c r="A77" s="4"/>
      <c r="B77" s="1089"/>
      <c r="C77" s="11" t="s">
        <v>89</v>
      </c>
      <c r="D77" s="149"/>
      <c r="E77" s="132"/>
      <c r="F77" s="58"/>
      <c r="G77" s="989">
        <v>-1590597</v>
      </c>
      <c r="H77" s="506"/>
      <c r="I77" s="506"/>
      <c r="J77" s="506"/>
      <c r="K77" s="106"/>
      <c r="L77" s="114"/>
      <c r="M77" s="965"/>
      <c r="N77" s="13">
        <f>SUM(G77:M77)</f>
        <v>-1590597</v>
      </c>
      <c r="O77" s="21"/>
      <c r="P77" s="24"/>
    </row>
    <row r="78" spans="1:16" ht="13.5" customHeight="1">
      <c r="A78" s="4"/>
      <c r="B78" s="1090"/>
      <c r="C78" s="635" t="s">
        <v>27</v>
      </c>
      <c r="D78" s="650">
        <f>SUM(D74:D77)</f>
        <v>420998</v>
      </c>
      <c r="E78" s="650">
        <f>SUM(E74:E77)</f>
        <v>17947083.899999999</v>
      </c>
      <c r="F78" s="651">
        <f>G78/E78</f>
        <v>20.538281987972432</v>
      </c>
      <c r="G78" s="655">
        <f>SUM(G74:G77)</f>
        <v>368602270</v>
      </c>
      <c r="H78" s="656">
        <f>SUM(H75:H77)</f>
        <v>0</v>
      </c>
      <c r="I78" s="657">
        <f>SUM(I74:I77)</f>
        <v>328360</v>
      </c>
      <c r="J78" s="657">
        <f>SUM(J74:J77)</f>
        <v>441000</v>
      </c>
      <c r="K78" s="656">
        <f>SUM(K75:K77)</f>
        <v>0</v>
      </c>
      <c r="L78" s="656">
        <f>SUM(L75:L77)</f>
        <v>0</v>
      </c>
      <c r="M78" s="656">
        <f>SUM(M75:M77)</f>
        <v>0</v>
      </c>
      <c r="N78" s="658">
        <f>SUM(N74:N77)</f>
        <v>369371630</v>
      </c>
      <c r="O78" s="21"/>
      <c r="P78" s="24"/>
    </row>
    <row r="79" spans="1:16" ht="13.5" customHeight="1">
      <c r="A79" s="4"/>
      <c r="B79" s="1089" t="s">
        <v>335</v>
      </c>
      <c r="C79" s="68" t="s">
        <v>235</v>
      </c>
      <c r="D79" s="981">
        <v>54741.902900000001</v>
      </c>
      <c r="E79" s="981">
        <v>2319938.3130000001</v>
      </c>
      <c r="F79" s="70">
        <f t="shared" ref="F79:F80" si="28">G79/E79</f>
        <v>18.318599986843701</v>
      </c>
      <c r="G79" s="989">
        <v>42498021.950000003</v>
      </c>
      <c r="H79" s="445"/>
      <c r="I79" s="996">
        <v>76700</v>
      </c>
      <c r="J79" s="508"/>
      <c r="K79" s="119"/>
      <c r="L79" s="117"/>
      <c r="M79" s="956"/>
      <c r="N79" s="13">
        <f>SUM(G79:M79)</f>
        <v>42574721.950000003</v>
      </c>
      <c r="O79" s="21"/>
      <c r="P79" s="24"/>
    </row>
    <row r="80" spans="1:16" ht="13.5" customHeight="1">
      <c r="A80" s="4"/>
      <c r="B80" s="1089"/>
      <c r="C80" s="68" t="s">
        <v>234</v>
      </c>
      <c r="D80" s="945">
        <v>330398.81430000003</v>
      </c>
      <c r="E80" s="945">
        <v>14091863.3243</v>
      </c>
      <c r="F80" s="70">
        <f t="shared" si="28"/>
        <v>17.354799675659525</v>
      </c>
      <c r="G80" s="990">
        <v>244561465.05000001</v>
      </c>
      <c r="H80" s="445"/>
      <c r="I80" s="995">
        <v>45560</v>
      </c>
      <c r="J80" s="509"/>
      <c r="K80" s="119"/>
      <c r="L80" s="167"/>
      <c r="M80" s="961"/>
      <c r="N80" s="44">
        <f>SUM(G80:M80)</f>
        <v>244607025.05000001</v>
      </c>
      <c r="O80" s="21"/>
      <c r="P80" s="24"/>
    </row>
    <row r="81" spans="1:19" ht="13.5" customHeight="1">
      <c r="A81" s="4"/>
      <c r="B81" s="1089"/>
      <c r="C81" s="69" t="s">
        <v>78</v>
      </c>
      <c r="D81" s="943"/>
      <c r="E81" s="934"/>
      <c r="F81" s="70"/>
      <c r="G81" s="989">
        <v>-1517457</v>
      </c>
      <c r="H81" s="509"/>
      <c r="I81" s="509"/>
      <c r="J81" s="509"/>
      <c r="K81" s="119"/>
      <c r="L81" s="117"/>
      <c r="M81" s="956"/>
      <c r="N81" s="45">
        <f>SUM(G81:M81)</f>
        <v>-1517457</v>
      </c>
      <c r="O81" s="21"/>
      <c r="P81" s="24"/>
    </row>
    <row r="82" spans="1:19" ht="13.5" customHeight="1">
      <c r="A82" s="4"/>
      <c r="B82" s="1089"/>
      <c r="C82" s="11" t="s">
        <v>89</v>
      </c>
      <c r="D82" s="148"/>
      <c r="E82" s="163"/>
      <c r="F82" s="70"/>
      <c r="G82" s="989">
        <v>-1152834</v>
      </c>
      <c r="H82" s="509"/>
      <c r="I82" s="509"/>
      <c r="J82" s="509"/>
      <c r="K82" s="119"/>
      <c r="L82" s="117"/>
      <c r="M82" s="956"/>
      <c r="N82" s="45">
        <f>SUM(G82:M82)</f>
        <v>-1152834</v>
      </c>
      <c r="O82" s="21"/>
      <c r="P82" s="24"/>
    </row>
    <row r="83" spans="1:19" ht="13.5" customHeight="1">
      <c r="A83" s="4"/>
      <c r="B83" s="1090"/>
      <c r="C83" s="635" t="s">
        <v>27</v>
      </c>
      <c r="D83" s="650">
        <f>SUM(D79:D82)</f>
        <v>385140.71720000001</v>
      </c>
      <c r="E83" s="647">
        <f>SUM(E79:E82)</f>
        <v>16411801.6373</v>
      </c>
      <c r="F83" s="651">
        <f>G83/E83</f>
        <v>17.328334955843793</v>
      </c>
      <c r="G83" s="659">
        <f t="shared" ref="G83:N83" si="29">SUM(G79:G82)</f>
        <v>284389196</v>
      </c>
      <c r="H83" s="654">
        <f t="shared" si="29"/>
        <v>0</v>
      </c>
      <c r="I83" s="649">
        <f t="shared" si="29"/>
        <v>122260</v>
      </c>
      <c r="J83" s="654">
        <f t="shared" si="29"/>
        <v>0</v>
      </c>
      <c r="K83" s="654">
        <f t="shared" si="29"/>
        <v>0</v>
      </c>
      <c r="L83" s="654">
        <f t="shared" si="29"/>
        <v>0</v>
      </c>
      <c r="M83" s="654">
        <f t="shared" si="29"/>
        <v>0</v>
      </c>
      <c r="N83" s="660">
        <f t="shared" si="29"/>
        <v>284511456</v>
      </c>
      <c r="O83" s="21"/>
      <c r="P83" s="24"/>
    </row>
    <row r="84" spans="1:19" ht="13.5" customHeight="1">
      <c r="A84" s="4"/>
      <c r="B84" s="1091" t="s">
        <v>393</v>
      </c>
      <c r="C84" s="716" t="s">
        <v>158</v>
      </c>
      <c r="D84" s="945">
        <v>10899</v>
      </c>
      <c r="E84" s="945">
        <v>464678.86499999999</v>
      </c>
      <c r="F84" s="99">
        <f>G84/E84</f>
        <v>23.461297298296536</v>
      </c>
      <c r="G84" s="990">
        <v>10901969</v>
      </c>
      <c r="H84" s="448"/>
      <c r="I84" s="995">
        <v>629820</v>
      </c>
      <c r="J84" s="995">
        <v>88200</v>
      </c>
      <c r="K84" s="115"/>
      <c r="L84" s="966"/>
      <c r="M84" s="966"/>
      <c r="N84" s="44">
        <f>SUM(G84:M84)</f>
        <v>11619989</v>
      </c>
      <c r="O84" s="21"/>
      <c r="P84" s="24"/>
    </row>
    <row r="85" spans="1:19" ht="13.5" customHeight="1">
      <c r="A85" s="4"/>
      <c r="B85" s="1092"/>
      <c r="C85" s="635" t="s">
        <v>27</v>
      </c>
      <c r="D85" s="650">
        <f>SUM(D84:D84)</f>
        <v>10899</v>
      </c>
      <c r="E85" s="647">
        <f>SUM(E84:E84)</f>
        <v>464678.86499999999</v>
      </c>
      <c r="F85" s="651">
        <f>G85/E85</f>
        <v>23.461297298296536</v>
      </c>
      <c r="G85" s="659">
        <f>SUM(G84:G84)</f>
        <v>10901969</v>
      </c>
      <c r="H85" s="654">
        <f t="shared" ref="H85:M85" si="30">SUM(H84)</f>
        <v>0</v>
      </c>
      <c r="I85" s="649">
        <f>SUM(I84:I84)</f>
        <v>629820</v>
      </c>
      <c r="J85" s="649">
        <f>SUM(J84:J84)</f>
        <v>88200</v>
      </c>
      <c r="K85" s="654">
        <f t="shared" si="30"/>
        <v>0</v>
      </c>
      <c r="L85" s="654">
        <f t="shared" si="30"/>
        <v>0</v>
      </c>
      <c r="M85" s="654">
        <f t="shared" si="30"/>
        <v>0</v>
      </c>
      <c r="N85" s="660">
        <f>SUM(N84:N84)</f>
        <v>11619989</v>
      </c>
      <c r="O85" s="21"/>
      <c r="P85" s="24"/>
    </row>
    <row r="86" spans="1:19" ht="13.5" customHeight="1">
      <c r="A86" s="4"/>
      <c r="B86" s="1083" t="s">
        <v>216</v>
      </c>
      <c r="C86" s="713" t="s">
        <v>217</v>
      </c>
      <c r="D86" s="981">
        <v>52229.372499999998</v>
      </c>
      <c r="E86" s="981">
        <v>2226799.2963999999</v>
      </c>
      <c r="F86" s="57">
        <f>G86/E86</f>
        <v>22.693612150720995</v>
      </c>
      <c r="G86" s="989">
        <v>50534119.57</v>
      </c>
      <c r="H86" s="447"/>
      <c r="I86" s="996">
        <v>1256870</v>
      </c>
      <c r="J86" s="917"/>
      <c r="K86" s="109"/>
      <c r="L86" s="120"/>
      <c r="M86" s="120"/>
      <c r="N86" s="44">
        <f>SUM(G86:M86)</f>
        <v>51790989.57</v>
      </c>
      <c r="O86" s="21"/>
      <c r="P86" s="24"/>
      <c r="Q86" s="24"/>
    </row>
    <row r="87" spans="1:19" ht="13.5" customHeight="1">
      <c r="A87" s="4"/>
      <c r="B87" s="1089"/>
      <c r="C87" s="153" t="s">
        <v>88</v>
      </c>
      <c r="D87" s="939"/>
      <c r="E87" s="944"/>
      <c r="F87" s="58"/>
      <c r="G87" s="989">
        <v>-5082221.57</v>
      </c>
      <c r="H87" s="506"/>
      <c r="I87" s="918"/>
      <c r="J87" s="918"/>
      <c r="K87" s="106"/>
      <c r="L87" s="121"/>
      <c r="M87" s="121"/>
      <c r="N87" s="44">
        <f>SUM(G87:M87)</f>
        <v>-5082221.57</v>
      </c>
      <c r="O87" s="21"/>
      <c r="P87" s="24"/>
      <c r="Q87" s="24"/>
    </row>
    <row r="88" spans="1:19" ht="13.5" customHeight="1">
      <c r="A88" s="4"/>
      <c r="B88" s="1090"/>
      <c r="C88" s="661" t="s">
        <v>382</v>
      </c>
      <c r="D88" s="650">
        <f>D86</f>
        <v>52229.372499999998</v>
      </c>
      <c r="E88" s="647">
        <f>E86</f>
        <v>2226799.2963999999</v>
      </c>
      <c r="F88" s="651">
        <f>G88/E88</f>
        <v>20.411313257319925</v>
      </c>
      <c r="G88" s="652">
        <f>SUM(G86:G87)</f>
        <v>45451898</v>
      </c>
      <c r="H88" s="654">
        <f>SUM(H86)</f>
        <v>0</v>
      </c>
      <c r="I88" s="649">
        <f>SUM(I86)</f>
        <v>1256870</v>
      </c>
      <c r="J88" s="654">
        <v>0</v>
      </c>
      <c r="K88" s="654">
        <f>SUM(K86)</f>
        <v>0</v>
      </c>
      <c r="L88" s="654">
        <f>SUM(L86)</f>
        <v>0</v>
      </c>
      <c r="M88" s="654">
        <v>0</v>
      </c>
      <c r="N88" s="642">
        <f>SUM(N86:N87)</f>
        <v>46708768</v>
      </c>
      <c r="O88" s="21"/>
      <c r="P88" s="205" t="s">
        <v>229</v>
      </c>
      <c r="Q88" s="206" t="s">
        <v>228</v>
      </c>
      <c r="R88" s="206" t="s">
        <v>227</v>
      </c>
      <c r="S88" s="195"/>
    </row>
    <row r="89" spans="1:19" ht="18" customHeight="1">
      <c r="A89" s="152"/>
      <c r="B89" s="1097" t="s">
        <v>36</v>
      </c>
      <c r="C89" s="1098"/>
      <c r="D89" s="134">
        <f>D88+D85+D78+D73+D70+D57+D54+D44+D83</f>
        <v>70609180.144099995</v>
      </c>
      <c r="E89" s="134">
        <f>E88+E85+E78+E73+E70+E57+E54+E44+E83</f>
        <v>3009471455.3629999</v>
      </c>
      <c r="F89" s="59">
        <f>G89/E89</f>
        <v>22.254507820185193</v>
      </c>
      <c r="G89" s="101">
        <f>G88+G85+G83+G78+G73+G70+G57+G54+G44</f>
        <v>66974306038</v>
      </c>
      <c r="H89" s="701">
        <f>H88+H85+H78+H73+H70+H57+H54+H44+H83</f>
        <v>1051128020</v>
      </c>
      <c r="I89" s="701">
        <f>I88+I85+I78+I73+I70+I57+I54+I44+I83</f>
        <v>278612560</v>
      </c>
      <c r="J89" s="701">
        <f>J88+J85+J78+J73+J70+J57+J54+J44+J83</f>
        <v>25488300</v>
      </c>
      <c r="K89" s="178">
        <f>P99</f>
        <v>6779611362</v>
      </c>
      <c r="L89" s="100">
        <f>P95</f>
        <v>27657476</v>
      </c>
      <c r="M89" s="100">
        <f>P96</f>
        <v>2545890</v>
      </c>
      <c r="N89" s="179">
        <f>SUM(G89:M89)</f>
        <v>75139349646</v>
      </c>
      <c r="O89" s="21"/>
      <c r="P89" s="196" t="s">
        <v>225</v>
      </c>
      <c r="Q89" s="197">
        <f>SUMIFS($N:$N,$C:$C,"계")</f>
        <v>68329534918</v>
      </c>
      <c r="R89" s="197">
        <f>SUM(G89:J89)</f>
        <v>68329534918</v>
      </c>
      <c r="S89" s="198" t="b">
        <f>Q89=R89</f>
        <v>1</v>
      </c>
    </row>
    <row r="90" spans="1:19" ht="18" customHeight="1">
      <c r="A90" s="1099" t="s">
        <v>68</v>
      </c>
      <c r="B90" s="1100"/>
      <c r="C90" s="1101"/>
      <c r="D90" s="136">
        <f>D13-D89+D56</f>
        <v>25939853.563400079</v>
      </c>
      <c r="E90" s="137">
        <f>E13-E89+E56</f>
        <v>1097951956.0673006</v>
      </c>
      <c r="F90" s="60"/>
      <c r="G90" s="53"/>
      <c r="H90" s="442"/>
      <c r="I90" s="442"/>
      <c r="J90" s="442"/>
      <c r="K90" s="46"/>
      <c r="L90" s="46"/>
      <c r="M90" s="46"/>
      <c r="N90" s="35"/>
      <c r="O90" s="21"/>
      <c r="P90" s="199" t="s">
        <v>226</v>
      </c>
      <c r="Q90" s="197">
        <f>N89-Q89</f>
        <v>6809814728</v>
      </c>
      <c r="R90" s="200">
        <f>SUM(K89:M89)</f>
        <v>6809814728</v>
      </c>
      <c r="S90" s="198" t="b">
        <f>Q90=R90</f>
        <v>1</v>
      </c>
    </row>
    <row r="91" spans="1:19" ht="18" customHeight="1" thickBot="1">
      <c r="A91" s="1102" t="s">
        <v>69</v>
      </c>
      <c r="B91" s="1103"/>
      <c r="C91" s="1104"/>
      <c r="D91" s="138">
        <f>D17-D56</f>
        <v>-23807.079999999958</v>
      </c>
      <c r="E91" s="138">
        <f>E17-E56</f>
        <v>-1110668.897499999</v>
      </c>
      <c r="F91" s="61"/>
      <c r="G91" s="436"/>
      <c r="H91" s="452"/>
      <c r="I91" s="452"/>
      <c r="J91" s="452"/>
      <c r="K91" s="37"/>
      <c r="L91" s="37"/>
      <c r="M91" s="37"/>
      <c r="N91" s="38"/>
      <c r="O91" s="21"/>
      <c r="P91" s="201" t="s">
        <v>230</v>
      </c>
      <c r="Q91" s="202">
        <f>Q89+Q90</f>
        <v>75139349646</v>
      </c>
      <c r="R91" s="203">
        <f>R89+R90</f>
        <v>75139349646</v>
      </c>
      <c r="S91" s="204" t="b">
        <f>Q91=R91</f>
        <v>1</v>
      </c>
    </row>
    <row r="92" spans="1:19" ht="18" customHeight="1">
      <c r="A92" s="3"/>
      <c r="B92" s="3"/>
      <c r="C92" s="3"/>
      <c r="D92" s="6"/>
      <c r="E92" s="6" t="s">
        <v>51</v>
      </c>
      <c r="F92" s="1096">
        <f>E89/F93</f>
        <v>0.96913470870390728</v>
      </c>
      <c r="G92" s="1096"/>
      <c r="H92" s="15"/>
      <c r="I92" s="6"/>
      <c r="J92" s="6"/>
      <c r="K92" s="6"/>
      <c r="L92" s="50"/>
      <c r="M92" s="43"/>
      <c r="N92" s="6"/>
      <c r="O92" s="21"/>
    </row>
    <row r="93" spans="1:19" ht="18" customHeight="1">
      <c r="A93" s="3"/>
      <c r="B93" s="3"/>
      <c r="C93" s="147"/>
      <c r="D93" s="6"/>
      <c r="E93" s="3" t="str">
        <f>'판매량-월별추이'!R4&amp;" 판매계획:"</f>
        <v>5월  판매계획:</v>
      </c>
      <c r="F93" s="1095">
        <f>ROUND(총괄표!C23*1000,-3)</f>
        <v>3105318000</v>
      </c>
      <c r="G93" s="1095"/>
      <c r="H93" s="1088"/>
      <c r="I93" s="1088"/>
      <c r="J93" s="6"/>
      <c r="K93" s="6"/>
      <c r="L93" s="36"/>
      <c r="M93" s="43"/>
      <c r="N93" s="82"/>
      <c r="O93" s="21"/>
    </row>
    <row r="94" spans="1:19" ht="18" customHeight="1">
      <c r="C94" s="146"/>
      <c r="D94" s="139"/>
      <c r="E94" s="3"/>
      <c r="F94" s="705"/>
      <c r="G94" s="437"/>
      <c r="H94" s="706"/>
      <c r="I94" s="707"/>
      <c r="J94" s="707"/>
      <c r="K94" s="692" t="s">
        <v>52</v>
      </c>
      <c r="L94" s="693">
        <f>-SUMIFS($G:$G,$C:$C,"사회복지시설할인액")</f>
        <v>52889728</v>
      </c>
      <c r="M94" s="692" t="s">
        <v>53</v>
      </c>
      <c r="N94" s="998">
        <v>5032116</v>
      </c>
      <c r="O94" s="21"/>
      <c r="P94" s="682" t="s">
        <v>85</v>
      </c>
      <c r="Q94" s="683" t="s">
        <v>86</v>
      </c>
      <c r="R94" s="683" t="s">
        <v>191</v>
      </c>
      <c r="S94" s="684" t="s">
        <v>93</v>
      </c>
    </row>
    <row r="95" spans="1:19" ht="18" customHeight="1">
      <c r="C95" s="208"/>
      <c r="G95" s="708"/>
      <c r="H95" s="707"/>
      <c r="I95" s="707"/>
      <c r="J95" s="707"/>
      <c r="K95" s="694" t="s">
        <v>48</v>
      </c>
      <c r="L95" s="743">
        <f>-SUMIFS($G:$G,$C:$C,"사회적배려 할인액")</f>
        <v>984117539</v>
      </c>
      <c r="M95" s="696" t="s">
        <v>54</v>
      </c>
      <c r="N95" s="999">
        <v>77981150</v>
      </c>
      <c r="O95" s="21"/>
      <c r="P95" s="685">
        <f>(Q95-R95)*S95</f>
        <v>27657476</v>
      </c>
      <c r="Q95" s="686">
        <f>I89</f>
        <v>278612560</v>
      </c>
      <c r="R95" s="1000">
        <v>2037800</v>
      </c>
      <c r="S95" s="687">
        <v>0.1</v>
      </c>
    </row>
    <row r="96" spans="1:19" ht="18" customHeight="1">
      <c r="C96" s="207"/>
      <c r="D96" s="21"/>
      <c r="E96" s="21"/>
      <c r="G96" s="708"/>
      <c r="H96" s="707"/>
      <c r="I96" s="707"/>
      <c r="J96" s="707"/>
      <c r="K96" s="694" t="s">
        <v>78</v>
      </c>
      <c r="L96" s="695">
        <f>-SUMIFS($G:$G,$C:$C,K96)</f>
        <v>3612375</v>
      </c>
      <c r="M96" s="694" t="s">
        <v>55</v>
      </c>
      <c r="N96" s="999">
        <v>247806830</v>
      </c>
      <c r="O96" s="21"/>
      <c r="P96" s="685">
        <f>(Q96-R96)*S95</f>
        <v>2545890</v>
      </c>
      <c r="Q96" s="686">
        <f>J89</f>
        <v>25488300</v>
      </c>
      <c r="R96" s="1000">
        <v>29400</v>
      </c>
      <c r="S96" s="688"/>
    </row>
    <row r="97" spans="1:19" ht="18" customHeight="1">
      <c r="C97" s="208"/>
      <c r="D97" s="1086"/>
      <c r="E97" s="1087"/>
      <c r="G97" s="708"/>
      <c r="H97" s="707"/>
      <c r="I97" s="707"/>
      <c r="J97" s="707"/>
      <c r="K97" s="697" t="s">
        <v>90</v>
      </c>
      <c r="L97" s="698">
        <f>-SUMIFS($G:$G,$C:$C,K97)</f>
        <v>2743431</v>
      </c>
      <c r="M97" s="699"/>
      <c r="N97" s="700"/>
      <c r="O97" s="21"/>
      <c r="P97" s="685" t="s">
        <v>104</v>
      </c>
      <c r="Q97" s="686" t="s">
        <v>79</v>
      </c>
      <c r="R97" s="686" t="s">
        <v>85</v>
      </c>
      <c r="S97" s="688"/>
    </row>
    <row r="98" spans="1:19" ht="18" customHeight="1">
      <c r="A98" s="2" t="s">
        <v>364</v>
      </c>
      <c r="C98" s="5"/>
      <c r="D98" s="1113"/>
      <c r="E98" s="1114"/>
      <c r="G98" s="708"/>
      <c r="H98" s="707"/>
      <c r="I98" s="707"/>
      <c r="J98" s="707"/>
      <c r="M98" s="16"/>
      <c r="N98" s="718"/>
      <c r="O98" s="21"/>
      <c r="P98" s="685">
        <f>(Q98-R98)</f>
        <v>6782157252</v>
      </c>
      <c r="Q98" s="1000">
        <v>6809814728</v>
      </c>
      <c r="R98" s="686">
        <f>P95</f>
        <v>27657476</v>
      </c>
      <c r="S98" s="688"/>
    </row>
    <row r="99" spans="1:19" ht="15" customHeight="1">
      <c r="G99" s="634"/>
      <c r="I99" s="15"/>
      <c r="J99" s="15"/>
      <c r="K99" s="6"/>
      <c r="L99" s="15"/>
      <c r="M99" s="15"/>
      <c r="N99" s="6"/>
      <c r="O99" s="21"/>
      <c r="P99" s="689">
        <f>Q98-R98-R99</f>
        <v>6779611362</v>
      </c>
      <c r="Q99" s="690"/>
      <c r="R99" s="690">
        <f>P96</f>
        <v>2545890</v>
      </c>
      <c r="S99" s="691"/>
    </row>
    <row r="100" spans="1:19" ht="15" customHeight="1">
      <c r="G100" s="431"/>
      <c r="H100" s="633"/>
      <c r="I100" s="453"/>
      <c r="J100" s="453"/>
      <c r="K100" s="6"/>
      <c r="L100" s="15"/>
      <c r="M100" s="16"/>
      <c r="N100" s="6"/>
      <c r="P100" s="3"/>
      <c r="Q100"/>
      <c r="R100" s="3"/>
      <c r="S100" s="3"/>
    </row>
    <row r="101" spans="1:19" ht="15" customHeight="1">
      <c r="E101" s="624"/>
      <c r="I101" s="15"/>
      <c r="J101" s="15"/>
      <c r="K101" s="6"/>
      <c r="L101" s="16"/>
      <c r="M101" s="16"/>
      <c r="N101" s="6"/>
      <c r="P101" s="3"/>
      <c r="Q101" s="3"/>
      <c r="R101" s="3"/>
      <c r="S101" s="3"/>
    </row>
    <row r="102" spans="1:19" ht="15" customHeight="1">
      <c r="P102" s="3"/>
      <c r="Q102" s="3"/>
      <c r="R102" s="3"/>
      <c r="S102" s="3"/>
    </row>
    <row r="103" spans="1:19" ht="15" customHeight="1">
      <c r="C103" s="488" t="s">
        <v>232</v>
      </c>
      <c r="D103" s="489" t="s">
        <v>111</v>
      </c>
      <c r="E103" s="489" t="s">
        <v>112</v>
      </c>
      <c r="F103" s="1111" t="s">
        <v>3</v>
      </c>
      <c r="G103" s="1112"/>
      <c r="J103" s="5" t="s">
        <v>394</v>
      </c>
      <c r="O103" s="709" t="s">
        <v>80</v>
      </c>
      <c r="P103" s="3"/>
      <c r="Q103" s="3"/>
      <c r="R103" s="3"/>
      <c r="S103" s="3"/>
    </row>
    <row r="104" spans="1:19" ht="15" customHeight="1">
      <c r="C104" s="490" t="s">
        <v>361</v>
      </c>
      <c r="D104" s="491">
        <f>SUMIFS(D:D,$B:$B,"합계")-SUMIFS(D:D,$C:$C,"수송용(BIO)")</f>
        <v>70326306.2641</v>
      </c>
      <c r="E104" s="491">
        <f>SUMIFS(E:E,$B:$B,"합계")-SUMIFS(E:E,$C:$C,"수송용(BIO)")</f>
        <v>2997507087.2473001</v>
      </c>
      <c r="F104" s="1105">
        <f>SUMIFS(G:G,$B:$B,"합계")+SUMIFS(H:H,$B:$B,"합계")-SUMIFS(G:G,$C:$C,"수송용(BIO)")</f>
        <v>67752943807</v>
      </c>
      <c r="G104" s="1106"/>
      <c r="P104" s="3"/>
      <c r="Q104" s="3"/>
      <c r="R104" s="3"/>
      <c r="S104" s="3"/>
    </row>
    <row r="105" spans="1:19" ht="15" customHeight="1">
      <c r="C105" s="490" t="s">
        <v>360</v>
      </c>
      <c r="D105" s="491">
        <f>SUMIFS(D:D,$C:$C,"수송용(BIO)")</f>
        <v>282873.88</v>
      </c>
      <c r="E105" s="491">
        <f>SUMIFS(E:E,$C:$C,"수송용(BIO)")</f>
        <v>11964368.115700001</v>
      </c>
      <c r="F105" s="1107">
        <f>SUMIFS(G:G,$C:$C,"수송용(BIO)")</f>
        <v>272490251</v>
      </c>
      <c r="G105" s="1108"/>
      <c r="P105" s="3"/>
      <c r="Q105" s="3"/>
      <c r="R105" s="3"/>
      <c r="S105" s="3"/>
    </row>
    <row r="106" spans="1:19" ht="15" customHeight="1">
      <c r="C106" s="492" t="s">
        <v>1</v>
      </c>
      <c r="D106" s="493">
        <f>SUM(D104:D105)</f>
        <v>70609180.144099995</v>
      </c>
      <c r="E106" s="494">
        <f>SUM(E104:E105)-0</f>
        <v>3009471455.3629999</v>
      </c>
      <c r="F106" s="1109">
        <f>F104+F105</f>
        <v>68025434058</v>
      </c>
      <c r="G106" s="1110"/>
      <c r="P106" s="3"/>
      <c r="Q106" s="3"/>
      <c r="R106" s="3"/>
      <c r="S106" s="3"/>
    </row>
    <row r="107" spans="1:19" ht="15" customHeight="1">
      <c r="P107" s="671" t="s">
        <v>99</v>
      </c>
      <c r="Q107" s="672"/>
      <c r="R107" s="672"/>
      <c r="S107" s="673"/>
    </row>
    <row r="108" spans="1:19" ht="15" customHeight="1">
      <c r="P108" s="674" t="s">
        <v>98</v>
      </c>
      <c r="Q108" s="675" t="s">
        <v>92</v>
      </c>
      <c r="R108" s="675" t="s">
        <v>93</v>
      </c>
      <c r="S108" s="676" t="s">
        <v>97</v>
      </c>
    </row>
    <row r="109" spans="1:19" ht="15" customHeight="1">
      <c r="P109" s="674" t="s">
        <v>94</v>
      </c>
      <c r="Q109" s="677">
        <f>Q95-(Q110)</f>
        <v>94100780</v>
      </c>
      <c r="R109" s="677">
        <f>P95-R110</f>
        <v>9206298</v>
      </c>
      <c r="S109" s="678">
        <f>Q109+R109</f>
        <v>103307078</v>
      </c>
    </row>
    <row r="110" spans="1:19" ht="15" customHeight="1">
      <c r="P110" s="674" t="s">
        <v>95</v>
      </c>
      <c r="Q110" s="1001">
        <v>184511780</v>
      </c>
      <c r="R110" s="677">
        <f>Q110*10%</f>
        <v>18451178</v>
      </c>
      <c r="S110" s="678">
        <f>Q110+R110</f>
        <v>202962958</v>
      </c>
    </row>
    <row r="111" spans="1:19" ht="15" customHeight="1">
      <c r="P111" s="679" t="s">
        <v>96</v>
      </c>
      <c r="Q111" s="680">
        <f>SUM(Q109:Q110)</f>
        <v>278612560</v>
      </c>
      <c r="R111" s="680">
        <f>SUM(R109:R110)</f>
        <v>27657476</v>
      </c>
      <c r="S111" s="681">
        <f>SUM(S109:S110)</f>
        <v>306270036</v>
      </c>
    </row>
    <row r="113" spans="18:19" ht="15" customHeight="1">
      <c r="R113" s="215"/>
      <c r="S113" s="215"/>
    </row>
    <row r="114" spans="18:19" ht="15" customHeight="1">
      <c r="R114" s="215"/>
      <c r="S114" s="215"/>
    </row>
  </sheetData>
  <mergeCells count="31">
    <mergeCell ref="F104:G104"/>
    <mergeCell ref="F105:G105"/>
    <mergeCell ref="F106:G106"/>
    <mergeCell ref="F103:G103"/>
    <mergeCell ref="B45:B54"/>
    <mergeCell ref="D98:E98"/>
    <mergeCell ref="B86:B88"/>
    <mergeCell ref="B18:B44"/>
    <mergeCell ref="D97:E97"/>
    <mergeCell ref="H93:I93"/>
    <mergeCell ref="B58:B70"/>
    <mergeCell ref="B74:B78"/>
    <mergeCell ref="B79:B83"/>
    <mergeCell ref="B84:B85"/>
    <mergeCell ref="B55:B57"/>
    <mergeCell ref="B71:B73"/>
    <mergeCell ref="F93:G93"/>
    <mergeCell ref="F92:G92"/>
    <mergeCell ref="B89:C89"/>
    <mergeCell ref="A90:C90"/>
    <mergeCell ref="A91:C91"/>
    <mergeCell ref="A4:N4"/>
    <mergeCell ref="N7:N8"/>
    <mergeCell ref="A7:A8"/>
    <mergeCell ref="B7:C8"/>
    <mergeCell ref="H7:H8"/>
    <mergeCell ref="M7:M8"/>
    <mergeCell ref="L7:L8"/>
    <mergeCell ref="K7:K8"/>
    <mergeCell ref="J7:J8"/>
    <mergeCell ref="I7:I8"/>
  </mergeCells>
  <phoneticPr fontId="34" type="noConversion"/>
  <conditionalFormatting sqref="S89:S91">
    <cfRule type="cellIs" dxfId="3" priority="1" operator="equal">
      <formula>TRUE</formula>
    </cfRule>
  </conditionalFormatting>
  <printOptions horizontalCentered="1"/>
  <pageMargins left="0.23622047244094491" right="0.15748031496062992" top="0.86614173228346458" bottom="0.19685039370078741" header="0" footer="0"/>
  <pageSetup paperSize="8" scale="75" orientation="portrait" r:id="rId1"/>
  <headerFooter alignWithMargins="0"/>
  <rowBreaks count="1" manualBreakCount="1">
    <brk id="34" max="16383" man="1"/>
  </rowBreaks>
  <cellWatches>
    <cellWatch r="G85"/>
  </cellWatches>
  <ignoredErrors>
    <ignoredError sqref="D12:E12 M31" formulaRange="1"/>
    <ignoredError sqref="F23 N23 F31 N31 F36 F40 F43:F44 F49 N49 F53:F54 H53 F57 N57 F62 F69:F70 F73 N73 F78 H78 N78 F83 F85 H85 N85 N88" formula="1"/>
    <ignoredError sqref="F37 F41 F46" evalError="1"/>
  </ignoredErrors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BCA3838-6BF5-4457-A85A-2EEF5C0D121D}">
  <dimension ref="A1:Z97"/>
  <sheetViews>
    <sheetView zoomScaleNormal="100" workbookViewId="0">
      <selection activeCell="E13" sqref="E13"/>
    </sheetView>
  </sheetViews>
  <sheetFormatPr defaultColWidth="8.88671875" defaultRowHeight="12.75" customHeight="1"/>
  <cols>
    <col min="1" max="1" width="1.6640625" style="1" customWidth="1"/>
    <col min="2" max="2" width="6.33203125" style="1" customWidth="1"/>
    <col min="3" max="3" width="7.33203125" style="1" customWidth="1"/>
    <col min="4" max="4" width="5.33203125" style="1" customWidth="1"/>
    <col min="5" max="5" width="18" style="1" bestFit="1" customWidth="1"/>
    <col min="6" max="6" width="12.5546875" style="1" hidden="1" customWidth="1"/>
    <col min="7" max="7" width="14.44140625" style="1" bestFit="1" customWidth="1"/>
    <col min="8" max="10" width="12.5546875" style="1" hidden="1" customWidth="1"/>
    <col min="11" max="11" width="13.21875" style="1" customWidth="1"/>
    <col min="12" max="12" width="17.109375" style="1" customWidth="1"/>
    <col min="13" max="13" width="11" style="1" customWidth="1"/>
    <col min="14" max="14" width="3.109375" style="1" customWidth="1"/>
    <col min="15" max="15" width="4.109375" style="1" customWidth="1"/>
    <col min="16" max="16" width="3.88671875" style="1" customWidth="1"/>
    <col min="17" max="17" width="12.77734375" style="1" customWidth="1"/>
    <col min="18" max="18" width="3.21875" style="1" customWidth="1"/>
    <col min="19" max="20" width="8.88671875" style="1"/>
    <col min="21" max="21" width="13.21875" style="1" bestFit="1" customWidth="1"/>
    <col min="22" max="22" width="8.88671875" style="1"/>
    <col min="23" max="23" width="15.109375" style="1" bestFit="1" customWidth="1"/>
    <col min="24" max="24" width="10.21875" style="1" bestFit="1" customWidth="1"/>
    <col min="25" max="16384" width="8.88671875" style="1"/>
  </cols>
  <sheetData>
    <row r="1" spans="1:26" ht="27" customHeight="1">
      <c r="B1" s="763" t="str">
        <f>"한국가스공사 제출용 구성비 ("&amp;LEFT(총괄표!A2,9)&amp;")"</f>
        <v>한국가스공사 제출용 구성비 (2025년 5월 )</v>
      </c>
      <c r="C1" s="763"/>
      <c r="D1" s="763"/>
      <c r="E1" s="763"/>
      <c r="F1" s="763"/>
      <c r="G1" s="763"/>
      <c r="H1" s="763"/>
      <c r="I1" s="763"/>
      <c r="J1" s="763"/>
      <c r="K1" s="763"/>
      <c r="L1" s="763"/>
      <c r="M1" s="763"/>
      <c r="S1" s="1145" t="s">
        <v>404</v>
      </c>
      <c r="T1" s="1145"/>
      <c r="U1" s="1145"/>
      <c r="V1" s="1145"/>
      <c r="W1" s="1145"/>
      <c r="X1" s="1145"/>
      <c r="Y1" s="1145"/>
      <c r="Z1" s="1145"/>
    </row>
    <row r="2" spans="1:26" ht="12.75" customHeight="1" thickBot="1">
      <c r="S2" s="1145"/>
      <c r="T2" s="1145"/>
      <c r="U2" s="1145"/>
      <c r="V2" s="1145"/>
      <c r="W2" s="1145"/>
      <c r="X2" s="1145"/>
      <c r="Y2" s="1145"/>
      <c r="Z2" s="1145"/>
    </row>
    <row r="3" spans="1:26" ht="24.75" customHeight="1">
      <c r="A3" s="764"/>
      <c r="B3" s="1146" t="s">
        <v>405</v>
      </c>
      <c r="C3" s="1147"/>
      <c r="D3" s="1148"/>
      <c r="E3" s="765" t="s">
        <v>406</v>
      </c>
      <c r="F3" s="765" t="s">
        <v>407</v>
      </c>
      <c r="G3" s="765" t="s">
        <v>29</v>
      </c>
      <c r="H3" s="765" t="s">
        <v>48</v>
      </c>
      <c r="I3" s="765" t="s">
        <v>408</v>
      </c>
      <c r="J3" s="765" t="s">
        <v>409</v>
      </c>
      <c r="K3" s="765" t="s">
        <v>30</v>
      </c>
      <c r="L3" s="765" t="s">
        <v>410</v>
      </c>
      <c r="M3" s="766" t="s">
        <v>411</v>
      </c>
      <c r="N3" s="2"/>
      <c r="Q3" s="767" t="s">
        <v>30</v>
      </c>
      <c r="S3" s="1145"/>
      <c r="T3" s="1145"/>
      <c r="U3" s="1145"/>
      <c r="V3" s="1145"/>
      <c r="W3" s="1145"/>
      <c r="X3" s="1145"/>
      <c r="Y3" s="1145"/>
      <c r="Z3" s="1145"/>
    </row>
    <row r="4" spans="1:26" ht="24.75" customHeight="1">
      <c r="A4" s="764"/>
      <c r="B4" s="1149"/>
      <c r="C4" s="1150"/>
      <c r="D4" s="1151"/>
      <c r="E4" s="768" t="s">
        <v>412</v>
      </c>
      <c r="F4" s="768" t="s">
        <v>412</v>
      </c>
      <c r="G4" s="768" t="s">
        <v>412</v>
      </c>
      <c r="H4" s="768" t="s">
        <v>412</v>
      </c>
      <c r="I4" s="768" t="s">
        <v>412</v>
      </c>
      <c r="J4" s="768" t="s">
        <v>412</v>
      </c>
      <c r="K4" s="768" t="s">
        <v>412</v>
      </c>
      <c r="L4" s="768" t="s">
        <v>412</v>
      </c>
      <c r="M4" s="769" t="s">
        <v>413</v>
      </c>
      <c r="N4" s="2"/>
      <c r="Q4" s="770" t="s">
        <v>412</v>
      </c>
      <c r="S4" s="1145"/>
      <c r="T4" s="1145"/>
      <c r="U4" s="1145"/>
      <c r="V4" s="1145"/>
      <c r="W4" s="1145"/>
      <c r="X4" s="1145"/>
      <c r="Y4" s="1145"/>
      <c r="Z4" s="1145"/>
    </row>
    <row r="5" spans="1:26" ht="27.75" customHeight="1">
      <c r="A5" s="764"/>
      <c r="B5" s="1152" t="s">
        <v>414</v>
      </c>
      <c r="C5" s="1155" t="s">
        <v>28</v>
      </c>
      <c r="D5" s="1156"/>
      <c r="E5" s="771">
        <f>ROUND((매출액표!E23-G5-H5-I5),0)</f>
        <v>20495201</v>
      </c>
      <c r="F5" s="772"/>
      <c r="G5" s="773">
        <f>ROUNDDOWN(('사회복지시설(MJ)'!D7),0)</f>
        <v>18321</v>
      </c>
      <c r="H5" s="774"/>
      <c r="I5" s="775"/>
      <c r="J5" s="775"/>
      <c r="K5" s="774"/>
      <c r="L5" s="776">
        <f>ROUND((E5+G5+K5),0)</f>
        <v>20513522</v>
      </c>
      <c r="M5" s="777">
        <f>ROUND(L5/$L$21*100,4)</f>
        <v>0.68430000000000002</v>
      </c>
      <c r="N5" s="2"/>
      <c r="Q5" s="778"/>
    </row>
    <row r="6" spans="1:26" ht="29.25" customHeight="1">
      <c r="A6" s="764"/>
      <c r="B6" s="1153"/>
      <c r="C6" s="1157" t="s">
        <v>156</v>
      </c>
      <c r="D6" s="1158"/>
      <c r="E6" s="779">
        <f>ROUND((매출액표!E31+매출액표!E36-G6-H6-I6),0)</f>
        <v>1564578125</v>
      </c>
      <c r="F6" s="780"/>
      <c r="G6" s="781">
        <f>ROUNDDOWN(('사회복지시설(MJ)'!D10),0)</f>
        <v>1368619</v>
      </c>
      <c r="H6" s="782"/>
      <c r="I6" s="782"/>
      <c r="J6" s="782"/>
      <c r="K6" s="782"/>
      <c r="L6" s="779">
        <f>ROUND((E6+G6+K6),0)</f>
        <v>1565946744</v>
      </c>
      <c r="M6" s="783">
        <f>ROUND(L6/$L$21*100,4)+0.0001</f>
        <v>52.240500000000004</v>
      </c>
      <c r="N6" s="2"/>
      <c r="Q6" s="784"/>
      <c r="S6" s="785"/>
      <c r="T6" s="786" t="s">
        <v>415</v>
      </c>
      <c r="U6" s="787"/>
    </row>
    <row r="7" spans="1:26" ht="27.75" customHeight="1">
      <c r="A7" s="764"/>
      <c r="B7" s="1153"/>
      <c r="C7" s="1157" t="s">
        <v>416</v>
      </c>
      <c r="D7" s="1158"/>
      <c r="E7" s="788">
        <f>ROUND((매출액표!E40-G7-H7-I7),0)</f>
        <v>26083835</v>
      </c>
      <c r="F7" s="789"/>
      <c r="G7" s="790"/>
      <c r="H7" s="791"/>
      <c r="I7" s="782"/>
      <c r="J7" s="782"/>
      <c r="K7" s="782"/>
      <c r="L7" s="779">
        <f>ROUND((E7+G7+K7),0)</f>
        <v>26083835</v>
      </c>
      <c r="M7" s="783">
        <f>ROUND(L7/$L$21*100,4)</f>
        <v>0.87019999999999997</v>
      </c>
      <c r="N7" s="2"/>
      <c r="Q7" s="792"/>
      <c r="S7" s="785"/>
      <c r="T7" s="793" t="s">
        <v>417</v>
      </c>
      <c r="U7" s="787"/>
    </row>
    <row r="8" spans="1:26" ht="27.75" customHeight="1">
      <c r="A8" s="764"/>
      <c r="B8" s="1153"/>
      <c r="C8" s="1157" t="s">
        <v>157</v>
      </c>
      <c r="D8" s="1158"/>
      <c r="E8" s="794">
        <f>ROUND((매출액표!E43-G8-H8-I8),0)</f>
        <v>10496608</v>
      </c>
      <c r="F8" s="795"/>
      <c r="G8" s="790"/>
      <c r="H8" s="791"/>
      <c r="I8" s="782"/>
      <c r="J8" s="782"/>
      <c r="K8" s="796"/>
      <c r="L8" s="779">
        <f>ROUND((E8+G8+K8),0)</f>
        <v>10496608</v>
      </c>
      <c r="M8" s="797">
        <f>ROUND(L8/$L$21*100,4)</f>
        <v>0.35020000000000001</v>
      </c>
      <c r="N8" s="2"/>
      <c r="Q8" s="798"/>
      <c r="S8" s="785"/>
      <c r="T8" s="793" t="s">
        <v>418</v>
      </c>
      <c r="U8" s="787"/>
    </row>
    <row r="9" spans="1:26" ht="27.75" customHeight="1">
      <c r="A9" s="764"/>
      <c r="B9" s="1154"/>
      <c r="C9" s="1159" t="s">
        <v>419</v>
      </c>
      <c r="D9" s="1160"/>
      <c r="E9" s="799">
        <f t="shared" ref="E9:J9" si="0">SUM(E5:E8)</f>
        <v>1621653769</v>
      </c>
      <c r="F9" s="799">
        <f>SUM(F5:F8)</f>
        <v>0</v>
      </c>
      <c r="G9" s="800">
        <f>SUM(G5:G8)</f>
        <v>1386940</v>
      </c>
      <c r="H9" s="801">
        <f t="shared" si="0"/>
        <v>0</v>
      </c>
      <c r="I9" s="801">
        <f t="shared" si="0"/>
        <v>0</v>
      </c>
      <c r="J9" s="801">
        <f t="shared" si="0"/>
        <v>0</v>
      </c>
      <c r="K9" s="801"/>
      <c r="L9" s="799">
        <f>SUM(L5:L8)</f>
        <v>1623040709</v>
      </c>
      <c r="M9" s="802">
        <f>SUM(M5:M8)</f>
        <v>54.145200000000003</v>
      </c>
      <c r="N9" s="2"/>
      <c r="Q9" s="803">
        <f>SUM(Q5:Q8)</f>
        <v>0</v>
      </c>
      <c r="S9" s="785"/>
      <c r="T9" s="793" t="s">
        <v>420</v>
      </c>
      <c r="U9" s="787"/>
    </row>
    <row r="10" spans="1:26" ht="33" hidden="1" customHeight="1">
      <c r="A10" s="764"/>
      <c r="B10" s="1161" t="s">
        <v>385</v>
      </c>
      <c r="C10" s="804" t="s">
        <v>421</v>
      </c>
      <c r="D10" s="805"/>
      <c r="E10" s="771">
        <f>ROUND((매출액표!E49-G10),0)</f>
        <v>207239913</v>
      </c>
      <c r="F10" s="776"/>
      <c r="G10" s="774">
        <f>ROUND(('사회복지시설(MJ)'!D21),0)</f>
        <v>4918215</v>
      </c>
      <c r="H10" s="774"/>
      <c r="I10" s="774"/>
      <c r="J10" s="774"/>
      <c r="K10" s="774">
        <f>ROUND(Q10,0)</f>
        <v>6310</v>
      </c>
      <c r="L10" s="776">
        <f>ROUND((E10+F10+G10+K10+H10),0)</f>
        <v>212164438</v>
      </c>
      <c r="M10" s="777">
        <f>ROUND(L10/$L$21*100,4)</f>
        <v>7.0778999999999996</v>
      </c>
      <c r="N10" s="2"/>
      <c r="Q10" s="806">
        <f>Q12</f>
        <v>6309.98</v>
      </c>
      <c r="S10" s="785"/>
      <c r="T10" s="785"/>
      <c r="U10" s="787"/>
      <c r="W10" s="807"/>
    </row>
    <row r="11" spans="1:26" ht="33" hidden="1" customHeight="1">
      <c r="A11" s="764"/>
      <c r="B11" s="1162"/>
      <c r="C11" s="808" t="s">
        <v>422</v>
      </c>
      <c r="D11" s="809"/>
      <c r="E11" s="794">
        <f>ROUND((매출액표!E53-G11),0)</f>
        <v>76864293</v>
      </c>
      <c r="F11" s="779"/>
      <c r="G11" s="810"/>
      <c r="H11" s="810"/>
      <c r="I11" s="810"/>
      <c r="J11" s="810"/>
      <c r="K11" s="810"/>
      <c r="L11" s="779">
        <f>ROUND((E11+F11+G11+K11+H11),0)</f>
        <v>76864293</v>
      </c>
      <c r="M11" s="811">
        <f>ROUND(L11/$L$21*100,4)</f>
        <v>2.5642</v>
      </c>
      <c r="N11" s="2"/>
      <c r="Q11" s="812">
        <v>0</v>
      </c>
      <c r="S11" s="785"/>
      <c r="T11" s="785"/>
      <c r="U11" s="787"/>
    </row>
    <row r="12" spans="1:26" ht="33" customHeight="1">
      <c r="A12" s="764"/>
      <c r="B12" s="1144" t="s">
        <v>167</v>
      </c>
      <c r="C12" s="1133"/>
      <c r="D12" s="1134"/>
      <c r="E12" s="813">
        <f>SUM(E10:E11)</f>
        <v>284104206</v>
      </c>
      <c r="F12" s="813"/>
      <c r="G12" s="814">
        <f>'사회복지시설(MJ)'!D21</f>
        <v>4918215.1404999997</v>
      </c>
      <c r="H12" s="815">
        <f>SUM(H10:H11)</f>
        <v>0</v>
      </c>
      <c r="I12" s="815">
        <f>SUM(I10:I11)</f>
        <v>0</v>
      </c>
      <c r="J12" s="815"/>
      <c r="K12" s="815">
        <f>SUM(K10:K11)</f>
        <v>6310</v>
      </c>
      <c r="L12" s="813">
        <f>SUM(E12:K12)+1</f>
        <v>289028732.14050001</v>
      </c>
      <c r="M12" s="816">
        <f>SUM(M10:M11)</f>
        <v>9.6420999999999992</v>
      </c>
      <c r="N12" s="2"/>
      <c r="Q12" s="817">
        <f>자가소모!E4</f>
        <v>6309.98</v>
      </c>
      <c r="S12" s="785"/>
      <c r="T12" s="785"/>
      <c r="U12" s="787"/>
    </row>
    <row r="13" spans="1:26" ht="33" customHeight="1">
      <c r="A13" s="764"/>
      <c r="B13" s="1144" t="s">
        <v>423</v>
      </c>
      <c r="C13" s="1133"/>
      <c r="D13" s="1134"/>
      <c r="E13" s="818">
        <f>ROUND((매출액표!E69-G13),0)+E68</f>
        <v>30658225</v>
      </c>
      <c r="F13" s="818"/>
      <c r="G13" s="819">
        <f>('사회복지시설(MJ)'!D17)</f>
        <v>193936.9252</v>
      </c>
      <c r="H13" s="814"/>
      <c r="I13" s="814"/>
      <c r="J13" s="814"/>
      <c r="K13" s="814">
        <f>ROUND(Q13,0)</f>
        <v>53038</v>
      </c>
      <c r="L13" s="818">
        <f t="shared" ref="L13:L20" si="1">ROUND((E13+G13+K13),0)</f>
        <v>30905200</v>
      </c>
      <c r="M13" s="820">
        <f t="shared" ref="M13:M20" si="2">ROUND(L13/$L$21*100,4)</f>
        <v>1.0309999999999999</v>
      </c>
      <c r="N13" s="2"/>
      <c r="Q13" s="821">
        <f>자가소모!E5</f>
        <v>53037.94</v>
      </c>
      <c r="S13" s="822"/>
      <c r="T13" s="785"/>
      <c r="U13" s="823"/>
    </row>
    <row r="14" spans="1:26" ht="33" customHeight="1">
      <c r="A14" s="764"/>
      <c r="B14" s="1144" t="s">
        <v>35</v>
      </c>
      <c r="C14" s="1133"/>
      <c r="D14" s="1134"/>
      <c r="E14" s="818">
        <f>ROUND((매출액표!E62-G14),0)</f>
        <v>28044532</v>
      </c>
      <c r="F14" s="818"/>
      <c r="G14" s="814">
        <f>('사회복지시설(MJ)'!D14)</f>
        <v>9645073.180399999</v>
      </c>
      <c r="H14" s="814"/>
      <c r="I14" s="814"/>
      <c r="J14" s="814"/>
      <c r="K14" s="814">
        <f>ROUND(Q14,0)</f>
        <v>12189</v>
      </c>
      <c r="L14" s="818">
        <f t="shared" si="1"/>
        <v>37701794</v>
      </c>
      <c r="M14" s="820">
        <f t="shared" si="2"/>
        <v>1.2577</v>
      </c>
      <c r="N14" s="2"/>
      <c r="Q14" s="821">
        <f>자가소모!E3+자가소모!E8+자가소모!E9</f>
        <v>12189.3465</v>
      </c>
      <c r="T14" s="824"/>
    </row>
    <row r="15" spans="1:26" ht="33" customHeight="1">
      <c r="A15" s="764"/>
      <c r="B15" s="1144" t="s">
        <v>403</v>
      </c>
      <c r="C15" s="1133"/>
      <c r="D15" s="1134"/>
      <c r="E15" s="818">
        <f>ROUND((매출액표!E73-G15),0)</f>
        <v>717448666</v>
      </c>
      <c r="F15" s="818"/>
      <c r="G15" s="814"/>
      <c r="H15" s="814"/>
      <c r="I15" s="814"/>
      <c r="J15" s="814"/>
      <c r="K15" s="814">
        <f t="shared" ref="K15:K18" si="3">ROUND(Q15,0)</f>
        <v>0</v>
      </c>
      <c r="L15" s="818">
        <f t="shared" si="1"/>
        <v>717448666</v>
      </c>
      <c r="M15" s="820">
        <f>ROUND(L15/$L$21*100,4)-0.0001</f>
        <v>23.934200000000001</v>
      </c>
      <c r="N15" s="2"/>
      <c r="Q15" s="821"/>
      <c r="U15" s="825"/>
    </row>
    <row r="16" spans="1:26" ht="33" customHeight="1">
      <c r="A16" s="764"/>
      <c r="B16" s="1144" t="s">
        <v>424</v>
      </c>
      <c r="C16" s="1133"/>
      <c r="D16" s="1134"/>
      <c r="E16" s="826">
        <f>ROUND((매출액표!E55-G16),0)</f>
        <v>262403159</v>
      </c>
      <c r="F16" s="827"/>
      <c r="G16" s="814"/>
      <c r="H16" s="828"/>
      <c r="I16" s="828"/>
      <c r="J16" s="828"/>
      <c r="K16" s="814">
        <f t="shared" si="3"/>
        <v>0</v>
      </c>
      <c r="L16" s="818">
        <f t="shared" si="1"/>
        <v>262403159</v>
      </c>
      <c r="M16" s="820">
        <f t="shared" si="2"/>
        <v>8.7538</v>
      </c>
      <c r="N16" s="2"/>
      <c r="Q16" s="829"/>
      <c r="R16" s="830"/>
      <c r="T16" s="824"/>
    </row>
    <row r="17" spans="1:26" ht="33" customHeight="1">
      <c r="A17" s="764"/>
      <c r="B17" s="1129" t="s">
        <v>425</v>
      </c>
      <c r="C17" s="1130"/>
      <c r="D17" s="1131"/>
      <c r="E17" s="818">
        <f>ROUND((매출액표!E78-G17),0)</f>
        <v>17947084</v>
      </c>
      <c r="F17" s="818"/>
      <c r="G17" s="814"/>
      <c r="H17" s="814"/>
      <c r="I17" s="814"/>
      <c r="J17" s="814"/>
      <c r="K17" s="814">
        <f>ROUND(Q17,0)</f>
        <v>0</v>
      </c>
      <c r="L17" s="818">
        <f t="shared" si="1"/>
        <v>17947084</v>
      </c>
      <c r="M17" s="820">
        <f t="shared" si="2"/>
        <v>0.59870000000000001</v>
      </c>
      <c r="N17" s="2"/>
      <c r="Q17" s="829">
        <f>자가소모!E7</f>
        <v>0</v>
      </c>
    </row>
    <row r="18" spans="1:26" ht="33" customHeight="1">
      <c r="A18" s="764"/>
      <c r="B18" s="1129" t="s">
        <v>426</v>
      </c>
      <c r="C18" s="1130"/>
      <c r="D18" s="1131"/>
      <c r="E18" s="818">
        <f>ROUND((매출액표!E83-G18),0)</f>
        <v>16411802</v>
      </c>
      <c r="F18" s="818"/>
      <c r="G18" s="814"/>
      <c r="H18" s="814"/>
      <c r="I18" s="814"/>
      <c r="J18" s="814"/>
      <c r="K18" s="814">
        <f t="shared" si="3"/>
        <v>0</v>
      </c>
      <c r="L18" s="818">
        <f t="shared" si="1"/>
        <v>16411802</v>
      </c>
      <c r="M18" s="820">
        <f t="shared" si="2"/>
        <v>0.54749999999999999</v>
      </c>
      <c r="N18" s="2"/>
      <c r="Q18" s="829"/>
      <c r="W18" s="831"/>
    </row>
    <row r="19" spans="1:26" ht="33" customHeight="1">
      <c r="A19" s="764"/>
      <c r="B19" s="1132" t="s">
        <v>158</v>
      </c>
      <c r="C19" s="1133"/>
      <c r="D19" s="1134"/>
      <c r="E19" s="818">
        <f>ROUND((매출액표!E85-G19),0)</f>
        <v>464679</v>
      </c>
      <c r="F19" s="818"/>
      <c r="G19" s="814"/>
      <c r="H19" s="814"/>
      <c r="I19" s="814"/>
      <c r="J19" s="814"/>
      <c r="K19" s="814">
        <f>ROUND(Q19,0)</f>
        <v>0</v>
      </c>
      <c r="L19" s="818">
        <f t="shared" si="1"/>
        <v>464679</v>
      </c>
      <c r="M19" s="820">
        <f t="shared" si="2"/>
        <v>1.55E-2</v>
      </c>
      <c r="N19" s="2"/>
      <c r="Q19" s="829">
        <f>자가소모!E6</f>
        <v>0</v>
      </c>
      <c r="T19" s="824"/>
      <c r="W19" s="831"/>
    </row>
    <row r="20" spans="1:26" ht="33" customHeight="1">
      <c r="A20" s="764"/>
      <c r="B20" s="1132" t="s">
        <v>217</v>
      </c>
      <c r="C20" s="1133"/>
      <c r="D20" s="1134"/>
      <c r="E20" s="818">
        <f>ROUND((매출액표!E88-G20),0)</f>
        <v>2226799</v>
      </c>
      <c r="F20" s="818"/>
      <c r="G20" s="814"/>
      <c r="H20" s="814"/>
      <c r="I20" s="814"/>
      <c r="J20" s="814"/>
      <c r="K20" s="814">
        <f t="shared" ref="K20" si="4">ROUND(Q20,0)</f>
        <v>0</v>
      </c>
      <c r="L20" s="818">
        <f t="shared" si="1"/>
        <v>2226799</v>
      </c>
      <c r="M20" s="820">
        <f t="shared" si="2"/>
        <v>7.4300000000000005E-2</v>
      </c>
      <c r="N20" s="2"/>
      <c r="Q20" s="832"/>
      <c r="T20" s="824"/>
    </row>
    <row r="21" spans="1:26" ht="13.5" customHeight="1">
      <c r="A21" s="764"/>
      <c r="B21" s="1135" t="s">
        <v>427</v>
      </c>
      <c r="C21" s="1136"/>
      <c r="D21" s="1137"/>
      <c r="E21" s="1115">
        <f>SUM(E13:E20)+E12+E9</f>
        <v>2981362921</v>
      </c>
      <c r="F21" s="1115">
        <f>F20+F17+F16+F15+F13+F12+F9+F14</f>
        <v>0</v>
      </c>
      <c r="G21" s="1115">
        <f>ROUNDUP((G20+G17+G16+G15+G13+G12+G9+G14),0)</f>
        <v>16144166</v>
      </c>
      <c r="H21" s="1115">
        <f>H20+H17+H16+H15+H13+H12+H9+H14</f>
        <v>0</v>
      </c>
      <c r="I21" s="1115">
        <f>I20+I17+I16+I15+I13+I12+I9+I14</f>
        <v>0</v>
      </c>
      <c r="J21" s="1126">
        <f>J20+J19+J17+J16+J15+J14+J13+J12+J9</f>
        <v>0</v>
      </c>
      <c r="K21" s="1115">
        <f>K20+K17+K16+K15+K13+K12+K9+K14+K19</f>
        <v>71537</v>
      </c>
      <c r="L21" s="1115">
        <f>ROUND((SUM(L13:L20)+L12+L9),0)</f>
        <v>2997578624</v>
      </c>
      <c r="M21" s="1118">
        <f>SUM(M5:M8,M12:M20)</f>
        <v>100</v>
      </c>
      <c r="N21" s="2"/>
      <c r="Q21" s="1121">
        <f>Q20+Q17+Q16+Q15+Q13+Q12+Q9+Q14+Q19</f>
        <v>71537.266499999998</v>
      </c>
    </row>
    <row r="22" spans="1:26" ht="13.5" customHeight="1">
      <c r="A22" s="764"/>
      <c r="B22" s="1138"/>
      <c r="C22" s="1139"/>
      <c r="D22" s="1140"/>
      <c r="E22" s="1116"/>
      <c r="F22" s="1116"/>
      <c r="G22" s="1116"/>
      <c r="H22" s="1116"/>
      <c r="I22" s="1116"/>
      <c r="J22" s="1127"/>
      <c r="K22" s="1116"/>
      <c r="L22" s="1116"/>
      <c r="M22" s="1119"/>
      <c r="N22" s="2"/>
      <c r="Q22" s="1122"/>
    </row>
    <row r="23" spans="1:26" ht="13.5" customHeight="1" thickBot="1">
      <c r="A23" s="764"/>
      <c r="B23" s="1141"/>
      <c r="C23" s="1142"/>
      <c r="D23" s="1143"/>
      <c r="E23" s="1117"/>
      <c r="F23" s="1117"/>
      <c r="G23" s="1117"/>
      <c r="H23" s="1117"/>
      <c r="I23" s="1117"/>
      <c r="J23" s="1128"/>
      <c r="K23" s="1117"/>
      <c r="L23" s="1117"/>
      <c r="M23" s="1120"/>
      <c r="N23" s="833"/>
      <c r="Q23" s="1123"/>
    </row>
    <row r="24" spans="1:26" ht="13.5" customHeight="1">
      <c r="A24" s="764"/>
      <c r="B24" s="764"/>
      <c r="C24" s="764"/>
      <c r="D24" s="764"/>
      <c r="E24" s="834">
        <f>ROUND(E21+G21,0)</f>
        <v>2997507087</v>
      </c>
      <c r="F24" s="835"/>
      <c r="G24" s="835"/>
      <c r="H24" s="835"/>
      <c r="I24" s="835"/>
      <c r="J24" s="835"/>
      <c r="K24" s="835" t="b">
        <f>ROUNDDOWN(Q21,0)=K21</f>
        <v>1</v>
      </c>
      <c r="L24" s="834">
        <f>ROUND(L21-K21,0)</f>
        <v>2997507087</v>
      </c>
      <c r="M24" s="764"/>
      <c r="Q24" s="836"/>
    </row>
    <row r="25" spans="1:26" ht="12.75" customHeight="1">
      <c r="A25" s="764"/>
      <c r="B25" s="764"/>
      <c r="C25" s="764"/>
      <c r="D25" s="764"/>
      <c r="E25" s="834">
        <f>ROUND(SUMIFS(매출액표!E:E,매출액표!$B:$B,"합계")-SUMIFS(매출액표!E:E,매출액표!$C:$C,"수송용(BIO)"),0)</f>
        <v>2997507087</v>
      </c>
      <c r="F25" s="834"/>
      <c r="G25" s="835"/>
      <c r="H25" s="835"/>
      <c r="I25" s="835"/>
      <c r="J25" s="835"/>
      <c r="K25" s="837"/>
      <c r="L25" s="834">
        <f>ROUND(매출액표!E89-매출액표!E56,0)</f>
        <v>2997507087</v>
      </c>
      <c r="M25" s="764"/>
    </row>
    <row r="26" spans="1:26" ht="12.75" customHeight="1">
      <c r="A26" s="764"/>
      <c r="B26" s="764"/>
      <c r="C26" s="764"/>
      <c r="D26" s="764"/>
      <c r="E26" s="838">
        <f>E24-E25</f>
        <v>0</v>
      </c>
      <c r="F26" s="839"/>
      <c r="G26" s="840"/>
      <c r="H26" s="840"/>
      <c r="I26" s="840"/>
      <c r="J26" s="840"/>
      <c r="K26" s="841"/>
      <c r="L26" s="838">
        <f>L24-L25</f>
        <v>0</v>
      </c>
      <c r="M26" s="764"/>
    </row>
    <row r="27" spans="1:26" ht="12.75" customHeight="1">
      <c r="F27" s="842"/>
      <c r="L27" s="843"/>
      <c r="T27" s="844"/>
    </row>
    <row r="28" spans="1:26" ht="12.75" customHeight="1">
      <c r="F28" s="845"/>
      <c r="G28" s="846"/>
      <c r="H28" s="847"/>
      <c r="I28" s="848"/>
      <c r="J28" s="848"/>
      <c r="K28" s="764"/>
    </row>
    <row r="29" spans="1:26" ht="12.75" customHeight="1">
      <c r="E29" s="849"/>
      <c r="F29" s="850"/>
    </row>
    <row r="30" spans="1:26" ht="12.75" customHeight="1">
      <c r="F30" s="850"/>
    </row>
    <row r="32" spans="1:26" ht="12.75" customHeight="1">
      <c r="E32" s="75"/>
      <c r="F32" s="851"/>
    </row>
    <row r="33" spans="5:5" ht="12.75" customHeight="1">
      <c r="E33" s="852"/>
    </row>
    <row r="35" spans="5:5" ht="12.75" customHeight="1">
      <c r="E35" s="853"/>
    </row>
    <row r="36" spans="5:5" ht="12.75" customHeight="1">
      <c r="E36" s="853"/>
    </row>
    <row r="37" spans="5:5" ht="12.75" customHeight="1">
      <c r="E37" s="853"/>
    </row>
    <row r="38" spans="5:5" ht="12.75" customHeight="1">
      <c r="E38" s="853"/>
    </row>
    <row r="39" spans="5:5" ht="12.75" customHeight="1">
      <c r="E39" s="853"/>
    </row>
    <row r="40" spans="5:5" ht="12.75" customHeight="1">
      <c r="E40" s="853"/>
    </row>
    <row r="41" spans="5:5" ht="12.75" customHeight="1">
      <c r="E41" s="853"/>
    </row>
    <row r="42" spans="5:5" ht="12.75" customHeight="1">
      <c r="E42" s="853"/>
    </row>
    <row r="43" spans="5:5" ht="12.75" customHeight="1">
      <c r="E43" s="853"/>
    </row>
    <row r="44" spans="5:5" ht="12.75" customHeight="1">
      <c r="E44" s="853"/>
    </row>
    <row r="45" spans="5:5" ht="12.75" customHeight="1">
      <c r="E45" s="853"/>
    </row>
    <row r="46" spans="5:5" ht="12.75" customHeight="1">
      <c r="E46" s="853"/>
    </row>
    <row r="47" spans="5:5" ht="12.75" customHeight="1">
      <c r="E47" s="853"/>
    </row>
    <row r="48" spans="5:5" ht="12.75" customHeight="1">
      <c r="E48" s="853"/>
    </row>
    <row r="49" spans="2:19" ht="12.75" customHeight="1">
      <c r="E49" s="853"/>
    </row>
    <row r="50" spans="2:19" ht="12.75" customHeight="1">
      <c r="E50" s="853"/>
    </row>
    <row r="51" spans="2:19" ht="12.75" customHeight="1">
      <c r="E51" s="853"/>
    </row>
    <row r="52" spans="2:19" ht="12.75" customHeight="1">
      <c r="E52" s="853"/>
    </row>
    <row r="53" spans="2:19" ht="12.75" customHeight="1">
      <c r="E53" s="853"/>
    </row>
    <row r="54" spans="2:19" ht="12.75" customHeight="1">
      <c r="E54" s="853"/>
    </row>
    <row r="55" spans="2:19" ht="12.75" customHeight="1">
      <c r="E55" s="853"/>
    </row>
    <row r="56" spans="2:19" ht="12.75" customHeight="1">
      <c r="E56" s="853"/>
    </row>
    <row r="57" spans="2:19" ht="12.75" customHeight="1">
      <c r="E57" s="853"/>
    </row>
    <row r="58" spans="2:19" ht="12.75" customHeight="1">
      <c r="F58" s="842"/>
      <c r="S58" s="844"/>
    </row>
    <row r="59" spans="2:19" ht="12.75" customHeight="1">
      <c r="F59" s="842"/>
      <c r="S59" s="844"/>
    </row>
    <row r="60" spans="2:19" ht="12.75" customHeight="1">
      <c r="F60" s="842"/>
      <c r="S60" s="844"/>
    </row>
    <row r="61" spans="2:19" ht="12.75" customHeight="1">
      <c r="F61" s="842"/>
      <c r="S61" s="844"/>
    </row>
    <row r="62" spans="2:19" ht="12.75" customHeight="1">
      <c r="E62" s="3"/>
      <c r="F62" s="842"/>
      <c r="S62" s="844"/>
    </row>
    <row r="63" spans="2:19" ht="12.75" customHeight="1">
      <c r="E63" s="3"/>
      <c r="F63" s="842"/>
      <c r="P63" s="1" t="s">
        <v>428</v>
      </c>
      <c r="S63" s="844"/>
    </row>
    <row r="64" spans="2:19" ht="12.75" customHeight="1">
      <c r="B64" s="1124" t="s">
        <v>232</v>
      </c>
      <c r="C64" s="1124"/>
      <c r="D64" s="1124"/>
      <c r="E64" s="1" t="s">
        <v>429</v>
      </c>
      <c r="F64" s="854"/>
      <c r="G64" s="846"/>
      <c r="H64" s="847">
        <v>5147</v>
      </c>
      <c r="I64" s="848">
        <v>4602</v>
      </c>
      <c r="J64" s="764"/>
    </row>
    <row r="65" spans="2:11" ht="12.75" customHeight="1">
      <c r="B65" s="1125" t="s">
        <v>430</v>
      </c>
      <c r="C65" s="1125"/>
      <c r="D65" s="1125"/>
      <c r="E65" s="1125"/>
      <c r="K65" s="1" t="s">
        <v>431</v>
      </c>
    </row>
    <row r="66" spans="2:11" ht="12.75" customHeight="1">
      <c r="B66" s="855" t="s">
        <v>432</v>
      </c>
      <c r="C66" s="856" t="s">
        <v>433</v>
      </c>
      <c r="E66" s="857"/>
      <c r="G66" s="857"/>
      <c r="K66" s="1" t="s">
        <v>434</v>
      </c>
    </row>
    <row r="67" spans="2:11" ht="12.75" customHeight="1">
      <c r="B67" s="855" t="s">
        <v>435</v>
      </c>
      <c r="C67" s="856" t="s">
        <v>436</v>
      </c>
      <c r="E67" s="857"/>
      <c r="G67" s="857"/>
    </row>
    <row r="68" spans="2:11" ht="12.75" customHeight="1">
      <c r="B68" s="1124" t="s">
        <v>27</v>
      </c>
      <c r="C68" s="1124"/>
      <c r="D68" s="858"/>
      <c r="E68" s="857"/>
      <c r="G68" s="857"/>
      <c r="K68" s="859" t="s">
        <v>437</v>
      </c>
    </row>
    <row r="69" spans="2:11" ht="12.75" customHeight="1">
      <c r="K69" s="860" t="s">
        <v>438</v>
      </c>
    </row>
    <row r="70" spans="2:11" ht="12.75" customHeight="1">
      <c r="E70" s="861"/>
      <c r="K70" s="860" t="s">
        <v>439</v>
      </c>
    </row>
    <row r="71" spans="2:11" ht="12.75" customHeight="1">
      <c r="E71" s="862"/>
      <c r="K71" s="860" t="s">
        <v>440</v>
      </c>
    </row>
    <row r="72" spans="2:11" ht="12.75" customHeight="1">
      <c r="E72" s="862"/>
    </row>
    <row r="73" spans="2:11" ht="12.75" customHeight="1">
      <c r="E73" s="861"/>
    </row>
    <row r="74" spans="2:11" ht="12.75" customHeight="1">
      <c r="E74" s="861"/>
      <c r="K74" s="1" t="s">
        <v>441</v>
      </c>
    </row>
    <row r="75" spans="2:11" ht="12.75" customHeight="1">
      <c r="E75" s="861"/>
      <c r="K75" s="1" t="s">
        <v>442</v>
      </c>
    </row>
    <row r="76" spans="2:11" ht="12.75" customHeight="1">
      <c r="E76" s="861"/>
      <c r="G76" s="1" t="s">
        <v>364</v>
      </c>
      <c r="K76" s="1" t="s">
        <v>443</v>
      </c>
    </row>
    <row r="77" spans="2:11" ht="12.75" customHeight="1">
      <c r="E77" s="863"/>
      <c r="K77" s="1" t="s">
        <v>444</v>
      </c>
    </row>
    <row r="78" spans="2:11" ht="12.75" customHeight="1">
      <c r="E78" s="864"/>
      <c r="F78" s="864"/>
    </row>
    <row r="79" spans="2:11" ht="12.75" customHeight="1">
      <c r="E79" s="864"/>
      <c r="K79" s="2" t="s">
        <v>445</v>
      </c>
    </row>
    <row r="80" spans="2:11" ht="12.75" customHeight="1">
      <c r="K80" s="2" t="s">
        <v>446</v>
      </c>
    </row>
    <row r="81" spans="5:11" ht="12.75" customHeight="1">
      <c r="K81" s="2"/>
    </row>
    <row r="82" spans="5:11" ht="12.75" customHeight="1">
      <c r="K82" s="2" t="s">
        <v>447</v>
      </c>
    </row>
    <row r="83" spans="5:11" ht="12.75" customHeight="1">
      <c r="E83" s="861"/>
      <c r="K83" s="2" t="s">
        <v>448</v>
      </c>
    </row>
    <row r="84" spans="5:11" ht="12.75" customHeight="1">
      <c r="E84" s="861"/>
      <c r="K84" s="2" t="s">
        <v>449</v>
      </c>
    </row>
    <row r="85" spans="5:11" ht="12.75" customHeight="1">
      <c r="E85" s="861"/>
    </row>
    <row r="86" spans="5:11" ht="12.75" customHeight="1">
      <c r="E86" s="861"/>
    </row>
    <row r="94" spans="5:11" ht="12.75" customHeight="1">
      <c r="K94" s="1" t="s">
        <v>450</v>
      </c>
    </row>
    <row r="95" spans="5:11" ht="12.75" customHeight="1">
      <c r="K95" s="1" t="s">
        <v>451</v>
      </c>
    </row>
    <row r="96" spans="5:11" ht="12.75" customHeight="1">
      <c r="K96" s="1" t="s">
        <v>452</v>
      </c>
    </row>
    <row r="97" spans="11:11" ht="12.75" customHeight="1">
      <c r="K97" s="1" t="s">
        <v>453</v>
      </c>
    </row>
  </sheetData>
  <mergeCells count="32">
    <mergeCell ref="B16:D16"/>
    <mergeCell ref="S1:Z4"/>
    <mergeCell ref="B3:D4"/>
    <mergeCell ref="B5:B9"/>
    <mergeCell ref="C5:D5"/>
    <mergeCell ref="C6:D6"/>
    <mergeCell ref="C7:D7"/>
    <mergeCell ref="C8:D8"/>
    <mergeCell ref="C9:D9"/>
    <mergeCell ref="B10:B11"/>
    <mergeCell ref="B12:D12"/>
    <mergeCell ref="B13:D13"/>
    <mergeCell ref="B14:D14"/>
    <mergeCell ref="B15:D15"/>
    <mergeCell ref="B17:D17"/>
    <mergeCell ref="B18:D18"/>
    <mergeCell ref="B19:D19"/>
    <mergeCell ref="B20:D20"/>
    <mergeCell ref="B21:D23"/>
    <mergeCell ref="B68:C68"/>
    <mergeCell ref="F21:F23"/>
    <mergeCell ref="G21:G23"/>
    <mergeCell ref="H21:H23"/>
    <mergeCell ref="I21:I23"/>
    <mergeCell ref="E21:E23"/>
    <mergeCell ref="L21:L23"/>
    <mergeCell ref="M21:M23"/>
    <mergeCell ref="Q21:Q23"/>
    <mergeCell ref="B64:D64"/>
    <mergeCell ref="B65:E65"/>
    <mergeCell ref="J21:J23"/>
    <mergeCell ref="K21:K23"/>
  </mergeCells>
  <phoneticPr fontId="34" type="noConversion"/>
  <conditionalFormatting sqref="K12:K20">
    <cfRule type="cellIs" dxfId="2" priority="1" operator="equal">
      <formula>0</formula>
    </cfRule>
  </conditionalFormatting>
  <pageMargins left="0.7" right="0.7" top="0.75" bottom="0.75" header="0.3" footer="0.3"/>
  <drawing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N41"/>
  <sheetViews>
    <sheetView view="pageBreakPreview" zoomScaleNormal="100" zoomScaleSheetLayoutView="100" workbookViewId="0">
      <selection activeCell="A3" sqref="A3"/>
    </sheetView>
  </sheetViews>
  <sheetFormatPr defaultColWidth="8.88671875" defaultRowHeight="13.5"/>
  <cols>
    <col min="1" max="1" width="8.88671875" style="1"/>
    <col min="2" max="2" width="9.33203125" style="1" customWidth="1"/>
    <col min="3" max="3" width="9.21875" style="1" customWidth="1"/>
    <col min="4" max="4" width="17.88671875" style="1" customWidth="1"/>
    <col min="5" max="5" width="16.109375" style="1" customWidth="1"/>
    <col min="6" max="6" width="16.21875" style="1" customWidth="1"/>
    <col min="7" max="8" width="16.109375" style="1" bestFit="1" customWidth="1"/>
    <col min="9" max="9" width="6.21875" style="1" customWidth="1"/>
    <col min="10" max="10" width="10.44140625" style="1" customWidth="1"/>
    <col min="11" max="11" width="11.21875" style="1" bestFit="1" customWidth="1"/>
    <col min="12" max="12" width="16.88671875" style="1" customWidth="1"/>
    <col min="13" max="13" width="12.44140625" style="1" customWidth="1"/>
    <col min="14" max="14" width="11.77734375" style="1" customWidth="1"/>
    <col min="15" max="16384" width="8.88671875" style="1"/>
  </cols>
  <sheetData>
    <row r="1" spans="1:14" ht="51" customHeight="1">
      <c r="B1" s="1" t="s">
        <v>34</v>
      </c>
    </row>
    <row r="2" spans="1:14" ht="22.5">
      <c r="A2" s="1186" t="str">
        <f>"사회복지시설 용도별 판매량 ( "&amp;LEFT(총괄표!A2,9)&amp;")"</f>
        <v>사회복지시설 용도별 판매량 ( 2025년 5월 )</v>
      </c>
      <c r="B2" s="1186"/>
      <c r="C2" s="1186"/>
      <c r="D2" s="1186"/>
      <c r="E2" s="1186"/>
      <c r="F2" s="1186"/>
      <c r="G2" s="1186"/>
    </row>
    <row r="3" spans="1:14" ht="40.5" customHeight="1"/>
    <row r="4" spans="1:14" ht="25.5" customHeight="1">
      <c r="A4" s="1189" t="s">
        <v>13</v>
      </c>
      <c r="B4" s="1190"/>
      <c r="C4" s="1187" t="s">
        <v>10</v>
      </c>
      <c r="D4" s="1187" t="s">
        <v>57</v>
      </c>
      <c r="E4" s="1188" t="s">
        <v>14</v>
      </c>
      <c r="F4" s="1188"/>
      <c r="G4" s="1187" t="s">
        <v>11</v>
      </c>
      <c r="I4" s="1171"/>
      <c r="J4" s="1171"/>
      <c r="K4" s="1171"/>
      <c r="L4" s="71"/>
      <c r="M4" s="430"/>
      <c r="N4" s="1171"/>
    </row>
    <row r="5" spans="1:14" ht="25.5" customHeight="1">
      <c r="A5" s="1191"/>
      <c r="B5" s="1192"/>
      <c r="C5" s="1082"/>
      <c r="D5" s="1082"/>
      <c r="E5" s="426" t="s">
        <v>15</v>
      </c>
      <c r="F5" s="426" t="s">
        <v>16</v>
      </c>
      <c r="G5" s="1082"/>
      <c r="I5" s="1171"/>
      <c r="J5" s="1171"/>
      <c r="K5" s="1171"/>
      <c r="L5" s="430"/>
      <c r="M5" s="430"/>
      <c r="N5" s="1171"/>
    </row>
    <row r="6" spans="1:14" ht="27.75" customHeight="1">
      <c r="A6" s="1175" t="s">
        <v>160</v>
      </c>
      <c r="B6" s="1165" t="s">
        <v>18</v>
      </c>
      <c r="C6" s="1172"/>
      <c r="D6" s="405"/>
      <c r="E6" s="403"/>
      <c r="F6" s="407"/>
      <c r="G6" s="9"/>
      <c r="I6" s="1171"/>
      <c r="J6" s="430"/>
      <c r="K6" s="72"/>
      <c r="L6" s="73"/>
      <c r="M6" s="73"/>
      <c r="N6" s="73"/>
    </row>
    <row r="7" spans="1:14" ht="27.75" customHeight="1">
      <c r="A7" s="1176"/>
      <c r="B7" s="1166"/>
      <c r="C7" s="1173"/>
      <c r="D7" s="422">
        <f>SUMIFS(청구할인정산관리!$D:$D,청구할인정산관리!$B:$B,"취사용")</f>
        <v>18321.956600000001</v>
      </c>
      <c r="E7" s="460">
        <f>SUMIFS(청구할인정산관리!$E:$E,청구할인정산관리!$B:$B,"취사용")</f>
        <v>430638</v>
      </c>
      <c r="F7" s="460">
        <f>SUMIFS(청구할인정산관리!$G:$G,청구할인정산관리!$B:$B,"취사용")</f>
        <v>388889</v>
      </c>
      <c r="G7" s="404">
        <f>E7-F7</f>
        <v>41749</v>
      </c>
      <c r="H7" s="83">
        <f>G7/E7</f>
        <v>9.694685559565111E-2</v>
      </c>
      <c r="I7" s="1171"/>
      <c r="J7" s="430"/>
      <c r="K7" s="72"/>
      <c r="L7" s="73"/>
      <c r="M7" s="73"/>
      <c r="N7" s="73"/>
    </row>
    <row r="8" spans="1:14" ht="27.75" customHeight="1">
      <c r="A8" s="1176"/>
      <c r="B8" s="1167"/>
      <c r="C8" s="1174"/>
      <c r="D8" s="62"/>
      <c r="E8" s="63"/>
      <c r="F8" s="63"/>
      <c r="G8" s="63"/>
      <c r="H8" s="83"/>
      <c r="I8" s="1171"/>
      <c r="J8" s="430"/>
      <c r="K8" s="72"/>
      <c r="L8" s="73"/>
      <c r="M8" s="73"/>
      <c r="N8" s="73"/>
    </row>
    <row r="9" spans="1:14" ht="27.75" customHeight="1">
      <c r="A9" s="1176"/>
      <c r="B9" s="1165" t="s">
        <v>159</v>
      </c>
      <c r="C9" s="1172"/>
      <c r="D9" s="64"/>
      <c r="E9" s="65" t="s">
        <v>34</v>
      </c>
      <c r="F9" s="65"/>
      <c r="G9" s="65"/>
      <c r="H9" s="83"/>
      <c r="I9" s="1171"/>
      <c r="J9" s="430"/>
      <c r="K9" s="72"/>
      <c r="L9" s="73"/>
      <c r="M9" s="73"/>
      <c r="N9" s="73"/>
    </row>
    <row r="10" spans="1:14" ht="27.75" customHeight="1">
      <c r="A10" s="1176"/>
      <c r="B10" s="1166"/>
      <c r="C10" s="1173"/>
      <c r="D10" s="406">
        <f>SUMIFS(청구할인정산관리!$D:$D,청구할인정산관리!$B:$B,"취사난방용")+SUMIFS(청구할인정산관리!$D:$D,청구할인정산관리!$B:$B,"개별난방용")</f>
        <v>1368619.5315</v>
      </c>
      <c r="E10" s="408">
        <f>SUMIFS(청구할인정산관리!$E:$E,청구할인정산관리!$B:$B,"취사난방용")+SUMIFS(청구할인정산관리!$E:$E,청구할인정산관리!$B:$B,"개별난방용")</f>
        <v>32168931</v>
      </c>
      <c r="F10" s="408">
        <f>SUMIFS(청구할인정산관리!$G:$G,청구할인정산관리!$B:$B,"취사난방용")+SUMIFS(청구할인정산관리!$G:$G,청구할인정산관리!$B:$B,"개별난방용")</f>
        <v>29380300</v>
      </c>
      <c r="G10" s="408">
        <f>E10-F10</f>
        <v>2788631</v>
      </c>
      <c r="H10" s="83">
        <f t="shared" ref="H10:H28" si="0">G10/E10</f>
        <v>8.6687089477732418E-2</v>
      </c>
      <c r="I10" s="1171"/>
      <c r="J10" s="430"/>
      <c r="K10" s="72"/>
      <c r="L10" s="73"/>
      <c r="M10" s="73"/>
      <c r="N10" s="73"/>
    </row>
    <row r="11" spans="1:14" ht="27.75" customHeight="1">
      <c r="A11" s="1177"/>
      <c r="B11" s="1167"/>
      <c r="C11" s="1174"/>
      <c r="D11" s="62"/>
      <c r="E11" s="63"/>
      <c r="F11" s="63"/>
      <c r="G11" s="63"/>
      <c r="H11" s="83"/>
      <c r="I11" s="1171"/>
      <c r="J11" s="430"/>
      <c r="K11" s="72"/>
      <c r="L11" s="73"/>
      <c r="M11" s="73"/>
      <c r="N11" s="73"/>
    </row>
    <row r="12" spans="1:14" ht="27.75" customHeight="1">
      <c r="A12" s="1163" t="s">
        <v>265</v>
      </c>
      <c r="B12" s="1193"/>
      <c r="C12" s="233"/>
      <c r="D12" s="234">
        <f>D10+D7</f>
        <v>1386941.4881</v>
      </c>
      <c r="E12" s="235">
        <f>E10+E7</f>
        <v>32599569</v>
      </c>
      <c r="F12" s="235">
        <f>F10+F7</f>
        <v>29769189</v>
      </c>
      <c r="G12" s="235">
        <f>G10+G7</f>
        <v>2830380</v>
      </c>
      <c r="H12" s="83">
        <f t="shared" si="0"/>
        <v>8.6822620262249475E-2</v>
      </c>
      <c r="I12" s="430"/>
      <c r="J12" s="430"/>
      <c r="K12" s="72"/>
      <c r="L12" s="73"/>
      <c r="M12" s="73"/>
      <c r="N12" s="73"/>
    </row>
    <row r="13" spans="1:14" ht="27.75" customHeight="1">
      <c r="A13" s="1194" t="s">
        <v>161</v>
      </c>
      <c r="B13" s="1165" t="s">
        <v>264</v>
      </c>
      <c r="C13" s="1172"/>
      <c r="D13" s="79"/>
      <c r="E13" s="80"/>
      <c r="F13" s="80"/>
      <c r="G13" s="65"/>
      <c r="H13" s="83"/>
      <c r="I13" s="430"/>
      <c r="J13" s="430"/>
      <c r="K13" s="72"/>
      <c r="L13" s="73"/>
      <c r="M13" s="73"/>
      <c r="N13" s="73"/>
    </row>
    <row r="14" spans="1:14" ht="27.75" customHeight="1">
      <c r="A14" s="1195"/>
      <c r="B14" s="1166"/>
      <c r="C14" s="1173"/>
      <c r="D14" s="406">
        <f>SUMIFS(청구할인정산관리!$D:$D,청구할인정산관리!$B:$B,"업무난방용")</f>
        <v>9645073.180399999</v>
      </c>
      <c r="E14" s="408">
        <f>SUMIFS(청구할인정산관리!$E:$E,청구할인정산관리!$B:$B,"업무난방용")</f>
        <v>247824991</v>
      </c>
      <c r="F14" s="408">
        <f>SUMIFS(청구할인정산관리!$G:$G,청구할인정산관리!$B:$B,"업무난방용")</f>
        <v>205552206</v>
      </c>
      <c r="G14" s="404">
        <f>E14-F14</f>
        <v>42272785</v>
      </c>
      <c r="H14" s="83">
        <f t="shared" si="0"/>
        <v>0.17057514994522888</v>
      </c>
      <c r="I14" s="430"/>
      <c r="J14" s="430"/>
      <c r="K14" s="72"/>
      <c r="L14" s="73"/>
      <c r="M14" s="73"/>
      <c r="N14" s="73"/>
    </row>
    <row r="15" spans="1:14" ht="27.75" customHeight="1">
      <c r="A15" s="1195"/>
      <c r="B15" s="1167"/>
      <c r="C15" s="1174"/>
      <c r="D15" s="399"/>
      <c r="E15" s="81"/>
      <c r="F15" s="81"/>
      <c r="G15" s="81"/>
      <c r="H15" s="83"/>
      <c r="I15" s="430"/>
      <c r="J15" s="430"/>
      <c r="K15" s="72"/>
      <c r="L15" s="73"/>
      <c r="M15" s="73"/>
      <c r="N15" s="73"/>
    </row>
    <row r="16" spans="1:14" ht="27.75" customHeight="1">
      <c r="A16" s="1195"/>
      <c r="B16" s="1168" t="s">
        <v>58</v>
      </c>
      <c r="C16" s="1173"/>
      <c r="D16" s="216"/>
      <c r="E16" s="217"/>
      <c r="F16" s="217"/>
      <c r="G16" s="412"/>
      <c r="H16" s="83"/>
      <c r="I16" s="430"/>
      <c r="J16" s="430"/>
      <c r="K16" s="72"/>
      <c r="L16" s="73"/>
      <c r="M16" s="73"/>
      <c r="N16" s="73"/>
    </row>
    <row r="17" spans="1:14" ht="27.75" customHeight="1">
      <c r="A17" s="1195"/>
      <c r="B17" s="1169"/>
      <c r="C17" s="1173"/>
      <c r="D17" s="406">
        <f>SUMIFS(청구할인정산관리!$D:$D,청구할인정산관리!$B:$B,"냉난방용(업무)")</f>
        <v>193936.9252</v>
      </c>
      <c r="E17" s="408">
        <f>SUMIFS(청구할인정산관리!$E:$E,청구할인정산관리!$B:$B,"냉난방용(업무)")</f>
        <v>4722449</v>
      </c>
      <c r="F17" s="408">
        <f>SUMIFS(청구할인정산관리!$G:$G,청구할인정산관리!$B:$B,"냉난방용(업무)")</f>
        <v>4193735</v>
      </c>
      <c r="G17" s="404">
        <f>E17-F17</f>
        <v>528714</v>
      </c>
      <c r="H17" s="83">
        <f t="shared" si="0"/>
        <v>0.11195758810735701</v>
      </c>
      <c r="I17" s="430"/>
      <c r="J17" s="430"/>
      <c r="K17" s="72"/>
      <c r="L17" s="73"/>
      <c r="M17" s="73"/>
      <c r="N17" s="73"/>
    </row>
    <row r="18" spans="1:14" ht="27.75" customHeight="1">
      <c r="A18" s="1196"/>
      <c r="B18" s="1170"/>
      <c r="C18" s="1174"/>
      <c r="D18" s="188"/>
      <c r="E18" s="81"/>
      <c r="F18" s="81"/>
      <c r="G18" s="81"/>
      <c r="H18" s="83"/>
    </row>
    <row r="19" spans="1:14" ht="27.75" customHeight="1">
      <c r="A19" s="1163" t="s">
        <v>265</v>
      </c>
      <c r="B19" s="1164"/>
      <c r="C19" s="236"/>
      <c r="D19" s="237">
        <f>D14+D17</f>
        <v>9839010.1055999994</v>
      </c>
      <c r="E19" s="238">
        <f>E14+E17</f>
        <v>252547440</v>
      </c>
      <c r="F19" s="238">
        <f>F14+F17</f>
        <v>209745941</v>
      </c>
      <c r="G19" s="238">
        <f>G14+G17</f>
        <v>42801499</v>
      </c>
      <c r="H19" s="83">
        <f t="shared" si="0"/>
        <v>0.16947904520433865</v>
      </c>
    </row>
    <row r="20" spans="1:14" ht="27.75" customHeight="1">
      <c r="A20" s="1180" t="s">
        <v>347</v>
      </c>
      <c r="B20" s="1181"/>
      <c r="C20" s="1172"/>
      <c r="D20" s="64"/>
      <c r="E20" s="65"/>
      <c r="F20" s="65"/>
      <c r="G20" s="65"/>
      <c r="H20" s="83"/>
    </row>
    <row r="21" spans="1:14" ht="27.75" customHeight="1">
      <c r="A21" s="1182"/>
      <c r="B21" s="1183"/>
      <c r="C21" s="1173"/>
      <c r="D21" s="406">
        <f>SUMIFS(청구할인정산관리!$D:$D,청구할인정산관리!$B:$B,"일반용(1)")+SUMIFS(청구할인정산관리!$D:$D,청구할인정산관리!$B:$B,"일반용(2)")</f>
        <v>4918215.1404999997</v>
      </c>
      <c r="E21" s="408">
        <f>SUMIFS(청구할인정산관리!$E:$E,청구할인정산관리!$B:$B,"일반용(1)")+SUMIFS(청구할인정산관리!$E:$E,청구할인정산관리!$B:$B,"일반용(2)")</f>
        <v>111202258</v>
      </c>
      <c r="F21" s="408">
        <f>SUMIFS(청구할인정산관리!$G:$G,청구할인정산관리!$B:$B,"일반용(1)")+SUMIFS(청구할인정산관리!$G:$G,청구할인정산관리!$B:$B,"일반용(2)")</f>
        <v>103944409</v>
      </c>
      <c r="G21" s="413">
        <f>E21-F21</f>
        <v>7257849</v>
      </c>
      <c r="H21" s="83"/>
    </row>
    <row r="22" spans="1:14" ht="27.75" customHeight="1">
      <c r="A22" s="1184"/>
      <c r="B22" s="1185"/>
      <c r="C22" s="1174"/>
      <c r="D22" s="62"/>
      <c r="E22" s="63"/>
      <c r="F22" s="63"/>
      <c r="G22" s="63"/>
      <c r="H22" s="83"/>
    </row>
    <row r="23" spans="1:14" ht="27.75" customHeight="1">
      <c r="A23" s="1163" t="s">
        <v>265</v>
      </c>
      <c r="B23" s="1164"/>
      <c r="C23" s="233"/>
      <c r="D23" s="234">
        <f>SUM(D20:D22)</f>
        <v>4918215.1404999997</v>
      </c>
      <c r="E23" s="235">
        <f>SUM(E20:E22)</f>
        <v>111202258</v>
      </c>
      <c r="F23" s="235">
        <f>SUM(F20:F22)</f>
        <v>103944409</v>
      </c>
      <c r="G23" s="235">
        <f>SUM(G20:G22)</f>
        <v>7257849</v>
      </c>
      <c r="H23" s="83"/>
    </row>
    <row r="24" spans="1:14" ht="27.75" customHeight="1">
      <c r="A24" s="1180" t="s">
        <v>162</v>
      </c>
      <c r="B24" s="1181"/>
      <c r="C24" s="429"/>
      <c r="D24" s="64"/>
      <c r="E24" s="65"/>
      <c r="F24" s="65"/>
      <c r="G24" s="65"/>
      <c r="H24" s="83"/>
      <c r="I24" s="430"/>
      <c r="J24" s="430"/>
      <c r="K24" s="72"/>
      <c r="L24" s="73"/>
      <c r="M24" s="73"/>
      <c r="N24" s="73"/>
    </row>
    <row r="25" spans="1:14" ht="27.75" customHeight="1">
      <c r="A25" s="1182"/>
      <c r="B25" s="1183"/>
      <c r="C25" s="427"/>
      <c r="D25" s="248"/>
      <c r="E25" s="247"/>
      <c r="F25" s="247"/>
      <c r="G25" s="408">
        <f>E25-F25</f>
        <v>0</v>
      </c>
      <c r="H25" s="83"/>
      <c r="I25" s="430"/>
      <c r="K25" s="72"/>
      <c r="L25" s="73"/>
      <c r="M25" s="73"/>
      <c r="N25" s="73"/>
    </row>
    <row r="26" spans="1:14" ht="27.75" customHeight="1">
      <c r="A26" s="1184"/>
      <c r="B26" s="1185"/>
      <c r="C26" s="428"/>
      <c r="D26" s="249"/>
      <c r="E26" s="250"/>
      <c r="F26" s="250"/>
      <c r="G26" s="63"/>
      <c r="H26" s="83"/>
      <c r="I26" s="430"/>
      <c r="J26" s="430"/>
      <c r="K26" s="72"/>
      <c r="L26" s="73"/>
      <c r="M26" s="73"/>
      <c r="N26" s="73"/>
    </row>
    <row r="27" spans="1:14" ht="27.75" customHeight="1" thickBot="1">
      <c r="A27" s="1178" t="s">
        <v>265</v>
      </c>
      <c r="B27" s="1179"/>
      <c r="C27" s="409"/>
      <c r="D27" s="410">
        <f>SUM(D24:D26)</f>
        <v>0</v>
      </c>
      <c r="E27" s="411">
        <f>SUM(E24:E26)</f>
        <v>0</v>
      </c>
      <c r="F27" s="411">
        <f>SUM(F24:F26)</f>
        <v>0</v>
      </c>
      <c r="G27" s="411">
        <f>SUM(G24:G26)</f>
        <v>0</v>
      </c>
      <c r="H27" s="83"/>
    </row>
    <row r="28" spans="1:14" ht="27.75" customHeight="1" thickTop="1">
      <c r="A28" s="1163" t="s">
        <v>266</v>
      </c>
      <c r="B28" s="1164"/>
      <c r="C28" s="414"/>
      <c r="D28" s="415">
        <f>D23+D12+D19+D27</f>
        <v>16144166.734199999</v>
      </c>
      <c r="E28" s="416">
        <f>E23+E12+E19+E27</f>
        <v>396349267</v>
      </c>
      <c r="F28" s="416">
        <f>F23+F12+F19+F27</f>
        <v>343459539</v>
      </c>
      <c r="G28" s="416">
        <f>G23+G12+G19+G27</f>
        <v>52889728</v>
      </c>
      <c r="H28" s="83">
        <f t="shared" si="0"/>
        <v>0.13344222483449175</v>
      </c>
    </row>
    <row r="29" spans="1:14" ht="18.75" customHeight="1">
      <c r="A29" s="2"/>
      <c r="D29" s="8"/>
      <c r="E29" s="67"/>
      <c r="H29" s="74"/>
    </row>
    <row r="30" spans="1:14" ht="19.5" customHeight="1">
      <c r="A30" s="2"/>
      <c r="D30" s="8"/>
      <c r="E30" s="67"/>
      <c r="H30" s="74"/>
    </row>
    <row r="31" spans="1:14">
      <c r="D31" s="8"/>
      <c r="E31" s="67"/>
      <c r="H31" s="74"/>
    </row>
    <row r="32" spans="1:14">
      <c r="D32" s="8"/>
      <c r="E32" s="67"/>
      <c r="H32" s="74"/>
    </row>
    <row r="33" spans="4:8">
      <c r="D33" s="8"/>
      <c r="E33" s="67"/>
      <c r="H33" s="74"/>
    </row>
    <row r="34" spans="4:8">
      <c r="D34" s="8"/>
      <c r="E34" s="67"/>
      <c r="H34" s="74"/>
    </row>
    <row r="35" spans="4:8">
      <c r="D35" s="8"/>
      <c r="E35" s="67"/>
      <c r="H35" s="74"/>
    </row>
    <row r="36" spans="4:8">
      <c r="D36" s="8"/>
      <c r="E36" s="67"/>
      <c r="H36" s="74"/>
    </row>
    <row r="37" spans="4:8">
      <c r="D37" s="75"/>
      <c r="H37" s="74"/>
    </row>
    <row r="38" spans="4:8">
      <c r="D38" s="8"/>
    </row>
    <row r="39" spans="4:8">
      <c r="D39" s="18" t="s">
        <v>212</v>
      </c>
    </row>
    <row r="40" spans="4:8">
      <c r="D40" s="8"/>
      <c r="E40" s="17" t="s">
        <v>34</v>
      </c>
      <c r="F40" s="17" t="s">
        <v>34</v>
      </c>
    </row>
    <row r="41" spans="4:8">
      <c r="D41" s="8"/>
    </row>
  </sheetData>
  <mergeCells count="28">
    <mergeCell ref="A28:B28"/>
    <mergeCell ref="A23:B23"/>
    <mergeCell ref="A27:B27"/>
    <mergeCell ref="A24:B26"/>
    <mergeCell ref="A2:G2"/>
    <mergeCell ref="C4:C5"/>
    <mergeCell ref="G4:G5"/>
    <mergeCell ref="E4:F4"/>
    <mergeCell ref="D4:D5"/>
    <mergeCell ref="A4:B5"/>
    <mergeCell ref="C16:C18"/>
    <mergeCell ref="A12:B12"/>
    <mergeCell ref="C20:C22"/>
    <mergeCell ref="A20:B22"/>
    <mergeCell ref="C13:C15"/>
    <mergeCell ref="A13:A18"/>
    <mergeCell ref="A19:B19"/>
    <mergeCell ref="B13:B15"/>
    <mergeCell ref="B16:B18"/>
    <mergeCell ref="N4:N5"/>
    <mergeCell ref="I4:J5"/>
    <mergeCell ref="C6:C8"/>
    <mergeCell ref="I6:I11"/>
    <mergeCell ref="A6:A11"/>
    <mergeCell ref="C9:C11"/>
    <mergeCell ref="B6:B8"/>
    <mergeCell ref="B9:B11"/>
    <mergeCell ref="K4:K5"/>
  </mergeCells>
  <phoneticPr fontId="33" type="noConversion"/>
  <printOptions horizontalCentered="1"/>
  <pageMargins left="0.28999999999999998" right="0.39370078740157483" top="0.76" bottom="0.31496062992125984" header="0" footer="0"/>
  <pageSetup paperSize="9" scale="89" orientation="portrait" r:id="rId1"/>
  <headerFooter alignWithMargins="0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7"/>
  <dimension ref="A1:P41"/>
  <sheetViews>
    <sheetView zoomScale="145" zoomScaleNormal="145" workbookViewId="0">
      <selection activeCell="F50" sqref="F50"/>
    </sheetView>
  </sheetViews>
  <sheetFormatPr defaultRowHeight="13.5"/>
  <cols>
    <col min="2" max="2" width="7.109375" customWidth="1"/>
    <col min="3" max="4" width="12.21875" customWidth="1"/>
    <col min="5" max="5" width="13" customWidth="1"/>
  </cols>
  <sheetData>
    <row r="1" spans="1:7">
      <c r="B1" s="915" t="s">
        <v>465</v>
      </c>
    </row>
    <row r="2" spans="1:7" ht="12" customHeight="1">
      <c r="B2" s="211"/>
      <c r="C2" s="212" t="s">
        <v>60</v>
      </c>
      <c r="D2" s="212" t="s">
        <v>61</v>
      </c>
      <c r="E2" s="213" t="s">
        <v>62</v>
      </c>
      <c r="F2" s="145" t="s">
        <v>183</v>
      </c>
      <c r="G2" s="746"/>
    </row>
    <row r="3" spans="1:7" ht="12" customHeight="1">
      <c r="B3" s="28" t="s">
        <v>30</v>
      </c>
      <c r="C3" s="29" t="s">
        <v>40</v>
      </c>
      <c r="D3" s="747">
        <v>192</v>
      </c>
      <c r="E3" s="748">
        <v>8185.92</v>
      </c>
      <c r="F3" t="s">
        <v>184</v>
      </c>
    </row>
    <row r="4" spans="1:7" ht="12" customHeight="1">
      <c r="B4" s="26" t="s">
        <v>30</v>
      </c>
      <c r="C4" s="27" t="s">
        <v>385</v>
      </c>
      <c r="D4" s="911">
        <v>148</v>
      </c>
      <c r="E4" s="912">
        <v>6309.98</v>
      </c>
      <c r="F4" t="s">
        <v>185</v>
      </c>
    </row>
    <row r="5" spans="1:7" ht="12" customHeight="1">
      <c r="B5" s="26" t="s">
        <v>30</v>
      </c>
      <c r="C5" s="27" t="s">
        <v>384</v>
      </c>
      <c r="D5" s="911">
        <v>1244</v>
      </c>
      <c r="E5" s="912">
        <v>53037.94</v>
      </c>
      <c r="F5" t="s">
        <v>221</v>
      </c>
    </row>
    <row r="6" spans="1:7" ht="12" customHeight="1">
      <c r="B6" s="26" t="s">
        <v>30</v>
      </c>
      <c r="C6" s="27" t="s">
        <v>47</v>
      </c>
      <c r="D6" s="911">
        <v>0</v>
      </c>
      <c r="E6" s="912">
        <v>0</v>
      </c>
      <c r="F6" t="s">
        <v>165</v>
      </c>
    </row>
    <row r="7" spans="1:7" ht="12" customHeight="1">
      <c r="B7" s="26" t="s">
        <v>30</v>
      </c>
      <c r="C7" s="27" t="s">
        <v>383</v>
      </c>
      <c r="D7" s="911">
        <v>0</v>
      </c>
      <c r="E7" s="912">
        <v>0</v>
      </c>
      <c r="F7" t="s">
        <v>456</v>
      </c>
    </row>
    <row r="8" spans="1:7" ht="12" customHeight="1">
      <c r="B8" s="30" t="s">
        <v>30</v>
      </c>
      <c r="C8" s="41" t="s">
        <v>107</v>
      </c>
      <c r="D8" s="911">
        <v>0</v>
      </c>
      <c r="E8" s="912">
        <v>0</v>
      </c>
      <c r="F8" t="s">
        <v>163</v>
      </c>
    </row>
    <row r="9" spans="1:7" ht="12" customHeight="1">
      <c r="B9" s="30" t="s">
        <v>30</v>
      </c>
      <c r="C9" s="41" t="s">
        <v>101</v>
      </c>
      <c r="D9" s="911">
        <v>93.9</v>
      </c>
      <c r="E9" s="913">
        <v>4003.4265</v>
      </c>
      <c r="F9" s="865" t="s">
        <v>186</v>
      </c>
      <c r="G9" s="865" t="s">
        <v>386</v>
      </c>
    </row>
    <row r="10" spans="1:7" ht="12" hidden="1" customHeight="1">
      <c r="B10" s="1197" t="s">
        <v>71</v>
      </c>
      <c r="C10" s="1198"/>
      <c r="D10" s="417">
        <f>SUM(D3:D9)</f>
        <v>1677.9</v>
      </c>
      <c r="E10" s="25">
        <f>SUM(E3:E9)</f>
        <v>71537.266499999998</v>
      </c>
    </row>
    <row r="11" spans="1:7" ht="12" hidden="1" customHeight="1">
      <c r="B11" s="28" t="s">
        <v>30</v>
      </c>
      <c r="C11" s="29" t="s">
        <v>70</v>
      </c>
      <c r="D11" s="418">
        <v>0</v>
      </c>
      <c r="E11" s="42">
        <v>0</v>
      </c>
    </row>
    <row r="12" spans="1:7" ht="12" customHeight="1">
      <c r="B12" s="1199" t="s">
        <v>72</v>
      </c>
      <c r="C12" s="1200"/>
      <c r="D12" s="419">
        <f>SUM(D3:D9)</f>
        <v>1677.9</v>
      </c>
      <c r="E12" s="214">
        <f>SUM(E3:E9)</f>
        <v>71537.266499999998</v>
      </c>
      <c r="F12" t="s">
        <v>164</v>
      </c>
    </row>
    <row r="13" spans="1:7">
      <c r="D13" s="77"/>
      <c r="E13" s="78"/>
    </row>
    <row r="16" spans="1:7">
      <c r="A16" t="s">
        <v>113</v>
      </c>
    </row>
    <row r="17" spans="1:16">
      <c r="A17" s="717" t="s">
        <v>466</v>
      </c>
      <c r="B17" s="717"/>
      <c r="C17" s="717"/>
      <c r="D17" s="717"/>
      <c r="E17" s="717"/>
      <c r="F17" s="717"/>
      <c r="G17" s="717"/>
      <c r="H17" s="717"/>
      <c r="I17" s="717"/>
      <c r="J17" s="717"/>
      <c r="K17" s="717"/>
      <c r="L17" s="717"/>
      <c r="M17" s="717"/>
      <c r="N17" s="717"/>
      <c r="O17" s="717"/>
      <c r="P17" s="717"/>
    </row>
    <row r="19" spans="1:16">
      <c r="C19" s="22"/>
      <c r="D19" s="22"/>
      <c r="E19" s="22"/>
    </row>
    <row r="22" spans="1:16">
      <c r="H22" t="s">
        <v>242</v>
      </c>
    </row>
    <row r="41" spans="6:6">
      <c r="F41" s="914" t="s">
        <v>457</v>
      </c>
    </row>
  </sheetData>
  <mergeCells count="2">
    <mergeCell ref="B10:C10"/>
    <mergeCell ref="B12:C12"/>
  </mergeCells>
  <phoneticPr fontId="34" type="noConversion"/>
  <pageMargins left="0.75" right="0.75" top="1" bottom="1" header="0.5" footer="0.5"/>
  <pageSetup paperSize="9" scale="70" orientation="portrait" r:id="rId1"/>
  <headerFooter alignWithMargins="0"/>
  <drawing r:id="rId2"/>
  <legacyDrawing r:id="rId3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8">
    <tabColor rgb="FFFF0000"/>
    <pageSetUpPr fitToPage="1"/>
  </sheetPr>
  <dimension ref="B1:AQ87"/>
  <sheetViews>
    <sheetView view="pageBreakPreview" zoomScale="40" zoomScaleNormal="25" zoomScaleSheetLayoutView="40" zoomScalePageLayoutView="70" workbookViewId="0">
      <selection activeCell="AL51" sqref="AL51"/>
    </sheetView>
  </sheetViews>
  <sheetFormatPr defaultRowHeight="13.5"/>
  <cols>
    <col min="1" max="1" width="3.33203125" style="88" customWidth="1"/>
    <col min="2" max="2" width="28.6640625" style="88" customWidth="1"/>
    <col min="3" max="16" width="25" style="88" hidden="1" customWidth="1"/>
    <col min="17" max="21" width="29" style="88" customWidth="1"/>
    <col min="22" max="22" width="25" style="88" hidden="1" customWidth="1"/>
    <col min="23" max="23" width="28.33203125" style="88" hidden="1" customWidth="1"/>
    <col min="24" max="24" width="29" style="88" customWidth="1"/>
    <col min="25" max="25" width="30.109375" style="88" hidden="1" customWidth="1"/>
    <col min="26" max="26" width="25" style="88" hidden="1" customWidth="1"/>
    <col min="27" max="27" width="30.109375" style="88" hidden="1" customWidth="1"/>
    <col min="28" max="32" width="29" style="88" customWidth="1"/>
    <col min="33" max="34" width="25" style="88" hidden="1" customWidth="1"/>
    <col min="35" max="35" width="29" style="88" customWidth="1"/>
    <col min="36" max="37" width="8.88671875" style="88"/>
    <col min="38" max="38" width="17.6640625" style="88" bestFit="1" customWidth="1"/>
    <col min="39" max="199" width="8.88671875" style="88"/>
    <col min="200" max="200" width="1.109375" style="88" customWidth="1"/>
    <col min="201" max="201" width="10.33203125" style="88" customWidth="1"/>
    <col min="202" max="202" width="18.21875" style="88" customWidth="1"/>
    <col min="203" max="203" width="20.44140625" style="88" customWidth="1"/>
    <col min="204" max="204" width="18.109375" style="88" bestFit="1" customWidth="1"/>
    <col min="205" max="205" width="13.21875" style="88" customWidth="1"/>
    <col min="206" max="206" width="3.109375" style="88" customWidth="1"/>
    <col min="207" max="207" width="15.5546875" style="88" customWidth="1"/>
    <col min="208" max="208" width="13.21875" style="88" customWidth="1"/>
    <col min="209" max="209" width="10.88671875" style="88" customWidth="1"/>
    <col min="210" max="210" width="3.109375" style="88" customWidth="1"/>
    <col min="211" max="211" width="15.5546875" style="88" customWidth="1"/>
    <col min="212" max="213" width="10.88671875" style="88" customWidth="1"/>
    <col min="214" max="214" width="18.6640625" style="88" customWidth="1"/>
    <col min="215" max="215" width="3.109375" style="88" customWidth="1"/>
    <col min="216" max="216" width="15.5546875" style="88" customWidth="1"/>
    <col min="217" max="218" width="10.88671875" style="88" customWidth="1"/>
    <col min="219" max="219" width="3.109375" style="88" customWidth="1"/>
    <col min="220" max="220" width="16.44140625" style="88" customWidth="1"/>
    <col min="221" max="221" width="10.88671875" style="88" customWidth="1"/>
    <col min="222" max="222" width="68.6640625" style="88" customWidth="1"/>
    <col min="223" max="223" width="2.21875" style="88" customWidth="1"/>
    <col min="224" max="455" width="8.88671875" style="88"/>
    <col min="456" max="456" width="1.109375" style="88" customWidth="1"/>
    <col min="457" max="457" width="10.33203125" style="88" customWidth="1"/>
    <col min="458" max="458" width="18.21875" style="88" customWidth="1"/>
    <col min="459" max="459" width="20.44140625" style="88" customWidth="1"/>
    <col min="460" max="460" width="18.109375" style="88" bestFit="1" customWidth="1"/>
    <col min="461" max="461" width="13.21875" style="88" customWidth="1"/>
    <col min="462" max="462" width="3.109375" style="88" customWidth="1"/>
    <col min="463" max="463" width="15.5546875" style="88" customWidth="1"/>
    <col min="464" max="464" width="13.21875" style="88" customWidth="1"/>
    <col min="465" max="465" width="10.88671875" style="88" customWidth="1"/>
    <col min="466" max="466" width="3.109375" style="88" customWidth="1"/>
    <col min="467" max="467" width="15.5546875" style="88" customWidth="1"/>
    <col min="468" max="469" width="10.88671875" style="88" customWidth="1"/>
    <col min="470" max="470" width="18.6640625" style="88" customWidth="1"/>
    <col min="471" max="471" width="3.109375" style="88" customWidth="1"/>
    <col min="472" max="472" width="15.5546875" style="88" customWidth="1"/>
    <col min="473" max="474" width="10.88671875" style="88" customWidth="1"/>
    <col min="475" max="475" width="3.109375" style="88" customWidth="1"/>
    <col min="476" max="476" width="16.44140625" style="88" customWidth="1"/>
    <col min="477" max="477" width="10.88671875" style="88" customWidth="1"/>
    <col min="478" max="478" width="68.6640625" style="88" customWidth="1"/>
    <col min="479" max="479" width="2.21875" style="88" customWidth="1"/>
    <col min="480" max="711" width="8.88671875" style="88"/>
    <col min="712" max="712" width="1.109375" style="88" customWidth="1"/>
    <col min="713" max="713" width="10.33203125" style="88" customWidth="1"/>
    <col min="714" max="714" width="18.21875" style="88" customWidth="1"/>
    <col min="715" max="715" width="20.44140625" style="88" customWidth="1"/>
    <col min="716" max="716" width="18.109375" style="88" bestFit="1" customWidth="1"/>
    <col min="717" max="717" width="13.21875" style="88" customWidth="1"/>
    <col min="718" max="718" width="3.109375" style="88" customWidth="1"/>
    <col min="719" max="719" width="15.5546875" style="88" customWidth="1"/>
    <col min="720" max="720" width="13.21875" style="88" customWidth="1"/>
    <col min="721" max="721" width="10.88671875" style="88" customWidth="1"/>
    <col min="722" max="722" width="3.109375" style="88" customWidth="1"/>
    <col min="723" max="723" width="15.5546875" style="88" customWidth="1"/>
    <col min="724" max="725" width="10.88671875" style="88" customWidth="1"/>
    <col min="726" max="726" width="18.6640625" style="88" customWidth="1"/>
    <col min="727" max="727" width="3.109375" style="88" customWidth="1"/>
    <col min="728" max="728" width="15.5546875" style="88" customWidth="1"/>
    <col min="729" max="730" width="10.88671875" style="88" customWidth="1"/>
    <col min="731" max="731" width="3.109375" style="88" customWidth="1"/>
    <col min="732" max="732" width="16.44140625" style="88" customWidth="1"/>
    <col min="733" max="733" width="10.88671875" style="88" customWidth="1"/>
    <col min="734" max="734" width="68.6640625" style="88" customWidth="1"/>
    <col min="735" max="735" width="2.21875" style="88" customWidth="1"/>
    <col min="736" max="967" width="8.88671875" style="88"/>
    <col min="968" max="968" width="1.109375" style="88" customWidth="1"/>
    <col min="969" max="969" width="10.33203125" style="88" customWidth="1"/>
    <col min="970" max="970" width="18.21875" style="88" customWidth="1"/>
    <col min="971" max="971" width="20.44140625" style="88" customWidth="1"/>
    <col min="972" max="972" width="18.109375" style="88" bestFit="1" customWidth="1"/>
    <col min="973" max="973" width="13.21875" style="88" customWidth="1"/>
    <col min="974" max="974" width="3.109375" style="88" customWidth="1"/>
    <col min="975" max="975" width="15.5546875" style="88" customWidth="1"/>
    <col min="976" max="976" width="13.21875" style="88" customWidth="1"/>
    <col min="977" max="977" width="10.88671875" style="88" customWidth="1"/>
    <col min="978" max="978" width="3.109375" style="88" customWidth="1"/>
    <col min="979" max="979" width="15.5546875" style="88" customWidth="1"/>
    <col min="980" max="981" width="10.88671875" style="88" customWidth="1"/>
    <col min="982" max="982" width="18.6640625" style="88" customWidth="1"/>
    <col min="983" max="983" width="3.109375" style="88" customWidth="1"/>
    <col min="984" max="984" width="15.5546875" style="88" customWidth="1"/>
    <col min="985" max="986" width="10.88671875" style="88" customWidth="1"/>
    <col min="987" max="987" width="3.109375" style="88" customWidth="1"/>
    <col min="988" max="988" width="16.44140625" style="88" customWidth="1"/>
    <col min="989" max="989" width="10.88671875" style="88" customWidth="1"/>
    <col min="990" max="990" width="68.6640625" style="88" customWidth="1"/>
    <col min="991" max="991" width="2.21875" style="88" customWidth="1"/>
    <col min="992" max="1223" width="8.88671875" style="88"/>
    <col min="1224" max="1224" width="1.109375" style="88" customWidth="1"/>
    <col min="1225" max="1225" width="10.33203125" style="88" customWidth="1"/>
    <col min="1226" max="1226" width="18.21875" style="88" customWidth="1"/>
    <col min="1227" max="1227" width="20.44140625" style="88" customWidth="1"/>
    <col min="1228" max="1228" width="18.109375" style="88" bestFit="1" customWidth="1"/>
    <col min="1229" max="1229" width="13.21875" style="88" customWidth="1"/>
    <col min="1230" max="1230" width="3.109375" style="88" customWidth="1"/>
    <col min="1231" max="1231" width="15.5546875" style="88" customWidth="1"/>
    <col min="1232" max="1232" width="13.21875" style="88" customWidth="1"/>
    <col min="1233" max="1233" width="10.88671875" style="88" customWidth="1"/>
    <col min="1234" max="1234" width="3.109375" style="88" customWidth="1"/>
    <col min="1235" max="1235" width="15.5546875" style="88" customWidth="1"/>
    <col min="1236" max="1237" width="10.88671875" style="88" customWidth="1"/>
    <col min="1238" max="1238" width="18.6640625" style="88" customWidth="1"/>
    <col min="1239" max="1239" width="3.109375" style="88" customWidth="1"/>
    <col min="1240" max="1240" width="15.5546875" style="88" customWidth="1"/>
    <col min="1241" max="1242" width="10.88671875" style="88" customWidth="1"/>
    <col min="1243" max="1243" width="3.109375" style="88" customWidth="1"/>
    <col min="1244" max="1244" width="16.44140625" style="88" customWidth="1"/>
    <col min="1245" max="1245" width="10.88671875" style="88" customWidth="1"/>
    <col min="1246" max="1246" width="68.6640625" style="88" customWidth="1"/>
    <col min="1247" max="1247" width="2.21875" style="88" customWidth="1"/>
    <col min="1248" max="1479" width="8.88671875" style="88"/>
    <col min="1480" max="1480" width="1.109375" style="88" customWidth="1"/>
    <col min="1481" max="1481" width="10.33203125" style="88" customWidth="1"/>
    <col min="1482" max="1482" width="18.21875" style="88" customWidth="1"/>
    <col min="1483" max="1483" width="20.44140625" style="88" customWidth="1"/>
    <col min="1484" max="1484" width="18.109375" style="88" bestFit="1" customWidth="1"/>
    <col min="1485" max="1485" width="13.21875" style="88" customWidth="1"/>
    <col min="1486" max="1486" width="3.109375" style="88" customWidth="1"/>
    <col min="1487" max="1487" width="15.5546875" style="88" customWidth="1"/>
    <col min="1488" max="1488" width="13.21875" style="88" customWidth="1"/>
    <col min="1489" max="1489" width="10.88671875" style="88" customWidth="1"/>
    <col min="1490" max="1490" width="3.109375" style="88" customWidth="1"/>
    <col min="1491" max="1491" width="15.5546875" style="88" customWidth="1"/>
    <col min="1492" max="1493" width="10.88671875" style="88" customWidth="1"/>
    <col min="1494" max="1494" width="18.6640625" style="88" customWidth="1"/>
    <col min="1495" max="1495" width="3.109375" style="88" customWidth="1"/>
    <col min="1496" max="1496" width="15.5546875" style="88" customWidth="1"/>
    <col min="1497" max="1498" width="10.88671875" style="88" customWidth="1"/>
    <col min="1499" max="1499" width="3.109375" style="88" customWidth="1"/>
    <col min="1500" max="1500" width="16.44140625" style="88" customWidth="1"/>
    <col min="1501" max="1501" width="10.88671875" style="88" customWidth="1"/>
    <col min="1502" max="1502" width="68.6640625" style="88" customWidth="1"/>
    <col min="1503" max="1503" width="2.21875" style="88" customWidth="1"/>
    <col min="1504" max="1735" width="8.88671875" style="88"/>
    <col min="1736" max="1736" width="1.109375" style="88" customWidth="1"/>
    <col min="1737" max="1737" width="10.33203125" style="88" customWidth="1"/>
    <col min="1738" max="1738" width="18.21875" style="88" customWidth="1"/>
    <col min="1739" max="1739" width="20.44140625" style="88" customWidth="1"/>
    <col min="1740" max="1740" width="18.109375" style="88" bestFit="1" customWidth="1"/>
    <col min="1741" max="1741" width="13.21875" style="88" customWidth="1"/>
    <col min="1742" max="1742" width="3.109375" style="88" customWidth="1"/>
    <col min="1743" max="1743" width="15.5546875" style="88" customWidth="1"/>
    <col min="1744" max="1744" width="13.21875" style="88" customWidth="1"/>
    <col min="1745" max="1745" width="10.88671875" style="88" customWidth="1"/>
    <col min="1746" max="1746" width="3.109375" style="88" customWidth="1"/>
    <col min="1747" max="1747" width="15.5546875" style="88" customWidth="1"/>
    <col min="1748" max="1749" width="10.88671875" style="88" customWidth="1"/>
    <col min="1750" max="1750" width="18.6640625" style="88" customWidth="1"/>
    <col min="1751" max="1751" width="3.109375" style="88" customWidth="1"/>
    <col min="1752" max="1752" width="15.5546875" style="88" customWidth="1"/>
    <col min="1753" max="1754" width="10.88671875" style="88" customWidth="1"/>
    <col min="1755" max="1755" width="3.109375" style="88" customWidth="1"/>
    <col min="1756" max="1756" width="16.44140625" style="88" customWidth="1"/>
    <col min="1757" max="1757" width="10.88671875" style="88" customWidth="1"/>
    <col min="1758" max="1758" width="68.6640625" style="88" customWidth="1"/>
    <col min="1759" max="1759" width="2.21875" style="88" customWidth="1"/>
    <col min="1760" max="1991" width="8.88671875" style="88"/>
    <col min="1992" max="1992" width="1.109375" style="88" customWidth="1"/>
    <col min="1993" max="1993" width="10.33203125" style="88" customWidth="1"/>
    <col min="1994" max="1994" width="18.21875" style="88" customWidth="1"/>
    <col min="1995" max="1995" width="20.44140625" style="88" customWidth="1"/>
    <col min="1996" max="1996" width="18.109375" style="88" bestFit="1" customWidth="1"/>
    <col min="1997" max="1997" width="13.21875" style="88" customWidth="1"/>
    <col min="1998" max="1998" width="3.109375" style="88" customWidth="1"/>
    <col min="1999" max="1999" width="15.5546875" style="88" customWidth="1"/>
    <col min="2000" max="2000" width="13.21875" style="88" customWidth="1"/>
    <col min="2001" max="2001" width="10.88671875" style="88" customWidth="1"/>
    <col min="2002" max="2002" width="3.109375" style="88" customWidth="1"/>
    <col min="2003" max="2003" width="15.5546875" style="88" customWidth="1"/>
    <col min="2004" max="2005" width="10.88671875" style="88" customWidth="1"/>
    <col min="2006" max="2006" width="18.6640625" style="88" customWidth="1"/>
    <col min="2007" max="2007" width="3.109375" style="88" customWidth="1"/>
    <col min="2008" max="2008" width="15.5546875" style="88" customWidth="1"/>
    <col min="2009" max="2010" width="10.88671875" style="88" customWidth="1"/>
    <col min="2011" max="2011" width="3.109375" style="88" customWidth="1"/>
    <col min="2012" max="2012" width="16.44140625" style="88" customWidth="1"/>
    <col min="2013" max="2013" width="10.88671875" style="88" customWidth="1"/>
    <col min="2014" max="2014" width="68.6640625" style="88" customWidth="1"/>
    <col min="2015" max="2015" width="2.21875" style="88" customWidth="1"/>
    <col min="2016" max="2247" width="8.88671875" style="88"/>
    <col min="2248" max="2248" width="1.109375" style="88" customWidth="1"/>
    <col min="2249" max="2249" width="10.33203125" style="88" customWidth="1"/>
    <col min="2250" max="2250" width="18.21875" style="88" customWidth="1"/>
    <col min="2251" max="2251" width="20.44140625" style="88" customWidth="1"/>
    <col min="2252" max="2252" width="18.109375" style="88" bestFit="1" customWidth="1"/>
    <col min="2253" max="2253" width="13.21875" style="88" customWidth="1"/>
    <col min="2254" max="2254" width="3.109375" style="88" customWidth="1"/>
    <col min="2255" max="2255" width="15.5546875" style="88" customWidth="1"/>
    <col min="2256" max="2256" width="13.21875" style="88" customWidth="1"/>
    <col min="2257" max="2257" width="10.88671875" style="88" customWidth="1"/>
    <col min="2258" max="2258" width="3.109375" style="88" customWidth="1"/>
    <col min="2259" max="2259" width="15.5546875" style="88" customWidth="1"/>
    <col min="2260" max="2261" width="10.88671875" style="88" customWidth="1"/>
    <col min="2262" max="2262" width="18.6640625" style="88" customWidth="1"/>
    <col min="2263" max="2263" width="3.109375" style="88" customWidth="1"/>
    <col min="2264" max="2264" width="15.5546875" style="88" customWidth="1"/>
    <col min="2265" max="2266" width="10.88671875" style="88" customWidth="1"/>
    <col min="2267" max="2267" width="3.109375" style="88" customWidth="1"/>
    <col min="2268" max="2268" width="16.44140625" style="88" customWidth="1"/>
    <col min="2269" max="2269" width="10.88671875" style="88" customWidth="1"/>
    <col min="2270" max="2270" width="68.6640625" style="88" customWidth="1"/>
    <col min="2271" max="2271" width="2.21875" style="88" customWidth="1"/>
    <col min="2272" max="2503" width="8.88671875" style="88"/>
    <col min="2504" max="2504" width="1.109375" style="88" customWidth="1"/>
    <col min="2505" max="2505" width="10.33203125" style="88" customWidth="1"/>
    <col min="2506" max="2506" width="18.21875" style="88" customWidth="1"/>
    <col min="2507" max="2507" width="20.44140625" style="88" customWidth="1"/>
    <col min="2508" max="2508" width="18.109375" style="88" bestFit="1" customWidth="1"/>
    <col min="2509" max="2509" width="13.21875" style="88" customWidth="1"/>
    <col min="2510" max="2510" width="3.109375" style="88" customWidth="1"/>
    <col min="2511" max="2511" width="15.5546875" style="88" customWidth="1"/>
    <col min="2512" max="2512" width="13.21875" style="88" customWidth="1"/>
    <col min="2513" max="2513" width="10.88671875" style="88" customWidth="1"/>
    <col min="2514" max="2514" width="3.109375" style="88" customWidth="1"/>
    <col min="2515" max="2515" width="15.5546875" style="88" customWidth="1"/>
    <col min="2516" max="2517" width="10.88671875" style="88" customWidth="1"/>
    <col min="2518" max="2518" width="18.6640625" style="88" customWidth="1"/>
    <col min="2519" max="2519" width="3.109375" style="88" customWidth="1"/>
    <col min="2520" max="2520" width="15.5546875" style="88" customWidth="1"/>
    <col min="2521" max="2522" width="10.88671875" style="88" customWidth="1"/>
    <col min="2523" max="2523" width="3.109375" style="88" customWidth="1"/>
    <col min="2524" max="2524" width="16.44140625" style="88" customWidth="1"/>
    <col min="2525" max="2525" width="10.88671875" style="88" customWidth="1"/>
    <col min="2526" max="2526" width="68.6640625" style="88" customWidth="1"/>
    <col min="2527" max="2527" width="2.21875" style="88" customWidth="1"/>
    <col min="2528" max="2759" width="8.88671875" style="88"/>
    <col min="2760" max="2760" width="1.109375" style="88" customWidth="1"/>
    <col min="2761" max="2761" width="10.33203125" style="88" customWidth="1"/>
    <col min="2762" max="2762" width="18.21875" style="88" customWidth="1"/>
    <col min="2763" max="2763" width="20.44140625" style="88" customWidth="1"/>
    <col min="2764" max="2764" width="18.109375" style="88" bestFit="1" customWidth="1"/>
    <col min="2765" max="2765" width="13.21875" style="88" customWidth="1"/>
    <col min="2766" max="2766" width="3.109375" style="88" customWidth="1"/>
    <col min="2767" max="2767" width="15.5546875" style="88" customWidth="1"/>
    <col min="2768" max="2768" width="13.21875" style="88" customWidth="1"/>
    <col min="2769" max="2769" width="10.88671875" style="88" customWidth="1"/>
    <col min="2770" max="2770" width="3.109375" style="88" customWidth="1"/>
    <col min="2771" max="2771" width="15.5546875" style="88" customWidth="1"/>
    <col min="2772" max="2773" width="10.88671875" style="88" customWidth="1"/>
    <col min="2774" max="2774" width="18.6640625" style="88" customWidth="1"/>
    <col min="2775" max="2775" width="3.109375" style="88" customWidth="1"/>
    <col min="2776" max="2776" width="15.5546875" style="88" customWidth="1"/>
    <col min="2777" max="2778" width="10.88671875" style="88" customWidth="1"/>
    <col min="2779" max="2779" width="3.109375" style="88" customWidth="1"/>
    <col min="2780" max="2780" width="16.44140625" style="88" customWidth="1"/>
    <col min="2781" max="2781" width="10.88671875" style="88" customWidth="1"/>
    <col min="2782" max="2782" width="68.6640625" style="88" customWidth="1"/>
    <col min="2783" max="2783" width="2.21875" style="88" customWidth="1"/>
    <col min="2784" max="3015" width="8.88671875" style="88"/>
    <col min="3016" max="3016" width="1.109375" style="88" customWidth="1"/>
    <col min="3017" max="3017" width="10.33203125" style="88" customWidth="1"/>
    <col min="3018" max="3018" width="18.21875" style="88" customWidth="1"/>
    <col min="3019" max="3019" width="20.44140625" style="88" customWidth="1"/>
    <col min="3020" max="3020" width="18.109375" style="88" bestFit="1" customWidth="1"/>
    <col min="3021" max="3021" width="13.21875" style="88" customWidth="1"/>
    <col min="3022" max="3022" width="3.109375" style="88" customWidth="1"/>
    <col min="3023" max="3023" width="15.5546875" style="88" customWidth="1"/>
    <col min="3024" max="3024" width="13.21875" style="88" customWidth="1"/>
    <col min="3025" max="3025" width="10.88671875" style="88" customWidth="1"/>
    <col min="3026" max="3026" width="3.109375" style="88" customWidth="1"/>
    <col min="3027" max="3027" width="15.5546875" style="88" customWidth="1"/>
    <col min="3028" max="3029" width="10.88671875" style="88" customWidth="1"/>
    <col min="3030" max="3030" width="18.6640625" style="88" customWidth="1"/>
    <col min="3031" max="3031" width="3.109375" style="88" customWidth="1"/>
    <col min="3032" max="3032" width="15.5546875" style="88" customWidth="1"/>
    <col min="3033" max="3034" width="10.88671875" style="88" customWidth="1"/>
    <col min="3035" max="3035" width="3.109375" style="88" customWidth="1"/>
    <col min="3036" max="3036" width="16.44140625" style="88" customWidth="1"/>
    <col min="3037" max="3037" width="10.88671875" style="88" customWidth="1"/>
    <col min="3038" max="3038" width="68.6640625" style="88" customWidth="1"/>
    <col min="3039" max="3039" width="2.21875" style="88" customWidth="1"/>
    <col min="3040" max="3271" width="8.88671875" style="88"/>
    <col min="3272" max="3272" width="1.109375" style="88" customWidth="1"/>
    <col min="3273" max="3273" width="10.33203125" style="88" customWidth="1"/>
    <col min="3274" max="3274" width="18.21875" style="88" customWidth="1"/>
    <col min="3275" max="3275" width="20.44140625" style="88" customWidth="1"/>
    <col min="3276" max="3276" width="18.109375" style="88" bestFit="1" customWidth="1"/>
    <col min="3277" max="3277" width="13.21875" style="88" customWidth="1"/>
    <col min="3278" max="3278" width="3.109375" style="88" customWidth="1"/>
    <col min="3279" max="3279" width="15.5546875" style="88" customWidth="1"/>
    <col min="3280" max="3280" width="13.21875" style="88" customWidth="1"/>
    <col min="3281" max="3281" width="10.88671875" style="88" customWidth="1"/>
    <col min="3282" max="3282" width="3.109375" style="88" customWidth="1"/>
    <col min="3283" max="3283" width="15.5546875" style="88" customWidth="1"/>
    <col min="3284" max="3285" width="10.88671875" style="88" customWidth="1"/>
    <col min="3286" max="3286" width="18.6640625" style="88" customWidth="1"/>
    <col min="3287" max="3287" width="3.109375" style="88" customWidth="1"/>
    <col min="3288" max="3288" width="15.5546875" style="88" customWidth="1"/>
    <col min="3289" max="3290" width="10.88671875" style="88" customWidth="1"/>
    <col min="3291" max="3291" width="3.109375" style="88" customWidth="1"/>
    <col min="3292" max="3292" width="16.44140625" style="88" customWidth="1"/>
    <col min="3293" max="3293" width="10.88671875" style="88" customWidth="1"/>
    <col min="3294" max="3294" width="68.6640625" style="88" customWidth="1"/>
    <col min="3295" max="3295" width="2.21875" style="88" customWidth="1"/>
    <col min="3296" max="3527" width="8.88671875" style="88"/>
    <col min="3528" max="3528" width="1.109375" style="88" customWidth="1"/>
    <col min="3529" max="3529" width="10.33203125" style="88" customWidth="1"/>
    <col min="3530" max="3530" width="18.21875" style="88" customWidth="1"/>
    <col min="3531" max="3531" width="20.44140625" style="88" customWidth="1"/>
    <col min="3532" max="3532" width="18.109375" style="88" bestFit="1" customWidth="1"/>
    <col min="3533" max="3533" width="13.21875" style="88" customWidth="1"/>
    <col min="3534" max="3534" width="3.109375" style="88" customWidth="1"/>
    <col min="3535" max="3535" width="15.5546875" style="88" customWidth="1"/>
    <col min="3536" max="3536" width="13.21875" style="88" customWidth="1"/>
    <col min="3537" max="3537" width="10.88671875" style="88" customWidth="1"/>
    <col min="3538" max="3538" width="3.109375" style="88" customWidth="1"/>
    <col min="3539" max="3539" width="15.5546875" style="88" customWidth="1"/>
    <col min="3540" max="3541" width="10.88671875" style="88" customWidth="1"/>
    <col min="3542" max="3542" width="18.6640625" style="88" customWidth="1"/>
    <col min="3543" max="3543" width="3.109375" style="88" customWidth="1"/>
    <col min="3544" max="3544" width="15.5546875" style="88" customWidth="1"/>
    <col min="3545" max="3546" width="10.88671875" style="88" customWidth="1"/>
    <col min="3547" max="3547" width="3.109375" style="88" customWidth="1"/>
    <col min="3548" max="3548" width="16.44140625" style="88" customWidth="1"/>
    <col min="3549" max="3549" width="10.88671875" style="88" customWidth="1"/>
    <col min="3550" max="3550" width="68.6640625" style="88" customWidth="1"/>
    <col min="3551" max="3551" width="2.21875" style="88" customWidth="1"/>
    <col min="3552" max="3783" width="8.88671875" style="88"/>
    <col min="3784" max="3784" width="1.109375" style="88" customWidth="1"/>
    <col min="3785" max="3785" width="10.33203125" style="88" customWidth="1"/>
    <col min="3786" max="3786" width="18.21875" style="88" customWidth="1"/>
    <col min="3787" max="3787" width="20.44140625" style="88" customWidth="1"/>
    <col min="3788" max="3788" width="18.109375" style="88" bestFit="1" customWidth="1"/>
    <col min="3789" max="3789" width="13.21875" style="88" customWidth="1"/>
    <col min="3790" max="3790" width="3.109375" style="88" customWidth="1"/>
    <col min="3791" max="3791" width="15.5546875" style="88" customWidth="1"/>
    <col min="3792" max="3792" width="13.21875" style="88" customWidth="1"/>
    <col min="3793" max="3793" width="10.88671875" style="88" customWidth="1"/>
    <col min="3794" max="3794" width="3.109375" style="88" customWidth="1"/>
    <col min="3795" max="3795" width="15.5546875" style="88" customWidth="1"/>
    <col min="3796" max="3797" width="10.88671875" style="88" customWidth="1"/>
    <col min="3798" max="3798" width="18.6640625" style="88" customWidth="1"/>
    <col min="3799" max="3799" width="3.109375" style="88" customWidth="1"/>
    <col min="3800" max="3800" width="15.5546875" style="88" customWidth="1"/>
    <col min="3801" max="3802" width="10.88671875" style="88" customWidth="1"/>
    <col min="3803" max="3803" width="3.109375" style="88" customWidth="1"/>
    <col min="3804" max="3804" width="16.44140625" style="88" customWidth="1"/>
    <col min="3805" max="3805" width="10.88671875" style="88" customWidth="1"/>
    <col min="3806" max="3806" width="68.6640625" style="88" customWidth="1"/>
    <col min="3807" max="3807" width="2.21875" style="88" customWidth="1"/>
    <col min="3808" max="4039" width="8.88671875" style="88"/>
    <col min="4040" max="4040" width="1.109375" style="88" customWidth="1"/>
    <col min="4041" max="4041" width="10.33203125" style="88" customWidth="1"/>
    <col min="4042" max="4042" width="18.21875" style="88" customWidth="1"/>
    <col min="4043" max="4043" width="20.44140625" style="88" customWidth="1"/>
    <col min="4044" max="4044" width="18.109375" style="88" bestFit="1" customWidth="1"/>
    <col min="4045" max="4045" width="13.21875" style="88" customWidth="1"/>
    <col min="4046" max="4046" width="3.109375" style="88" customWidth="1"/>
    <col min="4047" max="4047" width="15.5546875" style="88" customWidth="1"/>
    <col min="4048" max="4048" width="13.21875" style="88" customWidth="1"/>
    <col min="4049" max="4049" width="10.88671875" style="88" customWidth="1"/>
    <col min="4050" max="4050" width="3.109375" style="88" customWidth="1"/>
    <col min="4051" max="4051" width="15.5546875" style="88" customWidth="1"/>
    <col min="4052" max="4053" width="10.88671875" style="88" customWidth="1"/>
    <col min="4054" max="4054" width="18.6640625" style="88" customWidth="1"/>
    <col min="4055" max="4055" width="3.109375" style="88" customWidth="1"/>
    <col min="4056" max="4056" width="15.5546875" style="88" customWidth="1"/>
    <col min="4057" max="4058" width="10.88671875" style="88" customWidth="1"/>
    <col min="4059" max="4059" width="3.109375" style="88" customWidth="1"/>
    <col min="4060" max="4060" width="16.44140625" style="88" customWidth="1"/>
    <col min="4061" max="4061" width="10.88671875" style="88" customWidth="1"/>
    <col min="4062" max="4062" width="68.6640625" style="88" customWidth="1"/>
    <col min="4063" max="4063" width="2.21875" style="88" customWidth="1"/>
    <col min="4064" max="4295" width="8.88671875" style="88"/>
    <col min="4296" max="4296" width="1.109375" style="88" customWidth="1"/>
    <col min="4297" max="4297" width="10.33203125" style="88" customWidth="1"/>
    <col min="4298" max="4298" width="18.21875" style="88" customWidth="1"/>
    <col min="4299" max="4299" width="20.44140625" style="88" customWidth="1"/>
    <col min="4300" max="4300" width="18.109375" style="88" bestFit="1" customWidth="1"/>
    <col min="4301" max="4301" width="13.21875" style="88" customWidth="1"/>
    <col min="4302" max="4302" width="3.109375" style="88" customWidth="1"/>
    <col min="4303" max="4303" width="15.5546875" style="88" customWidth="1"/>
    <col min="4304" max="4304" width="13.21875" style="88" customWidth="1"/>
    <col min="4305" max="4305" width="10.88671875" style="88" customWidth="1"/>
    <col min="4306" max="4306" width="3.109375" style="88" customWidth="1"/>
    <col min="4307" max="4307" width="15.5546875" style="88" customWidth="1"/>
    <col min="4308" max="4309" width="10.88671875" style="88" customWidth="1"/>
    <col min="4310" max="4310" width="18.6640625" style="88" customWidth="1"/>
    <col min="4311" max="4311" width="3.109375" style="88" customWidth="1"/>
    <col min="4312" max="4312" width="15.5546875" style="88" customWidth="1"/>
    <col min="4313" max="4314" width="10.88671875" style="88" customWidth="1"/>
    <col min="4315" max="4315" width="3.109375" style="88" customWidth="1"/>
    <col min="4316" max="4316" width="16.44140625" style="88" customWidth="1"/>
    <col min="4317" max="4317" width="10.88671875" style="88" customWidth="1"/>
    <col min="4318" max="4318" width="68.6640625" style="88" customWidth="1"/>
    <col min="4319" max="4319" width="2.21875" style="88" customWidth="1"/>
    <col min="4320" max="4551" width="8.88671875" style="88"/>
    <col min="4552" max="4552" width="1.109375" style="88" customWidth="1"/>
    <col min="4553" max="4553" width="10.33203125" style="88" customWidth="1"/>
    <col min="4554" max="4554" width="18.21875" style="88" customWidth="1"/>
    <col min="4555" max="4555" width="20.44140625" style="88" customWidth="1"/>
    <col min="4556" max="4556" width="18.109375" style="88" bestFit="1" customWidth="1"/>
    <col min="4557" max="4557" width="13.21875" style="88" customWidth="1"/>
    <col min="4558" max="4558" width="3.109375" style="88" customWidth="1"/>
    <col min="4559" max="4559" width="15.5546875" style="88" customWidth="1"/>
    <col min="4560" max="4560" width="13.21875" style="88" customWidth="1"/>
    <col min="4561" max="4561" width="10.88671875" style="88" customWidth="1"/>
    <col min="4562" max="4562" width="3.109375" style="88" customWidth="1"/>
    <col min="4563" max="4563" width="15.5546875" style="88" customWidth="1"/>
    <col min="4564" max="4565" width="10.88671875" style="88" customWidth="1"/>
    <col min="4566" max="4566" width="18.6640625" style="88" customWidth="1"/>
    <col min="4567" max="4567" width="3.109375" style="88" customWidth="1"/>
    <col min="4568" max="4568" width="15.5546875" style="88" customWidth="1"/>
    <col min="4569" max="4570" width="10.88671875" style="88" customWidth="1"/>
    <col min="4571" max="4571" width="3.109375" style="88" customWidth="1"/>
    <col min="4572" max="4572" width="16.44140625" style="88" customWidth="1"/>
    <col min="4573" max="4573" width="10.88671875" style="88" customWidth="1"/>
    <col min="4574" max="4574" width="68.6640625" style="88" customWidth="1"/>
    <col min="4575" max="4575" width="2.21875" style="88" customWidth="1"/>
    <col min="4576" max="4807" width="8.88671875" style="88"/>
    <col min="4808" max="4808" width="1.109375" style="88" customWidth="1"/>
    <col min="4809" max="4809" width="10.33203125" style="88" customWidth="1"/>
    <col min="4810" max="4810" width="18.21875" style="88" customWidth="1"/>
    <col min="4811" max="4811" width="20.44140625" style="88" customWidth="1"/>
    <col min="4812" max="4812" width="18.109375" style="88" bestFit="1" customWidth="1"/>
    <col min="4813" max="4813" width="13.21875" style="88" customWidth="1"/>
    <col min="4814" max="4814" width="3.109375" style="88" customWidth="1"/>
    <col min="4815" max="4815" width="15.5546875" style="88" customWidth="1"/>
    <col min="4816" max="4816" width="13.21875" style="88" customWidth="1"/>
    <col min="4817" max="4817" width="10.88671875" style="88" customWidth="1"/>
    <col min="4818" max="4818" width="3.109375" style="88" customWidth="1"/>
    <col min="4819" max="4819" width="15.5546875" style="88" customWidth="1"/>
    <col min="4820" max="4821" width="10.88671875" style="88" customWidth="1"/>
    <col min="4822" max="4822" width="18.6640625" style="88" customWidth="1"/>
    <col min="4823" max="4823" width="3.109375" style="88" customWidth="1"/>
    <col min="4824" max="4824" width="15.5546875" style="88" customWidth="1"/>
    <col min="4825" max="4826" width="10.88671875" style="88" customWidth="1"/>
    <col min="4827" max="4827" width="3.109375" style="88" customWidth="1"/>
    <col min="4828" max="4828" width="16.44140625" style="88" customWidth="1"/>
    <col min="4829" max="4829" width="10.88671875" style="88" customWidth="1"/>
    <col min="4830" max="4830" width="68.6640625" style="88" customWidth="1"/>
    <col min="4831" max="4831" width="2.21875" style="88" customWidth="1"/>
    <col min="4832" max="5063" width="8.88671875" style="88"/>
    <col min="5064" max="5064" width="1.109375" style="88" customWidth="1"/>
    <col min="5065" max="5065" width="10.33203125" style="88" customWidth="1"/>
    <col min="5066" max="5066" width="18.21875" style="88" customWidth="1"/>
    <col min="5067" max="5067" width="20.44140625" style="88" customWidth="1"/>
    <col min="5068" max="5068" width="18.109375" style="88" bestFit="1" customWidth="1"/>
    <col min="5069" max="5069" width="13.21875" style="88" customWidth="1"/>
    <col min="5070" max="5070" width="3.109375" style="88" customWidth="1"/>
    <col min="5071" max="5071" width="15.5546875" style="88" customWidth="1"/>
    <col min="5072" max="5072" width="13.21875" style="88" customWidth="1"/>
    <col min="5073" max="5073" width="10.88671875" style="88" customWidth="1"/>
    <col min="5074" max="5074" width="3.109375" style="88" customWidth="1"/>
    <col min="5075" max="5075" width="15.5546875" style="88" customWidth="1"/>
    <col min="5076" max="5077" width="10.88671875" style="88" customWidth="1"/>
    <col min="5078" max="5078" width="18.6640625" style="88" customWidth="1"/>
    <col min="5079" max="5079" width="3.109375" style="88" customWidth="1"/>
    <col min="5080" max="5080" width="15.5546875" style="88" customWidth="1"/>
    <col min="5081" max="5082" width="10.88671875" style="88" customWidth="1"/>
    <col min="5083" max="5083" width="3.109375" style="88" customWidth="1"/>
    <col min="5084" max="5084" width="16.44140625" style="88" customWidth="1"/>
    <col min="5085" max="5085" width="10.88671875" style="88" customWidth="1"/>
    <col min="5086" max="5086" width="68.6640625" style="88" customWidth="1"/>
    <col min="5087" max="5087" width="2.21875" style="88" customWidth="1"/>
    <col min="5088" max="5319" width="8.88671875" style="88"/>
    <col min="5320" max="5320" width="1.109375" style="88" customWidth="1"/>
    <col min="5321" max="5321" width="10.33203125" style="88" customWidth="1"/>
    <col min="5322" max="5322" width="18.21875" style="88" customWidth="1"/>
    <col min="5323" max="5323" width="20.44140625" style="88" customWidth="1"/>
    <col min="5324" max="5324" width="18.109375" style="88" bestFit="1" customWidth="1"/>
    <col min="5325" max="5325" width="13.21875" style="88" customWidth="1"/>
    <col min="5326" max="5326" width="3.109375" style="88" customWidth="1"/>
    <col min="5327" max="5327" width="15.5546875" style="88" customWidth="1"/>
    <col min="5328" max="5328" width="13.21875" style="88" customWidth="1"/>
    <col min="5329" max="5329" width="10.88671875" style="88" customWidth="1"/>
    <col min="5330" max="5330" width="3.109375" style="88" customWidth="1"/>
    <col min="5331" max="5331" width="15.5546875" style="88" customWidth="1"/>
    <col min="5332" max="5333" width="10.88671875" style="88" customWidth="1"/>
    <col min="5334" max="5334" width="18.6640625" style="88" customWidth="1"/>
    <col min="5335" max="5335" width="3.109375" style="88" customWidth="1"/>
    <col min="5336" max="5336" width="15.5546875" style="88" customWidth="1"/>
    <col min="5337" max="5338" width="10.88671875" style="88" customWidth="1"/>
    <col min="5339" max="5339" width="3.109375" style="88" customWidth="1"/>
    <col min="5340" max="5340" width="16.44140625" style="88" customWidth="1"/>
    <col min="5341" max="5341" width="10.88671875" style="88" customWidth="1"/>
    <col min="5342" max="5342" width="68.6640625" style="88" customWidth="1"/>
    <col min="5343" max="5343" width="2.21875" style="88" customWidth="1"/>
    <col min="5344" max="5575" width="8.88671875" style="88"/>
    <col min="5576" max="5576" width="1.109375" style="88" customWidth="1"/>
    <col min="5577" max="5577" width="10.33203125" style="88" customWidth="1"/>
    <col min="5578" max="5578" width="18.21875" style="88" customWidth="1"/>
    <col min="5579" max="5579" width="20.44140625" style="88" customWidth="1"/>
    <col min="5580" max="5580" width="18.109375" style="88" bestFit="1" customWidth="1"/>
    <col min="5581" max="5581" width="13.21875" style="88" customWidth="1"/>
    <col min="5582" max="5582" width="3.109375" style="88" customWidth="1"/>
    <col min="5583" max="5583" width="15.5546875" style="88" customWidth="1"/>
    <col min="5584" max="5584" width="13.21875" style="88" customWidth="1"/>
    <col min="5585" max="5585" width="10.88671875" style="88" customWidth="1"/>
    <col min="5586" max="5586" width="3.109375" style="88" customWidth="1"/>
    <col min="5587" max="5587" width="15.5546875" style="88" customWidth="1"/>
    <col min="5588" max="5589" width="10.88671875" style="88" customWidth="1"/>
    <col min="5590" max="5590" width="18.6640625" style="88" customWidth="1"/>
    <col min="5591" max="5591" width="3.109375" style="88" customWidth="1"/>
    <col min="5592" max="5592" width="15.5546875" style="88" customWidth="1"/>
    <col min="5593" max="5594" width="10.88671875" style="88" customWidth="1"/>
    <col min="5595" max="5595" width="3.109375" style="88" customWidth="1"/>
    <col min="5596" max="5596" width="16.44140625" style="88" customWidth="1"/>
    <col min="5597" max="5597" width="10.88671875" style="88" customWidth="1"/>
    <col min="5598" max="5598" width="68.6640625" style="88" customWidth="1"/>
    <col min="5599" max="5599" width="2.21875" style="88" customWidth="1"/>
    <col min="5600" max="5831" width="8.88671875" style="88"/>
    <col min="5832" max="5832" width="1.109375" style="88" customWidth="1"/>
    <col min="5833" max="5833" width="10.33203125" style="88" customWidth="1"/>
    <col min="5834" max="5834" width="18.21875" style="88" customWidth="1"/>
    <col min="5835" max="5835" width="20.44140625" style="88" customWidth="1"/>
    <col min="5836" max="5836" width="18.109375" style="88" bestFit="1" customWidth="1"/>
    <col min="5837" max="5837" width="13.21875" style="88" customWidth="1"/>
    <col min="5838" max="5838" width="3.109375" style="88" customWidth="1"/>
    <col min="5839" max="5839" width="15.5546875" style="88" customWidth="1"/>
    <col min="5840" max="5840" width="13.21875" style="88" customWidth="1"/>
    <col min="5841" max="5841" width="10.88671875" style="88" customWidth="1"/>
    <col min="5842" max="5842" width="3.109375" style="88" customWidth="1"/>
    <col min="5843" max="5843" width="15.5546875" style="88" customWidth="1"/>
    <col min="5844" max="5845" width="10.88671875" style="88" customWidth="1"/>
    <col min="5846" max="5846" width="18.6640625" style="88" customWidth="1"/>
    <col min="5847" max="5847" width="3.109375" style="88" customWidth="1"/>
    <col min="5848" max="5848" width="15.5546875" style="88" customWidth="1"/>
    <col min="5849" max="5850" width="10.88671875" style="88" customWidth="1"/>
    <col min="5851" max="5851" width="3.109375" style="88" customWidth="1"/>
    <col min="5852" max="5852" width="16.44140625" style="88" customWidth="1"/>
    <col min="5853" max="5853" width="10.88671875" style="88" customWidth="1"/>
    <col min="5854" max="5854" width="68.6640625" style="88" customWidth="1"/>
    <col min="5855" max="5855" width="2.21875" style="88" customWidth="1"/>
    <col min="5856" max="6087" width="8.88671875" style="88"/>
    <col min="6088" max="6088" width="1.109375" style="88" customWidth="1"/>
    <col min="6089" max="6089" width="10.33203125" style="88" customWidth="1"/>
    <col min="6090" max="6090" width="18.21875" style="88" customWidth="1"/>
    <col min="6091" max="6091" width="20.44140625" style="88" customWidth="1"/>
    <col min="6092" max="6092" width="18.109375" style="88" bestFit="1" customWidth="1"/>
    <col min="6093" max="6093" width="13.21875" style="88" customWidth="1"/>
    <col min="6094" max="6094" width="3.109375" style="88" customWidth="1"/>
    <col min="6095" max="6095" width="15.5546875" style="88" customWidth="1"/>
    <col min="6096" max="6096" width="13.21875" style="88" customWidth="1"/>
    <col min="6097" max="6097" width="10.88671875" style="88" customWidth="1"/>
    <col min="6098" max="6098" width="3.109375" style="88" customWidth="1"/>
    <col min="6099" max="6099" width="15.5546875" style="88" customWidth="1"/>
    <col min="6100" max="6101" width="10.88671875" style="88" customWidth="1"/>
    <col min="6102" max="6102" width="18.6640625" style="88" customWidth="1"/>
    <col min="6103" max="6103" width="3.109375" style="88" customWidth="1"/>
    <col min="6104" max="6104" width="15.5546875" style="88" customWidth="1"/>
    <col min="6105" max="6106" width="10.88671875" style="88" customWidth="1"/>
    <col min="6107" max="6107" width="3.109375" style="88" customWidth="1"/>
    <col min="6108" max="6108" width="16.44140625" style="88" customWidth="1"/>
    <col min="6109" max="6109" width="10.88671875" style="88" customWidth="1"/>
    <col min="6110" max="6110" width="68.6640625" style="88" customWidth="1"/>
    <col min="6111" max="6111" width="2.21875" style="88" customWidth="1"/>
    <col min="6112" max="6343" width="8.88671875" style="88"/>
    <col min="6344" max="6344" width="1.109375" style="88" customWidth="1"/>
    <col min="6345" max="6345" width="10.33203125" style="88" customWidth="1"/>
    <col min="6346" max="6346" width="18.21875" style="88" customWidth="1"/>
    <col min="6347" max="6347" width="20.44140625" style="88" customWidth="1"/>
    <col min="6348" max="6348" width="18.109375" style="88" bestFit="1" customWidth="1"/>
    <col min="6349" max="6349" width="13.21875" style="88" customWidth="1"/>
    <col min="6350" max="6350" width="3.109375" style="88" customWidth="1"/>
    <col min="6351" max="6351" width="15.5546875" style="88" customWidth="1"/>
    <col min="6352" max="6352" width="13.21875" style="88" customWidth="1"/>
    <col min="6353" max="6353" width="10.88671875" style="88" customWidth="1"/>
    <col min="6354" max="6354" width="3.109375" style="88" customWidth="1"/>
    <col min="6355" max="6355" width="15.5546875" style="88" customWidth="1"/>
    <col min="6356" max="6357" width="10.88671875" style="88" customWidth="1"/>
    <col min="6358" max="6358" width="18.6640625" style="88" customWidth="1"/>
    <col min="6359" max="6359" width="3.109375" style="88" customWidth="1"/>
    <col min="6360" max="6360" width="15.5546875" style="88" customWidth="1"/>
    <col min="6361" max="6362" width="10.88671875" style="88" customWidth="1"/>
    <col min="6363" max="6363" width="3.109375" style="88" customWidth="1"/>
    <col min="6364" max="6364" width="16.44140625" style="88" customWidth="1"/>
    <col min="6365" max="6365" width="10.88671875" style="88" customWidth="1"/>
    <col min="6366" max="6366" width="68.6640625" style="88" customWidth="1"/>
    <col min="6367" max="6367" width="2.21875" style="88" customWidth="1"/>
    <col min="6368" max="6599" width="8.88671875" style="88"/>
    <col min="6600" max="6600" width="1.109375" style="88" customWidth="1"/>
    <col min="6601" max="6601" width="10.33203125" style="88" customWidth="1"/>
    <col min="6602" max="6602" width="18.21875" style="88" customWidth="1"/>
    <col min="6603" max="6603" width="20.44140625" style="88" customWidth="1"/>
    <col min="6604" max="6604" width="18.109375" style="88" bestFit="1" customWidth="1"/>
    <col min="6605" max="6605" width="13.21875" style="88" customWidth="1"/>
    <col min="6606" max="6606" width="3.109375" style="88" customWidth="1"/>
    <col min="6607" max="6607" width="15.5546875" style="88" customWidth="1"/>
    <col min="6608" max="6608" width="13.21875" style="88" customWidth="1"/>
    <col min="6609" max="6609" width="10.88671875" style="88" customWidth="1"/>
    <col min="6610" max="6610" width="3.109375" style="88" customWidth="1"/>
    <col min="6611" max="6611" width="15.5546875" style="88" customWidth="1"/>
    <col min="6612" max="6613" width="10.88671875" style="88" customWidth="1"/>
    <col min="6614" max="6614" width="18.6640625" style="88" customWidth="1"/>
    <col min="6615" max="6615" width="3.109375" style="88" customWidth="1"/>
    <col min="6616" max="6616" width="15.5546875" style="88" customWidth="1"/>
    <col min="6617" max="6618" width="10.88671875" style="88" customWidth="1"/>
    <col min="6619" max="6619" width="3.109375" style="88" customWidth="1"/>
    <col min="6620" max="6620" width="16.44140625" style="88" customWidth="1"/>
    <col min="6621" max="6621" width="10.88671875" style="88" customWidth="1"/>
    <col min="6622" max="6622" width="68.6640625" style="88" customWidth="1"/>
    <col min="6623" max="6623" width="2.21875" style="88" customWidth="1"/>
    <col min="6624" max="6855" width="8.88671875" style="88"/>
    <col min="6856" max="6856" width="1.109375" style="88" customWidth="1"/>
    <col min="6857" max="6857" width="10.33203125" style="88" customWidth="1"/>
    <col min="6858" max="6858" width="18.21875" style="88" customWidth="1"/>
    <col min="6859" max="6859" width="20.44140625" style="88" customWidth="1"/>
    <col min="6860" max="6860" width="18.109375" style="88" bestFit="1" customWidth="1"/>
    <col min="6861" max="6861" width="13.21875" style="88" customWidth="1"/>
    <col min="6862" max="6862" width="3.109375" style="88" customWidth="1"/>
    <col min="6863" max="6863" width="15.5546875" style="88" customWidth="1"/>
    <col min="6864" max="6864" width="13.21875" style="88" customWidth="1"/>
    <col min="6865" max="6865" width="10.88671875" style="88" customWidth="1"/>
    <col min="6866" max="6866" width="3.109375" style="88" customWidth="1"/>
    <col min="6867" max="6867" width="15.5546875" style="88" customWidth="1"/>
    <col min="6868" max="6869" width="10.88671875" style="88" customWidth="1"/>
    <col min="6870" max="6870" width="18.6640625" style="88" customWidth="1"/>
    <col min="6871" max="6871" width="3.109375" style="88" customWidth="1"/>
    <col min="6872" max="6872" width="15.5546875" style="88" customWidth="1"/>
    <col min="6873" max="6874" width="10.88671875" style="88" customWidth="1"/>
    <col min="6875" max="6875" width="3.109375" style="88" customWidth="1"/>
    <col min="6876" max="6876" width="16.44140625" style="88" customWidth="1"/>
    <col min="6877" max="6877" width="10.88671875" style="88" customWidth="1"/>
    <col min="6878" max="6878" width="68.6640625" style="88" customWidth="1"/>
    <col min="6879" max="6879" width="2.21875" style="88" customWidth="1"/>
    <col min="6880" max="7111" width="8.88671875" style="88"/>
    <col min="7112" max="7112" width="1.109375" style="88" customWidth="1"/>
    <col min="7113" max="7113" width="10.33203125" style="88" customWidth="1"/>
    <col min="7114" max="7114" width="18.21875" style="88" customWidth="1"/>
    <col min="7115" max="7115" width="20.44140625" style="88" customWidth="1"/>
    <col min="7116" max="7116" width="18.109375" style="88" bestFit="1" customWidth="1"/>
    <col min="7117" max="7117" width="13.21875" style="88" customWidth="1"/>
    <col min="7118" max="7118" width="3.109375" style="88" customWidth="1"/>
    <col min="7119" max="7119" width="15.5546875" style="88" customWidth="1"/>
    <col min="7120" max="7120" width="13.21875" style="88" customWidth="1"/>
    <col min="7121" max="7121" width="10.88671875" style="88" customWidth="1"/>
    <col min="7122" max="7122" width="3.109375" style="88" customWidth="1"/>
    <col min="7123" max="7123" width="15.5546875" style="88" customWidth="1"/>
    <col min="7124" max="7125" width="10.88671875" style="88" customWidth="1"/>
    <col min="7126" max="7126" width="18.6640625" style="88" customWidth="1"/>
    <col min="7127" max="7127" width="3.109375" style="88" customWidth="1"/>
    <col min="7128" max="7128" width="15.5546875" style="88" customWidth="1"/>
    <col min="7129" max="7130" width="10.88671875" style="88" customWidth="1"/>
    <col min="7131" max="7131" width="3.109375" style="88" customWidth="1"/>
    <col min="7132" max="7132" width="16.44140625" style="88" customWidth="1"/>
    <col min="7133" max="7133" width="10.88671875" style="88" customWidth="1"/>
    <col min="7134" max="7134" width="68.6640625" style="88" customWidth="1"/>
    <col min="7135" max="7135" width="2.21875" style="88" customWidth="1"/>
    <col min="7136" max="7367" width="8.88671875" style="88"/>
    <col min="7368" max="7368" width="1.109375" style="88" customWidth="1"/>
    <col min="7369" max="7369" width="10.33203125" style="88" customWidth="1"/>
    <col min="7370" max="7370" width="18.21875" style="88" customWidth="1"/>
    <col min="7371" max="7371" width="20.44140625" style="88" customWidth="1"/>
    <col min="7372" max="7372" width="18.109375" style="88" bestFit="1" customWidth="1"/>
    <col min="7373" max="7373" width="13.21875" style="88" customWidth="1"/>
    <col min="7374" max="7374" width="3.109375" style="88" customWidth="1"/>
    <col min="7375" max="7375" width="15.5546875" style="88" customWidth="1"/>
    <col min="7376" max="7376" width="13.21875" style="88" customWidth="1"/>
    <col min="7377" max="7377" width="10.88671875" style="88" customWidth="1"/>
    <col min="7378" max="7378" width="3.109375" style="88" customWidth="1"/>
    <col min="7379" max="7379" width="15.5546875" style="88" customWidth="1"/>
    <col min="7380" max="7381" width="10.88671875" style="88" customWidth="1"/>
    <col min="7382" max="7382" width="18.6640625" style="88" customWidth="1"/>
    <col min="7383" max="7383" width="3.109375" style="88" customWidth="1"/>
    <col min="7384" max="7384" width="15.5546875" style="88" customWidth="1"/>
    <col min="7385" max="7386" width="10.88671875" style="88" customWidth="1"/>
    <col min="7387" max="7387" width="3.109375" style="88" customWidth="1"/>
    <col min="7388" max="7388" width="16.44140625" style="88" customWidth="1"/>
    <col min="7389" max="7389" width="10.88671875" style="88" customWidth="1"/>
    <col min="7390" max="7390" width="68.6640625" style="88" customWidth="1"/>
    <col min="7391" max="7391" width="2.21875" style="88" customWidth="1"/>
    <col min="7392" max="7623" width="8.88671875" style="88"/>
    <col min="7624" max="7624" width="1.109375" style="88" customWidth="1"/>
    <col min="7625" max="7625" width="10.33203125" style="88" customWidth="1"/>
    <col min="7626" max="7626" width="18.21875" style="88" customWidth="1"/>
    <col min="7627" max="7627" width="20.44140625" style="88" customWidth="1"/>
    <col min="7628" max="7628" width="18.109375" style="88" bestFit="1" customWidth="1"/>
    <col min="7629" max="7629" width="13.21875" style="88" customWidth="1"/>
    <col min="7630" max="7630" width="3.109375" style="88" customWidth="1"/>
    <col min="7631" max="7631" width="15.5546875" style="88" customWidth="1"/>
    <col min="7632" max="7632" width="13.21875" style="88" customWidth="1"/>
    <col min="7633" max="7633" width="10.88671875" style="88" customWidth="1"/>
    <col min="7634" max="7634" width="3.109375" style="88" customWidth="1"/>
    <col min="7635" max="7635" width="15.5546875" style="88" customWidth="1"/>
    <col min="7636" max="7637" width="10.88671875" style="88" customWidth="1"/>
    <col min="7638" max="7638" width="18.6640625" style="88" customWidth="1"/>
    <col min="7639" max="7639" width="3.109375" style="88" customWidth="1"/>
    <col min="7640" max="7640" width="15.5546875" style="88" customWidth="1"/>
    <col min="7641" max="7642" width="10.88671875" style="88" customWidth="1"/>
    <col min="7643" max="7643" width="3.109375" style="88" customWidth="1"/>
    <col min="7644" max="7644" width="16.44140625" style="88" customWidth="1"/>
    <col min="7645" max="7645" width="10.88671875" style="88" customWidth="1"/>
    <col min="7646" max="7646" width="68.6640625" style="88" customWidth="1"/>
    <col min="7647" max="7647" width="2.21875" style="88" customWidth="1"/>
    <col min="7648" max="7879" width="8.88671875" style="88"/>
    <col min="7880" max="7880" width="1.109375" style="88" customWidth="1"/>
    <col min="7881" max="7881" width="10.33203125" style="88" customWidth="1"/>
    <col min="7882" max="7882" width="18.21875" style="88" customWidth="1"/>
    <col min="7883" max="7883" width="20.44140625" style="88" customWidth="1"/>
    <col min="7884" max="7884" width="18.109375" style="88" bestFit="1" customWidth="1"/>
    <col min="7885" max="7885" width="13.21875" style="88" customWidth="1"/>
    <col min="7886" max="7886" width="3.109375" style="88" customWidth="1"/>
    <col min="7887" max="7887" width="15.5546875" style="88" customWidth="1"/>
    <col min="7888" max="7888" width="13.21875" style="88" customWidth="1"/>
    <col min="7889" max="7889" width="10.88671875" style="88" customWidth="1"/>
    <col min="7890" max="7890" width="3.109375" style="88" customWidth="1"/>
    <col min="7891" max="7891" width="15.5546875" style="88" customWidth="1"/>
    <col min="7892" max="7893" width="10.88671875" style="88" customWidth="1"/>
    <col min="7894" max="7894" width="18.6640625" style="88" customWidth="1"/>
    <col min="7895" max="7895" width="3.109375" style="88" customWidth="1"/>
    <col min="7896" max="7896" width="15.5546875" style="88" customWidth="1"/>
    <col min="7897" max="7898" width="10.88671875" style="88" customWidth="1"/>
    <col min="7899" max="7899" width="3.109375" style="88" customWidth="1"/>
    <col min="7900" max="7900" width="16.44140625" style="88" customWidth="1"/>
    <col min="7901" max="7901" width="10.88671875" style="88" customWidth="1"/>
    <col min="7902" max="7902" width="68.6640625" style="88" customWidth="1"/>
    <col min="7903" max="7903" width="2.21875" style="88" customWidth="1"/>
    <col min="7904" max="8135" width="8.88671875" style="88"/>
    <col min="8136" max="8136" width="1.109375" style="88" customWidth="1"/>
    <col min="8137" max="8137" width="10.33203125" style="88" customWidth="1"/>
    <col min="8138" max="8138" width="18.21875" style="88" customWidth="1"/>
    <col min="8139" max="8139" width="20.44140625" style="88" customWidth="1"/>
    <col min="8140" max="8140" width="18.109375" style="88" bestFit="1" customWidth="1"/>
    <col min="8141" max="8141" width="13.21875" style="88" customWidth="1"/>
    <col min="8142" max="8142" width="3.109375" style="88" customWidth="1"/>
    <col min="8143" max="8143" width="15.5546875" style="88" customWidth="1"/>
    <col min="8144" max="8144" width="13.21875" style="88" customWidth="1"/>
    <col min="8145" max="8145" width="10.88671875" style="88" customWidth="1"/>
    <col min="8146" max="8146" width="3.109375" style="88" customWidth="1"/>
    <col min="8147" max="8147" width="15.5546875" style="88" customWidth="1"/>
    <col min="8148" max="8149" width="10.88671875" style="88" customWidth="1"/>
    <col min="8150" max="8150" width="18.6640625" style="88" customWidth="1"/>
    <col min="8151" max="8151" width="3.109375" style="88" customWidth="1"/>
    <col min="8152" max="8152" width="15.5546875" style="88" customWidth="1"/>
    <col min="8153" max="8154" width="10.88671875" style="88" customWidth="1"/>
    <col min="8155" max="8155" width="3.109375" style="88" customWidth="1"/>
    <col min="8156" max="8156" width="16.44140625" style="88" customWidth="1"/>
    <col min="8157" max="8157" width="10.88671875" style="88" customWidth="1"/>
    <col min="8158" max="8158" width="68.6640625" style="88" customWidth="1"/>
    <col min="8159" max="8159" width="2.21875" style="88" customWidth="1"/>
    <col min="8160" max="8391" width="8.88671875" style="88"/>
    <col min="8392" max="8392" width="1.109375" style="88" customWidth="1"/>
    <col min="8393" max="8393" width="10.33203125" style="88" customWidth="1"/>
    <col min="8394" max="8394" width="18.21875" style="88" customWidth="1"/>
    <col min="8395" max="8395" width="20.44140625" style="88" customWidth="1"/>
    <col min="8396" max="8396" width="18.109375" style="88" bestFit="1" customWidth="1"/>
    <col min="8397" max="8397" width="13.21875" style="88" customWidth="1"/>
    <col min="8398" max="8398" width="3.109375" style="88" customWidth="1"/>
    <col min="8399" max="8399" width="15.5546875" style="88" customWidth="1"/>
    <col min="8400" max="8400" width="13.21875" style="88" customWidth="1"/>
    <col min="8401" max="8401" width="10.88671875" style="88" customWidth="1"/>
    <col min="8402" max="8402" width="3.109375" style="88" customWidth="1"/>
    <col min="8403" max="8403" width="15.5546875" style="88" customWidth="1"/>
    <col min="8404" max="8405" width="10.88671875" style="88" customWidth="1"/>
    <col min="8406" max="8406" width="18.6640625" style="88" customWidth="1"/>
    <col min="8407" max="8407" width="3.109375" style="88" customWidth="1"/>
    <col min="8408" max="8408" width="15.5546875" style="88" customWidth="1"/>
    <col min="8409" max="8410" width="10.88671875" style="88" customWidth="1"/>
    <col min="8411" max="8411" width="3.109375" style="88" customWidth="1"/>
    <col min="8412" max="8412" width="16.44140625" style="88" customWidth="1"/>
    <col min="8413" max="8413" width="10.88671875" style="88" customWidth="1"/>
    <col min="8414" max="8414" width="68.6640625" style="88" customWidth="1"/>
    <col min="8415" max="8415" width="2.21875" style="88" customWidth="1"/>
    <col min="8416" max="8647" width="8.88671875" style="88"/>
    <col min="8648" max="8648" width="1.109375" style="88" customWidth="1"/>
    <col min="8649" max="8649" width="10.33203125" style="88" customWidth="1"/>
    <col min="8650" max="8650" width="18.21875" style="88" customWidth="1"/>
    <col min="8651" max="8651" width="20.44140625" style="88" customWidth="1"/>
    <col min="8652" max="8652" width="18.109375" style="88" bestFit="1" customWidth="1"/>
    <col min="8653" max="8653" width="13.21875" style="88" customWidth="1"/>
    <col min="8654" max="8654" width="3.109375" style="88" customWidth="1"/>
    <col min="8655" max="8655" width="15.5546875" style="88" customWidth="1"/>
    <col min="8656" max="8656" width="13.21875" style="88" customWidth="1"/>
    <col min="8657" max="8657" width="10.88671875" style="88" customWidth="1"/>
    <col min="8658" max="8658" width="3.109375" style="88" customWidth="1"/>
    <col min="8659" max="8659" width="15.5546875" style="88" customWidth="1"/>
    <col min="8660" max="8661" width="10.88671875" style="88" customWidth="1"/>
    <col min="8662" max="8662" width="18.6640625" style="88" customWidth="1"/>
    <col min="8663" max="8663" width="3.109375" style="88" customWidth="1"/>
    <col min="8664" max="8664" width="15.5546875" style="88" customWidth="1"/>
    <col min="8665" max="8666" width="10.88671875" style="88" customWidth="1"/>
    <col min="8667" max="8667" width="3.109375" style="88" customWidth="1"/>
    <col min="8668" max="8668" width="16.44140625" style="88" customWidth="1"/>
    <col min="8669" max="8669" width="10.88671875" style="88" customWidth="1"/>
    <col min="8670" max="8670" width="68.6640625" style="88" customWidth="1"/>
    <col min="8671" max="8671" width="2.21875" style="88" customWidth="1"/>
    <col min="8672" max="8903" width="8.88671875" style="88"/>
    <col min="8904" max="8904" width="1.109375" style="88" customWidth="1"/>
    <col min="8905" max="8905" width="10.33203125" style="88" customWidth="1"/>
    <col min="8906" max="8906" width="18.21875" style="88" customWidth="1"/>
    <col min="8907" max="8907" width="20.44140625" style="88" customWidth="1"/>
    <col min="8908" max="8908" width="18.109375" style="88" bestFit="1" customWidth="1"/>
    <col min="8909" max="8909" width="13.21875" style="88" customWidth="1"/>
    <col min="8910" max="8910" width="3.109375" style="88" customWidth="1"/>
    <col min="8911" max="8911" width="15.5546875" style="88" customWidth="1"/>
    <col min="8912" max="8912" width="13.21875" style="88" customWidth="1"/>
    <col min="8913" max="8913" width="10.88671875" style="88" customWidth="1"/>
    <col min="8914" max="8914" width="3.109375" style="88" customWidth="1"/>
    <col min="8915" max="8915" width="15.5546875" style="88" customWidth="1"/>
    <col min="8916" max="8917" width="10.88671875" style="88" customWidth="1"/>
    <col min="8918" max="8918" width="18.6640625" style="88" customWidth="1"/>
    <col min="8919" max="8919" width="3.109375" style="88" customWidth="1"/>
    <col min="8920" max="8920" width="15.5546875" style="88" customWidth="1"/>
    <col min="8921" max="8922" width="10.88671875" style="88" customWidth="1"/>
    <col min="8923" max="8923" width="3.109375" style="88" customWidth="1"/>
    <col min="8924" max="8924" width="16.44140625" style="88" customWidth="1"/>
    <col min="8925" max="8925" width="10.88671875" style="88" customWidth="1"/>
    <col min="8926" max="8926" width="68.6640625" style="88" customWidth="1"/>
    <col min="8927" max="8927" width="2.21875" style="88" customWidth="1"/>
    <col min="8928" max="9159" width="8.88671875" style="88"/>
    <col min="9160" max="9160" width="1.109375" style="88" customWidth="1"/>
    <col min="9161" max="9161" width="10.33203125" style="88" customWidth="1"/>
    <col min="9162" max="9162" width="18.21875" style="88" customWidth="1"/>
    <col min="9163" max="9163" width="20.44140625" style="88" customWidth="1"/>
    <col min="9164" max="9164" width="18.109375" style="88" bestFit="1" customWidth="1"/>
    <col min="9165" max="9165" width="13.21875" style="88" customWidth="1"/>
    <col min="9166" max="9166" width="3.109375" style="88" customWidth="1"/>
    <col min="9167" max="9167" width="15.5546875" style="88" customWidth="1"/>
    <col min="9168" max="9168" width="13.21875" style="88" customWidth="1"/>
    <col min="9169" max="9169" width="10.88671875" style="88" customWidth="1"/>
    <col min="9170" max="9170" width="3.109375" style="88" customWidth="1"/>
    <col min="9171" max="9171" width="15.5546875" style="88" customWidth="1"/>
    <col min="9172" max="9173" width="10.88671875" style="88" customWidth="1"/>
    <col min="9174" max="9174" width="18.6640625" style="88" customWidth="1"/>
    <col min="9175" max="9175" width="3.109375" style="88" customWidth="1"/>
    <col min="9176" max="9176" width="15.5546875" style="88" customWidth="1"/>
    <col min="9177" max="9178" width="10.88671875" style="88" customWidth="1"/>
    <col min="9179" max="9179" width="3.109375" style="88" customWidth="1"/>
    <col min="9180" max="9180" width="16.44140625" style="88" customWidth="1"/>
    <col min="9181" max="9181" width="10.88671875" style="88" customWidth="1"/>
    <col min="9182" max="9182" width="68.6640625" style="88" customWidth="1"/>
    <col min="9183" max="9183" width="2.21875" style="88" customWidth="1"/>
    <col min="9184" max="9415" width="8.88671875" style="88"/>
    <col min="9416" max="9416" width="1.109375" style="88" customWidth="1"/>
    <col min="9417" max="9417" width="10.33203125" style="88" customWidth="1"/>
    <col min="9418" max="9418" width="18.21875" style="88" customWidth="1"/>
    <col min="9419" max="9419" width="20.44140625" style="88" customWidth="1"/>
    <col min="9420" max="9420" width="18.109375" style="88" bestFit="1" customWidth="1"/>
    <col min="9421" max="9421" width="13.21875" style="88" customWidth="1"/>
    <col min="9422" max="9422" width="3.109375" style="88" customWidth="1"/>
    <col min="9423" max="9423" width="15.5546875" style="88" customWidth="1"/>
    <col min="9424" max="9424" width="13.21875" style="88" customWidth="1"/>
    <col min="9425" max="9425" width="10.88671875" style="88" customWidth="1"/>
    <col min="9426" max="9426" width="3.109375" style="88" customWidth="1"/>
    <col min="9427" max="9427" width="15.5546875" style="88" customWidth="1"/>
    <col min="9428" max="9429" width="10.88671875" style="88" customWidth="1"/>
    <col min="9430" max="9430" width="18.6640625" style="88" customWidth="1"/>
    <col min="9431" max="9431" width="3.109375" style="88" customWidth="1"/>
    <col min="9432" max="9432" width="15.5546875" style="88" customWidth="1"/>
    <col min="9433" max="9434" width="10.88671875" style="88" customWidth="1"/>
    <col min="9435" max="9435" width="3.109375" style="88" customWidth="1"/>
    <col min="9436" max="9436" width="16.44140625" style="88" customWidth="1"/>
    <col min="9437" max="9437" width="10.88671875" style="88" customWidth="1"/>
    <col min="9438" max="9438" width="68.6640625" style="88" customWidth="1"/>
    <col min="9439" max="9439" width="2.21875" style="88" customWidth="1"/>
    <col min="9440" max="9671" width="8.88671875" style="88"/>
    <col min="9672" max="9672" width="1.109375" style="88" customWidth="1"/>
    <col min="9673" max="9673" width="10.33203125" style="88" customWidth="1"/>
    <col min="9674" max="9674" width="18.21875" style="88" customWidth="1"/>
    <col min="9675" max="9675" width="20.44140625" style="88" customWidth="1"/>
    <col min="9676" max="9676" width="18.109375" style="88" bestFit="1" customWidth="1"/>
    <col min="9677" max="9677" width="13.21875" style="88" customWidth="1"/>
    <col min="9678" max="9678" width="3.109375" style="88" customWidth="1"/>
    <col min="9679" max="9679" width="15.5546875" style="88" customWidth="1"/>
    <col min="9680" max="9680" width="13.21875" style="88" customWidth="1"/>
    <col min="9681" max="9681" width="10.88671875" style="88" customWidth="1"/>
    <col min="9682" max="9682" width="3.109375" style="88" customWidth="1"/>
    <col min="9683" max="9683" width="15.5546875" style="88" customWidth="1"/>
    <col min="9684" max="9685" width="10.88671875" style="88" customWidth="1"/>
    <col min="9686" max="9686" width="18.6640625" style="88" customWidth="1"/>
    <col min="9687" max="9687" width="3.109375" style="88" customWidth="1"/>
    <col min="9688" max="9688" width="15.5546875" style="88" customWidth="1"/>
    <col min="9689" max="9690" width="10.88671875" style="88" customWidth="1"/>
    <col min="9691" max="9691" width="3.109375" style="88" customWidth="1"/>
    <col min="9692" max="9692" width="16.44140625" style="88" customWidth="1"/>
    <col min="9693" max="9693" width="10.88671875" style="88" customWidth="1"/>
    <col min="9694" max="9694" width="68.6640625" style="88" customWidth="1"/>
    <col min="9695" max="9695" width="2.21875" style="88" customWidth="1"/>
    <col min="9696" max="9927" width="8.88671875" style="88"/>
    <col min="9928" max="9928" width="1.109375" style="88" customWidth="1"/>
    <col min="9929" max="9929" width="10.33203125" style="88" customWidth="1"/>
    <col min="9930" max="9930" width="18.21875" style="88" customWidth="1"/>
    <col min="9931" max="9931" width="20.44140625" style="88" customWidth="1"/>
    <col min="9932" max="9932" width="18.109375" style="88" bestFit="1" customWidth="1"/>
    <col min="9933" max="9933" width="13.21875" style="88" customWidth="1"/>
    <col min="9934" max="9934" width="3.109375" style="88" customWidth="1"/>
    <col min="9935" max="9935" width="15.5546875" style="88" customWidth="1"/>
    <col min="9936" max="9936" width="13.21875" style="88" customWidth="1"/>
    <col min="9937" max="9937" width="10.88671875" style="88" customWidth="1"/>
    <col min="9938" max="9938" width="3.109375" style="88" customWidth="1"/>
    <col min="9939" max="9939" width="15.5546875" style="88" customWidth="1"/>
    <col min="9940" max="9941" width="10.88671875" style="88" customWidth="1"/>
    <col min="9942" max="9942" width="18.6640625" style="88" customWidth="1"/>
    <col min="9943" max="9943" width="3.109375" style="88" customWidth="1"/>
    <col min="9944" max="9944" width="15.5546875" style="88" customWidth="1"/>
    <col min="9945" max="9946" width="10.88671875" style="88" customWidth="1"/>
    <col min="9947" max="9947" width="3.109375" style="88" customWidth="1"/>
    <col min="9948" max="9948" width="16.44140625" style="88" customWidth="1"/>
    <col min="9949" max="9949" width="10.88671875" style="88" customWidth="1"/>
    <col min="9950" max="9950" width="68.6640625" style="88" customWidth="1"/>
    <col min="9951" max="9951" width="2.21875" style="88" customWidth="1"/>
    <col min="9952" max="10183" width="8.88671875" style="88"/>
    <col min="10184" max="10184" width="1.109375" style="88" customWidth="1"/>
    <col min="10185" max="10185" width="10.33203125" style="88" customWidth="1"/>
    <col min="10186" max="10186" width="18.21875" style="88" customWidth="1"/>
    <col min="10187" max="10187" width="20.44140625" style="88" customWidth="1"/>
    <col min="10188" max="10188" width="18.109375" style="88" bestFit="1" customWidth="1"/>
    <col min="10189" max="10189" width="13.21875" style="88" customWidth="1"/>
    <col min="10190" max="10190" width="3.109375" style="88" customWidth="1"/>
    <col min="10191" max="10191" width="15.5546875" style="88" customWidth="1"/>
    <col min="10192" max="10192" width="13.21875" style="88" customWidth="1"/>
    <col min="10193" max="10193" width="10.88671875" style="88" customWidth="1"/>
    <col min="10194" max="10194" width="3.109375" style="88" customWidth="1"/>
    <col min="10195" max="10195" width="15.5546875" style="88" customWidth="1"/>
    <col min="10196" max="10197" width="10.88671875" style="88" customWidth="1"/>
    <col min="10198" max="10198" width="18.6640625" style="88" customWidth="1"/>
    <col min="10199" max="10199" width="3.109375" style="88" customWidth="1"/>
    <col min="10200" max="10200" width="15.5546875" style="88" customWidth="1"/>
    <col min="10201" max="10202" width="10.88671875" style="88" customWidth="1"/>
    <col min="10203" max="10203" width="3.109375" style="88" customWidth="1"/>
    <col min="10204" max="10204" width="16.44140625" style="88" customWidth="1"/>
    <col min="10205" max="10205" width="10.88671875" style="88" customWidth="1"/>
    <col min="10206" max="10206" width="68.6640625" style="88" customWidth="1"/>
    <col min="10207" max="10207" width="2.21875" style="88" customWidth="1"/>
    <col min="10208" max="10439" width="8.88671875" style="88"/>
    <col min="10440" max="10440" width="1.109375" style="88" customWidth="1"/>
    <col min="10441" max="10441" width="10.33203125" style="88" customWidth="1"/>
    <col min="10442" max="10442" width="18.21875" style="88" customWidth="1"/>
    <col min="10443" max="10443" width="20.44140625" style="88" customWidth="1"/>
    <col min="10444" max="10444" width="18.109375" style="88" bestFit="1" customWidth="1"/>
    <col min="10445" max="10445" width="13.21875" style="88" customWidth="1"/>
    <col min="10446" max="10446" width="3.109375" style="88" customWidth="1"/>
    <col min="10447" max="10447" width="15.5546875" style="88" customWidth="1"/>
    <col min="10448" max="10448" width="13.21875" style="88" customWidth="1"/>
    <col min="10449" max="10449" width="10.88671875" style="88" customWidth="1"/>
    <col min="10450" max="10450" width="3.109375" style="88" customWidth="1"/>
    <col min="10451" max="10451" width="15.5546875" style="88" customWidth="1"/>
    <col min="10452" max="10453" width="10.88671875" style="88" customWidth="1"/>
    <col min="10454" max="10454" width="18.6640625" style="88" customWidth="1"/>
    <col min="10455" max="10455" width="3.109375" style="88" customWidth="1"/>
    <col min="10456" max="10456" width="15.5546875" style="88" customWidth="1"/>
    <col min="10457" max="10458" width="10.88671875" style="88" customWidth="1"/>
    <col min="10459" max="10459" width="3.109375" style="88" customWidth="1"/>
    <col min="10460" max="10460" width="16.44140625" style="88" customWidth="1"/>
    <col min="10461" max="10461" width="10.88671875" style="88" customWidth="1"/>
    <col min="10462" max="10462" width="68.6640625" style="88" customWidth="1"/>
    <col min="10463" max="10463" width="2.21875" style="88" customWidth="1"/>
    <col min="10464" max="10695" width="8.88671875" style="88"/>
    <col min="10696" max="10696" width="1.109375" style="88" customWidth="1"/>
    <col min="10697" max="10697" width="10.33203125" style="88" customWidth="1"/>
    <col min="10698" max="10698" width="18.21875" style="88" customWidth="1"/>
    <col min="10699" max="10699" width="20.44140625" style="88" customWidth="1"/>
    <col min="10700" max="10700" width="18.109375" style="88" bestFit="1" customWidth="1"/>
    <col min="10701" max="10701" width="13.21875" style="88" customWidth="1"/>
    <col min="10702" max="10702" width="3.109375" style="88" customWidth="1"/>
    <col min="10703" max="10703" width="15.5546875" style="88" customWidth="1"/>
    <col min="10704" max="10704" width="13.21875" style="88" customWidth="1"/>
    <col min="10705" max="10705" width="10.88671875" style="88" customWidth="1"/>
    <col min="10706" max="10706" width="3.109375" style="88" customWidth="1"/>
    <col min="10707" max="10707" width="15.5546875" style="88" customWidth="1"/>
    <col min="10708" max="10709" width="10.88671875" style="88" customWidth="1"/>
    <col min="10710" max="10710" width="18.6640625" style="88" customWidth="1"/>
    <col min="10711" max="10711" width="3.109375" style="88" customWidth="1"/>
    <col min="10712" max="10712" width="15.5546875" style="88" customWidth="1"/>
    <col min="10713" max="10714" width="10.88671875" style="88" customWidth="1"/>
    <col min="10715" max="10715" width="3.109375" style="88" customWidth="1"/>
    <col min="10716" max="10716" width="16.44140625" style="88" customWidth="1"/>
    <col min="10717" max="10717" width="10.88671875" style="88" customWidth="1"/>
    <col min="10718" max="10718" width="68.6640625" style="88" customWidth="1"/>
    <col min="10719" max="10719" width="2.21875" style="88" customWidth="1"/>
    <col min="10720" max="10951" width="8.88671875" style="88"/>
    <col min="10952" max="10952" width="1.109375" style="88" customWidth="1"/>
    <col min="10953" max="10953" width="10.33203125" style="88" customWidth="1"/>
    <col min="10954" max="10954" width="18.21875" style="88" customWidth="1"/>
    <col min="10955" max="10955" width="20.44140625" style="88" customWidth="1"/>
    <col min="10956" max="10956" width="18.109375" style="88" bestFit="1" customWidth="1"/>
    <col min="10957" max="10957" width="13.21875" style="88" customWidth="1"/>
    <col min="10958" max="10958" width="3.109375" style="88" customWidth="1"/>
    <col min="10959" max="10959" width="15.5546875" style="88" customWidth="1"/>
    <col min="10960" max="10960" width="13.21875" style="88" customWidth="1"/>
    <col min="10961" max="10961" width="10.88671875" style="88" customWidth="1"/>
    <col min="10962" max="10962" width="3.109375" style="88" customWidth="1"/>
    <col min="10963" max="10963" width="15.5546875" style="88" customWidth="1"/>
    <col min="10964" max="10965" width="10.88671875" style="88" customWidth="1"/>
    <col min="10966" max="10966" width="18.6640625" style="88" customWidth="1"/>
    <col min="10967" max="10967" width="3.109375" style="88" customWidth="1"/>
    <col min="10968" max="10968" width="15.5546875" style="88" customWidth="1"/>
    <col min="10969" max="10970" width="10.88671875" style="88" customWidth="1"/>
    <col min="10971" max="10971" width="3.109375" style="88" customWidth="1"/>
    <col min="10972" max="10972" width="16.44140625" style="88" customWidth="1"/>
    <col min="10973" max="10973" width="10.88671875" style="88" customWidth="1"/>
    <col min="10974" max="10974" width="68.6640625" style="88" customWidth="1"/>
    <col min="10975" max="10975" width="2.21875" style="88" customWidth="1"/>
    <col min="10976" max="11207" width="8.88671875" style="88"/>
    <col min="11208" max="11208" width="1.109375" style="88" customWidth="1"/>
    <col min="11209" max="11209" width="10.33203125" style="88" customWidth="1"/>
    <col min="11210" max="11210" width="18.21875" style="88" customWidth="1"/>
    <col min="11211" max="11211" width="20.44140625" style="88" customWidth="1"/>
    <col min="11212" max="11212" width="18.109375" style="88" bestFit="1" customWidth="1"/>
    <col min="11213" max="11213" width="13.21875" style="88" customWidth="1"/>
    <col min="11214" max="11214" width="3.109375" style="88" customWidth="1"/>
    <col min="11215" max="11215" width="15.5546875" style="88" customWidth="1"/>
    <col min="11216" max="11216" width="13.21875" style="88" customWidth="1"/>
    <col min="11217" max="11217" width="10.88671875" style="88" customWidth="1"/>
    <col min="11218" max="11218" width="3.109375" style="88" customWidth="1"/>
    <col min="11219" max="11219" width="15.5546875" style="88" customWidth="1"/>
    <col min="11220" max="11221" width="10.88671875" style="88" customWidth="1"/>
    <col min="11222" max="11222" width="18.6640625" style="88" customWidth="1"/>
    <col min="11223" max="11223" width="3.109375" style="88" customWidth="1"/>
    <col min="11224" max="11224" width="15.5546875" style="88" customWidth="1"/>
    <col min="11225" max="11226" width="10.88671875" style="88" customWidth="1"/>
    <col min="11227" max="11227" width="3.109375" style="88" customWidth="1"/>
    <col min="11228" max="11228" width="16.44140625" style="88" customWidth="1"/>
    <col min="11229" max="11229" width="10.88671875" style="88" customWidth="1"/>
    <col min="11230" max="11230" width="68.6640625" style="88" customWidth="1"/>
    <col min="11231" max="11231" width="2.21875" style="88" customWidth="1"/>
    <col min="11232" max="11463" width="8.88671875" style="88"/>
    <col min="11464" max="11464" width="1.109375" style="88" customWidth="1"/>
    <col min="11465" max="11465" width="10.33203125" style="88" customWidth="1"/>
    <col min="11466" max="11466" width="18.21875" style="88" customWidth="1"/>
    <col min="11467" max="11467" width="20.44140625" style="88" customWidth="1"/>
    <col min="11468" max="11468" width="18.109375" style="88" bestFit="1" customWidth="1"/>
    <col min="11469" max="11469" width="13.21875" style="88" customWidth="1"/>
    <col min="11470" max="11470" width="3.109375" style="88" customWidth="1"/>
    <col min="11471" max="11471" width="15.5546875" style="88" customWidth="1"/>
    <col min="11472" max="11472" width="13.21875" style="88" customWidth="1"/>
    <col min="11473" max="11473" width="10.88671875" style="88" customWidth="1"/>
    <col min="11474" max="11474" width="3.109375" style="88" customWidth="1"/>
    <col min="11475" max="11475" width="15.5546875" style="88" customWidth="1"/>
    <col min="11476" max="11477" width="10.88671875" style="88" customWidth="1"/>
    <col min="11478" max="11478" width="18.6640625" style="88" customWidth="1"/>
    <col min="11479" max="11479" width="3.109375" style="88" customWidth="1"/>
    <col min="11480" max="11480" width="15.5546875" style="88" customWidth="1"/>
    <col min="11481" max="11482" width="10.88671875" style="88" customWidth="1"/>
    <col min="11483" max="11483" width="3.109375" style="88" customWidth="1"/>
    <col min="11484" max="11484" width="16.44140625" style="88" customWidth="1"/>
    <col min="11485" max="11485" width="10.88671875" style="88" customWidth="1"/>
    <col min="11486" max="11486" width="68.6640625" style="88" customWidth="1"/>
    <col min="11487" max="11487" width="2.21875" style="88" customWidth="1"/>
    <col min="11488" max="11719" width="8.88671875" style="88"/>
    <col min="11720" max="11720" width="1.109375" style="88" customWidth="1"/>
    <col min="11721" max="11721" width="10.33203125" style="88" customWidth="1"/>
    <col min="11722" max="11722" width="18.21875" style="88" customWidth="1"/>
    <col min="11723" max="11723" width="20.44140625" style="88" customWidth="1"/>
    <col min="11724" max="11724" width="18.109375" style="88" bestFit="1" customWidth="1"/>
    <col min="11725" max="11725" width="13.21875" style="88" customWidth="1"/>
    <col min="11726" max="11726" width="3.109375" style="88" customWidth="1"/>
    <col min="11727" max="11727" width="15.5546875" style="88" customWidth="1"/>
    <col min="11728" max="11728" width="13.21875" style="88" customWidth="1"/>
    <col min="11729" max="11729" width="10.88671875" style="88" customWidth="1"/>
    <col min="11730" max="11730" width="3.109375" style="88" customWidth="1"/>
    <col min="11731" max="11731" width="15.5546875" style="88" customWidth="1"/>
    <col min="11732" max="11733" width="10.88671875" style="88" customWidth="1"/>
    <col min="11734" max="11734" width="18.6640625" style="88" customWidth="1"/>
    <col min="11735" max="11735" width="3.109375" style="88" customWidth="1"/>
    <col min="11736" max="11736" width="15.5546875" style="88" customWidth="1"/>
    <col min="11737" max="11738" width="10.88671875" style="88" customWidth="1"/>
    <col min="11739" max="11739" width="3.109375" style="88" customWidth="1"/>
    <col min="11740" max="11740" width="16.44140625" style="88" customWidth="1"/>
    <col min="11741" max="11741" width="10.88671875" style="88" customWidth="1"/>
    <col min="11742" max="11742" width="68.6640625" style="88" customWidth="1"/>
    <col min="11743" max="11743" width="2.21875" style="88" customWidth="1"/>
    <col min="11744" max="11975" width="8.88671875" style="88"/>
    <col min="11976" max="11976" width="1.109375" style="88" customWidth="1"/>
    <col min="11977" max="11977" width="10.33203125" style="88" customWidth="1"/>
    <col min="11978" max="11978" width="18.21875" style="88" customWidth="1"/>
    <col min="11979" max="11979" width="20.44140625" style="88" customWidth="1"/>
    <col min="11980" max="11980" width="18.109375" style="88" bestFit="1" customWidth="1"/>
    <col min="11981" max="11981" width="13.21875" style="88" customWidth="1"/>
    <col min="11982" max="11982" width="3.109375" style="88" customWidth="1"/>
    <col min="11983" max="11983" width="15.5546875" style="88" customWidth="1"/>
    <col min="11984" max="11984" width="13.21875" style="88" customWidth="1"/>
    <col min="11985" max="11985" width="10.88671875" style="88" customWidth="1"/>
    <col min="11986" max="11986" width="3.109375" style="88" customWidth="1"/>
    <col min="11987" max="11987" width="15.5546875" style="88" customWidth="1"/>
    <col min="11988" max="11989" width="10.88671875" style="88" customWidth="1"/>
    <col min="11990" max="11990" width="18.6640625" style="88" customWidth="1"/>
    <col min="11991" max="11991" width="3.109375" style="88" customWidth="1"/>
    <col min="11992" max="11992" width="15.5546875" style="88" customWidth="1"/>
    <col min="11993" max="11994" width="10.88671875" style="88" customWidth="1"/>
    <col min="11995" max="11995" width="3.109375" style="88" customWidth="1"/>
    <col min="11996" max="11996" width="16.44140625" style="88" customWidth="1"/>
    <col min="11997" max="11997" width="10.88671875" style="88" customWidth="1"/>
    <col min="11998" max="11998" width="68.6640625" style="88" customWidth="1"/>
    <col min="11999" max="11999" width="2.21875" style="88" customWidth="1"/>
    <col min="12000" max="12231" width="8.88671875" style="88"/>
    <col min="12232" max="12232" width="1.109375" style="88" customWidth="1"/>
    <col min="12233" max="12233" width="10.33203125" style="88" customWidth="1"/>
    <col min="12234" max="12234" width="18.21875" style="88" customWidth="1"/>
    <col min="12235" max="12235" width="20.44140625" style="88" customWidth="1"/>
    <col min="12236" max="12236" width="18.109375" style="88" bestFit="1" customWidth="1"/>
    <col min="12237" max="12237" width="13.21875" style="88" customWidth="1"/>
    <col min="12238" max="12238" width="3.109375" style="88" customWidth="1"/>
    <col min="12239" max="12239" width="15.5546875" style="88" customWidth="1"/>
    <col min="12240" max="12240" width="13.21875" style="88" customWidth="1"/>
    <col min="12241" max="12241" width="10.88671875" style="88" customWidth="1"/>
    <col min="12242" max="12242" width="3.109375" style="88" customWidth="1"/>
    <col min="12243" max="12243" width="15.5546875" style="88" customWidth="1"/>
    <col min="12244" max="12245" width="10.88671875" style="88" customWidth="1"/>
    <col min="12246" max="12246" width="18.6640625" style="88" customWidth="1"/>
    <col min="12247" max="12247" width="3.109375" style="88" customWidth="1"/>
    <col min="12248" max="12248" width="15.5546875" style="88" customWidth="1"/>
    <col min="12249" max="12250" width="10.88671875" style="88" customWidth="1"/>
    <col min="12251" max="12251" width="3.109375" style="88" customWidth="1"/>
    <col min="12252" max="12252" width="16.44140625" style="88" customWidth="1"/>
    <col min="12253" max="12253" width="10.88671875" style="88" customWidth="1"/>
    <col min="12254" max="12254" width="68.6640625" style="88" customWidth="1"/>
    <col min="12255" max="12255" width="2.21875" style="88" customWidth="1"/>
    <col min="12256" max="12487" width="8.88671875" style="88"/>
    <col min="12488" max="12488" width="1.109375" style="88" customWidth="1"/>
    <col min="12489" max="12489" width="10.33203125" style="88" customWidth="1"/>
    <col min="12490" max="12490" width="18.21875" style="88" customWidth="1"/>
    <col min="12491" max="12491" width="20.44140625" style="88" customWidth="1"/>
    <col min="12492" max="12492" width="18.109375" style="88" bestFit="1" customWidth="1"/>
    <col min="12493" max="12493" width="13.21875" style="88" customWidth="1"/>
    <col min="12494" max="12494" width="3.109375" style="88" customWidth="1"/>
    <col min="12495" max="12495" width="15.5546875" style="88" customWidth="1"/>
    <col min="12496" max="12496" width="13.21875" style="88" customWidth="1"/>
    <col min="12497" max="12497" width="10.88671875" style="88" customWidth="1"/>
    <col min="12498" max="12498" width="3.109375" style="88" customWidth="1"/>
    <col min="12499" max="12499" width="15.5546875" style="88" customWidth="1"/>
    <col min="12500" max="12501" width="10.88671875" style="88" customWidth="1"/>
    <col min="12502" max="12502" width="18.6640625" style="88" customWidth="1"/>
    <col min="12503" max="12503" width="3.109375" style="88" customWidth="1"/>
    <col min="12504" max="12504" width="15.5546875" style="88" customWidth="1"/>
    <col min="12505" max="12506" width="10.88671875" style="88" customWidth="1"/>
    <col min="12507" max="12507" width="3.109375" style="88" customWidth="1"/>
    <col min="12508" max="12508" width="16.44140625" style="88" customWidth="1"/>
    <col min="12509" max="12509" width="10.88671875" style="88" customWidth="1"/>
    <col min="12510" max="12510" width="68.6640625" style="88" customWidth="1"/>
    <col min="12511" max="12511" width="2.21875" style="88" customWidth="1"/>
    <col min="12512" max="12743" width="8.88671875" style="88"/>
    <col min="12744" max="12744" width="1.109375" style="88" customWidth="1"/>
    <col min="12745" max="12745" width="10.33203125" style="88" customWidth="1"/>
    <col min="12746" max="12746" width="18.21875" style="88" customWidth="1"/>
    <col min="12747" max="12747" width="20.44140625" style="88" customWidth="1"/>
    <col min="12748" max="12748" width="18.109375" style="88" bestFit="1" customWidth="1"/>
    <col min="12749" max="12749" width="13.21875" style="88" customWidth="1"/>
    <col min="12750" max="12750" width="3.109375" style="88" customWidth="1"/>
    <col min="12751" max="12751" width="15.5546875" style="88" customWidth="1"/>
    <col min="12752" max="12752" width="13.21875" style="88" customWidth="1"/>
    <col min="12753" max="12753" width="10.88671875" style="88" customWidth="1"/>
    <col min="12754" max="12754" width="3.109375" style="88" customWidth="1"/>
    <col min="12755" max="12755" width="15.5546875" style="88" customWidth="1"/>
    <col min="12756" max="12757" width="10.88671875" style="88" customWidth="1"/>
    <col min="12758" max="12758" width="18.6640625" style="88" customWidth="1"/>
    <col min="12759" max="12759" width="3.109375" style="88" customWidth="1"/>
    <col min="12760" max="12760" width="15.5546875" style="88" customWidth="1"/>
    <col min="12761" max="12762" width="10.88671875" style="88" customWidth="1"/>
    <col min="12763" max="12763" width="3.109375" style="88" customWidth="1"/>
    <col min="12764" max="12764" width="16.44140625" style="88" customWidth="1"/>
    <col min="12765" max="12765" width="10.88671875" style="88" customWidth="1"/>
    <col min="12766" max="12766" width="68.6640625" style="88" customWidth="1"/>
    <col min="12767" max="12767" width="2.21875" style="88" customWidth="1"/>
    <col min="12768" max="12999" width="8.88671875" style="88"/>
    <col min="13000" max="13000" width="1.109375" style="88" customWidth="1"/>
    <col min="13001" max="13001" width="10.33203125" style="88" customWidth="1"/>
    <col min="13002" max="13002" width="18.21875" style="88" customWidth="1"/>
    <col min="13003" max="13003" width="20.44140625" style="88" customWidth="1"/>
    <col min="13004" max="13004" width="18.109375" style="88" bestFit="1" customWidth="1"/>
    <col min="13005" max="13005" width="13.21875" style="88" customWidth="1"/>
    <col min="13006" max="13006" width="3.109375" style="88" customWidth="1"/>
    <col min="13007" max="13007" width="15.5546875" style="88" customWidth="1"/>
    <col min="13008" max="13008" width="13.21875" style="88" customWidth="1"/>
    <col min="13009" max="13009" width="10.88671875" style="88" customWidth="1"/>
    <col min="13010" max="13010" width="3.109375" style="88" customWidth="1"/>
    <col min="13011" max="13011" width="15.5546875" style="88" customWidth="1"/>
    <col min="13012" max="13013" width="10.88671875" style="88" customWidth="1"/>
    <col min="13014" max="13014" width="18.6640625" style="88" customWidth="1"/>
    <col min="13015" max="13015" width="3.109375" style="88" customWidth="1"/>
    <col min="13016" max="13016" width="15.5546875" style="88" customWidth="1"/>
    <col min="13017" max="13018" width="10.88671875" style="88" customWidth="1"/>
    <col min="13019" max="13019" width="3.109375" style="88" customWidth="1"/>
    <col min="13020" max="13020" width="16.44140625" style="88" customWidth="1"/>
    <col min="13021" max="13021" width="10.88671875" style="88" customWidth="1"/>
    <col min="13022" max="13022" width="68.6640625" style="88" customWidth="1"/>
    <col min="13023" max="13023" width="2.21875" style="88" customWidth="1"/>
    <col min="13024" max="13255" width="8.88671875" style="88"/>
    <col min="13256" max="13256" width="1.109375" style="88" customWidth="1"/>
    <col min="13257" max="13257" width="10.33203125" style="88" customWidth="1"/>
    <col min="13258" max="13258" width="18.21875" style="88" customWidth="1"/>
    <col min="13259" max="13259" width="20.44140625" style="88" customWidth="1"/>
    <col min="13260" max="13260" width="18.109375" style="88" bestFit="1" customWidth="1"/>
    <col min="13261" max="13261" width="13.21875" style="88" customWidth="1"/>
    <col min="13262" max="13262" width="3.109375" style="88" customWidth="1"/>
    <col min="13263" max="13263" width="15.5546875" style="88" customWidth="1"/>
    <col min="13264" max="13264" width="13.21875" style="88" customWidth="1"/>
    <col min="13265" max="13265" width="10.88671875" style="88" customWidth="1"/>
    <col min="13266" max="13266" width="3.109375" style="88" customWidth="1"/>
    <col min="13267" max="13267" width="15.5546875" style="88" customWidth="1"/>
    <col min="13268" max="13269" width="10.88671875" style="88" customWidth="1"/>
    <col min="13270" max="13270" width="18.6640625" style="88" customWidth="1"/>
    <col min="13271" max="13271" width="3.109375" style="88" customWidth="1"/>
    <col min="13272" max="13272" width="15.5546875" style="88" customWidth="1"/>
    <col min="13273" max="13274" width="10.88671875" style="88" customWidth="1"/>
    <col min="13275" max="13275" width="3.109375" style="88" customWidth="1"/>
    <col min="13276" max="13276" width="16.44140625" style="88" customWidth="1"/>
    <col min="13277" max="13277" width="10.88671875" style="88" customWidth="1"/>
    <col min="13278" max="13278" width="68.6640625" style="88" customWidth="1"/>
    <col min="13279" max="13279" width="2.21875" style="88" customWidth="1"/>
    <col min="13280" max="13511" width="8.88671875" style="88"/>
    <col min="13512" max="13512" width="1.109375" style="88" customWidth="1"/>
    <col min="13513" max="13513" width="10.33203125" style="88" customWidth="1"/>
    <col min="13514" max="13514" width="18.21875" style="88" customWidth="1"/>
    <col min="13515" max="13515" width="20.44140625" style="88" customWidth="1"/>
    <col min="13516" max="13516" width="18.109375" style="88" bestFit="1" customWidth="1"/>
    <col min="13517" max="13517" width="13.21875" style="88" customWidth="1"/>
    <col min="13518" max="13518" width="3.109375" style="88" customWidth="1"/>
    <col min="13519" max="13519" width="15.5546875" style="88" customWidth="1"/>
    <col min="13520" max="13520" width="13.21875" style="88" customWidth="1"/>
    <col min="13521" max="13521" width="10.88671875" style="88" customWidth="1"/>
    <col min="13522" max="13522" width="3.109375" style="88" customWidth="1"/>
    <col min="13523" max="13523" width="15.5546875" style="88" customWidth="1"/>
    <col min="13524" max="13525" width="10.88671875" style="88" customWidth="1"/>
    <col min="13526" max="13526" width="18.6640625" style="88" customWidth="1"/>
    <col min="13527" max="13527" width="3.109375" style="88" customWidth="1"/>
    <col min="13528" max="13528" width="15.5546875" style="88" customWidth="1"/>
    <col min="13529" max="13530" width="10.88671875" style="88" customWidth="1"/>
    <col min="13531" max="13531" width="3.109375" style="88" customWidth="1"/>
    <col min="13532" max="13532" width="16.44140625" style="88" customWidth="1"/>
    <col min="13533" max="13533" width="10.88671875" style="88" customWidth="1"/>
    <col min="13534" max="13534" width="68.6640625" style="88" customWidth="1"/>
    <col min="13535" max="13535" width="2.21875" style="88" customWidth="1"/>
    <col min="13536" max="13767" width="8.88671875" style="88"/>
    <col min="13768" max="13768" width="1.109375" style="88" customWidth="1"/>
    <col min="13769" max="13769" width="10.33203125" style="88" customWidth="1"/>
    <col min="13770" max="13770" width="18.21875" style="88" customWidth="1"/>
    <col min="13771" max="13771" width="20.44140625" style="88" customWidth="1"/>
    <col min="13772" max="13772" width="18.109375" style="88" bestFit="1" customWidth="1"/>
    <col min="13773" max="13773" width="13.21875" style="88" customWidth="1"/>
    <col min="13774" max="13774" width="3.109375" style="88" customWidth="1"/>
    <col min="13775" max="13775" width="15.5546875" style="88" customWidth="1"/>
    <col min="13776" max="13776" width="13.21875" style="88" customWidth="1"/>
    <col min="13777" max="13777" width="10.88671875" style="88" customWidth="1"/>
    <col min="13778" max="13778" width="3.109375" style="88" customWidth="1"/>
    <col min="13779" max="13779" width="15.5546875" style="88" customWidth="1"/>
    <col min="13780" max="13781" width="10.88671875" style="88" customWidth="1"/>
    <col min="13782" max="13782" width="18.6640625" style="88" customWidth="1"/>
    <col min="13783" max="13783" width="3.109375" style="88" customWidth="1"/>
    <col min="13784" max="13784" width="15.5546875" style="88" customWidth="1"/>
    <col min="13785" max="13786" width="10.88671875" style="88" customWidth="1"/>
    <col min="13787" max="13787" width="3.109375" style="88" customWidth="1"/>
    <col min="13788" max="13788" width="16.44140625" style="88" customWidth="1"/>
    <col min="13789" max="13789" width="10.88671875" style="88" customWidth="1"/>
    <col min="13790" max="13790" width="68.6640625" style="88" customWidth="1"/>
    <col min="13791" max="13791" width="2.21875" style="88" customWidth="1"/>
    <col min="13792" max="14023" width="8.88671875" style="88"/>
    <col min="14024" max="14024" width="1.109375" style="88" customWidth="1"/>
    <col min="14025" max="14025" width="10.33203125" style="88" customWidth="1"/>
    <col min="14026" max="14026" width="18.21875" style="88" customWidth="1"/>
    <col min="14027" max="14027" width="20.44140625" style="88" customWidth="1"/>
    <col min="14028" max="14028" width="18.109375" style="88" bestFit="1" customWidth="1"/>
    <col min="14029" max="14029" width="13.21875" style="88" customWidth="1"/>
    <col min="14030" max="14030" width="3.109375" style="88" customWidth="1"/>
    <col min="14031" max="14031" width="15.5546875" style="88" customWidth="1"/>
    <col min="14032" max="14032" width="13.21875" style="88" customWidth="1"/>
    <col min="14033" max="14033" width="10.88671875" style="88" customWidth="1"/>
    <col min="14034" max="14034" width="3.109375" style="88" customWidth="1"/>
    <col min="14035" max="14035" width="15.5546875" style="88" customWidth="1"/>
    <col min="14036" max="14037" width="10.88671875" style="88" customWidth="1"/>
    <col min="14038" max="14038" width="18.6640625" style="88" customWidth="1"/>
    <col min="14039" max="14039" width="3.109375" style="88" customWidth="1"/>
    <col min="14040" max="14040" width="15.5546875" style="88" customWidth="1"/>
    <col min="14041" max="14042" width="10.88671875" style="88" customWidth="1"/>
    <col min="14043" max="14043" width="3.109375" style="88" customWidth="1"/>
    <col min="14044" max="14044" width="16.44140625" style="88" customWidth="1"/>
    <col min="14045" max="14045" width="10.88671875" style="88" customWidth="1"/>
    <col min="14046" max="14046" width="68.6640625" style="88" customWidth="1"/>
    <col min="14047" max="14047" width="2.21875" style="88" customWidth="1"/>
    <col min="14048" max="14279" width="8.88671875" style="88"/>
    <col min="14280" max="14280" width="1.109375" style="88" customWidth="1"/>
    <col min="14281" max="14281" width="10.33203125" style="88" customWidth="1"/>
    <col min="14282" max="14282" width="18.21875" style="88" customWidth="1"/>
    <col min="14283" max="14283" width="20.44140625" style="88" customWidth="1"/>
    <col min="14284" max="14284" width="18.109375" style="88" bestFit="1" customWidth="1"/>
    <col min="14285" max="14285" width="13.21875" style="88" customWidth="1"/>
    <col min="14286" max="14286" width="3.109375" style="88" customWidth="1"/>
    <col min="14287" max="14287" width="15.5546875" style="88" customWidth="1"/>
    <col min="14288" max="14288" width="13.21875" style="88" customWidth="1"/>
    <col min="14289" max="14289" width="10.88671875" style="88" customWidth="1"/>
    <col min="14290" max="14290" width="3.109375" style="88" customWidth="1"/>
    <col min="14291" max="14291" width="15.5546875" style="88" customWidth="1"/>
    <col min="14292" max="14293" width="10.88671875" style="88" customWidth="1"/>
    <col min="14294" max="14294" width="18.6640625" style="88" customWidth="1"/>
    <col min="14295" max="14295" width="3.109375" style="88" customWidth="1"/>
    <col min="14296" max="14296" width="15.5546875" style="88" customWidth="1"/>
    <col min="14297" max="14298" width="10.88671875" style="88" customWidth="1"/>
    <col min="14299" max="14299" width="3.109375" style="88" customWidth="1"/>
    <col min="14300" max="14300" width="16.44140625" style="88" customWidth="1"/>
    <col min="14301" max="14301" width="10.88671875" style="88" customWidth="1"/>
    <col min="14302" max="14302" width="68.6640625" style="88" customWidth="1"/>
    <col min="14303" max="14303" width="2.21875" style="88" customWidth="1"/>
    <col min="14304" max="14535" width="8.88671875" style="88"/>
    <col min="14536" max="14536" width="1.109375" style="88" customWidth="1"/>
    <col min="14537" max="14537" width="10.33203125" style="88" customWidth="1"/>
    <col min="14538" max="14538" width="18.21875" style="88" customWidth="1"/>
    <col min="14539" max="14539" width="20.44140625" style="88" customWidth="1"/>
    <col min="14540" max="14540" width="18.109375" style="88" bestFit="1" customWidth="1"/>
    <col min="14541" max="14541" width="13.21875" style="88" customWidth="1"/>
    <col min="14542" max="14542" width="3.109375" style="88" customWidth="1"/>
    <col min="14543" max="14543" width="15.5546875" style="88" customWidth="1"/>
    <col min="14544" max="14544" width="13.21875" style="88" customWidth="1"/>
    <col min="14545" max="14545" width="10.88671875" style="88" customWidth="1"/>
    <col min="14546" max="14546" width="3.109375" style="88" customWidth="1"/>
    <col min="14547" max="14547" width="15.5546875" style="88" customWidth="1"/>
    <col min="14548" max="14549" width="10.88671875" style="88" customWidth="1"/>
    <col min="14550" max="14550" width="18.6640625" style="88" customWidth="1"/>
    <col min="14551" max="14551" width="3.109375" style="88" customWidth="1"/>
    <col min="14552" max="14552" width="15.5546875" style="88" customWidth="1"/>
    <col min="14553" max="14554" width="10.88671875" style="88" customWidth="1"/>
    <col min="14555" max="14555" width="3.109375" style="88" customWidth="1"/>
    <col min="14556" max="14556" width="16.44140625" style="88" customWidth="1"/>
    <col min="14557" max="14557" width="10.88671875" style="88" customWidth="1"/>
    <col min="14558" max="14558" width="68.6640625" style="88" customWidth="1"/>
    <col min="14559" max="14559" width="2.21875" style="88" customWidth="1"/>
    <col min="14560" max="14791" width="8.88671875" style="88"/>
    <col min="14792" max="14792" width="1.109375" style="88" customWidth="1"/>
    <col min="14793" max="14793" width="10.33203125" style="88" customWidth="1"/>
    <col min="14794" max="14794" width="18.21875" style="88" customWidth="1"/>
    <col min="14795" max="14795" width="20.44140625" style="88" customWidth="1"/>
    <col min="14796" max="14796" width="18.109375" style="88" bestFit="1" customWidth="1"/>
    <col min="14797" max="14797" width="13.21875" style="88" customWidth="1"/>
    <col min="14798" max="14798" width="3.109375" style="88" customWidth="1"/>
    <col min="14799" max="14799" width="15.5546875" style="88" customWidth="1"/>
    <col min="14800" max="14800" width="13.21875" style="88" customWidth="1"/>
    <col min="14801" max="14801" width="10.88671875" style="88" customWidth="1"/>
    <col min="14802" max="14802" width="3.109375" style="88" customWidth="1"/>
    <col min="14803" max="14803" width="15.5546875" style="88" customWidth="1"/>
    <col min="14804" max="14805" width="10.88671875" style="88" customWidth="1"/>
    <col min="14806" max="14806" width="18.6640625" style="88" customWidth="1"/>
    <col min="14807" max="14807" width="3.109375" style="88" customWidth="1"/>
    <col min="14808" max="14808" width="15.5546875" style="88" customWidth="1"/>
    <col min="14809" max="14810" width="10.88671875" style="88" customWidth="1"/>
    <col min="14811" max="14811" width="3.109375" style="88" customWidth="1"/>
    <col min="14812" max="14812" width="16.44140625" style="88" customWidth="1"/>
    <col min="14813" max="14813" width="10.88671875" style="88" customWidth="1"/>
    <col min="14814" max="14814" width="68.6640625" style="88" customWidth="1"/>
    <col min="14815" max="14815" width="2.21875" style="88" customWidth="1"/>
    <col min="14816" max="15047" width="8.88671875" style="88"/>
    <col min="15048" max="15048" width="1.109375" style="88" customWidth="1"/>
    <col min="15049" max="15049" width="10.33203125" style="88" customWidth="1"/>
    <col min="15050" max="15050" width="18.21875" style="88" customWidth="1"/>
    <col min="15051" max="15051" width="20.44140625" style="88" customWidth="1"/>
    <col min="15052" max="15052" width="18.109375" style="88" bestFit="1" customWidth="1"/>
    <col min="15053" max="15053" width="13.21875" style="88" customWidth="1"/>
    <col min="15054" max="15054" width="3.109375" style="88" customWidth="1"/>
    <col min="15055" max="15055" width="15.5546875" style="88" customWidth="1"/>
    <col min="15056" max="15056" width="13.21875" style="88" customWidth="1"/>
    <col min="15057" max="15057" width="10.88671875" style="88" customWidth="1"/>
    <col min="15058" max="15058" width="3.109375" style="88" customWidth="1"/>
    <col min="15059" max="15059" width="15.5546875" style="88" customWidth="1"/>
    <col min="15060" max="15061" width="10.88671875" style="88" customWidth="1"/>
    <col min="15062" max="15062" width="18.6640625" style="88" customWidth="1"/>
    <col min="15063" max="15063" width="3.109375" style="88" customWidth="1"/>
    <col min="15064" max="15064" width="15.5546875" style="88" customWidth="1"/>
    <col min="15065" max="15066" width="10.88671875" style="88" customWidth="1"/>
    <col min="15067" max="15067" width="3.109375" style="88" customWidth="1"/>
    <col min="15068" max="15068" width="16.44140625" style="88" customWidth="1"/>
    <col min="15069" max="15069" width="10.88671875" style="88" customWidth="1"/>
    <col min="15070" max="15070" width="68.6640625" style="88" customWidth="1"/>
    <col min="15071" max="15071" width="2.21875" style="88" customWidth="1"/>
    <col min="15072" max="15303" width="8.88671875" style="88"/>
    <col min="15304" max="15304" width="1.109375" style="88" customWidth="1"/>
    <col min="15305" max="15305" width="10.33203125" style="88" customWidth="1"/>
    <col min="15306" max="15306" width="18.21875" style="88" customWidth="1"/>
    <col min="15307" max="15307" width="20.44140625" style="88" customWidth="1"/>
    <col min="15308" max="15308" width="18.109375" style="88" bestFit="1" customWidth="1"/>
    <col min="15309" max="15309" width="13.21875" style="88" customWidth="1"/>
    <col min="15310" max="15310" width="3.109375" style="88" customWidth="1"/>
    <col min="15311" max="15311" width="15.5546875" style="88" customWidth="1"/>
    <col min="15312" max="15312" width="13.21875" style="88" customWidth="1"/>
    <col min="15313" max="15313" width="10.88671875" style="88" customWidth="1"/>
    <col min="15314" max="15314" width="3.109375" style="88" customWidth="1"/>
    <col min="15315" max="15315" width="15.5546875" style="88" customWidth="1"/>
    <col min="15316" max="15317" width="10.88671875" style="88" customWidth="1"/>
    <col min="15318" max="15318" width="18.6640625" style="88" customWidth="1"/>
    <col min="15319" max="15319" width="3.109375" style="88" customWidth="1"/>
    <col min="15320" max="15320" width="15.5546875" style="88" customWidth="1"/>
    <col min="15321" max="15322" width="10.88671875" style="88" customWidth="1"/>
    <col min="15323" max="15323" width="3.109375" style="88" customWidth="1"/>
    <col min="15324" max="15324" width="16.44140625" style="88" customWidth="1"/>
    <col min="15325" max="15325" width="10.88671875" style="88" customWidth="1"/>
    <col min="15326" max="15326" width="68.6640625" style="88" customWidth="1"/>
    <col min="15327" max="15327" width="2.21875" style="88" customWidth="1"/>
    <col min="15328" max="15559" width="8.88671875" style="88"/>
    <col min="15560" max="15560" width="1.109375" style="88" customWidth="1"/>
    <col min="15561" max="15561" width="10.33203125" style="88" customWidth="1"/>
    <col min="15562" max="15562" width="18.21875" style="88" customWidth="1"/>
    <col min="15563" max="15563" width="20.44140625" style="88" customWidth="1"/>
    <col min="15564" max="15564" width="18.109375" style="88" bestFit="1" customWidth="1"/>
    <col min="15565" max="15565" width="13.21875" style="88" customWidth="1"/>
    <col min="15566" max="15566" width="3.109375" style="88" customWidth="1"/>
    <col min="15567" max="15567" width="15.5546875" style="88" customWidth="1"/>
    <col min="15568" max="15568" width="13.21875" style="88" customWidth="1"/>
    <col min="15569" max="15569" width="10.88671875" style="88" customWidth="1"/>
    <col min="15570" max="15570" width="3.109375" style="88" customWidth="1"/>
    <col min="15571" max="15571" width="15.5546875" style="88" customWidth="1"/>
    <col min="15572" max="15573" width="10.88671875" style="88" customWidth="1"/>
    <col min="15574" max="15574" width="18.6640625" style="88" customWidth="1"/>
    <col min="15575" max="15575" width="3.109375" style="88" customWidth="1"/>
    <col min="15576" max="15576" width="15.5546875" style="88" customWidth="1"/>
    <col min="15577" max="15578" width="10.88671875" style="88" customWidth="1"/>
    <col min="15579" max="15579" width="3.109375" style="88" customWidth="1"/>
    <col min="15580" max="15580" width="16.44140625" style="88" customWidth="1"/>
    <col min="15581" max="15581" width="10.88671875" style="88" customWidth="1"/>
    <col min="15582" max="15582" width="68.6640625" style="88" customWidth="1"/>
    <col min="15583" max="15583" width="2.21875" style="88" customWidth="1"/>
    <col min="15584" max="15815" width="8.88671875" style="88"/>
    <col min="15816" max="15816" width="1.109375" style="88" customWidth="1"/>
    <col min="15817" max="15817" width="10.33203125" style="88" customWidth="1"/>
    <col min="15818" max="15818" width="18.21875" style="88" customWidth="1"/>
    <col min="15819" max="15819" width="20.44140625" style="88" customWidth="1"/>
    <col min="15820" max="15820" width="18.109375" style="88" bestFit="1" customWidth="1"/>
    <col min="15821" max="15821" width="13.21875" style="88" customWidth="1"/>
    <col min="15822" max="15822" width="3.109375" style="88" customWidth="1"/>
    <col min="15823" max="15823" width="15.5546875" style="88" customWidth="1"/>
    <col min="15824" max="15824" width="13.21875" style="88" customWidth="1"/>
    <col min="15825" max="15825" width="10.88671875" style="88" customWidth="1"/>
    <col min="15826" max="15826" width="3.109375" style="88" customWidth="1"/>
    <col min="15827" max="15827" width="15.5546875" style="88" customWidth="1"/>
    <col min="15828" max="15829" width="10.88671875" style="88" customWidth="1"/>
    <col min="15830" max="15830" width="18.6640625" style="88" customWidth="1"/>
    <col min="15831" max="15831" width="3.109375" style="88" customWidth="1"/>
    <col min="15832" max="15832" width="15.5546875" style="88" customWidth="1"/>
    <col min="15833" max="15834" width="10.88671875" style="88" customWidth="1"/>
    <col min="15835" max="15835" width="3.109375" style="88" customWidth="1"/>
    <col min="15836" max="15836" width="16.44140625" style="88" customWidth="1"/>
    <col min="15837" max="15837" width="10.88671875" style="88" customWidth="1"/>
    <col min="15838" max="15838" width="68.6640625" style="88" customWidth="1"/>
    <col min="15839" max="15839" width="2.21875" style="88" customWidth="1"/>
    <col min="15840" max="16071" width="8.88671875" style="88"/>
    <col min="16072" max="16072" width="1.109375" style="88" customWidth="1"/>
    <col min="16073" max="16073" width="10.33203125" style="88" customWidth="1"/>
    <col min="16074" max="16074" width="18.21875" style="88" customWidth="1"/>
    <col min="16075" max="16075" width="20.44140625" style="88" customWidth="1"/>
    <col min="16076" max="16076" width="18.109375" style="88" bestFit="1" customWidth="1"/>
    <col min="16077" max="16077" width="13.21875" style="88" customWidth="1"/>
    <col min="16078" max="16078" width="3.109375" style="88" customWidth="1"/>
    <col min="16079" max="16079" width="15.5546875" style="88" customWidth="1"/>
    <col min="16080" max="16080" width="13.21875" style="88" customWidth="1"/>
    <col min="16081" max="16081" width="10.88671875" style="88" customWidth="1"/>
    <col min="16082" max="16082" width="3.109375" style="88" customWidth="1"/>
    <col min="16083" max="16083" width="15.5546875" style="88" customWidth="1"/>
    <col min="16084" max="16085" width="10.88671875" style="88" customWidth="1"/>
    <col min="16086" max="16086" width="18.6640625" style="88" customWidth="1"/>
    <col min="16087" max="16087" width="3.109375" style="88" customWidth="1"/>
    <col min="16088" max="16088" width="15.5546875" style="88" customWidth="1"/>
    <col min="16089" max="16090" width="10.88671875" style="88" customWidth="1"/>
    <col min="16091" max="16091" width="3.109375" style="88" customWidth="1"/>
    <col min="16092" max="16092" width="16.44140625" style="88" customWidth="1"/>
    <col min="16093" max="16093" width="10.88671875" style="88" customWidth="1"/>
    <col min="16094" max="16094" width="68.6640625" style="88" customWidth="1"/>
    <col min="16095" max="16095" width="2.21875" style="88" customWidth="1"/>
    <col min="16096" max="16384" width="8.88671875" style="88"/>
  </cols>
  <sheetData>
    <row r="1" spans="2:43" s="85" customFormat="1" ht="61.5" customHeight="1">
      <c r="B1" s="511" t="s">
        <v>402</v>
      </c>
      <c r="C1" s="524"/>
      <c r="D1" s="524"/>
      <c r="E1" s="524"/>
      <c r="F1" s="524"/>
      <c r="G1" s="524"/>
      <c r="H1" s="524"/>
      <c r="I1" s="524"/>
      <c r="J1" s="524"/>
      <c r="K1" s="524"/>
      <c r="L1" s="524"/>
      <c r="M1" s="524"/>
      <c r="N1" s="524"/>
      <c r="O1" s="524"/>
      <c r="P1" s="524"/>
      <c r="Q1" s="524"/>
      <c r="R1" s="524"/>
      <c r="S1" s="524"/>
      <c r="T1" s="524"/>
      <c r="U1" s="524"/>
      <c r="V1" s="524"/>
      <c r="W1" s="524"/>
      <c r="X1" s="524"/>
      <c r="Y1" s="524"/>
      <c r="Z1" s="524"/>
      <c r="AA1" s="524"/>
      <c r="AB1" s="524"/>
      <c r="AC1" s="524"/>
      <c r="AD1" s="524"/>
      <c r="AE1" s="524"/>
      <c r="AF1" s="524"/>
      <c r="AG1" s="524"/>
      <c r="AH1" s="524"/>
      <c r="AI1" s="524"/>
    </row>
    <row r="2" spans="2:43" s="85" customFormat="1" ht="32.1" customHeight="1" thickBot="1">
      <c r="B2" s="525"/>
      <c r="C2" s="526"/>
      <c r="D2" s="526"/>
      <c r="E2" s="526"/>
      <c r="F2" s="526"/>
      <c r="G2" s="526"/>
      <c r="H2" s="526"/>
      <c r="I2" s="526"/>
      <c r="J2" s="526"/>
      <c r="K2" s="526"/>
      <c r="L2" s="526"/>
      <c r="M2" s="526"/>
      <c r="N2" s="526"/>
      <c r="O2" s="526"/>
      <c r="P2" s="526"/>
      <c r="Q2" s="526"/>
      <c r="R2" s="526"/>
      <c r="S2" s="526"/>
      <c r="T2" s="526"/>
      <c r="U2" s="526"/>
      <c r="V2" s="526"/>
      <c r="W2" s="526"/>
      <c r="X2" s="526"/>
      <c r="Y2" s="526"/>
      <c r="Z2" s="526"/>
      <c r="AA2" s="526"/>
      <c r="AB2" s="526"/>
      <c r="AC2" s="526"/>
      <c r="AD2" s="526"/>
      <c r="AE2" s="526"/>
      <c r="AF2" s="515"/>
      <c r="AG2" s="526"/>
      <c r="AH2" s="515"/>
      <c r="AI2" s="516" t="s">
        <v>368</v>
      </c>
    </row>
    <row r="3" spans="2:43" s="86" customFormat="1" ht="54" customHeight="1" thickTop="1">
      <c r="B3" s="1228" t="s">
        <v>147</v>
      </c>
      <c r="C3" s="528" t="s">
        <v>149</v>
      </c>
      <c r="D3" s="529"/>
      <c r="E3" s="529"/>
      <c r="F3" s="528" t="s">
        <v>149</v>
      </c>
      <c r="G3" s="529"/>
      <c r="H3" s="529"/>
      <c r="I3" s="529"/>
      <c r="J3" s="529"/>
      <c r="K3" s="529"/>
      <c r="L3" s="529"/>
      <c r="M3" s="529"/>
      <c r="N3" s="530" t="s">
        <v>149</v>
      </c>
      <c r="O3" s="531"/>
      <c r="P3" s="531"/>
      <c r="Q3" s="530" t="s">
        <v>149</v>
      </c>
      <c r="R3" s="531"/>
      <c r="S3" s="531"/>
      <c r="T3" s="531"/>
      <c r="U3" s="532"/>
      <c r="V3" s="531"/>
      <c r="W3" s="532"/>
      <c r="X3" s="532"/>
      <c r="Y3" s="531" t="s">
        <v>149</v>
      </c>
      <c r="Z3" s="529"/>
      <c r="AA3" s="529"/>
      <c r="AB3" s="533" t="s">
        <v>149</v>
      </c>
      <c r="AC3" s="529"/>
      <c r="AD3" s="529"/>
      <c r="AE3" s="529"/>
      <c r="AF3" s="534"/>
      <c r="AG3" s="529"/>
      <c r="AH3" s="534"/>
      <c r="AI3" s="534"/>
    </row>
    <row r="4" spans="2:43" s="86" customFormat="1" ht="46.5" customHeight="1">
      <c r="B4" s="1229"/>
      <c r="C4" s="1231" t="s">
        <v>124</v>
      </c>
      <c r="D4" s="1215" t="s">
        <v>150</v>
      </c>
      <c r="E4" s="1216"/>
      <c r="F4" s="1231" t="s">
        <v>150</v>
      </c>
      <c r="G4" s="1215" t="s">
        <v>192</v>
      </c>
      <c r="H4" s="1216"/>
      <c r="I4" s="1235" t="s">
        <v>136</v>
      </c>
      <c r="J4" s="1235"/>
      <c r="K4" s="1235" t="s">
        <v>136</v>
      </c>
      <c r="L4" s="1235"/>
      <c r="M4" s="1233" t="s">
        <v>121</v>
      </c>
      <c r="N4" s="1236" t="s">
        <v>124</v>
      </c>
      <c r="O4" s="1215" t="s">
        <v>150</v>
      </c>
      <c r="P4" s="1216"/>
      <c r="Q4" s="1222" t="s">
        <v>150</v>
      </c>
      <c r="R4" s="535" t="str">
        <f>MID(총괄표!A2,7,3)</f>
        <v xml:space="preserve">5월 </v>
      </c>
      <c r="S4" s="535"/>
      <c r="T4" s="1217" t="s">
        <v>136</v>
      </c>
      <c r="U4" s="1217"/>
      <c r="V4" s="1217" t="s">
        <v>136</v>
      </c>
      <c r="W4" s="1217"/>
      <c r="X4" s="1214" t="s">
        <v>121</v>
      </c>
      <c r="Y4" s="1218" t="s">
        <v>124</v>
      </c>
      <c r="Z4" s="1217" t="s">
        <v>150</v>
      </c>
      <c r="AA4" s="1217"/>
      <c r="AB4" s="1224" t="s">
        <v>150</v>
      </c>
      <c r="AC4" s="535" t="s">
        <v>155</v>
      </c>
      <c r="AD4" s="535"/>
      <c r="AE4" s="1217" t="s">
        <v>136</v>
      </c>
      <c r="AF4" s="1217"/>
      <c r="AG4" s="1215" t="s">
        <v>136</v>
      </c>
      <c r="AH4" s="1216"/>
      <c r="AI4" s="1219" t="s">
        <v>121</v>
      </c>
    </row>
    <row r="5" spans="2:43" s="86" customFormat="1" ht="46.5" customHeight="1">
      <c r="B5" s="1230"/>
      <c r="C5" s="1232"/>
      <c r="D5" s="536" t="s">
        <v>152</v>
      </c>
      <c r="E5" s="537" t="s">
        <v>128</v>
      </c>
      <c r="F5" s="1232"/>
      <c r="G5" s="536" t="s">
        <v>152</v>
      </c>
      <c r="H5" s="537" t="s">
        <v>128</v>
      </c>
      <c r="I5" s="538" t="s">
        <v>137</v>
      </c>
      <c r="J5" s="539" t="s">
        <v>151</v>
      </c>
      <c r="K5" s="540" t="s">
        <v>137</v>
      </c>
      <c r="L5" s="541" t="s">
        <v>128</v>
      </c>
      <c r="M5" s="1234"/>
      <c r="N5" s="1237"/>
      <c r="O5" s="536" t="s">
        <v>152</v>
      </c>
      <c r="P5" s="537" t="s">
        <v>128</v>
      </c>
      <c r="Q5" s="1222"/>
      <c r="R5" s="542" t="s">
        <v>152</v>
      </c>
      <c r="S5" s="543" t="s">
        <v>128</v>
      </c>
      <c r="T5" s="543" t="s">
        <v>137</v>
      </c>
      <c r="U5" s="543" t="s">
        <v>151</v>
      </c>
      <c r="V5" s="543" t="s">
        <v>137</v>
      </c>
      <c r="W5" s="543" t="s">
        <v>128</v>
      </c>
      <c r="X5" s="1214"/>
      <c r="Y5" s="1218"/>
      <c r="Z5" s="543" t="s">
        <v>152</v>
      </c>
      <c r="AA5" s="543" t="s">
        <v>128</v>
      </c>
      <c r="AB5" s="1224"/>
      <c r="AC5" s="543" t="s">
        <v>152</v>
      </c>
      <c r="AD5" s="543" t="s">
        <v>128</v>
      </c>
      <c r="AE5" s="543" t="s">
        <v>137</v>
      </c>
      <c r="AF5" s="543" t="s">
        <v>151</v>
      </c>
      <c r="AG5" s="544" t="s">
        <v>137</v>
      </c>
      <c r="AH5" s="539" t="s">
        <v>128</v>
      </c>
      <c r="AI5" s="1220"/>
    </row>
    <row r="6" spans="2:43" s="85" customFormat="1" ht="90" customHeight="1">
      <c r="B6" s="545" t="s">
        <v>370</v>
      </c>
      <c r="C6" s="1238">
        <f>총괄표!$X$11</f>
        <v>18050528</v>
      </c>
      <c r="D6" s="546"/>
      <c r="E6" s="547">
        <f>총괄표!V11</f>
        <v>17639109</v>
      </c>
      <c r="F6" s="1238">
        <f>E6</f>
        <v>17639109</v>
      </c>
      <c r="G6" s="546"/>
      <c r="H6" s="547">
        <f>C6</f>
        <v>18050528</v>
      </c>
      <c r="I6" s="1245">
        <f>K7</f>
        <v>873752</v>
      </c>
      <c r="J6" s="1243">
        <f>L7</f>
        <v>1.0508682188089313</v>
      </c>
      <c r="K6" s="548"/>
      <c r="L6" s="549">
        <f>총괄표!Y11</f>
        <v>17176776</v>
      </c>
      <c r="M6" s="1239">
        <f>C6/$C$18</f>
        <v>0.71954720159336971</v>
      </c>
      <c r="N6" s="1240">
        <f>총괄표!E11</f>
        <v>1623041</v>
      </c>
      <c r="O6" s="546"/>
      <c r="P6" s="547">
        <f>총괄표!C11</f>
        <v>1607759</v>
      </c>
      <c r="Q6" s="1223">
        <f>P6</f>
        <v>1607759</v>
      </c>
      <c r="R6" s="550">
        <f>O7</f>
        <v>15282</v>
      </c>
      <c r="S6" s="551">
        <f>N6</f>
        <v>1623041</v>
      </c>
      <c r="T6" s="550">
        <f>V7</f>
        <v>179670</v>
      </c>
      <c r="U6" s="1226">
        <f>W7</f>
        <v>1.124479430444425</v>
      </c>
      <c r="V6" s="552"/>
      <c r="W6" s="553">
        <f>총괄표!G11</f>
        <v>1443371</v>
      </c>
      <c r="X6" s="1241">
        <f>총괄표!I11</f>
        <v>54.000000000000007</v>
      </c>
      <c r="Y6" s="1221">
        <f>C6+N6</f>
        <v>19673569</v>
      </c>
      <c r="Z6" s="554"/>
      <c r="AA6" s="551">
        <f>E6+P6</f>
        <v>19246868</v>
      </c>
      <c r="AB6" s="1225">
        <f>AA6</f>
        <v>19246868</v>
      </c>
      <c r="AC6" s="550">
        <f>Z7</f>
        <v>426701</v>
      </c>
      <c r="AD6" s="551">
        <f>Y6</f>
        <v>19673569</v>
      </c>
      <c r="AE6" s="550">
        <f>AG7</f>
        <v>1053422</v>
      </c>
      <c r="AF6" s="1226">
        <f>AH7</f>
        <v>1.0565743116850796</v>
      </c>
      <c r="AG6" s="555"/>
      <c r="AH6" s="556">
        <f>L6+W6</f>
        <v>18620147</v>
      </c>
      <c r="AI6" s="1227">
        <f>총괄표!P11</f>
        <v>70.099999999999994</v>
      </c>
    </row>
    <row r="7" spans="2:43" s="85" customFormat="1" ht="90" customHeight="1">
      <c r="B7" s="557">
        <f>VLOOKUP(B6,데이터!$D$33:$E$38,2,FALSE)</f>
        <v>1134028</v>
      </c>
      <c r="C7" s="1238"/>
      <c r="D7" s="558">
        <f>C6-E6</f>
        <v>411419</v>
      </c>
      <c r="E7" s="559">
        <f>C6/E6</f>
        <v>1.02332425067502</v>
      </c>
      <c r="F7" s="1238"/>
      <c r="G7" s="558">
        <f>H6-F6</f>
        <v>411419</v>
      </c>
      <c r="H7" s="559">
        <f>H6/E6</f>
        <v>1.02332425067502</v>
      </c>
      <c r="I7" s="1246"/>
      <c r="J7" s="1244"/>
      <c r="K7" s="558">
        <f>C6-L6</f>
        <v>873752</v>
      </c>
      <c r="L7" s="559">
        <f>C6/L6</f>
        <v>1.0508682188089313</v>
      </c>
      <c r="M7" s="1239"/>
      <c r="N7" s="1223"/>
      <c r="O7" s="558">
        <f>N6-P6</f>
        <v>15282</v>
      </c>
      <c r="P7" s="559">
        <f>N6/P6</f>
        <v>1.0095051559344403</v>
      </c>
      <c r="Q7" s="1207"/>
      <c r="R7" s="560">
        <f>(S7-1)</f>
        <v>9.5051559344403458E-3</v>
      </c>
      <c r="S7" s="561">
        <f>P7</f>
        <v>1.0095051559344403</v>
      </c>
      <c r="T7" s="560">
        <f>U6-1</f>
        <v>0.124479430444425</v>
      </c>
      <c r="U7" s="1212"/>
      <c r="V7" s="562">
        <f>N6-W6</f>
        <v>179670</v>
      </c>
      <c r="W7" s="563">
        <f>N6/W6</f>
        <v>1.124479430444425</v>
      </c>
      <c r="X7" s="1242"/>
      <c r="Y7" s="1209"/>
      <c r="Z7" s="564">
        <f>Y6-AA6</f>
        <v>426701</v>
      </c>
      <c r="AA7" s="563">
        <f>Y6/AA6</f>
        <v>1.0221698927846339</v>
      </c>
      <c r="AB7" s="1205"/>
      <c r="AC7" s="560">
        <f>AD7-1</f>
        <v>2.2169892784633882E-2</v>
      </c>
      <c r="AD7" s="561">
        <f>AA7</f>
        <v>1.0221698927846339</v>
      </c>
      <c r="AE7" s="560">
        <f>AF6-1</f>
        <v>5.6574311685079648E-2</v>
      </c>
      <c r="AF7" s="1212"/>
      <c r="AG7" s="565">
        <f>Y6-AH6</f>
        <v>1053422</v>
      </c>
      <c r="AH7" s="559">
        <f>Y6/AH6</f>
        <v>1.0565743116850796</v>
      </c>
      <c r="AI7" s="1227"/>
    </row>
    <row r="8" spans="2:43" s="85" customFormat="1" ht="90" customHeight="1">
      <c r="B8" s="566" t="s">
        <v>167</v>
      </c>
      <c r="C8" s="1250">
        <f>총괄표!$X$12</f>
        <v>1441833</v>
      </c>
      <c r="D8" s="567"/>
      <c r="E8" s="568">
        <f>총괄표!V12</f>
        <v>1478458</v>
      </c>
      <c r="F8" s="1250">
        <f>E8</f>
        <v>1478458</v>
      </c>
      <c r="G8" s="567"/>
      <c r="H8" s="568">
        <f>C8</f>
        <v>1441833</v>
      </c>
      <c r="I8" s="1247">
        <f>K9</f>
        <v>-11711.270898699993</v>
      </c>
      <c r="J8" s="1248">
        <f>L9</f>
        <v>0.99194295548256051</v>
      </c>
      <c r="K8" s="567"/>
      <c r="L8" s="569">
        <f>총괄표!Y12</f>
        <v>1453544.2708987</v>
      </c>
      <c r="M8" s="1252">
        <f>C8/$C$18</f>
        <v>5.7475709315260644E-2</v>
      </c>
      <c r="N8" s="1256">
        <f>총괄표!E12</f>
        <v>289022</v>
      </c>
      <c r="O8" s="567"/>
      <c r="P8" s="568">
        <f>총괄표!C12</f>
        <v>280557</v>
      </c>
      <c r="Q8" s="1207">
        <f>P8</f>
        <v>280557</v>
      </c>
      <c r="R8" s="564">
        <f>O9</f>
        <v>8465</v>
      </c>
      <c r="S8" s="570">
        <f>N8</f>
        <v>289022</v>
      </c>
      <c r="T8" s="564">
        <f>V9</f>
        <v>3741.3980327000027</v>
      </c>
      <c r="U8" s="1212">
        <f>W9</f>
        <v>1.0131147999790355</v>
      </c>
      <c r="V8" s="571"/>
      <c r="W8" s="562">
        <f>총괄표!G12</f>
        <v>285280.6019673</v>
      </c>
      <c r="X8" s="1255">
        <f>총괄표!I12</f>
        <v>9.6</v>
      </c>
      <c r="Y8" s="1209">
        <f>C8+N8</f>
        <v>1730855</v>
      </c>
      <c r="Z8" s="564"/>
      <c r="AA8" s="570">
        <f>E8+P8</f>
        <v>1759015</v>
      </c>
      <c r="AB8" s="1205">
        <f>AA8</f>
        <v>1759015</v>
      </c>
      <c r="AC8" s="564">
        <f>Z9</f>
        <v>-28160</v>
      </c>
      <c r="AD8" s="570">
        <f>Y8</f>
        <v>1730855</v>
      </c>
      <c r="AE8" s="564">
        <f>AG9</f>
        <v>-7969.8728660000488</v>
      </c>
      <c r="AF8" s="1212">
        <f>AH9</f>
        <v>0.99541651779292539</v>
      </c>
      <c r="AG8" s="572"/>
      <c r="AH8" s="573">
        <f>L8+W8</f>
        <v>1738824.872866</v>
      </c>
      <c r="AI8" s="1201">
        <f>총괄표!P12</f>
        <v>6.2</v>
      </c>
    </row>
    <row r="9" spans="2:43" s="85" customFormat="1" ht="90" customHeight="1">
      <c r="B9" s="557">
        <f>VLOOKUP(B8,데이터!$D$33:$E$38,2,FALSE)</f>
        <v>21972</v>
      </c>
      <c r="C9" s="1251"/>
      <c r="D9" s="558">
        <f>C8-E8</f>
        <v>-36625</v>
      </c>
      <c r="E9" s="559">
        <f>C8/E8</f>
        <v>0.97522756818252532</v>
      </c>
      <c r="F9" s="1251"/>
      <c r="G9" s="558">
        <f>H8-F8</f>
        <v>-36625</v>
      </c>
      <c r="H9" s="559">
        <f>H8/E8</f>
        <v>0.97522756818252532</v>
      </c>
      <c r="I9" s="1246"/>
      <c r="J9" s="1249"/>
      <c r="K9" s="558">
        <f>C8-L8</f>
        <v>-11711.270898699993</v>
      </c>
      <c r="L9" s="559">
        <f>C8/L8</f>
        <v>0.99194295548256051</v>
      </c>
      <c r="M9" s="1226"/>
      <c r="N9" s="1256"/>
      <c r="O9" s="558">
        <f>N8-P8</f>
        <v>8465</v>
      </c>
      <c r="P9" s="559">
        <f>N8/P8</f>
        <v>1.0301721218861051</v>
      </c>
      <c r="Q9" s="1207"/>
      <c r="R9" s="574">
        <f>S9-1</f>
        <v>3.0172121886105074E-2</v>
      </c>
      <c r="S9" s="561">
        <f>P9</f>
        <v>1.0301721218861051</v>
      </c>
      <c r="T9" s="560">
        <f>U8-1</f>
        <v>1.311479997903553E-2</v>
      </c>
      <c r="U9" s="1212"/>
      <c r="V9" s="562">
        <f>N8-W8</f>
        <v>3741.3980327000027</v>
      </c>
      <c r="W9" s="563">
        <f>N8/W8</f>
        <v>1.0131147999790355</v>
      </c>
      <c r="X9" s="1241"/>
      <c r="Y9" s="1209"/>
      <c r="Z9" s="564">
        <f>Y8-AA8</f>
        <v>-28160</v>
      </c>
      <c r="AA9" s="563">
        <f>Y8/AA8</f>
        <v>0.98399104044024643</v>
      </c>
      <c r="AB9" s="1205"/>
      <c r="AC9" s="560">
        <f>AD9-1</f>
        <v>-1.6008959559753566E-2</v>
      </c>
      <c r="AD9" s="561">
        <f>AA9</f>
        <v>0.98399104044024643</v>
      </c>
      <c r="AE9" s="560">
        <f>AF8-1</f>
        <v>-4.5834822070746073E-3</v>
      </c>
      <c r="AF9" s="1212"/>
      <c r="AG9" s="565">
        <f>Y8-AH8</f>
        <v>-7969.8728660000488</v>
      </c>
      <c r="AH9" s="559">
        <f>Y8/AH8</f>
        <v>0.99541651779292539</v>
      </c>
      <c r="AI9" s="1202"/>
    </row>
    <row r="10" spans="2:43" s="85" customFormat="1" ht="90" customHeight="1">
      <c r="B10" s="566" t="s">
        <v>199</v>
      </c>
      <c r="C10" s="1250">
        <f>총괄표!$X$13+총괄표!$X$14</f>
        <v>975827</v>
      </c>
      <c r="D10" s="567"/>
      <c r="E10" s="568">
        <f>총괄표!V13+총괄표!V14</f>
        <v>909504</v>
      </c>
      <c r="F10" s="1250">
        <f>E10</f>
        <v>909504</v>
      </c>
      <c r="G10" s="567"/>
      <c r="H10" s="568">
        <f>C10</f>
        <v>975827</v>
      </c>
      <c r="I10" s="1247">
        <f>K11</f>
        <v>54296</v>
      </c>
      <c r="J10" s="1248">
        <f>L11</f>
        <v>1.0589193418344038</v>
      </c>
      <c r="K10" s="567"/>
      <c r="L10" s="569">
        <f>총괄표!Y13+총괄표!Y14</f>
        <v>921531</v>
      </c>
      <c r="M10" s="1252">
        <f>C10/$C$18</f>
        <v>3.8899337852568813E-2</v>
      </c>
      <c r="N10" s="1253">
        <f>총괄표!E13+총괄표!E14</f>
        <v>68542</v>
      </c>
      <c r="O10" s="567"/>
      <c r="P10" s="568">
        <f>총괄표!C13+총괄표!C14</f>
        <v>86570</v>
      </c>
      <c r="Q10" s="1207">
        <f>P10</f>
        <v>86570</v>
      </c>
      <c r="R10" s="564">
        <f>O11</f>
        <v>-18028</v>
      </c>
      <c r="S10" s="570">
        <f>N10</f>
        <v>68542</v>
      </c>
      <c r="T10" s="564">
        <f>V11</f>
        <v>3084</v>
      </c>
      <c r="U10" s="1212">
        <f>W11</f>
        <v>1.0471141800849399</v>
      </c>
      <c r="V10" s="571"/>
      <c r="W10" s="562">
        <f>총괄표!G13+총괄표!G14</f>
        <v>65458</v>
      </c>
      <c r="X10" s="1255">
        <f>SUM(총괄표!I13:I14)</f>
        <v>2.2999999999999998</v>
      </c>
      <c r="Y10" s="1209">
        <f>C10+N10</f>
        <v>1044369</v>
      </c>
      <c r="Z10" s="564"/>
      <c r="AA10" s="570">
        <f>E10+P10</f>
        <v>996074</v>
      </c>
      <c r="AB10" s="1205">
        <f>AA10</f>
        <v>996074</v>
      </c>
      <c r="AC10" s="564">
        <f>Z11</f>
        <v>48295</v>
      </c>
      <c r="AD10" s="570">
        <f>Y10</f>
        <v>1044369</v>
      </c>
      <c r="AE10" s="564">
        <f>AG11</f>
        <v>57380</v>
      </c>
      <c r="AF10" s="1212">
        <f>AH11</f>
        <v>1.0581364128678232</v>
      </c>
      <c r="AG10" s="572"/>
      <c r="AH10" s="573">
        <f>L10+W10</f>
        <v>986989</v>
      </c>
      <c r="AI10" s="1201">
        <f>SUM(총괄표!P13:P14)</f>
        <v>3.7</v>
      </c>
      <c r="AQ10" s="175"/>
    </row>
    <row r="11" spans="2:43" s="85" customFormat="1" ht="90" customHeight="1">
      <c r="B11" s="557">
        <f>VLOOKUP(B10,데이터!$D$33:$E$38,2,FALSE)</f>
        <v>7907</v>
      </c>
      <c r="C11" s="1251"/>
      <c r="D11" s="558">
        <f>C10-E10</f>
        <v>66323</v>
      </c>
      <c r="E11" s="559">
        <f>C10/E10</f>
        <v>1.0729221641686018</v>
      </c>
      <c r="F11" s="1251"/>
      <c r="G11" s="558">
        <f>H10-F10</f>
        <v>66323</v>
      </c>
      <c r="H11" s="559">
        <f>H10/E10</f>
        <v>1.0729221641686018</v>
      </c>
      <c r="I11" s="1246"/>
      <c r="J11" s="1249"/>
      <c r="K11" s="558">
        <f>C10-L10</f>
        <v>54296</v>
      </c>
      <c r="L11" s="559">
        <f>C10/L10</f>
        <v>1.0589193418344038</v>
      </c>
      <c r="M11" s="1226"/>
      <c r="N11" s="1254"/>
      <c r="O11" s="558">
        <f>N10-P10</f>
        <v>-18028</v>
      </c>
      <c r="P11" s="559">
        <f>N10/P10</f>
        <v>0.79175233914751064</v>
      </c>
      <c r="Q11" s="1207"/>
      <c r="R11" s="574">
        <f>S11-1</f>
        <v>-0.20824766085248936</v>
      </c>
      <c r="S11" s="561">
        <f>P11</f>
        <v>0.79175233914751064</v>
      </c>
      <c r="T11" s="574">
        <f>U10-1</f>
        <v>4.7114180084939949E-2</v>
      </c>
      <c r="U11" s="1212"/>
      <c r="V11" s="562">
        <f>N10-W10</f>
        <v>3084</v>
      </c>
      <c r="W11" s="563">
        <f>N10/W10</f>
        <v>1.0471141800849399</v>
      </c>
      <c r="X11" s="1241"/>
      <c r="Y11" s="1209"/>
      <c r="Z11" s="564">
        <f>Y10-AA10</f>
        <v>48295</v>
      </c>
      <c r="AA11" s="563">
        <f>Y10/AA10</f>
        <v>1.0484853534978325</v>
      </c>
      <c r="AB11" s="1205"/>
      <c r="AC11" s="560">
        <f>AD11-1</f>
        <v>4.8485353497832451E-2</v>
      </c>
      <c r="AD11" s="561">
        <f>AA11</f>
        <v>1.0484853534978325</v>
      </c>
      <c r="AE11" s="560">
        <f>AF10-1</f>
        <v>5.8136412867823228E-2</v>
      </c>
      <c r="AF11" s="1212"/>
      <c r="AG11" s="565">
        <f>Y10-AH10</f>
        <v>57380</v>
      </c>
      <c r="AH11" s="559">
        <f>Y10/AH10</f>
        <v>1.0581364128678232</v>
      </c>
      <c r="AI11" s="1202"/>
    </row>
    <row r="12" spans="2:43" s="85" customFormat="1" ht="90" customHeight="1">
      <c r="B12" s="566" t="s">
        <v>44</v>
      </c>
      <c r="C12" s="1250">
        <f>총괄표!$X$15</f>
        <v>3383198</v>
      </c>
      <c r="D12" s="567"/>
      <c r="E12" s="568">
        <f>총괄표!V15</f>
        <v>3460469</v>
      </c>
      <c r="F12" s="1250">
        <f>E12</f>
        <v>3460469</v>
      </c>
      <c r="G12" s="567"/>
      <c r="H12" s="568">
        <f>C12</f>
        <v>3383198</v>
      </c>
      <c r="I12" s="1247">
        <f>K13</f>
        <v>-191419</v>
      </c>
      <c r="J12" s="1248">
        <f>L13</f>
        <v>0.94645048686334787</v>
      </c>
      <c r="K12" s="567"/>
      <c r="L12" s="569">
        <f>총괄표!Y15</f>
        <v>3574617</v>
      </c>
      <c r="M12" s="1252">
        <f>C12/$C$18</f>
        <v>0.13486423518116952</v>
      </c>
      <c r="N12" s="1253">
        <f>총괄표!E15</f>
        <v>717448</v>
      </c>
      <c r="O12" s="567"/>
      <c r="P12" s="568">
        <f>총괄표!C15</f>
        <v>818098</v>
      </c>
      <c r="Q12" s="1207">
        <f>P12</f>
        <v>818098</v>
      </c>
      <c r="R12" s="564">
        <f>O13</f>
        <v>-100650</v>
      </c>
      <c r="S12" s="570">
        <f>N12</f>
        <v>717448</v>
      </c>
      <c r="T12" s="564">
        <f>V13</f>
        <v>-88367</v>
      </c>
      <c r="U12" s="1212">
        <f>W13</f>
        <v>0.8903383530959339</v>
      </c>
      <c r="V12" s="571"/>
      <c r="W12" s="562">
        <f>총괄표!G15</f>
        <v>805815</v>
      </c>
      <c r="X12" s="1242">
        <f>총괄표!I15</f>
        <v>23.8</v>
      </c>
      <c r="Y12" s="1209">
        <f>C12+N12</f>
        <v>4100646</v>
      </c>
      <c r="Z12" s="564"/>
      <c r="AA12" s="570">
        <f>E12+P12</f>
        <v>4278567</v>
      </c>
      <c r="AB12" s="1205">
        <f>AA12</f>
        <v>4278567</v>
      </c>
      <c r="AC12" s="564">
        <f>Z13</f>
        <v>-177921</v>
      </c>
      <c r="AD12" s="570">
        <f>Y12</f>
        <v>4100646</v>
      </c>
      <c r="AE12" s="564">
        <f>AG13</f>
        <v>-279786</v>
      </c>
      <c r="AF12" s="1212">
        <f>AH13</f>
        <v>0.9361282174908776</v>
      </c>
      <c r="AG12" s="572"/>
      <c r="AH12" s="573">
        <f>L12+W12</f>
        <v>4380432</v>
      </c>
      <c r="AI12" s="1201">
        <f>총괄표!P15</f>
        <v>14.6</v>
      </c>
    </row>
    <row r="13" spans="2:43" s="85" customFormat="1" ht="90" customHeight="1">
      <c r="B13" s="557">
        <f>VLOOKUP(B12,데이터!$D$33:$E$38,2,FALSE)</f>
        <v>1124</v>
      </c>
      <c r="C13" s="1251"/>
      <c r="D13" s="558">
        <f>C12-E12</f>
        <v>-77271</v>
      </c>
      <c r="E13" s="559">
        <f>C12/E12</f>
        <v>0.97767036780274585</v>
      </c>
      <c r="F13" s="1251"/>
      <c r="G13" s="558">
        <f>H12-F12</f>
        <v>-77271</v>
      </c>
      <c r="H13" s="559">
        <f>H12/E12</f>
        <v>0.97767036780274585</v>
      </c>
      <c r="I13" s="1246"/>
      <c r="J13" s="1249"/>
      <c r="K13" s="558">
        <f>C12-L12</f>
        <v>-191419</v>
      </c>
      <c r="L13" s="559">
        <f>C12/L12</f>
        <v>0.94645048686334787</v>
      </c>
      <c r="M13" s="1226"/>
      <c r="N13" s="1254"/>
      <c r="O13" s="558">
        <f>N12-P12</f>
        <v>-100650</v>
      </c>
      <c r="P13" s="559">
        <f>N12/P12</f>
        <v>0.87697072966808376</v>
      </c>
      <c r="Q13" s="1207"/>
      <c r="R13" s="574">
        <f>S13-1</f>
        <v>-0.12302927033191624</v>
      </c>
      <c r="S13" s="561">
        <f>P13</f>
        <v>0.87697072966808376</v>
      </c>
      <c r="T13" s="574">
        <f>U12-1</f>
        <v>-0.1096616469040661</v>
      </c>
      <c r="U13" s="1212"/>
      <c r="V13" s="562">
        <f>N12-W12</f>
        <v>-88367</v>
      </c>
      <c r="W13" s="563">
        <f>N12/W12</f>
        <v>0.8903383530959339</v>
      </c>
      <c r="X13" s="1242"/>
      <c r="Y13" s="1209"/>
      <c r="Z13" s="564">
        <f>Y12-AA12</f>
        <v>-177921</v>
      </c>
      <c r="AA13" s="563">
        <f>Y12/AA12</f>
        <v>0.95841574994618528</v>
      </c>
      <c r="AB13" s="1205"/>
      <c r="AC13" s="560">
        <f>AD13-1</f>
        <v>-4.158425005381472E-2</v>
      </c>
      <c r="AD13" s="561">
        <f>AA13</f>
        <v>0.95841574994618528</v>
      </c>
      <c r="AE13" s="560">
        <f>AF12-1</f>
        <v>-6.3871782509122399E-2</v>
      </c>
      <c r="AF13" s="1212"/>
      <c r="AG13" s="565">
        <f>Y12-AH12</f>
        <v>-279786</v>
      </c>
      <c r="AH13" s="559">
        <f>Y12/AH12</f>
        <v>0.9361282174908776</v>
      </c>
      <c r="AI13" s="1202"/>
    </row>
    <row r="14" spans="2:43" s="85" customFormat="1" ht="90" customHeight="1">
      <c r="B14" s="566" t="s">
        <v>123</v>
      </c>
      <c r="C14" s="1250">
        <f>총괄표!$X$16+총괄표!$X$17</f>
        <v>1029476</v>
      </c>
      <c r="D14" s="567"/>
      <c r="E14" s="568">
        <f>총괄표!V16+총괄표!V17</f>
        <v>1028811</v>
      </c>
      <c r="F14" s="1250">
        <f>E14</f>
        <v>1028811</v>
      </c>
      <c r="G14" s="567"/>
      <c r="H14" s="568">
        <f>C14</f>
        <v>1029476</v>
      </c>
      <c r="I14" s="1247">
        <f>K15</f>
        <v>-23929</v>
      </c>
      <c r="J14" s="1248">
        <f>L15</f>
        <v>0.977284140477784</v>
      </c>
      <c r="K14" s="567"/>
      <c r="L14" s="569">
        <f>총괄표!Y16+총괄표!Y17</f>
        <v>1053405</v>
      </c>
      <c r="M14" s="1252">
        <f>C14/$C$18</f>
        <v>4.103794497909069E-2</v>
      </c>
      <c r="N14" s="1253">
        <f>총괄표!E16+총괄표!E17</f>
        <v>274367</v>
      </c>
      <c r="O14" s="567"/>
      <c r="P14" s="568">
        <f>총괄표!C16+총괄표!C17</f>
        <v>269829</v>
      </c>
      <c r="Q14" s="1207">
        <f>P14</f>
        <v>269829</v>
      </c>
      <c r="R14" s="564">
        <f>O15</f>
        <v>4538</v>
      </c>
      <c r="S14" s="570">
        <f>N14</f>
        <v>274367</v>
      </c>
      <c r="T14" s="564">
        <f>V15</f>
        <v>-3673</v>
      </c>
      <c r="U14" s="1212">
        <f>W15</f>
        <v>0.98678967055099986</v>
      </c>
      <c r="V14" s="571"/>
      <c r="W14" s="562">
        <f>총괄표!G16+총괄표!G17</f>
        <v>278040</v>
      </c>
      <c r="X14" s="1242">
        <f>SUM(총괄표!I16:I17)</f>
        <v>9.1</v>
      </c>
      <c r="Y14" s="1209">
        <f>C14+N14</f>
        <v>1303843</v>
      </c>
      <c r="Z14" s="564"/>
      <c r="AA14" s="570">
        <f>E14+P14</f>
        <v>1298640</v>
      </c>
      <c r="AB14" s="1205">
        <f>AA14</f>
        <v>1298640</v>
      </c>
      <c r="AC14" s="564">
        <f>Z15</f>
        <v>5203</v>
      </c>
      <c r="AD14" s="570">
        <f>Y14</f>
        <v>1303843</v>
      </c>
      <c r="AE14" s="564">
        <f>AG15</f>
        <v>-27602</v>
      </c>
      <c r="AF14" s="1212">
        <f>AH15</f>
        <v>0.97926913991941089</v>
      </c>
      <c r="AG14" s="572"/>
      <c r="AH14" s="573">
        <f>L14+W14</f>
        <v>1331445</v>
      </c>
      <c r="AI14" s="1201">
        <f>SUM(총괄표!P16:P17)</f>
        <v>4.6000000000000005</v>
      </c>
    </row>
    <row r="15" spans="2:43" s="85" customFormat="1" ht="90" customHeight="1">
      <c r="B15" s="557">
        <f>VLOOKUP(B14,데이터!$D$33:$E$38,2,FALSE)</f>
        <v>103</v>
      </c>
      <c r="C15" s="1251"/>
      <c r="D15" s="558">
        <f>C14-E14</f>
        <v>665</v>
      </c>
      <c r="E15" s="559">
        <f>C14/E14</f>
        <v>1.000646377225749</v>
      </c>
      <c r="F15" s="1251"/>
      <c r="G15" s="558">
        <f>H14-F14</f>
        <v>665</v>
      </c>
      <c r="H15" s="559">
        <f>H14/E14</f>
        <v>1.000646377225749</v>
      </c>
      <c r="I15" s="1246"/>
      <c r="J15" s="1249"/>
      <c r="K15" s="558">
        <f>C14-L14</f>
        <v>-23929</v>
      </c>
      <c r="L15" s="559">
        <f>C14/L14</f>
        <v>0.977284140477784</v>
      </c>
      <c r="M15" s="1226"/>
      <c r="N15" s="1254"/>
      <c r="O15" s="558">
        <f>N14-P14</f>
        <v>4538</v>
      </c>
      <c r="P15" s="559">
        <f>N14/P14</f>
        <v>1.0168180588446758</v>
      </c>
      <c r="Q15" s="1207"/>
      <c r="R15" s="574">
        <f>S15-1</f>
        <v>1.6818058844675798E-2</v>
      </c>
      <c r="S15" s="561">
        <f>P15</f>
        <v>1.0168180588446758</v>
      </c>
      <c r="T15" s="574">
        <f>U14-1</f>
        <v>-1.3210329449000136E-2</v>
      </c>
      <c r="U15" s="1212"/>
      <c r="V15" s="562">
        <f>N14-W14</f>
        <v>-3673</v>
      </c>
      <c r="W15" s="563">
        <f>N14/W14</f>
        <v>0.98678967055099986</v>
      </c>
      <c r="X15" s="1242"/>
      <c r="Y15" s="1209"/>
      <c r="Z15" s="564">
        <f>Y14-AA14</f>
        <v>5203</v>
      </c>
      <c r="AA15" s="563">
        <f>Y14/AA14</f>
        <v>1.0040064991067579</v>
      </c>
      <c r="AB15" s="1205"/>
      <c r="AC15" s="560">
        <f>AD15-1</f>
        <v>4.006499106757877E-3</v>
      </c>
      <c r="AD15" s="561">
        <f>AA15</f>
        <v>1.0040064991067579</v>
      </c>
      <c r="AE15" s="560">
        <f>AF14-1</f>
        <v>-2.0730860080589109E-2</v>
      </c>
      <c r="AF15" s="1212"/>
      <c r="AG15" s="565">
        <f>Y14-AH14</f>
        <v>-27602</v>
      </c>
      <c r="AH15" s="559">
        <f>Y14/AH14</f>
        <v>0.97926913991941089</v>
      </c>
      <c r="AI15" s="1202"/>
    </row>
    <row r="16" spans="2:43" s="85" customFormat="1" ht="90" customHeight="1">
      <c r="B16" s="566" t="s">
        <v>224</v>
      </c>
      <c r="C16" s="1250">
        <f>총괄표!X18+총괄표!X19+총괄표!X20+총괄표!X21</f>
        <v>205092</v>
      </c>
      <c r="D16" s="567"/>
      <c r="E16" s="568">
        <f>총괄표!V18+총괄표!V19+총괄표!V20+총괄표!V21</f>
        <v>200594</v>
      </c>
      <c r="F16" s="1250">
        <f>E16</f>
        <v>200594</v>
      </c>
      <c r="G16" s="567"/>
      <c r="H16" s="568">
        <f>C16</f>
        <v>205092</v>
      </c>
      <c r="I16" s="1247">
        <f>K17</f>
        <v>-77562</v>
      </c>
      <c r="J16" s="1248">
        <f>L17</f>
        <v>0.72559383557282053</v>
      </c>
      <c r="K16" s="567"/>
      <c r="L16" s="569">
        <f>총괄표!Y18+총괄표!Y19+총괄표!Y20+총괄표!Y21</f>
        <v>282654</v>
      </c>
      <c r="M16" s="1252">
        <f>C16/$C$18</f>
        <v>8.1755710785406041E-3</v>
      </c>
      <c r="N16" s="1253">
        <f>총괄표!E18+총괄표!E19+총괄표!E20+총괄표!E21</f>
        <v>37051</v>
      </c>
      <c r="O16" s="567"/>
      <c r="P16" s="568">
        <f>총괄표!C18+총괄표!C19+총괄표!C20+총괄표!C21</f>
        <v>42505</v>
      </c>
      <c r="Q16" s="1207">
        <f>P16</f>
        <v>42505</v>
      </c>
      <c r="R16" s="564">
        <f>O17</f>
        <v>-5454</v>
      </c>
      <c r="S16" s="570">
        <f>N16</f>
        <v>37051</v>
      </c>
      <c r="T16" s="564">
        <f>V17</f>
        <v>-14784</v>
      </c>
      <c r="U16" s="1212">
        <f>W17</f>
        <v>0.7147873058744092</v>
      </c>
      <c r="V16" s="571"/>
      <c r="W16" s="562">
        <f>총괄표!G18+총괄표!G19+총괄표!G20+총괄표!G21</f>
        <v>51835</v>
      </c>
      <c r="X16" s="1242">
        <f>SUM(총괄표!I18:I21)</f>
        <v>1.2000000000000002</v>
      </c>
      <c r="Y16" s="1209">
        <f>C16+N16</f>
        <v>242143</v>
      </c>
      <c r="Z16" s="564"/>
      <c r="AA16" s="570">
        <f>E16+P16</f>
        <v>243099</v>
      </c>
      <c r="AB16" s="1205">
        <f>AA16</f>
        <v>243099</v>
      </c>
      <c r="AC16" s="564">
        <f>Z17</f>
        <v>-956</v>
      </c>
      <c r="AD16" s="570">
        <f>Y16</f>
        <v>242143</v>
      </c>
      <c r="AE16" s="564">
        <f>AG17</f>
        <v>-92346</v>
      </c>
      <c r="AF16" s="1212">
        <f>AH17</f>
        <v>0.723919172229879</v>
      </c>
      <c r="AG16" s="572"/>
      <c r="AH16" s="573">
        <f>L16+W16</f>
        <v>334489</v>
      </c>
      <c r="AI16" s="1201">
        <f>SUM(총괄표!P18:P21)</f>
        <v>0.79999999999999993</v>
      </c>
    </row>
    <row r="17" spans="2:39" s="85" customFormat="1" ht="90" customHeight="1" thickBot="1">
      <c r="B17" s="575">
        <f>VLOOKUP(B16,데이터!$D$33:$E$38,2,FALSE)</f>
        <v>343</v>
      </c>
      <c r="C17" s="1251"/>
      <c r="D17" s="558">
        <f>C16-E16</f>
        <v>4498</v>
      </c>
      <c r="E17" s="559">
        <f>C16/E16</f>
        <v>1.0224234024945911</v>
      </c>
      <c r="F17" s="1251"/>
      <c r="G17" s="558">
        <f>H16-F16</f>
        <v>4498</v>
      </c>
      <c r="H17" s="559">
        <f>H16/F16</f>
        <v>1.0224234024945911</v>
      </c>
      <c r="I17" s="1258"/>
      <c r="J17" s="1259"/>
      <c r="K17" s="558">
        <f>C16-L16</f>
        <v>-77562</v>
      </c>
      <c r="L17" s="559">
        <f>C16/L16</f>
        <v>0.72559383557282053</v>
      </c>
      <c r="M17" s="1226"/>
      <c r="N17" s="1254"/>
      <c r="O17" s="558">
        <f>N16-P16</f>
        <v>-5454</v>
      </c>
      <c r="P17" s="559">
        <f>N16/P16</f>
        <v>0.87168568403717206</v>
      </c>
      <c r="Q17" s="1208"/>
      <c r="R17" s="576">
        <f>S17-1</f>
        <v>-0.12831431596282794</v>
      </c>
      <c r="S17" s="577">
        <f>P17</f>
        <v>0.87168568403717206</v>
      </c>
      <c r="T17" s="576">
        <f>U16-1</f>
        <v>-0.2852126941255908</v>
      </c>
      <c r="U17" s="1213"/>
      <c r="V17" s="578">
        <f>N16-W16</f>
        <v>-14784</v>
      </c>
      <c r="W17" s="579">
        <f>N16/W16</f>
        <v>0.7147873058744092</v>
      </c>
      <c r="X17" s="1242"/>
      <c r="Y17" s="1257"/>
      <c r="Z17" s="580">
        <f>Y16-AA16</f>
        <v>-956</v>
      </c>
      <c r="AA17" s="579">
        <f>Y16/AA16</f>
        <v>0.99606744577312123</v>
      </c>
      <c r="AB17" s="1206"/>
      <c r="AC17" s="603">
        <f>AD17-1</f>
        <v>-3.9325542268787705E-3</v>
      </c>
      <c r="AD17" s="577">
        <f>AA17</f>
        <v>0.99606744577312123</v>
      </c>
      <c r="AE17" s="603">
        <f>AF16-1</f>
        <v>-0.276080827770121</v>
      </c>
      <c r="AF17" s="1213"/>
      <c r="AG17" s="565">
        <f>Y16-AH16</f>
        <v>-92346</v>
      </c>
      <c r="AH17" s="559">
        <f>Y16/AH16</f>
        <v>0.723919172229879</v>
      </c>
      <c r="AI17" s="1202"/>
    </row>
    <row r="18" spans="2:39" s="87" customFormat="1" ht="90" customHeight="1">
      <c r="B18" s="581" t="s">
        <v>138</v>
      </c>
      <c r="C18" s="1260">
        <f>SUM(C6:C17)</f>
        <v>25085954</v>
      </c>
      <c r="D18" s="582"/>
      <c r="E18" s="583">
        <f>E6+E8+E10+E12+E14+E16</f>
        <v>24716945</v>
      </c>
      <c r="F18" s="1260">
        <f>SUM(F6:F17)</f>
        <v>24716945</v>
      </c>
      <c r="G18" s="582"/>
      <c r="H18" s="583">
        <f>H6+H8+H10+H12+H14+H16</f>
        <v>25085954</v>
      </c>
      <c r="I18" s="1272">
        <f>K19</f>
        <v>623426.72910130024</v>
      </c>
      <c r="J18" s="1270">
        <f>L19</f>
        <v>1.0254849681800027</v>
      </c>
      <c r="K18" s="582"/>
      <c r="L18" s="584">
        <f>L6+L8+L10+L12+L14+L16</f>
        <v>24462527.2708987</v>
      </c>
      <c r="M18" s="1210"/>
      <c r="N18" s="1262">
        <f>SUM(N6:N17)</f>
        <v>3009471</v>
      </c>
      <c r="O18" s="582"/>
      <c r="P18" s="583">
        <f>P6+P8+P10+P12+P14+P16</f>
        <v>3105318</v>
      </c>
      <c r="Q18" s="1262">
        <f>SUM(Q6:Q17)</f>
        <v>3105318</v>
      </c>
      <c r="R18" s="585">
        <f>O19</f>
        <v>-95847</v>
      </c>
      <c r="S18" s="586">
        <f>S6+'판매량-월별추이'!S8+S10+S12+S14+S16</f>
        <v>3009471</v>
      </c>
      <c r="T18" s="585">
        <f>V19</f>
        <v>79671.398032699712</v>
      </c>
      <c r="U18" s="1274">
        <f>W19</f>
        <v>1.02719346332739</v>
      </c>
      <c r="V18" s="587"/>
      <c r="W18" s="587">
        <f>W6+W8+W10+W12+W14+W16</f>
        <v>2929799.6019673003</v>
      </c>
      <c r="X18" s="1264"/>
      <c r="Y18" s="1266">
        <f>SUM(Y6:Y17)</f>
        <v>28095425</v>
      </c>
      <c r="Z18" s="585"/>
      <c r="AA18" s="586">
        <f>AA6+AA8+AA10+AA12+AA14+AA16</f>
        <v>27822263</v>
      </c>
      <c r="AB18" s="1268">
        <f>SUM(AB6:AB17)</f>
        <v>27822263</v>
      </c>
      <c r="AC18" s="585">
        <f>Z19</f>
        <v>273162</v>
      </c>
      <c r="AD18" s="586">
        <f>AD6+AD8+AD10+AD12+AD14+AD16</f>
        <v>28095425</v>
      </c>
      <c r="AE18" s="588">
        <f>AG19</f>
        <v>703098.12713399902</v>
      </c>
      <c r="AF18" s="1210">
        <f>AH19</f>
        <v>1.0256677036017143</v>
      </c>
      <c r="AG18" s="589"/>
      <c r="AH18" s="590">
        <f>AH6+AH8+AH10+AH12+AH14+AH16</f>
        <v>27392326.872866001</v>
      </c>
      <c r="AI18" s="1203"/>
    </row>
    <row r="19" spans="2:39" s="87" customFormat="1" ht="90" customHeight="1" thickBot="1">
      <c r="B19" s="591">
        <f>IF(B7+B9+B11+B13+B15+B17=데이터!E39,B7+B9+B11+B13+B15+B17,"")</f>
        <v>1165477</v>
      </c>
      <c r="C19" s="1261"/>
      <c r="D19" s="592">
        <f>C18-E18</f>
        <v>369009</v>
      </c>
      <c r="E19" s="593">
        <f>C18/E18</f>
        <v>1.0149293935799915</v>
      </c>
      <c r="F19" s="1261"/>
      <c r="G19" s="592">
        <f>H18-F18</f>
        <v>369009</v>
      </c>
      <c r="H19" s="593">
        <f>H18/F18</f>
        <v>1.0149293935799915</v>
      </c>
      <c r="I19" s="1273"/>
      <c r="J19" s="1271"/>
      <c r="K19" s="592">
        <f>C18-L18</f>
        <v>623426.72910130024</v>
      </c>
      <c r="L19" s="594">
        <f>C18/L18</f>
        <v>1.0254849681800027</v>
      </c>
      <c r="M19" s="1211"/>
      <c r="N19" s="1263"/>
      <c r="O19" s="595">
        <f>N18-P18</f>
        <v>-95847</v>
      </c>
      <c r="P19" s="596">
        <f>N18/P18</f>
        <v>0.96913456206417503</v>
      </c>
      <c r="Q19" s="1263"/>
      <c r="R19" s="597">
        <f>S19-1</f>
        <v>-3.0865437935824969E-2</v>
      </c>
      <c r="S19" s="669">
        <f>P19</f>
        <v>0.96913456206417503</v>
      </c>
      <c r="T19" s="597">
        <f>U18-1</f>
        <v>2.7193463327390033E-2</v>
      </c>
      <c r="U19" s="1275"/>
      <c r="V19" s="598">
        <f>N18-W18</f>
        <v>79671.398032699712</v>
      </c>
      <c r="W19" s="599">
        <f>N18/W18</f>
        <v>1.02719346332739</v>
      </c>
      <c r="X19" s="1265"/>
      <c r="Y19" s="1267"/>
      <c r="Z19" s="600">
        <f>Y18-AA18</f>
        <v>273162</v>
      </c>
      <c r="AA19" s="601">
        <f>Y18/AA18</f>
        <v>1.0098181086132354</v>
      </c>
      <c r="AB19" s="1269"/>
      <c r="AC19" s="613">
        <f>AD19-1</f>
        <v>9.818108613235399E-3</v>
      </c>
      <c r="AD19" s="670">
        <f>AA19</f>
        <v>1.0098181086132354</v>
      </c>
      <c r="AE19" s="710">
        <f>AF18-1</f>
        <v>2.5667703601714331E-2</v>
      </c>
      <c r="AF19" s="1211"/>
      <c r="AG19" s="602">
        <f>Y18-AH18</f>
        <v>703098.12713399902</v>
      </c>
      <c r="AH19" s="593">
        <f>Y18/AH18</f>
        <v>1.0256677036017143</v>
      </c>
      <c r="AI19" s="1204"/>
    </row>
    <row r="20" spans="2:39" s="87" customFormat="1" ht="35.25" customHeight="1">
      <c r="B20" s="517"/>
      <c r="C20" s="518"/>
      <c r="D20" s="519"/>
      <c r="E20" s="520"/>
      <c r="F20" s="518"/>
      <c r="G20" s="519"/>
      <c r="H20" s="520"/>
      <c r="I20" s="519"/>
      <c r="J20" s="520"/>
      <c r="K20" s="519"/>
      <c r="L20" s="520"/>
      <c r="M20" s="521"/>
      <c r="N20" s="518"/>
      <c r="O20" s="521"/>
      <c r="P20" s="522"/>
      <c r="Q20" s="518"/>
      <c r="R20" s="521"/>
      <c r="S20" s="522"/>
      <c r="T20" s="520"/>
      <c r="U20" s="522"/>
      <c r="V20" s="520"/>
      <c r="W20" s="522"/>
      <c r="X20" s="521"/>
      <c r="Y20" s="518"/>
      <c r="Z20" s="521"/>
      <c r="AA20" s="522"/>
      <c r="AB20" s="518"/>
      <c r="AC20" s="521"/>
      <c r="AD20" s="522"/>
      <c r="AE20" s="520"/>
      <c r="AF20" s="522"/>
      <c r="AG20" s="520"/>
      <c r="AH20" s="522"/>
      <c r="AI20" s="521"/>
    </row>
    <row r="21" spans="2:39" ht="35.25" customHeight="1">
      <c r="B21" s="523" t="s">
        <v>135</v>
      </c>
      <c r="C21" s="527"/>
      <c r="D21" s="527"/>
      <c r="E21" s="527"/>
      <c r="F21" s="527"/>
      <c r="G21" s="527"/>
      <c r="H21" s="527"/>
      <c r="I21" s="527"/>
      <c r="J21" s="527"/>
      <c r="K21" s="527"/>
      <c r="L21" s="527"/>
      <c r="M21" s="527"/>
      <c r="N21" s="527"/>
      <c r="O21" s="527"/>
      <c r="P21" s="527"/>
      <c r="Q21" s="527"/>
      <c r="R21" s="527"/>
      <c r="S21" s="527"/>
      <c r="T21" s="527"/>
      <c r="U21" s="527"/>
      <c r="V21" s="527"/>
      <c r="W21" s="527"/>
      <c r="X21" s="527"/>
      <c r="Y21" s="527"/>
      <c r="Z21" s="527"/>
      <c r="AA21" s="527"/>
      <c r="AB21" s="527"/>
      <c r="AC21" s="527"/>
      <c r="AD21" s="527"/>
      <c r="AE21" s="527"/>
      <c r="AF21" s="527"/>
      <c r="AG21" s="527"/>
      <c r="AH21" s="527"/>
      <c r="AI21" s="527"/>
    </row>
    <row r="22" spans="2:39" ht="35.25" customHeight="1">
      <c r="B22" s="523" t="s">
        <v>130</v>
      </c>
      <c r="C22" s="527"/>
      <c r="D22" s="527"/>
      <c r="E22" s="527"/>
      <c r="F22" s="527"/>
      <c r="G22" s="527"/>
      <c r="H22" s="527"/>
      <c r="I22" s="527"/>
      <c r="J22" s="527"/>
      <c r="K22" s="527"/>
      <c r="L22" s="527"/>
      <c r="M22" s="527"/>
      <c r="N22" s="527"/>
      <c r="O22" s="527"/>
      <c r="P22" s="527"/>
      <c r="Q22" s="527"/>
      <c r="R22" s="527"/>
      <c r="S22" s="527"/>
      <c r="T22" s="527"/>
      <c r="U22" s="527"/>
      <c r="V22" s="527"/>
      <c r="W22" s="527"/>
      <c r="X22" s="527"/>
      <c r="Y22" s="527"/>
      <c r="Z22" s="527"/>
      <c r="AA22" s="527"/>
      <c r="AB22" s="527"/>
      <c r="AC22" s="527"/>
      <c r="AD22" s="527"/>
      <c r="AE22" s="527"/>
      <c r="AF22" s="527"/>
      <c r="AG22" s="527"/>
      <c r="AH22" s="527"/>
      <c r="AI22" s="527"/>
      <c r="AL22" s="753">
        <f>SUM(AD19)</f>
        <v>1.0098181086132354</v>
      </c>
      <c r="AM22" s="752"/>
    </row>
    <row r="23" spans="2:39" ht="35.25" customHeight="1">
      <c r="B23" s="523"/>
      <c r="C23" s="527"/>
      <c r="D23" s="527"/>
      <c r="E23" s="527"/>
      <c r="F23" s="527"/>
      <c r="G23" s="527"/>
      <c r="H23" s="527"/>
      <c r="I23" s="527"/>
      <c r="J23" s="527"/>
      <c r="K23" s="527"/>
      <c r="L23" s="527"/>
      <c r="M23" s="527"/>
      <c r="N23" s="527"/>
      <c r="O23" s="527"/>
      <c r="P23" s="527"/>
      <c r="Q23" s="527"/>
      <c r="R23" s="527"/>
      <c r="S23" s="527"/>
      <c r="T23" s="527"/>
      <c r="U23" s="527"/>
      <c r="V23" s="527"/>
      <c r="W23" s="527"/>
      <c r="X23" s="527"/>
      <c r="Y23" s="527"/>
      <c r="Z23" s="527"/>
      <c r="AA23" s="527"/>
      <c r="AB23" s="527"/>
      <c r="AC23" s="527"/>
      <c r="AD23" s="527"/>
      <c r="AE23" s="527"/>
      <c r="AF23" s="527"/>
      <c r="AG23" s="527"/>
      <c r="AH23" s="527"/>
      <c r="AI23" s="527"/>
      <c r="AL23" s="754">
        <f>SUM(S19)</f>
        <v>0.96913456206417503</v>
      </c>
    </row>
    <row r="24" spans="2:39" ht="35.25" customHeight="1">
      <c r="B24" s="523"/>
      <c r="C24" s="527"/>
      <c r="D24" s="527"/>
      <c r="E24" s="527"/>
      <c r="F24" s="527"/>
      <c r="G24" s="527"/>
      <c r="H24" s="527"/>
      <c r="I24" s="527"/>
      <c r="J24" s="527"/>
      <c r="K24" s="527"/>
      <c r="L24" s="527"/>
      <c r="M24" s="527"/>
      <c r="N24" s="527"/>
      <c r="O24" s="527"/>
      <c r="P24" s="527"/>
      <c r="Q24" s="527"/>
      <c r="R24" s="527"/>
      <c r="S24" s="527"/>
      <c r="T24" s="527"/>
      <c r="U24" s="527"/>
      <c r="V24" s="527"/>
      <c r="W24" s="527"/>
      <c r="X24" s="527"/>
      <c r="Y24" s="527"/>
      <c r="Z24" s="527"/>
      <c r="AA24" s="527"/>
      <c r="AB24" s="527"/>
      <c r="AC24" s="527"/>
      <c r="AD24" s="527"/>
      <c r="AE24" s="527"/>
      <c r="AF24" s="527"/>
      <c r="AG24" s="527"/>
      <c r="AH24" s="527"/>
      <c r="AI24" s="527"/>
    </row>
    <row r="25" spans="2:39" ht="35.25" customHeight="1">
      <c r="B25" s="527"/>
      <c r="C25" s="527"/>
      <c r="D25" s="527"/>
      <c r="E25" s="527"/>
      <c r="F25" s="527"/>
      <c r="G25" s="527"/>
      <c r="H25" s="527"/>
      <c r="I25" s="527"/>
      <c r="J25" s="527"/>
      <c r="K25" s="527"/>
      <c r="L25" s="527"/>
      <c r="M25" s="527"/>
      <c r="N25" s="527"/>
      <c r="O25" s="527"/>
      <c r="P25" s="527"/>
      <c r="Q25" s="527"/>
      <c r="R25" s="527"/>
      <c r="S25" s="527"/>
      <c r="T25" s="527"/>
      <c r="U25" s="527"/>
      <c r="V25" s="527"/>
      <c r="W25" s="527"/>
      <c r="X25" s="527"/>
      <c r="Y25" s="527"/>
      <c r="Z25" s="527"/>
      <c r="AA25" s="527"/>
      <c r="AB25" s="527"/>
      <c r="AC25" s="527"/>
      <c r="AD25" s="527"/>
      <c r="AE25" s="527"/>
      <c r="AF25" s="527"/>
      <c r="AG25" s="527"/>
      <c r="AH25" s="527"/>
      <c r="AI25" s="527"/>
    </row>
    <row r="26" spans="2:39" ht="35.25" customHeight="1"/>
    <row r="27" spans="2:39" ht="35.25" customHeight="1"/>
    <row r="28" spans="2:39" ht="35.25" customHeight="1"/>
    <row r="29" spans="2:39" ht="35.25" customHeight="1"/>
    <row r="30" spans="2:39" ht="35.25" customHeight="1"/>
    <row r="31" spans="2:39" ht="35.25" customHeight="1"/>
    <row r="32" spans="2:39" ht="35.25" customHeight="1"/>
    <row r="33" ht="35.25" customHeight="1"/>
    <row r="34" ht="35.25" customHeight="1"/>
    <row r="35" ht="35.25" customHeight="1"/>
    <row r="36" ht="35.25" customHeight="1"/>
    <row r="37" ht="35.25" customHeight="1"/>
    <row r="38" ht="35.25" customHeight="1"/>
    <row r="39" ht="35.25" customHeight="1"/>
    <row r="40" ht="35.25" customHeight="1"/>
    <row r="41" ht="35.25" customHeight="1"/>
    <row r="42" ht="35.25" customHeight="1"/>
    <row r="43" ht="35.25" customHeight="1"/>
    <row r="44" ht="35.25" customHeight="1"/>
    <row r="45" ht="35.25" customHeight="1"/>
    <row r="46" ht="35.25" customHeight="1"/>
    <row r="47" ht="35.25" customHeight="1"/>
    <row r="48" ht="35.25" customHeight="1"/>
    <row r="49" ht="35.25" customHeight="1"/>
    <row r="50" ht="35.25" customHeight="1"/>
    <row r="51" ht="35.25" customHeight="1"/>
    <row r="52" ht="35.25" customHeight="1"/>
    <row r="53" ht="35.25" customHeight="1"/>
    <row r="54" ht="35.25" customHeight="1"/>
    <row r="55" ht="35.25" customHeight="1"/>
    <row r="56" ht="35.25" customHeight="1"/>
    <row r="57" ht="35.25" customHeight="1"/>
    <row r="58" ht="35.25" customHeight="1"/>
    <row r="59" ht="35.25" customHeight="1"/>
    <row r="60" ht="35.25" customHeight="1"/>
    <row r="61" ht="35.25" customHeight="1"/>
    <row r="62" ht="35.25" customHeight="1"/>
    <row r="63" ht="35.25" customHeight="1"/>
    <row r="64" ht="35.25" customHeight="1"/>
    <row r="65" ht="35.25" customHeight="1"/>
    <row r="66" ht="35.25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111">
    <mergeCell ref="C18:C19"/>
    <mergeCell ref="M18:M19"/>
    <mergeCell ref="N18:N19"/>
    <mergeCell ref="X18:X19"/>
    <mergeCell ref="Y18:Y19"/>
    <mergeCell ref="F18:F19"/>
    <mergeCell ref="AB18:AB19"/>
    <mergeCell ref="J18:J19"/>
    <mergeCell ref="I18:I19"/>
    <mergeCell ref="U18:U19"/>
    <mergeCell ref="Q18:Q19"/>
    <mergeCell ref="C16:C17"/>
    <mergeCell ref="M16:M17"/>
    <mergeCell ref="N16:N17"/>
    <mergeCell ref="X16:X17"/>
    <mergeCell ref="Y16:Y17"/>
    <mergeCell ref="AI16:AI17"/>
    <mergeCell ref="C14:C15"/>
    <mergeCell ref="M14:M15"/>
    <mergeCell ref="N14:N15"/>
    <mergeCell ref="X14:X15"/>
    <mergeCell ref="Y14:Y15"/>
    <mergeCell ref="F14:F15"/>
    <mergeCell ref="F16:F17"/>
    <mergeCell ref="I14:I15"/>
    <mergeCell ref="J14:J15"/>
    <mergeCell ref="AF16:AF17"/>
    <mergeCell ref="I16:I17"/>
    <mergeCell ref="J16:J17"/>
    <mergeCell ref="C12:C13"/>
    <mergeCell ref="M12:M13"/>
    <mergeCell ref="N12:N13"/>
    <mergeCell ref="X12:X13"/>
    <mergeCell ref="F8:F9"/>
    <mergeCell ref="F10:F11"/>
    <mergeCell ref="F12:F13"/>
    <mergeCell ref="Q8:Q9"/>
    <mergeCell ref="C10:C11"/>
    <mergeCell ref="M10:M11"/>
    <mergeCell ref="N10:N11"/>
    <mergeCell ref="X10:X11"/>
    <mergeCell ref="I12:I13"/>
    <mergeCell ref="J12:J13"/>
    <mergeCell ref="C8:C9"/>
    <mergeCell ref="M8:M9"/>
    <mergeCell ref="N8:N9"/>
    <mergeCell ref="X8:X9"/>
    <mergeCell ref="I10:I11"/>
    <mergeCell ref="J10:J11"/>
    <mergeCell ref="U10:U11"/>
    <mergeCell ref="C6:C7"/>
    <mergeCell ref="M6:M7"/>
    <mergeCell ref="N6:N7"/>
    <mergeCell ref="X6:X7"/>
    <mergeCell ref="F6:F7"/>
    <mergeCell ref="J6:J7"/>
    <mergeCell ref="I6:I7"/>
    <mergeCell ref="I8:I9"/>
    <mergeCell ref="J8:J9"/>
    <mergeCell ref="B3:B5"/>
    <mergeCell ref="C4:C5"/>
    <mergeCell ref="M4:M5"/>
    <mergeCell ref="D4:E4"/>
    <mergeCell ref="K4:L4"/>
    <mergeCell ref="G4:H4"/>
    <mergeCell ref="F4:F5"/>
    <mergeCell ref="I4:J4"/>
    <mergeCell ref="N4:N5"/>
    <mergeCell ref="Y10:Y11"/>
    <mergeCell ref="X4:X5"/>
    <mergeCell ref="O4:P4"/>
    <mergeCell ref="V4:W4"/>
    <mergeCell ref="Y4:Y5"/>
    <mergeCell ref="AI4:AI5"/>
    <mergeCell ref="Z4:AA4"/>
    <mergeCell ref="AG4:AH4"/>
    <mergeCell ref="Y6:Y7"/>
    <mergeCell ref="Q4:Q5"/>
    <mergeCell ref="Q6:Q7"/>
    <mergeCell ref="AB4:AB5"/>
    <mergeCell ref="AB6:AB7"/>
    <mergeCell ref="AE4:AF4"/>
    <mergeCell ref="AF6:AF7"/>
    <mergeCell ref="T4:U4"/>
    <mergeCell ref="U6:U7"/>
    <mergeCell ref="AI6:AI7"/>
    <mergeCell ref="Y8:Y9"/>
    <mergeCell ref="AI12:AI13"/>
    <mergeCell ref="AI8:AI9"/>
    <mergeCell ref="AI14:AI15"/>
    <mergeCell ref="AI18:AI19"/>
    <mergeCell ref="AB16:AB17"/>
    <mergeCell ref="Q14:Q15"/>
    <mergeCell ref="Q16:Q17"/>
    <mergeCell ref="Y12:Y13"/>
    <mergeCell ref="AI10:AI11"/>
    <mergeCell ref="AF18:AF19"/>
    <mergeCell ref="U12:U13"/>
    <mergeCell ref="U14:U15"/>
    <mergeCell ref="U16:U17"/>
    <mergeCell ref="AF8:AF9"/>
    <mergeCell ref="U8:U9"/>
    <mergeCell ref="AF12:AF13"/>
    <mergeCell ref="AF14:AF15"/>
    <mergeCell ref="Q10:Q11"/>
    <mergeCell ref="Q12:Q13"/>
    <mergeCell ref="AF10:AF11"/>
    <mergeCell ref="AB8:AB9"/>
    <mergeCell ref="AB10:AB11"/>
    <mergeCell ref="AB12:AB13"/>
    <mergeCell ref="AB14:AB15"/>
  </mergeCells>
  <phoneticPr fontId="34" type="noConversion"/>
  <conditionalFormatting sqref="R6:AI19">
    <cfRule type="cellIs" dxfId="1" priority="1" operator="lessThan">
      <formula>0</formula>
    </cfRule>
  </conditionalFormatting>
  <pageMargins left="0.11811023622047245" right="0.11811023622047245" top="1.0236220472440944" bottom="0.31496062992125984" header="0.31496062992125984" footer="0.19685039370078741"/>
  <pageSetup paperSize="8" scale="33" orientation="portrait" r:id="rId1"/>
  <rowBreaks count="1" manualBreakCount="1">
    <brk id="68" max="19" man="1"/>
  </rowBreaks>
  <drawing r:id="rId2"/>
  <legacyDrawing r:id="rId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9">
    <tabColor rgb="FFFF0000"/>
    <pageSetUpPr fitToPage="1"/>
  </sheetPr>
  <dimension ref="B1:AI87"/>
  <sheetViews>
    <sheetView view="pageBreakPreview" zoomScale="40" zoomScaleNormal="70" zoomScaleSheetLayoutView="40" zoomScalePageLayoutView="70" workbookViewId="0">
      <selection activeCell="H24" sqref="H24"/>
    </sheetView>
  </sheetViews>
  <sheetFormatPr defaultRowHeight="13.5"/>
  <cols>
    <col min="1" max="1" width="3.33203125" style="88" customWidth="1"/>
    <col min="2" max="2" width="28.6640625" style="88" customWidth="1"/>
    <col min="3" max="14" width="29" style="88" customWidth="1"/>
    <col min="15" max="179" width="8.88671875" style="88"/>
    <col min="180" max="180" width="1.109375" style="88" customWidth="1"/>
    <col min="181" max="181" width="10.33203125" style="88" customWidth="1"/>
    <col min="182" max="182" width="18.21875" style="88" customWidth="1"/>
    <col min="183" max="183" width="20.44140625" style="88" customWidth="1"/>
    <col min="184" max="184" width="18.109375" style="88" bestFit="1" customWidth="1"/>
    <col min="185" max="185" width="13.21875" style="88" customWidth="1"/>
    <col min="186" max="186" width="3.109375" style="88" customWidth="1"/>
    <col min="187" max="187" width="15.5546875" style="88" customWidth="1"/>
    <col min="188" max="188" width="13.21875" style="88" customWidth="1"/>
    <col min="189" max="189" width="10.88671875" style="88" customWidth="1"/>
    <col min="190" max="190" width="3.109375" style="88" customWidth="1"/>
    <col min="191" max="191" width="15.5546875" style="88" customWidth="1"/>
    <col min="192" max="193" width="10.88671875" style="88" customWidth="1"/>
    <col min="194" max="194" width="18.6640625" style="88" customWidth="1"/>
    <col min="195" max="195" width="3.109375" style="88" customWidth="1"/>
    <col min="196" max="196" width="15.5546875" style="88" customWidth="1"/>
    <col min="197" max="198" width="10.88671875" style="88" customWidth="1"/>
    <col min="199" max="199" width="3.109375" style="88" customWidth="1"/>
    <col min="200" max="200" width="16.44140625" style="88" customWidth="1"/>
    <col min="201" max="201" width="10.88671875" style="88" customWidth="1"/>
    <col min="202" max="202" width="68.6640625" style="88" customWidth="1"/>
    <col min="203" max="203" width="2.21875" style="88" customWidth="1"/>
    <col min="204" max="435" width="8.88671875" style="88"/>
    <col min="436" max="436" width="1.109375" style="88" customWidth="1"/>
    <col min="437" max="437" width="10.33203125" style="88" customWidth="1"/>
    <col min="438" max="438" width="18.21875" style="88" customWidth="1"/>
    <col min="439" max="439" width="20.44140625" style="88" customWidth="1"/>
    <col min="440" max="440" width="18.109375" style="88" bestFit="1" customWidth="1"/>
    <col min="441" max="441" width="13.21875" style="88" customWidth="1"/>
    <col min="442" max="442" width="3.109375" style="88" customWidth="1"/>
    <col min="443" max="443" width="15.5546875" style="88" customWidth="1"/>
    <col min="444" max="444" width="13.21875" style="88" customWidth="1"/>
    <col min="445" max="445" width="10.88671875" style="88" customWidth="1"/>
    <col min="446" max="446" width="3.109375" style="88" customWidth="1"/>
    <col min="447" max="447" width="15.5546875" style="88" customWidth="1"/>
    <col min="448" max="449" width="10.88671875" style="88" customWidth="1"/>
    <col min="450" max="450" width="18.6640625" style="88" customWidth="1"/>
    <col min="451" max="451" width="3.109375" style="88" customWidth="1"/>
    <col min="452" max="452" width="15.5546875" style="88" customWidth="1"/>
    <col min="453" max="454" width="10.88671875" style="88" customWidth="1"/>
    <col min="455" max="455" width="3.109375" style="88" customWidth="1"/>
    <col min="456" max="456" width="16.44140625" style="88" customWidth="1"/>
    <col min="457" max="457" width="10.88671875" style="88" customWidth="1"/>
    <col min="458" max="458" width="68.6640625" style="88" customWidth="1"/>
    <col min="459" max="459" width="2.21875" style="88" customWidth="1"/>
    <col min="460" max="691" width="8.88671875" style="88"/>
    <col min="692" max="692" width="1.109375" style="88" customWidth="1"/>
    <col min="693" max="693" width="10.33203125" style="88" customWidth="1"/>
    <col min="694" max="694" width="18.21875" style="88" customWidth="1"/>
    <col min="695" max="695" width="20.44140625" style="88" customWidth="1"/>
    <col min="696" max="696" width="18.109375" style="88" bestFit="1" customWidth="1"/>
    <col min="697" max="697" width="13.21875" style="88" customWidth="1"/>
    <col min="698" max="698" width="3.109375" style="88" customWidth="1"/>
    <col min="699" max="699" width="15.5546875" style="88" customWidth="1"/>
    <col min="700" max="700" width="13.21875" style="88" customWidth="1"/>
    <col min="701" max="701" width="10.88671875" style="88" customWidth="1"/>
    <col min="702" max="702" width="3.109375" style="88" customWidth="1"/>
    <col min="703" max="703" width="15.5546875" style="88" customWidth="1"/>
    <col min="704" max="705" width="10.88671875" style="88" customWidth="1"/>
    <col min="706" max="706" width="18.6640625" style="88" customWidth="1"/>
    <col min="707" max="707" width="3.109375" style="88" customWidth="1"/>
    <col min="708" max="708" width="15.5546875" style="88" customWidth="1"/>
    <col min="709" max="710" width="10.88671875" style="88" customWidth="1"/>
    <col min="711" max="711" width="3.109375" style="88" customWidth="1"/>
    <col min="712" max="712" width="16.44140625" style="88" customWidth="1"/>
    <col min="713" max="713" width="10.88671875" style="88" customWidth="1"/>
    <col min="714" max="714" width="68.6640625" style="88" customWidth="1"/>
    <col min="715" max="715" width="2.21875" style="88" customWidth="1"/>
    <col min="716" max="947" width="8.88671875" style="88"/>
    <col min="948" max="948" width="1.109375" style="88" customWidth="1"/>
    <col min="949" max="949" width="10.33203125" style="88" customWidth="1"/>
    <col min="950" max="950" width="18.21875" style="88" customWidth="1"/>
    <col min="951" max="951" width="20.44140625" style="88" customWidth="1"/>
    <col min="952" max="952" width="18.109375" style="88" bestFit="1" customWidth="1"/>
    <col min="953" max="953" width="13.21875" style="88" customWidth="1"/>
    <col min="954" max="954" width="3.109375" style="88" customWidth="1"/>
    <col min="955" max="955" width="15.5546875" style="88" customWidth="1"/>
    <col min="956" max="956" width="13.21875" style="88" customWidth="1"/>
    <col min="957" max="957" width="10.88671875" style="88" customWidth="1"/>
    <col min="958" max="958" width="3.109375" style="88" customWidth="1"/>
    <col min="959" max="959" width="15.5546875" style="88" customWidth="1"/>
    <col min="960" max="961" width="10.88671875" style="88" customWidth="1"/>
    <col min="962" max="962" width="18.6640625" style="88" customWidth="1"/>
    <col min="963" max="963" width="3.109375" style="88" customWidth="1"/>
    <col min="964" max="964" width="15.5546875" style="88" customWidth="1"/>
    <col min="965" max="966" width="10.88671875" style="88" customWidth="1"/>
    <col min="967" max="967" width="3.109375" style="88" customWidth="1"/>
    <col min="968" max="968" width="16.44140625" style="88" customWidth="1"/>
    <col min="969" max="969" width="10.88671875" style="88" customWidth="1"/>
    <col min="970" max="970" width="68.6640625" style="88" customWidth="1"/>
    <col min="971" max="971" width="2.21875" style="88" customWidth="1"/>
    <col min="972" max="1203" width="8.88671875" style="88"/>
    <col min="1204" max="1204" width="1.109375" style="88" customWidth="1"/>
    <col min="1205" max="1205" width="10.33203125" style="88" customWidth="1"/>
    <col min="1206" max="1206" width="18.21875" style="88" customWidth="1"/>
    <col min="1207" max="1207" width="20.44140625" style="88" customWidth="1"/>
    <col min="1208" max="1208" width="18.109375" style="88" bestFit="1" customWidth="1"/>
    <col min="1209" max="1209" width="13.21875" style="88" customWidth="1"/>
    <col min="1210" max="1210" width="3.109375" style="88" customWidth="1"/>
    <col min="1211" max="1211" width="15.5546875" style="88" customWidth="1"/>
    <col min="1212" max="1212" width="13.21875" style="88" customWidth="1"/>
    <col min="1213" max="1213" width="10.88671875" style="88" customWidth="1"/>
    <col min="1214" max="1214" width="3.109375" style="88" customWidth="1"/>
    <col min="1215" max="1215" width="15.5546875" style="88" customWidth="1"/>
    <col min="1216" max="1217" width="10.88671875" style="88" customWidth="1"/>
    <col min="1218" max="1218" width="18.6640625" style="88" customWidth="1"/>
    <col min="1219" max="1219" width="3.109375" style="88" customWidth="1"/>
    <col min="1220" max="1220" width="15.5546875" style="88" customWidth="1"/>
    <col min="1221" max="1222" width="10.88671875" style="88" customWidth="1"/>
    <col min="1223" max="1223" width="3.109375" style="88" customWidth="1"/>
    <col min="1224" max="1224" width="16.44140625" style="88" customWidth="1"/>
    <col min="1225" max="1225" width="10.88671875" style="88" customWidth="1"/>
    <col min="1226" max="1226" width="68.6640625" style="88" customWidth="1"/>
    <col min="1227" max="1227" width="2.21875" style="88" customWidth="1"/>
    <col min="1228" max="1459" width="8.88671875" style="88"/>
    <col min="1460" max="1460" width="1.109375" style="88" customWidth="1"/>
    <col min="1461" max="1461" width="10.33203125" style="88" customWidth="1"/>
    <col min="1462" max="1462" width="18.21875" style="88" customWidth="1"/>
    <col min="1463" max="1463" width="20.44140625" style="88" customWidth="1"/>
    <col min="1464" max="1464" width="18.109375" style="88" bestFit="1" customWidth="1"/>
    <col min="1465" max="1465" width="13.21875" style="88" customWidth="1"/>
    <col min="1466" max="1466" width="3.109375" style="88" customWidth="1"/>
    <col min="1467" max="1467" width="15.5546875" style="88" customWidth="1"/>
    <col min="1468" max="1468" width="13.21875" style="88" customWidth="1"/>
    <col min="1469" max="1469" width="10.88671875" style="88" customWidth="1"/>
    <col min="1470" max="1470" width="3.109375" style="88" customWidth="1"/>
    <col min="1471" max="1471" width="15.5546875" style="88" customWidth="1"/>
    <col min="1472" max="1473" width="10.88671875" style="88" customWidth="1"/>
    <col min="1474" max="1474" width="18.6640625" style="88" customWidth="1"/>
    <col min="1475" max="1475" width="3.109375" style="88" customWidth="1"/>
    <col min="1476" max="1476" width="15.5546875" style="88" customWidth="1"/>
    <col min="1477" max="1478" width="10.88671875" style="88" customWidth="1"/>
    <col min="1479" max="1479" width="3.109375" style="88" customWidth="1"/>
    <col min="1480" max="1480" width="16.44140625" style="88" customWidth="1"/>
    <col min="1481" max="1481" width="10.88671875" style="88" customWidth="1"/>
    <col min="1482" max="1482" width="68.6640625" style="88" customWidth="1"/>
    <col min="1483" max="1483" width="2.21875" style="88" customWidth="1"/>
    <col min="1484" max="1715" width="8.88671875" style="88"/>
    <col min="1716" max="1716" width="1.109375" style="88" customWidth="1"/>
    <col min="1717" max="1717" width="10.33203125" style="88" customWidth="1"/>
    <col min="1718" max="1718" width="18.21875" style="88" customWidth="1"/>
    <col min="1719" max="1719" width="20.44140625" style="88" customWidth="1"/>
    <col min="1720" max="1720" width="18.109375" style="88" bestFit="1" customWidth="1"/>
    <col min="1721" max="1721" width="13.21875" style="88" customWidth="1"/>
    <col min="1722" max="1722" width="3.109375" style="88" customWidth="1"/>
    <col min="1723" max="1723" width="15.5546875" style="88" customWidth="1"/>
    <col min="1724" max="1724" width="13.21875" style="88" customWidth="1"/>
    <col min="1725" max="1725" width="10.88671875" style="88" customWidth="1"/>
    <col min="1726" max="1726" width="3.109375" style="88" customWidth="1"/>
    <col min="1727" max="1727" width="15.5546875" style="88" customWidth="1"/>
    <col min="1728" max="1729" width="10.88671875" style="88" customWidth="1"/>
    <col min="1730" max="1730" width="18.6640625" style="88" customWidth="1"/>
    <col min="1731" max="1731" width="3.109375" style="88" customWidth="1"/>
    <col min="1732" max="1732" width="15.5546875" style="88" customWidth="1"/>
    <col min="1733" max="1734" width="10.88671875" style="88" customWidth="1"/>
    <col min="1735" max="1735" width="3.109375" style="88" customWidth="1"/>
    <col min="1736" max="1736" width="16.44140625" style="88" customWidth="1"/>
    <col min="1737" max="1737" width="10.88671875" style="88" customWidth="1"/>
    <col min="1738" max="1738" width="68.6640625" style="88" customWidth="1"/>
    <col min="1739" max="1739" width="2.21875" style="88" customWidth="1"/>
    <col min="1740" max="1971" width="8.88671875" style="88"/>
    <col min="1972" max="1972" width="1.109375" style="88" customWidth="1"/>
    <col min="1973" max="1973" width="10.33203125" style="88" customWidth="1"/>
    <col min="1974" max="1974" width="18.21875" style="88" customWidth="1"/>
    <col min="1975" max="1975" width="20.44140625" style="88" customWidth="1"/>
    <col min="1976" max="1976" width="18.109375" style="88" bestFit="1" customWidth="1"/>
    <col min="1977" max="1977" width="13.21875" style="88" customWidth="1"/>
    <col min="1978" max="1978" width="3.109375" style="88" customWidth="1"/>
    <col min="1979" max="1979" width="15.5546875" style="88" customWidth="1"/>
    <col min="1980" max="1980" width="13.21875" style="88" customWidth="1"/>
    <col min="1981" max="1981" width="10.88671875" style="88" customWidth="1"/>
    <col min="1982" max="1982" width="3.109375" style="88" customWidth="1"/>
    <col min="1983" max="1983" width="15.5546875" style="88" customWidth="1"/>
    <col min="1984" max="1985" width="10.88671875" style="88" customWidth="1"/>
    <col min="1986" max="1986" width="18.6640625" style="88" customWidth="1"/>
    <col min="1987" max="1987" width="3.109375" style="88" customWidth="1"/>
    <col min="1988" max="1988" width="15.5546875" style="88" customWidth="1"/>
    <col min="1989" max="1990" width="10.88671875" style="88" customWidth="1"/>
    <col min="1991" max="1991" width="3.109375" style="88" customWidth="1"/>
    <col min="1992" max="1992" width="16.44140625" style="88" customWidth="1"/>
    <col min="1993" max="1993" width="10.88671875" style="88" customWidth="1"/>
    <col min="1994" max="1994" width="68.6640625" style="88" customWidth="1"/>
    <col min="1995" max="1995" width="2.21875" style="88" customWidth="1"/>
    <col min="1996" max="2227" width="8.88671875" style="88"/>
    <col min="2228" max="2228" width="1.109375" style="88" customWidth="1"/>
    <col min="2229" max="2229" width="10.33203125" style="88" customWidth="1"/>
    <col min="2230" max="2230" width="18.21875" style="88" customWidth="1"/>
    <col min="2231" max="2231" width="20.44140625" style="88" customWidth="1"/>
    <col min="2232" max="2232" width="18.109375" style="88" bestFit="1" customWidth="1"/>
    <col min="2233" max="2233" width="13.21875" style="88" customWidth="1"/>
    <col min="2234" max="2234" width="3.109375" style="88" customWidth="1"/>
    <col min="2235" max="2235" width="15.5546875" style="88" customWidth="1"/>
    <col min="2236" max="2236" width="13.21875" style="88" customWidth="1"/>
    <col min="2237" max="2237" width="10.88671875" style="88" customWidth="1"/>
    <col min="2238" max="2238" width="3.109375" style="88" customWidth="1"/>
    <col min="2239" max="2239" width="15.5546875" style="88" customWidth="1"/>
    <col min="2240" max="2241" width="10.88671875" style="88" customWidth="1"/>
    <col min="2242" max="2242" width="18.6640625" style="88" customWidth="1"/>
    <col min="2243" max="2243" width="3.109375" style="88" customWidth="1"/>
    <col min="2244" max="2244" width="15.5546875" style="88" customWidth="1"/>
    <col min="2245" max="2246" width="10.88671875" style="88" customWidth="1"/>
    <col min="2247" max="2247" width="3.109375" style="88" customWidth="1"/>
    <col min="2248" max="2248" width="16.44140625" style="88" customWidth="1"/>
    <col min="2249" max="2249" width="10.88671875" style="88" customWidth="1"/>
    <col min="2250" max="2250" width="68.6640625" style="88" customWidth="1"/>
    <col min="2251" max="2251" width="2.21875" style="88" customWidth="1"/>
    <col min="2252" max="2483" width="8.88671875" style="88"/>
    <col min="2484" max="2484" width="1.109375" style="88" customWidth="1"/>
    <col min="2485" max="2485" width="10.33203125" style="88" customWidth="1"/>
    <col min="2486" max="2486" width="18.21875" style="88" customWidth="1"/>
    <col min="2487" max="2487" width="20.44140625" style="88" customWidth="1"/>
    <col min="2488" max="2488" width="18.109375" style="88" bestFit="1" customWidth="1"/>
    <col min="2489" max="2489" width="13.21875" style="88" customWidth="1"/>
    <col min="2490" max="2490" width="3.109375" style="88" customWidth="1"/>
    <col min="2491" max="2491" width="15.5546875" style="88" customWidth="1"/>
    <col min="2492" max="2492" width="13.21875" style="88" customWidth="1"/>
    <col min="2493" max="2493" width="10.88671875" style="88" customWidth="1"/>
    <col min="2494" max="2494" width="3.109375" style="88" customWidth="1"/>
    <col min="2495" max="2495" width="15.5546875" style="88" customWidth="1"/>
    <col min="2496" max="2497" width="10.88671875" style="88" customWidth="1"/>
    <col min="2498" max="2498" width="18.6640625" style="88" customWidth="1"/>
    <col min="2499" max="2499" width="3.109375" style="88" customWidth="1"/>
    <col min="2500" max="2500" width="15.5546875" style="88" customWidth="1"/>
    <col min="2501" max="2502" width="10.88671875" style="88" customWidth="1"/>
    <col min="2503" max="2503" width="3.109375" style="88" customWidth="1"/>
    <col min="2504" max="2504" width="16.44140625" style="88" customWidth="1"/>
    <col min="2505" max="2505" width="10.88671875" style="88" customWidth="1"/>
    <col min="2506" max="2506" width="68.6640625" style="88" customWidth="1"/>
    <col min="2507" max="2507" width="2.21875" style="88" customWidth="1"/>
    <col min="2508" max="2739" width="8.88671875" style="88"/>
    <col min="2740" max="2740" width="1.109375" style="88" customWidth="1"/>
    <col min="2741" max="2741" width="10.33203125" style="88" customWidth="1"/>
    <col min="2742" max="2742" width="18.21875" style="88" customWidth="1"/>
    <col min="2743" max="2743" width="20.44140625" style="88" customWidth="1"/>
    <col min="2744" max="2744" width="18.109375" style="88" bestFit="1" customWidth="1"/>
    <col min="2745" max="2745" width="13.21875" style="88" customWidth="1"/>
    <col min="2746" max="2746" width="3.109375" style="88" customWidth="1"/>
    <col min="2747" max="2747" width="15.5546875" style="88" customWidth="1"/>
    <col min="2748" max="2748" width="13.21875" style="88" customWidth="1"/>
    <col min="2749" max="2749" width="10.88671875" style="88" customWidth="1"/>
    <col min="2750" max="2750" width="3.109375" style="88" customWidth="1"/>
    <col min="2751" max="2751" width="15.5546875" style="88" customWidth="1"/>
    <col min="2752" max="2753" width="10.88671875" style="88" customWidth="1"/>
    <col min="2754" max="2754" width="18.6640625" style="88" customWidth="1"/>
    <col min="2755" max="2755" width="3.109375" style="88" customWidth="1"/>
    <col min="2756" max="2756" width="15.5546875" style="88" customWidth="1"/>
    <col min="2757" max="2758" width="10.88671875" style="88" customWidth="1"/>
    <col min="2759" max="2759" width="3.109375" style="88" customWidth="1"/>
    <col min="2760" max="2760" width="16.44140625" style="88" customWidth="1"/>
    <col min="2761" max="2761" width="10.88671875" style="88" customWidth="1"/>
    <col min="2762" max="2762" width="68.6640625" style="88" customWidth="1"/>
    <col min="2763" max="2763" width="2.21875" style="88" customWidth="1"/>
    <col min="2764" max="2995" width="8.88671875" style="88"/>
    <col min="2996" max="2996" width="1.109375" style="88" customWidth="1"/>
    <col min="2997" max="2997" width="10.33203125" style="88" customWidth="1"/>
    <col min="2998" max="2998" width="18.21875" style="88" customWidth="1"/>
    <col min="2999" max="2999" width="20.44140625" style="88" customWidth="1"/>
    <col min="3000" max="3000" width="18.109375" style="88" bestFit="1" customWidth="1"/>
    <col min="3001" max="3001" width="13.21875" style="88" customWidth="1"/>
    <col min="3002" max="3002" width="3.109375" style="88" customWidth="1"/>
    <col min="3003" max="3003" width="15.5546875" style="88" customWidth="1"/>
    <col min="3004" max="3004" width="13.21875" style="88" customWidth="1"/>
    <col min="3005" max="3005" width="10.88671875" style="88" customWidth="1"/>
    <col min="3006" max="3006" width="3.109375" style="88" customWidth="1"/>
    <col min="3007" max="3007" width="15.5546875" style="88" customWidth="1"/>
    <col min="3008" max="3009" width="10.88671875" style="88" customWidth="1"/>
    <col min="3010" max="3010" width="18.6640625" style="88" customWidth="1"/>
    <col min="3011" max="3011" width="3.109375" style="88" customWidth="1"/>
    <col min="3012" max="3012" width="15.5546875" style="88" customWidth="1"/>
    <col min="3013" max="3014" width="10.88671875" style="88" customWidth="1"/>
    <col min="3015" max="3015" width="3.109375" style="88" customWidth="1"/>
    <col min="3016" max="3016" width="16.44140625" style="88" customWidth="1"/>
    <col min="3017" max="3017" width="10.88671875" style="88" customWidth="1"/>
    <col min="3018" max="3018" width="68.6640625" style="88" customWidth="1"/>
    <col min="3019" max="3019" width="2.21875" style="88" customWidth="1"/>
    <col min="3020" max="3251" width="8.88671875" style="88"/>
    <col min="3252" max="3252" width="1.109375" style="88" customWidth="1"/>
    <col min="3253" max="3253" width="10.33203125" style="88" customWidth="1"/>
    <col min="3254" max="3254" width="18.21875" style="88" customWidth="1"/>
    <col min="3255" max="3255" width="20.44140625" style="88" customWidth="1"/>
    <col min="3256" max="3256" width="18.109375" style="88" bestFit="1" customWidth="1"/>
    <col min="3257" max="3257" width="13.21875" style="88" customWidth="1"/>
    <col min="3258" max="3258" width="3.109375" style="88" customWidth="1"/>
    <col min="3259" max="3259" width="15.5546875" style="88" customWidth="1"/>
    <col min="3260" max="3260" width="13.21875" style="88" customWidth="1"/>
    <col min="3261" max="3261" width="10.88671875" style="88" customWidth="1"/>
    <col min="3262" max="3262" width="3.109375" style="88" customWidth="1"/>
    <col min="3263" max="3263" width="15.5546875" style="88" customWidth="1"/>
    <col min="3264" max="3265" width="10.88671875" style="88" customWidth="1"/>
    <col min="3266" max="3266" width="18.6640625" style="88" customWidth="1"/>
    <col min="3267" max="3267" width="3.109375" style="88" customWidth="1"/>
    <col min="3268" max="3268" width="15.5546875" style="88" customWidth="1"/>
    <col min="3269" max="3270" width="10.88671875" style="88" customWidth="1"/>
    <col min="3271" max="3271" width="3.109375" style="88" customWidth="1"/>
    <col min="3272" max="3272" width="16.44140625" style="88" customWidth="1"/>
    <col min="3273" max="3273" width="10.88671875" style="88" customWidth="1"/>
    <col min="3274" max="3274" width="68.6640625" style="88" customWidth="1"/>
    <col min="3275" max="3275" width="2.21875" style="88" customWidth="1"/>
    <col min="3276" max="3507" width="8.88671875" style="88"/>
    <col min="3508" max="3508" width="1.109375" style="88" customWidth="1"/>
    <col min="3509" max="3509" width="10.33203125" style="88" customWidth="1"/>
    <col min="3510" max="3510" width="18.21875" style="88" customWidth="1"/>
    <col min="3511" max="3511" width="20.44140625" style="88" customWidth="1"/>
    <col min="3512" max="3512" width="18.109375" style="88" bestFit="1" customWidth="1"/>
    <col min="3513" max="3513" width="13.21875" style="88" customWidth="1"/>
    <col min="3514" max="3514" width="3.109375" style="88" customWidth="1"/>
    <col min="3515" max="3515" width="15.5546875" style="88" customWidth="1"/>
    <col min="3516" max="3516" width="13.21875" style="88" customWidth="1"/>
    <col min="3517" max="3517" width="10.88671875" style="88" customWidth="1"/>
    <col min="3518" max="3518" width="3.109375" style="88" customWidth="1"/>
    <col min="3519" max="3519" width="15.5546875" style="88" customWidth="1"/>
    <col min="3520" max="3521" width="10.88671875" style="88" customWidth="1"/>
    <col min="3522" max="3522" width="18.6640625" style="88" customWidth="1"/>
    <col min="3523" max="3523" width="3.109375" style="88" customWidth="1"/>
    <col min="3524" max="3524" width="15.5546875" style="88" customWidth="1"/>
    <col min="3525" max="3526" width="10.88671875" style="88" customWidth="1"/>
    <col min="3527" max="3527" width="3.109375" style="88" customWidth="1"/>
    <col min="3528" max="3528" width="16.44140625" style="88" customWidth="1"/>
    <col min="3529" max="3529" width="10.88671875" style="88" customWidth="1"/>
    <col min="3530" max="3530" width="68.6640625" style="88" customWidth="1"/>
    <col min="3531" max="3531" width="2.21875" style="88" customWidth="1"/>
    <col min="3532" max="3763" width="8.88671875" style="88"/>
    <col min="3764" max="3764" width="1.109375" style="88" customWidth="1"/>
    <col min="3765" max="3765" width="10.33203125" style="88" customWidth="1"/>
    <col min="3766" max="3766" width="18.21875" style="88" customWidth="1"/>
    <col min="3767" max="3767" width="20.44140625" style="88" customWidth="1"/>
    <col min="3768" max="3768" width="18.109375" style="88" bestFit="1" customWidth="1"/>
    <col min="3769" max="3769" width="13.21875" style="88" customWidth="1"/>
    <col min="3770" max="3770" width="3.109375" style="88" customWidth="1"/>
    <col min="3771" max="3771" width="15.5546875" style="88" customWidth="1"/>
    <col min="3772" max="3772" width="13.21875" style="88" customWidth="1"/>
    <col min="3773" max="3773" width="10.88671875" style="88" customWidth="1"/>
    <col min="3774" max="3774" width="3.109375" style="88" customWidth="1"/>
    <col min="3775" max="3775" width="15.5546875" style="88" customWidth="1"/>
    <col min="3776" max="3777" width="10.88671875" style="88" customWidth="1"/>
    <col min="3778" max="3778" width="18.6640625" style="88" customWidth="1"/>
    <col min="3779" max="3779" width="3.109375" style="88" customWidth="1"/>
    <col min="3780" max="3780" width="15.5546875" style="88" customWidth="1"/>
    <col min="3781" max="3782" width="10.88671875" style="88" customWidth="1"/>
    <col min="3783" max="3783" width="3.109375" style="88" customWidth="1"/>
    <col min="3784" max="3784" width="16.44140625" style="88" customWidth="1"/>
    <col min="3785" max="3785" width="10.88671875" style="88" customWidth="1"/>
    <col min="3786" max="3786" width="68.6640625" style="88" customWidth="1"/>
    <col min="3787" max="3787" width="2.21875" style="88" customWidth="1"/>
    <col min="3788" max="4019" width="8.88671875" style="88"/>
    <col min="4020" max="4020" width="1.109375" style="88" customWidth="1"/>
    <col min="4021" max="4021" width="10.33203125" style="88" customWidth="1"/>
    <col min="4022" max="4022" width="18.21875" style="88" customWidth="1"/>
    <col min="4023" max="4023" width="20.44140625" style="88" customWidth="1"/>
    <col min="4024" max="4024" width="18.109375" style="88" bestFit="1" customWidth="1"/>
    <col min="4025" max="4025" width="13.21875" style="88" customWidth="1"/>
    <col min="4026" max="4026" width="3.109375" style="88" customWidth="1"/>
    <col min="4027" max="4027" width="15.5546875" style="88" customWidth="1"/>
    <col min="4028" max="4028" width="13.21875" style="88" customWidth="1"/>
    <col min="4029" max="4029" width="10.88671875" style="88" customWidth="1"/>
    <col min="4030" max="4030" width="3.109375" style="88" customWidth="1"/>
    <col min="4031" max="4031" width="15.5546875" style="88" customWidth="1"/>
    <col min="4032" max="4033" width="10.88671875" style="88" customWidth="1"/>
    <col min="4034" max="4034" width="18.6640625" style="88" customWidth="1"/>
    <col min="4035" max="4035" width="3.109375" style="88" customWidth="1"/>
    <col min="4036" max="4036" width="15.5546875" style="88" customWidth="1"/>
    <col min="4037" max="4038" width="10.88671875" style="88" customWidth="1"/>
    <col min="4039" max="4039" width="3.109375" style="88" customWidth="1"/>
    <col min="4040" max="4040" width="16.44140625" style="88" customWidth="1"/>
    <col min="4041" max="4041" width="10.88671875" style="88" customWidth="1"/>
    <col min="4042" max="4042" width="68.6640625" style="88" customWidth="1"/>
    <col min="4043" max="4043" width="2.21875" style="88" customWidth="1"/>
    <col min="4044" max="4275" width="8.88671875" style="88"/>
    <col min="4276" max="4276" width="1.109375" style="88" customWidth="1"/>
    <col min="4277" max="4277" width="10.33203125" style="88" customWidth="1"/>
    <col min="4278" max="4278" width="18.21875" style="88" customWidth="1"/>
    <col min="4279" max="4279" width="20.44140625" style="88" customWidth="1"/>
    <col min="4280" max="4280" width="18.109375" style="88" bestFit="1" customWidth="1"/>
    <col min="4281" max="4281" width="13.21875" style="88" customWidth="1"/>
    <col min="4282" max="4282" width="3.109375" style="88" customWidth="1"/>
    <col min="4283" max="4283" width="15.5546875" style="88" customWidth="1"/>
    <col min="4284" max="4284" width="13.21875" style="88" customWidth="1"/>
    <col min="4285" max="4285" width="10.88671875" style="88" customWidth="1"/>
    <col min="4286" max="4286" width="3.109375" style="88" customWidth="1"/>
    <col min="4287" max="4287" width="15.5546875" style="88" customWidth="1"/>
    <col min="4288" max="4289" width="10.88671875" style="88" customWidth="1"/>
    <col min="4290" max="4290" width="18.6640625" style="88" customWidth="1"/>
    <col min="4291" max="4291" width="3.109375" style="88" customWidth="1"/>
    <col min="4292" max="4292" width="15.5546875" style="88" customWidth="1"/>
    <col min="4293" max="4294" width="10.88671875" style="88" customWidth="1"/>
    <col min="4295" max="4295" width="3.109375" style="88" customWidth="1"/>
    <col min="4296" max="4296" width="16.44140625" style="88" customWidth="1"/>
    <col min="4297" max="4297" width="10.88671875" style="88" customWidth="1"/>
    <col min="4298" max="4298" width="68.6640625" style="88" customWidth="1"/>
    <col min="4299" max="4299" width="2.21875" style="88" customWidth="1"/>
    <col min="4300" max="4531" width="8.88671875" style="88"/>
    <col min="4532" max="4532" width="1.109375" style="88" customWidth="1"/>
    <col min="4533" max="4533" width="10.33203125" style="88" customWidth="1"/>
    <col min="4534" max="4534" width="18.21875" style="88" customWidth="1"/>
    <col min="4535" max="4535" width="20.44140625" style="88" customWidth="1"/>
    <col min="4536" max="4536" width="18.109375" style="88" bestFit="1" customWidth="1"/>
    <col min="4537" max="4537" width="13.21875" style="88" customWidth="1"/>
    <col min="4538" max="4538" width="3.109375" style="88" customWidth="1"/>
    <col min="4539" max="4539" width="15.5546875" style="88" customWidth="1"/>
    <col min="4540" max="4540" width="13.21875" style="88" customWidth="1"/>
    <col min="4541" max="4541" width="10.88671875" style="88" customWidth="1"/>
    <col min="4542" max="4542" width="3.109375" style="88" customWidth="1"/>
    <col min="4543" max="4543" width="15.5546875" style="88" customWidth="1"/>
    <col min="4544" max="4545" width="10.88671875" style="88" customWidth="1"/>
    <col min="4546" max="4546" width="18.6640625" style="88" customWidth="1"/>
    <col min="4547" max="4547" width="3.109375" style="88" customWidth="1"/>
    <col min="4548" max="4548" width="15.5546875" style="88" customWidth="1"/>
    <col min="4549" max="4550" width="10.88671875" style="88" customWidth="1"/>
    <col min="4551" max="4551" width="3.109375" style="88" customWidth="1"/>
    <col min="4552" max="4552" width="16.44140625" style="88" customWidth="1"/>
    <col min="4553" max="4553" width="10.88671875" style="88" customWidth="1"/>
    <col min="4554" max="4554" width="68.6640625" style="88" customWidth="1"/>
    <col min="4555" max="4555" width="2.21875" style="88" customWidth="1"/>
    <col min="4556" max="4787" width="8.88671875" style="88"/>
    <col min="4788" max="4788" width="1.109375" style="88" customWidth="1"/>
    <col min="4789" max="4789" width="10.33203125" style="88" customWidth="1"/>
    <col min="4790" max="4790" width="18.21875" style="88" customWidth="1"/>
    <col min="4791" max="4791" width="20.44140625" style="88" customWidth="1"/>
    <col min="4792" max="4792" width="18.109375" style="88" bestFit="1" customWidth="1"/>
    <col min="4793" max="4793" width="13.21875" style="88" customWidth="1"/>
    <col min="4794" max="4794" width="3.109375" style="88" customWidth="1"/>
    <col min="4795" max="4795" width="15.5546875" style="88" customWidth="1"/>
    <col min="4796" max="4796" width="13.21875" style="88" customWidth="1"/>
    <col min="4797" max="4797" width="10.88671875" style="88" customWidth="1"/>
    <col min="4798" max="4798" width="3.109375" style="88" customWidth="1"/>
    <col min="4799" max="4799" width="15.5546875" style="88" customWidth="1"/>
    <col min="4800" max="4801" width="10.88671875" style="88" customWidth="1"/>
    <col min="4802" max="4802" width="18.6640625" style="88" customWidth="1"/>
    <col min="4803" max="4803" width="3.109375" style="88" customWidth="1"/>
    <col min="4804" max="4804" width="15.5546875" style="88" customWidth="1"/>
    <col min="4805" max="4806" width="10.88671875" style="88" customWidth="1"/>
    <col min="4807" max="4807" width="3.109375" style="88" customWidth="1"/>
    <col min="4808" max="4808" width="16.44140625" style="88" customWidth="1"/>
    <col min="4809" max="4809" width="10.88671875" style="88" customWidth="1"/>
    <col min="4810" max="4810" width="68.6640625" style="88" customWidth="1"/>
    <col min="4811" max="4811" width="2.21875" style="88" customWidth="1"/>
    <col min="4812" max="5043" width="8.88671875" style="88"/>
    <col min="5044" max="5044" width="1.109375" style="88" customWidth="1"/>
    <col min="5045" max="5045" width="10.33203125" style="88" customWidth="1"/>
    <col min="5046" max="5046" width="18.21875" style="88" customWidth="1"/>
    <col min="5047" max="5047" width="20.44140625" style="88" customWidth="1"/>
    <col min="5048" max="5048" width="18.109375" style="88" bestFit="1" customWidth="1"/>
    <col min="5049" max="5049" width="13.21875" style="88" customWidth="1"/>
    <col min="5050" max="5050" width="3.109375" style="88" customWidth="1"/>
    <col min="5051" max="5051" width="15.5546875" style="88" customWidth="1"/>
    <col min="5052" max="5052" width="13.21875" style="88" customWidth="1"/>
    <col min="5053" max="5053" width="10.88671875" style="88" customWidth="1"/>
    <col min="5054" max="5054" width="3.109375" style="88" customWidth="1"/>
    <col min="5055" max="5055" width="15.5546875" style="88" customWidth="1"/>
    <col min="5056" max="5057" width="10.88671875" style="88" customWidth="1"/>
    <col min="5058" max="5058" width="18.6640625" style="88" customWidth="1"/>
    <col min="5059" max="5059" width="3.109375" style="88" customWidth="1"/>
    <col min="5060" max="5060" width="15.5546875" style="88" customWidth="1"/>
    <col min="5061" max="5062" width="10.88671875" style="88" customWidth="1"/>
    <col min="5063" max="5063" width="3.109375" style="88" customWidth="1"/>
    <col min="5064" max="5064" width="16.44140625" style="88" customWidth="1"/>
    <col min="5065" max="5065" width="10.88671875" style="88" customWidth="1"/>
    <col min="5066" max="5066" width="68.6640625" style="88" customWidth="1"/>
    <col min="5067" max="5067" width="2.21875" style="88" customWidth="1"/>
    <col min="5068" max="5299" width="8.88671875" style="88"/>
    <col min="5300" max="5300" width="1.109375" style="88" customWidth="1"/>
    <col min="5301" max="5301" width="10.33203125" style="88" customWidth="1"/>
    <col min="5302" max="5302" width="18.21875" style="88" customWidth="1"/>
    <col min="5303" max="5303" width="20.44140625" style="88" customWidth="1"/>
    <col min="5304" max="5304" width="18.109375" style="88" bestFit="1" customWidth="1"/>
    <col min="5305" max="5305" width="13.21875" style="88" customWidth="1"/>
    <col min="5306" max="5306" width="3.109375" style="88" customWidth="1"/>
    <col min="5307" max="5307" width="15.5546875" style="88" customWidth="1"/>
    <col min="5308" max="5308" width="13.21875" style="88" customWidth="1"/>
    <col min="5309" max="5309" width="10.88671875" style="88" customWidth="1"/>
    <col min="5310" max="5310" width="3.109375" style="88" customWidth="1"/>
    <col min="5311" max="5311" width="15.5546875" style="88" customWidth="1"/>
    <col min="5312" max="5313" width="10.88671875" style="88" customWidth="1"/>
    <col min="5314" max="5314" width="18.6640625" style="88" customWidth="1"/>
    <col min="5315" max="5315" width="3.109375" style="88" customWidth="1"/>
    <col min="5316" max="5316" width="15.5546875" style="88" customWidth="1"/>
    <col min="5317" max="5318" width="10.88671875" style="88" customWidth="1"/>
    <col min="5319" max="5319" width="3.109375" style="88" customWidth="1"/>
    <col min="5320" max="5320" width="16.44140625" style="88" customWidth="1"/>
    <col min="5321" max="5321" width="10.88671875" style="88" customWidth="1"/>
    <col min="5322" max="5322" width="68.6640625" style="88" customWidth="1"/>
    <col min="5323" max="5323" width="2.21875" style="88" customWidth="1"/>
    <col min="5324" max="5555" width="8.88671875" style="88"/>
    <col min="5556" max="5556" width="1.109375" style="88" customWidth="1"/>
    <col min="5557" max="5557" width="10.33203125" style="88" customWidth="1"/>
    <col min="5558" max="5558" width="18.21875" style="88" customWidth="1"/>
    <col min="5559" max="5559" width="20.44140625" style="88" customWidth="1"/>
    <col min="5560" max="5560" width="18.109375" style="88" bestFit="1" customWidth="1"/>
    <col min="5561" max="5561" width="13.21875" style="88" customWidth="1"/>
    <col min="5562" max="5562" width="3.109375" style="88" customWidth="1"/>
    <col min="5563" max="5563" width="15.5546875" style="88" customWidth="1"/>
    <col min="5564" max="5564" width="13.21875" style="88" customWidth="1"/>
    <col min="5565" max="5565" width="10.88671875" style="88" customWidth="1"/>
    <col min="5566" max="5566" width="3.109375" style="88" customWidth="1"/>
    <col min="5567" max="5567" width="15.5546875" style="88" customWidth="1"/>
    <col min="5568" max="5569" width="10.88671875" style="88" customWidth="1"/>
    <col min="5570" max="5570" width="18.6640625" style="88" customWidth="1"/>
    <col min="5571" max="5571" width="3.109375" style="88" customWidth="1"/>
    <col min="5572" max="5572" width="15.5546875" style="88" customWidth="1"/>
    <col min="5573" max="5574" width="10.88671875" style="88" customWidth="1"/>
    <col min="5575" max="5575" width="3.109375" style="88" customWidth="1"/>
    <col min="5576" max="5576" width="16.44140625" style="88" customWidth="1"/>
    <col min="5577" max="5577" width="10.88671875" style="88" customWidth="1"/>
    <col min="5578" max="5578" width="68.6640625" style="88" customWidth="1"/>
    <col min="5579" max="5579" width="2.21875" style="88" customWidth="1"/>
    <col min="5580" max="5811" width="8.88671875" style="88"/>
    <col min="5812" max="5812" width="1.109375" style="88" customWidth="1"/>
    <col min="5813" max="5813" width="10.33203125" style="88" customWidth="1"/>
    <col min="5814" max="5814" width="18.21875" style="88" customWidth="1"/>
    <col min="5815" max="5815" width="20.44140625" style="88" customWidth="1"/>
    <col min="5816" max="5816" width="18.109375" style="88" bestFit="1" customWidth="1"/>
    <col min="5817" max="5817" width="13.21875" style="88" customWidth="1"/>
    <col min="5818" max="5818" width="3.109375" style="88" customWidth="1"/>
    <col min="5819" max="5819" width="15.5546875" style="88" customWidth="1"/>
    <col min="5820" max="5820" width="13.21875" style="88" customWidth="1"/>
    <col min="5821" max="5821" width="10.88671875" style="88" customWidth="1"/>
    <col min="5822" max="5822" width="3.109375" style="88" customWidth="1"/>
    <col min="5823" max="5823" width="15.5546875" style="88" customWidth="1"/>
    <col min="5824" max="5825" width="10.88671875" style="88" customWidth="1"/>
    <col min="5826" max="5826" width="18.6640625" style="88" customWidth="1"/>
    <col min="5827" max="5827" width="3.109375" style="88" customWidth="1"/>
    <col min="5828" max="5828" width="15.5546875" style="88" customWidth="1"/>
    <col min="5829" max="5830" width="10.88671875" style="88" customWidth="1"/>
    <col min="5831" max="5831" width="3.109375" style="88" customWidth="1"/>
    <col min="5832" max="5832" width="16.44140625" style="88" customWidth="1"/>
    <col min="5833" max="5833" width="10.88671875" style="88" customWidth="1"/>
    <col min="5834" max="5834" width="68.6640625" style="88" customWidth="1"/>
    <col min="5835" max="5835" width="2.21875" style="88" customWidth="1"/>
    <col min="5836" max="6067" width="8.88671875" style="88"/>
    <col min="6068" max="6068" width="1.109375" style="88" customWidth="1"/>
    <col min="6069" max="6069" width="10.33203125" style="88" customWidth="1"/>
    <col min="6070" max="6070" width="18.21875" style="88" customWidth="1"/>
    <col min="6071" max="6071" width="20.44140625" style="88" customWidth="1"/>
    <col min="6072" max="6072" width="18.109375" style="88" bestFit="1" customWidth="1"/>
    <col min="6073" max="6073" width="13.21875" style="88" customWidth="1"/>
    <col min="6074" max="6074" width="3.109375" style="88" customWidth="1"/>
    <col min="6075" max="6075" width="15.5546875" style="88" customWidth="1"/>
    <col min="6076" max="6076" width="13.21875" style="88" customWidth="1"/>
    <col min="6077" max="6077" width="10.88671875" style="88" customWidth="1"/>
    <col min="6078" max="6078" width="3.109375" style="88" customWidth="1"/>
    <col min="6079" max="6079" width="15.5546875" style="88" customWidth="1"/>
    <col min="6080" max="6081" width="10.88671875" style="88" customWidth="1"/>
    <col min="6082" max="6082" width="18.6640625" style="88" customWidth="1"/>
    <col min="6083" max="6083" width="3.109375" style="88" customWidth="1"/>
    <col min="6084" max="6084" width="15.5546875" style="88" customWidth="1"/>
    <col min="6085" max="6086" width="10.88671875" style="88" customWidth="1"/>
    <col min="6087" max="6087" width="3.109375" style="88" customWidth="1"/>
    <col min="6088" max="6088" width="16.44140625" style="88" customWidth="1"/>
    <col min="6089" max="6089" width="10.88671875" style="88" customWidth="1"/>
    <col min="6090" max="6090" width="68.6640625" style="88" customWidth="1"/>
    <col min="6091" max="6091" width="2.21875" style="88" customWidth="1"/>
    <col min="6092" max="6323" width="8.88671875" style="88"/>
    <col min="6324" max="6324" width="1.109375" style="88" customWidth="1"/>
    <col min="6325" max="6325" width="10.33203125" style="88" customWidth="1"/>
    <col min="6326" max="6326" width="18.21875" style="88" customWidth="1"/>
    <col min="6327" max="6327" width="20.44140625" style="88" customWidth="1"/>
    <col min="6328" max="6328" width="18.109375" style="88" bestFit="1" customWidth="1"/>
    <col min="6329" max="6329" width="13.21875" style="88" customWidth="1"/>
    <col min="6330" max="6330" width="3.109375" style="88" customWidth="1"/>
    <col min="6331" max="6331" width="15.5546875" style="88" customWidth="1"/>
    <col min="6332" max="6332" width="13.21875" style="88" customWidth="1"/>
    <col min="6333" max="6333" width="10.88671875" style="88" customWidth="1"/>
    <col min="6334" max="6334" width="3.109375" style="88" customWidth="1"/>
    <col min="6335" max="6335" width="15.5546875" style="88" customWidth="1"/>
    <col min="6336" max="6337" width="10.88671875" style="88" customWidth="1"/>
    <col min="6338" max="6338" width="18.6640625" style="88" customWidth="1"/>
    <col min="6339" max="6339" width="3.109375" style="88" customWidth="1"/>
    <col min="6340" max="6340" width="15.5546875" style="88" customWidth="1"/>
    <col min="6341" max="6342" width="10.88671875" style="88" customWidth="1"/>
    <col min="6343" max="6343" width="3.109375" style="88" customWidth="1"/>
    <col min="6344" max="6344" width="16.44140625" style="88" customWidth="1"/>
    <col min="6345" max="6345" width="10.88671875" style="88" customWidth="1"/>
    <col min="6346" max="6346" width="68.6640625" style="88" customWidth="1"/>
    <col min="6347" max="6347" width="2.21875" style="88" customWidth="1"/>
    <col min="6348" max="6579" width="8.88671875" style="88"/>
    <col min="6580" max="6580" width="1.109375" style="88" customWidth="1"/>
    <col min="6581" max="6581" width="10.33203125" style="88" customWidth="1"/>
    <col min="6582" max="6582" width="18.21875" style="88" customWidth="1"/>
    <col min="6583" max="6583" width="20.44140625" style="88" customWidth="1"/>
    <col min="6584" max="6584" width="18.109375" style="88" bestFit="1" customWidth="1"/>
    <col min="6585" max="6585" width="13.21875" style="88" customWidth="1"/>
    <col min="6586" max="6586" width="3.109375" style="88" customWidth="1"/>
    <col min="6587" max="6587" width="15.5546875" style="88" customWidth="1"/>
    <col min="6588" max="6588" width="13.21875" style="88" customWidth="1"/>
    <col min="6589" max="6589" width="10.88671875" style="88" customWidth="1"/>
    <col min="6590" max="6590" width="3.109375" style="88" customWidth="1"/>
    <col min="6591" max="6591" width="15.5546875" style="88" customWidth="1"/>
    <col min="6592" max="6593" width="10.88671875" style="88" customWidth="1"/>
    <col min="6594" max="6594" width="18.6640625" style="88" customWidth="1"/>
    <col min="6595" max="6595" width="3.109375" style="88" customWidth="1"/>
    <col min="6596" max="6596" width="15.5546875" style="88" customWidth="1"/>
    <col min="6597" max="6598" width="10.88671875" style="88" customWidth="1"/>
    <col min="6599" max="6599" width="3.109375" style="88" customWidth="1"/>
    <col min="6600" max="6600" width="16.44140625" style="88" customWidth="1"/>
    <col min="6601" max="6601" width="10.88671875" style="88" customWidth="1"/>
    <col min="6602" max="6602" width="68.6640625" style="88" customWidth="1"/>
    <col min="6603" max="6603" width="2.21875" style="88" customWidth="1"/>
    <col min="6604" max="6835" width="8.88671875" style="88"/>
    <col min="6836" max="6836" width="1.109375" style="88" customWidth="1"/>
    <col min="6837" max="6837" width="10.33203125" style="88" customWidth="1"/>
    <col min="6838" max="6838" width="18.21875" style="88" customWidth="1"/>
    <col min="6839" max="6839" width="20.44140625" style="88" customWidth="1"/>
    <col min="6840" max="6840" width="18.109375" style="88" bestFit="1" customWidth="1"/>
    <col min="6841" max="6841" width="13.21875" style="88" customWidth="1"/>
    <col min="6842" max="6842" width="3.109375" style="88" customWidth="1"/>
    <col min="6843" max="6843" width="15.5546875" style="88" customWidth="1"/>
    <col min="6844" max="6844" width="13.21875" style="88" customWidth="1"/>
    <col min="6845" max="6845" width="10.88671875" style="88" customWidth="1"/>
    <col min="6846" max="6846" width="3.109375" style="88" customWidth="1"/>
    <col min="6847" max="6847" width="15.5546875" style="88" customWidth="1"/>
    <col min="6848" max="6849" width="10.88671875" style="88" customWidth="1"/>
    <col min="6850" max="6850" width="18.6640625" style="88" customWidth="1"/>
    <col min="6851" max="6851" width="3.109375" style="88" customWidth="1"/>
    <col min="6852" max="6852" width="15.5546875" style="88" customWidth="1"/>
    <col min="6853" max="6854" width="10.88671875" style="88" customWidth="1"/>
    <col min="6855" max="6855" width="3.109375" style="88" customWidth="1"/>
    <col min="6856" max="6856" width="16.44140625" style="88" customWidth="1"/>
    <col min="6857" max="6857" width="10.88671875" style="88" customWidth="1"/>
    <col min="6858" max="6858" width="68.6640625" style="88" customWidth="1"/>
    <col min="6859" max="6859" width="2.21875" style="88" customWidth="1"/>
    <col min="6860" max="7091" width="8.88671875" style="88"/>
    <col min="7092" max="7092" width="1.109375" style="88" customWidth="1"/>
    <col min="7093" max="7093" width="10.33203125" style="88" customWidth="1"/>
    <col min="7094" max="7094" width="18.21875" style="88" customWidth="1"/>
    <col min="7095" max="7095" width="20.44140625" style="88" customWidth="1"/>
    <col min="7096" max="7096" width="18.109375" style="88" bestFit="1" customWidth="1"/>
    <col min="7097" max="7097" width="13.21875" style="88" customWidth="1"/>
    <col min="7098" max="7098" width="3.109375" style="88" customWidth="1"/>
    <col min="7099" max="7099" width="15.5546875" style="88" customWidth="1"/>
    <col min="7100" max="7100" width="13.21875" style="88" customWidth="1"/>
    <col min="7101" max="7101" width="10.88671875" style="88" customWidth="1"/>
    <col min="7102" max="7102" width="3.109375" style="88" customWidth="1"/>
    <col min="7103" max="7103" width="15.5546875" style="88" customWidth="1"/>
    <col min="7104" max="7105" width="10.88671875" style="88" customWidth="1"/>
    <col min="7106" max="7106" width="18.6640625" style="88" customWidth="1"/>
    <col min="7107" max="7107" width="3.109375" style="88" customWidth="1"/>
    <col min="7108" max="7108" width="15.5546875" style="88" customWidth="1"/>
    <col min="7109" max="7110" width="10.88671875" style="88" customWidth="1"/>
    <col min="7111" max="7111" width="3.109375" style="88" customWidth="1"/>
    <col min="7112" max="7112" width="16.44140625" style="88" customWidth="1"/>
    <col min="7113" max="7113" width="10.88671875" style="88" customWidth="1"/>
    <col min="7114" max="7114" width="68.6640625" style="88" customWidth="1"/>
    <col min="7115" max="7115" width="2.21875" style="88" customWidth="1"/>
    <col min="7116" max="7347" width="8.88671875" style="88"/>
    <col min="7348" max="7348" width="1.109375" style="88" customWidth="1"/>
    <col min="7349" max="7349" width="10.33203125" style="88" customWidth="1"/>
    <col min="7350" max="7350" width="18.21875" style="88" customWidth="1"/>
    <col min="7351" max="7351" width="20.44140625" style="88" customWidth="1"/>
    <col min="7352" max="7352" width="18.109375" style="88" bestFit="1" customWidth="1"/>
    <col min="7353" max="7353" width="13.21875" style="88" customWidth="1"/>
    <col min="7354" max="7354" width="3.109375" style="88" customWidth="1"/>
    <col min="7355" max="7355" width="15.5546875" style="88" customWidth="1"/>
    <col min="7356" max="7356" width="13.21875" style="88" customWidth="1"/>
    <col min="7357" max="7357" width="10.88671875" style="88" customWidth="1"/>
    <col min="7358" max="7358" width="3.109375" style="88" customWidth="1"/>
    <col min="7359" max="7359" width="15.5546875" style="88" customWidth="1"/>
    <col min="7360" max="7361" width="10.88671875" style="88" customWidth="1"/>
    <col min="7362" max="7362" width="18.6640625" style="88" customWidth="1"/>
    <col min="7363" max="7363" width="3.109375" style="88" customWidth="1"/>
    <col min="7364" max="7364" width="15.5546875" style="88" customWidth="1"/>
    <col min="7365" max="7366" width="10.88671875" style="88" customWidth="1"/>
    <col min="7367" max="7367" width="3.109375" style="88" customWidth="1"/>
    <col min="7368" max="7368" width="16.44140625" style="88" customWidth="1"/>
    <col min="7369" max="7369" width="10.88671875" style="88" customWidth="1"/>
    <col min="7370" max="7370" width="68.6640625" style="88" customWidth="1"/>
    <col min="7371" max="7371" width="2.21875" style="88" customWidth="1"/>
    <col min="7372" max="7603" width="8.88671875" style="88"/>
    <col min="7604" max="7604" width="1.109375" style="88" customWidth="1"/>
    <col min="7605" max="7605" width="10.33203125" style="88" customWidth="1"/>
    <col min="7606" max="7606" width="18.21875" style="88" customWidth="1"/>
    <col min="7607" max="7607" width="20.44140625" style="88" customWidth="1"/>
    <col min="7608" max="7608" width="18.109375" style="88" bestFit="1" customWidth="1"/>
    <col min="7609" max="7609" width="13.21875" style="88" customWidth="1"/>
    <col min="7610" max="7610" width="3.109375" style="88" customWidth="1"/>
    <col min="7611" max="7611" width="15.5546875" style="88" customWidth="1"/>
    <col min="7612" max="7612" width="13.21875" style="88" customWidth="1"/>
    <col min="7613" max="7613" width="10.88671875" style="88" customWidth="1"/>
    <col min="7614" max="7614" width="3.109375" style="88" customWidth="1"/>
    <col min="7615" max="7615" width="15.5546875" style="88" customWidth="1"/>
    <col min="7616" max="7617" width="10.88671875" style="88" customWidth="1"/>
    <col min="7618" max="7618" width="18.6640625" style="88" customWidth="1"/>
    <col min="7619" max="7619" width="3.109375" style="88" customWidth="1"/>
    <col min="7620" max="7620" width="15.5546875" style="88" customWidth="1"/>
    <col min="7621" max="7622" width="10.88671875" style="88" customWidth="1"/>
    <col min="7623" max="7623" width="3.109375" style="88" customWidth="1"/>
    <col min="7624" max="7624" width="16.44140625" style="88" customWidth="1"/>
    <col min="7625" max="7625" width="10.88671875" style="88" customWidth="1"/>
    <col min="7626" max="7626" width="68.6640625" style="88" customWidth="1"/>
    <col min="7627" max="7627" width="2.21875" style="88" customWidth="1"/>
    <col min="7628" max="7859" width="8.88671875" style="88"/>
    <col min="7860" max="7860" width="1.109375" style="88" customWidth="1"/>
    <col min="7861" max="7861" width="10.33203125" style="88" customWidth="1"/>
    <col min="7862" max="7862" width="18.21875" style="88" customWidth="1"/>
    <col min="7863" max="7863" width="20.44140625" style="88" customWidth="1"/>
    <col min="7864" max="7864" width="18.109375" style="88" bestFit="1" customWidth="1"/>
    <col min="7865" max="7865" width="13.21875" style="88" customWidth="1"/>
    <col min="7866" max="7866" width="3.109375" style="88" customWidth="1"/>
    <col min="7867" max="7867" width="15.5546875" style="88" customWidth="1"/>
    <col min="7868" max="7868" width="13.21875" style="88" customWidth="1"/>
    <col min="7869" max="7869" width="10.88671875" style="88" customWidth="1"/>
    <col min="7870" max="7870" width="3.109375" style="88" customWidth="1"/>
    <col min="7871" max="7871" width="15.5546875" style="88" customWidth="1"/>
    <col min="7872" max="7873" width="10.88671875" style="88" customWidth="1"/>
    <col min="7874" max="7874" width="18.6640625" style="88" customWidth="1"/>
    <col min="7875" max="7875" width="3.109375" style="88" customWidth="1"/>
    <col min="7876" max="7876" width="15.5546875" style="88" customWidth="1"/>
    <col min="7877" max="7878" width="10.88671875" style="88" customWidth="1"/>
    <col min="7879" max="7879" width="3.109375" style="88" customWidth="1"/>
    <col min="7880" max="7880" width="16.44140625" style="88" customWidth="1"/>
    <col min="7881" max="7881" width="10.88671875" style="88" customWidth="1"/>
    <col min="7882" max="7882" width="68.6640625" style="88" customWidth="1"/>
    <col min="7883" max="7883" width="2.21875" style="88" customWidth="1"/>
    <col min="7884" max="8115" width="8.88671875" style="88"/>
    <col min="8116" max="8116" width="1.109375" style="88" customWidth="1"/>
    <col min="8117" max="8117" width="10.33203125" style="88" customWidth="1"/>
    <col min="8118" max="8118" width="18.21875" style="88" customWidth="1"/>
    <col min="8119" max="8119" width="20.44140625" style="88" customWidth="1"/>
    <col min="8120" max="8120" width="18.109375" style="88" bestFit="1" customWidth="1"/>
    <col min="8121" max="8121" width="13.21875" style="88" customWidth="1"/>
    <col min="8122" max="8122" width="3.109375" style="88" customWidth="1"/>
    <col min="8123" max="8123" width="15.5546875" style="88" customWidth="1"/>
    <col min="8124" max="8124" width="13.21875" style="88" customWidth="1"/>
    <col min="8125" max="8125" width="10.88671875" style="88" customWidth="1"/>
    <col min="8126" max="8126" width="3.109375" style="88" customWidth="1"/>
    <col min="8127" max="8127" width="15.5546875" style="88" customWidth="1"/>
    <col min="8128" max="8129" width="10.88671875" style="88" customWidth="1"/>
    <col min="8130" max="8130" width="18.6640625" style="88" customWidth="1"/>
    <col min="8131" max="8131" width="3.109375" style="88" customWidth="1"/>
    <col min="8132" max="8132" width="15.5546875" style="88" customWidth="1"/>
    <col min="8133" max="8134" width="10.88671875" style="88" customWidth="1"/>
    <col min="8135" max="8135" width="3.109375" style="88" customWidth="1"/>
    <col min="8136" max="8136" width="16.44140625" style="88" customWidth="1"/>
    <col min="8137" max="8137" width="10.88671875" style="88" customWidth="1"/>
    <col min="8138" max="8138" width="68.6640625" style="88" customWidth="1"/>
    <col min="8139" max="8139" width="2.21875" style="88" customWidth="1"/>
    <col min="8140" max="8371" width="8.88671875" style="88"/>
    <col min="8372" max="8372" width="1.109375" style="88" customWidth="1"/>
    <col min="8373" max="8373" width="10.33203125" style="88" customWidth="1"/>
    <col min="8374" max="8374" width="18.21875" style="88" customWidth="1"/>
    <col min="8375" max="8375" width="20.44140625" style="88" customWidth="1"/>
    <col min="8376" max="8376" width="18.109375" style="88" bestFit="1" customWidth="1"/>
    <col min="8377" max="8377" width="13.21875" style="88" customWidth="1"/>
    <col min="8378" max="8378" width="3.109375" style="88" customWidth="1"/>
    <col min="8379" max="8379" width="15.5546875" style="88" customWidth="1"/>
    <col min="8380" max="8380" width="13.21875" style="88" customWidth="1"/>
    <col min="8381" max="8381" width="10.88671875" style="88" customWidth="1"/>
    <col min="8382" max="8382" width="3.109375" style="88" customWidth="1"/>
    <col min="8383" max="8383" width="15.5546875" style="88" customWidth="1"/>
    <col min="8384" max="8385" width="10.88671875" style="88" customWidth="1"/>
    <col min="8386" max="8386" width="18.6640625" style="88" customWidth="1"/>
    <col min="8387" max="8387" width="3.109375" style="88" customWidth="1"/>
    <col min="8388" max="8388" width="15.5546875" style="88" customWidth="1"/>
    <col min="8389" max="8390" width="10.88671875" style="88" customWidth="1"/>
    <col min="8391" max="8391" width="3.109375" style="88" customWidth="1"/>
    <col min="8392" max="8392" width="16.44140625" style="88" customWidth="1"/>
    <col min="8393" max="8393" width="10.88671875" style="88" customWidth="1"/>
    <col min="8394" max="8394" width="68.6640625" style="88" customWidth="1"/>
    <col min="8395" max="8395" width="2.21875" style="88" customWidth="1"/>
    <col min="8396" max="8627" width="8.88671875" style="88"/>
    <col min="8628" max="8628" width="1.109375" style="88" customWidth="1"/>
    <col min="8629" max="8629" width="10.33203125" style="88" customWidth="1"/>
    <col min="8630" max="8630" width="18.21875" style="88" customWidth="1"/>
    <col min="8631" max="8631" width="20.44140625" style="88" customWidth="1"/>
    <col min="8632" max="8632" width="18.109375" style="88" bestFit="1" customWidth="1"/>
    <col min="8633" max="8633" width="13.21875" style="88" customWidth="1"/>
    <col min="8634" max="8634" width="3.109375" style="88" customWidth="1"/>
    <col min="8635" max="8635" width="15.5546875" style="88" customWidth="1"/>
    <col min="8636" max="8636" width="13.21875" style="88" customWidth="1"/>
    <col min="8637" max="8637" width="10.88671875" style="88" customWidth="1"/>
    <col min="8638" max="8638" width="3.109375" style="88" customWidth="1"/>
    <col min="8639" max="8639" width="15.5546875" style="88" customWidth="1"/>
    <col min="8640" max="8641" width="10.88671875" style="88" customWidth="1"/>
    <col min="8642" max="8642" width="18.6640625" style="88" customWidth="1"/>
    <col min="8643" max="8643" width="3.109375" style="88" customWidth="1"/>
    <col min="8644" max="8644" width="15.5546875" style="88" customWidth="1"/>
    <col min="8645" max="8646" width="10.88671875" style="88" customWidth="1"/>
    <col min="8647" max="8647" width="3.109375" style="88" customWidth="1"/>
    <col min="8648" max="8648" width="16.44140625" style="88" customWidth="1"/>
    <col min="8649" max="8649" width="10.88671875" style="88" customWidth="1"/>
    <col min="8650" max="8650" width="68.6640625" style="88" customWidth="1"/>
    <col min="8651" max="8651" width="2.21875" style="88" customWidth="1"/>
    <col min="8652" max="8883" width="8.88671875" style="88"/>
    <col min="8884" max="8884" width="1.109375" style="88" customWidth="1"/>
    <col min="8885" max="8885" width="10.33203125" style="88" customWidth="1"/>
    <col min="8886" max="8886" width="18.21875" style="88" customWidth="1"/>
    <col min="8887" max="8887" width="20.44140625" style="88" customWidth="1"/>
    <col min="8888" max="8888" width="18.109375" style="88" bestFit="1" customWidth="1"/>
    <col min="8889" max="8889" width="13.21875" style="88" customWidth="1"/>
    <col min="8890" max="8890" width="3.109375" style="88" customWidth="1"/>
    <col min="8891" max="8891" width="15.5546875" style="88" customWidth="1"/>
    <col min="8892" max="8892" width="13.21875" style="88" customWidth="1"/>
    <col min="8893" max="8893" width="10.88671875" style="88" customWidth="1"/>
    <col min="8894" max="8894" width="3.109375" style="88" customWidth="1"/>
    <col min="8895" max="8895" width="15.5546875" style="88" customWidth="1"/>
    <col min="8896" max="8897" width="10.88671875" style="88" customWidth="1"/>
    <col min="8898" max="8898" width="18.6640625" style="88" customWidth="1"/>
    <col min="8899" max="8899" width="3.109375" style="88" customWidth="1"/>
    <col min="8900" max="8900" width="15.5546875" style="88" customWidth="1"/>
    <col min="8901" max="8902" width="10.88671875" style="88" customWidth="1"/>
    <col min="8903" max="8903" width="3.109375" style="88" customWidth="1"/>
    <col min="8904" max="8904" width="16.44140625" style="88" customWidth="1"/>
    <col min="8905" max="8905" width="10.88671875" style="88" customWidth="1"/>
    <col min="8906" max="8906" width="68.6640625" style="88" customWidth="1"/>
    <col min="8907" max="8907" width="2.21875" style="88" customWidth="1"/>
    <col min="8908" max="9139" width="8.88671875" style="88"/>
    <col min="9140" max="9140" width="1.109375" style="88" customWidth="1"/>
    <col min="9141" max="9141" width="10.33203125" style="88" customWidth="1"/>
    <col min="9142" max="9142" width="18.21875" style="88" customWidth="1"/>
    <col min="9143" max="9143" width="20.44140625" style="88" customWidth="1"/>
    <col min="9144" max="9144" width="18.109375" style="88" bestFit="1" customWidth="1"/>
    <col min="9145" max="9145" width="13.21875" style="88" customWidth="1"/>
    <col min="9146" max="9146" width="3.109375" style="88" customWidth="1"/>
    <col min="9147" max="9147" width="15.5546875" style="88" customWidth="1"/>
    <col min="9148" max="9148" width="13.21875" style="88" customWidth="1"/>
    <col min="9149" max="9149" width="10.88671875" style="88" customWidth="1"/>
    <col min="9150" max="9150" width="3.109375" style="88" customWidth="1"/>
    <col min="9151" max="9151" width="15.5546875" style="88" customWidth="1"/>
    <col min="9152" max="9153" width="10.88671875" style="88" customWidth="1"/>
    <col min="9154" max="9154" width="18.6640625" style="88" customWidth="1"/>
    <col min="9155" max="9155" width="3.109375" style="88" customWidth="1"/>
    <col min="9156" max="9156" width="15.5546875" style="88" customWidth="1"/>
    <col min="9157" max="9158" width="10.88671875" style="88" customWidth="1"/>
    <col min="9159" max="9159" width="3.109375" style="88" customWidth="1"/>
    <col min="9160" max="9160" width="16.44140625" style="88" customWidth="1"/>
    <col min="9161" max="9161" width="10.88671875" style="88" customWidth="1"/>
    <col min="9162" max="9162" width="68.6640625" style="88" customWidth="1"/>
    <col min="9163" max="9163" width="2.21875" style="88" customWidth="1"/>
    <col min="9164" max="9395" width="8.88671875" style="88"/>
    <col min="9396" max="9396" width="1.109375" style="88" customWidth="1"/>
    <col min="9397" max="9397" width="10.33203125" style="88" customWidth="1"/>
    <col min="9398" max="9398" width="18.21875" style="88" customWidth="1"/>
    <col min="9399" max="9399" width="20.44140625" style="88" customWidth="1"/>
    <col min="9400" max="9400" width="18.109375" style="88" bestFit="1" customWidth="1"/>
    <col min="9401" max="9401" width="13.21875" style="88" customWidth="1"/>
    <col min="9402" max="9402" width="3.109375" style="88" customWidth="1"/>
    <col min="9403" max="9403" width="15.5546875" style="88" customWidth="1"/>
    <col min="9404" max="9404" width="13.21875" style="88" customWidth="1"/>
    <col min="9405" max="9405" width="10.88671875" style="88" customWidth="1"/>
    <col min="9406" max="9406" width="3.109375" style="88" customWidth="1"/>
    <col min="9407" max="9407" width="15.5546875" style="88" customWidth="1"/>
    <col min="9408" max="9409" width="10.88671875" style="88" customWidth="1"/>
    <col min="9410" max="9410" width="18.6640625" style="88" customWidth="1"/>
    <col min="9411" max="9411" width="3.109375" style="88" customWidth="1"/>
    <col min="9412" max="9412" width="15.5546875" style="88" customWidth="1"/>
    <col min="9413" max="9414" width="10.88671875" style="88" customWidth="1"/>
    <col min="9415" max="9415" width="3.109375" style="88" customWidth="1"/>
    <col min="9416" max="9416" width="16.44140625" style="88" customWidth="1"/>
    <col min="9417" max="9417" width="10.88671875" style="88" customWidth="1"/>
    <col min="9418" max="9418" width="68.6640625" style="88" customWidth="1"/>
    <col min="9419" max="9419" width="2.21875" style="88" customWidth="1"/>
    <col min="9420" max="9651" width="8.88671875" style="88"/>
    <col min="9652" max="9652" width="1.109375" style="88" customWidth="1"/>
    <col min="9653" max="9653" width="10.33203125" style="88" customWidth="1"/>
    <col min="9654" max="9654" width="18.21875" style="88" customWidth="1"/>
    <col min="9655" max="9655" width="20.44140625" style="88" customWidth="1"/>
    <col min="9656" max="9656" width="18.109375" style="88" bestFit="1" customWidth="1"/>
    <col min="9657" max="9657" width="13.21875" style="88" customWidth="1"/>
    <col min="9658" max="9658" width="3.109375" style="88" customWidth="1"/>
    <col min="9659" max="9659" width="15.5546875" style="88" customWidth="1"/>
    <col min="9660" max="9660" width="13.21875" style="88" customWidth="1"/>
    <col min="9661" max="9661" width="10.88671875" style="88" customWidth="1"/>
    <col min="9662" max="9662" width="3.109375" style="88" customWidth="1"/>
    <col min="9663" max="9663" width="15.5546875" style="88" customWidth="1"/>
    <col min="9664" max="9665" width="10.88671875" style="88" customWidth="1"/>
    <col min="9666" max="9666" width="18.6640625" style="88" customWidth="1"/>
    <col min="9667" max="9667" width="3.109375" style="88" customWidth="1"/>
    <col min="9668" max="9668" width="15.5546875" style="88" customWidth="1"/>
    <col min="9669" max="9670" width="10.88671875" style="88" customWidth="1"/>
    <col min="9671" max="9671" width="3.109375" style="88" customWidth="1"/>
    <col min="9672" max="9672" width="16.44140625" style="88" customWidth="1"/>
    <col min="9673" max="9673" width="10.88671875" style="88" customWidth="1"/>
    <col min="9674" max="9674" width="68.6640625" style="88" customWidth="1"/>
    <col min="9675" max="9675" width="2.21875" style="88" customWidth="1"/>
    <col min="9676" max="9907" width="8.88671875" style="88"/>
    <col min="9908" max="9908" width="1.109375" style="88" customWidth="1"/>
    <col min="9909" max="9909" width="10.33203125" style="88" customWidth="1"/>
    <col min="9910" max="9910" width="18.21875" style="88" customWidth="1"/>
    <col min="9911" max="9911" width="20.44140625" style="88" customWidth="1"/>
    <col min="9912" max="9912" width="18.109375" style="88" bestFit="1" customWidth="1"/>
    <col min="9913" max="9913" width="13.21875" style="88" customWidth="1"/>
    <col min="9914" max="9914" width="3.109375" style="88" customWidth="1"/>
    <col min="9915" max="9915" width="15.5546875" style="88" customWidth="1"/>
    <col min="9916" max="9916" width="13.21875" style="88" customWidth="1"/>
    <col min="9917" max="9917" width="10.88671875" style="88" customWidth="1"/>
    <col min="9918" max="9918" width="3.109375" style="88" customWidth="1"/>
    <col min="9919" max="9919" width="15.5546875" style="88" customWidth="1"/>
    <col min="9920" max="9921" width="10.88671875" style="88" customWidth="1"/>
    <col min="9922" max="9922" width="18.6640625" style="88" customWidth="1"/>
    <col min="9923" max="9923" width="3.109375" style="88" customWidth="1"/>
    <col min="9924" max="9924" width="15.5546875" style="88" customWidth="1"/>
    <col min="9925" max="9926" width="10.88671875" style="88" customWidth="1"/>
    <col min="9927" max="9927" width="3.109375" style="88" customWidth="1"/>
    <col min="9928" max="9928" width="16.44140625" style="88" customWidth="1"/>
    <col min="9929" max="9929" width="10.88671875" style="88" customWidth="1"/>
    <col min="9930" max="9930" width="68.6640625" style="88" customWidth="1"/>
    <col min="9931" max="9931" width="2.21875" style="88" customWidth="1"/>
    <col min="9932" max="10163" width="8.88671875" style="88"/>
    <col min="10164" max="10164" width="1.109375" style="88" customWidth="1"/>
    <col min="10165" max="10165" width="10.33203125" style="88" customWidth="1"/>
    <col min="10166" max="10166" width="18.21875" style="88" customWidth="1"/>
    <col min="10167" max="10167" width="20.44140625" style="88" customWidth="1"/>
    <col min="10168" max="10168" width="18.109375" style="88" bestFit="1" customWidth="1"/>
    <col min="10169" max="10169" width="13.21875" style="88" customWidth="1"/>
    <col min="10170" max="10170" width="3.109375" style="88" customWidth="1"/>
    <col min="10171" max="10171" width="15.5546875" style="88" customWidth="1"/>
    <col min="10172" max="10172" width="13.21875" style="88" customWidth="1"/>
    <col min="10173" max="10173" width="10.88671875" style="88" customWidth="1"/>
    <col min="10174" max="10174" width="3.109375" style="88" customWidth="1"/>
    <col min="10175" max="10175" width="15.5546875" style="88" customWidth="1"/>
    <col min="10176" max="10177" width="10.88671875" style="88" customWidth="1"/>
    <col min="10178" max="10178" width="18.6640625" style="88" customWidth="1"/>
    <col min="10179" max="10179" width="3.109375" style="88" customWidth="1"/>
    <col min="10180" max="10180" width="15.5546875" style="88" customWidth="1"/>
    <col min="10181" max="10182" width="10.88671875" style="88" customWidth="1"/>
    <col min="10183" max="10183" width="3.109375" style="88" customWidth="1"/>
    <col min="10184" max="10184" width="16.44140625" style="88" customWidth="1"/>
    <col min="10185" max="10185" width="10.88671875" style="88" customWidth="1"/>
    <col min="10186" max="10186" width="68.6640625" style="88" customWidth="1"/>
    <col min="10187" max="10187" width="2.21875" style="88" customWidth="1"/>
    <col min="10188" max="10419" width="8.88671875" style="88"/>
    <col min="10420" max="10420" width="1.109375" style="88" customWidth="1"/>
    <col min="10421" max="10421" width="10.33203125" style="88" customWidth="1"/>
    <col min="10422" max="10422" width="18.21875" style="88" customWidth="1"/>
    <col min="10423" max="10423" width="20.44140625" style="88" customWidth="1"/>
    <col min="10424" max="10424" width="18.109375" style="88" bestFit="1" customWidth="1"/>
    <col min="10425" max="10425" width="13.21875" style="88" customWidth="1"/>
    <col min="10426" max="10426" width="3.109375" style="88" customWidth="1"/>
    <col min="10427" max="10427" width="15.5546875" style="88" customWidth="1"/>
    <col min="10428" max="10428" width="13.21875" style="88" customWidth="1"/>
    <col min="10429" max="10429" width="10.88671875" style="88" customWidth="1"/>
    <col min="10430" max="10430" width="3.109375" style="88" customWidth="1"/>
    <col min="10431" max="10431" width="15.5546875" style="88" customWidth="1"/>
    <col min="10432" max="10433" width="10.88671875" style="88" customWidth="1"/>
    <col min="10434" max="10434" width="18.6640625" style="88" customWidth="1"/>
    <col min="10435" max="10435" width="3.109375" style="88" customWidth="1"/>
    <col min="10436" max="10436" width="15.5546875" style="88" customWidth="1"/>
    <col min="10437" max="10438" width="10.88671875" style="88" customWidth="1"/>
    <col min="10439" max="10439" width="3.109375" style="88" customWidth="1"/>
    <col min="10440" max="10440" width="16.44140625" style="88" customWidth="1"/>
    <col min="10441" max="10441" width="10.88671875" style="88" customWidth="1"/>
    <col min="10442" max="10442" width="68.6640625" style="88" customWidth="1"/>
    <col min="10443" max="10443" width="2.21875" style="88" customWidth="1"/>
    <col min="10444" max="10675" width="8.88671875" style="88"/>
    <col min="10676" max="10676" width="1.109375" style="88" customWidth="1"/>
    <col min="10677" max="10677" width="10.33203125" style="88" customWidth="1"/>
    <col min="10678" max="10678" width="18.21875" style="88" customWidth="1"/>
    <col min="10679" max="10679" width="20.44140625" style="88" customWidth="1"/>
    <col min="10680" max="10680" width="18.109375" style="88" bestFit="1" customWidth="1"/>
    <col min="10681" max="10681" width="13.21875" style="88" customWidth="1"/>
    <col min="10682" max="10682" width="3.109375" style="88" customWidth="1"/>
    <col min="10683" max="10683" width="15.5546875" style="88" customWidth="1"/>
    <col min="10684" max="10684" width="13.21875" style="88" customWidth="1"/>
    <col min="10685" max="10685" width="10.88671875" style="88" customWidth="1"/>
    <col min="10686" max="10686" width="3.109375" style="88" customWidth="1"/>
    <col min="10687" max="10687" width="15.5546875" style="88" customWidth="1"/>
    <col min="10688" max="10689" width="10.88671875" style="88" customWidth="1"/>
    <col min="10690" max="10690" width="18.6640625" style="88" customWidth="1"/>
    <col min="10691" max="10691" width="3.109375" style="88" customWidth="1"/>
    <col min="10692" max="10692" width="15.5546875" style="88" customWidth="1"/>
    <col min="10693" max="10694" width="10.88671875" style="88" customWidth="1"/>
    <col min="10695" max="10695" width="3.109375" style="88" customWidth="1"/>
    <col min="10696" max="10696" width="16.44140625" style="88" customWidth="1"/>
    <col min="10697" max="10697" width="10.88671875" style="88" customWidth="1"/>
    <col min="10698" max="10698" width="68.6640625" style="88" customWidth="1"/>
    <col min="10699" max="10699" width="2.21875" style="88" customWidth="1"/>
    <col min="10700" max="10931" width="8.88671875" style="88"/>
    <col min="10932" max="10932" width="1.109375" style="88" customWidth="1"/>
    <col min="10933" max="10933" width="10.33203125" style="88" customWidth="1"/>
    <col min="10934" max="10934" width="18.21875" style="88" customWidth="1"/>
    <col min="10935" max="10935" width="20.44140625" style="88" customWidth="1"/>
    <col min="10936" max="10936" width="18.109375" style="88" bestFit="1" customWidth="1"/>
    <col min="10937" max="10937" width="13.21875" style="88" customWidth="1"/>
    <col min="10938" max="10938" width="3.109375" style="88" customWidth="1"/>
    <col min="10939" max="10939" width="15.5546875" style="88" customWidth="1"/>
    <col min="10940" max="10940" width="13.21875" style="88" customWidth="1"/>
    <col min="10941" max="10941" width="10.88671875" style="88" customWidth="1"/>
    <col min="10942" max="10942" width="3.109375" style="88" customWidth="1"/>
    <col min="10943" max="10943" width="15.5546875" style="88" customWidth="1"/>
    <col min="10944" max="10945" width="10.88671875" style="88" customWidth="1"/>
    <col min="10946" max="10946" width="18.6640625" style="88" customWidth="1"/>
    <col min="10947" max="10947" width="3.109375" style="88" customWidth="1"/>
    <col min="10948" max="10948" width="15.5546875" style="88" customWidth="1"/>
    <col min="10949" max="10950" width="10.88671875" style="88" customWidth="1"/>
    <col min="10951" max="10951" width="3.109375" style="88" customWidth="1"/>
    <col min="10952" max="10952" width="16.44140625" style="88" customWidth="1"/>
    <col min="10953" max="10953" width="10.88671875" style="88" customWidth="1"/>
    <col min="10954" max="10954" width="68.6640625" style="88" customWidth="1"/>
    <col min="10955" max="10955" width="2.21875" style="88" customWidth="1"/>
    <col min="10956" max="11187" width="8.88671875" style="88"/>
    <col min="11188" max="11188" width="1.109375" style="88" customWidth="1"/>
    <col min="11189" max="11189" width="10.33203125" style="88" customWidth="1"/>
    <col min="11190" max="11190" width="18.21875" style="88" customWidth="1"/>
    <col min="11191" max="11191" width="20.44140625" style="88" customWidth="1"/>
    <col min="11192" max="11192" width="18.109375" style="88" bestFit="1" customWidth="1"/>
    <col min="11193" max="11193" width="13.21875" style="88" customWidth="1"/>
    <col min="11194" max="11194" width="3.109375" style="88" customWidth="1"/>
    <col min="11195" max="11195" width="15.5546875" style="88" customWidth="1"/>
    <col min="11196" max="11196" width="13.21875" style="88" customWidth="1"/>
    <col min="11197" max="11197" width="10.88671875" style="88" customWidth="1"/>
    <col min="11198" max="11198" width="3.109375" style="88" customWidth="1"/>
    <col min="11199" max="11199" width="15.5546875" style="88" customWidth="1"/>
    <col min="11200" max="11201" width="10.88671875" style="88" customWidth="1"/>
    <col min="11202" max="11202" width="18.6640625" style="88" customWidth="1"/>
    <col min="11203" max="11203" width="3.109375" style="88" customWidth="1"/>
    <col min="11204" max="11204" width="15.5546875" style="88" customWidth="1"/>
    <col min="11205" max="11206" width="10.88671875" style="88" customWidth="1"/>
    <col min="11207" max="11207" width="3.109375" style="88" customWidth="1"/>
    <col min="11208" max="11208" width="16.44140625" style="88" customWidth="1"/>
    <col min="11209" max="11209" width="10.88671875" style="88" customWidth="1"/>
    <col min="11210" max="11210" width="68.6640625" style="88" customWidth="1"/>
    <col min="11211" max="11211" width="2.21875" style="88" customWidth="1"/>
    <col min="11212" max="11443" width="8.88671875" style="88"/>
    <col min="11444" max="11444" width="1.109375" style="88" customWidth="1"/>
    <col min="11445" max="11445" width="10.33203125" style="88" customWidth="1"/>
    <col min="11446" max="11446" width="18.21875" style="88" customWidth="1"/>
    <col min="11447" max="11447" width="20.44140625" style="88" customWidth="1"/>
    <col min="11448" max="11448" width="18.109375" style="88" bestFit="1" customWidth="1"/>
    <col min="11449" max="11449" width="13.21875" style="88" customWidth="1"/>
    <col min="11450" max="11450" width="3.109375" style="88" customWidth="1"/>
    <col min="11451" max="11451" width="15.5546875" style="88" customWidth="1"/>
    <col min="11452" max="11452" width="13.21875" style="88" customWidth="1"/>
    <col min="11453" max="11453" width="10.88671875" style="88" customWidth="1"/>
    <col min="11454" max="11454" width="3.109375" style="88" customWidth="1"/>
    <col min="11455" max="11455" width="15.5546875" style="88" customWidth="1"/>
    <col min="11456" max="11457" width="10.88671875" style="88" customWidth="1"/>
    <col min="11458" max="11458" width="18.6640625" style="88" customWidth="1"/>
    <col min="11459" max="11459" width="3.109375" style="88" customWidth="1"/>
    <col min="11460" max="11460" width="15.5546875" style="88" customWidth="1"/>
    <col min="11461" max="11462" width="10.88671875" style="88" customWidth="1"/>
    <col min="11463" max="11463" width="3.109375" style="88" customWidth="1"/>
    <col min="11464" max="11464" width="16.44140625" style="88" customWidth="1"/>
    <col min="11465" max="11465" width="10.88671875" style="88" customWidth="1"/>
    <col min="11466" max="11466" width="68.6640625" style="88" customWidth="1"/>
    <col min="11467" max="11467" width="2.21875" style="88" customWidth="1"/>
    <col min="11468" max="11699" width="8.88671875" style="88"/>
    <col min="11700" max="11700" width="1.109375" style="88" customWidth="1"/>
    <col min="11701" max="11701" width="10.33203125" style="88" customWidth="1"/>
    <col min="11702" max="11702" width="18.21875" style="88" customWidth="1"/>
    <col min="11703" max="11703" width="20.44140625" style="88" customWidth="1"/>
    <col min="11704" max="11704" width="18.109375" style="88" bestFit="1" customWidth="1"/>
    <col min="11705" max="11705" width="13.21875" style="88" customWidth="1"/>
    <col min="11706" max="11706" width="3.109375" style="88" customWidth="1"/>
    <col min="11707" max="11707" width="15.5546875" style="88" customWidth="1"/>
    <col min="11708" max="11708" width="13.21875" style="88" customWidth="1"/>
    <col min="11709" max="11709" width="10.88671875" style="88" customWidth="1"/>
    <col min="11710" max="11710" width="3.109375" style="88" customWidth="1"/>
    <col min="11711" max="11711" width="15.5546875" style="88" customWidth="1"/>
    <col min="11712" max="11713" width="10.88671875" style="88" customWidth="1"/>
    <col min="11714" max="11714" width="18.6640625" style="88" customWidth="1"/>
    <col min="11715" max="11715" width="3.109375" style="88" customWidth="1"/>
    <col min="11716" max="11716" width="15.5546875" style="88" customWidth="1"/>
    <col min="11717" max="11718" width="10.88671875" style="88" customWidth="1"/>
    <col min="11719" max="11719" width="3.109375" style="88" customWidth="1"/>
    <col min="11720" max="11720" width="16.44140625" style="88" customWidth="1"/>
    <col min="11721" max="11721" width="10.88671875" style="88" customWidth="1"/>
    <col min="11722" max="11722" width="68.6640625" style="88" customWidth="1"/>
    <col min="11723" max="11723" width="2.21875" style="88" customWidth="1"/>
    <col min="11724" max="11955" width="8.88671875" style="88"/>
    <col min="11956" max="11956" width="1.109375" style="88" customWidth="1"/>
    <col min="11957" max="11957" width="10.33203125" style="88" customWidth="1"/>
    <col min="11958" max="11958" width="18.21875" style="88" customWidth="1"/>
    <col min="11959" max="11959" width="20.44140625" style="88" customWidth="1"/>
    <col min="11960" max="11960" width="18.109375" style="88" bestFit="1" customWidth="1"/>
    <col min="11961" max="11961" width="13.21875" style="88" customWidth="1"/>
    <col min="11962" max="11962" width="3.109375" style="88" customWidth="1"/>
    <col min="11963" max="11963" width="15.5546875" style="88" customWidth="1"/>
    <col min="11964" max="11964" width="13.21875" style="88" customWidth="1"/>
    <col min="11965" max="11965" width="10.88671875" style="88" customWidth="1"/>
    <col min="11966" max="11966" width="3.109375" style="88" customWidth="1"/>
    <col min="11967" max="11967" width="15.5546875" style="88" customWidth="1"/>
    <col min="11968" max="11969" width="10.88671875" style="88" customWidth="1"/>
    <col min="11970" max="11970" width="18.6640625" style="88" customWidth="1"/>
    <col min="11971" max="11971" width="3.109375" style="88" customWidth="1"/>
    <col min="11972" max="11972" width="15.5546875" style="88" customWidth="1"/>
    <col min="11973" max="11974" width="10.88671875" style="88" customWidth="1"/>
    <col min="11975" max="11975" width="3.109375" style="88" customWidth="1"/>
    <col min="11976" max="11976" width="16.44140625" style="88" customWidth="1"/>
    <col min="11977" max="11977" width="10.88671875" style="88" customWidth="1"/>
    <col min="11978" max="11978" width="68.6640625" style="88" customWidth="1"/>
    <col min="11979" max="11979" width="2.21875" style="88" customWidth="1"/>
    <col min="11980" max="12211" width="8.88671875" style="88"/>
    <col min="12212" max="12212" width="1.109375" style="88" customWidth="1"/>
    <col min="12213" max="12213" width="10.33203125" style="88" customWidth="1"/>
    <col min="12214" max="12214" width="18.21875" style="88" customWidth="1"/>
    <col min="12215" max="12215" width="20.44140625" style="88" customWidth="1"/>
    <col min="12216" max="12216" width="18.109375" style="88" bestFit="1" customWidth="1"/>
    <col min="12217" max="12217" width="13.21875" style="88" customWidth="1"/>
    <col min="12218" max="12218" width="3.109375" style="88" customWidth="1"/>
    <col min="12219" max="12219" width="15.5546875" style="88" customWidth="1"/>
    <col min="12220" max="12220" width="13.21875" style="88" customWidth="1"/>
    <col min="12221" max="12221" width="10.88671875" style="88" customWidth="1"/>
    <col min="12222" max="12222" width="3.109375" style="88" customWidth="1"/>
    <col min="12223" max="12223" width="15.5546875" style="88" customWidth="1"/>
    <col min="12224" max="12225" width="10.88671875" style="88" customWidth="1"/>
    <col min="12226" max="12226" width="18.6640625" style="88" customWidth="1"/>
    <col min="12227" max="12227" width="3.109375" style="88" customWidth="1"/>
    <col min="12228" max="12228" width="15.5546875" style="88" customWidth="1"/>
    <col min="12229" max="12230" width="10.88671875" style="88" customWidth="1"/>
    <col min="12231" max="12231" width="3.109375" style="88" customWidth="1"/>
    <col min="12232" max="12232" width="16.44140625" style="88" customWidth="1"/>
    <col min="12233" max="12233" width="10.88671875" style="88" customWidth="1"/>
    <col min="12234" max="12234" width="68.6640625" style="88" customWidth="1"/>
    <col min="12235" max="12235" width="2.21875" style="88" customWidth="1"/>
    <col min="12236" max="12467" width="8.88671875" style="88"/>
    <col min="12468" max="12468" width="1.109375" style="88" customWidth="1"/>
    <col min="12469" max="12469" width="10.33203125" style="88" customWidth="1"/>
    <col min="12470" max="12470" width="18.21875" style="88" customWidth="1"/>
    <col min="12471" max="12471" width="20.44140625" style="88" customWidth="1"/>
    <col min="12472" max="12472" width="18.109375" style="88" bestFit="1" customWidth="1"/>
    <col min="12473" max="12473" width="13.21875" style="88" customWidth="1"/>
    <col min="12474" max="12474" width="3.109375" style="88" customWidth="1"/>
    <col min="12475" max="12475" width="15.5546875" style="88" customWidth="1"/>
    <col min="12476" max="12476" width="13.21875" style="88" customWidth="1"/>
    <col min="12477" max="12477" width="10.88671875" style="88" customWidth="1"/>
    <col min="12478" max="12478" width="3.109375" style="88" customWidth="1"/>
    <col min="12479" max="12479" width="15.5546875" style="88" customWidth="1"/>
    <col min="12480" max="12481" width="10.88671875" style="88" customWidth="1"/>
    <col min="12482" max="12482" width="18.6640625" style="88" customWidth="1"/>
    <col min="12483" max="12483" width="3.109375" style="88" customWidth="1"/>
    <col min="12484" max="12484" width="15.5546875" style="88" customWidth="1"/>
    <col min="12485" max="12486" width="10.88671875" style="88" customWidth="1"/>
    <col min="12487" max="12487" width="3.109375" style="88" customWidth="1"/>
    <col min="12488" max="12488" width="16.44140625" style="88" customWidth="1"/>
    <col min="12489" max="12489" width="10.88671875" style="88" customWidth="1"/>
    <col min="12490" max="12490" width="68.6640625" style="88" customWidth="1"/>
    <col min="12491" max="12491" width="2.21875" style="88" customWidth="1"/>
    <col min="12492" max="12723" width="8.88671875" style="88"/>
    <col min="12724" max="12724" width="1.109375" style="88" customWidth="1"/>
    <col min="12725" max="12725" width="10.33203125" style="88" customWidth="1"/>
    <col min="12726" max="12726" width="18.21875" style="88" customWidth="1"/>
    <col min="12727" max="12727" width="20.44140625" style="88" customWidth="1"/>
    <col min="12728" max="12728" width="18.109375" style="88" bestFit="1" customWidth="1"/>
    <col min="12729" max="12729" width="13.21875" style="88" customWidth="1"/>
    <col min="12730" max="12730" width="3.109375" style="88" customWidth="1"/>
    <col min="12731" max="12731" width="15.5546875" style="88" customWidth="1"/>
    <col min="12732" max="12732" width="13.21875" style="88" customWidth="1"/>
    <col min="12733" max="12733" width="10.88671875" style="88" customWidth="1"/>
    <col min="12734" max="12734" width="3.109375" style="88" customWidth="1"/>
    <col min="12735" max="12735" width="15.5546875" style="88" customWidth="1"/>
    <col min="12736" max="12737" width="10.88671875" style="88" customWidth="1"/>
    <col min="12738" max="12738" width="18.6640625" style="88" customWidth="1"/>
    <col min="12739" max="12739" width="3.109375" style="88" customWidth="1"/>
    <col min="12740" max="12740" width="15.5546875" style="88" customWidth="1"/>
    <col min="12741" max="12742" width="10.88671875" style="88" customWidth="1"/>
    <col min="12743" max="12743" width="3.109375" style="88" customWidth="1"/>
    <col min="12744" max="12744" width="16.44140625" style="88" customWidth="1"/>
    <col min="12745" max="12745" width="10.88671875" style="88" customWidth="1"/>
    <col min="12746" max="12746" width="68.6640625" style="88" customWidth="1"/>
    <col min="12747" max="12747" width="2.21875" style="88" customWidth="1"/>
    <col min="12748" max="12979" width="8.88671875" style="88"/>
    <col min="12980" max="12980" width="1.109375" style="88" customWidth="1"/>
    <col min="12981" max="12981" width="10.33203125" style="88" customWidth="1"/>
    <col min="12982" max="12982" width="18.21875" style="88" customWidth="1"/>
    <col min="12983" max="12983" width="20.44140625" style="88" customWidth="1"/>
    <col min="12984" max="12984" width="18.109375" style="88" bestFit="1" customWidth="1"/>
    <col min="12985" max="12985" width="13.21875" style="88" customWidth="1"/>
    <col min="12986" max="12986" width="3.109375" style="88" customWidth="1"/>
    <col min="12987" max="12987" width="15.5546875" style="88" customWidth="1"/>
    <col min="12988" max="12988" width="13.21875" style="88" customWidth="1"/>
    <col min="12989" max="12989" width="10.88671875" style="88" customWidth="1"/>
    <col min="12990" max="12990" width="3.109375" style="88" customWidth="1"/>
    <col min="12991" max="12991" width="15.5546875" style="88" customWidth="1"/>
    <col min="12992" max="12993" width="10.88671875" style="88" customWidth="1"/>
    <col min="12994" max="12994" width="18.6640625" style="88" customWidth="1"/>
    <col min="12995" max="12995" width="3.109375" style="88" customWidth="1"/>
    <col min="12996" max="12996" width="15.5546875" style="88" customWidth="1"/>
    <col min="12997" max="12998" width="10.88671875" style="88" customWidth="1"/>
    <col min="12999" max="12999" width="3.109375" style="88" customWidth="1"/>
    <col min="13000" max="13000" width="16.44140625" style="88" customWidth="1"/>
    <col min="13001" max="13001" width="10.88671875" style="88" customWidth="1"/>
    <col min="13002" max="13002" width="68.6640625" style="88" customWidth="1"/>
    <col min="13003" max="13003" width="2.21875" style="88" customWidth="1"/>
    <col min="13004" max="13235" width="8.88671875" style="88"/>
    <col min="13236" max="13236" width="1.109375" style="88" customWidth="1"/>
    <col min="13237" max="13237" width="10.33203125" style="88" customWidth="1"/>
    <col min="13238" max="13238" width="18.21875" style="88" customWidth="1"/>
    <col min="13239" max="13239" width="20.44140625" style="88" customWidth="1"/>
    <col min="13240" max="13240" width="18.109375" style="88" bestFit="1" customWidth="1"/>
    <col min="13241" max="13241" width="13.21875" style="88" customWidth="1"/>
    <col min="13242" max="13242" width="3.109375" style="88" customWidth="1"/>
    <col min="13243" max="13243" width="15.5546875" style="88" customWidth="1"/>
    <col min="13244" max="13244" width="13.21875" style="88" customWidth="1"/>
    <col min="13245" max="13245" width="10.88671875" style="88" customWidth="1"/>
    <col min="13246" max="13246" width="3.109375" style="88" customWidth="1"/>
    <col min="13247" max="13247" width="15.5546875" style="88" customWidth="1"/>
    <col min="13248" max="13249" width="10.88671875" style="88" customWidth="1"/>
    <col min="13250" max="13250" width="18.6640625" style="88" customWidth="1"/>
    <col min="13251" max="13251" width="3.109375" style="88" customWidth="1"/>
    <col min="13252" max="13252" width="15.5546875" style="88" customWidth="1"/>
    <col min="13253" max="13254" width="10.88671875" style="88" customWidth="1"/>
    <col min="13255" max="13255" width="3.109375" style="88" customWidth="1"/>
    <col min="13256" max="13256" width="16.44140625" style="88" customWidth="1"/>
    <col min="13257" max="13257" width="10.88671875" style="88" customWidth="1"/>
    <col min="13258" max="13258" width="68.6640625" style="88" customWidth="1"/>
    <col min="13259" max="13259" width="2.21875" style="88" customWidth="1"/>
    <col min="13260" max="13491" width="8.88671875" style="88"/>
    <col min="13492" max="13492" width="1.109375" style="88" customWidth="1"/>
    <col min="13493" max="13493" width="10.33203125" style="88" customWidth="1"/>
    <col min="13494" max="13494" width="18.21875" style="88" customWidth="1"/>
    <col min="13495" max="13495" width="20.44140625" style="88" customWidth="1"/>
    <col min="13496" max="13496" width="18.109375" style="88" bestFit="1" customWidth="1"/>
    <col min="13497" max="13497" width="13.21875" style="88" customWidth="1"/>
    <col min="13498" max="13498" width="3.109375" style="88" customWidth="1"/>
    <col min="13499" max="13499" width="15.5546875" style="88" customWidth="1"/>
    <col min="13500" max="13500" width="13.21875" style="88" customWidth="1"/>
    <col min="13501" max="13501" width="10.88671875" style="88" customWidth="1"/>
    <col min="13502" max="13502" width="3.109375" style="88" customWidth="1"/>
    <col min="13503" max="13503" width="15.5546875" style="88" customWidth="1"/>
    <col min="13504" max="13505" width="10.88671875" style="88" customWidth="1"/>
    <col min="13506" max="13506" width="18.6640625" style="88" customWidth="1"/>
    <col min="13507" max="13507" width="3.109375" style="88" customWidth="1"/>
    <col min="13508" max="13508" width="15.5546875" style="88" customWidth="1"/>
    <col min="13509" max="13510" width="10.88671875" style="88" customWidth="1"/>
    <col min="13511" max="13511" width="3.109375" style="88" customWidth="1"/>
    <col min="13512" max="13512" width="16.44140625" style="88" customWidth="1"/>
    <col min="13513" max="13513" width="10.88671875" style="88" customWidth="1"/>
    <col min="13514" max="13514" width="68.6640625" style="88" customWidth="1"/>
    <col min="13515" max="13515" width="2.21875" style="88" customWidth="1"/>
    <col min="13516" max="13747" width="8.88671875" style="88"/>
    <col min="13748" max="13748" width="1.109375" style="88" customWidth="1"/>
    <col min="13749" max="13749" width="10.33203125" style="88" customWidth="1"/>
    <col min="13750" max="13750" width="18.21875" style="88" customWidth="1"/>
    <col min="13751" max="13751" width="20.44140625" style="88" customWidth="1"/>
    <col min="13752" max="13752" width="18.109375" style="88" bestFit="1" customWidth="1"/>
    <col min="13753" max="13753" width="13.21875" style="88" customWidth="1"/>
    <col min="13754" max="13754" width="3.109375" style="88" customWidth="1"/>
    <col min="13755" max="13755" width="15.5546875" style="88" customWidth="1"/>
    <col min="13756" max="13756" width="13.21875" style="88" customWidth="1"/>
    <col min="13757" max="13757" width="10.88671875" style="88" customWidth="1"/>
    <col min="13758" max="13758" width="3.109375" style="88" customWidth="1"/>
    <col min="13759" max="13759" width="15.5546875" style="88" customWidth="1"/>
    <col min="13760" max="13761" width="10.88671875" style="88" customWidth="1"/>
    <col min="13762" max="13762" width="18.6640625" style="88" customWidth="1"/>
    <col min="13763" max="13763" width="3.109375" style="88" customWidth="1"/>
    <col min="13764" max="13764" width="15.5546875" style="88" customWidth="1"/>
    <col min="13765" max="13766" width="10.88671875" style="88" customWidth="1"/>
    <col min="13767" max="13767" width="3.109375" style="88" customWidth="1"/>
    <col min="13768" max="13768" width="16.44140625" style="88" customWidth="1"/>
    <col min="13769" max="13769" width="10.88671875" style="88" customWidth="1"/>
    <col min="13770" max="13770" width="68.6640625" style="88" customWidth="1"/>
    <col min="13771" max="13771" width="2.21875" style="88" customWidth="1"/>
    <col min="13772" max="14003" width="8.88671875" style="88"/>
    <col min="14004" max="14004" width="1.109375" style="88" customWidth="1"/>
    <col min="14005" max="14005" width="10.33203125" style="88" customWidth="1"/>
    <col min="14006" max="14006" width="18.21875" style="88" customWidth="1"/>
    <col min="14007" max="14007" width="20.44140625" style="88" customWidth="1"/>
    <col min="14008" max="14008" width="18.109375" style="88" bestFit="1" customWidth="1"/>
    <col min="14009" max="14009" width="13.21875" style="88" customWidth="1"/>
    <col min="14010" max="14010" width="3.109375" style="88" customWidth="1"/>
    <col min="14011" max="14011" width="15.5546875" style="88" customWidth="1"/>
    <col min="14012" max="14012" width="13.21875" style="88" customWidth="1"/>
    <col min="14013" max="14013" width="10.88671875" style="88" customWidth="1"/>
    <col min="14014" max="14014" width="3.109375" style="88" customWidth="1"/>
    <col min="14015" max="14015" width="15.5546875" style="88" customWidth="1"/>
    <col min="14016" max="14017" width="10.88671875" style="88" customWidth="1"/>
    <col min="14018" max="14018" width="18.6640625" style="88" customWidth="1"/>
    <col min="14019" max="14019" width="3.109375" style="88" customWidth="1"/>
    <col min="14020" max="14020" width="15.5546875" style="88" customWidth="1"/>
    <col min="14021" max="14022" width="10.88671875" style="88" customWidth="1"/>
    <col min="14023" max="14023" width="3.109375" style="88" customWidth="1"/>
    <col min="14024" max="14024" width="16.44140625" style="88" customWidth="1"/>
    <col min="14025" max="14025" width="10.88671875" style="88" customWidth="1"/>
    <col min="14026" max="14026" width="68.6640625" style="88" customWidth="1"/>
    <col min="14027" max="14027" width="2.21875" style="88" customWidth="1"/>
    <col min="14028" max="14259" width="8.88671875" style="88"/>
    <col min="14260" max="14260" width="1.109375" style="88" customWidth="1"/>
    <col min="14261" max="14261" width="10.33203125" style="88" customWidth="1"/>
    <col min="14262" max="14262" width="18.21875" style="88" customWidth="1"/>
    <col min="14263" max="14263" width="20.44140625" style="88" customWidth="1"/>
    <col min="14264" max="14264" width="18.109375" style="88" bestFit="1" customWidth="1"/>
    <col min="14265" max="14265" width="13.21875" style="88" customWidth="1"/>
    <col min="14266" max="14266" width="3.109375" style="88" customWidth="1"/>
    <col min="14267" max="14267" width="15.5546875" style="88" customWidth="1"/>
    <col min="14268" max="14268" width="13.21875" style="88" customWidth="1"/>
    <col min="14269" max="14269" width="10.88671875" style="88" customWidth="1"/>
    <col min="14270" max="14270" width="3.109375" style="88" customWidth="1"/>
    <col min="14271" max="14271" width="15.5546875" style="88" customWidth="1"/>
    <col min="14272" max="14273" width="10.88671875" style="88" customWidth="1"/>
    <col min="14274" max="14274" width="18.6640625" style="88" customWidth="1"/>
    <col min="14275" max="14275" width="3.109375" style="88" customWidth="1"/>
    <col min="14276" max="14276" width="15.5546875" style="88" customWidth="1"/>
    <col min="14277" max="14278" width="10.88671875" style="88" customWidth="1"/>
    <col min="14279" max="14279" width="3.109375" style="88" customWidth="1"/>
    <col min="14280" max="14280" width="16.44140625" style="88" customWidth="1"/>
    <col min="14281" max="14281" width="10.88671875" style="88" customWidth="1"/>
    <col min="14282" max="14282" width="68.6640625" style="88" customWidth="1"/>
    <col min="14283" max="14283" width="2.21875" style="88" customWidth="1"/>
    <col min="14284" max="14515" width="8.88671875" style="88"/>
    <col min="14516" max="14516" width="1.109375" style="88" customWidth="1"/>
    <col min="14517" max="14517" width="10.33203125" style="88" customWidth="1"/>
    <col min="14518" max="14518" width="18.21875" style="88" customWidth="1"/>
    <col min="14519" max="14519" width="20.44140625" style="88" customWidth="1"/>
    <col min="14520" max="14520" width="18.109375" style="88" bestFit="1" customWidth="1"/>
    <col min="14521" max="14521" width="13.21875" style="88" customWidth="1"/>
    <col min="14522" max="14522" width="3.109375" style="88" customWidth="1"/>
    <col min="14523" max="14523" width="15.5546875" style="88" customWidth="1"/>
    <col min="14524" max="14524" width="13.21875" style="88" customWidth="1"/>
    <col min="14525" max="14525" width="10.88671875" style="88" customWidth="1"/>
    <col min="14526" max="14526" width="3.109375" style="88" customWidth="1"/>
    <col min="14527" max="14527" width="15.5546875" style="88" customWidth="1"/>
    <col min="14528" max="14529" width="10.88671875" style="88" customWidth="1"/>
    <col min="14530" max="14530" width="18.6640625" style="88" customWidth="1"/>
    <col min="14531" max="14531" width="3.109375" style="88" customWidth="1"/>
    <col min="14532" max="14532" width="15.5546875" style="88" customWidth="1"/>
    <col min="14533" max="14534" width="10.88671875" style="88" customWidth="1"/>
    <col min="14535" max="14535" width="3.109375" style="88" customWidth="1"/>
    <col min="14536" max="14536" width="16.44140625" style="88" customWidth="1"/>
    <col min="14537" max="14537" width="10.88671875" style="88" customWidth="1"/>
    <col min="14538" max="14538" width="68.6640625" style="88" customWidth="1"/>
    <col min="14539" max="14539" width="2.21875" style="88" customWidth="1"/>
    <col min="14540" max="14771" width="8.88671875" style="88"/>
    <col min="14772" max="14772" width="1.109375" style="88" customWidth="1"/>
    <col min="14773" max="14773" width="10.33203125" style="88" customWidth="1"/>
    <col min="14774" max="14774" width="18.21875" style="88" customWidth="1"/>
    <col min="14775" max="14775" width="20.44140625" style="88" customWidth="1"/>
    <col min="14776" max="14776" width="18.109375" style="88" bestFit="1" customWidth="1"/>
    <col min="14777" max="14777" width="13.21875" style="88" customWidth="1"/>
    <col min="14778" max="14778" width="3.109375" style="88" customWidth="1"/>
    <col min="14779" max="14779" width="15.5546875" style="88" customWidth="1"/>
    <col min="14780" max="14780" width="13.21875" style="88" customWidth="1"/>
    <col min="14781" max="14781" width="10.88671875" style="88" customWidth="1"/>
    <col min="14782" max="14782" width="3.109375" style="88" customWidth="1"/>
    <col min="14783" max="14783" width="15.5546875" style="88" customWidth="1"/>
    <col min="14784" max="14785" width="10.88671875" style="88" customWidth="1"/>
    <col min="14786" max="14786" width="18.6640625" style="88" customWidth="1"/>
    <col min="14787" max="14787" width="3.109375" style="88" customWidth="1"/>
    <col min="14788" max="14788" width="15.5546875" style="88" customWidth="1"/>
    <col min="14789" max="14790" width="10.88671875" style="88" customWidth="1"/>
    <col min="14791" max="14791" width="3.109375" style="88" customWidth="1"/>
    <col min="14792" max="14792" width="16.44140625" style="88" customWidth="1"/>
    <col min="14793" max="14793" width="10.88671875" style="88" customWidth="1"/>
    <col min="14794" max="14794" width="68.6640625" style="88" customWidth="1"/>
    <col min="14795" max="14795" width="2.21875" style="88" customWidth="1"/>
    <col min="14796" max="15027" width="8.88671875" style="88"/>
    <col min="15028" max="15028" width="1.109375" style="88" customWidth="1"/>
    <col min="15029" max="15029" width="10.33203125" style="88" customWidth="1"/>
    <col min="15030" max="15030" width="18.21875" style="88" customWidth="1"/>
    <col min="15031" max="15031" width="20.44140625" style="88" customWidth="1"/>
    <col min="15032" max="15032" width="18.109375" style="88" bestFit="1" customWidth="1"/>
    <col min="15033" max="15033" width="13.21875" style="88" customWidth="1"/>
    <col min="15034" max="15034" width="3.109375" style="88" customWidth="1"/>
    <col min="15035" max="15035" width="15.5546875" style="88" customWidth="1"/>
    <col min="15036" max="15036" width="13.21875" style="88" customWidth="1"/>
    <col min="15037" max="15037" width="10.88671875" style="88" customWidth="1"/>
    <col min="15038" max="15038" width="3.109375" style="88" customWidth="1"/>
    <col min="15039" max="15039" width="15.5546875" style="88" customWidth="1"/>
    <col min="15040" max="15041" width="10.88671875" style="88" customWidth="1"/>
    <col min="15042" max="15042" width="18.6640625" style="88" customWidth="1"/>
    <col min="15043" max="15043" width="3.109375" style="88" customWidth="1"/>
    <col min="15044" max="15044" width="15.5546875" style="88" customWidth="1"/>
    <col min="15045" max="15046" width="10.88671875" style="88" customWidth="1"/>
    <col min="15047" max="15047" width="3.109375" style="88" customWidth="1"/>
    <col min="15048" max="15048" width="16.44140625" style="88" customWidth="1"/>
    <col min="15049" max="15049" width="10.88671875" style="88" customWidth="1"/>
    <col min="15050" max="15050" width="68.6640625" style="88" customWidth="1"/>
    <col min="15051" max="15051" width="2.21875" style="88" customWidth="1"/>
    <col min="15052" max="15283" width="8.88671875" style="88"/>
    <col min="15284" max="15284" width="1.109375" style="88" customWidth="1"/>
    <col min="15285" max="15285" width="10.33203125" style="88" customWidth="1"/>
    <col min="15286" max="15286" width="18.21875" style="88" customWidth="1"/>
    <col min="15287" max="15287" width="20.44140625" style="88" customWidth="1"/>
    <col min="15288" max="15288" width="18.109375" style="88" bestFit="1" customWidth="1"/>
    <col min="15289" max="15289" width="13.21875" style="88" customWidth="1"/>
    <col min="15290" max="15290" width="3.109375" style="88" customWidth="1"/>
    <col min="15291" max="15291" width="15.5546875" style="88" customWidth="1"/>
    <col min="15292" max="15292" width="13.21875" style="88" customWidth="1"/>
    <col min="15293" max="15293" width="10.88671875" style="88" customWidth="1"/>
    <col min="15294" max="15294" width="3.109375" style="88" customWidth="1"/>
    <col min="15295" max="15295" width="15.5546875" style="88" customWidth="1"/>
    <col min="15296" max="15297" width="10.88671875" style="88" customWidth="1"/>
    <col min="15298" max="15298" width="18.6640625" style="88" customWidth="1"/>
    <col min="15299" max="15299" width="3.109375" style="88" customWidth="1"/>
    <col min="15300" max="15300" width="15.5546875" style="88" customWidth="1"/>
    <col min="15301" max="15302" width="10.88671875" style="88" customWidth="1"/>
    <col min="15303" max="15303" width="3.109375" style="88" customWidth="1"/>
    <col min="15304" max="15304" width="16.44140625" style="88" customWidth="1"/>
    <col min="15305" max="15305" width="10.88671875" style="88" customWidth="1"/>
    <col min="15306" max="15306" width="68.6640625" style="88" customWidth="1"/>
    <col min="15307" max="15307" width="2.21875" style="88" customWidth="1"/>
    <col min="15308" max="15539" width="8.88671875" style="88"/>
    <col min="15540" max="15540" width="1.109375" style="88" customWidth="1"/>
    <col min="15541" max="15541" width="10.33203125" style="88" customWidth="1"/>
    <col min="15542" max="15542" width="18.21875" style="88" customWidth="1"/>
    <col min="15543" max="15543" width="20.44140625" style="88" customWidth="1"/>
    <col min="15544" max="15544" width="18.109375" style="88" bestFit="1" customWidth="1"/>
    <col min="15545" max="15545" width="13.21875" style="88" customWidth="1"/>
    <col min="15546" max="15546" width="3.109375" style="88" customWidth="1"/>
    <col min="15547" max="15547" width="15.5546875" style="88" customWidth="1"/>
    <col min="15548" max="15548" width="13.21875" style="88" customWidth="1"/>
    <col min="15549" max="15549" width="10.88671875" style="88" customWidth="1"/>
    <col min="15550" max="15550" width="3.109375" style="88" customWidth="1"/>
    <col min="15551" max="15551" width="15.5546875" style="88" customWidth="1"/>
    <col min="15552" max="15553" width="10.88671875" style="88" customWidth="1"/>
    <col min="15554" max="15554" width="18.6640625" style="88" customWidth="1"/>
    <col min="15555" max="15555" width="3.109375" style="88" customWidth="1"/>
    <col min="15556" max="15556" width="15.5546875" style="88" customWidth="1"/>
    <col min="15557" max="15558" width="10.88671875" style="88" customWidth="1"/>
    <col min="15559" max="15559" width="3.109375" style="88" customWidth="1"/>
    <col min="15560" max="15560" width="16.44140625" style="88" customWidth="1"/>
    <col min="15561" max="15561" width="10.88671875" style="88" customWidth="1"/>
    <col min="15562" max="15562" width="68.6640625" style="88" customWidth="1"/>
    <col min="15563" max="15563" width="2.21875" style="88" customWidth="1"/>
    <col min="15564" max="15795" width="8.88671875" style="88"/>
    <col min="15796" max="15796" width="1.109375" style="88" customWidth="1"/>
    <col min="15797" max="15797" width="10.33203125" style="88" customWidth="1"/>
    <col min="15798" max="15798" width="18.21875" style="88" customWidth="1"/>
    <col min="15799" max="15799" width="20.44140625" style="88" customWidth="1"/>
    <col min="15800" max="15800" width="18.109375" style="88" bestFit="1" customWidth="1"/>
    <col min="15801" max="15801" width="13.21875" style="88" customWidth="1"/>
    <col min="15802" max="15802" width="3.109375" style="88" customWidth="1"/>
    <col min="15803" max="15803" width="15.5546875" style="88" customWidth="1"/>
    <col min="15804" max="15804" width="13.21875" style="88" customWidth="1"/>
    <col min="15805" max="15805" width="10.88671875" style="88" customWidth="1"/>
    <col min="15806" max="15806" width="3.109375" style="88" customWidth="1"/>
    <col min="15807" max="15807" width="15.5546875" style="88" customWidth="1"/>
    <col min="15808" max="15809" width="10.88671875" style="88" customWidth="1"/>
    <col min="15810" max="15810" width="18.6640625" style="88" customWidth="1"/>
    <col min="15811" max="15811" width="3.109375" style="88" customWidth="1"/>
    <col min="15812" max="15812" width="15.5546875" style="88" customWidth="1"/>
    <col min="15813" max="15814" width="10.88671875" style="88" customWidth="1"/>
    <col min="15815" max="15815" width="3.109375" style="88" customWidth="1"/>
    <col min="15816" max="15816" width="16.44140625" style="88" customWidth="1"/>
    <col min="15817" max="15817" width="10.88671875" style="88" customWidth="1"/>
    <col min="15818" max="15818" width="68.6640625" style="88" customWidth="1"/>
    <col min="15819" max="15819" width="2.21875" style="88" customWidth="1"/>
    <col min="15820" max="16051" width="8.88671875" style="88"/>
    <col min="16052" max="16052" width="1.109375" style="88" customWidth="1"/>
    <col min="16053" max="16053" width="10.33203125" style="88" customWidth="1"/>
    <col min="16054" max="16054" width="18.21875" style="88" customWidth="1"/>
    <col min="16055" max="16055" width="20.44140625" style="88" customWidth="1"/>
    <col min="16056" max="16056" width="18.109375" style="88" bestFit="1" customWidth="1"/>
    <col min="16057" max="16057" width="13.21875" style="88" customWidth="1"/>
    <col min="16058" max="16058" width="3.109375" style="88" customWidth="1"/>
    <col min="16059" max="16059" width="15.5546875" style="88" customWidth="1"/>
    <col min="16060" max="16060" width="13.21875" style="88" customWidth="1"/>
    <col min="16061" max="16061" width="10.88671875" style="88" customWidth="1"/>
    <col min="16062" max="16062" width="3.109375" style="88" customWidth="1"/>
    <col min="16063" max="16063" width="15.5546875" style="88" customWidth="1"/>
    <col min="16064" max="16065" width="10.88671875" style="88" customWidth="1"/>
    <col min="16066" max="16066" width="18.6640625" style="88" customWidth="1"/>
    <col min="16067" max="16067" width="3.109375" style="88" customWidth="1"/>
    <col min="16068" max="16068" width="15.5546875" style="88" customWidth="1"/>
    <col min="16069" max="16070" width="10.88671875" style="88" customWidth="1"/>
    <col min="16071" max="16071" width="3.109375" style="88" customWidth="1"/>
    <col min="16072" max="16072" width="16.44140625" style="88" customWidth="1"/>
    <col min="16073" max="16073" width="10.88671875" style="88" customWidth="1"/>
    <col min="16074" max="16074" width="68.6640625" style="88" customWidth="1"/>
    <col min="16075" max="16075" width="2.21875" style="88" customWidth="1"/>
    <col min="16076" max="16384" width="8.88671875" style="88"/>
  </cols>
  <sheetData>
    <row r="1" spans="2:35" s="85" customFormat="1" ht="61.5" customHeight="1">
      <c r="B1" s="511" t="s">
        <v>349</v>
      </c>
      <c r="C1" s="512"/>
      <c r="D1" s="512"/>
      <c r="E1" s="512"/>
      <c r="F1" s="512"/>
      <c r="G1" s="512"/>
      <c r="H1" s="512"/>
      <c r="I1" s="512"/>
      <c r="J1" s="512"/>
      <c r="K1" s="512"/>
      <c r="L1" s="512"/>
      <c r="M1" s="512"/>
      <c r="N1" s="512"/>
    </row>
    <row r="2" spans="2:35" s="85" customFormat="1" ht="32.1" customHeight="1" thickBot="1">
      <c r="B2" s="513"/>
      <c r="C2" s="514"/>
      <c r="D2" s="514"/>
      <c r="E2" s="514"/>
      <c r="F2" s="514"/>
      <c r="G2" s="514"/>
      <c r="H2" s="514"/>
      <c r="I2" s="514"/>
      <c r="J2" s="514"/>
      <c r="K2" s="514"/>
      <c r="L2" s="514"/>
      <c r="M2" s="515"/>
      <c r="N2" s="516" t="s">
        <v>369</v>
      </c>
    </row>
    <row r="3" spans="2:35" s="86" customFormat="1" ht="54" customHeight="1" thickTop="1">
      <c r="B3" s="1289" t="s">
        <v>148</v>
      </c>
      <c r="C3" s="530" t="s">
        <v>153</v>
      </c>
      <c r="D3" s="531"/>
      <c r="E3" s="531"/>
      <c r="F3" s="531"/>
      <c r="G3" s="532"/>
      <c r="H3" s="532"/>
      <c r="I3" s="605" t="s">
        <v>153</v>
      </c>
      <c r="J3" s="529"/>
      <c r="K3" s="529"/>
      <c r="L3" s="529"/>
      <c r="M3" s="534"/>
      <c r="N3" s="534"/>
    </row>
    <row r="4" spans="2:35" s="86" customFormat="1" ht="46.5" customHeight="1">
      <c r="B4" s="1229"/>
      <c r="C4" s="1236" t="s">
        <v>150</v>
      </c>
      <c r="D4" s="1217" t="str">
        <f>'판매량-월별추이'!R4</f>
        <v xml:space="preserve">5월 </v>
      </c>
      <c r="E4" s="1217"/>
      <c r="F4" s="1217" t="s">
        <v>136</v>
      </c>
      <c r="G4" s="1217"/>
      <c r="H4" s="1278" t="s">
        <v>121</v>
      </c>
      <c r="I4" s="1236" t="s">
        <v>150</v>
      </c>
      <c r="J4" s="1217" t="s">
        <v>129</v>
      </c>
      <c r="K4" s="1217"/>
      <c r="L4" s="1217" t="s">
        <v>136</v>
      </c>
      <c r="M4" s="1217"/>
      <c r="N4" s="1219" t="s">
        <v>121</v>
      </c>
    </row>
    <row r="5" spans="2:35" s="86" customFormat="1" ht="46.5" customHeight="1">
      <c r="B5" s="1230"/>
      <c r="C5" s="1237"/>
      <c r="D5" s="543" t="s">
        <v>152</v>
      </c>
      <c r="E5" s="543" t="s">
        <v>154</v>
      </c>
      <c r="F5" s="543" t="s">
        <v>137</v>
      </c>
      <c r="G5" s="543" t="s">
        <v>151</v>
      </c>
      <c r="H5" s="1279"/>
      <c r="I5" s="1237"/>
      <c r="J5" s="543" t="s">
        <v>152</v>
      </c>
      <c r="K5" s="543" t="s">
        <v>139</v>
      </c>
      <c r="L5" s="543" t="s">
        <v>137</v>
      </c>
      <c r="M5" s="543" t="s">
        <v>151</v>
      </c>
      <c r="N5" s="1220"/>
      <c r="O5" s="463"/>
      <c r="P5" s="463"/>
      <c r="Q5" s="463"/>
      <c r="R5" s="463"/>
      <c r="S5" s="463"/>
      <c r="T5" s="463"/>
      <c r="U5" s="463"/>
      <c r="V5" s="463"/>
      <c r="W5" s="463"/>
      <c r="X5" s="463"/>
      <c r="Y5" s="463"/>
      <c r="Z5" s="463"/>
      <c r="AA5" s="463"/>
      <c r="AB5" s="463"/>
      <c r="AC5" s="463"/>
      <c r="AD5" s="463"/>
      <c r="AE5" s="463"/>
      <c r="AF5" s="463"/>
      <c r="AG5" s="463"/>
      <c r="AH5" s="463"/>
      <c r="AI5" s="463"/>
    </row>
    <row r="6" spans="2:35" s="85" customFormat="1" ht="90" customHeight="1">
      <c r="B6" s="1292" t="s">
        <v>370</v>
      </c>
      <c r="C6" s="1276">
        <f>총괄표!C35</f>
        <v>37893351</v>
      </c>
      <c r="D6" s="607">
        <f>E6-C6</f>
        <v>319485</v>
      </c>
      <c r="E6" s="607">
        <f>총괄표!D35</f>
        <v>38212836</v>
      </c>
      <c r="F6" s="608">
        <f>총괄표!D35-총괄표!F35</f>
        <v>6579544</v>
      </c>
      <c r="G6" s="1239">
        <f>E6/총괄표!F35</f>
        <v>1.2079942865257274</v>
      </c>
      <c r="H6" s="1286">
        <f>데이터!B24</f>
        <v>56.099999999999987</v>
      </c>
      <c r="I6" s="1276">
        <f>총괄표!J35</f>
        <v>426380088.76500005</v>
      </c>
      <c r="J6" s="607">
        <f>K6-I6</f>
        <v>5840434.2349999547</v>
      </c>
      <c r="K6" s="607">
        <f>총괄표!K35</f>
        <v>432220523</v>
      </c>
      <c r="L6" s="608">
        <f>총괄표!K35-총괄표!M35</f>
        <v>52231755.137000024</v>
      </c>
      <c r="M6" s="1239">
        <f>K6/총괄표!M35</f>
        <v>1.1374560501636499</v>
      </c>
      <c r="N6" s="1306">
        <f>데이터!D24</f>
        <v>69.7</v>
      </c>
    </row>
    <row r="7" spans="2:35" s="85" customFormat="1" ht="90" customHeight="1">
      <c r="B7" s="1291"/>
      <c r="C7" s="1277"/>
      <c r="D7" s="560">
        <f>E7-1</f>
        <v>8.4311625013053781E-3</v>
      </c>
      <c r="E7" s="561">
        <f>E6/C6</f>
        <v>1.0084311625013054</v>
      </c>
      <c r="F7" s="574">
        <f>G6-1</f>
        <v>0.20799428652572738</v>
      </c>
      <c r="G7" s="1226"/>
      <c r="H7" s="1284"/>
      <c r="I7" s="1277"/>
      <c r="J7" s="574">
        <f>K7-1</f>
        <v>1.3697718042877227E-2</v>
      </c>
      <c r="K7" s="561">
        <f>K6/I6</f>
        <v>1.0136977180428772</v>
      </c>
      <c r="L7" s="574">
        <f>M6-1</f>
        <v>0.13745605016364992</v>
      </c>
      <c r="M7" s="1226"/>
      <c r="N7" s="1305"/>
    </row>
    <row r="8" spans="2:35" s="85" customFormat="1" ht="90" customHeight="1">
      <c r="B8" s="1290" t="s">
        <v>167</v>
      </c>
      <c r="C8" s="1288">
        <f>총괄표!C36</f>
        <v>6343505</v>
      </c>
      <c r="D8" s="609">
        <f>E8-C8</f>
        <v>183495</v>
      </c>
      <c r="E8" s="609">
        <f>총괄표!D36</f>
        <v>6527000</v>
      </c>
      <c r="F8" s="610">
        <f>총괄표!D36-총괄표!F36</f>
        <v>544170</v>
      </c>
      <c r="G8" s="1252">
        <f>E8/총괄표!F36</f>
        <v>1.0909552837035317</v>
      </c>
      <c r="H8" s="1283">
        <f>데이터!B25</f>
        <v>9.6</v>
      </c>
      <c r="I8" s="1288">
        <f>총괄표!J36</f>
        <v>39772028</v>
      </c>
      <c r="J8" s="609">
        <f>K8-I8</f>
        <v>-688028</v>
      </c>
      <c r="K8" s="609">
        <f>총괄표!K36</f>
        <v>39084000</v>
      </c>
      <c r="L8" s="610">
        <f>총괄표!K36-총괄표!M36</f>
        <v>2329686.9860000014</v>
      </c>
      <c r="M8" s="1252">
        <f>K8/총괄표!M36</f>
        <v>1.063385404186785</v>
      </c>
      <c r="N8" s="1304">
        <f>데이터!D25</f>
        <v>6.3</v>
      </c>
    </row>
    <row r="9" spans="2:35" s="85" customFormat="1" ht="90" customHeight="1">
      <c r="B9" s="1291"/>
      <c r="C9" s="1277"/>
      <c r="D9" s="560">
        <f>E9-1</f>
        <v>2.8926437356004309E-2</v>
      </c>
      <c r="E9" s="561">
        <f>E8/C8</f>
        <v>1.0289264373560043</v>
      </c>
      <c r="F9" s="574">
        <f>G8-1</f>
        <v>9.0955283703531675E-2</v>
      </c>
      <c r="G9" s="1226"/>
      <c r="H9" s="1284"/>
      <c r="I9" s="1277"/>
      <c r="J9" s="574">
        <f>K9-1</f>
        <v>-1.7299293865527754E-2</v>
      </c>
      <c r="K9" s="561">
        <f>K8/I8</f>
        <v>0.98270070613447225</v>
      </c>
      <c r="L9" s="574">
        <f>M8-1</f>
        <v>6.3385404186784955E-2</v>
      </c>
      <c r="M9" s="1226"/>
      <c r="N9" s="1305"/>
    </row>
    <row r="10" spans="2:35" s="85" customFormat="1" ht="90" customHeight="1">
      <c r="B10" s="1290" t="s">
        <v>199</v>
      </c>
      <c r="C10" s="1288">
        <f>총괄표!C37+총괄표!C38</f>
        <v>1703799</v>
      </c>
      <c r="D10" s="609">
        <f>E10-C10</f>
        <v>-184640</v>
      </c>
      <c r="E10" s="609">
        <f>총괄표!D37+총괄표!D38</f>
        <v>1519159</v>
      </c>
      <c r="F10" s="610">
        <f>(총괄표!D37+총괄표!D38)-(총괄표!F37+총괄표!F38)</f>
        <v>161327</v>
      </c>
      <c r="G10" s="1252">
        <f>E10/(총괄표!F37+총괄표!F38)</f>
        <v>1.1188121947339582</v>
      </c>
      <c r="H10" s="1283">
        <f>데이터!B26</f>
        <v>2.2999999999999998</v>
      </c>
      <c r="I10" s="1288">
        <f>총괄표!J37+총괄표!J38</f>
        <v>24737436</v>
      </c>
      <c r="J10" s="609">
        <f>K10-I10</f>
        <v>1077072</v>
      </c>
      <c r="K10" s="609">
        <f>총괄표!K37+총괄표!K38</f>
        <v>25814508</v>
      </c>
      <c r="L10" s="610">
        <f>(총괄표!K37+총괄표!K38)-(총괄표!M37+총괄표!M38)</f>
        <v>1625248</v>
      </c>
      <c r="M10" s="1252">
        <f>K10/(총괄표!M37+총괄표!M38)</f>
        <v>1.0671888267768423</v>
      </c>
      <c r="N10" s="1304">
        <f>데이터!D26</f>
        <v>4.2</v>
      </c>
    </row>
    <row r="11" spans="2:35" s="85" customFormat="1" ht="90" customHeight="1">
      <c r="B11" s="1291"/>
      <c r="C11" s="1277"/>
      <c r="D11" s="560">
        <f>E11-1</f>
        <v>-0.10836959054442452</v>
      </c>
      <c r="E11" s="561">
        <f>E10/C10</f>
        <v>0.89163040945557548</v>
      </c>
      <c r="F11" s="574">
        <f>G10-1</f>
        <v>0.11881219473395821</v>
      </c>
      <c r="G11" s="1226"/>
      <c r="H11" s="1284"/>
      <c r="I11" s="1277"/>
      <c r="J11" s="574">
        <f>K11-1</f>
        <v>4.3540163176167379E-2</v>
      </c>
      <c r="K11" s="561">
        <f>K10/I10</f>
        <v>1.0435401631761674</v>
      </c>
      <c r="L11" s="574">
        <f>M10-1</f>
        <v>6.7188826776842347E-2</v>
      </c>
      <c r="M11" s="1226"/>
      <c r="N11" s="1305"/>
    </row>
    <row r="12" spans="2:35" s="85" customFormat="1" ht="90" customHeight="1">
      <c r="B12" s="1293" t="s">
        <v>44</v>
      </c>
      <c r="C12" s="1288">
        <f>총괄표!C39</f>
        <v>17423360</v>
      </c>
      <c r="D12" s="609">
        <f>E12-C12</f>
        <v>-2615662</v>
      </c>
      <c r="E12" s="609">
        <f>총괄표!D39</f>
        <v>14807698</v>
      </c>
      <c r="F12" s="610">
        <f>총괄표!D39-총괄표!F39</f>
        <v>-1389024</v>
      </c>
      <c r="G12" s="1252">
        <f>E12/총괄표!F39</f>
        <v>0.9142404246982816</v>
      </c>
      <c r="H12" s="1283">
        <f>데이터!B27</f>
        <v>21.8</v>
      </c>
      <c r="I12" s="1288">
        <f>총괄표!J39</f>
        <v>91122350</v>
      </c>
      <c r="J12" s="609">
        <f>K12-I12</f>
        <v>-4427940</v>
      </c>
      <c r="K12" s="609">
        <f>총괄표!K39</f>
        <v>86694410</v>
      </c>
      <c r="L12" s="610">
        <f>총괄표!K39-총괄표!M39</f>
        <v>-6951364</v>
      </c>
      <c r="M12" s="1252">
        <f>K12/총괄표!M39</f>
        <v>0.92576959212275822</v>
      </c>
      <c r="N12" s="1304">
        <f>데이터!D27</f>
        <v>14</v>
      </c>
    </row>
    <row r="13" spans="2:35" s="85" customFormat="1" ht="90" customHeight="1">
      <c r="B13" s="1294"/>
      <c r="C13" s="1277"/>
      <c r="D13" s="560">
        <f>E13-1</f>
        <v>-0.15012385670731709</v>
      </c>
      <c r="E13" s="561">
        <f>E12/C12</f>
        <v>0.84987614329268291</v>
      </c>
      <c r="F13" s="574">
        <f>G12-1</f>
        <v>-8.5759575301718405E-2</v>
      </c>
      <c r="G13" s="1226"/>
      <c r="H13" s="1284"/>
      <c r="I13" s="1277"/>
      <c r="J13" s="574">
        <f>K13-1</f>
        <v>-4.8593347296245093E-2</v>
      </c>
      <c r="K13" s="561">
        <f>K12/I12</f>
        <v>0.95140665270375491</v>
      </c>
      <c r="L13" s="574">
        <f>M12-1</f>
        <v>-7.4230407877241777E-2</v>
      </c>
      <c r="M13" s="1226"/>
      <c r="N13" s="1305"/>
    </row>
    <row r="14" spans="2:35" s="85" customFormat="1" ht="90" customHeight="1">
      <c r="B14" s="1290" t="s">
        <v>123</v>
      </c>
      <c r="C14" s="1288">
        <f>SUM(총괄표!C40:C41)</f>
        <v>6489441</v>
      </c>
      <c r="D14" s="609">
        <f>E14-C14</f>
        <v>-240689</v>
      </c>
      <c r="E14" s="609">
        <f>SUM(총괄표!D40:D41)</f>
        <v>6248752</v>
      </c>
      <c r="F14" s="610">
        <f>(총괄표!D40+총괄표!D41)-(총괄표!F40+총괄표!F41)</f>
        <v>-206631</v>
      </c>
      <c r="G14" s="1252">
        <f>E14/(총괄표!F40+총괄표!F41)</f>
        <v>0.96799089999772281</v>
      </c>
      <c r="H14" s="1283">
        <f>데이터!B28</f>
        <v>9.2000000000000011</v>
      </c>
      <c r="I14" s="1288">
        <f>SUM(총괄표!J40:J41)</f>
        <v>31232549</v>
      </c>
      <c r="J14" s="609">
        <f>K14-I14</f>
        <v>-312293</v>
      </c>
      <c r="K14" s="609">
        <f>SUM(총괄표!K40:K41)</f>
        <v>30920256</v>
      </c>
      <c r="L14" s="610">
        <f>(총괄표!K40+총괄표!K41)-(총괄표!M40+총괄표!M41)</f>
        <v>-428443</v>
      </c>
      <c r="M14" s="1252">
        <f>K14/(총괄표!M40+총괄표!M41)</f>
        <v>0.98633298944878067</v>
      </c>
      <c r="N14" s="1304">
        <f>데이터!D28</f>
        <v>5</v>
      </c>
    </row>
    <row r="15" spans="2:35" s="85" customFormat="1" ht="90" customHeight="1">
      <c r="B15" s="1291"/>
      <c r="C15" s="1277"/>
      <c r="D15" s="560">
        <f>E15-1</f>
        <v>-3.708932710845203E-2</v>
      </c>
      <c r="E15" s="561">
        <f>E14/C14</f>
        <v>0.96291067289154797</v>
      </c>
      <c r="F15" s="574">
        <f>G14-1</f>
        <v>-3.2009100002277191E-2</v>
      </c>
      <c r="G15" s="1226"/>
      <c r="H15" s="1284"/>
      <c r="I15" s="1277"/>
      <c r="J15" s="574">
        <f>K15-1</f>
        <v>-9.9989597390850449E-3</v>
      </c>
      <c r="K15" s="561">
        <f>K14/I14</f>
        <v>0.99000104026091496</v>
      </c>
      <c r="L15" s="574">
        <f>M14-1</f>
        <v>-1.3667010551219327E-2</v>
      </c>
      <c r="M15" s="1226"/>
      <c r="N15" s="1305"/>
    </row>
    <row r="16" spans="2:35" s="85" customFormat="1" ht="90" customHeight="1">
      <c r="B16" s="1290" t="s">
        <v>132</v>
      </c>
      <c r="C16" s="1276">
        <f>총괄표!C42+총괄표!C43+총괄표!C44+총괄표!C45</f>
        <v>929254</v>
      </c>
      <c r="D16" s="607">
        <f>E16-C16</f>
        <v>-219909</v>
      </c>
      <c r="E16" s="607">
        <f>총괄표!D42+총괄표!D43+총괄표!D44+총괄표!D45</f>
        <v>709345</v>
      </c>
      <c r="F16" s="608">
        <f>(총괄표!D42+총괄표!D43+총괄표!D44+총괄표!D45)-(총괄표!F42+총괄표!F43+총괄표!F44+총괄표!F45)</f>
        <v>-391066</v>
      </c>
      <c r="G16" s="1239">
        <f>E16/(총괄표!F42+총괄표!F43+총괄표!F44+총괄표!F45)</f>
        <v>0.64461823809467556</v>
      </c>
      <c r="H16" s="1286">
        <f>100-SUM(H6:H15)</f>
        <v>1.0000000000000142</v>
      </c>
      <c r="I16" s="1276">
        <f>총괄표!J42+총괄표!J43+총괄표!J44+총괄표!J45</f>
        <v>5386030</v>
      </c>
      <c r="J16" s="607">
        <f>K16-I16</f>
        <v>-420483</v>
      </c>
      <c r="K16" s="607">
        <f>총괄표!K42+총괄표!K43+총괄표!K44+총괄표!K45</f>
        <v>4965547</v>
      </c>
      <c r="L16" s="608">
        <f>(총괄표!K42+총괄표!K43+총괄표!K44+총괄표!K45)-(총괄표!M42+총괄표!M43+총괄표!M44+총괄표!M45)</f>
        <v>-2239600</v>
      </c>
      <c r="M16" s="1239">
        <f>K16/(총괄표!M42+총괄표!M43+총괄표!M44+총괄표!M45)</f>
        <v>0.68916664712045428</v>
      </c>
      <c r="N16" s="1306">
        <f>100-SUM(N6:N15)</f>
        <v>0.79999999999999716</v>
      </c>
    </row>
    <row r="17" spans="2:14" s="85" customFormat="1" ht="90" customHeight="1" thickBot="1">
      <c r="B17" s="1295"/>
      <c r="C17" s="1280"/>
      <c r="D17" s="603">
        <f>E17-1</f>
        <v>-0.23665112014583745</v>
      </c>
      <c r="E17" s="561">
        <f>E16/C16</f>
        <v>0.76334887985416255</v>
      </c>
      <c r="F17" s="576">
        <f>G16-1</f>
        <v>-0.35538176190532444</v>
      </c>
      <c r="G17" s="1299"/>
      <c r="H17" s="1287"/>
      <c r="I17" s="1280"/>
      <c r="J17" s="576">
        <f>K17-1</f>
        <v>-7.8069190108484343E-2</v>
      </c>
      <c r="K17" s="561">
        <f>K16/I16</f>
        <v>0.92193080989151566</v>
      </c>
      <c r="L17" s="576">
        <f>M16-1</f>
        <v>-0.31083335287954572</v>
      </c>
      <c r="M17" s="1299"/>
      <c r="N17" s="1307"/>
    </row>
    <row r="18" spans="2:14" s="87" customFormat="1" ht="90" customHeight="1">
      <c r="B18" s="1296" t="s">
        <v>138</v>
      </c>
      <c r="C18" s="1300">
        <f>SUM(C6:C17)</f>
        <v>70782710</v>
      </c>
      <c r="D18" s="606">
        <f>E18-C18</f>
        <v>-2757920</v>
      </c>
      <c r="E18" s="606">
        <f>E6+E8+E10+E12+E14+E16</f>
        <v>68024790</v>
      </c>
      <c r="F18" s="611">
        <f>F6+F8+F10+F12+F14+F16</f>
        <v>5298320</v>
      </c>
      <c r="G18" s="1274">
        <f>(E18/총괄표!F47)</f>
        <v>1.0844670519479256</v>
      </c>
      <c r="H18" s="1264"/>
      <c r="I18" s="1281">
        <f>SUM(I6:I17)</f>
        <v>618630481.7650001</v>
      </c>
      <c r="J18" s="606">
        <f>K18-I18</f>
        <v>1068762.2349998951</v>
      </c>
      <c r="K18" s="606">
        <f>K6+K8+K10+K12+K14+K16</f>
        <v>619699244</v>
      </c>
      <c r="L18" s="611">
        <f>L6+L8+L10+L12+L14+L16</f>
        <v>46567283.123000026</v>
      </c>
      <c r="M18" s="1274">
        <f>(K18/총괄표!M47)</f>
        <v>1.0812505431589321</v>
      </c>
      <c r="N18" s="1302"/>
    </row>
    <row r="19" spans="2:14" s="87" customFormat="1" ht="90" customHeight="1" thickBot="1">
      <c r="B19" s="1297"/>
      <c r="C19" s="1301"/>
      <c r="D19" s="612">
        <f>D18/C18</f>
        <v>-3.8963187478976154E-2</v>
      </c>
      <c r="E19" s="604">
        <f>E18/C18</f>
        <v>0.9610368125210238</v>
      </c>
      <c r="F19" s="613">
        <f>G18-1</f>
        <v>8.4467051947925587E-2</v>
      </c>
      <c r="G19" s="1298"/>
      <c r="H19" s="1285"/>
      <c r="I19" s="1282"/>
      <c r="J19" s="612">
        <f>J18/I18</f>
        <v>1.7276262106429587E-3</v>
      </c>
      <c r="K19" s="604">
        <f>K18/I18</f>
        <v>1.0017276262106429</v>
      </c>
      <c r="L19" s="613">
        <f>M18-1</f>
        <v>8.1250543158932098E-2</v>
      </c>
      <c r="M19" s="1298"/>
      <c r="N19" s="1303"/>
    </row>
    <row r="20" spans="2:14" s="87" customFormat="1" ht="35.25" customHeight="1">
      <c r="B20" s="97"/>
      <c r="C20" s="98"/>
      <c r="D20" s="98"/>
      <c r="E20" s="98"/>
      <c r="F20" s="98"/>
      <c r="G20" s="98"/>
      <c r="H20" s="98"/>
      <c r="I20" s="98"/>
      <c r="J20" s="98"/>
      <c r="K20" s="98"/>
      <c r="L20" s="98"/>
      <c r="M20" s="98"/>
      <c r="N20" s="98"/>
    </row>
    <row r="21" spans="2:14" s="87" customFormat="1" ht="35.25" customHeight="1">
      <c r="B21" s="97"/>
      <c r="C21" s="98"/>
      <c r="D21" s="98"/>
      <c r="E21" s="98"/>
      <c r="F21" s="98"/>
      <c r="G21" s="98"/>
      <c r="H21" s="98"/>
      <c r="I21" s="98"/>
      <c r="J21" s="98"/>
      <c r="K21" s="98"/>
      <c r="L21" s="98"/>
      <c r="M21" s="98"/>
      <c r="N21" s="98"/>
    </row>
    <row r="22" spans="2:14" s="87" customFormat="1" ht="35.25" customHeight="1">
      <c r="B22" s="97"/>
      <c r="C22" s="98"/>
      <c r="D22" s="98"/>
      <c r="E22" s="98"/>
      <c r="F22" s="98"/>
      <c r="G22" s="98"/>
      <c r="H22" s="98"/>
      <c r="I22" s="98"/>
      <c r="J22" s="98"/>
      <c r="K22" s="98"/>
      <c r="L22" s="98"/>
      <c r="M22" s="98"/>
      <c r="N22" s="98"/>
    </row>
    <row r="23" spans="2:14" s="87" customFormat="1" ht="35.25" customHeight="1">
      <c r="B23" s="97"/>
      <c r="C23" s="98"/>
      <c r="D23" s="98"/>
      <c r="E23" s="98"/>
      <c r="F23" s="98"/>
      <c r="G23" s="98"/>
      <c r="H23" s="98"/>
      <c r="I23" s="98"/>
      <c r="J23" s="98"/>
      <c r="K23" s="98"/>
      <c r="L23" s="98"/>
      <c r="M23" s="98"/>
      <c r="N23" s="98"/>
    </row>
    <row r="24" spans="2:14" s="87" customFormat="1" ht="35.25" customHeight="1">
      <c r="B24" s="97"/>
      <c r="C24" s="98"/>
      <c r="D24" s="98"/>
      <c r="E24" s="98"/>
      <c r="F24" s="98"/>
      <c r="G24" s="98"/>
      <c r="H24" s="98"/>
      <c r="I24" s="98"/>
      <c r="J24" s="98"/>
      <c r="K24" s="98"/>
      <c r="L24" s="98"/>
      <c r="M24" s="98"/>
      <c r="N24" s="98"/>
    </row>
    <row r="25" spans="2:14" ht="30" customHeight="1"/>
    <row r="26" spans="2:14" ht="30" customHeight="1"/>
    <row r="27" spans="2:14" ht="30" customHeight="1"/>
    <row r="28" spans="2:14" ht="30" customHeight="1"/>
    <row r="29" spans="2:14" ht="30" customHeight="1"/>
    <row r="30" spans="2:14" ht="30" customHeight="1"/>
    <row r="31" spans="2:14" ht="30" customHeight="1"/>
    <row r="32" spans="2:14" ht="30" customHeight="1"/>
    <row r="33" ht="30" customHeight="1"/>
    <row r="34" ht="30" customHeight="1"/>
    <row r="35" ht="30" customHeight="1"/>
    <row r="36" ht="30" customHeight="1"/>
    <row r="37" ht="30" customHeight="1"/>
    <row r="38" ht="30" customHeight="1"/>
    <row r="39" ht="30" customHeight="1"/>
    <row r="40" ht="30" customHeight="1"/>
    <row r="41" ht="30" customHeight="1"/>
    <row r="42" ht="30" customHeight="1"/>
    <row r="43" ht="30" customHeight="1"/>
    <row r="44" ht="30" customHeight="1"/>
    <row r="45" ht="30" customHeight="1"/>
    <row r="46" ht="30" customHeight="1"/>
    <row r="47" ht="30" customHeight="1"/>
    <row r="48" ht="30" customHeight="1"/>
    <row r="49" ht="30" customHeight="1"/>
    <row r="50" ht="30" customHeight="1"/>
    <row r="51" ht="30" customHeight="1"/>
    <row r="52" ht="30" customHeight="1"/>
    <row r="53" ht="30" customHeight="1"/>
    <row r="54" ht="30" customHeight="1"/>
    <row r="55" ht="30" customHeight="1"/>
    <row r="56" ht="30" customHeight="1"/>
    <row r="57" ht="30" customHeight="1"/>
    <row r="58" ht="30" customHeight="1"/>
    <row r="59" ht="30" customHeight="1"/>
    <row r="60" ht="30" customHeight="1"/>
    <row r="61" ht="30" customHeight="1"/>
    <row r="62" ht="30" customHeight="1"/>
    <row r="63" ht="30" customHeight="1"/>
    <row r="64" ht="30" customHeight="1"/>
    <row r="65" ht="32.1" customHeight="1"/>
    <row r="66" ht="32.1" customHeight="1"/>
    <row r="67" ht="32.1" customHeight="1"/>
    <row r="68" ht="32.1" customHeight="1"/>
    <row r="69" ht="32.1" customHeight="1"/>
    <row r="70" ht="32.1" customHeight="1"/>
    <row r="71" ht="32.1" customHeight="1"/>
    <row r="72" ht="32.1" customHeight="1"/>
    <row r="73" ht="32.1" customHeight="1"/>
    <row r="74" ht="32.1" customHeight="1"/>
    <row r="75" ht="32.1" customHeight="1"/>
    <row r="76" ht="32.1" customHeight="1"/>
    <row r="77" ht="32.1" customHeight="1"/>
    <row r="78" ht="32.1" customHeight="1"/>
    <row r="79" ht="32.1" customHeight="1"/>
    <row r="80" ht="32.1" customHeight="1"/>
    <row r="81" ht="32.1" customHeight="1"/>
    <row r="82" ht="32.1" customHeight="1"/>
    <row r="83" ht="32.1" customHeight="1"/>
    <row r="84" ht="32.1" customHeight="1"/>
    <row r="85" ht="32.1" customHeight="1"/>
    <row r="86" ht="32.1" customHeight="1"/>
    <row r="87" ht="32.1" customHeight="1"/>
  </sheetData>
  <mergeCells count="58">
    <mergeCell ref="M10:M11"/>
    <mergeCell ref="M6:M7"/>
    <mergeCell ref="M8:M9"/>
    <mergeCell ref="L4:M4"/>
    <mergeCell ref="N18:N19"/>
    <mergeCell ref="N12:N13"/>
    <mergeCell ref="N14:N15"/>
    <mergeCell ref="N16:N17"/>
    <mergeCell ref="N4:N5"/>
    <mergeCell ref="N6:N7"/>
    <mergeCell ref="N8:N9"/>
    <mergeCell ref="N10:N11"/>
    <mergeCell ref="B12:B13"/>
    <mergeCell ref="B16:B17"/>
    <mergeCell ref="B18:B19"/>
    <mergeCell ref="B14:B15"/>
    <mergeCell ref="M12:M13"/>
    <mergeCell ref="M14:M15"/>
    <mergeCell ref="G14:G15"/>
    <mergeCell ref="G18:G19"/>
    <mergeCell ref="G16:G17"/>
    <mergeCell ref="C12:C13"/>
    <mergeCell ref="C14:C15"/>
    <mergeCell ref="C18:C19"/>
    <mergeCell ref="C16:C17"/>
    <mergeCell ref="G12:G13"/>
    <mergeCell ref="M18:M19"/>
    <mergeCell ref="M16:M17"/>
    <mergeCell ref="B3:B5"/>
    <mergeCell ref="B10:B11"/>
    <mergeCell ref="B6:B7"/>
    <mergeCell ref="B8:B9"/>
    <mergeCell ref="I4:I5"/>
    <mergeCell ref="C6:C7"/>
    <mergeCell ref="C8:C9"/>
    <mergeCell ref="C4:C5"/>
    <mergeCell ref="D4:E4"/>
    <mergeCell ref="C10:C11"/>
    <mergeCell ref="F4:G4"/>
    <mergeCell ref="G6:G7"/>
    <mergeCell ref="G8:G9"/>
    <mergeCell ref="G10:G11"/>
    <mergeCell ref="J4:K4"/>
    <mergeCell ref="I6:I7"/>
    <mergeCell ref="H4:H5"/>
    <mergeCell ref="I16:I17"/>
    <mergeCell ref="I18:I19"/>
    <mergeCell ref="H12:H13"/>
    <mergeCell ref="H18:H19"/>
    <mergeCell ref="H16:H17"/>
    <mergeCell ref="H8:H9"/>
    <mergeCell ref="H14:H15"/>
    <mergeCell ref="H6:H7"/>
    <mergeCell ref="I8:I9"/>
    <mergeCell ref="I10:I11"/>
    <mergeCell ref="I12:I13"/>
    <mergeCell ref="I14:I15"/>
    <mergeCell ref="H10:H11"/>
  </mergeCells>
  <phoneticPr fontId="34" type="noConversion"/>
  <conditionalFormatting sqref="C6:N19">
    <cfRule type="cellIs" dxfId="0" priority="1" operator="lessThan">
      <formula>0</formula>
    </cfRule>
  </conditionalFormatting>
  <pageMargins left="0.15748031496062992" right="0.15748031496062992" top="1.0236220472440944" bottom="0.19685039370078741" header="0.31496062992125984" footer="0.19685039370078741"/>
  <pageSetup paperSize="8" scale="33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10">
    <tabColor rgb="FF0000FF"/>
    <pageSetUpPr fitToPage="1"/>
  </sheetPr>
  <dimension ref="A1:I58"/>
  <sheetViews>
    <sheetView showGridLines="0" topLeftCell="A39" zoomScaleNormal="100" workbookViewId="0">
      <selection activeCell="B49" sqref="B49"/>
    </sheetView>
  </sheetViews>
  <sheetFormatPr defaultColWidth="8.88671875" defaultRowHeight="21.75" customHeight="1"/>
  <cols>
    <col min="1" max="1" width="15" style="12" customWidth="1"/>
    <col min="2" max="2" width="11.5546875" style="7" bestFit="1" customWidth="1"/>
    <col min="3" max="3" width="13.77734375" style="7" customWidth="1"/>
    <col min="4" max="4" width="12.44140625" style="7" bestFit="1" customWidth="1"/>
    <col min="5" max="5" width="12.33203125" style="7" customWidth="1"/>
    <col min="6" max="6" width="12.88671875" style="7" bestFit="1" customWidth="1"/>
    <col min="7" max="7" width="11.44140625" style="7" bestFit="1" customWidth="1"/>
    <col min="8" max="8" width="12.5546875" style="7" customWidth="1"/>
    <col min="9" max="9" width="9" style="7" bestFit="1" customWidth="1"/>
    <col min="10" max="16384" width="8.88671875" style="7"/>
  </cols>
  <sheetData>
    <row r="1" spans="1:7" ht="21.75" customHeight="1">
      <c r="A1" s="755"/>
    </row>
    <row r="2" spans="1:7" ht="21.75" customHeight="1">
      <c r="A2" s="84" t="s">
        <v>124</v>
      </c>
    </row>
    <row r="3" spans="1:7" ht="21.75" customHeight="1">
      <c r="A3" s="1310" t="str">
        <f>'판매량-월별추이'!R4</f>
        <v xml:space="preserve">5월 </v>
      </c>
      <c r="B3" s="1311"/>
      <c r="C3" s="1308" t="str">
        <f>'판매량-월별추이'!AC4</f>
        <v>누 계</v>
      </c>
      <c r="D3" s="1309"/>
      <c r="F3" s="7" t="s">
        <v>194</v>
      </c>
      <c r="G3" s="7" t="s">
        <v>195</v>
      </c>
    </row>
    <row r="4" spans="1:7" ht="21.75" customHeight="1">
      <c r="A4" s="239" t="s">
        <v>119</v>
      </c>
      <c r="B4" s="240" t="s">
        <v>120</v>
      </c>
      <c r="C4" s="241" t="s">
        <v>119</v>
      </c>
      <c r="D4" s="239" t="s">
        <v>120</v>
      </c>
      <c r="E4" s="7" t="s">
        <v>198</v>
      </c>
      <c r="F4" s="151">
        <f>A5</f>
        <v>3105318</v>
      </c>
      <c r="G4" s="151">
        <f>B5</f>
        <v>3009471</v>
      </c>
    </row>
    <row r="5" spans="1:7" ht="21.75" customHeight="1">
      <c r="A5" s="91">
        <f>총괄표!C23</f>
        <v>3105318</v>
      </c>
      <c r="B5" s="92">
        <f>총괄표!E23</f>
        <v>3009471</v>
      </c>
      <c r="C5" s="89">
        <f>총괄표!J23</f>
        <v>27822263</v>
      </c>
      <c r="D5" s="90">
        <f>총괄표!L23</f>
        <v>28095425</v>
      </c>
      <c r="E5" s="7" t="s">
        <v>196</v>
      </c>
      <c r="F5" s="151">
        <f>C5</f>
        <v>27822263</v>
      </c>
      <c r="G5" s="151">
        <f>D5</f>
        <v>28095425</v>
      </c>
    </row>
    <row r="9" spans="1:7" ht="21.75" customHeight="1">
      <c r="A9" s="84" t="s">
        <v>121</v>
      </c>
    </row>
    <row r="10" spans="1:7" ht="21.75" customHeight="1">
      <c r="A10" s="242" t="str">
        <f>A3</f>
        <v xml:space="preserve">5월 </v>
      </c>
      <c r="B10" s="243" t="s">
        <v>125</v>
      </c>
      <c r="C10" s="243" t="str">
        <f>C3</f>
        <v>누 계</v>
      </c>
      <c r="D10" s="244" t="s">
        <v>125</v>
      </c>
    </row>
    <row r="11" spans="1:7" ht="21.75" customHeight="1">
      <c r="A11" s="94" t="s">
        <v>391</v>
      </c>
      <c r="B11" s="95">
        <f>총괄표!I11</f>
        <v>54.000000000000007</v>
      </c>
      <c r="C11" s="94" t="s">
        <v>391</v>
      </c>
      <c r="D11" s="96">
        <f>총괄표!P11</f>
        <v>70.099999999999994</v>
      </c>
      <c r="E11" s="93"/>
      <c r="F11" s="93"/>
      <c r="G11" s="93"/>
    </row>
    <row r="12" spans="1:7" ht="21.75" customHeight="1">
      <c r="A12" s="94" t="s">
        <v>167</v>
      </c>
      <c r="B12" s="95">
        <f>총괄표!I12</f>
        <v>9.6</v>
      </c>
      <c r="C12" s="94" t="s">
        <v>167</v>
      </c>
      <c r="D12" s="96">
        <f>총괄표!P12</f>
        <v>6.2</v>
      </c>
      <c r="E12" s="93"/>
      <c r="F12" s="93"/>
      <c r="G12" s="93"/>
    </row>
    <row r="13" spans="1:7" ht="21.75" customHeight="1">
      <c r="A13" s="94" t="s">
        <v>131</v>
      </c>
      <c r="B13" s="95">
        <f>총괄표!I13+총괄표!I14</f>
        <v>2.2999999999999998</v>
      </c>
      <c r="C13" s="94" t="s">
        <v>131</v>
      </c>
      <c r="D13" s="96">
        <f>총괄표!P13+총괄표!P14</f>
        <v>3.7</v>
      </c>
      <c r="E13" s="93"/>
      <c r="F13" s="93"/>
      <c r="G13" s="93"/>
    </row>
    <row r="14" spans="1:7" ht="21.75" customHeight="1">
      <c r="A14" s="94" t="s">
        <v>122</v>
      </c>
      <c r="B14" s="95">
        <f>총괄표!I15</f>
        <v>23.8</v>
      </c>
      <c r="C14" s="94" t="s">
        <v>122</v>
      </c>
      <c r="D14" s="96">
        <f>총괄표!P15</f>
        <v>14.6</v>
      </c>
      <c r="E14" s="93"/>
      <c r="F14" s="93"/>
      <c r="G14" s="93"/>
    </row>
    <row r="15" spans="1:7" ht="21.75" customHeight="1">
      <c r="A15" s="94" t="s">
        <v>123</v>
      </c>
      <c r="B15" s="95">
        <f>총괄표!I16+총괄표!I17</f>
        <v>9.1</v>
      </c>
      <c r="C15" s="94" t="s">
        <v>123</v>
      </c>
      <c r="D15" s="96">
        <f>총괄표!P16+총괄표!P17</f>
        <v>4.6000000000000005</v>
      </c>
      <c r="E15" s="93"/>
      <c r="F15" s="93"/>
      <c r="G15" s="93"/>
    </row>
    <row r="16" spans="1:7" ht="21.75" customHeight="1">
      <c r="A16" s="94" t="s">
        <v>132</v>
      </c>
      <c r="B16" s="95">
        <f>총괄표!I18+총괄표!I19+총괄표!I20+총괄표!I21</f>
        <v>1.2000000000000002</v>
      </c>
      <c r="C16" s="94" t="s">
        <v>132</v>
      </c>
      <c r="D16" s="96">
        <f>총괄표!P18+총괄표!P19+총괄표!P20+총괄표!P21</f>
        <v>0.79999999999999993</v>
      </c>
      <c r="E16" s="93"/>
      <c r="F16" s="93"/>
      <c r="G16" s="93"/>
    </row>
    <row r="17" spans="1:7" ht="21.75" customHeight="1">
      <c r="A17" s="84" t="s">
        <v>126</v>
      </c>
    </row>
    <row r="18" spans="1:7" ht="21.75" customHeight="1">
      <c r="A18" s="1310" t="str">
        <f>A3</f>
        <v xml:space="preserve">5월 </v>
      </c>
      <c r="B18" s="1311"/>
      <c r="C18" s="1308" t="str">
        <f>C3</f>
        <v>누 계</v>
      </c>
      <c r="D18" s="1309"/>
      <c r="F18" s="7" t="s">
        <v>194</v>
      </c>
      <c r="G18" s="7" t="s">
        <v>195</v>
      </c>
    </row>
    <row r="19" spans="1:7" ht="21.75" customHeight="1">
      <c r="A19" s="239" t="s">
        <v>119</v>
      </c>
      <c r="B19" s="240" t="s">
        <v>120</v>
      </c>
      <c r="C19" s="241" t="s">
        <v>119</v>
      </c>
      <c r="D19" s="239" t="s">
        <v>120</v>
      </c>
      <c r="E19" s="7" t="s">
        <v>197</v>
      </c>
      <c r="F19" s="218">
        <f>A20</f>
        <v>70782710</v>
      </c>
      <c r="G19" s="218">
        <f>B20</f>
        <v>68024790</v>
      </c>
    </row>
    <row r="20" spans="1:7" ht="21.75" customHeight="1">
      <c r="A20" s="91">
        <f>총괄표!C47</f>
        <v>70782710</v>
      </c>
      <c r="B20" s="92">
        <f>총괄표!D47</f>
        <v>68024790</v>
      </c>
      <c r="C20" s="89">
        <f>총괄표!J47</f>
        <v>618630481.7650001</v>
      </c>
      <c r="D20" s="90">
        <f>총괄표!K47</f>
        <v>619699244</v>
      </c>
      <c r="E20" s="7" t="s">
        <v>196</v>
      </c>
      <c r="F20" s="218">
        <f>C20</f>
        <v>618630481.7650001</v>
      </c>
      <c r="G20" s="218">
        <f>D20</f>
        <v>619699244</v>
      </c>
    </row>
    <row r="22" spans="1:7" ht="21.75" customHeight="1">
      <c r="A22" s="84" t="s">
        <v>127</v>
      </c>
    </row>
    <row r="23" spans="1:7" ht="21.75" customHeight="1">
      <c r="A23" s="242" t="str">
        <f>A18</f>
        <v xml:space="preserve">5월 </v>
      </c>
      <c r="B23" s="243" t="s">
        <v>121</v>
      </c>
      <c r="C23" s="243" t="str">
        <f>C18</f>
        <v>누 계</v>
      </c>
      <c r="D23" s="244" t="s">
        <v>121</v>
      </c>
    </row>
    <row r="24" spans="1:7" ht="21.75" customHeight="1">
      <c r="A24" s="94" t="s">
        <v>391</v>
      </c>
      <c r="B24" s="95">
        <f>총괄표!H35</f>
        <v>56.099999999999987</v>
      </c>
      <c r="C24" s="94" t="s">
        <v>391</v>
      </c>
      <c r="D24" s="96">
        <f>총괄표!O35</f>
        <v>69.7</v>
      </c>
      <c r="E24" s="93"/>
      <c r="F24" s="93"/>
      <c r="G24" s="93"/>
    </row>
    <row r="25" spans="1:7" ht="21.75" customHeight="1">
      <c r="A25" s="94" t="s">
        <v>167</v>
      </c>
      <c r="B25" s="95">
        <f>총괄표!H36</f>
        <v>9.6</v>
      </c>
      <c r="C25" s="94" t="s">
        <v>167</v>
      </c>
      <c r="D25" s="96">
        <f>총괄표!O36</f>
        <v>6.3</v>
      </c>
      <c r="E25" s="93"/>
      <c r="F25" s="93"/>
      <c r="G25" s="93"/>
    </row>
    <row r="26" spans="1:7" ht="21.75" customHeight="1">
      <c r="A26" s="94" t="s">
        <v>131</v>
      </c>
      <c r="B26" s="95">
        <f>총괄표!H37+총괄표!H38</f>
        <v>2.2999999999999998</v>
      </c>
      <c r="C26" s="94" t="s">
        <v>131</v>
      </c>
      <c r="D26" s="96">
        <f>총괄표!O37+총괄표!O38</f>
        <v>4.2</v>
      </c>
      <c r="E26" s="93"/>
      <c r="F26" s="93"/>
      <c r="G26" s="93"/>
    </row>
    <row r="27" spans="1:7" ht="21.75" customHeight="1">
      <c r="A27" s="94" t="s">
        <v>115</v>
      </c>
      <c r="B27" s="95">
        <f>총괄표!H39</f>
        <v>21.8</v>
      </c>
      <c r="C27" s="94" t="s">
        <v>44</v>
      </c>
      <c r="D27" s="96">
        <f>총괄표!O39</f>
        <v>14</v>
      </c>
      <c r="E27" s="93"/>
      <c r="F27" s="93"/>
      <c r="G27" s="93"/>
    </row>
    <row r="28" spans="1:7" ht="21.75" customHeight="1">
      <c r="A28" s="94" t="s">
        <v>123</v>
      </c>
      <c r="B28" s="95">
        <f>총괄표!H40+총괄표!H41</f>
        <v>9.2000000000000011</v>
      </c>
      <c r="C28" s="94" t="s">
        <v>123</v>
      </c>
      <c r="D28" s="96">
        <f>총괄표!O40+총괄표!O41</f>
        <v>5</v>
      </c>
      <c r="E28" s="93"/>
      <c r="F28" s="93"/>
      <c r="G28" s="93"/>
    </row>
    <row r="29" spans="1:7" ht="21.75" customHeight="1">
      <c r="A29" s="94" t="s">
        <v>133</v>
      </c>
      <c r="B29" s="95">
        <f>총괄표!H42+총괄표!H43+총괄표!H44+총괄표!H45</f>
        <v>1</v>
      </c>
      <c r="C29" s="94" t="s">
        <v>133</v>
      </c>
      <c r="D29" s="96">
        <f>총괄표!O42+총괄표!O43+총괄표!O44+총괄표!O45</f>
        <v>0.79999999999999993</v>
      </c>
      <c r="E29" s="93"/>
      <c r="F29" s="93"/>
      <c r="G29" s="93"/>
    </row>
    <row r="31" spans="1:7" ht="21.75" customHeight="1">
      <c r="A31" s="177" t="s">
        <v>218</v>
      </c>
    </row>
    <row r="32" spans="1:7" ht="21.75" customHeight="1">
      <c r="A32" s="245" t="s">
        <v>169</v>
      </c>
      <c r="B32" s="246" t="s">
        <v>170</v>
      </c>
      <c r="D32" s="242" t="s">
        <v>144</v>
      </c>
      <c r="E32" s="243" t="s">
        <v>145</v>
      </c>
    </row>
    <row r="33" spans="1:5" ht="21.75" customHeight="1">
      <c r="A33" s="143" t="s">
        <v>37</v>
      </c>
      <c r="B33" s="927">
        <v>61282</v>
      </c>
      <c r="D33" s="94" t="s">
        <v>370</v>
      </c>
      <c r="E33" s="140">
        <f>SUM(B33:B35,B37,B47)</f>
        <v>1134028</v>
      </c>
    </row>
    <row r="34" spans="1:5" ht="21.75" customHeight="1">
      <c r="A34" s="143" t="s">
        <v>171</v>
      </c>
      <c r="B34" s="927">
        <v>436781</v>
      </c>
      <c r="D34" s="94" t="s">
        <v>167</v>
      </c>
      <c r="E34" s="140">
        <f>SUM(B38:B39)</f>
        <v>21972</v>
      </c>
    </row>
    <row r="35" spans="1:5" ht="21.75" customHeight="1">
      <c r="A35" s="143" t="s">
        <v>38</v>
      </c>
      <c r="B35" s="927">
        <v>106</v>
      </c>
      <c r="D35" s="94" t="s">
        <v>199</v>
      </c>
      <c r="E35" s="140">
        <f>SUM(B43,B45:B46)</f>
        <v>7907</v>
      </c>
    </row>
    <row r="36" spans="1:5" ht="21.75" customHeight="1">
      <c r="A36" s="143" t="s">
        <v>141</v>
      </c>
      <c r="B36" s="927">
        <v>266</v>
      </c>
      <c r="D36" s="94" t="s">
        <v>122</v>
      </c>
      <c r="E36" s="140">
        <f>SUM(B44)</f>
        <v>1124</v>
      </c>
    </row>
    <row r="37" spans="1:5" ht="21.75" customHeight="1">
      <c r="A37" s="143" t="s">
        <v>172</v>
      </c>
      <c r="B37" s="927">
        <v>26</v>
      </c>
      <c r="D37" s="94" t="s">
        <v>123</v>
      </c>
      <c r="E37" s="140">
        <f>SUM(B48:B49)</f>
        <v>103</v>
      </c>
    </row>
    <row r="38" spans="1:5" ht="21.75" customHeight="1">
      <c r="A38" s="143" t="s">
        <v>173</v>
      </c>
      <c r="B38" s="927">
        <v>1066</v>
      </c>
      <c r="D38" s="461" t="s">
        <v>224</v>
      </c>
      <c r="E38" s="462">
        <f>SUM(B36,B40,B41,B42)</f>
        <v>343</v>
      </c>
    </row>
    <row r="39" spans="1:5" ht="21.75" customHeight="1">
      <c r="A39" s="143" t="s">
        <v>174</v>
      </c>
      <c r="B39" s="927">
        <v>20906</v>
      </c>
      <c r="D39" s="141" t="s">
        <v>146</v>
      </c>
      <c r="E39" s="142">
        <f>SUM(E33:E38)</f>
        <v>1165477</v>
      </c>
    </row>
    <row r="40" spans="1:5" ht="21.75" customHeight="1">
      <c r="A40" s="143" t="s">
        <v>47</v>
      </c>
      <c r="B40" s="927">
        <v>5</v>
      </c>
    </row>
    <row r="41" spans="1:5" ht="21.75" customHeight="1">
      <c r="A41" s="143" t="s">
        <v>168</v>
      </c>
      <c r="B41" s="927">
        <v>17</v>
      </c>
    </row>
    <row r="42" spans="1:5" ht="21.75" customHeight="1">
      <c r="A42" s="143" t="s">
        <v>140</v>
      </c>
      <c r="B42" s="927">
        <v>55</v>
      </c>
    </row>
    <row r="43" spans="1:5" ht="21.75" customHeight="1">
      <c r="A43" s="143" t="s">
        <v>40</v>
      </c>
      <c r="B43" s="927">
        <v>6822</v>
      </c>
    </row>
    <row r="44" spans="1:5" ht="21.75" customHeight="1">
      <c r="A44" s="143" t="s">
        <v>175</v>
      </c>
      <c r="B44" s="927">
        <v>1124</v>
      </c>
    </row>
    <row r="45" spans="1:5" ht="21.75" customHeight="1">
      <c r="A45" s="143" t="s">
        <v>176</v>
      </c>
      <c r="B45" s="927">
        <v>30</v>
      </c>
    </row>
    <row r="46" spans="1:5" ht="21.75" customHeight="1">
      <c r="A46" s="143" t="s">
        <v>177</v>
      </c>
      <c r="B46" s="927">
        <v>1055</v>
      </c>
    </row>
    <row r="47" spans="1:5" ht="21.75" customHeight="1">
      <c r="A47" s="143" t="s">
        <v>178</v>
      </c>
      <c r="B47" s="927">
        <v>635833</v>
      </c>
    </row>
    <row r="48" spans="1:5" ht="21.75" customHeight="1">
      <c r="A48" s="926" t="s">
        <v>142</v>
      </c>
      <c r="B48" s="927">
        <f>31+72</f>
        <v>103</v>
      </c>
      <c r="C48" s="7" t="s">
        <v>458</v>
      </c>
    </row>
    <row r="49" spans="1:9" ht="21.75" customHeight="1">
      <c r="A49" s="143" t="s">
        <v>143</v>
      </c>
      <c r="B49" s="176"/>
    </row>
    <row r="50" spans="1:9" ht="21.75" customHeight="1">
      <c r="A50" s="144" t="s">
        <v>179</v>
      </c>
      <c r="B50" s="759">
        <f>SUM(B33:B49)</f>
        <v>1165477</v>
      </c>
    </row>
    <row r="53" spans="1:9" ht="21.75" customHeight="1">
      <c r="A53" s="182" t="s">
        <v>211</v>
      </c>
      <c r="E53" s="7" t="s">
        <v>219</v>
      </c>
      <c r="H53" s="209" t="s">
        <v>220</v>
      </c>
    </row>
    <row r="54" spans="1:9" ht="21.75" customHeight="1" thickBot="1">
      <c r="A54" s="1312" t="s">
        <v>200</v>
      </c>
      <c r="B54" s="1313"/>
      <c r="C54" s="169" t="s">
        <v>201</v>
      </c>
      <c r="D54" s="181" t="s">
        <v>202</v>
      </c>
      <c r="E54" s="169" t="s">
        <v>203</v>
      </c>
      <c r="F54" s="181" t="s">
        <v>204</v>
      </c>
      <c r="G54" s="169"/>
      <c r="H54" s="210" t="s">
        <v>205</v>
      </c>
      <c r="I54" s="169"/>
    </row>
    <row r="55" spans="1:9" ht="21.75" customHeight="1" thickTop="1">
      <c r="A55" s="170" t="s">
        <v>206</v>
      </c>
      <c r="B55" s="171" t="str">
        <f>A3</f>
        <v xml:space="preserve">5월 </v>
      </c>
      <c r="C55" s="186">
        <f>총괄표!C23</f>
        <v>3105318</v>
      </c>
      <c r="D55" s="189">
        <f>총괄표!E23</f>
        <v>3009471</v>
      </c>
      <c r="E55" s="190">
        <f>D55/C55</f>
        <v>0.96913456206417503</v>
      </c>
      <c r="F55" s="219">
        <f>총괄표!G23</f>
        <v>2929799.6019673003</v>
      </c>
      <c r="G55" s="191">
        <f>D55/F55</f>
        <v>1.02719346332739</v>
      </c>
      <c r="H55" s="907">
        <v>4589383</v>
      </c>
      <c r="I55" s="187">
        <f>D55/H55</f>
        <v>0.65574631709752706</v>
      </c>
    </row>
    <row r="56" spans="1:9" ht="21.75" customHeight="1" thickBot="1">
      <c r="A56" s="172" t="s">
        <v>207</v>
      </c>
      <c r="B56" s="169" t="s">
        <v>208</v>
      </c>
      <c r="C56" s="184">
        <f>총괄표!J23</f>
        <v>27822263</v>
      </c>
      <c r="D56" s="192">
        <f>총괄표!L23</f>
        <v>28095425</v>
      </c>
      <c r="E56" s="193">
        <f>D56/C56</f>
        <v>1.0098181086132354</v>
      </c>
      <c r="F56" s="220">
        <f>총괄표!N23</f>
        <v>27392326.872866001</v>
      </c>
      <c r="G56" s="194">
        <f>D56/F56</f>
        <v>1.0256677036017143</v>
      </c>
      <c r="H56" s="908">
        <v>29675337</v>
      </c>
      <c r="I56" s="185"/>
    </row>
    <row r="57" spans="1:9" ht="21.75" customHeight="1" thickTop="1">
      <c r="A57" s="170" t="s">
        <v>209</v>
      </c>
      <c r="B57" s="171" t="str">
        <f>B55</f>
        <v xml:space="preserve">5월 </v>
      </c>
      <c r="C57" s="221">
        <f>총괄표!C47</f>
        <v>70782710</v>
      </c>
      <c r="D57" s="222">
        <f>총괄표!D47</f>
        <v>68024790</v>
      </c>
      <c r="E57" s="223">
        <f>D57/C57</f>
        <v>0.9610368125210238</v>
      </c>
      <c r="F57" s="224">
        <f>총괄표!F47</f>
        <v>62726470</v>
      </c>
      <c r="G57" s="191">
        <f>D57/F57</f>
        <v>1.0844670519479256</v>
      </c>
      <c r="H57" s="909">
        <v>99962433</v>
      </c>
      <c r="I57" s="187">
        <f>D57/H57</f>
        <v>0.68050354476666253</v>
      </c>
    </row>
    <row r="58" spans="1:9" ht="21.75" customHeight="1">
      <c r="A58" s="173" t="s">
        <v>210</v>
      </c>
      <c r="B58" s="174" t="s">
        <v>208</v>
      </c>
      <c r="C58" s="225">
        <f>총괄표!J47</f>
        <v>618630481.7650001</v>
      </c>
      <c r="D58" s="226">
        <f>총괄표!K47</f>
        <v>619699244</v>
      </c>
      <c r="E58" s="227">
        <f>D58/C58</f>
        <v>1.0017276262106429</v>
      </c>
      <c r="F58" s="228">
        <f>총괄표!M47</f>
        <v>573131960.87699997</v>
      </c>
      <c r="G58" s="229">
        <f>D58/F58</f>
        <v>1.0812505431589321</v>
      </c>
      <c r="H58" s="910">
        <v>651636887</v>
      </c>
      <c r="I58" s="230"/>
    </row>
  </sheetData>
  <mergeCells count="5">
    <mergeCell ref="C18:D18"/>
    <mergeCell ref="A18:B18"/>
    <mergeCell ref="C3:D3"/>
    <mergeCell ref="A3:B3"/>
    <mergeCell ref="A54:B54"/>
  </mergeCells>
  <phoneticPr fontId="34" type="noConversion"/>
  <printOptions horizontalCentered="1"/>
  <pageMargins left="0.27559055118110237" right="0.31496062992125984" top="1.0629921259842521" bottom="0.15748031496062992" header="0" footer="0.19685039370078741"/>
  <pageSetup paperSize="8" scale="71" orientation="portrait" r:id="rId1"/>
  <headerFooter alignWithMargins="0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AA139"/>
  <sheetViews>
    <sheetView topLeftCell="A19" workbookViewId="0">
      <selection activeCell="E16" sqref="E16"/>
    </sheetView>
  </sheetViews>
  <sheetFormatPr defaultRowHeight="13.5"/>
  <cols>
    <col min="1" max="1" width="14.5546875" style="455" customWidth="1"/>
    <col min="2" max="3" width="8.88671875" style="455"/>
    <col min="4" max="4" width="19.6640625" style="455" bestFit="1" customWidth="1"/>
    <col min="5" max="5" width="8.88671875" style="455"/>
    <col min="6" max="6" width="16.33203125" style="456" bestFit="1" customWidth="1"/>
    <col min="7" max="7" width="19.109375" style="456" bestFit="1" customWidth="1"/>
    <col min="8" max="8" width="17.44140625" style="455" bestFit="1" customWidth="1"/>
    <col min="9" max="9" width="13.5546875" style="455" bestFit="1" customWidth="1"/>
    <col min="10" max="10" width="11.77734375" style="455" bestFit="1" customWidth="1"/>
    <col min="11" max="11" width="10.6640625" style="455" bestFit="1" customWidth="1"/>
    <col min="12" max="12" width="17.44140625" style="455" bestFit="1" customWidth="1"/>
    <col min="13" max="13" width="13.5546875" style="455" bestFit="1" customWidth="1"/>
    <col min="14" max="14" width="14.6640625" style="455" bestFit="1" customWidth="1"/>
    <col min="15" max="16" width="6.33203125" style="455" bestFit="1" customWidth="1"/>
    <col min="17" max="18" width="10.44140625" style="455" bestFit="1" customWidth="1"/>
    <col min="19" max="19" width="14.77734375" style="455" bestFit="1" customWidth="1"/>
    <col min="20" max="20" width="8.88671875" style="455"/>
    <col min="21" max="21" width="13.109375" style="455" bestFit="1" customWidth="1"/>
    <col min="22" max="22" width="15.6640625" style="455" bestFit="1" customWidth="1"/>
    <col min="23" max="23" width="11" style="455" customWidth="1"/>
    <col min="24" max="24" width="11.44140625" style="455" bestFit="1" customWidth="1"/>
    <col min="25" max="25" width="12.44140625" style="457" bestFit="1" customWidth="1"/>
    <col min="26" max="26" width="12.77734375" style="455" bestFit="1" customWidth="1"/>
    <col min="27" max="16384" width="8.88671875" style="455"/>
  </cols>
  <sheetData>
    <row r="2" spans="1:27">
      <c r="A2" s="455" t="s">
        <v>269</v>
      </c>
    </row>
    <row r="4" spans="1:27" ht="16.5">
      <c r="A4" s="455" t="s">
        <v>270</v>
      </c>
      <c r="B4" s="621">
        <v>45413</v>
      </c>
      <c r="U4" s="455" t="s">
        <v>328</v>
      </c>
    </row>
    <row r="5" spans="1:27">
      <c r="A5" s="455" t="s">
        <v>271</v>
      </c>
      <c r="B5" s="455" t="s">
        <v>272</v>
      </c>
      <c r="C5" s="455" t="s">
        <v>273</v>
      </c>
      <c r="D5" s="455" t="s">
        <v>274</v>
      </c>
      <c r="E5" s="455" t="s">
        <v>0</v>
      </c>
      <c r="F5" s="456" t="s">
        <v>275</v>
      </c>
      <c r="G5" s="456" t="s">
        <v>276</v>
      </c>
      <c r="H5" s="455" t="s">
        <v>277</v>
      </c>
      <c r="I5" s="455" t="s">
        <v>12</v>
      </c>
      <c r="J5" s="455" t="s">
        <v>278</v>
      </c>
      <c r="K5" s="455" t="s">
        <v>279</v>
      </c>
      <c r="L5" s="455" t="s">
        <v>280</v>
      </c>
      <c r="M5" s="455" t="s">
        <v>29</v>
      </c>
      <c r="N5" s="455" t="s">
        <v>281</v>
      </c>
      <c r="O5" s="455" t="s">
        <v>282</v>
      </c>
      <c r="P5" s="455" t="s">
        <v>283</v>
      </c>
      <c r="Q5" s="455" t="s">
        <v>284</v>
      </c>
      <c r="R5" s="455" t="s">
        <v>285</v>
      </c>
      <c r="S5" s="455" t="s">
        <v>286</v>
      </c>
      <c r="U5" s="455" t="s">
        <v>273</v>
      </c>
      <c r="V5" s="455" t="s">
        <v>327</v>
      </c>
      <c r="W5" s="455" t="s">
        <v>342</v>
      </c>
      <c r="X5" s="455" t="s">
        <v>329</v>
      </c>
    </row>
    <row r="6" spans="1:27" ht="16.5">
      <c r="A6" s="626">
        <v>43654</v>
      </c>
      <c r="B6" s="625" t="s">
        <v>287</v>
      </c>
      <c r="C6" s="625" t="s">
        <v>171</v>
      </c>
      <c r="D6" s="625" t="s">
        <v>289</v>
      </c>
      <c r="E6" s="625">
        <v>16.936699999999998</v>
      </c>
      <c r="F6" s="630">
        <v>7.8100000000000003E-2</v>
      </c>
      <c r="G6" s="630">
        <v>3.3403</v>
      </c>
      <c r="H6" s="625">
        <v>56.57</v>
      </c>
      <c r="I6" s="625">
        <v>900</v>
      </c>
      <c r="J6" s="625"/>
      <c r="K6" s="625"/>
      <c r="L6" s="625">
        <v>56.57</v>
      </c>
      <c r="M6" s="625"/>
      <c r="N6" s="625"/>
      <c r="O6" s="625"/>
      <c r="P6" s="625"/>
      <c r="Q6" s="625"/>
      <c r="R6" s="625">
        <v>0</v>
      </c>
      <c r="S6" s="625"/>
      <c r="U6" s="455" t="s">
        <v>37</v>
      </c>
      <c r="V6" s="455" t="s">
        <v>28</v>
      </c>
      <c r="W6" s="455">
        <f>COUNTIFS($B:$B,$U$4,$C:$C,U6)</f>
        <v>3</v>
      </c>
      <c r="X6" s="457">
        <f t="array" ref="X6">MAX(IF($D:$D=V6,$A:$A))</f>
        <v>45139</v>
      </c>
      <c r="AA6" s="456"/>
    </row>
    <row r="7" spans="1:27" ht="16.5">
      <c r="A7" s="626">
        <v>44013</v>
      </c>
      <c r="B7" s="625" t="s">
        <v>287</v>
      </c>
      <c r="C7" s="625" t="s">
        <v>171</v>
      </c>
      <c r="D7" s="625" t="s">
        <v>289</v>
      </c>
      <c r="E7" s="625">
        <v>15.1523</v>
      </c>
      <c r="F7" s="630">
        <v>2.4291</v>
      </c>
      <c r="G7" s="630">
        <v>103.8789</v>
      </c>
      <c r="H7" s="627">
        <v>1574</v>
      </c>
      <c r="I7" s="625">
        <v>900</v>
      </c>
      <c r="J7" s="625"/>
      <c r="K7" s="625"/>
      <c r="L7" s="627">
        <v>1574</v>
      </c>
      <c r="M7" s="625"/>
      <c r="N7" s="625"/>
      <c r="O7" s="625"/>
      <c r="P7" s="625"/>
      <c r="Q7" s="625"/>
      <c r="R7" s="625">
        <v>0</v>
      </c>
      <c r="S7" s="625"/>
      <c r="U7" s="455" t="s">
        <v>178</v>
      </c>
      <c r="V7" s="455" t="s">
        <v>326</v>
      </c>
      <c r="W7" s="455">
        <f t="shared" ref="W7:W17" si="0">COUNTIFS($B:$B,$U$4,$C:$C,U7)</f>
        <v>7</v>
      </c>
      <c r="X7" s="457">
        <f t="array" ref="X7">MAX(IF($D:$D=V7,$A:$A))</f>
        <v>45139</v>
      </c>
    </row>
    <row r="8" spans="1:27" ht="16.5">
      <c r="A8" s="626">
        <v>44378</v>
      </c>
      <c r="B8" s="625" t="s">
        <v>287</v>
      </c>
      <c r="C8" s="625" t="s">
        <v>178</v>
      </c>
      <c r="D8" s="625" t="s">
        <v>288</v>
      </c>
      <c r="E8" s="625">
        <v>15.139200000000001</v>
      </c>
      <c r="F8" s="630">
        <v>3.8915000000000002</v>
      </c>
      <c r="G8" s="630">
        <v>166.6285</v>
      </c>
      <c r="H8" s="627">
        <v>2522.61</v>
      </c>
      <c r="I8" s="628">
        <v>1800</v>
      </c>
      <c r="J8" s="625"/>
      <c r="K8" s="625"/>
      <c r="L8" s="627">
        <v>2522.61</v>
      </c>
      <c r="M8" s="625"/>
      <c r="N8" s="625"/>
      <c r="O8" s="625"/>
      <c r="P8" s="625"/>
      <c r="Q8" s="625"/>
      <c r="R8" s="625">
        <v>0</v>
      </c>
      <c r="S8" s="625"/>
      <c r="U8" s="455" t="s">
        <v>171</v>
      </c>
      <c r="V8" s="455" t="s">
        <v>326</v>
      </c>
      <c r="W8" s="455">
        <f t="shared" si="0"/>
        <v>13</v>
      </c>
      <c r="X8" s="457">
        <f t="array" ref="X8">MAX(IF($D:$D=V8,$A:$A))</f>
        <v>45139</v>
      </c>
    </row>
    <row r="9" spans="1:27" ht="16.5">
      <c r="A9" s="626">
        <v>44378</v>
      </c>
      <c r="B9" s="625" t="s">
        <v>287</v>
      </c>
      <c r="C9" s="625" t="s">
        <v>171</v>
      </c>
      <c r="D9" s="625" t="s">
        <v>289</v>
      </c>
      <c r="E9" s="625">
        <v>15.139200000000001</v>
      </c>
      <c r="F9" s="630">
        <v>2.4037999999999999</v>
      </c>
      <c r="G9" s="630">
        <v>102.7997</v>
      </c>
      <c r="H9" s="627">
        <v>1556.29</v>
      </c>
      <c r="I9" s="625"/>
      <c r="J9" s="625"/>
      <c r="K9" s="625"/>
      <c r="L9" s="627">
        <v>1556.29</v>
      </c>
      <c r="M9" s="625"/>
      <c r="N9" s="625"/>
      <c r="O9" s="625"/>
      <c r="P9" s="625"/>
      <c r="Q9" s="625"/>
      <c r="R9" s="625">
        <v>0</v>
      </c>
      <c r="S9" s="625"/>
      <c r="U9" s="455" t="s">
        <v>171</v>
      </c>
      <c r="V9" s="455" t="s">
        <v>289</v>
      </c>
      <c r="W9" s="455">
        <f t="shared" si="0"/>
        <v>13</v>
      </c>
      <c r="X9" s="457">
        <f t="array" ref="X9">MAX(IF($D:$D=V9,$A:$A))</f>
        <v>45139</v>
      </c>
    </row>
    <row r="10" spans="1:27" ht="16.5">
      <c r="A10" s="626">
        <v>44652</v>
      </c>
      <c r="B10" s="625" t="s">
        <v>287</v>
      </c>
      <c r="C10" s="625" t="s">
        <v>178</v>
      </c>
      <c r="D10" s="625" t="s">
        <v>288</v>
      </c>
      <c r="E10" s="625">
        <v>15.5692</v>
      </c>
      <c r="F10" s="630">
        <v>0.71340000000000003</v>
      </c>
      <c r="G10" s="630">
        <v>30.5486</v>
      </c>
      <c r="H10" s="625">
        <v>475.6</v>
      </c>
      <c r="I10" s="625"/>
      <c r="J10" s="625"/>
      <c r="K10" s="625"/>
      <c r="L10" s="625">
        <v>475.6</v>
      </c>
      <c r="M10" s="625"/>
      <c r="N10" s="625"/>
      <c r="O10" s="625"/>
      <c r="P10" s="625"/>
      <c r="Q10" s="625"/>
      <c r="R10" s="625">
        <v>0</v>
      </c>
      <c r="S10" s="625"/>
      <c r="U10" s="455" t="s">
        <v>174</v>
      </c>
      <c r="V10" s="455" t="s">
        <v>290</v>
      </c>
      <c r="W10" s="455">
        <f t="shared" si="0"/>
        <v>3</v>
      </c>
      <c r="X10" s="457">
        <f t="array" ref="X10">MAX(IF($D:$D=V10,$A:$A))</f>
        <v>45139</v>
      </c>
    </row>
    <row r="11" spans="1:27" ht="16.5">
      <c r="A11" s="626">
        <v>44652</v>
      </c>
      <c r="B11" s="625" t="s">
        <v>287</v>
      </c>
      <c r="C11" s="625" t="s">
        <v>171</v>
      </c>
      <c r="D11" s="625" t="s">
        <v>289</v>
      </c>
      <c r="E11" s="625">
        <v>15.5692</v>
      </c>
      <c r="F11" s="630">
        <v>0.26319999999999999</v>
      </c>
      <c r="G11" s="630">
        <v>11.2554</v>
      </c>
      <c r="H11" s="625">
        <v>175.23</v>
      </c>
      <c r="I11" s="625"/>
      <c r="J11" s="625"/>
      <c r="K11" s="625"/>
      <c r="L11" s="625">
        <v>175.23</v>
      </c>
      <c r="M11" s="625"/>
      <c r="N11" s="625"/>
      <c r="O11" s="625"/>
      <c r="P11" s="625"/>
      <c r="Q11" s="625"/>
      <c r="R11" s="625">
        <v>0</v>
      </c>
      <c r="S11" s="625"/>
      <c r="U11" s="455" t="s">
        <v>174</v>
      </c>
      <c r="V11" s="455" t="s">
        <v>291</v>
      </c>
      <c r="W11" s="455">
        <f t="shared" si="0"/>
        <v>3</v>
      </c>
      <c r="X11" s="457">
        <f t="array" ref="X11">MAX(IF($D:$D=V11,$A:$A))</f>
        <v>45139</v>
      </c>
      <c r="Y11" s="502" t="s">
        <v>362</v>
      </c>
    </row>
    <row r="12" spans="1:27" ht="16.5">
      <c r="A12" s="626">
        <v>44682</v>
      </c>
      <c r="B12" s="625" t="s">
        <v>287</v>
      </c>
      <c r="C12" s="625" t="s">
        <v>178</v>
      </c>
      <c r="D12" s="625" t="s">
        <v>288</v>
      </c>
      <c r="E12" s="625">
        <v>16.7959</v>
      </c>
      <c r="F12" s="630">
        <v>1.4505999999999999</v>
      </c>
      <c r="G12" s="630">
        <v>62.115499999999997</v>
      </c>
      <c r="H12" s="627">
        <v>1043.27</v>
      </c>
      <c r="I12" s="625"/>
      <c r="J12" s="625"/>
      <c r="K12" s="625"/>
      <c r="L12" s="627">
        <v>1043.27</v>
      </c>
      <c r="M12" s="625"/>
      <c r="N12" s="625"/>
      <c r="O12" s="625"/>
      <c r="P12" s="625"/>
      <c r="Q12" s="625"/>
      <c r="R12" s="625">
        <v>0</v>
      </c>
      <c r="S12" s="625"/>
      <c r="U12" s="455" t="s">
        <v>174</v>
      </c>
      <c r="V12" s="455" t="s">
        <v>294</v>
      </c>
      <c r="W12" s="455">
        <f t="shared" si="0"/>
        <v>3</v>
      </c>
      <c r="X12" s="457">
        <f t="array" ref="X12">MAX(IF($D:$D=V12,$A:$A))</f>
        <v>45139</v>
      </c>
    </row>
    <row r="13" spans="1:27" ht="16.5">
      <c r="A13" s="626">
        <v>44682</v>
      </c>
      <c r="B13" s="625" t="s">
        <v>287</v>
      </c>
      <c r="C13" s="625" t="s">
        <v>171</v>
      </c>
      <c r="D13" s="625" t="s">
        <v>289</v>
      </c>
      <c r="E13" s="625">
        <v>16.7959</v>
      </c>
      <c r="F13" s="630">
        <v>0.53520000000000001</v>
      </c>
      <c r="G13" s="630">
        <v>22.886099999999999</v>
      </c>
      <c r="H13" s="625">
        <v>384.38</v>
      </c>
      <c r="I13" s="625"/>
      <c r="J13" s="625"/>
      <c r="K13" s="625"/>
      <c r="L13" s="625">
        <v>384.38</v>
      </c>
      <c r="M13" s="625"/>
      <c r="N13" s="625"/>
      <c r="O13" s="625"/>
      <c r="P13" s="625"/>
      <c r="Q13" s="625"/>
      <c r="R13" s="625">
        <v>0</v>
      </c>
      <c r="S13" s="625"/>
      <c r="U13" s="455" t="s">
        <v>141</v>
      </c>
      <c r="V13" s="455" t="s">
        <v>141</v>
      </c>
      <c r="W13" s="455">
        <f t="shared" si="0"/>
        <v>1</v>
      </c>
      <c r="X13" s="457">
        <f t="array" ref="X13">MAX(IF($D:$D=V13,$A:$A))</f>
        <v>45352</v>
      </c>
    </row>
    <row r="14" spans="1:27" ht="16.5">
      <c r="A14" s="626">
        <v>44743</v>
      </c>
      <c r="B14" s="625" t="s">
        <v>287</v>
      </c>
      <c r="C14" s="625" t="s">
        <v>178</v>
      </c>
      <c r="D14" s="625" t="s">
        <v>288</v>
      </c>
      <c r="E14" s="625">
        <v>17.954699999999999</v>
      </c>
      <c r="F14" s="630">
        <v>2.1878000000000002</v>
      </c>
      <c r="G14" s="630">
        <v>93.682400000000001</v>
      </c>
      <c r="H14" s="627">
        <v>1682.03</v>
      </c>
      <c r="I14" s="625"/>
      <c r="J14" s="625"/>
      <c r="K14" s="625"/>
      <c r="L14" s="627">
        <v>1682.03</v>
      </c>
      <c r="M14" s="625"/>
      <c r="N14" s="625"/>
      <c r="O14" s="625"/>
      <c r="P14" s="625"/>
      <c r="Q14" s="625"/>
      <c r="R14" s="625">
        <v>0</v>
      </c>
      <c r="S14" s="625"/>
      <c r="U14" s="455" t="s">
        <v>40</v>
      </c>
      <c r="V14" s="455" t="s">
        <v>292</v>
      </c>
      <c r="W14" s="455">
        <f t="shared" si="0"/>
        <v>5</v>
      </c>
      <c r="X14" s="457">
        <f t="array" ref="X14">MAX(IF($D:$D=V14,$A:$A))</f>
        <v>45444</v>
      </c>
    </row>
    <row r="15" spans="1:27" ht="16.5">
      <c r="A15" s="626">
        <v>44743</v>
      </c>
      <c r="B15" s="625" t="s">
        <v>287</v>
      </c>
      <c r="C15" s="625" t="s">
        <v>171</v>
      </c>
      <c r="D15" s="625" t="s">
        <v>289</v>
      </c>
      <c r="E15" s="625">
        <v>17.954699999999999</v>
      </c>
      <c r="F15" s="630">
        <v>0.80710000000000004</v>
      </c>
      <c r="G15" s="630">
        <v>34.5167</v>
      </c>
      <c r="H15" s="625">
        <v>619.72</v>
      </c>
      <c r="I15" s="625"/>
      <c r="J15" s="625"/>
      <c r="K15" s="625"/>
      <c r="L15" s="625">
        <v>619.72</v>
      </c>
      <c r="M15" s="625"/>
      <c r="N15" s="625"/>
      <c r="O15" s="625"/>
      <c r="P15" s="625"/>
      <c r="Q15" s="625"/>
      <c r="R15" s="625">
        <v>0</v>
      </c>
      <c r="S15" s="625"/>
      <c r="U15" s="455" t="s">
        <v>38</v>
      </c>
      <c r="V15" s="455" t="s">
        <v>293</v>
      </c>
      <c r="W15" s="455">
        <f t="shared" si="0"/>
        <v>1</v>
      </c>
      <c r="X15" s="457">
        <f t="array" ref="X15">MAX(IF($D:$D=V15,$A:$A))</f>
        <v>45139</v>
      </c>
    </row>
    <row r="16" spans="1:27" ht="16.5">
      <c r="A16" s="626">
        <v>44835</v>
      </c>
      <c r="B16" s="625" t="s">
        <v>287</v>
      </c>
      <c r="C16" s="625" t="s">
        <v>37</v>
      </c>
      <c r="D16" s="625" t="s">
        <v>37</v>
      </c>
      <c r="E16" s="625">
        <v>20.654699999999998</v>
      </c>
      <c r="F16" s="630">
        <v>5.9035000000000002</v>
      </c>
      <c r="G16" s="630">
        <v>252.61160000000001</v>
      </c>
      <c r="H16" s="627">
        <v>5217.58</v>
      </c>
      <c r="I16" s="628">
        <v>8940</v>
      </c>
      <c r="J16" s="628">
        <v>1160</v>
      </c>
      <c r="K16" s="625"/>
      <c r="L16" s="627">
        <v>5217.58</v>
      </c>
      <c r="M16" s="625"/>
      <c r="N16" s="625"/>
      <c r="O16" s="625"/>
      <c r="P16" s="625"/>
      <c r="Q16" s="625"/>
      <c r="R16" s="625">
        <v>0</v>
      </c>
      <c r="S16" s="625"/>
      <c r="U16" s="455" t="s">
        <v>173</v>
      </c>
      <c r="V16" s="455" t="s">
        <v>343</v>
      </c>
      <c r="W16" s="455">
        <f t="shared" si="0"/>
        <v>2</v>
      </c>
      <c r="X16" s="457">
        <f t="array" ref="X16">MAX(IF($D:$D=V16,$A:$A))</f>
        <v>0</v>
      </c>
    </row>
    <row r="17" spans="1:24" ht="16.5">
      <c r="A17" s="626">
        <v>44835</v>
      </c>
      <c r="B17" s="625" t="s">
        <v>287</v>
      </c>
      <c r="C17" s="625" t="s">
        <v>178</v>
      </c>
      <c r="D17" s="625" t="s">
        <v>288</v>
      </c>
      <c r="E17" s="625">
        <v>20.654699999999998</v>
      </c>
      <c r="F17" s="630">
        <v>24.200900000000001</v>
      </c>
      <c r="G17" s="630">
        <v>1034.3155999999999</v>
      </c>
      <c r="H17" s="627">
        <v>21363.45</v>
      </c>
      <c r="I17" s="628">
        <v>2700</v>
      </c>
      <c r="J17" s="625">
        <v>580</v>
      </c>
      <c r="K17" s="625"/>
      <c r="L17" s="627">
        <v>21363.45</v>
      </c>
      <c r="M17" s="625"/>
      <c r="N17" s="625"/>
      <c r="O17" s="625"/>
      <c r="P17" s="625"/>
      <c r="Q17" s="625"/>
      <c r="R17" s="625">
        <v>0</v>
      </c>
      <c r="U17" s="455" t="s">
        <v>173</v>
      </c>
      <c r="V17" s="455" t="s">
        <v>295</v>
      </c>
      <c r="W17" s="455">
        <f t="shared" si="0"/>
        <v>2</v>
      </c>
      <c r="X17" s="457">
        <f t="array" ref="X17">MAX(IF($D:$D=V17,$A:$A))</f>
        <v>45139</v>
      </c>
    </row>
    <row r="18" spans="1:24" ht="16.5">
      <c r="A18" s="626">
        <v>44835</v>
      </c>
      <c r="B18" s="625" t="s">
        <v>287</v>
      </c>
      <c r="C18" s="625" t="s">
        <v>171</v>
      </c>
      <c r="D18" s="625" t="s">
        <v>289</v>
      </c>
      <c r="E18" s="625">
        <v>20.654699999999998</v>
      </c>
      <c r="F18" s="630">
        <v>15.146000000000001</v>
      </c>
      <c r="G18" s="630">
        <v>647.48680000000002</v>
      </c>
      <c r="H18" s="627">
        <v>13373.59</v>
      </c>
      <c r="I18" s="628">
        <v>6300</v>
      </c>
      <c r="J18" s="625"/>
      <c r="K18" s="625"/>
      <c r="L18" s="627">
        <v>13373.59</v>
      </c>
      <c r="M18" s="625"/>
      <c r="N18" s="625"/>
      <c r="O18" s="625"/>
      <c r="P18" s="625"/>
      <c r="Q18" s="625"/>
      <c r="R18" s="625">
        <v>0</v>
      </c>
      <c r="U18" s="455" t="s">
        <v>173</v>
      </c>
      <c r="V18" s="455" t="s">
        <v>336</v>
      </c>
      <c r="W18" s="455">
        <f t="shared" ref="W18" si="1">COUNTIFS($B:$B,$U$4,$C:$C,U18)</f>
        <v>2</v>
      </c>
      <c r="X18" s="457">
        <f t="array" ref="X18">MAX(IF($D:$D=V18,$A:$A))</f>
        <v>45139</v>
      </c>
    </row>
    <row r="19" spans="1:24" ht="16.5">
      <c r="A19" s="626">
        <v>44835</v>
      </c>
      <c r="B19" s="625" t="s">
        <v>287</v>
      </c>
      <c r="C19" s="625" t="s">
        <v>171</v>
      </c>
      <c r="D19" s="625" t="s">
        <v>288</v>
      </c>
      <c r="E19" s="625">
        <v>20.654699999999998</v>
      </c>
      <c r="F19" s="630">
        <v>76.332999999999998</v>
      </c>
      <c r="G19" s="630">
        <v>3264.5569</v>
      </c>
      <c r="H19" s="627">
        <v>67428.42</v>
      </c>
      <c r="I19" s="625"/>
      <c r="J19" s="625"/>
      <c r="K19" s="625"/>
      <c r="L19" s="627">
        <v>67428.42</v>
      </c>
      <c r="M19" s="625"/>
      <c r="N19" s="625"/>
      <c r="O19" s="625"/>
      <c r="P19" s="625"/>
      <c r="Q19" s="625"/>
      <c r="R19" s="625">
        <v>0</v>
      </c>
      <c r="U19" s="455" t="s">
        <v>172</v>
      </c>
      <c r="V19" s="455" t="s">
        <v>172</v>
      </c>
      <c r="W19" s="455">
        <f t="shared" ref="W19:W31" si="2">COUNTIFS($B:$B,$U$4,$C:$C,U19)</f>
        <v>1</v>
      </c>
      <c r="X19" s="457">
        <f t="array" ref="X19">MAX(IF($D:$D=V19,$A:$A))</f>
        <v>45139</v>
      </c>
    </row>
    <row r="20" spans="1:24" ht="16.5">
      <c r="A20" s="626">
        <v>45062</v>
      </c>
      <c r="B20" s="625" t="s">
        <v>287</v>
      </c>
      <c r="C20" s="625" t="s">
        <v>37</v>
      </c>
      <c r="D20" s="625" t="s">
        <v>37</v>
      </c>
      <c r="E20" s="625">
        <v>21.699100000000001</v>
      </c>
      <c r="F20" s="630">
        <v>8.8399000000000001</v>
      </c>
      <c r="G20" s="630">
        <v>377.54790000000003</v>
      </c>
      <c r="H20" s="627">
        <v>8192.39</v>
      </c>
      <c r="I20" s="628">
        <v>8350</v>
      </c>
      <c r="J20" s="628">
        <v>1160</v>
      </c>
      <c r="K20" s="625"/>
      <c r="L20" s="627">
        <v>8192.39</v>
      </c>
      <c r="M20" s="625"/>
      <c r="N20" s="625"/>
      <c r="O20" s="625"/>
      <c r="P20" s="625"/>
      <c r="Q20" s="625"/>
      <c r="R20" s="625">
        <v>0</v>
      </c>
      <c r="U20" s="455" t="s">
        <v>175</v>
      </c>
      <c r="V20" s="455" t="s">
        <v>344</v>
      </c>
      <c r="W20" s="455">
        <f t="shared" si="2"/>
        <v>2</v>
      </c>
      <c r="X20" s="457">
        <f t="array" ref="X20">MAX(IF($D:$D=V20,$A:$A))</f>
        <v>0</v>
      </c>
    </row>
    <row r="21" spans="1:24" ht="16.5">
      <c r="A21" s="626">
        <v>45062</v>
      </c>
      <c r="B21" s="625" t="s">
        <v>287</v>
      </c>
      <c r="C21" s="625" t="s">
        <v>178</v>
      </c>
      <c r="D21" s="625" t="s">
        <v>288</v>
      </c>
      <c r="E21" s="625">
        <v>21.699100000000001</v>
      </c>
      <c r="F21" s="630">
        <v>23.057700000000001</v>
      </c>
      <c r="G21" s="630">
        <v>985.01499999999999</v>
      </c>
      <c r="H21" s="627">
        <v>21373.9</v>
      </c>
      <c r="I21" s="625"/>
      <c r="J21" s="625"/>
      <c r="K21" s="625"/>
      <c r="L21" s="627">
        <v>21373.9</v>
      </c>
      <c r="M21" s="625"/>
      <c r="N21" s="625"/>
      <c r="O21" s="625"/>
      <c r="P21" s="625"/>
      <c r="Q21" s="625"/>
      <c r="R21" s="625">
        <v>0</v>
      </c>
      <c r="U21" s="455" t="s">
        <v>175</v>
      </c>
      <c r="V21" s="455" t="s">
        <v>339</v>
      </c>
      <c r="W21" s="455">
        <f t="shared" si="2"/>
        <v>2</v>
      </c>
      <c r="X21" s="457">
        <f t="array" ref="X21">MAX(IF($D:$D=V21,$A:$A))</f>
        <v>45413</v>
      </c>
    </row>
    <row r="22" spans="1:24" ht="16.5">
      <c r="A22" s="626">
        <v>45062</v>
      </c>
      <c r="B22" s="625" t="s">
        <v>287</v>
      </c>
      <c r="C22" s="625" t="s">
        <v>171</v>
      </c>
      <c r="D22" s="625" t="s">
        <v>289</v>
      </c>
      <c r="E22" s="625">
        <v>21.699100000000001</v>
      </c>
      <c r="F22" s="630">
        <v>13.9899</v>
      </c>
      <c r="G22" s="630">
        <v>597.68589999999995</v>
      </c>
      <c r="H22" s="627">
        <v>12969.19</v>
      </c>
      <c r="I22" s="628">
        <v>2700</v>
      </c>
      <c r="J22" s="625"/>
      <c r="K22" s="625"/>
      <c r="L22" s="627">
        <v>12969.19</v>
      </c>
      <c r="M22" s="625"/>
      <c r="N22" s="625"/>
      <c r="O22" s="625"/>
      <c r="P22" s="625"/>
      <c r="Q22" s="625"/>
      <c r="R22" s="625">
        <v>0</v>
      </c>
      <c r="U22" s="455" t="s">
        <v>175</v>
      </c>
      <c r="V22" s="455" t="s">
        <v>377</v>
      </c>
      <c r="W22" s="455">
        <f t="shared" si="2"/>
        <v>2</v>
      </c>
      <c r="X22" s="457">
        <f t="array" ref="X22">MAX(IF($D:$D=V22,$A:$A))</f>
        <v>45444</v>
      </c>
    </row>
    <row r="23" spans="1:24" ht="16.5">
      <c r="A23" s="626">
        <v>45062</v>
      </c>
      <c r="B23" s="625" t="s">
        <v>287</v>
      </c>
      <c r="C23" s="625" t="s">
        <v>171</v>
      </c>
      <c r="D23" s="625" t="s">
        <v>288</v>
      </c>
      <c r="E23" s="625">
        <v>21.699100000000001</v>
      </c>
      <c r="F23" s="630">
        <v>49.760800000000003</v>
      </c>
      <c r="G23" s="630">
        <v>2127.2721000000001</v>
      </c>
      <c r="H23" s="627">
        <v>46159.87</v>
      </c>
      <c r="I23" s="625"/>
      <c r="J23" s="625"/>
      <c r="K23" s="625"/>
      <c r="L23" s="627">
        <v>46159.87</v>
      </c>
      <c r="M23" s="625"/>
      <c r="N23" s="625"/>
      <c r="O23" s="625"/>
      <c r="P23" s="625"/>
      <c r="Q23" s="625"/>
      <c r="R23" s="625">
        <v>0</v>
      </c>
      <c r="U23" s="455" t="s">
        <v>177</v>
      </c>
      <c r="V23" s="455" t="s">
        <v>348</v>
      </c>
      <c r="W23" s="455">
        <f t="shared" si="2"/>
        <v>3</v>
      </c>
      <c r="X23" s="457">
        <f t="array" ref="X23">MAX(IF($D:$D=V23,$A:$A))</f>
        <v>0</v>
      </c>
    </row>
    <row r="24" spans="1:24" ht="16.5">
      <c r="A24" s="626">
        <v>45139</v>
      </c>
      <c r="B24" s="625" t="s">
        <v>287</v>
      </c>
      <c r="C24" s="625" t="s">
        <v>37</v>
      </c>
      <c r="D24" s="625" t="s">
        <v>37</v>
      </c>
      <c r="E24" s="625">
        <v>21.847200000000001</v>
      </c>
      <c r="F24" s="630">
        <v>480547.54920000001</v>
      </c>
      <c r="G24" s="630">
        <v>20505702.9976</v>
      </c>
      <c r="H24" s="627">
        <v>447931939.02999997</v>
      </c>
      <c r="I24" s="628">
        <v>92691770</v>
      </c>
      <c r="J24" s="628">
        <v>17135370</v>
      </c>
      <c r="K24" s="625"/>
      <c r="L24" s="627">
        <v>447964044.02999997</v>
      </c>
      <c r="M24" s="627">
        <v>32105</v>
      </c>
      <c r="N24" s="625"/>
      <c r="O24" s="625"/>
      <c r="P24" s="625"/>
      <c r="Q24" s="625"/>
      <c r="R24" s="625">
        <v>0</v>
      </c>
      <c r="U24" s="455" t="s">
        <v>177</v>
      </c>
      <c r="V24" s="455" t="s">
        <v>340</v>
      </c>
      <c r="W24" s="455">
        <f t="shared" si="2"/>
        <v>3</v>
      </c>
      <c r="X24" s="457">
        <f t="array" ref="X24">MAX(IF($D:$D=V24,$A:$A))</f>
        <v>0</v>
      </c>
    </row>
    <row r="25" spans="1:24" ht="16.5">
      <c r="A25" s="626">
        <v>45139</v>
      </c>
      <c r="B25" s="625" t="s">
        <v>287</v>
      </c>
      <c r="C25" s="625" t="s">
        <v>178</v>
      </c>
      <c r="D25" s="625" t="s">
        <v>288</v>
      </c>
      <c r="E25" s="625">
        <v>21.847200000000001</v>
      </c>
      <c r="F25" s="630">
        <v>10846905.844699999</v>
      </c>
      <c r="G25" s="630">
        <v>462035510.8423</v>
      </c>
      <c r="H25" s="627">
        <v>10093649794.139999</v>
      </c>
      <c r="I25" s="628">
        <v>526008600</v>
      </c>
      <c r="J25" s="628">
        <v>119152980</v>
      </c>
      <c r="K25" s="625"/>
      <c r="L25" s="627">
        <v>10093901457.139999</v>
      </c>
      <c r="M25" s="627">
        <v>251663</v>
      </c>
      <c r="N25" s="625"/>
      <c r="O25" s="625"/>
      <c r="P25" s="625"/>
      <c r="Q25" s="625"/>
      <c r="R25" s="625">
        <v>0</v>
      </c>
      <c r="U25" s="455" t="s">
        <v>177</v>
      </c>
      <c r="V25" s="455" t="s">
        <v>341</v>
      </c>
      <c r="W25" s="455">
        <f t="shared" si="2"/>
        <v>3</v>
      </c>
      <c r="X25" s="457">
        <f t="array" ref="X25">MAX(IF($D:$D=V25,$A:$A))</f>
        <v>45444</v>
      </c>
    </row>
    <row r="26" spans="1:24" ht="16.5">
      <c r="A26" s="626">
        <v>45139</v>
      </c>
      <c r="B26" s="625" t="s">
        <v>287</v>
      </c>
      <c r="C26" s="625" t="s">
        <v>171</v>
      </c>
      <c r="D26" s="625" t="s">
        <v>289</v>
      </c>
      <c r="E26" s="625">
        <v>21.847200000000001</v>
      </c>
      <c r="F26" s="630">
        <v>4795920.8256000001</v>
      </c>
      <c r="G26" s="630">
        <v>204289568.49430001</v>
      </c>
      <c r="H26" s="627">
        <v>4462824836.79</v>
      </c>
      <c r="I26" s="628">
        <v>417552300</v>
      </c>
      <c r="J26" s="628">
        <v>37963000</v>
      </c>
      <c r="K26" s="625"/>
      <c r="L26" s="627">
        <v>4463084582.9700003</v>
      </c>
      <c r="M26" s="627">
        <v>259746.18</v>
      </c>
      <c r="N26" s="625"/>
      <c r="O26" s="625"/>
      <c r="P26" s="625"/>
      <c r="Q26" s="625"/>
      <c r="R26" s="625">
        <v>0</v>
      </c>
      <c r="U26" s="455" t="s">
        <v>177</v>
      </c>
      <c r="V26" s="455" t="s">
        <v>293</v>
      </c>
      <c r="W26" s="455">
        <f t="shared" si="2"/>
        <v>3</v>
      </c>
      <c r="X26" s="457">
        <f t="array" ref="X26">MAX(IF($D:$D=V26,$A:$A))</f>
        <v>45139</v>
      </c>
    </row>
    <row r="27" spans="1:24" ht="16.5">
      <c r="A27" s="626">
        <v>45139</v>
      </c>
      <c r="B27" s="625" t="s">
        <v>287</v>
      </c>
      <c r="C27" s="625" t="s">
        <v>171</v>
      </c>
      <c r="D27" s="625" t="s">
        <v>288</v>
      </c>
      <c r="E27" s="625">
        <v>21.847200000000001</v>
      </c>
      <c r="F27" s="630">
        <v>6119621.3738000002</v>
      </c>
      <c r="G27" s="630">
        <v>260678449.02329999</v>
      </c>
      <c r="H27" s="627">
        <v>5694369773.9499998</v>
      </c>
      <c r="I27" s="625"/>
      <c r="J27" s="625"/>
      <c r="K27" s="625"/>
      <c r="L27" s="627">
        <v>5694936546.7700005</v>
      </c>
      <c r="M27" s="627">
        <v>566772.81999999995</v>
      </c>
      <c r="N27" s="625"/>
      <c r="O27" s="625"/>
      <c r="P27" s="625"/>
      <c r="Q27" s="625"/>
      <c r="R27" s="625">
        <v>0</v>
      </c>
      <c r="U27" s="455" t="s">
        <v>47</v>
      </c>
      <c r="V27" s="455" t="s">
        <v>47</v>
      </c>
      <c r="W27" s="455">
        <f t="shared" si="2"/>
        <v>1</v>
      </c>
      <c r="X27" s="457">
        <f t="array" ref="X27">MAX(IF($D:$D=V27,$A:$A))</f>
        <v>45444</v>
      </c>
    </row>
    <row r="28" spans="1:24" ht="16.5">
      <c r="A28" s="626">
        <v>45139</v>
      </c>
      <c r="B28" s="625" t="s">
        <v>287</v>
      </c>
      <c r="C28" s="625" t="s">
        <v>38</v>
      </c>
      <c r="D28" s="625" t="s">
        <v>293</v>
      </c>
      <c r="E28" s="625">
        <v>21.814399999999999</v>
      </c>
      <c r="F28" s="630">
        <v>469114.5294</v>
      </c>
      <c r="G28" s="630">
        <v>19916008.332899999</v>
      </c>
      <c r="H28" s="627">
        <v>434455731</v>
      </c>
      <c r="I28" s="625"/>
      <c r="J28" s="628">
        <v>1804180</v>
      </c>
      <c r="K28" s="628">
        <v>1049000</v>
      </c>
      <c r="L28" s="627">
        <v>434455731</v>
      </c>
      <c r="M28" s="625"/>
      <c r="N28" s="625"/>
      <c r="O28" s="625"/>
      <c r="P28" s="625"/>
      <c r="Q28" s="625"/>
      <c r="R28" s="625">
        <v>0</v>
      </c>
      <c r="U28" s="455" t="s">
        <v>176</v>
      </c>
      <c r="V28" s="455" t="s">
        <v>341</v>
      </c>
      <c r="W28" s="455">
        <f t="shared" si="2"/>
        <v>2</v>
      </c>
      <c r="X28" s="457">
        <f t="array" ref="X28">MAX(IF($D:$D=V28,$A:$A))</f>
        <v>45444</v>
      </c>
    </row>
    <row r="29" spans="1:24" ht="16.5">
      <c r="A29" s="626">
        <v>45139</v>
      </c>
      <c r="B29" s="625" t="s">
        <v>287</v>
      </c>
      <c r="C29" s="625" t="s">
        <v>174</v>
      </c>
      <c r="D29" s="625" t="s">
        <v>290</v>
      </c>
      <c r="E29" s="625">
        <v>21.1877</v>
      </c>
      <c r="F29" s="630">
        <v>47.575099999999999</v>
      </c>
      <c r="G29" s="630">
        <v>2036.4354000000001</v>
      </c>
      <c r="H29" s="627">
        <v>43147.360000000001</v>
      </c>
      <c r="I29" s="625"/>
      <c r="J29" s="628">
        <v>1300</v>
      </c>
      <c r="K29" s="625"/>
      <c r="L29" s="627">
        <v>43147.360000000001</v>
      </c>
      <c r="M29" s="625"/>
      <c r="N29" s="625"/>
      <c r="O29" s="625"/>
      <c r="P29" s="625"/>
      <c r="Q29" s="625"/>
      <c r="R29" s="625">
        <v>0</v>
      </c>
      <c r="U29" s="455" t="s">
        <v>176</v>
      </c>
      <c r="V29" s="455" t="s">
        <v>338</v>
      </c>
      <c r="W29" s="455">
        <f t="shared" si="2"/>
        <v>2</v>
      </c>
      <c r="X29" s="457">
        <f t="array" ref="X29">MAX(IF($D:$D=V29,$A:$A))</f>
        <v>0</v>
      </c>
    </row>
    <row r="30" spans="1:24" ht="16.5">
      <c r="A30" s="626">
        <v>45139</v>
      </c>
      <c r="B30" s="625" t="s">
        <v>287</v>
      </c>
      <c r="C30" s="625" t="s">
        <v>174</v>
      </c>
      <c r="D30" s="625" t="s">
        <v>294</v>
      </c>
      <c r="E30" s="625">
        <v>20.980799999999999</v>
      </c>
      <c r="F30" s="630">
        <v>1131902.4282</v>
      </c>
      <c r="G30" s="630">
        <v>48106659.251400001</v>
      </c>
      <c r="H30" s="627">
        <v>1008434276.67</v>
      </c>
      <c r="I30" s="625"/>
      <c r="J30" s="628">
        <v>618880</v>
      </c>
      <c r="K30" s="628">
        <v>117600</v>
      </c>
      <c r="L30" s="627">
        <v>1009306421.36</v>
      </c>
      <c r="M30" s="627">
        <v>872144.69</v>
      </c>
      <c r="N30" s="625"/>
      <c r="O30" s="625"/>
      <c r="P30" s="625"/>
      <c r="Q30" s="625"/>
      <c r="R30" s="625">
        <v>0</v>
      </c>
      <c r="U30" s="455" t="s">
        <v>176</v>
      </c>
      <c r="V30" s="455" t="s">
        <v>293</v>
      </c>
      <c r="W30" s="455">
        <f t="shared" si="2"/>
        <v>2</v>
      </c>
      <c r="X30" s="457">
        <f t="array" ref="X30">MAX(IF($D:$D=V30,$A:$A))</f>
        <v>45139</v>
      </c>
    </row>
    <row r="31" spans="1:24" ht="16.5">
      <c r="A31" s="626">
        <v>45139</v>
      </c>
      <c r="B31" s="625" t="s">
        <v>287</v>
      </c>
      <c r="C31" s="625" t="s">
        <v>174</v>
      </c>
      <c r="D31" s="625" t="s">
        <v>291</v>
      </c>
      <c r="E31" s="625">
        <v>20.993400000000001</v>
      </c>
      <c r="F31" s="630">
        <v>3695364.9739000001</v>
      </c>
      <c r="G31" s="630">
        <v>157336968.32589999</v>
      </c>
      <c r="H31" s="627">
        <v>3301972718.9699998</v>
      </c>
      <c r="I31" s="625"/>
      <c r="J31" s="628">
        <v>38016940</v>
      </c>
      <c r="K31" s="628">
        <v>1168900</v>
      </c>
      <c r="L31" s="627">
        <v>3303037802.2800002</v>
      </c>
      <c r="M31" s="627">
        <v>1065083.31</v>
      </c>
      <c r="N31" s="625"/>
      <c r="O31" s="625"/>
      <c r="P31" s="625"/>
      <c r="Q31" s="625"/>
      <c r="R31" s="625">
        <v>0</v>
      </c>
      <c r="U31" s="455" t="s">
        <v>168</v>
      </c>
      <c r="V31" s="455" t="s">
        <v>345</v>
      </c>
      <c r="W31" s="455">
        <f t="shared" si="2"/>
        <v>3</v>
      </c>
      <c r="X31" s="457">
        <f t="array" ref="X31">MAX(IF($C:$C=U31,$A:$A))</f>
        <v>45444</v>
      </c>
    </row>
    <row r="32" spans="1:24" ht="16.5">
      <c r="A32" s="626">
        <v>45139</v>
      </c>
      <c r="B32" s="625" t="s">
        <v>287</v>
      </c>
      <c r="C32" s="625" t="s">
        <v>173</v>
      </c>
      <c r="D32" s="625" t="s">
        <v>373</v>
      </c>
      <c r="E32" s="625">
        <v>20.980799999999999</v>
      </c>
      <c r="F32" s="630">
        <v>841753.15700000001</v>
      </c>
      <c r="G32" s="630">
        <v>35745418.1932</v>
      </c>
      <c r="H32" s="627">
        <v>749105737.29999995</v>
      </c>
      <c r="I32" s="625"/>
      <c r="J32" s="628">
        <v>186700</v>
      </c>
      <c r="K32" s="628">
        <v>29400</v>
      </c>
      <c r="L32" s="627">
        <v>749967020.72000003</v>
      </c>
      <c r="M32" s="627">
        <v>861283.42</v>
      </c>
      <c r="N32" s="625"/>
      <c r="O32" s="625"/>
      <c r="P32" s="625"/>
      <c r="Q32" s="625"/>
      <c r="R32" s="625">
        <v>0</v>
      </c>
      <c r="U32" s="455" t="s">
        <v>168</v>
      </c>
      <c r="V32" s="455" t="s">
        <v>378</v>
      </c>
      <c r="W32" s="455">
        <f t="shared" ref="W32:W33" si="3">COUNTIFS($B:$B,$U$4,$C:$C,U32)</f>
        <v>3</v>
      </c>
      <c r="X32" s="457">
        <f t="array" ref="X32">MAX(IF($C:$C=U32,$A:$A))</f>
        <v>45444</v>
      </c>
    </row>
    <row r="33" spans="1:24" ht="16.5">
      <c r="A33" s="626">
        <v>45139</v>
      </c>
      <c r="B33" s="625" t="s">
        <v>287</v>
      </c>
      <c r="C33" s="625" t="s">
        <v>173</v>
      </c>
      <c r="D33" s="625" t="s">
        <v>295</v>
      </c>
      <c r="E33" s="625">
        <v>20.993400000000001</v>
      </c>
      <c r="F33" s="630">
        <v>709236.701</v>
      </c>
      <c r="G33" s="630">
        <v>30144216.296300001</v>
      </c>
      <c r="H33" s="627">
        <v>632306747.70000005</v>
      </c>
      <c r="I33" s="625"/>
      <c r="J33" s="628">
        <v>10158960</v>
      </c>
      <c r="K33" s="628">
        <v>2578400</v>
      </c>
      <c r="L33" s="627">
        <v>632829584.27999997</v>
      </c>
      <c r="M33" s="627">
        <v>522836.58</v>
      </c>
      <c r="N33" s="625"/>
      <c r="O33" s="625"/>
      <c r="P33" s="625"/>
      <c r="Q33" s="625"/>
      <c r="R33" s="625">
        <v>0</v>
      </c>
      <c r="U33" s="455" t="s">
        <v>168</v>
      </c>
      <c r="V33" s="455" t="s">
        <v>379</v>
      </c>
      <c r="W33" s="455">
        <f t="shared" si="3"/>
        <v>3</v>
      </c>
      <c r="X33" s="457">
        <f t="array" ref="X33">MAX(IF($C:$C=U33,$A:$A))</f>
        <v>45444</v>
      </c>
    </row>
    <row r="34" spans="1:24" ht="16.5">
      <c r="A34" s="626">
        <v>45139</v>
      </c>
      <c r="B34" s="625" t="s">
        <v>287</v>
      </c>
      <c r="C34" s="625" t="s">
        <v>172</v>
      </c>
      <c r="D34" s="625" t="s">
        <v>172</v>
      </c>
      <c r="E34" s="625">
        <v>21.814399999999999</v>
      </c>
      <c r="F34" s="630">
        <v>126655</v>
      </c>
      <c r="G34" s="630">
        <v>5375871.4819999998</v>
      </c>
      <c r="H34" s="627">
        <v>117271403</v>
      </c>
      <c r="I34" s="625"/>
      <c r="J34" s="628">
        <v>712570</v>
      </c>
      <c r="K34" s="628">
        <v>735000</v>
      </c>
      <c r="L34" s="627">
        <v>117271403</v>
      </c>
      <c r="M34" s="625"/>
      <c r="N34" s="625"/>
      <c r="O34" s="625"/>
      <c r="P34" s="625"/>
      <c r="Q34" s="625"/>
      <c r="R34" s="625">
        <v>0</v>
      </c>
      <c r="U34" s="455" t="s">
        <v>140</v>
      </c>
      <c r="V34" s="455" t="s">
        <v>380</v>
      </c>
      <c r="W34" s="455">
        <f>COUNTIFS($B:$B,$U$4,$C:$C,U34)</f>
        <v>3</v>
      </c>
      <c r="X34" s="457">
        <f t="array" ref="X34">MAX(IF($D:$D=V34,$A:$A))</f>
        <v>45444</v>
      </c>
    </row>
    <row r="35" spans="1:24" ht="16.5">
      <c r="A35" s="626">
        <v>45323</v>
      </c>
      <c r="B35" s="625" t="s">
        <v>287</v>
      </c>
      <c r="C35" s="625" t="s">
        <v>40</v>
      </c>
      <c r="D35" s="625" t="s">
        <v>292</v>
      </c>
      <c r="E35" s="625">
        <v>24.627800000000001</v>
      </c>
      <c r="F35" s="630">
        <v>0.39560000000000001</v>
      </c>
      <c r="G35" s="630">
        <v>16.937000000000001</v>
      </c>
      <c r="H35" s="625">
        <v>417.12</v>
      </c>
      <c r="I35" s="625"/>
      <c r="J35" s="625">
        <v>320</v>
      </c>
      <c r="K35" s="625"/>
      <c r="L35" s="625">
        <v>417.12</v>
      </c>
      <c r="M35" s="625"/>
      <c r="N35" s="625"/>
      <c r="O35" s="625"/>
      <c r="P35" s="625"/>
      <c r="Q35" s="625"/>
      <c r="R35" s="625">
        <v>0</v>
      </c>
      <c r="U35" s="455" t="s">
        <v>140</v>
      </c>
      <c r="V35" s="455" t="s">
        <v>381</v>
      </c>
      <c r="W35" s="455">
        <f t="shared" ref="W35:W36" si="4">COUNTIFS($B:$B,$U$4,$C:$C,U35)</f>
        <v>3</v>
      </c>
      <c r="X35" s="457">
        <f t="array" ref="X35">MAX(IF($D:$D=V35,$A:$A))</f>
        <v>45413</v>
      </c>
    </row>
    <row r="36" spans="1:24" ht="16.5">
      <c r="A36" s="626">
        <v>45352</v>
      </c>
      <c r="B36" s="625" t="s">
        <v>287</v>
      </c>
      <c r="C36" s="625" t="s">
        <v>40</v>
      </c>
      <c r="D36" s="625" t="s">
        <v>292</v>
      </c>
      <c r="E36" s="625">
        <v>25.141400000000001</v>
      </c>
      <c r="F36" s="630">
        <v>0.47170000000000001</v>
      </c>
      <c r="G36" s="630">
        <v>20.194099999999999</v>
      </c>
      <c r="H36" s="625">
        <v>507.7</v>
      </c>
      <c r="I36" s="625"/>
      <c r="J36" s="625"/>
      <c r="K36" s="625"/>
      <c r="L36" s="625">
        <v>507.7</v>
      </c>
      <c r="M36" s="625"/>
      <c r="N36" s="625"/>
      <c r="O36" s="625"/>
      <c r="P36" s="625"/>
      <c r="Q36" s="625"/>
      <c r="R36" s="625">
        <v>0</v>
      </c>
      <c r="U36" s="455" t="s">
        <v>140</v>
      </c>
      <c r="V36" s="455" t="s">
        <v>346</v>
      </c>
      <c r="W36" s="455">
        <f t="shared" si="4"/>
        <v>3</v>
      </c>
      <c r="X36" s="457">
        <f t="array" ref="X36">MAX(IF($D:$D=V36,$A:$A))</f>
        <v>0</v>
      </c>
    </row>
    <row r="37" spans="1:24" ht="16.5">
      <c r="A37" s="626">
        <v>45352</v>
      </c>
      <c r="B37" s="625" t="s">
        <v>287</v>
      </c>
      <c r="C37" s="625" t="s">
        <v>141</v>
      </c>
      <c r="D37" s="625" t="s">
        <v>141</v>
      </c>
      <c r="E37" s="625">
        <v>21.877800000000001</v>
      </c>
      <c r="F37" s="630">
        <v>48863.487099999998</v>
      </c>
      <c r="G37" s="630">
        <v>2072740.2593</v>
      </c>
      <c r="H37" s="627">
        <v>45346799.920000002</v>
      </c>
      <c r="I37" s="625"/>
      <c r="J37" s="628">
        <v>1243410</v>
      </c>
      <c r="K37" s="625"/>
      <c r="L37" s="627">
        <v>45346799.920000002</v>
      </c>
      <c r="M37" s="625"/>
      <c r="N37" s="625"/>
      <c r="O37" s="625"/>
      <c r="P37" s="625"/>
      <c r="Q37" s="625"/>
      <c r="R37" s="625">
        <v>0</v>
      </c>
      <c r="U37" s="455" t="s">
        <v>142</v>
      </c>
      <c r="V37" s="455" t="s">
        <v>142</v>
      </c>
      <c r="W37" s="455">
        <f>COUNTIFS($B:$B,$U$4,$C:$C,U37)</f>
        <v>1</v>
      </c>
      <c r="X37" s="457">
        <f t="array" ref="X37">MAX(IF($D:$D=V37,$A:$A))</f>
        <v>45444</v>
      </c>
    </row>
    <row r="38" spans="1:24" ht="16.5">
      <c r="A38" s="626">
        <v>45383</v>
      </c>
      <c r="B38" s="625" t="s">
        <v>287</v>
      </c>
      <c r="C38" s="625" t="s">
        <v>40</v>
      </c>
      <c r="D38" s="625" t="s">
        <v>292</v>
      </c>
      <c r="E38" s="625">
        <v>23.674099999999999</v>
      </c>
      <c r="F38" s="630">
        <v>399.35399999999998</v>
      </c>
      <c r="G38" s="630">
        <v>17042.606</v>
      </c>
      <c r="H38" s="627">
        <v>351823.78</v>
      </c>
      <c r="I38" s="625"/>
      <c r="J38" s="628">
        <v>14970</v>
      </c>
      <c r="K38" s="625"/>
      <c r="L38" s="627">
        <v>403468.24</v>
      </c>
      <c r="M38" s="627">
        <v>51644.46</v>
      </c>
      <c r="N38" s="625"/>
      <c r="O38" s="625"/>
      <c r="P38" s="625"/>
      <c r="Q38" s="625"/>
      <c r="R38" s="625">
        <v>0</v>
      </c>
      <c r="U38"/>
    </row>
    <row r="39" spans="1:24" ht="16.5">
      <c r="A39" s="626">
        <v>45413</v>
      </c>
      <c r="B39" s="625" t="s">
        <v>287</v>
      </c>
      <c r="C39" s="625" t="s">
        <v>40</v>
      </c>
      <c r="D39" s="625" t="s">
        <v>292</v>
      </c>
      <c r="E39" s="625">
        <v>24.919499999999999</v>
      </c>
      <c r="F39" s="630">
        <v>383811.25089999998</v>
      </c>
      <c r="G39" s="630">
        <v>16335712.263900001</v>
      </c>
      <c r="H39" s="627">
        <v>391727703.22000003</v>
      </c>
      <c r="I39" s="625"/>
      <c r="J39" s="628">
        <v>13198450</v>
      </c>
      <c r="K39" s="628">
        <v>1529100</v>
      </c>
      <c r="L39" s="627">
        <v>407077715.39999998</v>
      </c>
      <c r="M39" s="627">
        <v>15350012.18</v>
      </c>
      <c r="N39" s="625"/>
      <c r="O39" s="625"/>
      <c r="P39" s="625"/>
      <c r="Q39" s="625"/>
      <c r="R39" s="625">
        <v>0</v>
      </c>
      <c r="U39"/>
    </row>
    <row r="40" spans="1:24" ht="16.5">
      <c r="A40" s="626">
        <v>45413</v>
      </c>
      <c r="B40" s="625" t="s">
        <v>287</v>
      </c>
      <c r="C40" s="625" t="s">
        <v>175</v>
      </c>
      <c r="D40" s="625" t="s">
        <v>365</v>
      </c>
      <c r="E40" s="625">
        <v>20.419499999999999</v>
      </c>
      <c r="F40" s="630">
        <v>6556748.0643999996</v>
      </c>
      <c r="G40" s="630">
        <v>278891309.6552</v>
      </c>
      <c r="H40" s="627">
        <v>5694820683.6899996</v>
      </c>
      <c r="I40" s="625"/>
      <c r="J40" s="628">
        <v>1054890</v>
      </c>
      <c r="K40" s="628">
        <v>235200</v>
      </c>
      <c r="L40" s="627">
        <v>5694820683.6899996</v>
      </c>
      <c r="M40" s="625"/>
      <c r="N40" s="625"/>
      <c r="O40" s="625"/>
      <c r="P40" s="625"/>
      <c r="Q40" s="625"/>
      <c r="R40" s="625">
        <v>0</v>
      </c>
      <c r="U40"/>
    </row>
    <row r="41" spans="1:24" ht="16.5">
      <c r="A41" s="626">
        <v>45413</v>
      </c>
      <c r="B41" s="625" t="s">
        <v>287</v>
      </c>
      <c r="C41" s="625" t="s">
        <v>177</v>
      </c>
      <c r="D41" s="625" t="s">
        <v>372</v>
      </c>
      <c r="E41" s="625">
        <v>14.7867</v>
      </c>
      <c r="F41" s="630">
        <v>798094.69180000003</v>
      </c>
      <c r="G41" s="630">
        <v>33952558.090000004</v>
      </c>
      <c r="H41" s="627">
        <v>502046280.24000001</v>
      </c>
      <c r="I41" s="625"/>
      <c r="J41" s="628">
        <v>10678650</v>
      </c>
      <c r="K41" s="628">
        <v>4275700</v>
      </c>
      <c r="L41" s="627">
        <v>502046280.24000001</v>
      </c>
      <c r="M41" s="625"/>
      <c r="N41" s="625"/>
      <c r="O41" s="625"/>
      <c r="P41" s="625"/>
      <c r="Q41" s="625"/>
      <c r="R41" s="625">
        <v>0</v>
      </c>
      <c r="U41"/>
    </row>
    <row r="42" spans="1:24" ht="16.5">
      <c r="A42" s="626">
        <v>45413</v>
      </c>
      <c r="B42" s="625" t="s">
        <v>287</v>
      </c>
      <c r="C42" s="625" t="s">
        <v>176</v>
      </c>
      <c r="D42" s="625" t="s">
        <v>372</v>
      </c>
      <c r="E42" s="625">
        <v>14.7867</v>
      </c>
      <c r="F42" s="630">
        <v>27489.418399999999</v>
      </c>
      <c r="G42" s="630">
        <v>1169639.0101000001</v>
      </c>
      <c r="H42" s="627">
        <v>17295101</v>
      </c>
      <c r="I42" s="625"/>
      <c r="J42" s="628">
        <v>289450</v>
      </c>
      <c r="K42" s="628">
        <v>98200</v>
      </c>
      <c r="L42" s="627">
        <v>17295101</v>
      </c>
      <c r="M42" s="625"/>
      <c r="N42" s="625"/>
      <c r="O42" s="625"/>
      <c r="P42" s="625"/>
      <c r="Q42" s="625"/>
      <c r="R42" s="625">
        <v>0</v>
      </c>
      <c r="U42"/>
    </row>
    <row r="43" spans="1:24" ht="16.5">
      <c r="A43" s="626">
        <v>45413</v>
      </c>
      <c r="B43" s="625" t="s">
        <v>287</v>
      </c>
      <c r="C43" s="625" t="s">
        <v>168</v>
      </c>
      <c r="D43" s="625" t="s">
        <v>366</v>
      </c>
      <c r="E43" s="625">
        <v>22.507300000000001</v>
      </c>
      <c r="F43" s="630">
        <v>115677.6563</v>
      </c>
      <c r="G43" s="630">
        <v>4921007.0986000001</v>
      </c>
      <c r="H43" s="627">
        <v>110758582.13</v>
      </c>
      <c r="I43" s="625"/>
      <c r="J43" s="628">
        <v>71550</v>
      </c>
      <c r="K43" s="628">
        <v>117600</v>
      </c>
      <c r="L43" s="627">
        <v>110758582.13</v>
      </c>
      <c r="M43" s="625"/>
      <c r="N43" s="625"/>
      <c r="O43" s="625"/>
      <c r="P43" s="625"/>
      <c r="Q43" s="625"/>
      <c r="R43" s="625">
        <v>0</v>
      </c>
      <c r="U43"/>
    </row>
    <row r="44" spans="1:24" ht="16.5">
      <c r="A44" s="626">
        <v>45413</v>
      </c>
      <c r="B44" s="625" t="s">
        <v>287</v>
      </c>
      <c r="C44" s="625" t="s">
        <v>140</v>
      </c>
      <c r="D44" s="625" t="s">
        <v>367</v>
      </c>
      <c r="E44" s="625">
        <v>19.512599999999999</v>
      </c>
      <c r="F44" s="630">
        <v>56796.397499999999</v>
      </c>
      <c r="G44" s="630">
        <v>2415268.3106</v>
      </c>
      <c r="H44" s="627">
        <v>47128164.359999999</v>
      </c>
      <c r="I44" s="625"/>
      <c r="J44" s="628">
        <v>76190</v>
      </c>
      <c r="K44" s="625"/>
      <c r="L44" s="627">
        <v>47128164.359999999</v>
      </c>
      <c r="M44" s="625"/>
      <c r="N44" s="625"/>
      <c r="O44" s="625"/>
      <c r="P44" s="625"/>
      <c r="Q44" s="625"/>
      <c r="R44" s="625">
        <v>0</v>
      </c>
      <c r="U44"/>
    </row>
    <row r="45" spans="1:24" ht="16.5">
      <c r="A45" s="626">
        <v>45444</v>
      </c>
      <c r="B45" s="625" t="s">
        <v>287</v>
      </c>
      <c r="C45" s="625" t="s">
        <v>40</v>
      </c>
      <c r="D45" s="625" t="s">
        <v>292</v>
      </c>
      <c r="E45" s="625">
        <v>24.359200000000001</v>
      </c>
      <c r="F45" s="630">
        <v>240565.76639999999</v>
      </c>
      <c r="G45" s="630">
        <v>10208474.3201</v>
      </c>
      <c r="H45" s="627">
        <v>243594814.18000001</v>
      </c>
      <c r="I45" s="625"/>
      <c r="J45" s="628">
        <v>210500</v>
      </c>
      <c r="K45" s="628">
        <v>117600</v>
      </c>
      <c r="L45" s="627">
        <v>248667497.53999999</v>
      </c>
      <c r="M45" s="627">
        <v>5072683.3600000003</v>
      </c>
      <c r="N45" s="625"/>
      <c r="O45" s="625"/>
      <c r="P45" s="625"/>
      <c r="Q45" s="625"/>
      <c r="R45" s="625">
        <v>0</v>
      </c>
      <c r="U45"/>
    </row>
    <row r="46" spans="1:24" ht="16.5">
      <c r="A46" s="626">
        <v>45444</v>
      </c>
      <c r="B46" s="625" t="s">
        <v>287</v>
      </c>
      <c r="C46" s="625" t="s">
        <v>175</v>
      </c>
      <c r="D46" s="625" t="s">
        <v>374</v>
      </c>
      <c r="E46" s="625">
        <v>19.815000000000001</v>
      </c>
      <c r="F46" s="630">
        <v>12265656.411900001</v>
      </c>
      <c r="G46" s="630">
        <v>520323689.76889998</v>
      </c>
      <c r="H46" s="627">
        <v>10310213414.309999</v>
      </c>
      <c r="I46" s="625"/>
      <c r="J46" s="628">
        <v>17277760</v>
      </c>
      <c r="K46" s="628">
        <v>13093500</v>
      </c>
      <c r="L46" s="627">
        <v>10310213414.309999</v>
      </c>
      <c r="M46" s="625"/>
      <c r="N46" s="625"/>
      <c r="O46" s="625"/>
      <c r="P46" s="625"/>
      <c r="Q46" s="625"/>
      <c r="R46" s="625">
        <v>0</v>
      </c>
      <c r="U46"/>
    </row>
    <row r="47" spans="1:24" ht="16.5">
      <c r="A47" s="626">
        <v>45444</v>
      </c>
      <c r="B47" s="625" t="s">
        <v>287</v>
      </c>
      <c r="C47" s="625" t="s">
        <v>177</v>
      </c>
      <c r="D47" s="625" t="s">
        <v>372</v>
      </c>
      <c r="E47" s="625">
        <v>14.3665</v>
      </c>
      <c r="F47" s="630">
        <v>1324242.4399000001</v>
      </c>
      <c r="G47" s="630">
        <v>56180302.688299999</v>
      </c>
      <c r="H47" s="627">
        <v>807113865.75999999</v>
      </c>
      <c r="I47" s="625"/>
      <c r="J47" s="628">
        <v>655560</v>
      </c>
      <c r="K47" s="628">
        <v>264600</v>
      </c>
      <c r="L47" s="627">
        <v>807113865.75999999</v>
      </c>
      <c r="M47" s="625"/>
      <c r="N47" s="625"/>
      <c r="O47" s="625"/>
      <c r="P47" s="625"/>
      <c r="Q47" s="625"/>
      <c r="R47" s="625">
        <v>0</v>
      </c>
      <c r="U47"/>
    </row>
    <row r="48" spans="1:24" ht="16.5">
      <c r="A48" s="626">
        <v>45444</v>
      </c>
      <c r="B48" s="625" t="s">
        <v>287</v>
      </c>
      <c r="C48" s="625" t="s">
        <v>142</v>
      </c>
      <c r="D48" s="625" t="s">
        <v>142</v>
      </c>
      <c r="E48" s="625">
        <v>22.658000000000001</v>
      </c>
      <c r="F48" s="630">
        <v>6076441.1500000004</v>
      </c>
      <c r="G48" s="630">
        <v>262690779.22040001</v>
      </c>
      <c r="H48" s="627">
        <v>5951807296</v>
      </c>
      <c r="I48" s="625"/>
      <c r="J48" s="625"/>
      <c r="K48" s="625"/>
      <c r="L48" s="627">
        <v>5951807296</v>
      </c>
      <c r="M48" s="625"/>
      <c r="N48" s="625"/>
      <c r="O48" s="625"/>
      <c r="P48" s="625"/>
      <c r="Q48" s="625"/>
      <c r="R48" s="625">
        <v>0</v>
      </c>
      <c r="U48"/>
    </row>
    <row r="49" spans="1:21" ht="16.5">
      <c r="A49" s="626">
        <v>45444</v>
      </c>
      <c r="B49" s="625" t="s">
        <v>287</v>
      </c>
      <c r="C49" s="625" t="s">
        <v>47</v>
      </c>
      <c r="D49" s="625" t="s">
        <v>47</v>
      </c>
      <c r="E49" s="625">
        <v>24.786300000000001</v>
      </c>
      <c r="F49" s="630">
        <v>329596</v>
      </c>
      <c r="G49" s="630">
        <v>13981132.723999999</v>
      </c>
      <c r="H49" s="627">
        <v>346540549</v>
      </c>
      <c r="I49" s="625"/>
      <c r="J49" s="628">
        <v>629820</v>
      </c>
      <c r="K49" s="628">
        <v>88200</v>
      </c>
      <c r="L49" s="627">
        <v>346540549</v>
      </c>
      <c r="M49" s="625"/>
      <c r="N49" s="625"/>
      <c r="O49" s="625"/>
      <c r="P49" s="625"/>
      <c r="Q49" s="625"/>
      <c r="R49" s="625">
        <v>0</v>
      </c>
      <c r="S49" s="625"/>
      <c r="U49"/>
    </row>
    <row r="50" spans="1:21" ht="16.5">
      <c r="A50" s="626">
        <v>45444</v>
      </c>
      <c r="B50" s="625" t="s">
        <v>287</v>
      </c>
      <c r="C50" s="625" t="s">
        <v>176</v>
      </c>
      <c r="D50" s="625" t="s">
        <v>372</v>
      </c>
      <c r="E50" s="625">
        <v>14.3665</v>
      </c>
      <c r="F50" s="630">
        <v>45667.754200000003</v>
      </c>
      <c r="G50" s="630">
        <v>1937475.5992999999</v>
      </c>
      <c r="H50" s="627">
        <v>27834726</v>
      </c>
      <c r="I50" s="625"/>
      <c r="J50" s="625"/>
      <c r="K50" s="625"/>
      <c r="L50" s="627">
        <v>27834726</v>
      </c>
      <c r="M50" s="625"/>
      <c r="N50" s="625"/>
      <c r="O50" s="625"/>
      <c r="P50" s="625"/>
      <c r="Q50" s="625"/>
      <c r="R50" s="625">
        <v>0</v>
      </c>
      <c r="S50" s="625"/>
      <c r="U50"/>
    </row>
    <row r="51" spans="1:21" ht="16.5">
      <c r="A51" s="626">
        <v>45444</v>
      </c>
      <c r="B51" s="625" t="s">
        <v>287</v>
      </c>
      <c r="C51" s="625" t="s">
        <v>168</v>
      </c>
      <c r="D51" s="625" t="s">
        <v>375</v>
      </c>
      <c r="E51" s="625">
        <v>21.941500000000001</v>
      </c>
      <c r="F51" s="630">
        <v>417737.34370000003</v>
      </c>
      <c r="G51" s="630">
        <v>17720211.9164</v>
      </c>
      <c r="H51" s="627">
        <v>388808022.87</v>
      </c>
      <c r="I51" s="625"/>
      <c r="J51" s="628">
        <v>279100</v>
      </c>
      <c r="K51" s="628">
        <v>352800</v>
      </c>
      <c r="L51" s="627">
        <v>388808022.87</v>
      </c>
      <c r="M51" s="625"/>
      <c r="N51" s="625"/>
      <c r="O51" s="625"/>
      <c r="P51" s="625"/>
      <c r="Q51" s="625"/>
      <c r="R51" s="625">
        <v>0</v>
      </c>
      <c r="S51" s="625"/>
      <c r="U51"/>
    </row>
    <row r="52" spans="1:21" ht="16.5">
      <c r="A52" s="626">
        <v>45444</v>
      </c>
      <c r="B52" s="625" t="s">
        <v>287</v>
      </c>
      <c r="C52" s="625" t="s">
        <v>140</v>
      </c>
      <c r="D52" s="625" t="s">
        <v>376</v>
      </c>
      <c r="E52" s="625">
        <v>18.9468</v>
      </c>
      <c r="F52" s="630">
        <v>338897.25209999998</v>
      </c>
      <c r="G52" s="630">
        <v>14375914.0845</v>
      </c>
      <c r="H52" s="627">
        <v>272377567.63999999</v>
      </c>
      <c r="I52" s="625"/>
      <c r="J52" s="628">
        <v>45220</v>
      </c>
      <c r="K52" s="625"/>
      <c r="L52" s="627">
        <v>272377567.63999999</v>
      </c>
      <c r="M52" s="625"/>
      <c r="N52" s="625"/>
      <c r="O52" s="625"/>
      <c r="P52" s="625"/>
      <c r="Q52" s="625"/>
      <c r="R52" s="625">
        <v>0</v>
      </c>
      <c r="S52" s="625"/>
      <c r="U52"/>
    </row>
    <row r="53" spans="1:21" ht="16.5">
      <c r="A53" s="625" t="s">
        <v>296</v>
      </c>
      <c r="B53" s="625" t="s">
        <v>287</v>
      </c>
      <c r="C53" s="625" t="s">
        <v>171</v>
      </c>
      <c r="D53" s="625" t="s">
        <v>297</v>
      </c>
      <c r="E53" s="625"/>
      <c r="F53" s="630">
        <v>0</v>
      </c>
      <c r="G53" s="630">
        <v>0</v>
      </c>
      <c r="H53" s="625">
        <v>0</v>
      </c>
      <c r="I53" s="625">
        <v>900</v>
      </c>
      <c r="J53" s="625"/>
      <c r="K53" s="625"/>
      <c r="L53" s="625">
        <v>0</v>
      </c>
      <c r="M53" s="625"/>
      <c r="N53" s="625"/>
      <c r="O53" s="625"/>
      <c r="P53" s="625"/>
      <c r="Q53" s="625"/>
      <c r="R53" s="625">
        <v>0</v>
      </c>
      <c r="S53" s="625"/>
      <c r="U53"/>
    </row>
    <row r="54" spans="1:21" ht="16.5">
      <c r="A54" s="625" t="s">
        <v>296</v>
      </c>
      <c r="B54" s="625" t="s">
        <v>287</v>
      </c>
      <c r="C54" s="625" t="s">
        <v>177</v>
      </c>
      <c r="D54" s="625" t="s">
        <v>297</v>
      </c>
      <c r="E54" s="625"/>
      <c r="F54" s="630">
        <v>0</v>
      </c>
      <c r="G54" s="630">
        <v>0</v>
      </c>
      <c r="H54" s="625">
        <v>0</v>
      </c>
      <c r="I54" s="625"/>
      <c r="J54" s="628">
        <v>18760</v>
      </c>
      <c r="K54" s="625"/>
      <c r="L54" s="625">
        <v>0</v>
      </c>
      <c r="M54" s="625"/>
      <c r="N54" s="625"/>
      <c r="O54" s="625"/>
      <c r="P54" s="625"/>
      <c r="Q54" s="625"/>
      <c r="R54" s="625">
        <v>0</v>
      </c>
      <c r="S54" s="625"/>
      <c r="U54"/>
    </row>
    <row r="55" spans="1:21" ht="16.5">
      <c r="A55" s="625" t="s">
        <v>296</v>
      </c>
      <c r="B55" s="625" t="s">
        <v>287</v>
      </c>
      <c r="C55" s="625" t="s">
        <v>168</v>
      </c>
      <c r="D55" s="625" t="s">
        <v>297</v>
      </c>
      <c r="E55" s="625"/>
      <c r="F55" s="630">
        <v>0</v>
      </c>
      <c r="G55" s="630">
        <v>0</v>
      </c>
      <c r="H55" s="625">
        <v>0</v>
      </c>
      <c r="I55" s="625"/>
      <c r="J55" s="625">
        <v>320</v>
      </c>
      <c r="K55" s="625"/>
      <c r="L55" s="625">
        <v>0</v>
      </c>
      <c r="M55" s="625"/>
      <c r="N55" s="625"/>
      <c r="O55" s="625"/>
      <c r="P55" s="625"/>
      <c r="Q55" s="625"/>
      <c r="R55" s="625">
        <v>0</v>
      </c>
      <c r="S55" s="625"/>
      <c r="U55"/>
    </row>
    <row r="56" spans="1:21" ht="16.5">
      <c r="A56" s="625" t="s">
        <v>296</v>
      </c>
      <c r="B56" s="625" t="s">
        <v>287</v>
      </c>
      <c r="C56" s="625" t="s">
        <v>140</v>
      </c>
      <c r="D56" s="625" t="s">
        <v>297</v>
      </c>
      <c r="E56" s="625"/>
      <c r="F56" s="630">
        <v>0</v>
      </c>
      <c r="G56" s="630">
        <v>0</v>
      </c>
      <c r="H56" s="625">
        <v>0</v>
      </c>
      <c r="I56" s="625"/>
      <c r="J56" s="625">
        <v>980</v>
      </c>
      <c r="K56" s="625"/>
      <c r="L56" s="625">
        <v>0</v>
      </c>
      <c r="M56" s="625"/>
      <c r="N56" s="625"/>
      <c r="O56" s="625"/>
      <c r="P56" s="625"/>
      <c r="Q56" s="625"/>
      <c r="R56" s="625">
        <v>0</v>
      </c>
      <c r="S56" s="625"/>
      <c r="U56"/>
    </row>
    <row r="57" spans="1:21" ht="16.5">
      <c r="A57" s="625" t="s">
        <v>298</v>
      </c>
      <c r="B57" s="625"/>
      <c r="C57" s="625"/>
      <c r="D57" s="625"/>
      <c r="E57" s="625"/>
      <c r="F57" s="630">
        <v>58243987.2553</v>
      </c>
      <c r="G57" s="630">
        <v>2481339622.5651999</v>
      </c>
      <c r="H57" s="627">
        <v>52100338592.919998</v>
      </c>
      <c r="I57" s="628">
        <v>1036286160</v>
      </c>
      <c r="J57" s="628">
        <v>271499680</v>
      </c>
      <c r="K57" s="628">
        <v>25850800</v>
      </c>
      <c r="L57" s="627">
        <v>52125244567.919998</v>
      </c>
      <c r="M57" s="627">
        <v>24905975</v>
      </c>
      <c r="N57" s="625">
        <v>0</v>
      </c>
      <c r="O57" s="625">
        <v>0</v>
      </c>
      <c r="P57" s="625">
        <v>0</v>
      </c>
      <c r="Q57" s="625">
        <v>0</v>
      </c>
      <c r="R57" s="625">
        <v>0</v>
      </c>
      <c r="S57" s="625">
        <v>0</v>
      </c>
      <c r="U57"/>
    </row>
    <row r="58" spans="1:21" ht="16.5">
      <c r="A58" s="626">
        <v>37622</v>
      </c>
      <c r="B58" s="625" t="s">
        <v>299</v>
      </c>
      <c r="C58" s="625" t="s">
        <v>37</v>
      </c>
      <c r="D58" s="625" t="s">
        <v>300</v>
      </c>
      <c r="E58" s="628">
        <v>1680</v>
      </c>
      <c r="F58" s="630">
        <v>0</v>
      </c>
      <c r="G58" s="630">
        <v>0</v>
      </c>
      <c r="H58" s="627">
        <v>-7563386</v>
      </c>
      <c r="I58" s="625"/>
      <c r="J58" s="625"/>
      <c r="K58" s="625"/>
      <c r="L58" s="625">
        <v>0</v>
      </c>
      <c r="M58" s="625"/>
      <c r="N58" s="627">
        <v>7563386</v>
      </c>
      <c r="O58" s="625"/>
      <c r="P58" s="625"/>
      <c r="Q58" s="625"/>
      <c r="R58" s="625">
        <v>0</v>
      </c>
      <c r="S58" s="625"/>
      <c r="U58"/>
    </row>
    <row r="59" spans="1:21" ht="16.5">
      <c r="A59" s="626">
        <v>37622</v>
      </c>
      <c r="B59" s="625" t="s">
        <v>299</v>
      </c>
      <c r="C59" s="625" t="s">
        <v>37</v>
      </c>
      <c r="D59" s="625" t="s">
        <v>302</v>
      </c>
      <c r="E59" s="625">
        <v>840</v>
      </c>
      <c r="F59" s="630">
        <v>0</v>
      </c>
      <c r="G59" s="630">
        <v>0</v>
      </c>
      <c r="H59" s="627">
        <v>-1630098</v>
      </c>
      <c r="I59" s="625"/>
      <c r="J59" s="625"/>
      <c r="K59" s="625"/>
      <c r="L59" s="625">
        <v>0</v>
      </c>
      <c r="M59" s="625"/>
      <c r="N59" s="627">
        <v>1630098</v>
      </c>
      <c r="O59" s="625"/>
      <c r="P59" s="625"/>
      <c r="Q59" s="625"/>
      <c r="R59" s="625">
        <v>0</v>
      </c>
      <c r="S59" s="625"/>
      <c r="U59"/>
    </row>
    <row r="60" spans="1:21" ht="16.5">
      <c r="A60" s="626">
        <v>37622</v>
      </c>
      <c r="B60" s="625" t="s">
        <v>299</v>
      </c>
      <c r="C60" s="625" t="s">
        <v>37</v>
      </c>
      <c r="D60" s="625" t="s">
        <v>301</v>
      </c>
      <c r="E60" s="628">
        <v>1680</v>
      </c>
      <c r="F60" s="630">
        <v>0</v>
      </c>
      <c r="G60" s="630">
        <v>0</v>
      </c>
      <c r="H60" s="627">
        <v>-5286816</v>
      </c>
      <c r="I60" s="625"/>
      <c r="J60" s="625"/>
      <c r="K60" s="625"/>
      <c r="L60" s="625">
        <v>0</v>
      </c>
      <c r="M60" s="625"/>
      <c r="N60" s="627">
        <v>5286816</v>
      </c>
      <c r="O60" s="625"/>
      <c r="P60" s="625"/>
      <c r="Q60" s="625"/>
      <c r="R60" s="625">
        <v>0</v>
      </c>
      <c r="S60" s="625"/>
      <c r="U60"/>
    </row>
    <row r="61" spans="1:21" ht="16.5">
      <c r="A61" s="626">
        <v>37622</v>
      </c>
      <c r="B61" s="625" t="s">
        <v>299</v>
      </c>
      <c r="C61" s="625" t="s">
        <v>37</v>
      </c>
      <c r="D61" s="625" t="s">
        <v>282</v>
      </c>
      <c r="E61" s="625">
        <v>840</v>
      </c>
      <c r="F61" s="630">
        <v>0</v>
      </c>
      <c r="G61" s="630">
        <v>0</v>
      </c>
      <c r="H61" s="627">
        <v>-423233</v>
      </c>
      <c r="I61" s="625"/>
      <c r="J61" s="625"/>
      <c r="K61" s="625"/>
      <c r="L61" s="625">
        <v>0</v>
      </c>
      <c r="M61" s="625"/>
      <c r="N61" s="627">
        <v>423233</v>
      </c>
      <c r="O61" s="625"/>
      <c r="P61" s="625"/>
      <c r="Q61" s="625"/>
      <c r="R61" s="625">
        <v>0</v>
      </c>
      <c r="S61" s="625"/>
      <c r="U61"/>
    </row>
    <row r="62" spans="1:21" ht="16.5">
      <c r="A62" s="626">
        <v>41395</v>
      </c>
      <c r="B62" s="625" t="s">
        <v>299</v>
      </c>
      <c r="C62" s="625" t="s">
        <v>37</v>
      </c>
      <c r="D62" s="625" t="s">
        <v>303</v>
      </c>
      <c r="E62" s="625">
        <v>420</v>
      </c>
      <c r="F62" s="630">
        <v>0</v>
      </c>
      <c r="G62" s="630">
        <v>0</v>
      </c>
      <c r="H62" s="627">
        <v>-5428</v>
      </c>
      <c r="I62" s="625"/>
      <c r="J62" s="625"/>
      <c r="K62" s="625"/>
      <c r="L62" s="625">
        <v>0</v>
      </c>
      <c r="M62" s="625"/>
      <c r="N62" s="627">
        <v>5428</v>
      </c>
      <c r="O62" s="625"/>
      <c r="P62" s="625"/>
      <c r="Q62" s="625"/>
      <c r="R62" s="625">
        <v>0</v>
      </c>
      <c r="S62" s="625"/>
      <c r="U62"/>
    </row>
    <row r="63" spans="1:21" ht="16.5">
      <c r="A63" s="626">
        <v>41395</v>
      </c>
      <c r="B63" s="625" t="s">
        <v>299</v>
      </c>
      <c r="C63" s="625" t="s">
        <v>37</v>
      </c>
      <c r="D63" s="625" t="s">
        <v>304</v>
      </c>
      <c r="E63" s="625">
        <v>420</v>
      </c>
      <c r="F63" s="630">
        <v>0</v>
      </c>
      <c r="G63" s="630">
        <v>0</v>
      </c>
      <c r="H63" s="627">
        <v>-504724</v>
      </c>
      <c r="I63" s="625"/>
      <c r="J63" s="625"/>
      <c r="K63" s="625"/>
      <c r="L63" s="625">
        <v>0</v>
      </c>
      <c r="M63" s="625"/>
      <c r="N63" s="627">
        <v>504724</v>
      </c>
      <c r="O63" s="625"/>
      <c r="P63" s="625"/>
      <c r="Q63" s="625"/>
      <c r="R63" s="625">
        <v>0</v>
      </c>
      <c r="S63" s="625"/>
      <c r="U63"/>
    </row>
    <row r="64" spans="1:21" ht="16.5">
      <c r="A64" s="626">
        <v>44896</v>
      </c>
      <c r="B64" s="625" t="s">
        <v>299</v>
      </c>
      <c r="C64" s="625" t="s">
        <v>172</v>
      </c>
      <c r="D64" s="625" t="s">
        <v>304</v>
      </c>
      <c r="E64" s="628">
        <v>2470</v>
      </c>
      <c r="F64" s="630">
        <v>0</v>
      </c>
      <c r="G64" s="630">
        <v>0</v>
      </c>
      <c r="H64" s="627">
        <v>-289578</v>
      </c>
      <c r="I64" s="625"/>
      <c r="J64" s="625"/>
      <c r="K64" s="625"/>
      <c r="L64" s="625">
        <v>0</v>
      </c>
      <c r="M64" s="625"/>
      <c r="N64" s="627">
        <v>289578</v>
      </c>
      <c r="O64" s="625"/>
      <c r="P64" s="625"/>
      <c r="Q64" s="625"/>
      <c r="R64" s="625">
        <v>0</v>
      </c>
      <c r="S64" s="625"/>
      <c r="U64"/>
    </row>
    <row r="65" spans="1:21" ht="16.5">
      <c r="A65" s="626">
        <v>44896</v>
      </c>
      <c r="B65" s="625" t="s">
        <v>299</v>
      </c>
      <c r="C65" s="625" t="s">
        <v>172</v>
      </c>
      <c r="D65" s="625" t="s">
        <v>301</v>
      </c>
      <c r="E65" s="628">
        <v>9900</v>
      </c>
      <c r="F65" s="630">
        <v>0</v>
      </c>
      <c r="G65" s="630">
        <v>0</v>
      </c>
      <c r="H65" s="627">
        <v>-1401530</v>
      </c>
      <c r="I65" s="625"/>
      <c r="J65" s="625"/>
      <c r="K65" s="625"/>
      <c r="L65" s="625">
        <v>0</v>
      </c>
      <c r="M65" s="625"/>
      <c r="N65" s="627">
        <v>1401530</v>
      </c>
      <c r="O65" s="625"/>
      <c r="P65" s="625"/>
      <c r="Q65" s="625"/>
      <c r="R65" s="625">
        <v>0</v>
      </c>
      <c r="S65" s="614"/>
      <c r="U65"/>
    </row>
    <row r="66" spans="1:21" ht="16.5">
      <c r="A66" s="626">
        <v>44896</v>
      </c>
      <c r="B66" s="625" t="s">
        <v>299</v>
      </c>
      <c r="C66" s="625" t="s">
        <v>38</v>
      </c>
      <c r="D66" s="625" t="s">
        <v>304</v>
      </c>
      <c r="E66" s="628">
        <v>2470</v>
      </c>
      <c r="F66" s="630">
        <v>0</v>
      </c>
      <c r="G66" s="630">
        <v>0</v>
      </c>
      <c r="H66" s="627">
        <v>-381812</v>
      </c>
      <c r="I66" s="625"/>
      <c r="J66" s="625"/>
      <c r="K66" s="625"/>
      <c r="L66" s="625">
        <v>0</v>
      </c>
      <c r="M66" s="625"/>
      <c r="N66" s="627">
        <v>381812</v>
      </c>
      <c r="O66" s="625"/>
      <c r="P66" s="625"/>
      <c r="Q66" s="625"/>
      <c r="R66" s="625">
        <v>0</v>
      </c>
      <c r="S66" s="614"/>
      <c r="U66"/>
    </row>
    <row r="67" spans="1:21" ht="16.5">
      <c r="A67" s="626">
        <v>44896</v>
      </c>
      <c r="B67" s="625" t="s">
        <v>299</v>
      </c>
      <c r="C67" s="625" t="s">
        <v>38</v>
      </c>
      <c r="D67" s="625" t="s">
        <v>301</v>
      </c>
      <c r="E67" s="628">
        <v>9900</v>
      </c>
      <c r="F67" s="630">
        <v>0</v>
      </c>
      <c r="G67" s="630">
        <v>0</v>
      </c>
      <c r="H67" s="627">
        <v>-6066609</v>
      </c>
      <c r="I67" s="625"/>
      <c r="J67" s="625"/>
      <c r="K67" s="625"/>
      <c r="L67" s="625">
        <v>0</v>
      </c>
      <c r="M67" s="625"/>
      <c r="N67" s="627">
        <v>6066609</v>
      </c>
      <c r="O67" s="625"/>
      <c r="P67" s="625"/>
      <c r="Q67" s="625"/>
      <c r="R67" s="625">
        <v>0</v>
      </c>
      <c r="S67" s="614"/>
      <c r="U67"/>
    </row>
    <row r="68" spans="1:21" ht="16.5">
      <c r="A68" s="626">
        <v>44896</v>
      </c>
      <c r="B68" s="625" t="s">
        <v>299</v>
      </c>
      <c r="C68" s="625" t="s">
        <v>171</v>
      </c>
      <c r="D68" s="625" t="s">
        <v>300</v>
      </c>
      <c r="E68" s="628">
        <v>86000</v>
      </c>
      <c r="F68" s="630">
        <v>0</v>
      </c>
      <c r="G68" s="630">
        <v>0</v>
      </c>
      <c r="H68" s="627">
        <v>86000</v>
      </c>
      <c r="I68" s="625"/>
      <c r="J68" s="625"/>
      <c r="K68" s="625"/>
      <c r="L68" s="625">
        <v>0</v>
      </c>
      <c r="M68" s="625"/>
      <c r="N68" s="627">
        <v>-86000</v>
      </c>
      <c r="O68" s="625"/>
      <c r="P68" s="625"/>
      <c r="Q68" s="625"/>
      <c r="R68" s="625">
        <v>0</v>
      </c>
      <c r="S68" s="614"/>
      <c r="U68"/>
    </row>
    <row r="69" spans="1:21" ht="16.5">
      <c r="A69" s="626">
        <v>44896</v>
      </c>
      <c r="B69" s="625" t="s">
        <v>299</v>
      </c>
      <c r="C69" s="625" t="s">
        <v>171</v>
      </c>
      <c r="D69" s="625" t="s">
        <v>304</v>
      </c>
      <c r="E69" s="628">
        <v>18000</v>
      </c>
      <c r="F69" s="630">
        <v>0</v>
      </c>
      <c r="G69" s="630">
        <v>0</v>
      </c>
      <c r="H69" s="627">
        <v>-36614549</v>
      </c>
      <c r="I69" s="625"/>
      <c r="J69" s="625"/>
      <c r="K69" s="625"/>
      <c r="L69" s="625">
        <v>0</v>
      </c>
      <c r="M69" s="625"/>
      <c r="N69" s="627">
        <v>36614549</v>
      </c>
      <c r="O69" s="625"/>
      <c r="P69" s="625"/>
      <c r="Q69" s="625"/>
      <c r="R69" s="625">
        <v>0</v>
      </c>
      <c r="S69" s="614"/>
      <c r="U69"/>
    </row>
    <row r="70" spans="1:21" ht="16.5">
      <c r="A70" s="626">
        <v>44896</v>
      </c>
      <c r="B70" s="625" t="s">
        <v>299</v>
      </c>
      <c r="C70" s="625" t="s">
        <v>171</v>
      </c>
      <c r="D70" s="625" t="s">
        <v>301</v>
      </c>
      <c r="E70" s="628">
        <v>72000</v>
      </c>
      <c r="F70" s="630">
        <v>0</v>
      </c>
      <c r="G70" s="630">
        <v>0</v>
      </c>
      <c r="H70" s="627">
        <v>-242790849</v>
      </c>
      <c r="I70" s="625"/>
      <c r="J70" s="625"/>
      <c r="K70" s="625"/>
      <c r="L70" s="625">
        <v>0</v>
      </c>
      <c r="M70" s="625"/>
      <c r="N70" s="627">
        <v>242790849</v>
      </c>
      <c r="O70" s="625"/>
      <c r="P70" s="625"/>
      <c r="Q70" s="625"/>
      <c r="R70" s="625">
        <v>0</v>
      </c>
      <c r="S70" s="614"/>
      <c r="U70"/>
    </row>
    <row r="71" spans="1:21" ht="16.5">
      <c r="A71" s="626">
        <v>45261</v>
      </c>
      <c r="B71" s="625" t="s">
        <v>299</v>
      </c>
      <c r="C71" s="625" t="s">
        <v>172</v>
      </c>
      <c r="D71" s="625" t="s">
        <v>303</v>
      </c>
      <c r="E71" s="628">
        <v>2470</v>
      </c>
      <c r="F71" s="630">
        <v>0</v>
      </c>
      <c r="G71" s="630">
        <v>0</v>
      </c>
      <c r="H71" s="627">
        <v>-4940</v>
      </c>
      <c r="I71" s="625"/>
      <c r="J71" s="625"/>
      <c r="K71" s="625"/>
      <c r="L71" s="625">
        <v>0</v>
      </c>
      <c r="M71" s="625"/>
      <c r="N71" s="627">
        <v>4940</v>
      </c>
      <c r="O71" s="625"/>
      <c r="P71" s="625"/>
      <c r="Q71" s="625"/>
      <c r="R71" s="625">
        <v>0</v>
      </c>
      <c r="S71" s="614"/>
      <c r="U71"/>
    </row>
    <row r="72" spans="1:21" ht="16.5">
      <c r="A72" s="626">
        <v>45261</v>
      </c>
      <c r="B72" s="625" t="s">
        <v>299</v>
      </c>
      <c r="C72" s="625" t="s">
        <v>172</v>
      </c>
      <c r="D72" s="625" t="s">
        <v>300</v>
      </c>
      <c r="E72" s="628">
        <v>9900</v>
      </c>
      <c r="F72" s="630">
        <v>0</v>
      </c>
      <c r="G72" s="630">
        <v>0</v>
      </c>
      <c r="H72" s="627">
        <v>-311946</v>
      </c>
      <c r="I72" s="625"/>
      <c r="J72" s="625"/>
      <c r="K72" s="625"/>
      <c r="L72" s="625">
        <v>0</v>
      </c>
      <c r="M72" s="625"/>
      <c r="N72" s="627">
        <v>311946</v>
      </c>
      <c r="O72" s="625"/>
      <c r="P72" s="625"/>
      <c r="Q72" s="625"/>
      <c r="R72" s="625">
        <v>0</v>
      </c>
      <c r="S72" s="614"/>
      <c r="U72"/>
    </row>
    <row r="73" spans="1:21" ht="16.5">
      <c r="A73" s="626">
        <v>45261</v>
      </c>
      <c r="B73" s="625" t="s">
        <v>299</v>
      </c>
      <c r="C73" s="625" t="s">
        <v>172</v>
      </c>
      <c r="D73" s="625" t="s">
        <v>302</v>
      </c>
      <c r="E73" s="628">
        <v>4950</v>
      </c>
      <c r="F73" s="630">
        <v>0</v>
      </c>
      <c r="G73" s="630">
        <v>0</v>
      </c>
      <c r="H73" s="627">
        <v>-105370</v>
      </c>
      <c r="I73" s="625"/>
      <c r="J73" s="625"/>
      <c r="K73" s="625"/>
      <c r="L73" s="625">
        <v>0</v>
      </c>
      <c r="M73" s="625"/>
      <c r="N73" s="627">
        <v>105370</v>
      </c>
      <c r="O73" s="625"/>
      <c r="P73" s="625"/>
      <c r="Q73" s="625"/>
      <c r="R73" s="625">
        <v>0</v>
      </c>
      <c r="S73" s="614"/>
      <c r="U73"/>
    </row>
    <row r="74" spans="1:21" ht="16.5">
      <c r="A74" s="626">
        <v>45261</v>
      </c>
      <c r="B74" s="625" t="s">
        <v>299</v>
      </c>
      <c r="C74" s="625" t="s">
        <v>172</v>
      </c>
      <c r="D74" s="625" t="s">
        <v>282</v>
      </c>
      <c r="E74" s="628">
        <v>4950</v>
      </c>
      <c r="F74" s="630">
        <v>0</v>
      </c>
      <c r="G74" s="630">
        <v>0</v>
      </c>
      <c r="H74" s="627">
        <v>-80819</v>
      </c>
      <c r="I74" s="625"/>
      <c r="J74" s="625"/>
      <c r="K74" s="625"/>
      <c r="L74" s="625">
        <v>0</v>
      </c>
      <c r="M74" s="625"/>
      <c r="N74" s="627">
        <v>80819</v>
      </c>
      <c r="O74" s="625"/>
      <c r="P74" s="625"/>
      <c r="Q74" s="625"/>
      <c r="R74" s="625">
        <v>0</v>
      </c>
      <c r="S74" s="614"/>
      <c r="U74"/>
    </row>
    <row r="75" spans="1:21" ht="16.5">
      <c r="A75" s="626">
        <v>45261</v>
      </c>
      <c r="B75" s="625" t="s">
        <v>299</v>
      </c>
      <c r="C75" s="625" t="s">
        <v>38</v>
      </c>
      <c r="D75" s="625" t="s">
        <v>300</v>
      </c>
      <c r="E75" s="628">
        <v>9900</v>
      </c>
      <c r="F75" s="630">
        <v>0</v>
      </c>
      <c r="G75" s="630">
        <v>0</v>
      </c>
      <c r="H75" s="627">
        <v>-25699301</v>
      </c>
      <c r="I75" s="625"/>
      <c r="J75" s="625"/>
      <c r="K75" s="625"/>
      <c r="L75" s="625">
        <v>0</v>
      </c>
      <c r="M75" s="625"/>
      <c r="N75" s="627">
        <v>25699301</v>
      </c>
      <c r="O75" s="625"/>
      <c r="P75" s="625"/>
      <c r="Q75" s="625"/>
      <c r="R75" s="625">
        <v>0</v>
      </c>
      <c r="S75" s="614"/>
      <c r="U75"/>
    </row>
    <row r="76" spans="1:21" ht="16.5">
      <c r="A76" s="626">
        <v>45261</v>
      </c>
      <c r="B76" s="625" t="s">
        <v>299</v>
      </c>
      <c r="C76" s="625" t="s">
        <v>38</v>
      </c>
      <c r="D76" s="625" t="s">
        <v>302</v>
      </c>
      <c r="E76" s="628">
        <v>4950</v>
      </c>
      <c r="F76" s="630">
        <v>0</v>
      </c>
      <c r="G76" s="630">
        <v>0</v>
      </c>
      <c r="H76" s="627">
        <v>-1650129</v>
      </c>
      <c r="I76" s="625"/>
      <c r="J76" s="625"/>
      <c r="K76" s="625"/>
      <c r="L76" s="625">
        <v>0</v>
      </c>
      <c r="M76" s="625"/>
      <c r="N76" s="627">
        <v>1650129</v>
      </c>
      <c r="O76" s="625"/>
      <c r="P76" s="625"/>
      <c r="Q76" s="625"/>
      <c r="R76" s="625">
        <v>0</v>
      </c>
      <c r="S76" s="614"/>
      <c r="U76"/>
    </row>
    <row r="77" spans="1:21" ht="16.5">
      <c r="A77" s="626">
        <v>45261</v>
      </c>
      <c r="B77" s="625" t="s">
        <v>299</v>
      </c>
      <c r="C77" s="625" t="s">
        <v>38</v>
      </c>
      <c r="D77" s="625" t="s">
        <v>282</v>
      </c>
      <c r="E77" s="628">
        <v>4950</v>
      </c>
      <c r="F77" s="630">
        <v>0</v>
      </c>
      <c r="G77" s="630">
        <v>0</v>
      </c>
      <c r="H77" s="627">
        <v>-387378</v>
      </c>
      <c r="I77" s="625"/>
      <c r="J77" s="625"/>
      <c r="K77" s="625"/>
      <c r="L77" s="625">
        <v>0</v>
      </c>
      <c r="M77" s="625"/>
      <c r="N77" s="627">
        <v>387378</v>
      </c>
      <c r="O77" s="625"/>
      <c r="P77" s="625"/>
      <c r="Q77" s="625"/>
      <c r="R77" s="625">
        <v>0</v>
      </c>
      <c r="S77" s="614"/>
      <c r="U77"/>
    </row>
    <row r="78" spans="1:21" ht="16.5">
      <c r="A78" s="626">
        <v>45261</v>
      </c>
      <c r="B78" s="625" t="s">
        <v>299</v>
      </c>
      <c r="C78" s="625" t="s">
        <v>171</v>
      </c>
      <c r="D78" s="625" t="s">
        <v>303</v>
      </c>
      <c r="E78" s="628">
        <v>2470</v>
      </c>
      <c r="F78" s="630">
        <v>0</v>
      </c>
      <c r="G78" s="630">
        <v>0</v>
      </c>
      <c r="H78" s="627">
        <v>-493525</v>
      </c>
      <c r="I78" s="625"/>
      <c r="J78" s="625"/>
      <c r="K78" s="625"/>
      <c r="L78" s="625">
        <v>0</v>
      </c>
      <c r="M78" s="625"/>
      <c r="N78" s="627">
        <v>493525</v>
      </c>
      <c r="O78" s="625"/>
      <c r="P78" s="625"/>
      <c r="Q78" s="625"/>
      <c r="R78" s="625">
        <v>0</v>
      </c>
      <c r="S78" s="614"/>
      <c r="U78"/>
    </row>
    <row r="79" spans="1:21" ht="16.5">
      <c r="A79" s="626">
        <v>45261</v>
      </c>
      <c r="B79" s="625" t="s">
        <v>299</v>
      </c>
      <c r="C79" s="625" t="s">
        <v>171</v>
      </c>
      <c r="D79" s="625" t="s">
        <v>300</v>
      </c>
      <c r="E79" s="628">
        <v>148000</v>
      </c>
      <c r="F79" s="630">
        <v>0</v>
      </c>
      <c r="G79" s="630">
        <v>0</v>
      </c>
      <c r="H79" s="627">
        <v>-434991124</v>
      </c>
      <c r="I79" s="625"/>
      <c r="J79" s="625"/>
      <c r="K79" s="625"/>
      <c r="L79" s="625">
        <v>0</v>
      </c>
      <c r="M79" s="625"/>
      <c r="N79" s="627">
        <v>434991124</v>
      </c>
      <c r="O79" s="625"/>
      <c r="P79" s="625"/>
      <c r="Q79" s="625"/>
      <c r="R79" s="625">
        <v>0</v>
      </c>
      <c r="S79" s="614"/>
      <c r="U79"/>
    </row>
    <row r="80" spans="1:21" ht="16.5">
      <c r="A80" s="626">
        <v>45261</v>
      </c>
      <c r="B80" s="625" t="s">
        <v>299</v>
      </c>
      <c r="C80" s="625" t="s">
        <v>171</v>
      </c>
      <c r="D80" s="625" t="s">
        <v>302</v>
      </c>
      <c r="E80" s="628">
        <v>148000</v>
      </c>
      <c r="F80" s="630">
        <v>0</v>
      </c>
      <c r="G80" s="630">
        <v>0</v>
      </c>
      <c r="H80" s="627">
        <v>-90642372</v>
      </c>
      <c r="I80" s="625"/>
      <c r="J80" s="625"/>
      <c r="K80" s="625"/>
      <c r="L80" s="625">
        <v>0</v>
      </c>
      <c r="M80" s="625"/>
      <c r="N80" s="627">
        <v>90642372</v>
      </c>
      <c r="O80" s="625"/>
      <c r="P80" s="625"/>
      <c r="Q80" s="625"/>
      <c r="R80" s="625">
        <v>0</v>
      </c>
      <c r="S80" s="614"/>
      <c r="U80"/>
    </row>
    <row r="81" spans="1:21" ht="16.5">
      <c r="A81" s="626">
        <v>45261</v>
      </c>
      <c r="B81" s="625" t="s">
        <v>299</v>
      </c>
      <c r="C81" s="625" t="s">
        <v>171</v>
      </c>
      <c r="D81" s="625" t="s">
        <v>282</v>
      </c>
      <c r="E81" s="628">
        <v>148000</v>
      </c>
      <c r="F81" s="630">
        <v>0</v>
      </c>
      <c r="G81" s="630">
        <v>0</v>
      </c>
      <c r="H81" s="627">
        <v>-28711122</v>
      </c>
      <c r="I81" s="625"/>
      <c r="J81" s="625"/>
      <c r="K81" s="625"/>
      <c r="L81" s="625">
        <v>0</v>
      </c>
      <c r="M81" s="625"/>
      <c r="N81" s="627">
        <v>28711122</v>
      </c>
      <c r="O81" s="625"/>
      <c r="P81" s="625"/>
      <c r="Q81" s="625"/>
      <c r="R81" s="625">
        <v>0</v>
      </c>
      <c r="S81" s="625"/>
      <c r="U81"/>
    </row>
    <row r="82" spans="1:21" ht="16.5">
      <c r="A82" s="625" t="s">
        <v>305</v>
      </c>
      <c r="B82" s="625"/>
      <c r="C82" s="625"/>
      <c r="D82" s="625"/>
      <c r="E82" s="625"/>
      <c r="F82" s="630">
        <v>0</v>
      </c>
      <c r="G82" s="630">
        <v>0</v>
      </c>
      <c r="H82" s="627">
        <v>-885950638</v>
      </c>
      <c r="I82" s="625"/>
      <c r="J82" s="625"/>
      <c r="K82" s="625"/>
      <c r="L82" s="625">
        <v>0</v>
      </c>
      <c r="M82" s="625">
        <v>0</v>
      </c>
      <c r="N82" s="627">
        <v>885950638</v>
      </c>
      <c r="O82" s="625">
        <v>0</v>
      </c>
      <c r="P82" s="625">
        <v>0</v>
      </c>
      <c r="Q82" s="625">
        <v>0</v>
      </c>
      <c r="R82" s="625">
        <v>0</v>
      </c>
      <c r="S82" s="625">
        <v>0</v>
      </c>
      <c r="U82"/>
    </row>
    <row r="83" spans="1:21" ht="16.5">
      <c r="A83" s="625" t="s">
        <v>306</v>
      </c>
      <c r="B83" s="625" t="s">
        <v>307</v>
      </c>
      <c r="C83" s="625" t="s">
        <v>168</v>
      </c>
      <c r="D83" s="625" t="s">
        <v>106</v>
      </c>
      <c r="E83" s="625"/>
      <c r="F83" s="630">
        <v>0</v>
      </c>
      <c r="G83" s="630">
        <v>0</v>
      </c>
      <c r="H83" s="627">
        <v>-3183922</v>
      </c>
      <c r="I83" s="625"/>
      <c r="J83" s="625"/>
      <c r="K83" s="625"/>
      <c r="L83" s="625">
        <v>0</v>
      </c>
      <c r="M83" s="625"/>
      <c r="N83" s="625"/>
      <c r="O83" s="625"/>
      <c r="P83" s="625"/>
      <c r="Q83" s="627">
        <v>1809916</v>
      </c>
      <c r="R83" s="627">
        <v>1374006</v>
      </c>
      <c r="S83" s="625"/>
      <c r="U83"/>
    </row>
    <row r="84" spans="1:21" ht="16.5">
      <c r="A84" s="625" t="s">
        <v>306</v>
      </c>
      <c r="B84" s="625" t="s">
        <v>307</v>
      </c>
      <c r="C84" s="625" t="s">
        <v>140</v>
      </c>
      <c r="D84" s="625" t="s">
        <v>106</v>
      </c>
      <c r="E84" s="625"/>
      <c r="F84" s="630">
        <v>0</v>
      </c>
      <c r="G84" s="630">
        <v>0</v>
      </c>
      <c r="H84" s="627">
        <v>-2993395</v>
      </c>
      <c r="I84" s="625"/>
      <c r="J84" s="625"/>
      <c r="K84" s="625"/>
      <c r="L84" s="625">
        <v>0</v>
      </c>
      <c r="M84" s="625"/>
      <c r="N84" s="625"/>
      <c r="O84" s="625"/>
      <c r="P84" s="625"/>
      <c r="Q84" s="627">
        <v>1701217</v>
      </c>
      <c r="R84" s="627">
        <v>1292178</v>
      </c>
      <c r="S84" s="625"/>
      <c r="U84"/>
    </row>
    <row r="85" spans="1:21" ht="16.5">
      <c r="A85" s="625" t="s">
        <v>308</v>
      </c>
      <c r="B85" s="625"/>
      <c r="C85" s="625"/>
      <c r="D85" s="625"/>
      <c r="E85" s="625"/>
      <c r="F85" s="630">
        <v>0</v>
      </c>
      <c r="G85" s="630">
        <v>0</v>
      </c>
      <c r="H85" s="627">
        <v>-6177317</v>
      </c>
      <c r="I85" s="625"/>
      <c r="J85" s="625"/>
      <c r="K85" s="625"/>
      <c r="L85" s="625">
        <v>0</v>
      </c>
      <c r="M85" s="625">
        <v>0</v>
      </c>
      <c r="N85" s="625">
        <v>0</v>
      </c>
      <c r="O85" s="625">
        <v>0</v>
      </c>
      <c r="P85" s="625">
        <v>0</v>
      </c>
      <c r="Q85" s="627">
        <v>3511133</v>
      </c>
      <c r="R85" s="627">
        <v>2666184</v>
      </c>
      <c r="S85" s="625">
        <v>0</v>
      </c>
      <c r="U85"/>
    </row>
    <row r="86" spans="1:21" ht="16.5">
      <c r="A86" s="625" t="s">
        <v>296</v>
      </c>
      <c r="B86" s="625" t="s">
        <v>309</v>
      </c>
      <c r="C86" s="625" t="s">
        <v>141</v>
      </c>
      <c r="D86" s="625" t="s">
        <v>141</v>
      </c>
      <c r="E86" s="625"/>
      <c r="F86" s="630">
        <v>0</v>
      </c>
      <c r="G86" s="630">
        <v>0</v>
      </c>
      <c r="H86" s="627">
        <v>3958483.08</v>
      </c>
      <c r="I86" s="625"/>
      <c r="J86" s="625"/>
      <c r="K86" s="625"/>
      <c r="L86" s="627">
        <v>3958483.08</v>
      </c>
      <c r="M86" s="625"/>
      <c r="N86" s="625"/>
      <c r="O86" s="625"/>
      <c r="P86" s="625"/>
      <c r="Q86" s="625"/>
      <c r="R86" s="625">
        <v>0</v>
      </c>
      <c r="S86" s="625"/>
      <c r="U86"/>
    </row>
    <row r="87" spans="1:21" ht="16.5">
      <c r="A87" s="625" t="s">
        <v>310</v>
      </c>
      <c r="B87" s="625"/>
      <c r="C87" s="625"/>
      <c r="D87" s="625"/>
      <c r="E87" s="625"/>
      <c r="F87" s="630">
        <v>0</v>
      </c>
      <c r="G87" s="630">
        <v>0</v>
      </c>
      <c r="H87" s="627">
        <v>3958483.08</v>
      </c>
      <c r="I87" s="625"/>
      <c r="J87" s="625"/>
      <c r="K87" s="625"/>
      <c r="L87" s="627">
        <v>3958483.08</v>
      </c>
      <c r="M87" s="625">
        <v>0</v>
      </c>
      <c r="N87" s="625">
        <v>0</v>
      </c>
      <c r="O87" s="625">
        <v>0</v>
      </c>
      <c r="P87" s="625">
        <v>0</v>
      </c>
      <c r="Q87" s="625">
        <v>0</v>
      </c>
      <c r="R87" s="625">
        <v>0</v>
      </c>
      <c r="S87" s="625">
        <v>0</v>
      </c>
      <c r="U87"/>
    </row>
    <row r="88" spans="1:21" ht="16.5">
      <c r="A88" s="625"/>
      <c r="B88" s="625" t="s">
        <v>311</v>
      </c>
      <c r="C88" s="625" t="s">
        <v>37</v>
      </c>
      <c r="D88" s="625" t="s">
        <v>37</v>
      </c>
      <c r="E88" s="625"/>
      <c r="F88" s="630">
        <v>-2947.5711999999999</v>
      </c>
      <c r="G88" s="630">
        <v>-126144.45299999999</v>
      </c>
      <c r="H88" s="627">
        <v>-2750398</v>
      </c>
      <c r="I88" s="625"/>
      <c r="J88" s="625"/>
      <c r="K88" s="625"/>
      <c r="L88" s="627">
        <v>-2750398</v>
      </c>
      <c r="M88" s="625"/>
      <c r="N88" s="625"/>
      <c r="O88" s="625"/>
      <c r="P88" s="625"/>
      <c r="Q88" s="625"/>
      <c r="R88" s="625">
        <v>0</v>
      </c>
      <c r="S88" s="625"/>
      <c r="U88"/>
    </row>
    <row r="89" spans="1:21" ht="16.5">
      <c r="A89" s="625"/>
      <c r="B89" s="625" t="s">
        <v>311</v>
      </c>
      <c r="C89" s="625" t="s">
        <v>178</v>
      </c>
      <c r="D89" s="625" t="s">
        <v>288</v>
      </c>
      <c r="E89" s="625"/>
      <c r="F89" s="630">
        <v>-60708.962099999997</v>
      </c>
      <c r="G89" s="630">
        <v>-2596776.1365999999</v>
      </c>
      <c r="H89" s="627">
        <v>-56582880</v>
      </c>
      <c r="I89" s="625"/>
      <c r="J89" s="625"/>
      <c r="K89" s="625"/>
      <c r="L89" s="627">
        <v>-56582880</v>
      </c>
      <c r="M89" s="625"/>
      <c r="N89" s="625"/>
      <c r="O89" s="625"/>
      <c r="P89" s="625"/>
      <c r="Q89" s="625"/>
      <c r="R89" s="625">
        <v>0</v>
      </c>
      <c r="S89" s="625"/>
      <c r="U89"/>
    </row>
    <row r="90" spans="1:21" ht="16.5">
      <c r="A90" s="625"/>
      <c r="B90" s="625" t="s">
        <v>311</v>
      </c>
      <c r="C90" s="625" t="s">
        <v>171</v>
      </c>
      <c r="D90" s="625" t="s">
        <v>289</v>
      </c>
      <c r="E90" s="625"/>
      <c r="F90" s="630">
        <v>-71256.203800000003</v>
      </c>
      <c r="G90" s="630">
        <v>-3047144.7382999999</v>
      </c>
      <c r="H90" s="627">
        <v>-66404922</v>
      </c>
      <c r="I90" s="625"/>
      <c r="J90" s="625"/>
      <c r="K90" s="625"/>
      <c r="L90" s="627">
        <v>-66404922</v>
      </c>
      <c r="M90" s="625"/>
      <c r="N90" s="625"/>
      <c r="O90" s="625"/>
      <c r="P90" s="625"/>
      <c r="Q90" s="625"/>
      <c r="R90" s="625">
        <v>0</v>
      </c>
      <c r="S90" s="625"/>
      <c r="U90"/>
    </row>
    <row r="91" spans="1:21" ht="16.5">
      <c r="A91" s="625"/>
      <c r="B91" s="625" t="s">
        <v>311</v>
      </c>
      <c r="C91" s="625" t="s">
        <v>40</v>
      </c>
      <c r="D91" s="625" t="s">
        <v>292</v>
      </c>
      <c r="E91" s="625"/>
      <c r="F91" s="630">
        <v>-1174.0617</v>
      </c>
      <c r="G91" s="630">
        <v>-50183.004300000001</v>
      </c>
      <c r="H91" s="627">
        <v>-1048811</v>
      </c>
      <c r="I91" s="625"/>
      <c r="J91" s="625"/>
      <c r="K91" s="625"/>
      <c r="L91" s="627">
        <v>-1048811</v>
      </c>
      <c r="M91" s="625"/>
      <c r="N91" s="625"/>
      <c r="O91" s="625"/>
      <c r="P91" s="625"/>
      <c r="Q91" s="625"/>
      <c r="R91" s="625">
        <v>0</v>
      </c>
      <c r="S91" s="625"/>
    </row>
    <row r="92" spans="1:21" ht="16.5">
      <c r="A92" s="625"/>
      <c r="B92" s="625" t="s">
        <v>311</v>
      </c>
      <c r="C92" s="625" t="s">
        <v>174</v>
      </c>
      <c r="D92" s="625" t="s">
        <v>290</v>
      </c>
      <c r="E92" s="625"/>
      <c r="F92" s="630">
        <v>-497.45979999999997</v>
      </c>
      <c r="G92" s="630">
        <v>-21332.0131</v>
      </c>
      <c r="H92" s="627">
        <v>-451972.46</v>
      </c>
      <c r="I92" s="625"/>
      <c r="J92" s="625"/>
      <c r="K92" s="625"/>
      <c r="L92" s="627">
        <v>-451972.46</v>
      </c>
      <c r="M92" s="625"/>
      <c r="N92" s="625"/>
      <c r="O92" s="625"/>
      <c r="P92" s="625"/>
      <c r="Q92" s="625"/>
      <c r="R92" s="625">
        <v>0</v>
      </c>
      <c r="S92" s="625"/>
    </row>
    <row r="93" spans="1:21" ht="16.5">
      <c r="A93" s="625"/>
      <c r="B93" s="625" t="s">
        <v>311</v>
      </c>
      <c r="C93" s="625" t="s">
        <v>174</v>
      </c>
      <c r="D93" s="625" t="s">
        <v>294</v>
      </c>
      <c r="E93" s="625"/>
      <c r="F93" s="630">
        <v>-4.4668999999999999</v>
      </c>
      <c r="G93" s="630">
        <v>-190.27670000000001</v>
      </c>
      <c r="H93" s="627">
        <v>-3992.15</v>
      </c>
      <c r="I93" s="625"/>
      <c r="J93" s="625"/>
      <c r="K93" s="625"/>
      <c r="L93" s="627">
        <v>-3992.15</v>
      </c>
      <c r="M93" s="625"/>
      <c r="N93" s="625"/>
      <c r="O93" s="625"/>
      <c r="P93" s="625"/>
      <c r="Q93" s="625"/>
      <c r="R93" s="625">
        <v>0</v>
      </c>
      <c r="S93" s="625"/>
    </row>
    <row r="94" spans="1:21" ht="16.5">
      <c r="A94" s="625"/>
      <c r="B94" s="625" t="s">
        <v>311</v>
      </c>
      <c r="C94" s="625" t="s">
        <v>174</v>
      </c>
      <c r="D94" s="625" t="s">
        <v>291</v>
      </c>
      <c r="E94" s="625"/>
      <c r="F94" s="630">
        <v>-2184.4688999999998</v>
      </c>
      <c r="G94" s="630">
        <v>-93360.291500000007</v>
      </c>
      <c r="H94" s="627">
        <v>-1959939.39</v>
      </c>
      <c r="I94" s="625"/>
      <c r="J94" s="625"/>
      <c r="K94" s="625"/>
      <c r="L94" s="627">
        <v>-1959939.39</v>
      </c>
      <c r="M94" s="625"/>
      <c r="N94" s="625"/>
      <c r="O94" s="625"/>
      <c r="P94" s="625"/>
      <c r="Q94" s="625"/>
      <c r="R94" s="625">
        <v>0</v>
      </c>
      <c r="S94" s="625"/>
    </row>
    <row r="95" spans="1:21" ht="16.5">
      <c r="A95" s="625"/>
      <c r="B95" s="625" t="s">
        <v>311</v>
      </c>
      <c r="C95" s="625" t="s">
        <v>173</v>
      </c>
      <c r="D95" s="625" t="s">
        <v>295</v>
      </c>
      <c r="E95" s="625"/>
      <c r="F95" s="630">
        <v>-2128.5432000000001</v>
      </c>
      <c r="G95" s="630">
        <v>-90927.108399999997</v>
      </c>
      <c r="H95" s="627">
        <v>-1908869</v>
      </c>
      <c r="I95" s="625"/>
      <c r="J95" s="625"/>
      <c r="K95" s="625"/>
      <c r="L95" s="627">
        <v>-1908869</v>
      </c>
      <c r="M95" s="625"/>
      <c r="N95" s="625"/>
      <c r="O95" s="625"/>
      <c r="P95" s="625"/>
      <c r="Q95" s="625"/>
      <c r="R95" s="625">
        <v>0</v>
      </c>
      <c r="S95" s="625"/>
    </row>
    <row r="96" spans="1:21" ht="16.5">
      <c r="A96" s="625" t="s">
        <v>312</v>
      </c>
      <c r="B96" s="625"/>
      <c r="C96" s="625"/>
      <c r="D96" s="625"/>
      <c r="E96" s="625"/>
      <c r="F96" s="630">
        <v>-140901.73759999999</v>
      </c>
      <c r="G96" s="630">
        <v>-6026058.0219000001</v>
      </c>
      <c r="H96" s="627">
        <v>-131111784</v>
      </c>
      <c r="I96" s="625"/>
      <c r="J96" s="625"/>
      <c r="K96" s="625"/>
      <c r="L96" s="627">
        <v>-131111784</v>
      </c>
      <c r="M96" s="625">
        <v>0</v>
      </c>
      <c r="N96" s="625">
        <v>0</v>
      </c>
      <c r="O96" s="625">
        <v>0</v>
      </c>
      <c r="P96" s="625">
        <v>0</v>
      </c>
      <c r="Q96" s="625">
        <v>0</v>
      </c>
      <c r="R96" s="625">
        <v>0</v>
      </c>
      <c r="S96" s="625">
        <v>0</v>
      </c>
    </row>
    <row r="97" spans="1:21" ht="16.5">
      <c r="A97" s="625" t="s">
        <v>313</v>
      </c>
      <c r="B97" s="625"/>
      <c r="C97" s="625"/>
      <c r="D97" s="625"/>
      <c r="E97" s="625"/>
      <c r="F97" s="630">
        <v>58103085.517700002</v>
      </c>
      <c r="G97" s="630">
        <v>2475313564.5433002</v>
      </c>
      <c r="H97" s="627">
        <v>51081057337</v>
      </c>
      <c r="I97" s="628">
        <v>1036286160</v>
      </c>
      <c r="J97" s="628">
        <v>271499680</v>
      </c>
      <c r="K97" s="628">
        <v>25850800</v>
      </c>
      <c r="L97" s="627">
        <v>51998091267</v>
      </c>
      <c r="M97" s="627">
        <v>24905975</v>
      </c>
      <c r="N97" s="627">
        <v>885950638</v>
      </c>
      <c r="O97" s="625">
        <v>0</v>
      </c>
      <c r="P97" s="625">
        <v>0</v>
      </c>
      <c r="Q97" s="627">
        <v>3511133</v>
      </c>
      <c r="R97" s="627">
        <v>2666184</v>
      </c>
      <c r="S97" s="625">
        <v>0</v>
      </c>
      <c r="U97"/>
    </row>
    <row r="98" spans="1:21" ht="16.5">
      <c r="A98" s="626">
        <v>45444</v>
      </c>
      <c r="B98" s="625" t="s">
        <v>314</v>
      </c>
      <c r="C98" s="625" t="s">
        <v>143</v>
      </c>
      <c r="D98" s="625" t="s">
        <v>143</v>
      </c>
      <c r="E98" s="625">
        <v>22.658000000000001</v>
      </c>
      <c r="F98" s="630">
        <v>314785.56</v>
      </c>
      <c r="G98" s="630">
        <v>13314048.6109</v>
      </c>
      <c r="H98" s="627">
        <v>301658300</v>
      </c>
      <c r="I98" s="625"/>
      <c r="J98" s="625"/>
      <c r="K98" s="625"/>
      <c r="L98" s="627">
        <v>301658300</v>
      </c>
      <c r="M98" s="625"/>
      <c r="N98" s="625"/>
      <c r="O98" s="625"/>
      <c r="P98" s="625"/>
      <c r="Q98" s="625"/>
      <c r="R98" s="625">
        <v>0</v>
      </c>
      <c r="S98" s="625"/>
      <c r="U98"/>
    </row>
    <row r="99" spans="1:21" ht="16.5">
      <c r="A99" s="625" t="s">
        <v>315</v>
      </c>
      <c r="B99" s="625"/>
      <c r="C99" s="625"/>
      <c r="D99" s="625"/>
      <c r="E99" s="625"/>
      <c r="F99" s="630">
        <v>314785.56</v>
      </c>
      <c r="G99" s="630">
        <v>13314048.6109</v>
      </c>
      <c r="H99" s="627">
        <v>301658300</v>
      </c>
      <c r="I99" s="625"/>
      <c r="J99" s="625"/>
      <c r="K99" s="625"/>
      <c r="L99" s="627">
        <v>301658300</v>
      </c>
      <c r="M99" s="625">
        <v>0</v>
      </c>
      <c r="N99" s="625">
        <v>0</v>
      </c>
      <c r="O99" s="625">
        <v>0</v>
      </c>
      <c r="P99" s="625">
        <v>0</v>
      </c>
      <c r="Q99" s="625">
        <v>0</v>
      </c>
      <c r="R99" s="625">
        <v>0</v>
      </c>
      <c r="S99" s="625">
        <v>0</v>
      </c>
      <c r="U99"/>
    </row>
    <row r="100" spans="1:21" ht="16.5">
      <c r="A100" s="625" t="s">
        <v>316</v>
      </c>
      <c r="B100" s="625"/>
      <c r="C100" s="625"/>
      <c r="D100" s="625"/>
      <c r="E100" s="625"/>
      <c r="F100" s="630">
        <v>314785.56</v>
      </c>
      <c r="G100" s="630">
        <v>13314048.6109</v>
      </c>
      <c r="H100" s="627">
        <v>301658300</v>
      </c>
      <c r="I100" s="625"/>
      <c r="J100" s="625"/>
      <c r="K100" s="625"/>
      <c r="L100" s="627">
        <v>301658300</v>
      </c>
      <c r="M100" s="625">
        <v>0</v>
      </c>
      <c r="N100" s="625">
        <v>0</v>
      </c>
      <c r="O100" s="625">
        <v>0</v>
      </c>
      <c r="P100" s="625">
        <v>0</v>
      </c>
      <c r="Q100" s="625">
        <v>0</v>
      </c>
      <c r="R100" s="625">
        <v>0</v>
      </c>
      <c r="S100" s="625">
        <v>0</v>
      </c>
      <c r="U100"/>
    </row>
    <row r="101" spans="1:21" ht="16.5">
      <c r="A101" s="625" t="s">
        <v>317</v>
      </c>
      <c r="B101" s="625"/>
      <c r="C101" s="625"/>
      <c r="D101" s="625"/>
      <c r="E101" s="625"/>
      <c r="F101" s="630">
        <v>58417871.077699997</v>
      </c>
      <c r="G101" s="630">
        <v>2488627613.1542001</v>
      </c>
      <c r="H101" s="627">
        <v>51382715637</v>
      </c>
      <c r="I101" s="628">
        <v>1036286160</v>
      </c>
      <c r="J101" s="628">
        <v>271499680</v>
      </c>
      <c r="K101" s="628">
        <v>25850800</v>
      </c>
      <c r="L101" s="627">
        <v>52299749567</v>
      </c>
      <c r="M101" s="627">
        <v>24905975</v>
      </c>
      <c r="N101" s="627">
        <v>885950638</v>
      </c>
      <c r="O101" s="625"/>
      <c r="P101" s="625">
        <v>0</v>
      </c>
      <c r="Q101" s="627">
        <v>3511133</v>
      </c>
      <c r="R101" s="627">
        <v>2666184</v>
      </c>
      <c r="S101" s="625"/>
      <c r="U101"/>
    </row>
    <row r="102" spans="1:21" ht="16.5">
      <c r="A102" s="625"/>
      <c r="B102" s="625" t="s">
        <v>318</v>
      </c>
      <c r="C102" s="625" t="s">
        <v>40</v>
      </c>
      <c r="D102" s="625" t="s">
        <v>319</v>
      </c>
      <c r="E102" s="625"/>
      <c r="F102" s="630">
        <v>987</v>
      </c>
      <c r="G102" s="630">
        <v>41867.553</v>
      </c>
      <c r="H102" s="625">
        <v>0</v>
      </c>
      <c r="I102" s="625"/>
      <c r="J102" s="625"/>
      <c r="K102" s="625"/>
      <c r="L102" s="625">
        <v>0</v>
      </c>
      <c r="M102" s="625"/>
      <c r="N102" s="625"/>
      <c r="O102" s="625"/>
      <c r="P102" s="625"/>
      <c r="Q102" s="625"/>
      <c r="R102" s="625">
        <v>0</v>
      </c>
      <c r="S102" s="625"/>
      <c r="U102"/>
    </row>
    <row r="103" spans="1:21" ht="16.5">
      <c r="A103" s="625"/>
      <c r="B103" s="625" t="s">
        <v>318</v>
      </c>
      <c r="C103" s="625" t="s">
        <v>174</v>
      </c>
      <c r="D103" s="625" t="s">
        <v>319</v>
      </c>
      <c r="E103" s="625"/>
      <c r="F103" s="630">
        <v>140</v>
      </c>
      <c r="G103" s="630">
        <v>5938.66</v>
      </c>
      <c r="H103" s="625">
        <v>0</v>
      </c>
      <c r="I103" s="625"/>
      <c r="J103" s="625"/>
      <c r="K103" s="625"/>
      <c r="L103" s="625">
        <v>0</v>
      </c>
      <c r="M103" s="625"/>
      <c r="N103" s="625"/>
      <c r="O103" s="625"/>
      <c r="P103" s="625"/>
      <c r="Q103" s="625"/>
      <c r="R103" s="625">
        <v>0</v>
      </c>
      <c r="S103" s="625"/>
      <c r="U103"/>
    </row>
    <row r="104" spans="1:21" ht="16.5">
      <c r="A104" s="625"/>
      <c r="B104" s="625" t="s">
        <v>318</v>
      </c>
      <c r="C104" s="625" t="s">
        <v>177</v>
      </c>
      <c r="D104" s="625" t="s">
        <v>319</v>
      </c>
      <c r="E104" s="625"/>
      <c r="F104" s="630">
        <v>6154</v>
      </c>
      <c r="G104" s="630">
        <v>261046.52600000001</v>
      </c>
      <c r="H104" s="625">
        <v>0</v>
      </c>
      <c r="I104" s="625"/>
      <c r="J104" s="625"/>
      <c r="K104" s="625"/>
      <c r="L104" s="625">
        <v>0</v>
      </c>
      <c r="M104" s="625"/>
      <c r="N104" s="625"/>
      <c r="O104" s="625"/>
      <c r="P104" s="625"/>
      <c r="Q104" s="625"/>
      <c r="R104" s="625">
        <v>0</v>
      </c>
      <c r="S104" s="625"/>
      <c r="U104"/>
    </row>
    <row r="105" spans="1:21" ht="16.5">
      <c r="A105" s="625"/>
      <c r="B105" s="625" t="s">
        <v>318</v>
      </c>
      <c r="C105" s="625" t="s">
        <v>47</v>
      </c>
      <c r="D105" s="625" t="s">
        <v>319</v>
      </c>
      <c r="E105" s="625"/>
      <c r="F105" s="630">
        <v>55176</v>
      </c>
      <c r="G105" s="630">
        <v>2340510.7439999999</v>
      </c>
      <c r="H105" s="625">
        <v>0</v>
      </c>
      <c r="I105" s="625"/>
      <c r="J105" s="625"/>
      <c r="K105" s="625"/>
      <c r="L105" s="625">
        <v>0</v>
      </c>
      <c r="M105" s="625"/>
      <c r="N105" s="625"/>
      <c r="O105" s="625"/>
      <c r="P105" s="625"/>
      <c r="Q105" s="625"/>
      <c r="R105" s="625">
        <v>0</v>
      </c>
      <c r="S105" s="625"/>
      <c r="U105"/>
    </row>
    <row r="106" spans="1:21" ht="16.5">
      <c r="A106" s="625"/>
      <c r="B106" s="625" t="s">
        <v>318</v>
      </c>
      <c r="C106" s="625" t="s">
        <v>168</v>
      </c>
      <c r="D106" s="625" t="s">
        <v>319</v>
      </c>
      <c r="E106" s="625"/>
      <c r="F106" s="630">
        <v>1634</v>
      </c>
      <c r="G106" s="630">
        <v>69312.645999999993</v>
      </c>
      <c r="H106" s="625">
        <v>0</v>
      </c>
      <c r="I106" s="625"/>
      <c r="J106" s="625"/>
      <c r="K106" s="625"/>
      <c r="L106" s="625">
        <v>0</v>
      </c>
      <c r="M106" s="625"/>
      <c r="N106" s="625"/>
      <c r="O106" s="625"/>
      <c r="P106" s="625"/>
      <c r="Q106" s="625"/>
      <c r="R106" s="625">
        <v>0</v>
      </c>
      <c r="S106" s="625"/>
      <c r="U106"/>
    </row>
    <row r="107" spans="1:21" ht="16.5">
      <c r="A107" s="625"/>
      <c r="B107" s="625" t="s">
        <v>318</v>
      </c>
      <c r="C107" s="625" t="s">
        <v>320</v>
      </c>
      <c r="D107" s="625" t="s">
        <v>319</v>
      </c>
      <c r="E107" s="625"/>
      <c r="F107" s="630">
        <v>161.1</v>
      </c>
      <c r="G107" s="630">
        <v>6833.7008999999998</v>
      </c>
      <c r="H107" s="625">
        <v>0</v>
      </c>
      <c r="I107" s="625"/>
      <c r="J107" s="625"/>
      <c r="K107" s="625"/>
      <c r="L107" s="625">
        <v>0</v>
      </c>
      <c r="M107" s="625"/>
      <c r="N107" s="625"/>
      <c r="O107" s="625"/>
      <c r="P107" s="625"/>
      <c r="Q107" s="625"/>
      <c r="R107" s="625">
        <v>0</v>
      </c>
      <c r="S107" s="625"/>
      <c r="U107"/>
    </row>
    <row r="108" spans="1:21" ht="16.5">
      <c r="A108" s="625" t="s">
        <v>321</v>
      </c>
      <c r="B108" s="625"/>
      <c r="C108" s="625"/>
      <c r="D108" s="625"/>
      <c r="E108" s="625"/>
      <c r="F108" s="630">
        <v>64252.1</v>
      </c>
      <c r="G108" s="630">
        <v>2725509.8298999998</v>
      </c>
      <c r="H108" s="625">
        <v>0</v>
      </c>
      <c r="I108" s="625"/>
      <c r="J108" s="625"/>
      <c r="K108" s="625"/>
      <c r="L108" s="625">
        <v>0</v>
      </c>
      <c r="M108" s="625">
        <v>0</v>
      </c>
      <c r="N108" s="625">
        <v>0</v>
      </c>
      <c r="O108" s="625">
        <v>0</v>
      </c>
      <c r="P108" s="625">
        <v>0</v>
      </c>
      <c r="Q108" s="625">
        <v>0</v>
      </c>
      <c r="R108" s="625">
        <v>0</v>
      </c>
      <c r="S108" s="625">
        <v>0</v>
      </c>
      <c r="U108"/>
    </row>
    <row r="109" spans="1:21" ht="16.5">
      <c r="A109" s="625" t="s">
        <v>322</v>
      </c>
      <c r="B109" s="625"/>
      <c r="C109" s="625"/>
      <c r="D109" s="625"/>
      <c r="E109" s="625"/>
      <c r="F109" s="630">
        <v>64252.1</v>
      </c>
      <c r="G109" s="630">
        <v>2725509.8298999998</v>
      </c>
      <c r="H109" s="625">
        <v>0</v>
      </c>
      <c r="I109" s="625"/>
      <c r="J109" s="625"/>
      <c r="K109" s="625"/>
      <c r="L109" s="625">
        <v>0</v>
      </c>
      <c r="M109" s="625">
        <v>0</v>
      </c>
      <c r="N109" s="625">
        <v>0</v>
      </c>
      <c r="O109" s="625">
        <v>0</v>
      </c>
      <c r="P109" s="625">
        <v>0</v>
      </c>
      <c r="Q109" s="625">
        <v>0</v>
      </c>
      <c r="R109" s="625">
        <v>0</v>
      </c>
      <c r="S109" s="625">
        <v>0</v>
      </c>
      <c r="U109"/>
    </row>
    <row r="110" spans="1:21" ht="16.5">
      <c r="A110" s="625" t="s">
        <v>323</v>
      </c>
      <c r="B110" s="625"/>
      <c r="C110" s="625"/>
      <c r="D110" s="625"/>
      <c r="E110" s="625"/>
      <c r="F110" s="630">
        <v>64252.1</v>
      </c>
      <c r="G110" s="630">
        <v>2725509.8298999998</v>
      </c>
      <c r="H110" s="625">
        <v>0</v>
      </c>
      <c r="I110" s="625"/>
      <c r="J110" s="625"/>
      <c r="K110" s="625"/>
      <c r="L110" s="625">
        <v>0</v>
      </c>
      <c r="M110" s="625"/>
      <c r="N110" s="625"/>
      <c r="O110" s="625"/>
      <c r="P110" s="625">
        <v>0</v>
      </c>
      <c r="Q110" s="625">
        <v>0</v>
      </c>
      <c r="R110" s="625">
        <v>0</v>
      </c>
      <c r="S110" s="625"/>
      <c r="U110"/>
    </row>
    <row r="111" spans="1:21" ht="16.5">
      <c r="A111" s="625" t="s">
        <v>324</v>
      </c>
      <c r="B111" s="625"/>
      <c r="C111" s="625"/>
      <c r="D111" s="625"/>
      <c r="E111" s="625"/>
      <c r="F111" s="630">
        <v>58482123.177699998</v>
      </c>
      <c r="G111" s="630">
        <v>2491353122.9840999</v>
      </c>
      <c r="H111" s="627">
        <v>51382715637</v>
      </c>
      <c r="I111" s="628">
        <v>1036286160</v>
      </c>
      <c r="J111" s="628">
        <v>271499680</v>
      </c>
      <c r="K111" s="628">
        <v>25850800</v>
      </c>
      <c r="L111" s="627">
        <v>52299749567</v>
      </c>
      <c r="M111" s="627">
        <v>24905975</v>
      </c>
      <c r="N111" s="627">
        <v>885950638</v>
      </c>
      <c r="O111" s="625"/>
      <c r="P111" s="625">
        <v>0</v>
      </c>
      <c r="Q111" s="627">
        <v>3511133</v>
      </c>
      <c r="R111" s="627">
        <v>2666184</v>
      </c>
      <c r="S111" s="625"/>
      <c r="U111"/>
    </row>
    <row r="112" spans="1:21" ht="16.5">
      <c r="A112" s="625" t="s">
        <v>325</v>
      </c>
      <c r="B112" s="625"/>
      <c r="C112" s="625"/>
      <c r="D112" s="625"/>
      <c r="E112" s="625"/>
      <c r="F112" s="625"/>
      <c r="G112" s="625"/>
      <c r="H112" s="625"/>
      <c r="I112" s="625"/>
      <c r="J112" s="625"/>
      <c r="K112" s="625"/>
      <c r="L112" s="625"/>
      <c r="M112" s="625"/>
      <c r="N112" s="625"/>
      <c r="O112" s="625"/>
      <c r="P112" s="625"/>
      <c r="Q112" s="625"/>
      <c r="R112" s="625"/>
      <c r="S112" s="629">
        <v>45478.68241898148</v>
      </c>
      <c r="U112"/>
    </row>
    <row r="113" spans="1:21" ht="16.5">
      <c r="A113" s="615"/>
      <c r="B113" s="615"/>
      <c r="C113" s="615"/>
      <c r="D113" s="615"/>
      <c r="E113" s="615"/>
      <c r="F113" s="615"/>
      <c r="G113" s="620"/>
      <c r="H113" s="620"/>
      <c r="I113" s="615"/>
      <c r="J113" s="615"/>
      <c r="K113" s="615"/>
      <c r="L113" s="617"/>
      <c r="M113" s="615"/>
      <c r="N113" s="615"/>
      <c r="O113" s="615"/>
      <c r="P113" s="615"/>
      <c r="Q113" s="615"/>
      <c r="R113" s="615"/>
      <c r="S113" s="614"/>
      <c r="U113"/>
    </row>
    <row r="114" spans="1:21" ht="16.5">
      <c r="A114" s="615"/>
      <c r="B114" s="615"/>
      <c r="C114" s="615"/>
      <c r="D114" s="617"/>
      <c r="E114" s="615"/>
      <c r="F114" s="615"/>
      <c r="G114" s="615"/>
      <c r="H114" s="620"/>
      <c r="I114" s="615"/>
      <c r="J114" s="615"/>
      <c r="K114" s="615"/>
      <c r="L114" s="615"/>
      <c r="M114" s="615"/>
      <c r="N114" s="615"/>
      <c r="O114" s="615"/>
      <c r="P114" s="615"/>
      <c r="Q114" s="615"/>
      <c r="R114" s="615"/>
      <c r="S114" s="614"/>
      <c r="U114"/>
    </row>
    <row r="115" spans="1:21" ht="16.5">
      <c r="A115" s="615"/>
      <c r="B115" s="615"/>
      <c r="C115" s="615"/>
      <c r="D115" s="615"/>
      <c r="E115" s="615"/>
      <c r="F115" s="617"/>
      <c r="G115" s="620"/>
      <c r="H115" s="620"/>
      <c r="I115" s="615"/>
      <c r="J115" s="615"/>
      <c r="K115" s="615"/>
      <c r="L115" s="617"/>
      <c r="M115" s="615"/>
      <c r="N115" s="615"/>
      <c r="O115" s="615"/>
      <c r="P115" s="615"/>
      <c r="Q115" s="615"/>
      <c r="R115" s="615"/>
      <c r="S115" s="614"/>
      <c r="U115"/>
    </row>
    <row r="116" spans="1:21" ht="16.5">
      <c r="A116" s="615"/>
      <c r="B116" s="615"/>
      <c r="C116" s="615"/>
      <c r="D116" s="615"/>
      <c r="E116" s="615"/>
      <c r="F116" s="617"/>
      <c r="G116" s="620"/>
      <c r="H116" s="620"/>
      <c r="I116" s="615"/>
      <c r="J116" s="615"/>
      <c r="K116" s="615"/>
      <c r="L116" s="617"/>
      <c r="M116" s="615"/>
      <c r="N116" s="615"/>
      <c r="O116" s="615"/>
      <c r="P116" s="615"/>
      <c r="Q116" s="615"/>
      <c r="R116" s="615"/>
      <c r="S116" s="614"/>
      <c r="U116"/>
    </row>
    <row r="117" spans="1:21" ht="16.5">
      <c r="A117" s="615"/>
      <c r="B117" s="615"/>
      <c r="C117" s="615"/>
      <c r="D117" s="615"/>
      <c r="E117" s="615"/>
      <c r="F117" s="617"/>
      <c r="G117" s="620"/>
      <c r="H117" s="620"/>
      <c r="I117" s="615"/>
      <c r="J117" s="615"/>
      <c r="K117" s="615"/>
      <c r="L117" s="617"/>
      <c r="M117" s="615"/>
      <c r="N117" s="615"/>
      <c r="O117" s="615"/>
      <c r="P117" s="615"/>
      <c r="Q117" s="615"/>
      <c r="R117" s="615"/>
      <c r="S117" s="614"/>
      <c r="U117"/>
    </row>
    <row r="118" spans="1:21" ht="16.5">
      <c r="A118" s="615"/>
      <c r="B118" s="615"/>
      <c r="C118" s="615"/>
      <c r="D118" s="615"/>
      <c r="E118" s="615"/>
      <c r="F118" s="617"/>
      <c r="G118" s="620"/>
      <c r="H118" s="620"/>
      <c r="I118" s="615"/>
      <c r="J118" s="615"/>
      <c r="K118" s="615"/>
      <c r="L118" s="617"/>
      <c r="M118" s="615"/>
      <c r="N118" s="615"/>
      <c r="O118" s="615"/>
      <c r="P118" s="615"/>
      <c r="Q118" s="615"/>
      <c r="R118" s="615"/>
      <c r="S118" s="614"/>
      <c r="U118"/>
    </row>
    <row r="119" spans="1:21" ht="16.5">
      <c r="A119" s="615"/>
      <c r="B119" s="615"/>
      <c r="C119" s="615"/>
      <c r="D119" s="615"/>
      <c r="E119" s="615"/>
      <c r="F119" s="617"/>
      <c r="G119" s="620"/>
      <c r="H119" s="620"/>
      <c r="I119" s="615"/>
      <c r="J119" s="615"/>
      <c r="K119" s="615"/>
      <c r="L119" s="617"/>
      <c r="M119" s="615"/>
      <c r="N119" s="615"/>
      <c r="O119" s="615"/>
      <c r="P119" s="615"/>
      <c r="Q119" s="615"/>
      <c r="R119" s="615"/>
      <c r="S119" s="614"/>
      <c r="U119"/>
    </row>
    <row r="120" spans="1:21" ht="16.5">
      <c r="A120" s="615"/>
      <c r="B120" s="615"/>
      <c r="C120" s="615"/>
      <c r="D120" s="615"/>
      <c r="E120" s="615"/>
      <c r="F120" s="615"/>
      <c r="G120" s="620"/>
      <c r="H120" s="620"/>
      <c r="I120" s="615"/>
      <c r="J120" s="615"/>
      <c r="K120" s="615"/>
      <c r="L120" s="617"/>
      <c r="M120" s="615"/>
      <c r="N120" s="615"/>
      <c r="O120" s="615"/>
      <c r="P120" s="615"/>
      <c r="Q120" s="615"/>
      <c r="R120" s="615"/>
      <c r="S120" s="614"/>
      <c r="U120"/>
    </row>
    <row r="121" spans="1:21" ht="16.5">
      <c r="A121" s="615"/>
      <c r="B121" s="615"/>
      <c r="C121" s="615"/>
      <c r="D121" s="615"/>
      <c r="E121" s="615"/>
      <c r="F121" s="615"/>
      <c r="G121" s="620"/>
      <c r="H121" s="620"/>
      <c r="I121" s="615"/>
      <c r="J121" s="615"/>
      <c r="K121" s="615"/>
      <c r="L121" s="617"/>
      <c r="M121" s="615"/>
      <c r="N121" s="615"/>
      <c r="O121" s="615"/>
      <c r="P121" s="615"/>
      <c r="Q121" s="615"/>
      <c r="R121" s="615"/>
      <c r="S121" s="614"/>
      <c r="U121"/>
    </row>
    <row r="122" spans="1:21" ht="16.5">
      <c r="A122" s="615"/>
      <c r="B122" s="617"/>
      <c r="C122" s="617"/>
      <c r="D122" s="617"/>
      <c r="E122" s="615"/>
      <c r="F122" s="615"/>
      <c r="G122" s="615"/>
      <c r="H122" s="620"/>
      <c r="I122" s="615"/>
      <c r="J122" s="615"/>
      <c r="K122" s="615"/>
      <c r="L122" s="615"/>
      <c r="M122" s="615"/>
      <c r="N122" s="615"/>
      <c r="O122" s="615"/>
      <c r="P122" s="615"/>
      <c r="Q122" s="615"/>
      <c r="R122" s="615"/>
      <c r="S122" s="614"/>
      <c r="U122"/>
    </row>
    <row r="123" spans="1:21" ht="16.5">
      <c r="A123" s="615"/>
      <c r="B123" s="617"/>
      <c r="C123" s="617"/>
      <c r="D123" s="617"/>
      <c r="E123" s="618"/>
      <c r="F123" s="618"/>
      <c r="G123" s="620"/>
      <c r="H123" s="620"/>
      <c r="I123" s="617"/>
      <c r="J123" s="617"/>
      <c r="K123" s="615"/>
      <c r="L123" s="615"/>
      <c r="M123" s="617"/>
      <c r="N123" s="617"/>
      <c r="O123" s="615"/>
      <c r="P123" s="615"/>
      <c r="Q123" s="615"/>
      <c r="R123" s="615"/>
      <c r="S123" s="614"/>
      <c r="U123"/>
    </row>
    <row r="124" spans="1:21" ht="16.5">
      <c r="A124" s="616"/>
      <c r="B124" s="615"/>
      <c r="C124" s="615"/>
      <c r="D124" s="615"/>
      <c r="E124" s="615"/>
      <c r="F124" s="617"/>
      <c r="G124" s="620"/>
      <c r="H124" s="620"/>
      <c r="I124" s="615"/>
      <c r="J124" s="615"/>
      <c r="K124" s="615"/>
      <c r="L124" s="617"/>
      <c r="M124" s="615"/>
      <c r="N124" s="615"/>
      <c r="O124" s="615"/>
      <c r="P124" s="615"/>
      <c r="Q124" s="615"/>
      <c r="R124" s="615"/>
      <c r="S124" s="614"/>
      <c r="U124"/>
    </row>
    <row r="125" spans="1:21" ht="16.5">
      <c r="A125" s="615"/>
      <c r="B125" s="617"/>
      <c r="C125" s="617"/>
      <c r="D125" s="617"/>
      <c r="E125" s="615"/>
      <c r="F125" s="615"/>
      <c r="G125" s="615"/>
      <c r="H125" s="620"/>
      <c r="I125" s="615"/>
      <c r="J125" s="615"/>
      <c r="K125" s="615"/>
      <c r="L125" s="615"/>
      <c r="M125" s="615"/>
      <c r="N125" s="615"/>
      <c r="O125" s="615"/>
      <c r="P125" s="615"/>
      <c r="Q125" s="615"/>
      <c r="R125" s="615"/>
      <c r="S125" s="614"/>
    </row>
    <row r="126" spans="1:21" ht="16.5">
      <c r="A126" s="615"/>
      <c r="B126" s="617"/>
      <c r="C126" s="617"/>
      <c r="D126" s="617"/>
      <c r="E126" s="615"/>
      <c r="F126" s="615"/>
      <c r="G126" s="615"/>
      <c r="H126" s="620"/>
      <c r="I126" s="615"/>
      <c r="J126" s="615"/>
      <c r="K126" s="615"/>
      <c r="L126" s="615"/>
      <c r="M126" s="615"/>
      <c r="N126" s="615"/>
      <c r="O126" s="615"/>
      <c r="P126" s="615"/>
      <c r="Q126" s="615"/>
      <c r="R126" s="615"/>
      <c r="S126" s="614"/>
    </row>
    <row r="127" spans="1:21" ht="16.5">
      <c r="A127" s="615"/>
      <c r="B127" s="617"/>
      <c r="C127" s="617"/>
      <c r="D127" s="617"/>
      <c r="E127" s="618"/>
      <c r="F127" s="618"/>
      <c r="G127" s="620"/>
      <c r="H127" s="620"/>
      <c r="I127" s="617"/>
      <c r="J127" s="617"/>
      <c r="K127" s="615"/>
      <c r="L127" s="615"/>
      <c r="M127" s="617"/>
      <c r="N127" s="617"/>
      <c r="O127" s="615"/>
      <c r="P127" s="615"/>
      <c r="Q127" s="615"/>
      <c r="R127" s="615"/>
      <c r="S127" s="614"/>
    </row>
    <row r="128" spans="1:21" ht="16.5">
      <c r="A128" s="615"/>
      <c r="B128" s="615"/>
      <c r="C128" s="615"/>
      <c r="D128" s="615"/>
      <c r="E128" s="615"/>
      <c r="F128" s="615"/>
      <c r="G128" s="620"/>
      <c r="H128" s="620"/>
      <c r="I128" s="615"/>
      <c r="J128" s="615"/>
      <c r="K128" s="615"/>
      <c r="L128" s="615"/>
      <c r="M128" s="615"/>
      <c r="N128" s="615"/>
      <c r="O128" s="615"/>
      <c r="P128" s="615"/>
      <c r="Q128" s="615"/>
      <c r="R128" s="615"/>
      <c r="S128" s="614"/>
    </row>
    <row r="129" spans="1:19" ht="16.5">
      <c r="A129" s="615"/>
      <c r="B129" s="615"/>
      <c r="C129" s="615"/>
      <c r="D129" s="615"/>
      <c r="E129" s="615"/>
      <c r="F129" s="615"/>
      <c r="G129" s="620"/>
      <c r="H129" s="620"/>
      <c r="I129" s="615"/>
      <c r="J129" s="615"/>
      <c r="K129" s="615"/>
      <c r="L129" s="615"/>
      <c r="M129" s="615"/>
      <c r="N129" s="615"/>
      <c r="O129" s="615"/>
      <c r="P129" s="615"/>
      <c r="Q129" s="615"/>
      <c r="R129" s="615"/>
      <c r="S129" s="615"/>
    </row>
    <row r="130" spans="1:19" ht="16.5">
      <c r="A130" s="615"/>
      <c r="B130" s="615"/>
      <c r="C130" s="615"/>
      <c r="D130" s="615"/>
      <c r="E130" s="615"/>
      <c r="F130" s="617"/>
      <c r="G130" s="620"/>
      <c r="H130" s="620"/>
      <c r="I130" s="615"/>
      <c r="J130" s="615"/>
      <c r="K130" s="615"/>
      <c r="L130" s="615"/>
      <c r="M130" s="615"/>
      <c r="N130" s="615"/>
      <c r="O130" s="615"/>
      <c r="P130" s="615"/>
      <c r="Q130" s="615"/>
      <c r="R130" s="615"/>
      <c r="S130" s="615"/>
    </row>
    <row r="131" spans="1:19" ht="16.5">
      <c r="A131" s="615"/>
      <c r="B131" s="615"/>
      <c r="C131" s="615"/>
      <c r="D131" s="615"/>
      <c r="E131" s="615"/>
      <c r="F131" s="617"/>
      <c r="G131" s="620"/>
      <c r="H131" s="620"/>
      <c r="I131" s="615"/>
      <c r="J131" s="615"/>
      <c r="K131" s="615"/>
      <c r="L131" s="615"/>
      <c r="M131" s="615"/>
      <c r="N131" s="615"/>
      <c r="O131" s="615"/>
      <c r="P131" s="615"/>
      <c r="Q131" s="615"/>
      <c r="R131" s="615"/>
      <c r="S131" s="615"/>
    </row>
    <row r="132" spans="1:19" ht="16.5">
      <c r="A132" s="615"/>
      <c r="B132" s="615"/>
      <c r="C132" s="615"/>
      <c r="D132" s="615"/>
      <c r="E132" s="615"/>
      <c r="F132" s="617"/>
      <c r="G132" s="620"/>
      <c r="H132" s="620"/>
      <c r="I132" s="615"/>
      <c r="J132" s="615"/>
      <c r="K132" s="615"/>
      <c r="L132" s="615"/>
      <c r="M132" s="615"/>
      <c r="N132" s="615"/>
      <c r="O132" s="615"/>
      <c r="P132" s="615"/>
      <c r="Q132" s="615"/>
      <c r="R132" s="615"/>
      <c r="S132" s="615"/>
    </row>
    <row r="133" spans="1:19" ht="16.5">
      <c r="A133" s="615"/>
      <c r="B133" s="615"/>
      <c r="C133" s="615"/>
      <c r="D133" s="615"/>
      <c r="E133" s="615"/>
      <c r="F133" s="615"/>
      <c r="G133" s="620"/>
      <c r="H133" s="620"/>
      <c r="I133" s="615"/>
      <c r="J133" s="615"/>
      <c r="K133" s="615"/>
      <c r="L133" s="615"/>
      <c r="M133" s="615"/>
      <c r="N133" s="615"/>
      <c r="O133" s="615"/>
      <c r="P133" s="615"/>
      <c r="Q133" s="615"/>
      <c r="R133" s="615"/>
      <c r="S133" s="615"/>
    </row>
    <row r="134" spans="1:19" ht="16.5">
      <c r="A134" s="615"/>
      <c r="B134" s="617"/>
      <c r="C134" s="617"/>
      <c r="D134" s="615"/>
      <c r="E134" s="615"/>
      <c r="F134" s="615"/>
      <c r="G134" s="615"/>
      <c r="H134" s="620"/>
      <c r="I134" s="615"/>
      <c r="J134" s="615"/>
      <c r="K134" s="615"/>
      <c r="L134" s="615"/>
      <c r="M134" s="615"/>
      <c r="N134" s="615"/>
      <c r="O134" s="615"/>
      <c r="P134" s="615"/>
      <c r="Q134" s="615"/>
      <c r="R134" s="615"/>
      <c r="S134" s="615"/>
    </row>
    <row r="135" spans="1:19" ht="16.5">
      <c r="A135" s="615"/>
      <c r="B135" s="617"/>
      <c r="C135" s="617"/>
      <c r="D135" s="615"/>
      <c r="E135" s="615"/>
      <c r="F135" s="615"/>
      <c r="G135" s="615"/>
      <c r="H135" s="620"/>
      <c r="I135" s="615"/>
      <c r="J135" s="615"/>
      <c r="K135" s="615"/>
      <c r="L135" s="615"/>
      <c r="M135" s="615"/>
      <c r="N135" s="615"/>
      <c r="O135" s="615"/>
      <c r="P135" s="615"/>
      <c r="Q135" s="615"/>
      <c r="R135" s="615"/>
      <c r="S135" s="615"/>
    </row>
    <row r="136" spans="1:19" ht="16.5">
      <c r="A136" s="615"/>
      <c r="B136" s="617"/>
      <c r="C136" s="617"/>
      <c r="D136" s="615"/>
      <c r="E136" s="615"/>
      <c r="F136" s="615"/>
      <c r="G136" s="615"/>
      <c r="H136" s="620"/>
      <c r="I136" s="615"/>
      <c r="J136" s="615"/>
      <c r="K136" s="615"/>
      <c r="L136" s="615"/>
      <c r="M136" s="615"/>
      <c r="N136" s="615"/>
      <c r="O136" s="615"/>
      <c r="P136" s="615"/>
      <c r="Q136" s="615"/>
      <c r="R136" s="615"/>
      <c r="S136" s="615"/>
    </row>
    <row r="137" spans="1:19" ht="16.5">
      <c r="A137" s="615"/>
      <c r="B137" s="615"/>
      <c r="C137" s="615"/>
      <c r="D137" s="615"/>
      <c r="E137" s="615"/>
      <c r="F137" s="617"/>
      <c r="G137" s="620"/>
      <c r="H137" s="620"/>
      <c r="I137" s="618"/>
      <c r="J137" s="618"/>
      <c r="K137" s="618"/>
      <c r="L137" s="617"/>
      <c r="M137" s="617"/>
      <c r="N137" s="617"/>
      <c r="O137" s="615"/>
      <c r="P137" s="615"/>
      <c r="Q137" s="617"/>
      <c r="R137" s="617"/>
      <c r="S137" s="615"/>
    </row>
    <row r="138" spans="1:19" ht="16.5">
      <c r="A138" s="615"/>
      <c r="B138" s="615"/>
      <c r="C138" s="615"/>
      <c r="D138" s="615"/>
      <c r="E138" s="615"/>
      <c r="F138" s="615"/>
      <c r="G138" s="615"/>
      <c r="H138" s="615"/>
      <c r="I138" s="615"/>
      <c r="J138" s="615"/>
      <c r="K138" s="615"/>
      <c r="L138" s="615"/>
      <c r="M138" s="615"/>
      <c r="N138" s="615"/>
      <c r="O138" s="615"/>
      <c r="P138" s="615"/>
      <c r="Q138" s="615"/>
      <c r="R138" s="615"/>
      <c r="S138" s="619"/>
    </row>
    <row r="139" spans="1:19">
      <c r="S139" s="458"/>
    </row>
  </sheetData>
  <phoneticPr fontId="3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B1:K18"/>
  <sheetViews>
    <sheetView showGridLines="0" zoomScaleNormal="100" workbookViewId="0">
      <selection activeCell="E8" sqref="E8"/>
    </sheetView>
  </sheetViews>
  <sheetFormatPr defaultRowHeight="13.5"/>
  <cols>
    <col min="1" max="1" width="2.6640625" customWidth="1"/>
    <col min="2" max="2" width="12.109375" customWidth="1"/>
    <col min="3" max="3" width="8.88671875" customWidth="1"/>
    <col min="4" max="4" width="14.5546875" customWidth="1"/>
    <col min="5" max="5" width="14.88671875" customWidth="1"/>
    <col min="6" max="8" width="13.44140625" customWidth="1"/>
  </cols>
  <sheetData>
    <row r="1" spans="2:11" s="455" customFormat="1" ht="30.75" customHeight="1">
      <c r="B1" s="464"/>
      <c r="C1" s="464"/>
      <c r="D1" s="464"/>
      <c r="E1" s="464"/>
      <c r="F1" s="464"/>
      <c r="G1" s="464"/>
      <c r="H1" s="464"/>
      <c r="K1" s="455" t="s">
        <v>363</v>
      </c>
    </row>
    <row r="2" spans="2:11" s="455" customFormat="1" ht="30.75" customHeight="1">
      <c r="B2" s="465" t="str">
        <f>LEFT(총괄표!A2,9)&amp;" 매출현황을 다음과 같이 보고하오니 결재 바랍니다."</f>
        <v>2025년 5월  매출현황을 다음과 같이 보고하오니 결재 바랍니다.</v>
      </c>
      <c r="C2" s="465"/>
      <c r="D2" s="465"/>
      <c r="E2" s="465"/>
      <c r="F2" s="465"/>
      <c r="G2" s="465"/>
      <c r="H2" s="465"/>
    </row>
    <row r="3" spans="2:11" s="455" customFormat="1" ht="30.75" customHeight="1">
      <c r="B3" s="465"/>
      <c r="C3" s="465"/>
      <c r="E3" s="472" t="s">
        <v>350</v>
      </c>
      <c r="F3" s="465"/>
      <c r="G3" s="465"/>
      <c r="H3" s="465"/>
    </row>
    <row r="4" spans="2:11" s="455" customFormat="1" ht="15" customHeight="1">
      <c r="B4" s="465"/>
      <c r="C4" s="465"/>
      <c r="D4" s="465"/>
      <c r="E4" s="465"/>
      <c r="F4" s="465"/>
      <c r="G4" s="465"/>
      <c r="H4" s="465"/>
    </row>
    <row r="5" spans="2:11" s="455" customFormat="1" ht="30.75" customHeight="1">
      <c r="B5" s="465" t="str">
        <f>"1. 매출년월: "&amp;LEFT(총괄표!A2,9)</f>
        <v xml:space="preserve">1. 매출년월: 2025년 5월 </v>
      </c>
      <c r="C5" s="465"/>
      <c r="D5" s="465"/>
      <c r="E5" s="465"/>
      <c r="F5" s="465"/>
      <c r="G5" s="465"/>
      <c r="H5" s="465"/>
    </row>
    <row r="6" spans="2:11" s="455" customFormat="1" ht="30.75" customHeight="1">
      <c r="B6" s="465" t="s">
        <v>351</v>
      </c>
      <c r="C6" s="465"/>
      <c r="D6" s="465"/>
      <c r="E6" s="465"/>
      <c r="F6" s="465"/>
      <c r="G6" s="465"/>
      <c r="H6" s="465"/>
    </row>
    <row r="7" spans="2:11" s="455" customFormat="1" ht="30.75" customHeight="1" thickBot="1">
      <c r="B7" s="1314" t="s">
        <v>200</v>
      </c>
      <c r="C7" s="1315"/>
      <c r="D7" s="466" t="s">
        <v>201</v>
      </c>
      <c r="E7" s="484" t="s">
        <v>202</v>
      </c>
      <c r="F7" s="479" t="s">
        <v>352</v>
      </c>
      <c r="G7" s="466" t="s">
        <v>353</v>
      </c>
      <c r="H7" s="466" t="s">
        <v>354</v>
      </c>
    </row>
    <row r="8" spans="2:11" s="455" customFormat="1" ht="30.75" customHeight="1" thickTop="1">
      <c r="B8" s="467" t="s">
        <v>124</v>
      </c>
      <c r="C8" s="473" t="str">
        <f>RIGHT(B5,3)</f>
        <v xml:space="preserve">5월 </v>
      </c>
      <c r="D8" s="761">
        <f>데이터!C55</f>
        <v>3105318</v>
      </c>
      <c r="E8" s="503">
        <f>데이터!D55</f>
        <v>3009471</v>
      </c>
      <c r="F8" s="480">
        <f>E8/D8</f>
        <v>0.96913456206417503</v>
      </c>
      <c r="G8" s="475">
        <f>데이터!G55</f>
        <v>1.02719346332739</v>
      </c>
      <c r="H8" s="474">
        <f>데이터!I55</f>
        <v>0.65574631709752706</v>
      </c>
    </row>
    <row r="9" spans="2:11" s="455" customFormat="1" ht="30.75" customHeight="1" thickBot="1">
      <c r="B9" s="468" t="s">
        <v>355</v>
      </c>
      <c r="C9" s="468" t="s">
        <v>208</v>
      </c>
      <c r="D9" s="762">
        <f>데이터!C56</f>
        <v>27822263</v>
      </c>
      <c r="E9" s="760">
        <f>데이터!D56</f>
        <v>28095425</v>
      </c>
      <c r="F9" s="481">
        <f>E9/D9</f>
        <v>1.0098181086132354</v>
      </c>
      <c r="G9" s="469">
        <f>데이터!G56</f>
        <v>1.0256677036017143</v>
      </c>
      <c r="H9" s="470"/>
    </row>
    <row r="10" spans="2:11" s="455" customFormat="1" ht="30.75" customHeight="1" thickTop="1">
      <c r="B10" s="467" t="s">
        <v>209</v>
      </c>
      <c r="C10" s="473" t="str">
        <f>C8</f>
        <v xml:space="preserve">5월 </v>
      </c>
      <c r="D10" s="478">
        <f>데이터!C57</f>
        <v>70782710</v>
      </c>
      <c r="E10" s="485">
        <f>데이터!D57</f>
        <v>68024790</v>
      </c>
      <c r="F10" s="482">
        <f>E10/D10</f>
        <v>0.9610368125210238</v>
      </c>
      <c r="G10" s="474">
        <f>데이터!G57</f>
        <v>1.0844670519479256</v>
      </c>
      <c r="H10" s="474">
        <f>데이터!I57</f>
        <v>0.68050354476666253</v>
      </c>
    </row>
    <row r="11" spans="2:11" s="455" customFormat="1" ht="30.75" customHeight="1">
      <c r="B11" s="471" t="s">
        <v>210</v>
      </c>
      <c r="C11" s="471" t="s">
        <v>208</v>
      </c>
      <c r="D11" s="476">
        <f>데이터!C58</f>
        <v>618630481.7650001</v>
      </c>
      <c r="E11" s="486">
        <f>데이터!D58</f>
        <v>619699244</v>
      </c>
      <c r="F11" s="483">
        <f>E11/D11</f>
        <v>1.0017276262106429</v>
      </c>
      <c r="G11" s="477">
        <f>데이터!G58</f>
        <v>1.0812505431589321</v>
      </c>
      <c r="H11" s="477"/>
    </row>
    <row r="12" spans="2:11" s="455" customFormat="1" ht="30.75" customHeight="1">
      <c r="B12" s="465" t="s">
        <v>359</v>
      </c>
      <c r="C12" s="464"/>
      <c r="D12" s="464"/>
      <c r="E12" s="464"/>
      <c r="F12" s="464"/>
      <c r="G12" s="464"/>
      <c r="H12" s="464"/>
    </row>
    <row r="13" spans="2:11" s="455" customFormat="1" ht="17.25" customHeight="1">
      <c r="B13" s="465"/>
      <c r="C13" s="464"/>
      <c r="D13" s="464"/>
      <c r="E13" s="464"/>
      <c r="F13" s="464"/>
      <c r="G13" s="464"/>
      <c r="H13" s="464"/>
    </row>
    <row r="14" spans="2:11" s="464" customFormat="1" ht="24.95" customHeight="1">
      <c r="B14" s="465" t="s">
        <v>356</v>
      </c>
      <c r="C14" s="465"/>
      <c r="D14" s="465"/>
      <c r="E14" s="465"/>
      <c r="F14" s="465"/>
      <c r="G14" s="465"/>
      <c r="H14" s="465"/>
    </row>
    <row r="15" spans="2:11" s="464" customFormat="1" ht="24.95" customHeight="1">
      <c r="B15" s="465" t="s">
        <v>357</v>
      </c>
      <c r="C15" s="465"/>
      <c r="D15" s="465"/>
      <c r="E15" s="465"/>
      <c r="F15" s="465"/>
      <c r="G15" s="465"/>
      <c r="H15" s="465"/>
    </row>
    <row r="16" spans="2:11" s="487" customFormat="1" ht="24.95" customHeight="1">
      <c r="B16" s="465" t="s">
        <v>358</v>
      </c>
    </row>
    <row r="17" spans="2:2" ht="30.75" customHeight="1">
      <c r="B17" s="465"/>
    </row>
    <row r="18" spans="2:2" ht="30.75" customHeight="1"/>
  </sheetData>
  <mergeCells count="1">
    <mergeCell ref="B7:C7"/>
  </mergeCells>
  <phoneticPr fontId="34" type="noConversion"/>
  <pageMargins left="0.7" right="0.7" top="0.75" bottom="0.75" header="0.3" footer="0.3"/>
  <pageSetup paperSize="9" orientation="portrait" r:id="rId1"/>
  <drawing r:id="rId2"/>
  <legacy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I12"/>
  <sheetViews>
    <sheetView workbookViewId="0">
      <selection activeCell="G20" sqref="G20"/>
    </sheetView>
  </sheetViews>
  <sheetFormatPr defaultRowHeight="13.5"/>
  <cols>
    <col min="1" max="1" width="8.88671875" style="455"/>
    <col min="2" max="2" width="13.109375" style="455" bestFit="1" customWidth="1"/>
    <col min="3" max="3" width="16" style="459" bestFit="1" customWidth="1"/>
    <col min="4" max="4" width="18.77734375" style="459" bestFit="1" customWidth="1"/>
    <col min="5" max="5" width="21.5546875" style="455" bestFit="1" customWidth="1"/>
    <col min="6" max="7" width="19.88671875" style="455" bestFit="1" customWidth="1"/>
    <col min="8" max="16384" width="8.88671875" style="455"/>
  </cols>
  <sheetData>
    <row r="1" spans="1:9" ht="16.5">
      <c r="A1" s="744" t="s">
        <v>330</v>
      </c>
      <c r="B1" s="744" t="s">
        <v>273</v>
      </c>
      <c r="C1" s="745" t="s">
        <v>454</v>
      </c>
      <c r="D1" s="745" t="s">
        <v>455</v>
      </c>
      <c r="E1" s="744" t="s">
        <v>331</v>
      </c>
      <c r="F1" s="744" t="s">
        <v>332</v>
      </c>
      <c r="G1" s="744" t="s">
        <v>333</v>
      </c>
    </row>
    <row r="2" spans="1:9" ht="16.5">
      <c r="A2" s="1003">
        <v>45778</v>
      </c>
      <c r="B2" s="1002" t="s">
        <v>178</v>
      </c>
      <c r="C2" s="1005">
        <v>7422.1709000000001</v>
      </c>
      <c r="D2" s="1005">
        <v>315883.40539999999</v>
      </c>
      <c r="E2" s="1004">
        <v>7424723</v>
      </c>
      <c r="F2" s="1004">
        <v>654346</v>
      </c>
      <c r="G2" s="1004">
        <v>6770377</v>
      </c>
      <c r="I2" s="925" t="s">
        <v>469</v>
      </c>
    </row>
    <row r="3" spans="1:9" ht="16.5">
      <c r="A3" s="1003">
        <v>45778</v>
      </c>
      <c r="B3" s="1002" t="s">
        <v>177</v>
      </c>
      <c r="C3" s="1005">
        <v>4570.8634000000002</v>
      </c>
      <c r="D3" s="1005">
        <v>193936.9252</v>
      </c>
      <c r="E3" s="1004">
        <v>4722449</v>
      </c>
      <c r="F3" s="1004">
        <v>528714</v>
      </c>
      <c r="G3" s="1004">
        <v>4193735</v>
      </c>
      <c r="I3" s="455" t="s">
        <v>460</v>
      </c>
    </row>
    <row r="4" spans="1:9" ht="16.5">
      <c r="A4" s="1003">
        <v>45778</v>
      </c>
      <c r="B4" s="1002" t="s">
        <v>40</v>
      </c>
      <c r="C4" s="1005">
        <v>226406.9186</v>
      </c>
      <c r="D4" s="1005">
        <v>9636006.0144999996</v>
      </c>
      <c r="E4" s="1004">
        <v>247602155</v>
      </c>
      <c r="F4" s="1004">
        <v>42231776</v>
      </c>
      <c r="G4" s="1004">
        <v>205370379</v>
      </c>
    </row>
    <row r="5" spans="1:9" ht="16.5">
      <c r="A5" s="1003">
        <v>45778</v>
      </c>
      <c r="B5" s="1002" t="s">
        <v>174</v>
      </c>
      <c r="C5" s="1005">
        <v>77473.615999999995</v>
      </c>
      <c r="D5" s="1005">
        <v>3297129.0085999998</v>
      </c>
      <c r="E5" s="1004">
        <v>74548881</v>
      </c>
      <c r="F5" s="1004">
        <v>4540265</v>
      </c>
      <c r="G5" s="1004">
        <v>70008616</v>
      </c>
    </row>
    <row r="6" spans="1:9" ht="16.5">
      <c r="A6" s="1003">
        <v>45778</v>
      </c>
      <c r="B6" s="1002" t="s">
        <v>173</v>
      </c>
      <c r="C6" s="1005">
        <v>38091.500800000002</v>
      </c>
      <c r="D6" s="1005">
        <v>1620579.8304999999</v>
      </c>
      <c r="E6" s="1004">
        <v>36641930</v>
      </c>
      <c r="F6" s="1004">
        <v>2716290</v>
      </c>
      <c r="G6" s="1004">
        <v>33925640</v>
      </c>
    </row>
    <row r="7" spans="1:9" ht="16.5">
      <c r="A7" s="1003">
        <v>45778</v>
      </c>
      <c r="B7" s="1002" t="s">
        <v>171</v>
      </c>
      <c r="C7" s="1005">
        <v>24725.409599999999</v>
      </c>
      <c r="D7" s="1005">
        <v>1052356.1776000001</v>
      </c>
      <c r="E7" s="1004">
        <v>24735278</v>
      </c>
      <c r="F7" s="1004">
        <v>2132974</v>
      </c>
      <c r="G7" s="1004">
        <v>22602304</v>
      </c>
    </row>
    <row r="8" spans="1:9" ht="16.5">
      <c r="A8" s="1003">
        <v>45778</v>
      </c>
      <c r="B8" s="1002" t="s">
        <v>37</v>
      </c>
      <c r="C8" s="1005">
        <v>429.0958</v>
      </c>
      <c r="D8" s="1005">
        <v>18321.956600000001</v>
      </c>
      <c r="E8" s="1004">
        <v>430638</v>
      </c>
      <c r="F8" s="1004">
        <v>41749</v>
      </c>
      <c r="G8" s="1004">
        <v>388889</v>
      </c>
    </row>
    <row r="9" spans="1:9" ht="16.5">
      <c r="A9" s="1003">
        <v>45809</v>
      </c>
      <c r="B9" s="1002" t="s">
        <v>40</v>
      </c>
      <c r="C9" s="1005">
        <v>212.57050000000001</v>
      </c>
      <c r="D9" s="1005">
        <v>9067.1659</v>
      </c>
      <c r="E9" s="1004">
        <v>222836</v>
      </c>
      <c r="F9" s="1004">
        <v>41009</v>
      </c>
      <c r="G9" s="1004">
        <v>181827</v>
      </c>
    </row>
    <row r="10" spans="1:9" ht="16.5">
      <c r="A10" s="1003">
        <v>45809</v>
      </c>
      <c r="B10" s="1002" t="s">
        <v>174</v>
      </c>
      <c r="C10" s="1005">
        <v>11.8644</v>
      </c>
      <c r="D10" s="1005">
        <v>506.3014</v>
      </c>
      <c r="E10" s="1004">
        <v>11447</v>
      </c>
      <c r="F10" s="1004">
        <v>1294</v>
      </c>
      <c r="G10" s="1004">
        <v>10153</v>
      </c>
    </row>
    <row r="11" spans="1:9" ht="16.5">
      <c r="A11" s="1003">
        <v>45809</v>
      </c>
      <c r="B11" s="1002" t="s">
        <v>171</v>
      </c>
      <c r="C11" s="1005">
        <v>8.8983000000000008</v>
      </c>
      <c r="D11" s="1005">
        <v>379.94850000000002</v>
      </c>
      <c r="E11" s="1004">
        <v>8930</v>
      </c>
      <c r="F11" s="1004">
        <v>1311</v>
      </c>
      <c r="G11" s="1004">
        <v>7619</v>
      </c>
    </row>
    <row r="12" spans="1:9" ht="16.5">
      <c r="A12" s="1002"/>
      <c r="B12" s="1002" t="s">
        <v>337</v>
      </c>
      <c r="C12" s="1005">
        <v>379352.90830000001</v>
      </c>
      <c r="D12" s="1005">
        <v>16144166.734200001</v>
      </c>
      <c r="E12" s="1004">
        <v>396349267</v>
      </c>
      <c r="F12" s="1004">
        <v>52889728</v>
      </c>
      <c r="G12" s="1004">
        <v>343459539</v>
      </c>
    </row>
  </sheetData>
  <phoneticPr fontId="34" type="noConversion"/>
  <pageMargins left="0.51181102362204722" right="0.11811023622047245" top="0.74803149606299213" bottom="0.74803149606299213" header="0.31496062992125984" footer="0.31496062992125984"/>
  <pageSetup paperSize="9" orientation="landscape" r:id="rId1"/>
  <drawing r:id="rId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12F73F-CFAF-4B8D-9B76-B6D4EC42DCD6}">
  <dimension ref="A1"/>
  <sheetViews>
    <sheetView workbookViewId="0">
      <selection activeCell="P15" sqref="P15"/>
    </sheetView>
  </sheetViews>
  <sheetFormatPr defaultRowHeight="13.5"/>
  <sheetData/>
  <phoneticPr fontId="34" type="noConversion"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12</vt:i4>
      </vt:variant>
      <vt:variant>
        <vt:lpstr>이름 지정된 범위</vt:lpstr>
      </vt:variant>
      <vt:variant>
        <vt:i4>7</vt:i4>
      </vt:variant>
    </vt:vector>
  </HeadingPairs>
  <TitlesOfParts>
    <vt:vector size="19" baseType="lpstr">
      <vt:lpstr>총괄표</vt:lpstr>
      <vt:lpstr>매출액표</vt:lpstr>
      <vt:lpstr>가스공사용(MJ)</vt:lpstr>
      <vt:lpstr>사회복지시설(MJ)</vt:lpstr>
      <vt:lpstr>자가소모</vt:lpstr>
      <vt:lpstr>판매량-월별추이</vt:lpstr>
      <vt:lpstr>판매금액-월별추이</vt:lpstr>
      <vt:lpstr>데이터</vt:lpstr>
      <vt:lpstr>매출관리(월)</vt:lpstr>
      <vt:lpstr>기안결재표지</vt:lpstr>
      <vt:lpstr>청구할인정산관리</vt:lpstr>
      <vt:lpstr>냉난방단가기준</vt:lpstr>
      <vt:lpstr>매출액표!Print_Area</vt:lpstr>
      <vt:lpstr>'사회복지시설(MJ)'!Print_Area</vt:lpstr>
      <vt:lpstr>자가소모!Print_Area</vt:lpstr>
      <vt:lpstr>총괄표!Print_Area</vt:lpstr>
      <vt:lpstr>'판매금액-월별추이'!Print_Area</vt:lpstr>
      <vt:lpstr>'판매량-월별추이'!Print_Area</vt:lpstr>
      <vt:lpstr>변동후단가표</vt:lpstr>
    </vt:vector>
  </TitlesOfParts>
  <Company>대구도시가스(주)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대구도시가스(주)</dc:creator>
  <cp:lastModifiedBy>최 한엽</cp:lastModifiedBy>
  <cp:lastPrinted>2025-06-09T04:37:04Z</cp:lastPrinted>
  <dcterms:created xsi:type="dcterms:W3CDTF">1997-01-06T01:40:49Z</dcterms:created>
  <dcterms:modified xsi:type="dcterms:W3CDTF">2025-07-14T07:33:48Z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NSCPROP_SA">
    <vt:lpwstr>D:\수납(최인식)\월매출\2017년매출\판매량정산서2017년11월(원본).xlsx</vt:lpwstr>
  </property>
  <property fmtid="{D5CDD505-2E9C-101B-9397-08002B2CF9AE}" pid="3" name="WorkbookGuid">
    <vt:lpwstr>31a3c718-0ad5-4347-a52f-9ea3be4c06dc</vt:lpwstr>
  </property>
</Properties>
</file>
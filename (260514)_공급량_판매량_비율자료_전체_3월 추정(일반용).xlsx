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6AFB0DC2-7B3F-41CB-B186-C01CE33812E9}" xr6:coauthVersionLast="36" xr6:coauthVersionMax="47" xr10:uidLastSave="{00000000-0000-0000-0000-000000000000}"/>
  <bookViews>
    <workbookView xWindow="0" yWindow="0" windowWidth="28800" windowHeight="11400" xr2:uid="{B507BD70-4D25-4689-9D44-8F066B49CCC7}"/>
  </bookViews>
  <sheets>
    <sheet name="3월검증" sheetId="22" r:id="rId1"/>
    <sheet name="3월계산내역" sheetId="1" r:id="rId2"/>
  </sheets>
  <definedNames>
    <definedName name="_xlnm._FilterDatabase" localSheetId="1" hidden="1">'3월계산내역'!$A$9:$S$9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2" l="1"/>
  <c r="E16" i="22"/>
  <c r="D5" i="22" l="1"/>
  <c r="C5" i="22"/>
  <c r="D6" i="22" s="1"/>
  <c r="B5" i="22"/>
  <c r="B6" i="22" s="1"/>
  <c r="J11" i="1"/>
  <c r="K11" i="1"/>
  <c r="L11" i="1"/>
  <c r="M11" i="1"/>
  <c r="N11" i="1"/>
  <c r="O11" i="1"/>
  <c r="P11" i="1"/>
  <c r="Q11" i="1"/>
  <c r="R11" i="1"/>
  <c r="S11" i="1"/>
  <c r="J12" i="1"/>
  <c r="K12" i="1"/>
  <c r="N12" i="1" s="1"/>
  <c r="L12" i="1"/>
  <c r="M12" i="1"/>
  <c r="J13" i="1"/>
  <c r="K13" i="1"/>
  <c r="L13" i="1"/>
  <c r="M13" i="1"/>
  <c r="N13" i="1"/>
  <c r="O13" i="1"/>
  <c r="P13" i="1"/>
  <c r="Q13" i="1"/>
  <c r="R13" i="1"/>
  <c r="S13" i="1"/>
  <c r="J14" i="1"/>
  <c r="K14" i="1"/>
  <c r="N14" i="1"/>
  <c r="J15" i="1"/>
  <c r="K15" i="1"/>
  <c r="J16" i="1"/>
  <c r="K16" i="1"/>
  <c r="N16" i="1" s="1"/>
  <c r="L16" i="1"/>
  <c r="M16" i="1"/>
  <c r="J17" i="1"/>
  <c r="K17" i="1"/>
  <c r="L17" i="1"/>
  <c r="J18" i="1"/>
  <c r="K18" i="1"/>
  <c r="N18" i="1"/>
  <c r="J19" i="1"/>
  <c r="K19" i="1"/>
  <c r="L19" i="1"/>
  <c r="M19" i="1"/>
  <c r="N19" i="1"/>
  <c r="J20" i="1"/>
  <c r="K20" i="1" s="1"/>
  <c r="L20" i="1" s="1"/>
  <c r="M20" i="1"/>
  <c r="N20" i="1"/>
  <c r="J21" i="1"/>
  <c r="K21" i="1"/>
  <c r="N21" i="1"/>
  <c r="J22" i="1"/>
  <c r="K22" i="1"/>
  <c r="J23" i="1"/>
  <c r="K23" i="1"/>
  <c r="L23" i="1"/>
  <c r="J24" i="1"/>
  <c r="K24" i="1"/>
  <c r="L24" i="1"/>
  <c r="M24" i="1"/>
  <c r="N24" i="1"/>
  <c r="O24" i="1"/>
  <c r="P24" i="1"/>
  <c r="J25" i="1"/>
  <c r="K25" i="1"/>
  <c r="J26" i="1"/>
  <c r="K26" i="1" s="1"/>
  <c r="L26" i="1" s="1"/>
  <c r="N26" i="1"/>
  <c r="J27" i="1"/>
  <c r="K27" i="1"/>
  <c r="L27" i="1"/>
  <c r="M27" i="1"/>
  <c r="N27" i="1"/>
  <c r="J28" i="1"/>
  <c r="K28" i="1" s="1"/>
  <c r="L28" i="1" s="1"/>
  <c r="M28" i="1"/>
  <c r="N28" i="1"/>
  <c r="J29" i="1"/>
  <c r="K29" i="1"/>
  <c r="J30" i="1"/>
  <c r="K30" i="1"/>
  <c r="N30" i="1"/>
  <c r="J31" i="1"/>
  <c r="K31" i="1"/>
  <c r="L31" i="1"/>
  <c r="M31" i="1"/>
  <c r="N31" i="1"/>
  <c r="J32" i="1"/>
  <c r="K32" i="1" s="1"/>
  <c r="J33" i="1"/>
  <c r="K33" i="1"/>
  <c r="N33" i="1" s="1"/>
  <c r="L33" i="1"/>
  <c r="M33" i="1"/>
  <c r="J34" i="1"/>
  <c r="K34" i="1" s="1"/>
  <c r="J35" i="1"/>
  <c r="K35" i="1"/>
  <c r="L35" i="1"/>
  <c r="M35" i="1"/>
  <c r="N35" i="1"/>
  <c r="O35" i="1"/>
  <c r="Q35" i="1" s="1"/>
  <c r="P35" i="1"/>
  <c r="J36" i="1"/>
  <c r="K36" i="1"/>
  <c r="J37" i="1"/>
  <c r="K37" i="1"/>
  <c r="L37" i="1" s="1"/>
  <c r="M37" i="1"/>
  <c r="N37" i="1"/>
  <c r="O37" i="1"/>
  <c r="R37" i="1"/>
  <c r="J38" i="1"/>
  <c r="K38" i="1" s="1"/>
  <c r="N38" i="1"/>
  <c r="J39" i="1"/>
  <c r="K39" i="1"/>
  <c r="J40" i="1"/>
  <c r="K40" i="1"/>
  <c r="N40" i="1" s="1"/>
  <c r="L40" i="1"/>
  <c r="M40" i="1"/>
  <c r="O40" i="1"/>
  <c r="P40" i="1"/>
  <c r="Q40" i="1"/>
  <c r="J41" i="1"/>
  <c r="K41" i="1"/>
  <c r="J42" i="1"/>
  <c r="K42" i="1" s="1"/>
  <c r="L42" i="1" s="1"/>
  <c r="M42" i="1"/>
  <c r="N4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O45" i="1"/>
  <c r="P45" i="1" s="1"/>
  <c r="J46" i="1"/>
  <c r="K46" i="1" s="1"/>
  <c r="J47" i="1"/>
  <c r="K47" i="1"/>
  <c r="N47" i="1"/>
  <c r="J48" i="1"/>
  <c r="K48" i="1" s="1"/>
  <c r="M48" i="1"/>
  <c r="J49" i="1"/>
  <c r="K49" i="1"/>
  <c r="J50" i="1"/>
  <c r="K50" i="1" s="1"/>
  <c r="J51" i="1"/>
  <c r="K51" i="1"/>
  <c r="L51" i="1"/>
  <c r="M51" i="1"/>
  <c r="N51" i="1"/>
  <c r="J52" i="1"/>
  <c r="K52" i="1" s="1"/>
  <c r="L52" i="1" s="1"/>
  <c r="M52" i="1"/>
  <c r="N52" i="1"/>
  <c r="J53" i="1"/>
  <c r="K53" i="1"/>
  <c r="J54" i="1"/>
  <c r="K54" i="1"/>
  <c r="N54" i="1"/>
  <c r="J55" i="1"/>
  <c r="K55" i="1"/>
  <c r="J56" i="1"/>
  <c r="K56" i="1"/>
  <c r="L56" i="1"/>
  <c r="M56" i="1"/>
  <c r="N56" i="1"/>
  <c r="O56" i="1"/>
  <c r="Q56" i="1" s="1"/>
  <c r="P56" i="1"/>
  <c r="J57" i="1"/>
  <c r="K57" i="1"/>
  <c r="J58" i="1"/>
  <c r="K58" i="1" s="1"/>
  <c r="J59" i="1"/>
  <c r="K59" i="1"/>
  <c r="L59" i="1"/>
  <c r="M59" i="1"/>
  <c r="N59" i="1"/>
  <c r="O59" i="1"/>
  <c r="J60" i="1"/>
  <c r="K60" i="1"/>
  <c r="L60" i="1"/>
  <c r="M60" i="1"/>
  <c r="N60" i="1"/>
  <c r="J61" i="1"/>
  <c r="K61" i="1"/>
  <c r="L61" i="1" s="1"/>
  <c r="M61" i="1"/>
  <c r="N61" i="1"/>
  <c r="O61" i="1"/>
  <c r="P61" i="1"/>
  <c r="Q61" i="1"/>
  <c r="J62" i="1"/>
  <c r="K62" i="1"/>
  <c r="N62" i="1"/>
  <c r="J63" i="1"/>
  <c r="K63" i="1"/>
  <c r="L63" i="1"/>
  <c r="M63" i="1"/>
  <c r="N63" i="1"/>
  <c r="J64" i="1"/>
  <c r="K64" i="1"/>
  <c r="J65" i="1"/>
  <c r="K65" i="1"/>
  <c r="J66" i="1"/>
  <c r="K66" i="1" s="1"/>
  <c r="J67" i="1"/>
  <c r="K67" i="1"/>
  <c r="L67" i="1"/>
  <c r="M67" i="1"/>
  <c r="N67" i="1"/>
  <c r="J68" i="1"/>
  <c r="K68" i="1"/>
  <c r="J69" i="1"/>
  <c r="K69" i="1"/>
  <c r="J70" i="1"/>
  <c r="K70" i="1"/>
  <c r="J71" i="1"/>
  <c r="K71" i="1"/>
  <c r="J72" i="1"/>
  <c r="K72" i="1" s="1"/>
  <c r="J73" i="1"/>
  <c r="K73" i="1"/>
  <c r="J74" i="1"/>
  <c r="K74" i="1"/>
  <c r="L74" i="1"/>
  <c r="J75" i="1"/>
  <c r="K75" i="1"/>
  <c r="L75" i="1"/>
  <c r="O75" i="1" s="1"/>
  <c r="M75" i="1"/>
  <c r="N75" i="1"/>
  <c r="P75" i="1"/>
  <c r="Q75" i="1"/>
  <c r="R75" i="1"/>
  <c r="S75" i="1" s="1"/>
  <c r="J76" i="1"/>
  <c r="K76" i="1"/>
  <c r="L76" i="1"/>
  <c r="M76" i="1"/>
  <c r="N76" i="1"/>
  <c r="J77" i="1"/>
  <c r="K77" i="1"/>
  <c r="L77" i="1"/>
  <c r="M77" i="1"/>
  <c r="N77" i="1"/>
  <c r="J78" i="1"/>
  <c r="K78" i="1" s="1"/>
  <c r="J79" i="1"/>
  <c r="K79" i="1"/>
  <c r="N79" i="1"/>
  <c r="J80" i="1"/>
  <c r="K80" i="1"/>
  <c r="J81" i="1"/>
  <c r="K81" i="1"/>
  <c r="L81" i="1"/>
  <c r="J82" i="1"/>
  <c r="K82" i="1"/>
  <c r="J83" i="1"/>
  <c r="K83" i="1"/>
  <c r="L83" i="1"/>
  <c r="M83" i="1"/>
  <c r="N83" i="1"/>
  <c r="J84" i="1"/>
  <c r="K84" i="1" s="1"/>
  <c r="L84" i="1"/>
  <c r="M84" i="1"/>
  <c r="N84" i="1"/>
  <c r="O84" i="1"/>
  <c r="J85" i="1"/>
  <c r="K85" i="1"/>
  <c r="N85" i="1" s="1"/>
  <c r="L85" i="1"/>
  <c r="M85" i="1"/>
  <c r="J86" i="1"/>
  <c r="K86" i="1" s="1"/>
  <c r="J87" i="1"/>
  <c r="K87" i="1"/>
  <c r="M87" i="1"/>
  <c r="J88" i="1"/>
  <c r="K88" i="1"/>
  <c r="L88" i="1"/>
  <c r="M88" i="1"/>
  <c r="N88" i="1"/>
  <c r="J89" i="1"/>
  <c r="K89" i="1"/>
  <c r="J90" i="1"/>
  <c r="K90" i="1" s="1"/>
  <c r="J91" i="1"/>
  <c r="K91" i="1"/>
  <c r="L91" i="1"/>
  <c r="M91" i="1"/>
  <c r="N91" i="1"/>
  <c r="O91" i="1"/>
  <c r="Q91" i="1" s="1"/>
  <c r="J92" i="1"/>
  <c r="K92" i="1"/>
  <c r="J93" i="1"/>
  <c r="K93" i="1"/>
  <c r="L93" i="1"/>
  <c r="M93" i="1"/>
  <c r="N93" i="1"/>
  <c r="O93" i="1"/>
  <c r="P93" i="1"/>
  <c r="Q93" i="1"/>
  <c r="J94" i="1"/>
  <c r="K94" i="1"/>
  <c r="N94" i="1"/>
  <c r="J95" i="1"/>
  <c r="K95" i="1"/>
  <c r="L95" i="1"/>
  <c r="M95" i="1"/>
  <c r="N95" i="1"/>
  <c r="O95" i="1"/>
  <c r="Q95" i="1" s="1"/>
  <c r="P95" i="1"/>
  <c r="J96" i="1"/>
  <c r="K96" i="1" s="1"/>
  <c r="J97" i="1"/>
  <c r="K97" i="1"/>
  <c r="J98" i="1"/>
  <c r="K98" i="1"/>
  <c r="L98" i="1"/>
  <c r="M98" i="1"/>
  <c r="N98" i="1"/>
  <c r="J99" i="1"/>
  <c r="K99" i="1"/>
  <c r="N99" i="1"/>
  <c r="J100" i="1"/>
  <c r="K100" i="1" s="1"/>
  <c r="J101" i="1"/>
  <c r="K101" i="1"/>
  <c r="L101" i="1"/>
  <c r="J102" i="1"/>
  <c r="K102" i="1"/>
  <c r="J103" i="1"/>
  <c r="K103" i="1"/>
  <c r="L103" i="1"/>
  <c r="M103" i="1"/>
  <c r="N103" i="1"/>
  <c r="O103" i="1"/>
  <c r="P103" i="1"/>
  <c r="Q103" i="1"/>
  <c r="J104" i="1"/>
  <c r="K104" i="1"/>
  <c r="L104" i="1"/>
  <c r="M104" i="1"/>
  <c r="N104" i="1"/>
  <c r="J105" i="1"/>
  <c r="K105" i="1" s="1"/>
  <c r="J106" i="1"/>
  <c r="K106" i="1"/>
  <c r="L106" i="1"/>
  <c r="J107" i="1"/>
  <c r="K107" i="1"/>
  <c r="N107" i="1" s="1"/>
  <c r="L107" i="1"/>
  <c r="M107" i="1"/>
  <c r="J108" i="1"/>
  <c r="K108" i="1"/>
  <c r="L108" i="1"/>
  <c r="M108" i="1"/>
  <c r="N108" i="1"/>
  <c r="O108" i="1"/>
  <c r="Q108" i="1"/>
  <c r="R108" i="1"/>
  <c r="J109" i="1"/>
  <c r="K109" i="1" s="1"/>
  <c r="L109" i="1"/>
  <c r="J110" i="1"/>
  <c r="K110" i="1"/>
  <c r="J111" i="1"/>
  <c r="K111" i="1"/>
  <c r="L111" i="1"/>
  <c r="J112" i="1"/>
  <c r="K112" i="1"/>
  <c r="L112" i="1"/>
  <c r="J113" i="1"/>
  <c r="K113" i="1" s="1"/>
  <c r="M113" i="1"/>
  <c r="J114" i="1"/>
  <c r="K114" i="1"/>
  <c r="J115" i="1"/>
  <c r="K115" i="1"/>
  <c r="J116" i="1"/>
  <c r="K116" i="1"/>
  <c r="L116" i="1"/>
  <c r="J117" i="1"/>
  <c r="K117" i="1"/>
  <c r="N117" i="1"/>
  <c r="J118" i="1"/>
  <c r="K118" i="1" s="1"/>
  <c r="N118" i="1"/>
  <c r="J119" i="1"/>
  <c r="K119" i="1" s="1"/>
  <c r="J120" i="1"/>
  <c r="K120" i="1"/>
  <c r="L120" i="1"/>
  <c r="M120" i="1"/>
  <c r="N120" i="1"/>
  <c r="O120" i="1"/>
  <c r="R120" i="1" s="1"/>
  <c r="P120" i="1"/>
  <c r="Q120" i="1"/>
  <c r="J121" i="1"/>
  <c r="K121" i="1"/>
  <c r="J122" i="1"/>
  <c r="K122" i="1"/>
  <c r="N122" i="1"/>
  <c r="J123" i="1"/>
  <c r="K123" i="1"/>
  <c r="N123" i="1"/>
  <c r="J124" i="1"/>
  <c r="K124" i="1"/>
  <c r="J125" i="1"/>
  <c r="K125" i="1"/>
  <c r="L125" i="1"/>
  <c r="M125" i="1"/>
  <c r="N125" i="1"/>
  <c r="J126" i="1"/>
  <c r="K126" i="1" s="1"/>
  <c r="N126" i="1"/>
  <c r="J127" i="1"/>
  <c r="K127" i="1" s="1"/>
  <c r="L127" i="1" s="1"/>
  <c r="M127" i="1"/>
  <c r="N127" i="1"/>
  <c r="J128" i="1"/>
  <c r="K128" i="1"/>
  <c r="L128" i="1"/>
  <c r="J129" i="1"/>
  <c r="K129" i="1"/>
  <c r="J130" i="1"/>
  <c r="K130" i="1"/>
  <c r="L130" i="1"/>
  <c r="M130" i="1"/>
  <c r="N130" i="1"/>
  <c r="O130" i="1"/>
  <c r="R130" i="1" s="1"/>
  <c r="P130" i="1"/>
  <c r="S130" i="1" s="1"/>
  <c r="Q130" i="1"/>
  <c r="J131" i="1"/>
  <c r="K131" i="1"/>
  <c r="L131" i="1"/>
  <c r="J132" i="1"/>
  <c r="K132" i="1" s="1"/>
  <c r="M132" i="1"/>
  <c r="J133" i="1"/>
  <c r="K133" i="1" s="1"/>
  <c r="J134" i="1"/>
  <c r="K134" i="1"/>
  <c r="L134" i="1" s="1"/>
  <c r="M134" i="1"/>
  <c r="N134" i="1"/>
  <c r="J135" i="1"/>
  <c r="K135" i="1"/>
  <c r="L135" i="1"/>
  <c r="M135" i="1"/>
  <c r="N135" i="1"/>
  <c r="J136" i="1"/>
  <c r="K136" i="1" s="1"/>
  <c r="L136" i="1" s="1"/>
  <c r="M136" i="1"/>
  <c r="N136" i="1"/>
  <c r="J137" i="1"/>
  <c r="K137" i="1"/>
  <c r="L137" i="1"/>
  <c r="J138" i="1"/>
  <c r="K138" i="1"/>
  <c r="J139" i="1"/>
  <c r="K139" i="1"/>
  <c r="N139" i="1" s="1"/>
  <c r="L139" i="1"/>
  <c r="M139" i="1"/>
  <c r="J140" i="1"/>
  <c r="K140" i="1"/>
  <c r="L140" i="1"/>
  <c r="M140" i="1"/>
  <c r="N140" i="1"/>
  <c r="O140" i="1"/>
  <c r="J141" i="1"/>
  <c r="K141" i="1"/>
  <c r="N141" i="1"/>
  <c r="J142" i="1"/>
  <c r="K142" i="1"/>
  <c r="L142" i="1" s="1"/>
  <c r="M142" i="1"/>
  <c r="N142" i="1"/>
  <c r="J143" i="1"/>
  <c r="K143" i="1" s="1"/>
  <c r="M143" i="1"/>
  <c r="J144" i="1"/>
  <c r="K144" i="1" s="1"/>
  <c r="N144" i="1"/>
  <c r="J145" i="1"/>
  <c r="K145" i="1" s="1"/>
  <c r="M145" i="1"/>
  <c r="J146" i="1"/>
  <c r="K146" i="1"/>
  <c r="L146" i="1"/>
  <c r="M146" i="1"/>
  <c r="N146" i="1"/>
  <c r="O146" i="1"/>
  <c r="Q146" i="1" s="1"/>
  <c r="P146" i="1"/>
  <c r="J147" i="1"/>
  <c r="K147" i="1"/>
  <c r="L147" i="1"/>
  <c r="M147" i="1"/>
  <c r="N147" i="1"/>
  <c r="O147" i="1"/>
  <c r="Q147" i="1" s="1"/>
  <c r="J148" i="1"/>
  <c r="K148" i="1" s="1"/>
  <c r="M148" i="1"/>
  <c r="J149" i="1"/>
  <c r="K149" i="1"/>
  <c r="L149" i="1"/>
  <c r="M149" i="1"/>
  <c r="N149" i="1"/>
  <c r="J150" i="1"/>
  <c r="K150" i="1" s="1"/>
  <c r="N150" i="1"/>
  <c r="J151" i="1"/>
  <c r="K151" i="1"/>
  <c r="N151" i="1" s="1"/>
  <c r="L151" i="1"/>
  <c r="M151" i="1"/>
  <c r="J152" i="1"/>
  <c r="K152" i="1"/>
  <c r="L152" i="1"/>
  <c r="J153" i="1"/>
  <c r="K153" i="1"/>
  <c r="N153" i="1" s="1"/>
  <c r="L153" i="1"/>
  <c r="M153" i="1"/>
  <c r="O153" i="1"/>
  <c r="R153" i="1"/>
  <c r="J154" i="1"/>
  <c r="K154" i="1"/>
  <c r="L154" i="1"/>
  <c r="M154" i="1"/>
  <c r="N154" i="1"/>
  <c r="O154" i="1"/>
  <c r="Q154" i="1"/>
  <c r="J155" i="1"/>
  <c r="K155" i="1"/>
  <c r="N155" i="1"/>
  <c r="J156" i="1"/>
  <c r="K156" i="1"/>
  <c r="N156" i="1" s="1"/>
  <c r="L156" i="1"/>
  <c r="M156" i="1"/>
  <c r="O156" i="1"/>
  <c r="Q156" i="1" s="1"/>
  <c r="R156" i="1"/>
  <c r="J157" i="1"/>
  <c r="K157" i="1"/>
  <c r="L157" i="1"/>
  <c r="M157" i="1"/>
  <c r="N157" i="1"/>
  <c r="O157" i="1"/>
  <c r="P157" i="1"/>
  <c r="Q157" i="1"/>
  <c r="J158" i="1"/>
  <c r="K158" i="1" s="1"/>
  <c r="J159" i="1"/>
  <c r="K159" i="1"/>
  <c r="L159" i="1"/>
  <c r="M159" i="1"/>
  <c r="N159" i="1"/>
  <c r="J160" i="1"/>
  <c r="K160" i="1"/>
  <c r="J161" i="1"/>
  <c r="K161" i="1"/>
  <c r="L161" i="1"/>
  <c r="J162" i="1"/>
  <c r="K162" i="1"/>
  <c r="L162" i="1"/>
  <c r="M162" i="1"/>
  <c r="N162" i="1"/>
  <c r="J163" i="1"/>
  <c r="K163" i="1"/>
  <c r="L163" i="1" s="1"/>
  <c r="M163" i="1"/>
  <c r="N163" i="1"/>
  <c r="J164" i="1"/>
  <c r="K164" i="1" s="1"/>
  <c r="J165" i="1"/>
  <c r="K165" i="1"/>
  <c r="L165" i="1"/>
  <c r="J166" i="1"/>
  <c r="K166" i="1" s="1"/>
  <c r="J167" i="1"/>
  <c r="K167" i="1"/>
  <c r="L167" i="1"/>
  <c r="M167" i="1"/>
  <c r="N167" i="1"/>
  <c r="J168" i="1"/>
  <c r="K168" i="1"/>
  <c r="L168" i="1"/>
  <c r="J169" i="1"/>
  <c r="K169" i="1"/>
  <c r="N169" i="1" s="1"/>
  <c r="L169" i="1"/>
  <c r="M169" i="1"/>
  <c r="J170" i="1"/>
  <c r="K170" i="1"/>
  <c r="M170" i="1"/>
  <c r="J171" i="1"/>
  <c r="K171" i="1"/>
  <c r="J172" i="1"/>
  <c r="K172" i="1"/>
  <c r="L172" i="1"/>
  <c r="M172" i="1"/>
  <c r="N172" i="1"/>
  <c r="J173" i="1"/>
  <c r="K173" i="1"/>
  <c r="J174" i="1"/>
  <c r="K174" i="1" s="1"/>
  <c r="J175" i="1"/>
  <c r="K175" i="1"/>
  <c r="J176" i="1"/>
  <c r="K176" i="1"/>
  <c r="L176" i="1"/>
  <c r="J177" i="1"/>
  <c r="K177" i="1" s="1"/>
  <c r="M177" i="1"/>
  <c r="J178" i="1"/>
  <c r="K178" i="1" s="1"/>
  <c r="M178" i="1"/>
  <c r="J179" i="1"/>
  <c r="K179" i="1"/>
  <c r="N179" i="1"/>
  <c r="J180" i="1"/>
  <c r="K180" i="1"/>
  <c r="J181" i="1"/>
  <c r="K181" i="1"/>
  <c r="L181" i="1"/>
  <c r="J182" i="1"/>
  <c r="K182" i="1" s="1"/>
  <c r="L182" i="1" s="1"/>
  <c r="M182" i="1"/>
  <c r="N182" i="1"/>
  <c r="J183" i="1"/>
  <c r="K183" i="1" s="1"/>
  <c r="L183" i="1"/>
  <c r="J184" i="1"/>
  <c r="K184" i="1"/>
  <c r="L184" i="1"/>
  <c r="J185" i="1"/>
  <c r="K185" i="1" s="1"/>
  <c r="L185" i="1"/>
  <c r="J186" i="1"/>
  <c r="K186" i="1"/>
  <c r="L186" i="1" s="1"/>
  <c r="M186" i="1"/>
  <c r="N186" i="1"/>
  <c r="J187" i="1"/>
  <c r="K187" i="1"/>
  <c r="L187" i="1"/>
  <c r="J188" i="1"/>
  <c r="K188" i="1" s="1"/>
  <c r="M188" i="1" s="1"/>
  <c r="L188" i="1"/>
  <c r="N188" i="1"/>
  <c r="J189" i="1"/>
  <c r="K189" i="1" s="1"/>
  <c r="J190" i="1"/>
  <c r="K190" i="1" s="1"/>
  <c r="L190" i="1" s="1"/>
  <c r="M190" i="1"/>
  <c r="N190" i="1"/>
  <c r="O190" i="1"/>
  <c r="P190" i="1"/>
  <c r="S190" i="1" s="1"/>
  <c r="Q190" i="1"/>
  <c r="R190" i="1"/>
  <c r="J191" i="1"/>
  <c r="K191" i="1" s="1"/>
  <c r="M191" i="1"/>
  <c r="J192" i="1"/>
  <c r="K192" i="1" s="1"/>
  <c r="J193" i="1"/>
  <c r="K193" i="1"/>
  <c r="J194" i="1"/>
  <c r="K194" i="1"/>
  <c r="N194" i="1" s="1"/>
  <c r="L194" i="1"/>
  <c r="M194" i="1"/>
  <c r="J195" i="1"/>
  <c r="K195" i="1"/>
  <c r="J196" i="1"/>
  <c r="K196" i="1"/>
  <c r="N196" i="1"/>
  <c r="J197" i="1"/>
  <c r="K197" i="1"/>
  <c r="N197" i="1"/>
  <c r="J198" i="1"/>
  <c r="K198" i="1" s="1"/>
  <c r="L198" i="1"/>
  <c r="M198" i="1"/>
  <c r="N198" i="1"/>
  <c r="O198" i="1"/>
  <c r="R198" i="1" s="1"/>
  <c r="P198" i="1"/>
  <c r="Q198" i="1"/>
  <c r="J199" i="1"/>
  <c r="K199" i="1"/>
  <c r="L199" i="1"/>
  <c r="M199" i="1"/>
  <c r="N199" i="1"/>
  <c r="J200" i="1"/>
  <c r="K200" i="1" s="1"/>
  <c r="L200" i="1" s="1"/>
  <c r="M200" i="1"/>
  <c r="N200" i="1"/>
  <c r="J201" i="1"/>
  <c r="K201" i="1"/>
  <c r="L201" i="1"/>
  <c r="J202" i="1"/>
  <c r="K202" i="1" s="1"/>
  <c r="J203" i="1"/>
  <c r="K203" i="1" s="1"/>
  <c r="L203" i="1" s="1"/>
  <c r="M203" i="1"/>
  <c r="N203" i="1"/>
  <c r="J204" i="1"/>
  <c r="K204" i="1" s="1"/>
  <c r="J205" i="1"/>
  <c r="K205" i="1"/>
  <c r="L205" i="1"/>
  <c r="M205" i="1"/>
  <c r="N205" i="1"/>
  <c r="J206" i="1"/>
  <c r="K206" i="1" s="1"/>
  <c r="L206" i="1"/>
  <c r="M206" i="1"/>
  <c r="N206" i="1"/>
  <c r="J207" i="1"/>
  <c r="K207" i="1"/>
  <c r="L207" i="1" s="1"/>
  <c r="M207" i="1"/>
  <c r="N207" i="1"/>
  <c r="O207" i="1"/>
  <c r="P207" i="1"/>
  <c r="R207" i="1"/>
  <c r="J208" i="1"/>
  <c r="K208" i="1" s="1"/>
  <c r="J209" i="1"/>
  <c r="K209" i="1"/>
  <c r="L209" i="1"/>
  <c r="J210" i="1"/>
  <c r="K210" i="1"/>
  <c r="L210" i="1"/>
  <c r="J211" i="1"/>
  <c r="K211" i="1"/>
  <c r="L211" i="1" s="1"/>
  <c r="M211" i="1"/>
  <c r="O211" i="1" s="1"/>
  <c r="R211" i="1" s="1"/>
  <c r="N211" i="1"/>
  <c r="J212" i="1"/>
  <c r="K212" i="1"/>
  <c r="N212" i="1" s="1"/>
  <c r="L212" i="1"/>
  <c r="M212" i="1"/>
  <c r="J213" i="1"/>
  <c r="K213" i="1"/>
  <c r="L213" i="1"/>
  <c r="J214" i="1"/>
  <c r="K214" i="1" s="1"/>
  <c r="L214" i="1"/>
  <c r="J215" i="1"/>
  <c r="K215" i="1"/>
  <c r="L215" i="1"/>
  <c r="M215" i="1"/>
  <c r="N215" i="1"/>
  <c r="J216" i="1"/>
  <c r="K216" i="1"/>
  <c r="N216" i="1"/>
  <c r="J217" i="1"/>
  <c r="K217" i="1"/>
  <c r="M217" i="1" s="1"/>
  <c r="L217" i="1"/>
  <c r="N217" i="1"/>
  <c r="O217" i="1"/>
  <c r="P217" i="1"/>
  <c r="Q217" i="1"/>
  <c r="R217" i="1"/>
  <c r="S217" i="1"/>
  <c r="J218" i="1"/>
  <c r="K218" i="1" s="1"/>
  <c r="J219" i="1"/>
  <c r="K219" i="1" s="1"/>
  <c r="M219" i="1"/>
  <c r="J220" i="1"/>
  <c r="K220" i="1" s="1"/>
  <c r="L220" i="1" s="1"/>
  <c r="M220" i="1"/>
  <c r="N220" i="1"/>
  <c r="J221" i="1"/>
  <c r="K221" i="1"/>
  <c r="L221" i="1"/>
  <c r="O221" i="1" s="1"/>
  <c r="M221" i="1"/>
  <c r="N221" i="1"/>
  <c r="P221" i="1"/>
  <c r="Q221" i="1"/>
  <c r="J222" i="1"/>
  <c r="K222" i="1" s="1"/>
  <c r="N222" i="1"/>
  <c r="J223" i="1"/>
  <c r="K223" i="1" s="1"/>
  <c r="M223" i="1"/>
  <c r="J224" i="1"/>
  <c r="K224" i="1" s="1"/>
  <c r="J225" i="1"/>
  <c r="K225" i="1" s="1"/>
  <c r="J226" i="1"/>
  <c r="K226" i="1"/>
  <c r="L226" i="1"/>
  <c r="M226" i="1"/>
  <c r="N226" i="1"/>
  <c r="J227" i="1"/>
  <c r="K227" i="1"/>
  <c r="L227" i="1"/>
  <c r="M227" i="1"/>
  <c r="N227" i="1"/>
  <c r="J228" i="1"/>
  <c r="K228" i="1" s="1"/>
  <c r="L228" i="1"/>
  <c r="J229" i="1"/>
  <c r="K229" i="1" s="1"/>
  <c r="J230" i="1"/>
  <c r="K230" i="1" s="1"/>
  <c r="N230" i="1" s="1"/>
  <c r="L230" i="1"/>
  <c r="M230" i="1"/>
  <c r="J231" i="1"/>
  <c r="K231" i="1" s="1"/>
  <c r="J232" i="1"/>
  <c r="K232" i="1" s="1"/>
  <c r="L232" i="1" s="1"/>
  <c r="M232" i="1"/>
  <c r="N232" i="1"/>
  <c r="J233" i="1"/>
  <c r="K233" i="1"/>
  <c r="M233" i="1" s="1"/>
  <c r="L233" i="1"/>
  <c r="N233" i="1"/>
  <c r="J234" i="1"/>
  <c r="K234" i="1"/>
  <c r="L234" i="1"/>
  <c r="M234" i="1"/>
  <c r="N234" i="1"/>
  <c r="O234" i="1"/>
  <c r="J235" i="1"/>
  <c r="K235" i="1"/>
  <c r="M235" i="1"/>
  <c r="J236" i="1"/>
  <c r="K236" i="1" s="1"/>
  <c r="J237" i="1"/>
  <c r="K237" i="1"/>
  <c r="N237" i="1"/>
  <c r="J238" i="1"/>
  <c r="K238" i="1" s="1"/>
  <c r="L238" i="1"/>
  <c r="J239" i="1"/>
  <c r="K239" i="1"/>
  <c r="L239" i="1"/>
  <c r="J240" i="1"/>
  <c r="K240" i="1"/>
  <c r="J241" i="1"/>
  <c r="K241" i="1" s="1"/>
  <c r="J242" i="1"/>
  <c r="K242" i="1" s="1"/>
  <c r="L242" i="1"/>
  <c r="J243" i="1"/>
  <c r="K243" i="1"/>
  <c r="N243" i="1"/>
  <c r="J244" i="1"/>
  <c r="K244" i="1"/>
  <c r="L244" i="1"/>
  <c r="M244" i="1"/>
  <c r="N244" i="1"/>
  <c r="J245" i="1"/>
  <c r="K245" i="1"/>
  <c r="L245" i="1" s="1"/>
  <c r="M245" i="1"/>
  <c r="N245" i="1"/>
  <c r="O245" i="1"/>
  <c r="P245" i="1" s="1"/>
  <c r="J246" i="1"/>
  <c r="K246" i="1" s="1"/>
  <c r="J247" i="1"/>
  <c r="K247" i="1"/>
  <c r="J248" i="1"/>
  <c r="K248" i="1"/>
  <c r="J249" i="1"/>
  <c r="K249" i="1" s="1"/>
  <c r="N249" i="1"/>
  <c r="J250" i="1"/>
  <c r="K250" i="1"/>
  <c r="L250" i="1"/>
  <c r="M250" i="1"/>
  <c r="N250" i="1"/>
  <c r="J251" i="1"/>
  <c r="K251" i="1"/>
  <c r="J252" i="1"/>
  <c r="K252" i="1"/>
  <c r="M252" i="1"/>
  <c r="J253" i="1"/>
  <c r="K253" i="1"/>
  <c r="L253" i="1"/>
  <c r="J254" i="1"/>
  <c r="K254" i="1" s="1"/>
  <c r="L254" i="1"/>
  <c r="J255" i="1"/>
  <c r="K255" i="1"/>
  <c r="N255" i="1" s="1"/>
  <c r="L255" i="1"/>
  <c r="M255" i="1"/>
  <c r="J256" i="1"/>
  <c r="K256" i="1"/>
  <c r="L256" i="1"/>
  <c r="M256" i="1"/>
  <c r="N256" i="1"/>
  <c r="O256" i="1"/>
  <c r="Q256" i="1" s="1"/>
  <c r="P256" i="1"/>
  <c r="R256" i="1"/>
  <c r="J257" i="1"/>
  <c r="K257" i="1" s="1"/>
  <c r="J258" i="1"/>
  <c r="K258" i="1"/>
  <c r="N258" i="1"/>
  <c r="J259" i="1"/>
  <c r="K259" i="1"/>
  <c r="J260" i="1"/>
  <c r="K260" i="1" s="1"/>
  <c r="L260" i="1" s="1"/>
  <c r="M260" i="1"/>
  <c r="N260" i="1"/>
  <c r="J261" i="1"/>
  <c r="K261" i="1" s="1"/>
  <c r="M261" i="1"/>
  <c r="J262" i="1"/>
  <c r="K262" i="1" s="1"/>
  <c r="L262" i="1"/>
  <c r="M262" i="1"/>
  <c r="N262" i="1"/>
  <c r="J263" i="1"/>
  <c r="K263" i="1"/>
  <c r="J264" i="1"/>
  <c r="K264" i="1"/>
  <c r="L264" i="1"/>
  <c r="M264" i="1"/>
  <c r="N264" i="1"/>
  <c r="J265" i="1"/>
  <c r="K265" i="1"/>
  <c r="M265" i="1" s="1"/>
  <c r="L265" i="1"/>
  <c r="N265" i="1"/>
  <c r="J266" i="1"/>
  <c r="K266" i="1"/>
  <c r="N266" i="1"/>
  <c r="J267" i="1"/>
  <c r="K267" i="1"/>
  <c r="N267" i="1" s="1"/>
  <c r="L267" i="1"/>
  <c r="M267" i="1"/>
  <c r="J268" i="1"/>
  <c r="K268" i="1"/>
  <c r="L268" i="1"/>
  <c r="J269" i="1"/>
  <c r="K269" i="1"/>
  <c r="J270" i="1"/>
  <c r="K270" i="1" s="1"/>
  <c r="L270" i="1"/>
  <c r="M270" i="1"/>
  <c r="N270" i="1"/>
  <c r="J271" i="1"/>
  <c r="K271" i="1" s="1"/>
  <c r="L271" i="1"/>
  <c r="J272" i="1"/>
  <c r="K272" i="1"/>
  <c r="L272" i="1"/>
  <c r="M272" i="1"/>
  <c r="N272" i="1"/>
  <c r="J273" i="1"/>
  <c r="K273" i="1"/>
  <c r="M273" i="1" s="1"/>
  <c r="L273" i="1"/>
  <c r="N273" i="1"/>
  <c r="J274" i="1"/>
  <c r="K274" i="1"/>
  <c r="N274" i="1" s="1"/>
  <c r="L274" i="1"/>
  <c r="M274" i="1"/>
  <c r="J275" i="1"/>
  <c r="K275" i="1" s="1"/>
  <c r="J276" i="1"/>
  <c r="K276" i="1"/>
  <c r="N276" i="1" s="1"/>
  <c r="L276" i="1"/>
  <c r="M276" i="1"/>
  <c r="J277" i="1"/>
  <c r="K277" i="1"/>
  <c r="J278" i="1"/>
  <c r="K278" i="1" s="1"/>
  <c r="J279" i="1"/>
  <c r="K279" i="1" s="1"/>
  <c r="J280" i="1"/>
  <c r="K280" i="1"/>
  <c r="J281" i="1"/>
  <c r="K281" i="1"/>
  <c r="M281" i="1" s="1"/>
  <c r="L281" i="1"/>
  <c r="N281" i="1"/>
  <c r="J282" i="1"/>
  <c r="K282" i="1" s="1"/>
  <c r="J283" i="1"/>
  <c r="K283" i="1"/>
  <c r="N283" i="1"/>
  <c r="J284" i="1"/>
  <c r="K284" i="1"/>
  <c r="N284" i="1"/>
  <c r="J285" i="1"/>
  <c r="K285" i="1"/>
  <c r="J286" i="1"/>
  <c r="K286" i="1" s="1"/>
  <c r="M286" i="1"/>
  <c r="J287" i="1"/>
  <c r="K287" i="1"/>
  <c r="L287" i="1" s="1"/>
  <c r="M287" i="1"/>
  <c r="N287" i="1"/>
  <c r="O287" i="1"/>
  <c r="R287" i="1"/>
  <c r="J288" i="1"/>
  <c r="K288" i="1"/>
  <c r="L288" i="1"/>
  <c r="M288" i="1"/>
  <c r="N288" i="1"/>
  <c r="O288" i="1"/>
  <c r="J289" i="1"/>
  <c r="K289" i="1"/>
  <c r="L289" i="1"/>
  <c r="J290" i="1"/>
  <c r="K290" i="1" s="1"/>
  <c r="L290" i="1" s="1"/>
  <c r="M290" i="1"/>
  <c r="N290" i="1"/>
  <c r="J291" i="1"/>
  <c r="K291" i="1"/>
  <c r="N291" i="1"/>
  <c r="J292" i="1"/>
  <c r="K292" i="1"/>
  <c r="L292" i="1"/>
  <c r="M292" i="1"/>
  <c r="N292" i="1"/>
  <c r="O292" i="1"/>
  <c r="P292" i="1"/>
  <c r="Q292" i="1"/>
  <c r="J293" i="1"/>
  <c r="K293" i="1"/>
  <c r="L293" i="1"/>
  <c r="M293" i="1"/>
  <c r="N293" i="1"/>
  <c r="O293" i="1"/>
  <c r="J294" i="1"/>
  <c r="K294" i="1"/>
  <c r="N294" i="1" s="1"/>
  <c r="L294" i="1"/>
  <c r="M294" i="1"/>
  <c r="J295" i="1"/>
  <c r="K295" i="1"/>
  <c r="M295" i="1"/>
  <c r="J296" i="1"/>
  <c r="K296" i="1"/>
  <c r="L296" i="1"/>
  <c r="M296" i="1"/>
  <c r="N296" i="1"/>
  <c r="O296" i="1"/>
  <c r="P296" i="1"/>
  <c r="Q296" i="1"/>
  <c r="J297" i="1"/>
  <c r="K297" i="1" s="1"/>
  <c r="L297" i="1" s="1"/>
  <c r="M297" i="1"/>
  <c r="N297" i="1"/>
  <c r="J298" i="1"/>
  <c r="K298" i="1"/>
  <c r="L298" i="1"/>
  <c r="M298" i="1"/>
  <c r="N298" i="1"/>
  <c r="O298" i="1"/>
  <c r="P298" i="1" s="1"/>
  <c r="Q298" i="1"/>
  <c r="J299" i="1"/>
  <c r="K299" i="1"/>
  <c r="N299" i="1"/>
  <c r="J300" i="1"/>
  <c r="K300" i="1"/>
  <c r="L300" i="1"/>
  <c r="M300" i="1"/>
  <c r="N300" i="1"/>
  <c r="J301" i="1"/>
  <c r="K301" i="1"/>
  <c r="L301" i="1"/>
  <c r="M301" i="1"/>
  <c r="N301" i="1"/>
  <c r="O301" i="1"/>
  <c r="P301" i="1"/>
  <c r="Q301" i="1"/>
  <c r="J302" i="1"/>
  <c r="K302" i="1" s="1"/>
  <c r="M302" i="1"/>
  <c r="J303" i="1"/>
  <c r="K303" i="1"/>
  <c r="M303" i="1" s="1"/>
  <c r="L303" i="1"/>
  <c r="N303" i="1"/>
  <c r="J304" i="1"/>
  <c r="K304" i="1"/>
  <c r="L304" i="1"/>
  <c r="M304" i="1"/>
  <c r="N304" i="1"/>
  <c r="J305" i="1"/>
  <c r="K305" i="1" s="1"/>
  <c r="J306" i="1"/>
  <c r="K306" i="1" s="1"/>
  <c r="L306" i="1" s="1"/>
  <c r="M306" i="1"/>
  <c r="N306" i="1"/>
  <c r="J307" i="1"/>
  <c r="K307" i="1" s="1"/>
  <c r="N307" i="1"/>
  <c r="J308" i="1"/>
  <c r="K308" i="1"/>
  <c r="L308" i="1"/>
  <c r="J309" i="1"/>
  <c r="K309" i="1" s="1"/>
  <c r="L309" i="1" s="1"/>
  <c r="M309" i="1"/>
  <c r="N309" i="1"/>
  <c r="J310" i="1"/>
  <c r="K310" i="1"/>
  <c r="N310" i="1" s="1"/>
  <c r="L310" i="1"/>
  <c r="O310" i="1" s="1"/>
  <c r="M310" i="1"/>
  <c r="P310" i="1"/>
  <c r="Q310" i="1"/>
  <c r="R310" i="1"/>
  <c r="J311" i="1"/>
  <c r="K311" i="1"/>
  <c r="L311" i="1"/>
  <c r="J312" i="1"/>
  <c r="K312" i="1"/>
  <c r="L312" i="1"/>
  <c r="M312" i="1"/>
  <c r="N312" i="1"/>
  <c r="J313" i="1"/>
  <c r="K313" i="1" s="1"/>
  <c r="M313" i="1"/>
  <c r="J314" i="1"/>
  <c r="K314" i="1"/>
  <c r="N314" i="1" s="1"/>
  <c r="L314" i="1"/>
  <c r="M314" i="1"/>
  <c r="O314" i="1"/>
  <c r="R314" i="1" s="1"/>
  <c r="P314" i="1"/>
  <c r="Q314" i="1"/>
  <c r="J315" i="1"/>
  <c r="K315" i="1"/>
  <c r="N315" i="1"/>
  <c r="J316" i="1"/>
  <c r="K316" i="1" s="1"/>
  <c r="J317" i="1"/>
  <c r="K317" i="1"/>
  <c r="L317" i="1"/>
  <c r="M317" i="1"/>
  <c r="N317" i="1"/>
  <c r="J318" i="1"/>
  <c r="K318" i="1"/>
  <c r="L318" i="1"/>
  <c r="J319" i="1"/>
  <c r="K319" i="1"/>
  <c r="J320" i="1"/>
  <c r="K320" i="1"/>
  <c r="L320" i="1"/>
  <c r="M320" i="1"/>
  <c r="N320" i="1"/>
  <c r="J321" i="1"/>
  <c r="K321" i="1" s="1"/>
  <c r="L321" i="1" s="1"/>
  <c r="M321" i="1"/>
  <c r="N321" i="1"/>
  <c r="J322" i="1"/>
  <c r="K322" i="1" s="1"/>
  <c r="M322" i="1"/>
  <c r="J323" i="1"/>
  <c r="K323" i="1" s="1"/>
  <c r="J324" i="1"/>
  <c r="K324" i="1"/>
  <c r="L324" i="1"/>
  <c r="J325" i="1"/>
  <c r="K325" i="1" s="1"/>
  <c r="J326" i="1"/>
  <c r="K326" i="1" s="1"/>
  <c r="J327" i="1"/>
  <c r="K327" i="1" s="1"/>
  <c r="J328" i="1"/>
  <c r="K328" i="1"/>
  <c r="L328" i="1"/>
  <c r="O328" i="1" s="1"/>
  <c r="Q328" i="1" s="1"/>
  <c r="M328" i="1"/>
  <c r="N328" i="1"/>
  <c r="P328" i="1"/>
  <c r="J329" i="1"/>
  <c r="K329" i="1" s="1"/>
  <c r="L329" i="1" s="1"/>
  <c r="M329" i="1"/>
  <c r="N329" i="1"/>
  <c r="J330" i="1"/>
  <c r="K330" i="1"/>
  <c r="L330" i="1"/>
  <c r="M330" i="1"/>
  <c r="N330" i="1"/>
  <c r="J331" i="1"/>
  <c r="K331" i="1"/>
  <c r="N331" i="1"/>
  <c r="J332" i="1"/>
  <c r="K332" i="1"/>
  <c r="N332" i="1" s="1"/>
  <c r="L332" i="1"/>
  <c r="M332" i="1"/>
  <c r="O332" i="1"/>
  <c r="P332" i="1"/>
  <c r="J333" i="1"/>
  <c r="K333" i="1"/>
  <c r="N333" i="1"/>
  <c r="J334" i="1"/>
  <c r="K334" i="1"/>
  <c r="N334" i="1" s="1"/>
  <c r="L334" i="1"/>
  <c r="M334" i="1"/>
  <c r="J335" i="1"/>
  <c r="K335" i="1"/>
  <c r="N335" i="1"/>
  <c r="J336" i="1"/>
  <c r="K336" i="1" s="1"/>
  <c r="J337" i="1"/>
  <c r="K337" i="1" s="1"/>
  <c r="M337" i="1"/>
  <c r="J338" i="1"/>
  <c r="K338" i="1"/>
  <c r="N338" i="1"/>
  <c r="J339" i="1"/>
  <c r="K339" i="1" s="1"/>
  <c r="J340" i="1"/>
  <c r="K340" i="1"/>
  <c r="L340" i="1"/>
  <c r="M340" i="1"/>
  <c r="N340" i="1"/>
  <c r="J341" i="1"/>
  <c r="K341" i="1" s="1"/>
  <c r="L341" i="1" s="1"/>
  <c r="M341" i="1"/>
  <c r="N341" i="1"/>
  <c r="O341" i="1"/>
  <c r="P341" i="1"/>
  <c r="Q341" i="1"/>
  <c r="J342" i="1"/>
  <c r="K342" i="1"/>
  <c r="L342" i="1"/>
  <c r="J343" i="1"/>
  <c r="K343" i="1" s="1"/>
  <c r="J344" i="1"/>
  <c r="K344" i="1"/>
  <c r="L344" i="1"/>
  <c r="M344" i="1"/>
  <c r="N344" i="1"/>
  <c r="J345" i="1"/>
  <c r="K345" i="1"/>
  <c r="J346" i="1"/>
  <c r="K346" i="1"/>
  <c r="L346" i="1"/>
  <c r="M346" i="1"/>
  <c r="N346" i="1"/>
  <c r="O346" i="1"/>
  <c r="J347" i="1"/>
  <c r="K347" i="1"/>
  <c r="N347" i="1"/>
  <c r="J348" i="1"/>
  <c r="K348" i="1"/>
  <c r="L348" i="1"/>
  <c r="M348" i="1"/>
  <c r="N348" i="1"/>
  <c r="O348" i="1"/>
  <c r="P348" i="1"/>
  <c r="J349" i="1"/>
  <c r="K349" i="1"/>
  <c r="L349" i="1"/>
  <c r="O349" i="1" s="1"/>
  <c r="R349" i="1" s="1"/>
  <c r="M349" i="1"/>
  <c r="N349" i="1"/>
  <c r="P349" i="1"/>
  <c r="Q349" i="1"/>
  <c r="J350" i="1"/>
  <c r="K350" i="1"/>
  <c r="J351" i="1"/>
  <c r="K351" i="1"/>
  <c r="L351" i="1"/>
  <c r="M351" i="1"/>
  <c r="N351" i="1"/>
  <c r="J352" i="1"/>
  <c r="K352" i="1" s="1"/>
  <c r="J353" i="1"/>
  <c r="K353" i="1" s="1"/>
  <c r="L353" i="1"/>
  <c r="M353" i="1"/>
  <c r="N353" i="1"/>
  <c r="O353" i="1"/>
  <c r="J354" i="1"/>
  <c r="K354" i="1"/>
  <c r="J355" i="1"/>
  <c r="K355" i="1"/>
  <c r="N355" i="1"/>
  <c r="J356" i="1"/>
  <c r="K356" i="1" s="1"/>
  <c r="L356" i="1" s="1"/>
  <c r="M356" i="1"/>
  <c r="N356" i="1"/>
  <c r="O356" i="1"/>
  <c r="Q356" i="1" s="1"/>
  <c r="P356" i="1"/>
  <c r="J357" i="1"/>
  <c r="K357" i="1"/>
  <c r="L357" i="1"/>
  <c r="M357" i="1"/>
  <c r="N357" i="1"/>
  <c r="J358" i="1"/>
  <c r="K358" i="1"/>
  <c r="N358" i="1" s="1"/>
  <c r="L358" i="1"/>
  <c r="M358" i="1"/>
  <c r="J359" i="1"/>
  <c r="K359" i="1"/>
  <c r="N359" i="1"/>
  <c r="J360" i="1"/>
  <c r="K360" i="1" s="1"/>
  <c r="L360" i="1"/>
  <c r="J361" i="1"/>
  <c r="K361" i="1" s="1"/>
  <c r="J362" i="1"/>
  <c r="K362" i="1"/>
  <c r="L362" i="1"/>
  <c r="M362" i="1"/>
  <c r="N362" i="1"/>
  <c r="J363" i="1"/>
  <c r="K363" i="1"/>
  <c r="J364" i="1"/>
  <c r="K364" i="1"/>
  <c r="L364" i="1"/>
  <c r="J365" i="1"/>
  <c r="K365" i="1"/>
  <c r="N365" i="1"/>
  <c r="J366" i="1"/>
  <c r="K366" i="1" s="1"/>
  <c r="J367" i="1"/>
  <c r="K367" i="1"/>
  <c r="L367" i="1"/>
  <c r="M367" i="1"/>
  <c r="N367" i="1"/>
  <c r="J368" i="1"/>
  <c r="K368" i="1"/>
  <c r="L368" i="1"/>
  <c r="M368" i="1"/>
  <c r="N368" i="1"/>
  <c r="J369" i="1"/>
  <c r="K369" i="1"/>
  <c r="L369" i="1"/>
  <c r="M369" i="1"/>
  <c r="N369" i="1"/>
  <c r="J370" i="1"/>
  <c r="K370" i="1"/>
  <c r="J371" i="1"/>
  <c r="K371" i="1"/>
  <c r="J372" i="1"/>
  <c r="K372" i="1"/>
  <c r="J373" i="1"/>
  <c r="K373" i="1"/>
  <c r="L373" i="1" s="1"/>
  <c r="M373" i="1"/>
  <c r="N373" i="1"/>
  <c r="J374" i="1"/>
  <c r="K374" i="1"/>
  <c r="N374" i="1" s="1"/>
  <c r="L374" i="1"/>
  <c r="M374" i="1"/>
  <c r="J375" i="1"/>
  <c r="K375" i="1" s="1"/>
  <c r="N375" i="1" s="1"/>
  <c r="L375" i="1"/>
  <c r="M375" i="1"/>
  <c r="J376" i="1"/>
  <c r="K376" i="1" s="1"/>
  <c r="L376" i="1"/>
  <c r="M376" i="1"/>
  <c r="N376" i="1"/>
  <c r="O376" i="1"/>
  <c r="P376" i="1"/>
  <c r="R376" i="1"/>
  <c r="J377" i="1"/>
  <c r="K377" i="1" s="1"/>
  <c r="J378" i="1"/>
  <c r="K378" i="1" s="1"/>
  <c r="J379" i="1"/>
  <c r="K379" i="1" s="1"/>
  <c r="J380" i="1"/>
  <c r="K380" i="1"/>
  <c r="N380" i="1" s="1"/>
  <c r="L380" i="1"/>
  <c r="M380" i="1"/>
  <c r="J381" i="1"/>
  <c r="K381" i="1"/>
  <c r="J382" i="1"/>
  <c r="K382" i="1"/>
  <c r="L382" i="1" s="1"/>
  <c r="M382" i="1"/>
  <c r="N382" i="1"/>
  <c r="J383" i="1"/>
  <c r="K383" i="1" s="1"/>
  <c r="M383" i="1" s="1"/>
  <c r="L383" i="1"/>
  <c r="N383" i="1"/>
  <c r="O383" i="1"/>
  <c r="P383" i="1"/>
  <c r="J384" i="1"/>
  <c r="K384" i="1" s="1"/>
  <c r="L384" i="1" s="1"/>
  <c r="M384" i="1"/>
  <c r="N384" i="1"/>
  <c r="O384" i="1"/>
  <c r="P384" i="1"/>
  <c r="J385" i="1"/>
  <c r="K385" i="1"/>
  <c r="L385" i="1" s="1"/>
  <c r="M385" i="1"/>
  <c r="N385" i="1"/>
  <c r="O385" i="1"/>
  <c r="P385" i="1"/>
  <c r="J386" i="1"/>
  <c r="K386" i="1"/>
  <c r="L386" i="1"/>
  <c r="M386" i="1"/>
  <c r="N386" i="1"/>
  <c r="J387" i="1"/>
  <c r="K387" i="1" s="1"/>
  <c r="L387" i="1"/>
  <c r="J388" i="1"/>
  <c r="K388" i="1"/>
  <c r="N388" i="1" s="1"/>
  <c r="L388" i="1"/>
  <c r="M388" i="1"/>
  <c r="J389" i="1"/>
  <c r="K389" i="1"/>
  <c r="L389" i="1" s="1"/>
  <c r="M389" i="1"/>
  <c r="N389" i="1"/>
  <c r="J390" i="1"/>
  <c r="K390" i="1"/>
  <c r="N390" i="1" s="1"/>
  <c r="L390" i="1"/>
  <c r="M390" i="1"/>
  <c r="J391" i="1"/>
  <c r="K391" i="1" s="1"/>
  <c r="J392" i="1"/>
  <c r="K392" i="1" s="1"/>
  <c r="J393" i="1"/>
  <c r="K393" i="1" s="1"/>
  <c r="L393" i="1"/>
  <c r="J394" i="1"/>
  <c r="K394" i="1"/>
  <c r="N394" i="1" s="1"/>
  <c r="L394" i="1"/>
  <c r="M394" i="1"/>
  <c r="O394" i="1"/>
  <c r="P394" i="1"/>
  <c r="Q394" i="1"/>
  <c r="J395" i="1"/>
  <c r="K395" i="1"/>
  <c r="L395" i="1"/>
  <c r="J396" i="1"/>
  <c r="K396" i="1" s="1"/>
  <c r="L396" i="1"/>
  <c r="J397" i="1"/>
  <c r="K397" i="1"/>
  <c r="N397" i="1" s="1"/>
  <c r="L397" i="1"/>
  <c r="M397" i="1"/>
  <c r="O397" i="1"/>
  <c r="J398" i="1"/>
  <c r="K398" i="1" s="1"/>
  <c r="J399" i="1"/>
  <c r="K399" i="1"/>
  <c r="J400" i="1"/>
  <c r="K400" i="1" s="1"/>
  <c r="M400" i="1" s="1"/>
  <c r="L400" i="1"/>
  <c r="N400" i="1"/>
  <c r="O400" i="1"/>
  <c r="Q400" i="1" s="1"/>
  <c r="J401" i="1"/>
  <c r="K401" i="1"/>
  <c r="L401" i="1" s="1"/>
  <c r="M401" i="1"/>
  <c r="N401" i="1"/>
  <c r="O401" i="1"/>
  <c r="P401" i="1"/>
  <c r="J402" i="1"/>
  <c r="K402" i="1"/>
  <c r="L402" i="1"/>
  <c r="J403" i="1"/>
  <c r="K403" i="1"/>
  <c r="M403" i="1" s="1"/>
  <c r="L403" i="1"/>
  <c r="N403" i="1"/>
  <c r="O403" i="1"/>
  <c r="J404" i="1"/>
  <c r="K404" i="1"/>
  <c r="L404" i="1"/>
  <c r="M404" i="1"/>
  <c r="N404" i="1"/>
  <c r="O404" i="1"/>
  <c r="J405" i="1"/>
  <c r="K405" i="1"/>
  <c r="N405" i="1" s="1"/>
  <c r="L405" i="1"/>
  <c r="M405" i="1"/>
  <c r="J406" i="1"/>
  <c r="K406" i="1"/>
  <c r="J407" i="1"/>
  <c r="K407" i="1" s="1"/>
  <c r="M407" i="1" s="1"/>
  <c r="L407" i="1"/>
  <c r="N407" i="1"/>
  <c r="J408" i="1"/>
  <c r="K408" i="1" s="1"/>
  <c r="L408" i="1"/>
  <c r="M408" i="1"/>
  <c r="N408" i="1"/>
  <c r="O408" i="1"/>
  <c r="P408" i="1"/>
  <c r="Q408" i="1"/>
  <c r="J409" i="1"/>
  <c r="K409" i="1" s="1"/>
  <c r="N409" i="1" s="1"/>
  <c r="L409" i="1"/>
  <c r="M409" i="1"/>
  <c r="O409" i="1"/>
  <c r="J410" i="1"/>
  <c r="K410" i="1" s="1"/>
  <c r="J411" i="1"/>
  <c r="K411" i="1"/>
  <c r="M411" i="1" s="1"/>
  <c r="L411" i="1"/>
  <c r="N411" i="1"/>
  <c r="O411" i="1"/>
  <c r="P411" i="1"/>
  <c r="J412" i="1"/>
  <c r="K412" i="1" s="1"/>
  <c r="L412" i="1" s="1"/>
  <c r="M412" i="1"/>
  <c r="N412" i="1"/>
  <c r="O412" i="1"/>
  <c r="P412" i="1"/>
  <c r="J413" i="1"/>
  <c r="K413" i="1" s="1"/>
  <c r="J414" i="1"/>
  <c r="K414" i="1"/>
  <c r="L414" i="1"/>
  <c r="M414" i="1"/>
  <c r="N414" i="1"/>
  <c r="J415" i="1"/>
  <c r="K415" i="1"/>
  <c r="N415" i="1" s="1"/>
  <c r="L415" i="1"/>
  <c r="M415" i="1"/>
  <c r="J416" i="1"/>
  <c r="K416" i="1" s="1"/>
  <c r="N416" i="1" s="1"/>
  <c r="L416" i="1"/>
  <c r="M416" i="1"/>
  <c r="O416" i="1"/>
  <c r="R416" i="1"/>
  <c r="J417" i="1"/>
  <c r="K417" i="1"/>
  <c r="M417" i="1" s="1"/>
  <c r="L417" i="1"/>
  <c r="N417" i="1"/>
  <c r="O417" i="1"/>
  <c r="P417" i="1"/>
  <c r="J418" i="1"/>
  <c r="K418" i="1"/>
  <c r="L418" i="1" s="1"/>
  <c r="M418" i="1"/>
  <c r="N418" i="1"/>
  <c r="J419" i="1"/>
  <c r="K419" i="1"/>
  <c r="M419" i="1" s="1"/>
  <c r="L419" i="1"/>
  <c r="N419" i="1"/>
  <c r="J420" i="1"/>
  <c r="K420" i="1"/>
  <c r="N420" i="1" s="1"/>
  <c r="L420" i="1"/>
  <c r="M420" i="1"/>
  <c r="O420" i="1"/>
  <c r="R420" i="1"/>
  <c r="J421" i="1"/>
  <c r="K421" i="1"/>
  <c r="L421" i="1"/>
  <c r="M421" i="1"/>
  <c r="N421" i="1"/>
  <c r="O421" i="1"/>
  <c r="P421" i="1"/>
  <c r="R421" i="1"/>
  <c r="J422" i="1"/>
  <c r="K422" i="1"/>
  <c r="L422" i="1"/>
  <c r="J423" i="1"/>
  <c r="K423" i="1"/>
  <c r="J424" i="1"/>
  <c r="K424" i="1" s="1"/>
  <c r="M424" i="1"/>
  <c r="J425" i="1"/>
  <c r="K425" i="1"/>
  <c r="M425" i="1" s="1"/>
  <c r="L425" i="1"/>
  <c r="N425" i="1"/>
  <c r="J426" i="1"/>
  <c r="K426" i="1"/>
  <c r="J427" i="1"/>
  <c r="K427" i="1" s="1"/>
  <c r="M427" i="1" s="1"/>
  <c r="L427" i="1"/>
  <c r="N427" i="1"/>
  <c r="O427" i="1"/>
  <c r="Q427" i="1"/>
  <c r="R427" i="1"/>
  <c r="J428" i="1"/>
  <c r="K428" i="1"/>
  <c r="J429" i="1"/>
  <c r="K429" i="1"/>
  <c r="M429" i="1" s="1"/>
  <c r="L429" i="1"/>
  <c r="N429" i="1"/>
  <c r="J430" i="1"/>
  <c r="K430" i="1"/>
  <c r="L430" i="1"/>
  <c r="M430" i="1"/>
  <c r="N430" i="1"/>
  <c r="J431" i="1"/>
  <c r="K431" i="1"/>
  <c r="J432" i="1"/>
  <c r="K432" i="1" s="1"/>
  <c r="L432" i="1"/>
  <c r="M432" i="1"/>
  <c r="N432" i="1"/>
  <c r="J433" i="1"/>
  <c r="K433" i="1"/>
  <c r="J434" i="1"/>
  <c r="K434" i="1" s="1"/>
  <c r="J435" i="1"/>
  <c r="K435" i="1"/>
  <c r="N435" i="1"/>
  <c r="J436" i="1"/>
  <c r="K436" i="1" s="1"/>
  <c r="J437" i="1"/>
  <c r="K437" i="1"/>
  <c r="L437" i="1"/>
  <c r="M437" i="1"/>
  <c r="N437" i="1"/>
  <c r="J438" i="1"/>
  <c r="K438" i="1"/>
  <c r="N438" i="1"/>
  <c r="J439" i="1"/>
  <c r="K439" i="1"/>
  <c r="J440" i="1"/>
  <c r="K440" i="1" s="1"/>
  <c r="J441" i="1"/>
  <c r="K441" i="1"/>
  <c r="J442" i="1"/>
  <c r="K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 s="1"/>
  <c r="M447" i="1" s="1"/>
  <c r="L447" i="1"/>
  <c r="N447" i="1"/>
  <c r="J448" i="1"/>
  <c r="K448" i="1" s="1"/>
  <c r="L448" i="1"/>
  <c r="M448" i="1"/>
  <c r="N448" i="1"/>
  <c r="J449" i="1"/>
  <c r="K449" i="1" s="1"/>
  <c r="M449" i="1"/>
  <c r="J450" i="1"/>
  <c r="K450" i="1"/>
  <c r="J451" i="1"/>
  <c r="K451" i="1"/>
  <c r="J452" i="1"/>
  <c r="K452" i="1"/>
  <c r="L452" i="1"/>
  <c r="J453" i="1"/>
  <c r="K453" i="1"/>
  <c r="M453" i="1" s="1"/>
  <c r="J454" i="1"/>
  <c r="K454" i="1"/>
  <c r="J455" i="1"/>
  <c r="K455" i="1"/>
  <c r="L455" i="1"/>
  <c r="M455" i="1"/>
  <c r="N455" i="1"/>
  <c r="O455" i="1"/>
  <c r="P455" i="1"/>
  <c r="R455" i="1"/>
  <c r="J456" i="1"/>
  <c r="K456" i="1" s="1"/>
  <c r="L456" i="1"/>
  <c r="M456" i="1"/>
  <c r="N456" i="1"/>
  <c r="O456" i="1"/>
  <c r="Q456" i="1"/>
  <c r="J457" i="1"/>
  <c r="K457" i="1"/>
  <c r="L457" i="1"/>
  <c r="M457" i="1"/>
  <c r="N457" i="1"/>
  <c r="O457" i="1"/>
  <c r="R457" i="1"/>
  <c r="J458" i="1"/>
  <c r="K458" i="1"/>
  <c r="J459" i="1"/>
  <c r="K459" i="1"/>
  <c r="J460" i="1"/>
  <c r="K460" i="1"/>
  <c r="J461" i="1"/>
  <c r="K461" i="1" s="1"/>
  <c r="J462" i="1"/>
  <c r="K462" i="1"/>
  <c r="J463" i="1"/>
  <c r="K463" i="1"/>
  <c r="M463" i="1"/>
  <c r="J464" i="1"/>
  <c r="K464" i="1" s="1"/>
  <c r="L464" i="1"/>
  <c r="J465" i="1"/>
  <c r="K465" i="1" s="1"/>
  <c r="L465" i="1"/>
  <c r="M465" i="1"/>
  <c r="N465" i="1"/>
  <c r="J466" i="1"/>
  <c r="K466" i="1"/>
  <c r="J467" i="1"/>
  <c r="K467" i="1" s="1"/>
  <c r="L467" i="1"/>
  <c r="J468" i="1"/>
  <c r="K468" i="1" s="1"/>
  <c r="L468" i="1"/>
  <c r="J469" i="1"/>
  <c r="K469" i="1"/>
  <c r="N469" i="1" s="1"/>
  <c r="L469" i="1"/>
  <c r="M469" i="1"/>
  <c r="O469" i="1"/>
  <c r="Q469" i="1"/>
  <c r="R469" i="1"/>
  <c r="J470" i="1"/>
  <c r="K470" i="1"/>
  <c r="J471" i="1"/>
  <c r="K471" i="1"/>
  <c r="J472" i="1"/>
  <c r="K472" i="1" s="1"/>
  <c r="J473" i="1"/>
  <c r="K473" i="1"/>
  <c r="L473" i="1"/>
  <c r="J474" i="1"/>
  <c r="K474" i="1"/>
  <c r="N474" i="1"/>
  <c r="J475" i="1"/>
  <c r="K475" i="1"/>
  <c r="M475" i="1" s="1"/>
  <c r="L475" i="1"/>
  <c r="N475" i="1"/>
  <c r="J476" i="1"/>
  <c r="K476" i="1" s="1"/>
  <c r="J477" i="1"/>
  <c r="K477" i="1"/>
  <c r="L477" i="1"/>
  <c r="J478" i="1"/>
  <c r="K478" i="1"/>
  <c r="L478" i="1"/>
  <c r="M478" i="1"/>
  <c r="N478" i="1"/>
  <c r="J479" i="1"/>
  <c r="K479" i="1"/>
  <c r="L479" i="1"/>
  <c r="M479" i="1"/>
  <c r="N479" i="1"/>
  <c r="J480" i="1"/>
  <c r="K480" i="1" s="1"/>
  <c r="J481" i="1"/>
  <c r="K481" i="1"/>
  <c r="L481" i="1"/>
  <c r="J482" i="1"/>
  <c r="K482" i="1" s="1"/>
  <c r="L482" i="1"/>
  <c r="J483" i="1"/>
  <c r="K483" i="1"/>
  <c r="M483" i="1" s="1"/>
  <c r="L483" i="1"/>
  <c r="N483" i="1"/>
  <c r="O483" i="1"/>
  <c r="J484" i="1"/>
  <c r="K484" i="1" s="1"/>
  <c r="M484" i="1" s="1"/>
  <c r="L484" i="1"/>
  <c r="N484" i="1"/>
  <c r="J485" i="1"/>
  <c r="K485" i="1"/>
  <c r="N485" i="1" s="1"/>
  <c r="L485" i="1"/>
  <c r="M485" i="1"/>
  <c r="J486" i="1"/>
  <c r="K486" i="1"/>
  <c r="M486" i="1" s="1"/>
  <c r="L486" i="1"/>
  <c r="N486" i="1"/>
  <c r="J487" i="1"/>
  <c r="K487" i="1"/>
  <c r="N487" i="1" s="1"/>
  <c r="L487" i="1"/>
  <c r="M487" i="1"/>
  <c r="J488" i="1"/>
  <c r="K488" i="1" s="1"/>
  <c r="L488" i="1" s="1"/>
  <c r="M488" i="1"/>
  <c r="N488" i="1"/>
  <c r="O488" i="1"/>
  <c r="P488" i="1"/>
  <c r="R488" i="1"/>
  <c r="J489" i="1"/>
  <c r="K489" i="1"/>
  <c r="M489" i="1"/>
  <c r="J490" i="1"/>
  <c r="K490" i="1"/>
  <c r="N490" i="1" s="1"/>
  <c r="L490" i="1"/>
  <c r="M490" i="1"/>
  <c r="J491" i="1"/>
  <c r="K491" i="1"/>
  <c r="J492" i="1"/>
  <c r="K492" i="1"/>
  <c r="J493" i="1"/>
  <c r="K493" i="1"/>
  <c r="J494" i="1"/>
  <c r="K494" i="1" s="1"/>
  <c r="J495" i="1"/>
  <c r="K495" i="1" s="1"/>
  <c r="J496" i="1"/>
  <c r="K496" i="1" s="1"/>
  <c r="L496" i="1"/>
  <c r="M496" i="1"/>
  <c r="N496" i="1"/>
  <c r="O496" i="1"/>
  <c r="P496" i="1"/>
  <c r="Q496" i="1"/>
  <c r="R496" i="1"/>
  <c r="J497" i="1"/>
  <c r="K497" i="1" s="1"/>
  <c r="L497" i="1"/>
  <c r="M497" i="1"/>
  <c r="N497" i="1"/>
  <c r="J498" i="1"/>
  <c r="K498" i="1"/>
  <c r="L498" i="1"/>
  <c r="M498" i="1"/>
  <c r="N498" i="1"/>
  <c r="O498" i="1"/>
  <c r="P498" i="1"/>
  <c r="Q498" i="1"/>
  <c r="J499" i="1"/>
  <c r="K499" i="1"/>
  <c r="L499" i="1"/>
  <c r="J500" i="1"/>
  <c r="K500" i="1"/>
  <c r="L500" i="1"/>
  <c r="M500" i="1"/>
  <c r="N500" i="1"/>
  <c r="O500" i="1"/>
  <c r="P500" i="1"/>
  <c r="J501" i="1"/>
  <c r="K501" i="1"/>
  <c r="L501" i="1" s="1"/>
  <c r="M501" i="1"/>
  <c r="N501" i="1"/>
  <c r="J502" i="1"/>
  <c r="K502" i="1" s="1"/>
  <c r="N502" i="1"/>
  <c r="J503" i="1"/>
  <c r="K503" i="1"/>
  <c r="L503" i="1"/>
  <c r="M503" i="1"/>
  <c r="N503" i="1"/>
  <c r="J504" i="1"/>
  <c r="K504" i="1" s="1"/>
  <c r="N504" i="1" s="1"/>
  <c r="L504" i="1"/>
  <c r="M504" i="1"/>
  <c r="J505" i="1"/>
  <c r="K505" i="1"/>
  <c r="L505" i="1"/>
  <c r="O505" i="1" s="1"/>
  <c r="M505" i="1"/>
  <c r="N505" i="1"/>
  <c r="J506" i="1"/>
  <c r="K506" i="1"/>
  <c r="N506" i="1"/>
  <c r="J507" i="1"/>
  <c r="K507" i="1" s="1"/>
  <c r="J508" i="1"/>
  <c r="K508" i="1"/>
  <c r="N508" i="1" s="1"/>
  <c r="L508" i="1"/>
  <c r="M508" i="1"/>
  <c r="J509" i="1"/>
  <c r="K509" i="1"/>
  <c r="J510" i="1"/>
  <c r="K510" i="1" s="1"/>
  <c r="J511" i="1"/>
  <c r="K511" i="1"/>
  <c r="L511" i="1"/>
  <c r="J512" i="1"/>
  <c r="K512" i="1" s="1"/>
  <c r="L512" i="1"/>
  <c r="J513" i="1"/>
  <c r="K513" i="1" s="1"/>
  <c r="N513" i="1" s="1"/>
  <c r="L513" i="1"/>
  <c r="M513" i="1"/>
  <c r="O513" i="1"/>
  <c r="J514" i="1"/>
  <c r="K514" i="1"/>
  <c r="J515" i="1"/>
  <c r="K515" i="1"/>
  <c r="N515" i="1"/>
  <c r="J516" i="1"/>
  <c r="K516" i="1" s="1"/>
  <c r="L516" i="1" s="1"/>
  <c r="J517" i="1"/>
  <c r="K517" i="1" s="1"/>
  <c r="L517" i="1"/>
  <c r="M517" i="1"/>
  <c r="N517" i="1"/>
  <c r="O517" i="1"/>
  <c r="P517" i="1"/>
  <c r="Q517" i="1"/>
  <c r="R517" i="1"/>
  <c r="S517" i="1"/>
  <c r="J518" i="1"/>
  <c r="K518" i="1"/>
  <c r="L518" i="1" s="1"/>
  <c r="M518" i="1"/>
  <c r="N518" i="1"/>
  <c r="J519" i="1"/>
  <c r="K519" i="1" s="1"/>
  <c r="N519" i="1"/>
  <c r="J520" i="1"/>
  <c r="K520" i="1" s="1"/>
  <c r="L520" i="1"/>
  <c r="M520" i="1"/>
  <c r="N520" i="1"/>
  <c r="J521" i="1"/>
  <c r="K521" i="1"/>
  <c r="J522" i="1"/>
  <c r="K522" i="1"/>
  <c r="L522" i="1"/>
  <c r="M522" i="1"/>
  <c r="N522" i="1"/>
  <c r="J523" i="1"/>
  <c r="K523" i="1"/>
  <c r="J524" i="1"/>
  <c r="K524" i="1"/>
  <c r="M524" i="1" s="1"/>
  <c r="L524" i="1"/>
  <c r="N524" i="1"/>
  <c r="J525" i="1"/>
  <c r="K525" i="1" s="1"/>
  <c r="J526" i="1"/>
  <c r="K526" i="1" s="1"/>
  <c r="L526" i="1"/>
  <c r="M526" i="1"/>
  <c r="N526" i="1"/>
  <c r="J527" i="1"/>
  <c r="K527" i="1"/>
  <c r="L527" i="1"/>
  <c r="M527" i="1"/>
  <c r="N527" i="1"/>
  <c r="O527" i="1"/>
  <c r="J528" i="1"/>
  <c r="K528" i="1" s="1"/>
  <c r="J529" i="1"/>
  <c r="K529" i="1" s="1"/>
  <c r="L529" i="1"/>
  <c r="M529" i="1"/>
  <c r="N529" i="1"/>
  <c r="O529" i="1"/>
  <c r="J530" i="1"/>
  <c r="K530" i="1" s="1"/>
  <c r="J531" i="1"/>
  <c r="K531" i="1"/>
  <c r="N531" i="1"/>
  <c r="J532" i="1"/>
  <c r="K532" i="1"/>
  <c r="L532" i="1"/>
  <c r="M532" i="1"/>
  <c r="Q532" i="1" s="1"/>
  <c r="N532" i="1"/>
  <c r="O532" i="1"/>
  <c r="P532" i="1" s="1"/>
  <c r="J533" i="1"/>
  <c r="K533" i="1"/>
  <c r="M533" i="1"/>
  <c r="J534" i="1"/>
  <c r="K534" i="1"/>
  <c r="L534" i="1"/>
  <c r="M534" i="1"/>
  <c r="N534" i="1"/>
  <c r="J535" i="1"/>
  <c r="K535" i="1"/>
  <c r="J536" i="1"/>
  <c r="K536" i="1" s="1"/>
  <c r="L536" i="1"/>
  <c r="M536" i="1"/>
  <c r="N536" i="1"/>
  <c r="J537" i="1"/>
  <c r="K537" i="1"/>
  <c r="L537" i="1"/>
  <c r="J538" i="1"/>
  <c r="K538" i="1"/>
  <c r="L538" i="1"/>
  <c r="M538" i="1"/>
  <c r="N538" i="1"/>
  <c r="O538" i="1"/>
  <c r="P538" i="1"/>
  <c r="J539" i="1"/>
  <c r="K539" i="1"/>
  <c r="J540" i="1"/>
  <c r="K540" i="1"/>
  <c r="J541" i="1"/>
  <c r="K541" i="1" s="1"/>
  <c r="L541" i="1" s="1"/>
  <c r="M541" i="1"/>
  <c r="N541" i="1"/>
  <c r="O541" i="1"/>
  <c r="J542" i="1"/>
  <c r="K542" i="1" s="1"/>
  <c r="L542" i="1"/>
  <c r="M542" i="1"/>
  <c r="N542" i="1"/>
  <c r="J543" i="1"/>
  <c r="K543" i="1"/>
  <c r="L543" i="1"/>
  <c r="M543" i="1"/>
  <c r="N543" i="1"/>
  <c r="O543" i="1"/>
  <c r="P543" i="1"/>
  <c r="J544" i="1"/>
  <c r="K544" i="1" s="1"/>
  <c r="L544" i="1"/>
  <c r="M544" i="1"/>
  <c r="N544" i="1"/>
  <c r="J545" i="1"/>
  <c r="K545" i="1"/>
  <c r="L545" i="1"/>
  <c r="M545" i="1"/>
  <c r="N545" i="1"/>
  <c r="J546" i="1"/>
  <c r="K546" i="1" s="1"/>
  <c r="L546" i="1"/>
  <c r="M546" i="1"/>
  <c r="N546" i="1"/>
  <c r="J547" i="1"/>
  <c r="K547" i="1"/>
  <c r="N547" i="1"/>
  <c r="J548" i="1"/>
  <c r="K548" i="1" s="1"/>
  <c r="J549" i="1"/>
  <c r="K549" i="1"/>
  <c r="J550" i="1"/>
  <c r="K550" i="1"/>
  <c r="L550" i="1"/>
  <c r="M550" i="1"/>
  <c r="N550" i="1"/>
  <c r="J551" i="1"/>
  <c r="K551" i="1" s="1"/>
  <c r="N551" i="1"/>
  <c r="J552" i="1"/>
  <c r="K552" i="1" s="1"/>
  <c r="N552" i="1" s="1"/>
  <c r="L552" i="1"/>
  <c r="M552" i="1"/>
  <c r="O552" i="1"/>
  <c r="P552" i="1"/>
  <c r="Q552" i="1"/>
  <c r="R552" i="1"/>
  <c r="S552" i="1"/>
  <c r="J553" i="1"/>
  <c r="K553" i="1"/>
  <c r="J554" i="1"/>
  <c r="K554" i="1" s="1"/>
  <c r="L554" i="1" s="1"/>
  <c r="M554" i="1"/>
  <c r="N554" i="1"/>
  <c r="O554" i="1"/>
  <c r="J555" i="1"/>
  <c r="K555" i="1"/>
  <c r="M555" i="1" s="1"/>
  <c r="L555" i="1"/>
  <c r="N555" i="1"/>
  <c r="J556" i="1"/>
  <c r="K556" i="1"/>
  <c r="L556" i="1" s="1"/>
  <c r="M556" i="1"/>
  <c r="N556" i="1"/>
  <c r="O556" i="1"/>
  <c r="P556" i="1"/>
  <c r="Q556" i="1"/>
  <c r="R556" i="1"/>
  <c r="J557" i="1"/>
  <c r="K557" i="1" s="1"/>
  <c r="J558" i="1"/>
  <c r="K558" i="1"/>
  <c r="L558" i="1" s="1"/>
  <c r="M558" i="1"/>
  <c r="N558" i="1"/>
  <c r="J559" i="1"/>
  <c r="K559" i="1" s="1"/>
  <c r="N559" i="1"/>
  <c r="J560" i="1"/>
  <c r="K560" i="1" s="1"/>
  <c r="L560" i="1"/>
  <c r="M560" i="1"/>
  <c r="N560" i="1"/>
  <c r="O560" i="1"/>
  <c r="P560" i="1"/>
  <c r="Q560" i="1"/>
  <c r="J561" i="1"/>
  <c r="K561" i="1"/>
  <c r="L561" i="1"/>
  <c r="M561" i="1"/>
  <c r="N561" i="1"/>
  <c r="J562" i="1"/>
  <c r="K562" i="1" s="1"/>
  <c r="L562" i="1"/>
  <c r="M562" i="1"/>
  <c r="N562" i="1"/>
  <c r="O562" i="1"/>
  <c r="Q562" i="1"/>
  <c r="J563" i="1"/>
  <c r="K563" i="1"/>
  <c r="M563" i="1" s="1"/>
  <c r="L563" i="1"/>
  <c r="N563" i="1"/>
  <c r="J564" i="1"/>
  <c r="K564" i="1" s="1"/>
  <c r="L564" i="1"/>
  <c r="J565" i="1"/>
  <c r="K565" i="1"/>
  <c r="L565" i="1"/>
  <c r="M565" i="1"/>
  <c r="N565" i="1"/>
  <c r="O565" i="1"/>
  <c r="P565" i="1"/>
  <c r="Q565" i="1"/>
  <c r="R565" i="1"/>
  <c r="J566" i="1"/>
  <c r="K566" i="1"/>
  <c r="L566" i="1"/>
  <c r="J567" i="1"/>
  <c r="K567" i="1"/>
  <c r="L567" i="1"/>
  <c r="M567" i="1"/>
  <c r="N567" i="1"/>
  <c r="O567" i="1"/>
  <c r="P567" i="1"/>
  <c r="R567" i="1"/>
  <c r="J568" i="1"/>
  <c r="K568" i="1" s="1"/>
  <c r="J569" i="1"/>
  <c r="K569" i="1"/>
  <c r="N569" i="1" s="1"/>
  <c r="L569" i="1"/>
  <c r="M569" i="1"/>
  <c r="O569" i="1"/>
  <c r="P569" i="1"/>
  <c r="R569" i="1"/>
  <c r="J570" i="1"/>
  <c r="K570" i="1"/>
  <c r="L570" i="1"/>
  <c r="M570" i="1"/>
  <c r="N570" i="1"/>
  <c r="O570" i="1"/>
  <c r="P570" i="1"/>
  <c r="J571" i="1"/>
  <c r="K571" i="1" s="1"/>
  <c r="M571" i="1" s="1"/>
  <c r="L571" i="1"/>
  <c r="N571" i="1"/>
  <c r="J572" i="1"/>
  <c r="K572" i="1"/>
  <c r="L572" i="1" s="1"/>
  <c r="M572" i="1"/>
  <c r="N572" i="1"/>
  <c r="O572" i="1"/>
  <c r="P572" i="1"/>
  <c r="Q572" i="1"/>
  <c r="J573" i="1"/>
  <c r="K573" i="1"/>
  <c r="L573" i="1"/>
  <c r="M573" i="1"/>
  <c r="N573" i="1"/>
  <c r="O573" i="1"/>
  <c r="J574" i="1"/>
  <c r="K574" i="1"/>
  <c r="L574" i="1" s="1"/>
  <c r="M574" i="1"/>
  <c r="N574" i="1"/>
  <c r="J575" i="1"/>
  <c r="K575" i="1" s="1"/>
  <c r="J576" i="1"/>
  <c r="K576" i="1" s="1"/>
  <c r="M576" i="1" s="1"/>
  <c r="L576" i="1"/>
  <c r="N576" i="1"/>
  <c r="J577" i="1"/>
  <c r="K577" i="1" s="1"/>
  <c r="J578" i="1"/>
  <c r="K578" i="1"/>
  <c r="L578" i="1"/>
  <c r="M578" i="1"/>
  <c r="N578" i="1"/>
  <c r="O578" i="1"/>
  <c r="Q578" i="1" s="1"/>
  <c r="J579" i="1"/>
  <c r="K579" i="1"/>
  <c r="M579" i="1" s="1"/>
  <c r="L579" i="1"/>
  <c r="N579" i="1"/>
  <c r="O579" i="1"/>
  <c r="P579" i="1"/>
  <c r="R579" i="1"/>
  <c r="J580" i="1"/>
  <c r="K580" i="1"/>
  <c r="L580" i="1" s="1"/>
  <c r="M580" i="1"/>
  <c r="N580" i="1"/>
  <c r="J581" i="1"/>
  <c r="K581" i="1"/>
  <c r="L581" i="1"/>
  <c r="J582" i="1"/>
  <c r="K582" i="1"/>
  <c r="L582" i="1" s="1"/>
  <c r="M582" i="1"/>
  <c r="N582" i="1"/>
  <c r="J583" i="1"/>
  <c r="K583" i="1" s="1"/>
  <c r="N583" i="1" s="1"/>
  <c r="L583" i="1"/>
  <c r="M583" i="1"/>
  <c r="J584" i="1"/>
  <c r="K584" i="1" s="1"/>
  <c r="N584" i="1" s="1"/>
  <c r="L584" i="1"/>
  <c r="O584" i="1" s="1"/>
  <c r="M584" i="1"/>
  <c r="P584" i="1"/>
  <c r="Q584" i="1"/>
  <c r="J585" i="1"/>
  <c r="K585" i="1"/>
  <c r="L585" i="1"/>
  <c r="M585" i="1"/>
  <c r="N585" i="1"/>
  <c r="J586" i="1"/>
  <c r="K586" i="1" s="1"/>
  <c r="J587" i="1"/>
  <c r="K587" i="1"/>
  <c r="M587" i="1" s="1"/>
  <c r="L587" i="1"/>
  <c r="N587" i="1"/>
  <c r="O587" i="1"/>
  <c r="Q587" i="1" s="1"/>
  <c r="J588" i="1"/>
  <c r="K588" i="1"/>
  <c r="L588" i="1" s="1"/>
  <c r="M588" i="1"/>
  <c r="N588" i="1"/>
  <c r="O588" i="1"/>
  <c r="J589" i="1"/>
  <c r="K589" i="1"/>
  <c r="L589" i="1"/>
  <c r="M589" i="1"/>
  <c r="N589" i="1"/>
  <c r="J590" i="1"/>
  <c r="K590" i="1"/>
  <c r="L590" i="1"/>
  <c r="M590" i="1"/>
  <c r="N590" i="1"/>
  <c r="J591" i="1"/>
  <c r="K591" i="1"/>
  <c r="L591" i="1"/>
  <c r="M591" i="1"/>
  <c r="N591" i="1"/>
  <c r="J592" i="1"/>
  <c r="K592" i="1" s="1"/>
  <c r="M592" i="1"/>
  <c r="J593" i="1"/>
  <c r="K593" i="1"/>
  <c r="J594" i="1"/>
  <c r="K594" i="1" s="1"/>
  <c r="J595" i="1"/>
  <c r="K595" i="1"/>
  <c r="J596" i="1"/>
  <c r="K596" i="1" s="1"/>
  <c r="L596" i="1"/>
  <c r="J597" i="1"/>
  <c r="K597" i="1" s="1"/>
  <c r="L597" i="1" s="1"/>
  <c r="M597" i="1"/>
  <c r="N597" i="1"/>
  <c r="O597" i="1"/>
  <c r="P597" i="1"/>
  <c r="Q597" i="1"/>
  <c r="R597" i="1"/>
  <c r="S597" i="1"/>
  <c r="J598" i="1"/>
  <c r="K598" i="1" s="1"/>
  <c r="L598" i="1"/>
  <c r="J599" i="1"/>
  <c r="K599" i="1"/>
  <c r="L599" i="1"/>
  <c r="M599" i="1"/>
  <c r="N599" i="1"/>
  <c r="O599" i="1"/>
  <c r="P599" i="1"/>
  <c r="Q599" i="1"/>
  <c r="R599" i="1"/>
  <c r="S599" i="1"/>
  <c r="J600" i="1"/>
  <c r="K600" i="1" s="1"/>
  <c r="L600" i="1" s="1"/>
  <c r="M600" i="1"/>
  <c r="N600" i="1"/>
  <c r="O600" i="1"/>
  <c r="P600" i="1"/>
  <c r="J601" i="1"/>
  <c r="K601" i="1"/>
  <c r="L601" i="1"/>
  <c r="M601" i="1"/>
  <c r="N601" i="1"/>
  <c r="O601" i="1"/>
  <c r="P601" i="1"/>
  <c r="R601" i="1"/>
  <c r="J602" i="1"/>
  <c r="K602" i="1"/>
  <c r="M602" i="1"/>
  <c r="J603" i="1"/>
  <c r="K603" i="1" s="1"/>
  <c r="J604" i="1"/>
  <c r="K604" i="1"/>
  <c r="J605" i="1"/>
  <c r="K605" i="1"/>
  <c r="J606" i="1"/>
  <c r="K606" i="1" s="1"/>
  <c r="M606" i="1"/>
  <c r="J607" i="1"/>
  <c r="K607" i="1"/>
  <c r="L607" i="1"/>
  <c r="M607" i="1"/>
  <c r="N607" i="1"/>
  <c r="O607" i="1"/>
  <c r="J608" i="1"/>
  <c r="K608" i="1" s="1"/>
  <c r="N608" i="1" s="1"/>
  <c r="L608" i="1"/>
  <c r="M608" i="1"/>
  <c r="J609" i="1"/>
  <c r="K609" i="1"/>
  <c r="L609" i="1"/>
  <c r="J610" i="1"/>
  <c r="K610" i="1" s="1"/>
  <c r="J611" i="1"/>
  <c r="K611" i="1"/>
  <c r="M611" i="1" s="1"/>
  <c r="L611" i="1"/>
  <c r="N611" i="1"/>
  <c r="J612" i="1"/>
  <c r="K612" i="1" s="1"/>
  <c r="J613" i="1"/>
  <c r="K613" i="1"/>
  <c r="L613" i="1"/>
  <c r="J614" i="1"/>
  <c r="K614" i="1"/>
  <c r="L614" i="1"/>
  <c r="M614" i="1"/>
  <c r="N614" i="1"/>
  <c r="J615" i="1"/>
  <c r="K615" i="1" s="1"/>
  <c r="L615" i="1" s="1"/>
  <c r="M615" i="1"/>
  <c r="N615" i="1"/>
  <c r="J616" i="1"/>
  <c r="K616" i="1" s="1"/>
  <c r="L616" i="1"/>
  <c r="M616" i="1"/>
  <c r="N616" i="1"/>
  <c r="O616" i="1"/>
  <c r="Q616" i="1"/>
  <c r="J617" i="1"/>
  <c r="K617" i="1"/>
  <c r="J618" i="1"/>
  <c r="K618" i="1"/>
  <c r="L618" i="1"/>
  <c r="M618" i="1"/>
  <c r="N618" i="1"/>
  <c r="J619" i="1"/>
  <c r="K619" i="1"/>
  <c r="M619" i="1" s="1"/>
  <c r="L619" i="1"/>
  <c r="N619" i="1"/>
  <c r="J620" i="1"/>
  <c r="K620" i="1"/>
  <c r="L620" i="1"/>
  <c r="J621" i="1"/>
  <c r="K621" i="1" s="1"/>
  <c r="L621" i="1"/>
  <c r="M621" i="1"/>
  <c r="N621" i="1"/>
  <c r="O621" i="1"/>
  <c r="P621" i="1" s="1"/>
  <c r="J622" i="1"/>
  <c r="K622" i="1"/>
  <c r="L622" i="1"/>
  <c r="J623" i="1"/>
  <c r="K623" i="1" s="1"/>
  <c r="N623" i="1" s="1"/>
  <c r="L623" i="1"/>
  <c r="M623" i="1"/>
  <c r="J624" i="1"/>
  <c r="K624" i="1" s="1"/>
  <c r="L624" i="1"/>
  <c r="M624" i="1"/>
  <c r="N624" i="1"/>
  <c r="O624" i="1"/>
  <c r="P624" i="1" s="1"/>
  <c r="Q624" i="1"/>
  <c r="J625" i="1"/>
  <c r="K625" i="1" s="1"/>
  <c r="J626" i="1"/>
  <c r="K626" i="1"/>
  <c r="L626" i="1"/>
  <c r="M626" i="1"/>
  <c r="N626" i="1"/>
  <c r="O626" i="1"/>
  <c r="Q626" i="1"/>
  <c r="R626" i="1"/>
  <c r="J627" i="1"/>
  <c r="K627" i="1"/>
  <c r="L627" i="1"/>
  <c r="J628" i="1"/>
  <c r="K628" i="1" s="1"/>
  <c r="J629" i="1"/>
  <c r="K629" i="1"/>
  <c r="L629" i="1" s="1"/>
  <c r="M629" i="1"/>
  <c r="N629" i="1"/>
  <c r="O629" i="1"/>
  <c r="R629" i="1"/>
  <c r="J630" i="1"/>
  <c r="K630" i="1"/>
  <c r="J631" i="1"/>
  <c r="K631" i="1"/>
  <c r="N631" i="1" s="1"/>
  <c r="L631" i="1"/>
  <c r="M631" i="1"/>
  <c r="J632" i="1"/>
  <c r="K632" i="1" s="1"/>
  <c r="L632" i="1"/>
  <c r="M632" i="1"/>
  <c r="N632" i="1"/>
  <c r="J633" i="1"/>
  <c r="K633" i="1"/>
  <c r="N633" i="1"/>
  <c r="J634" i="1"/>
  <c r="K634" i="1"/>
  <c r="M634" i="1" s="1"/>
  <c r="L634" i="1"/>
  <c r="N634" i="1"/>
  <c r="O634" i="1"/>
  <c r="Q634" i="1" s="1"/>
  <c r="J635" i="1"/>
  <c r="K635" i="1"/>
  <c r="M635" i="1" s="1"/>
  <c r="L635" i="1"/>
  <c r="N635" i="1"/>
  <c r="O635" i="1"/>
  <c r="P635" i="1"/>
  <c r="Q635" i="1"/>
  <c r="R635" i="1"/>
  <c r="S635" i="1"/>
  <c r="J636" i="1"/>
  <c r="K636" i="1"/>
  <c r="M636" i="1" s="1"/>
  <c r="L636" i="1"/>
  <c r="N636" i="1"/>
  <c r="J637" i="1"/>
  <c r="K637" i="1"/>
  <c r="J638" i="1"/>
  <c r="K638" i="1"/>
  <c r="M638" i="1" s="1"/>
  <c r="L638" i="1"/>
  <c r="N638" i="1"/>
  <c r="J639" i="1"/>
  <c r="K639" i="1"/>
  <c r="N639" i="1" s="1"/>
  <c r="L639" i="1"/>
  <c r="M639" i="1"/>
  <c r="J640" i="1"/>
  <c r="K640" i="1" s="1"/>
  <c r="L640" i="1"/>
  <c r="J641" i="1"/>
  <c r="K641" i="1" s="1"/>
  <c r="L641" i="1"/>
  <c r="M641" i="1"/>
  <c r="N641" i="1"/>
  <c r="O641" i="1"/>
  <c r="P641" i="1"/>
  <c r="R641" i="1"/>
  <c r="J642" i="1"/>
  <c r="K642" i="1"/>
  <c r="N642" i="1"/>
  <c r="J643" i="1"/>
  <c r="K643" i="1" s="1"/>
  <c r="J644" i="1"/>
  <c r="K644" i="1"/>
  <c r="L644" i="1"/>
  <c r="M644" i="1"/>
  <c r="N644" i="1"/>
  <c r="J645" i="1"/>
  <c r="K645" i="1"/>
  <c r="N645" i="1" s="1"/>
  <c r="J646" i="1"/>
  <c r="K646" i="1"/>
  <c r="J647" i="1"/>
  <c r="K647" i="1"/>
  <c r="L647" i="1"/>
  <c r="M647" i="1"/>
  <c r="N647" i="1"/>
  <c r="O647" i="1"/>
  <c r="R647" i="1"/>
  <c r="J648" i="1"/>
  <c r="K648" i="1" s="1"/>
  <c r="L648" i="1"/>
  <c r="J649" i="1"/>
  <c r="K649" i="1"/>
  <c r="N649" i="1" s="1"/>
  <c r="L649" i="1"/>
  <c r="M649" i="1"/>
  <c r="J650" i="1"/>
  <c r="K650" i="1"/>
  <c r="L650" i="1"/>
  <c r="M650" i="1"/>
  <c r="N650" i="1"/>
  <c r="O650" i="1"/>
  <c r="Q650" i="1"/>
  <c r="J651" i="1"/>
  <c r="K651" i="1"/>
  <c r="J652" i="1"/>
  <c r="K652" i="1"/>
  <c r="L652" i="1"/>
  <c r="O652" i="1" s="1"/>
  <c r="M652" i="1"/>
  <c r="Q652" i="1" s="1"/>
  <c r="N652" i="1"/>
  <c r="J653" i="1"/>
  <c r="K653" i="1" s="1"/>
  <c r="N653" i="1"/>
  <c r="J654" i="1"/>
  <c r="K654" i="1"/>
  <c r="L654" i="1"/>
  <c r="M654" i="1"/>
  <c r="N654" i="1"/>
  <c r="J655" i="1"/>
  <c r="K655" i="1"/>
  <c r="L655" i="1"/>
  <c r="M655" i="1"/>
  <c r="N655" i="1"/>
  <c r="J656" i="1"/>
  <c r="K656" i="1" s="1"/>
  <c r="J657" i="1"/>
  <c r="K657" i="1"/>
  <c r="L657" i="1"/>
  <c r="M657" i="1"/>
  <c r="N657" i="1"/>
  <c r="O657" i="1"/>
  <c r="J658" i="1"/>
  <c r="K658" i="1"/>
  <c r="L658" i="1" s="1"/>
  <c r="M658" i="1"/>
  <c r="N658" i="1"/>
  <c r="O658" i="1"/>
  <c r="J659" i="1"/>
  <c r="K659" i="1"/>
  <c r="M659" i="1" s="1"/>
  <c r="L659" i="1"/>
  <c r="N659" i="1"/>
  <c r="O659" i="1"/>
  <c r="P659" i="1"/>
  <c r="Q659" i="1"/>
  <c r="J660" i="1"/>
  <c r="K660" i="1"/>
  <c r="N660" i="1" s="1"/>
  <c r="L660" i="1"/>
  <c r="M660" i="1"/>
  <c r="J661" i="1"/>
  <c r="K661" i="1" s="1"/>
  <c r="N661" i="1" s="1"/>
  <c r="L661" i="1"/>
  <c r="M661" i="1"/>
  <c r="J662" i="1"/>
  <c r="K662" i="1" s="1"/>
  <c r="J663" i="1"/>
  <c r="K663" i="1" s="1"/>
  <c r="M663" i="1" s="1"/>
  <c r="L663" i="1"/>
  <c r="N663" i="1"/>
  <c r="O663" i="1"/>
  <c r="P663" i="1"/>
  <c r="Q663" i="1"/>
  <c r="R663" i="1"/>
  <c r="S663" i="1"/>
  <c r="J664" i="1"/>
  <c r="K664" i="1" s="1"/>
  <c r="L664" i="1"/>
  <c r="M664" i="1"/>
  <c r="N664" i="1"/>
  <c r="J665" i="1"/>
  <c r="K665" i="1"/>
  <c r="L665" i="1"/>
  <c r="J666" i="1"/>
  <c r="K666" i="1"/>
  <c r="N666" i="1" s="1"/>
  <c r="L666" i="1"/>
  <c r="M666" i="1"/>
  <c r="J667" i="1"/>
  <c r="K667" i="1"/>
  <c r="M667" i="1" s="1"/>
  <c r="L667" i="1"/>
  <c r="N667" i="1"/>
  <c r="O667" i="1"/>
  <c r="R667" i="1"/>
  <c r="J668" i="1"/>
  <c r="K668" i="1" s="1"/>
  <c r="J669" i="1"/>
  <c r="K669" i="1"/>
  <c r="N669" i="1" s="1"/>
  <c r="L669" i="1"/>
  <c r="M669" i="1"/>
  <c r="J670" i="1"/>
  <c r="K670" i="1" s="1"/>
  <c r="L670" i="1"/>
  <c r="M670" i="1"/>
  <c r="N670" i="1"/>
  <c r="J671" i="1"/>
  <c r="K671" i="1"/>
  <c r="N671" i="1"/>
  <c r="J672" i="1"/>
  <c r="K672" i="1" s="1"/>
  <c r="L672" i="1"/>
  <c r="M672" i="1"/>
  <c r="N672" i="1"/>
  <c r="O672" i="1"/>
  <c r="P672" i="1"/>
  <c r="Q672" i="1"/>
  <c r="J673" i="1"/>
  <c r="K673" i="1"/>
  <c r="L673" i="1"/>
  <c r="M673" i="1"/>
  <c r="N673" i="1"/>
  <c r="J674" i="1"/>
  <c r="K674" i="1"/>
  <c r="L674" i="1"/>
  <c r="M674" i="1"/>
  <c r="N674" i="1"/>
  <c r="O674" i="1"/>
  <c r="Q674" i="1"/>
  <c r="J675" i="1"/>
  <c r="K675" i="1"/>
  <c r="N675" i="1"/>
  <c r="J676" i="1"/>
  <c r="K676" i="1"/>
  <c r="L676" i="1"/>
  <c r="M676" i="1"/>
  <c r="N676" i="1"/>
  <c r="O676" i="1"/>
  <c r="J677" i="1"/>
  <c r="K677" i="1"/>
  <c r="L677" i="1"/>
  <c r="M677" i="1"/>
  <c r="N677" i="1"/>
  <c r="J678" i="1"/>
  <c r="K678" i="1"/>
  <c r="L678" i="1"/>
  <c r="J679" i="1"/>
  <c r="K679" i="1" s="1"/>
  <c r="L679" i="1"/>
  <c r="M679" i="1"/>
  <c r="N679" i="1"/>
  <c r="O679" i="1"/>
  <c r="P679" i="1"/>
  <c r="J680" i="1"/>
  <c r="K680" i="1" s="1"/>
  <c r="J681" i="1"/>
  <c r="K681" i="1" s="1"/>
  <c r="N681" i="1" s="1"/>
  <c r="L681" i="1"/>
  <c r="M681" i="1"/>
  <c r="J682" i="1"/>
  <c r="K682" i="1" s="1"/>
  <c r="L682" i="1"/>
  <c r="M682" i="1"/>
  <c r="N682" i="1"/>
  <c r="J683" i="1"/>
  <c r="K683" i="1"/>
  <c r="M683" i="1" s="1"/>
  <c r="L683" i="1"/>
  <c r="N683" i="1"/>
  <c r="J684" i="1"/>
  <c r="K684" i="1"/>
  <c r="J685" i="1"/>
  <c r="K685" i="1"/>
  <c r="L685" i="1"/>
  <c r="M685" i="1"/>
  <c r="N685" i="1"/>
  <c r="J686" i="1"/>
  <c r="K686" i="1"/>
  <c r="J687" i="1"/>
  <c r="K687" i="1" s="1"/>
  <c r="N687" i="1" s="1"/>
  <c r="L687" i="1"/>
  <c r="M687" i="1"/>
  <c r="J688" i="1"/>
  <c r="K688" i="1"/>
  <c r="L688" i="1"/>
  <c r="M688" i="1"/>
  <c r="N688" i="1"/>
  <c r="J689" i="1"/>
  <c r="K689" i="1" s="1"/>
  <c r="L689" i="1" s="1"/>
  <c r="M689" i="1"/>
  <c r="N689" i="1"/>
  <c r="O689" i="1"/>
  <c r="P689" i="1"/>
  <c r="Q689" i="1"/>
  <c r="R689" i="1"/>
  <c r="S689" i="1"/>
  <c r="J690" i="1"/>
  <c r="K690" i="1"/>
  <c r="M690" i="1" s="1"/>
  <c r="L690" i="1"/>
  <c r="N690" i="1"/>
  <c r="J691" i="1"/>
  <c r="K691" i="1" s="1"/>
  <c r="N691" i="1"/>
  <c r="J692" i="1"/>
  <c r="K692" i="1"/>
  <c r="N692" i="1" s="1"/>
  <c r="L692" i="1"/>
  <c r="M692" i="1"/>
  <c r="J693" i="1"/>
  <c r="K693" i="1"/>
  <c r="J694" i="1"/>
  <c r="K694" i="1" s="1"/>
  <c r="J695" i="1"/>
  <c r="K695" i="1" s="1"/>
  <c r="N695" i="1" s="1"/>
  <c r="L695" i="1"/>
  <c r="M695" i="1"/>
  <c r="J696" i="1"/>
  <c r="K696" i="1"/>
  <c r="M696" i="1" s="1"/>
  <c r="L696" i="1"/>
  <c r="N696" i="1"/>
  <c r="J697" i="1"/>
  <c r="K697" i="1"/>
  <c r="N697" i="1" s="1"/>
  <c r="L697" i="1"/>
  <c r="M697" i="1"/>
  <c r="J698" i="1"/>
  <c r="K698" i="1"/>
  <c r="J699" i="1"/>
  <c r="K699" i="1"/>
  <c r="L699" i="1"/>
  <c r="J700" i="1"/>
  <c r="K700" i="1"/>
  <c r="M700" i="1"/>
  <c r="J701" i="1"/>
  <c r="K701" i="1"/>
  <c r="L701" i="1"/>
  <c r="M701" i="1"/>
  <c r="N701" i="1"/>
  <c r="J702" i="1"/>
  <c r="K702" i="1" s="1"/>
  <c r="L702" i="1"/>
  <c r="M702" i="1"/>
  <c r="N702" i="1"/>
  <c r="O702" i="1"/>
  <c r="P702" i="1"/>
  <c r="J703" i="1"/>
  <c r="K703" i="1" s="1"/>
  <c r="L703" i="1"/>
  <c r="M703" i="1"/>
  <c r="N703" i="1"/>
  <c r="O703" i="1"/>
  <c r="J704" i="1"/>
  <c r="K704" i="1"/>
  <c r="N704" i="1" s="1"/>
  <c r="L704" i="1"/>
  <c r="M704" i="1"/>
  <c r="J705" i="1"/>
  <c r="K705" i="1"/>
  <c r="L705" i="1"/>
  <c r="M705" i="1"/>
  <c r="N705" i="1"/>
  <c r="O705" i="1"/>
  <c r="P705" i="1"/>
  <c r="R705" i="1"/>
  <c r="J706" i="1"/>
  <c r="K706" i="1" s="1"/>
  <c r="N706" i="1"/>
  <c r="J707" i="1"/>
  <c r="K707" i="1"/>
  <c r="L707" i="1"/>
  <c r="M707" i="1"/>
  <c r="N707" i="1"/>
  <c r="O707" i="1"/>
  <c r="Q707" i="1"/>
  <c r="J708" i="1"/>
  <c r="K708" i="1"/>
  <c r="J709" i="1"/>
  <c r="K709" i="1"/>
  <c r="N709" i="1" s="1"/>
  <c r="L709" i="1"/>
  <c r="M709" i="1"/>
  <c r="J710" i="1"/>
  <c r="K710" i="1"/>
  <c r="L710" i="1"/>
  <c r="J711" i="1"/>
  <c r="K711" i="1" s="1"/>
  <c r="L711" i="1"/>
  <c r="J712" i="1"/>
  <c r="K712" i="1"/>
  <c r="N712" i="1" s="1"/>
  <c r="L712" i="1"/>
  <c r="M712" i="1"/>
  <c r="J713" i="1"/>
  <c r="K713" i="1"/>
  <c r="L713" i="1"/>
  <c r="M713" i="1"/>
  <c r="N713" i="1"/>
  <c r="J714" i="1"/>
  <c r="K714" i="1"/>
  <c r="J715" i="1"/>
  <c r="K715" i="1"/>
  <c r="M715" i="1"/>
  <c r="J716" i="1"/>
  <c r="K716" i="1"/>
  <c r="N716" i="1" s="1"/>
  <c r="L716" i="1"/>
  <c r="M716" i="1"/>
  <c r="J717" i="1"/>
  <c r="K717" i="1" s="1"/>
  <c r="M717" i="1" s="1"/>
  <c r="L717" i="1"/>
  <c r="N717" i="1"/>
  <c r="J718" i="1"/>
  <c r="K718" i="1" s="1"/>
  <c r="J719" i="1"/>
  <c r="K719" i="1" s="1"/>
  <c r="L719" i="1"/>
  <c r="M719" i="1"/>
  <c r="N719" i="1"/>
  <c r="J720" i="1"/>
  <c r="K720" i="1"/>
  <c r="L720" i="1"/>
  <c r="M720" i="1"/>
  <c r="N720" i="1"/>
  <c r="J721" i="1"/>
  <c r="K721" i="1"/>
  <c r="J722" i="1"/>
  <c r="K722" i="1"/>
  <c r="M722" i="1" s="1"/>
  <c r="L722" i="1"/>
  <c r="N722" i="1"/>
  <c r="O722" i="1"/>
  <c r="P722" i="1"/>
  <c r="J723" i="1"/>
  <c r="K723" i="1" s="1"/>
  <c r="N723" i="1"/>
  <c r="J724" i="1"/>
  <c r="K724" i="1"/>
  <c r="N724" i="1" s="1"/>
  <c r="L724" i="1"/>
  <c r="M724" i="1"/>
  <c r="J725" i="1"/>
  <c r="K725" i="1"/>
  <c r="L725" i="1"/>
  <c r="M725" i="1"/>
  <c r="N725" i="1"/>
  <c r="J726" i="1"/>
  <c r="K726" i="1"/>
  <c r="J727" i="1"/>
  <c r="K727" i="1" s="1"/>
  <c r="L727" i="1"/>
  <c r="M727" i="1"/>
  <c r="N727" i="1"/>
  <c r="O727" i="1"/>
  <c r="P727" i="1"/>
  <c r="Q727" i="1"/>
  <c r="R727" i="1"/>
  <c r="S727" i="1"/>
  <c r="J728" i="1"/>
  <c r="K728" i="1"/>
  <c r="L728" i="1"/>
  <c r="J729" i="1"/>
  <c r="K729" i="1"/>
  <c r="L729" i="1"/>
  <c r="M729" i="1"/>
  <c r="N729" i="1"/>
  <c r="O729" i="1"/>
  <c r="P729" i="1"/>
  <c r="Q729" i="1"/>
  <c r="R729" i="1"/>
  <c r="S729" i="1"/>
  <c r="J730" i="1"/>
  <c r="K730" i="1"/>
  <c r="M730" i="1" s="1"/>
  <c r="L730" i="1"/>
  <c r="N730" i="1"/>
  <c r="J731" i="1"/>
  <c r="K731" i="1"/>
  <c r="L731" i="1"/>
  <c r="M731" i="1"/>
  <c r="N731" i="1"/>
  <c r="J732" i="1"/>
  <c r="K732" i="1"/>
  <c r="N732" i="1" s="1"/>
  <c r="L732" i="1"/>
  <c r="M732" i="1"/>
  <c r="O732" i="1"/>
  <c r="J733" i="1"/>
  <c r="K733" i="1" s="1"/>
  <c r="J734" i="1"/>
  <c r="K734" i="1"/>
  <c r="M734" i="1" s="1"/>
  <c r="L734" i="1"/>
  <c r="N734" i="1"/>
  <c r="J735" i="1"/>
  <c r="K735" i="1" s="1"/>
  <c r="J736" i="1"/>
  <c r="K736" i="1"/>
  <c r="M736" i="1"/>
  <c r="J737" i="1"/>
  <c r="K737" i="1"/>
  <c r="L737" i="1"/>
  <c r="M737" i="1"/>
  <c r="N737" i="1"/>
  <c r="J738" i="1"/>
  <c r="K738" i="1"/>
  <c r="N738" i="1"/>
  <c r="J739" i="1"/>
  <c r="K739" i="1"/>
  <c r="L739" i="1"/>
  <c r="M739" i="1"/>
  <c r="N739" i="1"/>
  <c r="J740" i="1"/>
  <c r="K740" i="1"/>
  <c r="J741" i="1"/>
  <c r="K741" i="1"/>
  <c r="L741" i="1"/>
  <c r="M741" i="1"/>
  <c r="N741" i="1"/>
  <c r="J742" i="1"/>
  <c r="K742" i="1"/>
  <c r="L742" i="1"/>
  <c r="M742" i="1"/>
  <c r="N742" i="1"/>
  <c r="O742" i="1"/>
  <c r="P742" i="1"/>
  <c r="Q742" i="1"/>
  <c r="J743" i="1"/>
  <c r="K743" i="1" s="1"/>
  <c r="N743" i="1" s="1"/>
  <c r="L743" i="1"/>
  <c r="M743" i="1"/>
  <c r="J744" i="1"/>
  <c r="K744" i="1"/>
  <c r="J745" i="1"/>
  <c r="K745" i="1"/>
  <c r="J746" i="1"/>
  <c r="K746" i="1"/>
  <c r="M746" i="1" s="1"/>
  <c r="L746" i="1"/>
  <c r="N746" i="1"/>
  <c r="O746" i="1"/>
  <c r="P746" i="1"/>
  <c r="Q746" i="1"/>
  <c r="R746" i="1"/>
  <c r="S746" i="1"/>
  <c r="J747" i="1"/>
  <c r="K747" i="1" s="1"/>
  <c r="L747" i="1" s="1"/>
  <c r="M747" i="1"/>
  <c r="N747" i="1"/>
  <c r="O747" i="1"/>
  <c r="Q747" i="1"/>
  <c r="J748" i="1"/>
  <c r="K748" i="1"/>
  <c r="L748" i="1"/>
  <c r="M748" i="1"/>
  <c r="N748" i="1"/>
  <c r="O748" i="1"/>
  <c r="P748" i="1"/>
  <c r="Q748" i="1"/>
  <c r="J749" i="1"/>
  <c r="K749" i="1"/>
  <c r="L749" i="1"/>
  <c r="J750" i="1"/>
  <c r="K750" i="1" s="1"/>
  <c r="J751" i="1"/>
  <c r="K751" i="1" s="1"/>
  <c r="L751" i="1"/>
  <c r="M751" i="1"/>
  <c r="N751" i="1"/>
  <c r="J752" i="1"/>
  <c r="K752" i="1"/>
  <c r="J753" i="1"/>
  <c r="K753" i="1" s="1"/>
  <c r="J754" i="1"/>
  <c r="K754" i="1"/>
  <c r="M754" i="1" s="1"/>
  <c r="L754" i="1"/>
  <c r="N754" i="1"/>
  <c r="J755" i="1"/>
  <c r="K755" i="1"/>
  <c r="M755" i="1"/>
  <c r="J756" i="1"/>
  <c r="K756" i="1"/>
  <c r="L756" i="1"/>
  <c r="M756" i="1"/>
  <c r="N756" i="1"/>
  <c r="O756" i="1"/>
  <c r="J757" i="1"/>
  <c r="K757" i="1" s="1"/>
  <c r="L757" i="1"/>
  <c r="J758" i="1"/>
  <c r="K758" i="1"/>
  <c r="L758" i="1"/>
  <c r="J759" i="1"/>
  <c r="K759" i="1" s="1"/>
  <c r="L759" i="1"/>
  <c r="M759" i="1"/>
  <c r="N759" i="1"/>
  <c r="O759" i="1"/>
  <c r="Q759" i="1" s="1"/>
  <c r="P759" i="1"/>
  <c r="J760" i="1"/>
  <c r="K760" i="1"/>
  <c r="L760" i="1"/>
  <c r="J761" i="1"/>
  <c r="K761" i="1"/>
  <c r="L761" i="1" s="1"/>
  <c r="M761" i="1"/>
  <c r="N761" i="1"/>
  <c r="O761" i="1"/>
  <c r="P761" i="1"/>
  <c r="Q761" i="1"/>
  <c r="R761" i="1"/>
  <c r="S761" i="1"/>
  <c r="J762" i="1"/>
  <c r="K762" i="1" s="1"/>
  <c r="J763" i="1"/>
  <c r="K763" i="1" s="1"/>
  <c r="L763" i="1"/>
  <c r="M763" i="1"/>
  <c r="N763" i="1"/>
  <c r="J764" i="1"/>
  <c r="K764" i="1"/>
  <c r="N764" i="1"/>
  <c r="J765" i="1"/>
  <c r="K765" i="1"/>
  <c r="L765" i="1"/>
  <c r="M765" i="1"/>
  <c r="N765" i="1"/>
  <c r="J766" i="1"/>
  <c r="K766" i="1"/>
  <c r="L766" i="1"/>
  <c r="M766" i="1"/>
  <c r="N766" i="1"/>
  <c r="O766" i="1"/>
  <c r="Q766" i="1"/>
  <c r="J767" i="1"/>
  <c r="K767" i="1" s="1"/>
  <c r="L767" i="1"/>
  <c r="M767" i="1"/>
  <c r="N767" i="1"/>
  <c r="O767" i="1"/>
  <c r="J768" i="1"/>
  <c r="K768" i="1"/>
  <c r="L768" i="1"/>
  <c r="M768" i="1"/>
  <c r="N768" i="1"/>
  <c r="J769" i="1"/>
  <c r="K769" i="1" s="1"/>
  <c r="J770" i="1"/>
  <c r="K770" i="1"/>
  <c r="J771" i="1"/>
  <c r="K771" i="1"/>
  <c r="L771" i="1"/>
  <c r="M771" i="1"/>
  <c r="N771" i="1"/>
  <c r="O771" i="1"/>
  <c r="P771" i="1"/>
  <c r="Q771" i="1"/>
  <c r="R771" i="1"/>
  <c r="J772" i="1"/>
  <c r="K772" i="1"/>
  <c r="J773" i="1"/>
  <c r="K773" i="1"/>
  <c r="L773" i="1"/>
  <c r="J774" i="1"/>
  <c r="K774" i="1" s="1"/>
  <c r="J775" i="1"/>
  <c r="K775" i="1" s="1"/>
  <c r="L775" i="1"/>
  <c r="M775" i="1"/>
  <c r="N775" i="1"/>
  <c r="J776" i="1"/>
  <c r="K776" i="1" s="1"/>
  <c r="L776" i="1" s="1"/>
  <c r="M776" i="1"/>
  <c r="N776" i="1"/>
  <c r="O776" i="1"/>
  <c r="P776" i="1"/>
  <c r="R776" i="1"/>
  <c r="J777" i="1"/>
  <c r="K777" i="1"/>
  <c r="J778" i="1"/>
  <c r="K778" i="1" s="1"/>
  <c r="L778" i="1"/>
  <c r="J779" i="1"/>
  <c r="K779" i="1"/>
  <c r="L779" i="1"/>
  <c r="M779" i="1"/>
  <c r="N779" i="1"/>
  <c r="J780" i="1"/>
  <c r="K780" i="1" s="1"/>
  <c r="M780" i="1" s="1"/>
  <c r="L780" i="1"/>
  <c r="N780" i="1"/>
  <c r="J781" i="1"/>
  <c r="K781" i="1"/>
  <c r="J782" i="1"/>
  <c r="K782" i="1"/>
  <c r="L782" i="1" s="1"/>
  <c r="M782" i="1"/>
  <c r="N782" i="1"/>
  <c r="J783" i="1"/>
  <c r="K783" i="1" s="1"/>
  <c r="L783" i="1"/>
  <c r="M783" i="1"/>
  <c r="N783" i="1"/>
  <c r="O783" i="1"/>
  <c r="P783" i="1" s="1"/>
  <c r="J784" i="1"/>
  <c r="K784" i="1"/>
  <c r="L784" i="1"/>
  <c r="M784" i="1"/>
  <c r="N784" i="1"/>
  <c r="J785" i="1"/>
  <c r="K785" i="1"/>
  <c r="L785" i="1"/>
  <c r="M785" i="1"/>
  <c r="N785" i="1"/>
  <c r="O785" i="1"/>
  <c r="P785" i="1"/>
  <c r="R785" i="1"/>
  <c r="J786" i="1"/>
  <c r="K786" i="1"/>
  <c r="L786" i="1"/>
  <c r="J787" i="1"/>
  <c r="K787" i="1"/>
  <c r="L787" i="1"/>
  <c r="M787" i="1"/>
  <c r="N787" i="1"/>
  <c r="O787" i="1"/>
  <c r="Q787" i="1"/>
  <c r="J788" i="1"/>
  <c r="K788" i="1" s="1"/>
  <c r="M788" i="1"/>
  <c r="J789" i="1"/>
  <c r="K789" i="1"/>
  <c r="J790" i="1"/>
  <c r="K790" i="1"/>
  <c r="N790" i="1" s="1"/>
  <c r="L790" i="1"/>
  <c r="M790" i="1"/>
  <c r="J791" i="1"/>
  <c r="K791" i="1" s="1"/>
  <c r="L791" i="1"/>
  <c r="M791" i="1"/>
  <c r="N791" i="1"/>
  <c r="J792" i="1"/>
  <c r="K792" i="1" s="1"/>
  <c r="J793" i="1"/>
  <c r="K793" i="1" s="1"/>
  <c r="J794" i="1"/>
  <c r="K794" i="1"/>
  <c r="M794" i="1" s="1"/>
  <c r="L794" i="1"/>
  <c r="N794" i="1"/>
  <c r="O794" i="1"/>
  <c r="J795" i="1"/>
  <c r="K795" i="1"/>
  <c r="N795" i="1" s="1"/>
  <c r="L795" i="1"/>
  <c r="M795" i="1"/>
  <c r="O795" i="1"/>
  <c r="Q795" i="1"/>
  <c r="R795" i="1"/>
  <c r="J796" i="1"/>
  <c r="K796" i="1"/>
  <c r="L796" i="1"/>
  <c r="M796" i="1"/>
  <c r="N796" i="1"/>
  <c r="O796" i="1"/>
  <c r="R796" i="1"/>
  <c r="J797" i="1"/>
  <c r="K797" i="1"/>
  <c r="M797" i="1" s="1"/>
  <c r="L797" i="1"/>
  <c r="N797" i="1"/>
  <c r="J798" i="1"/>
  <c r="K798" i="1"/>
  <c r="L798" i="1"/>
  <c r="J799" i="1"/>
  <c r="K799" i="1" s="1"/>
  <c r="M799" i="1" s="1"/>
  <c r="L799" i="1"/>
  <c r="N799" i="1"/>
  <c r="J800" i="1"/>
  <c r="K800" i="1"/>
  <c r="L800" i="1"/>
  <c r="M800" i="1"/>
  <c r="N800" i="1"/>
  <c r="O800" i="1"/>
  <c r="P800" i="1"/>
  <c r="R800" i="1"/>
  <c r="J801" i="1"/>
  <c r="K801" i="1"/>
  <c r="L801" i="1" s="1"/>
  <c r="M801" i="1"/>
  <c r="N801" i="1"/>
  <c r="O801" i="1"/>
  <c r="P801" i="1"/>
  <c r="J802" i="1"/>
  <c r="K802" i="1"/>
  <c r="M802" i="1" s="1"/>
  <c r="L802" i="1"/>
  <c r="N802" i="1"/>
  <c r="O802" i="1"/>
  <c r="P802" i="1"/>
  <c r="Q802" i="1"/>
  <c r="R802" i="1"/>
  <c r="J803" i="1"/>
  <c r="K803" i="1" s="1"/>
  <c r="J804" i="1"/>
  <c r="K804" i="1"/>
  <c r="L804" i="1"/>
  <c r="M804" i="1"/>
  <c r="N804" i="1"/>
  <c r="O804" i="1"/>
  <c r="P804" i="1"/>
  <c r="Q804" i="1"/>
  <c r="J805" i="1"/>
  <c r="K805" i="1" s="1"/>
  <c r="L805" i="1" s="1"/>
  <c r="M805" i="1"/>
  <c r="N805" i="1"/>
  <c r="J806" i="1"/>
  <c r="K806" i="1" s="1"/>
  <c r="J807" i="1"/>
  <c r="K807" i="1" s="1"/>
  <c r="L807" i="1" s="1"/>
  <c r="M807" i="1"/>
  <c r="N807" i="1"/>
  <c r="O807" i="1"/>
  <c r="J808" i="1"/>
  <c r="K808" i="1"/>
  <c r="L808" i="1"/>
  <c r="M808" i="1"/>
  <c r="N808" i="1"/>
  <c r="J809" i="1"/>
  <c r="K809" i="1"/>
  <c r="L809" i="1"/>
  <c r="M809" i="1"/>
  <c r="N809" i="1"/>
  <c r="J810" i="1"/>
  <c r="K810" i="1" s="1"/>
  <c r="L810" i="1" s="1"/>
  <c r="M810" i="1"/>
  <c r="N810" i="1"/>
  <c r="O810" i="1"/>
  <c r="Q810" i="1"/>
  <c r="J811" i="1"/>
  <c r="K811" i="1"/>
  <c r="J812" i="1"/>
  <c r="K812" i="1"/>
  <c r="N812" i="1" s="1"/>
  <c r="L812" i="1"/>
  <c r="M812" i="1"/>
  <c r="J813" i="1"/>
  <c r="K813" i="1"/>
  <c r="L813" i="1"/>
  <c r="J814" i="1"/>
  <c r="K814" i="1"/>
  <c r="M814" i="1"/>
  <c r="J815" i="1"/>
  <c r="K815" i="1"/>
  <c r="L815" i="1"/>
  <c r="J816" i="1"/>
  <c r="K816" i="1" s="1"/>
  <c r="N816" i="1" s="1"/>
  <c r="L816" i="1"/>
  <c r="M816" i="1"/>
  <c r="J817" i="1"/>
  <c r="K817" i="1"/>
  <c r="L817" i="1"/>
  <c r="M817" i="1"/>
  <c r="N817" i="1"/>
  <c r="O817" i="1"/>
  <c r="J818" i="1"/>
  <c r="K818" i="1" s="1"/>
  <c r="L818" i="1" s="1"/>
  <c r="M818" i="1"/>
  <c r="N818" i="1"/>
  <c r="O818" i="1"/>
  <c r="P818" i="1" s="1"/>
  <c r="J819" i="1"/>
  <c r="K819" i="1"/>
  <c r="L819" i="1"/>
  <c r="M819" i="1"/>
  <c r="N819" i="1"/>
  <c r="J820" i="1"/>
  <c r="K820" i="1"/>
  <c r="L820" i="1"/>
  <c r="M820" i="1"/>
  <c r="N820" i="1"/>
  <c r="O820" i="1"/>
  <c r="P820" i="1"/>
  <c r="Q820" i="1"/>
  <c r="J821" i="1"/>
  <c r="K821" i="1"/>
  <c r="L821" i="1"/>
  <c r="J822" i="1"/>
  <c r="K822" i="1"/>
  <c r="L822" i="1"/>
  <c r="M822" i="1"/>
  <c r="N822" i="1"/>
  <c r="O822" i="1"/>
  <c r="J823" i="1"/>
  <c r="K823" i="1"/>
  <c r="M823" i="1"/>
  <c r="J824" i="1"/>
  <c r="K824" i="1"/>
  <c r="L824" i="1"/>
  <c r="M824" i="1"/>
  <c r="N824" i="1"/>
  <c r="J825" i="1"/>
  <c r="K825" i="1"/>
  <c r="L825" i="1" s="1"/>
  <c r="M825" i="1"/>
  <c r="N825" i="1"/>
  <c r="O825" i="1"/>
  <c r="P825" i="1"/>
  <c r="Q825" i="1"/>
  <c r="J826" i="1"/>
  <c r="K826" i="1" s="1"/>
  <c r="L826" i="1" s="1"/>
  <c r="M826" i="1"/>
  <c r="N826" i="1"/>
  <c r="O826" i="1"/>
  <c r="P826" i="1"/>
  <c r="Q826" i="1"/>
  <c r="J827" i="1"/>
  <c r="K827" i="1"/>
  <c r="J828" i="1"/>
  <c r="K828" i="1"/>
  <c r="L828" i="1"/>
  <c r="M828" i="1"/>
  <c r="N828" i="1"/>
  <c r="J829" i="1"/>
  <c r="K829" i="1"/>
  <c r="L829" i="1"/>
  <c r="J830" i="1"/>
  <c r="K830" i="1"/>
  <c r="N830" i="1" s="1"/>
  <c r="L830" i="1"/>
  <c r="M830" i="1"/>
  <c r="O830" i="1"/>
  <c r="Q830" i="1"/>
  <c r="R830" i="1"/>
  <c r="J831" i="1"/>
  <c r="K831" i="1"/>
  <c r="J832" i="1"/>
  <c r="K832" i="1" s="1"/>
  <c r="M832" i="1" s="1"/>
  <c r="L832" i="1"/>
  <c r="N832" i="1"/>
  <c r="J833" i="1"/>
  <c r="K833" i="1"/>
  <c r="L833" i="1"/>
  <c r="M833" i="1"/>
  <c r="N833" i="1"/>
  <c r="O833" i="1"/>
  <c r="P833" i="1"/>
  <c r="J834" i="1"/>
  <c r="K834" i="1" s="1"/>
  <c r="N834" i="1"/>
  <c r="J835" i="1"/>
  <c r="K835" i="1"/>
  <c r="L835" i="1"/>
  <c r="M835" i="1"/>
  <c r="N835" i="1"/>
  <c r="O835" i="1"/>
  <c r="P835" i="1"/>
  <c r="J836" i="1"/>
  <c r="K836" i="1" s="1"/>
  <c r="J837" i="1"/>
  <c r="K837" i="1" s="1"/>
  <c r="J838" i="1"/>
  <c r="K838" i="1"/>
  <c r="J839" i="1"/>
  <c r="K839" i="1"/>
  <c r="N839" i="1" s="1"/>
  <c r="L839" i="1"/>
  <c r="M839" i="1"/>
  <c r="O839" i="1"/>
  <c r="Q839" i="1"/>
  <c r="R839" i="1"/>
  <c r="J840" i="1"/>
  <c r="K840" i="1" s="1"/>
  <c r="N840" i="1"/>
  <c r="J841" i="1"/>
  <c r="K841" i="1"/>
  <c r="J842" i="1"/>
  <c r="K842" i="1" s="1"/>
  <c r="J843" i="1"/>
  <c r="K843" i="1"/>
  <c r="M843" i="1"/>
  <c r="J844" i="1"/>
  <c r="K844" i="1"/>
  <c r="J845" i="1"/>
  <c r="K845" i="1"/>
  <c r="L845" i="1"/>
  <c r="J846" i="1"/>
  <c r="K846" i="1" s="1"/>
  <c r="N846" i="1"/>
  <c r="J847" i="1"/>
  <c r="K847" i="1"/>
  <c r="L847" i="1"/>
  <c r="M847" i="1"/>
  <c r="N847" i="1"/>
  <c r="O847" i="1"/>
  <c r="P847" i="1"/>
  <c r="Q847" i="1"/>
  <c r="R847" i="1"/>
  <c r="S847" i="1"/>
  <c r="J848" i="1"/>
  <c r="K848" i="1"/>
  <c r="M848" i="1" s="1"/>
  <c r="L848" i="1"/>
  <c r="N848" i="1"/>
  <c r="J849" i="1"/>
  <c r="K849" i="1"/>
  <c r="L849" i="1"/>
  <c r="M849" i="1"/>
  <c r="N849" i="1"/>
  <c r="O849" i="1"/>
  <c r="P849" i="1"/>
  <c r="Q849" i="1"/>
  <c r="R849" i="1"/>
  <c r="S849" i="1"/>
  <c r="J850" i="1"/>
  <c r="K850" i="1" s="1"/>
  <c r="N850" i="1"/>
  <c r="J851" i="1"/>
  <c r="K851" i="1"/>
  <c r="L851" i="1"/>
  <c r="M851" i="1"/>
  <c r="N851" i="1"/>
  <c r="J852" i="1"/>
  <c r="K852" i="1" s="1"/>
  <c r="L852" i="1"/>
  <c r="J853" i="1"/>
  <c r="K853" i="1"/>
  <c r="L853" i="1"/>
  <c r="J854" i="1"/>
  <c r="K854" i="1" s="1"/>
  <c r="N854" i="1" s="1"/>
  <c r="L854" i="1"/>
  <c r="M854" i="1"/>
  <c r="J855" i="1"/>
  <c r="K855" i="1"/>
  <c r="N855" i="1" s="1"/>
  <c r="L855" i="1"/>
  <c r="M855" i="1"/>
  <c r="J856" i="1"/>
  <c r="K856" i="1"/>
  <c r="L856" i="1"/>
  <c r="J857" i="1"/>
  <c r="K857" i="1"/>
  <c r="N857" i="1" s="1"/>
  <c r="L857" i="1"/>
  <c r="M857" i="1"/>
  <c r="O857" i="1"/>
  <c r="J858" i="1"/>
  <c r="K858" i="1" s="1"/>
  <c r="L858" i="1" s="1"/>
  <c r="M858" i="1"/>
  <c r="N858" i="1"/>
  <c r="J859" i="1"/>
  <c r="K859" i="1"/>
  <c r="M859" i="1"/>
  <c r="J860" i="1"/>
  <c r="K860" i="1"/>
  <c r="L860" i="1" s="1"/>
  <c r="J861" i="1"/>
  <c r="K861" i="1"/>
  <c r="J862" i="1"/>
  <c r="K862" i="1"/>
  <c r="N862" i="1" s="1"/>
  <c r="L862" i="1"/>
  <c r="M862" i="1"/>
  <c r="J863" i="1"/>
  <c r="K863" i="1"/>
  <c r="L863" i="1"/>
  <c r="M863" i="1"/>
  <c r="N863" i="1"/>
  <c r="O863" i="1"/>
  <c r="P863" i="1"/>
  <c r="Q863" i="1"/>
  <c r="R863" i="1"/>
  <c r="S863" i="1"/>
  <c r="J864" i="1"/>
  <c r="K864" i="1"/>
  <c r="J865" i="1"/>
  <c r="K865" i="1"/>
  <c r="N865" i="1" s="1"/>
  <c r="L865" i="1"/>
  <c r="M865" i="1"/>
  <c r="J866" i="1"/>
  <c r="K866" i="1" s="1"/>
  <c r="M866" i="1"/>
  <c r="J867" i="1"/>
  <c r="K867" i="1"/>
  <c r="L867" i="1"/>
  <c r="M867" i="1"/>
  <c r="N867" i="1"/>
  <c r="O867" i="1"/>
  <c r="P867" i="1"/>
  <c r="J868" i="1"/>
  <c r="K868" i="1"/>
  <c r="M868" i="1" s="1"/>
  <c r="L868" i="1"/>
  <c r="N868" i="1"/>
  <c r="J869" i="1"/>
  <c r="K869" i="1"/>
  <c r="L869" i="1"/>
  <c r="J870" i="1"/>
  <c r="K870" i="1" s="1"/>
  <c r="L870" i="1"/>
  <c r="J871" i="1"/>
  <c r="K871" i="1"/>
  <c r="L871" i="1"/>
  <c r="M871" i="1"/>
  <c r="N871" i="1"/>
  <c r="O871" i="1"/>
  <c r="P871" i="1"/>
  <c r="Q871" i="1"/>
  <c r="J872" i="1"/>
  <c r="K872" i="1"/>
  <c r="N872" i="1" s="1"/>
  <c r="L872" i="1"/>
  <c r="M872" i="1"/>
  <c r="J873" i="1"/>
  <c r="K873" i="1"/>
  <c r="L873" i="1"/>
  <c r="M873" i="1"/>
  <c r="N873" i="1"/>
  <c r="O873" i="1"/>
  <c r="Q873" i="1"/>
  <c r="J874" i="1"/>
  <c r="K874" i="1" s="1"/>
  <c r="L874" i="1" s="1"/>
  <c r="M874" i="1"/>
  <c r="N874" i="1"/>
  <c r="D5" i="1"/>
  <c r="D6" i="1" s="1"/>
  <c r="C5" i="1"/>
  <c r="B5" i="1"/>
  <c r="B6" i="1" s="1"/>
  <c r="L86" i="1" l="1"/>
  <c r="M86" i="1"/>
  <c r="N86" i="1"/>
  <c r="O860" i="1"/>
  <c r="P860" i="1"/>
  <c r="S800" i="1"/>
  <c r="Q215" i="1"/>
  <c r="Q670" i="1"/>
  <c r="O536" i="1"/>
  <c r="R536" i="1" s="1"/>
  <c r="O636" i="1"/>
  <c r="P636" i="1" s="1"/>
  <c r="O281" i="1"/>
  <c r="R281" i="1" s="1"/>
  <c r="Q245" i="1"/>
  <c r="S245" i="1" s="1"/>
  <c r="S93" i="1"/>
  <c r="Q857" i="1"/>
  <c r="L843" i="1"/>
  <c r="N843" i="1"/>
  <c r="P822" i="1"/>
  <c r="Q822" i="1"/>
  <c r="R563" i="1"/>
  <c r="O545" i="1"/>
  <c r="R545" i="1" s="1"/>
  <c r="P545" i="1"/>
  <c r="S545" i="1" s="1"/>
  <c r="L525" i="1"/>
  <c r="N525" i="1"/>
  <c r="M525" i="1"/>
  <c r="O380" i="1"/>
  <c r="P380" i="1"/>
  <c r="R351" i="1"/>
  <c r="O330" i="1"/>
  <c r="R330" i="1" s="1"/>
  <c r="P857" i="1"/>
  <c r="S857" i="1" s="1"/>
  <c r="M698" i="1"/>
  <c r="L698" i="1"/>
  <c r="N698" i="1"/>
  <c r="R624" i="1"/>
  <c r="S624" i="1" s="1"/>
  <c r="O563" i="1"/>
  <c r="Q563" i="1" s="1"/>
  <c r="P563" i="1"/>
  <c r="O499" i="1"/>
  <c r="P499" i="1" s="1"/>
  <c r="L428" i="1"/>
  <c r="M428" i="1"/>
  <c r="N428" i="1"/>
  <c r="S412" i="1"/>
  <c r="R380" i="1"/>
  <c r="Q351" i="1"/>
  <c r="R857" i="1"/>
  <c r="M837" i="1"/>
  <c r="N837" i="1"/>
  <c r="L837" i="1"/>
  <c r="O780" i="1"/>
  <c r="P780" i="1"/>
  <c r="R767" i="1"/>
  <c r="M627" i="1"/>
  <c r="N627" i="1"/>
  <c r="R587" i="1"/>
  <c r="O583" i="1"/>
  <c r="Q583" i="1" s="1"/>
  <c r="P583" i="1"/>
  <c r="R560" i="1"/>
  <c r="S560" i="1" s="1"/>
  <c r="L502" i="1"/>
  <c r="M502" i="1"/>
  <c r="M499" i="1"/>
  <c r="N499" i="1"/>
  <c r="S496" i="1"/>
  <c r="R483" i="1"/>
  <c r="S408" i="1"/>
  <c r="R356" i="1"/>
  <c r="S356" i="1" s="1"/>
  <c r="S40" i="1"/>
  <c r="R874" i="1"/>
  <c r="L836" i="1"/>
  <c r="M836" i="1"/>
  <c r="N836" i="1"/>
  <c r="M798" i="1"/>
  <c r="N798" i="1"/>
  <c r="Q767" i="1"/>
  <c r="L752" i="1"/>
  <c r="M752" i="1"/>
  <c r="N752" i="1"/>
  <c r="Q737" i="1"/>
  <c r="O720" i="1"/>
  <c r="Q720" i="1" s="1"/>
  <c r="P587" i="1"/>
  <c r="S587" i="1" s="1"/>
  <c r="R583" i="1"/>
  <c r="Q490" i="1"/>
  <c r="R412" i="1"/>
  <c r="M333" i="1"/>
  <c r="L333" i="1"/>
  <c r="M815" i="1"/>
  <c r="N815" i="1"/>
  <c r="Q783" i="1"/>
  <c r="S783" i="1" s="1"/>
  <c r="O685" i="1"/>
  <c r="P685" i="1" s="1"/>
  <c r="M645" i="1"/>
  <c r="M637" i="1"/>
  <c r="N637" i="1"/>
  <c r="L637" i="1"/>
  <c r="O611" i="1"/>
  <c r="P611" i="1"/>
  <c r="O590" i="1"/>
  <c r="Q590" i="1" s="1"/>
  <c r="P590" i="1"/>
  <c r="M548" i="1"/>
  <c r="N548" i="1"/>
  <c r="L548" i="1"/>
  <c r="N516" i="1"/>
  <c r="R505" i="1"/>
  <c r="M473" i="1"/>
  <c r="N473" i="1"/>
  <c r="O467" i="1"/>
  <c r="P467" i="1"/>
  <c r="O419" i="1"/>
  <c r="Q412" i="1"/>
  <c r="R408" i="1"/>
  <c r="M391" i="1"/>
  <c r="L391" i="1"/>
  <c r="N391" i="1"/>
  <c r="O182" i="1"/>
  <c r="P182" i="1" s="1"/>
  <c r="R136" i="1"/>
  <c r="O44" i="1"/>
  <c r="R44" i="1" s="1"/>
  <c r="R851" i="1"/>
  <c r="O828" i="1"/>
  <c r="Q828" i="1" s="1"/>
  <c r="N744" i="1"/>
  <c r="L744" i="1"/>
  <c r="M744" i="1"/>
  <c r="R652" i="1"/>
  <c r="L645" i="1"/>
  <c r="L519" i="1"/>
  <c r="M519" i="1"/>
  <c r="M516" i="1"/>
  <c r="Q505" i="1"/>
  <c r="M467" i="1"/>
  <c r="N467" i="1"/>
  <c r="N275" i="1"/>
  <c r="L275" i="1"/>
  <c r="M275" i="1"/>
  <c r="R270" i="1"/>
  <c r="R140" i="1"/>
  <c r="N860" i="1"/>
  <c r="M860" i="1"/>
  <c r="N803" i="1"/>
  <c r="L803" i="1"/>
  <c r="M803" i="1"/>
  <c r="R670" i="1"/>
  <c r="M605" i="1"/>
  <c r="L605" i="1"/>
  <c r="N605" i="1"/>
  <c r="R571" i="1"/>
  <c r="O516" i="1"/>
  <c r="P516" i="1"/>
  <c r="P505" i="1"/>
  <c r="L453" i="1"/>
  <c r="N453" i="1"/>
  <c r="Q211" i="1"/>
  <c r="O851" i="1"/>
  <c r="Q851" i="1" s="1"/>
  <c r="P851" i="1"/>
  <c r="L831" i="1"/>
  <c r="M831" i="1"/>
  <c r="N831" i="1"/>
  <c r="R818" i="1"/>
  <c r="L806" i="1"/>
  <c r="M806" i="1"/>
  <c r="N806" i="1"/>
  <c r="M726" i="1"/>
  <c r="N726" i="1"/>
  <c r="L726" i="1"/>
  <c r="M711" i="1"/>
  <c r="N711" i="1"/>
  <c r="P652" i="1"/>
  <c r="S652" i="1" s="1"/>
  <c r="R636" i="1"/>
  <c r="R634" i="1"/>
  <c r="O589" i="1"/>
  <c r="Q589" i="1" s="1"/>
  <c r="O571" i="1"/>
  <c r="P571" i="1"/>
  <c r="R532" i="1"/>
  <c r="S532" i="1" s="1"/>
  <c r="R518" i="1"/>
  <c r="M510" i="1"/>
  <c r="N510" i="1"/>
  <c r="L510" i="1"/>
  <c r="R245" i="1"/>
  <c r="L66" i="1"/>
  <c r="M66" i="1"/>
  <c r="N66" i="1"/>
  <c r="M53" i="1"/>
  <c r="N53" i="1"/>
  <c r="L53" i="1"/>
  <c r="Q12" i="1"/>
  <c r="L827" i="1"/>
  <c r="N827" i="1"/>
  <c r="M827" i="1"/>
  <c r="Q818" i="1"/>
  <c r="S818" i="1" s="1"/>
  <c r="M789" i="1"/>
  <c r="N789" i="1"/>
  <c r="L789" i="1"/>
  <c r="N774" i="1"/>
  <c r="M774" i="1"/>
  <c r="L774" i="1"/>
  <c r="R731" i="1"/>
  <c r="O670" i="1"/>
  <c r="P670" i="1" s="1"/>
  <c r="S670" i="1" s="1"/>
  <c r="Q655" i="1"/>
  <c r="P634" i="1"/>
  <c r="S634" i="1" s="1"/>
  <c r="Q571" i="1"/>
  <c r="O303" i="1"/>
  <c r="S802" i="1"/>
  <c r="M770" i="1"/>
  <c r="L770" i="1"/>
  <c r="N770" i="1"/>
  <c r="O731" i="1"/>
  <c r="P731" i="1" s="1"/>
  <c r="R703" i="1"/>
  <c r="L691" i="1"/>
  <c r="M691" i="1"/>
  <c r="O688" i="1"/>
  <c r="R688" i="1" s="1"/>
  <c r="P688" i="1"/>
  <c r="O655" i="1"/>
  <c r="R655" i="1" s="1"/>
  <c r="P655" i="1"/>
  <c r="S655" i="1" s="1"/>
  <c r="M535" i="1"/>
  <c r="L535" i="1"/>
  <c r="N535" i="1"/>
  <c r="O522" i="1"/>
  <c r="R522" i="1" s="1"/>
  <c r="P522" i="1"/>
  <c r="M494" i="1"/>
  <c r="L494" i="1"/>
  <c r="N494" i="1"/>
  <c r="N470" i="1"/>
  <c r="L470" i="1"/>
  <c r="M470" i="1"/>
  <c r="N399" i="1"/>
  <c r="L399" i="1"/>
  <c r="M399" i="1"/>
  <c r="S394" i="1"/>
  <c r="M168" i="1"/>
  <c r="N168" i="1"/>
  <c r="S820" i="1"/>
  <c r="R759" i="1"/>
  <c r="S759" i="1" s="1"/>
  <c r="O749" i="1"/>
  <c r="P749" i="1" s="1"/>
  <c r="Q703" i="1"/>
  <c r="R554" i="1"/>
  <c r="L551" i="1"/>
  <c r="M551" i="1"/>
  <c r="O446" i="1"/>
  <c r="P446" i="1"/>
  <c r="N71" i="1"/>
  <c r="M71" i="1"/>
  <c r="L71" i="1"/>
  <c r="N777" i="1"/>
  <c r="M777" i="1"/>
  <c r="L777" i="1"/>
  <c r="M762" i="1"/>
  <c r="L762" i="1"/>
  <c r="N762" i="1"/>
  <c r="M749" i="1"/>
  <c r="N749" i="1"/>
  <c r="O728" i="1"/>
  <c r="P728" i="1"/>
  <c r="L718" i="1"/>
  <c r="M718" i="1"/>
  <c r="N718" i="1"/>
  <c r="P703" i="1"/>
  <c r="S703" i="1" s="1"/>
  <c r="Q554" i="1"/>
  <c r="L480" i="1"/>
  <c r="M480" i="1"/>
  <c r="N480" i="1"/>
  <c r="M435" i="1"/>
  <c r="L435" i="1"/>
  <c r="R425" i="1"/>
  <c r="L406" i="1"/>
  <c r="M406" i="1"/>
  <c r="N406" i="1"/>
  <c r="O250" i="1"/>
  <c r="R250" i="1" s="1"/>
  <c r="L866" i="1"/>
  <c r="N866" i="1"/>
  <c r="O854" i="1"/>
  <c r="Q854" i="1" s="1"/>
  <c r="P854" i="1"/>
  <c r="R820" i="1"/>
  <c r="M728" i="1"/>
  <c r="N728" i="1"/>
  <c r="O639" i="1"/>
  <c r="R639" i="1" s="1"/>
  <c r="O608" i="1"/>
  <c r="R608" i="1" s="1"/>
  <c r="Q580" i="1"/>
  <c r="M557" i="1"/>
  <c r="N557" i="1"/>
  <c r="L557" i="1"/>
  <c r="P554" i="1"/>
  <c r="N439" i="1"/>
  <c r="L439" i="1"/>
  <c r="M439" i="1"/>
  <c r="O425" i="1"/>
  <c r="Q425" i="1" s="1"/>
  <c r="P425" i="1"/>
  <c r="O402" i="1"/>
  <c r="P402" i="1" s="1"/>
  <c r="Q367" i="1"/>
  <c r="O205" i="1"/>
  <c r="P205" i="1" s="1"/>
  <c r="M869" i="1"/>
  <c r="N869" i="1"/>
  <c r="R854" i="1"/>
  <c r="L793" i="1"/>
  <c r="M793" i="1"/>
  <c r="N793" i="1"/>
  <c r="N625" i="1"/>
  <c r="L625" i="1"/>
  <c r="M625" i="1"/>
  <c r="O580" i="1"/>
  <c r="R580" i="1" s="1"/>
  <c r="R538" i="1"/>
  <c r="S538" i="1" s="1"/>
  <c r="O479" i="1"/>
  <c r="P479" i="1" s="1"/>
  <c r="N450" i="1"/>
  <c r="L450" i="1"/>
  <c r="M450" i="1"/>
  <c r="M402" i="1"/>
  <c r="N402" i="1"/>
  <c r="Q375" i="1"/>
  <c r="O367" i="1"/>
  <c r="R367" i="1" s="1"/>
  <c r="P367" i="1"/>
  <c r="L792" i="1"/>
  <c r="M792" i="1"/>
  <c r="N792" i="1"/>
  <c r="L694" i="1"/>
  <c r="M694" i="1"/>
  <c r="N694" i="1"/>
  <c r="N668" i="1"/>
  <c r="L668" i="1"/>
  <c r="M668" i="1"/>
  <c r="Q538" i="1"/>
  <c r="R288" i="1"/>
  <c r="Q288" i="1"/>
  <c r="P288" i="1"/>
  <c r="S288" i="1" s="1"/>
  <c r="O865" i="1"/>
  <c r="Q865" i="1" s="1"/>
  <c r="P865" i="1"/>
  <c r="O812" i="1"/>
  <c r="R812" i="1" s="1"/>
  <c r="L781" i="1"/>
  <c r="M781" i="1"/>
  <c r="N781" i="1"/>
  <c r="O765" i="1"/>
  <c r="R765" i="1" s="1"/>
  <c r="P765" i="1"/>
  <c r="O734" i="1"/>
  <c r="Q545" i="1"/>
  <c r="L530" i="1"/>
  <c r="M530" i="1"/>
  <c r="N530" i="1"/>
  <c r="Q513" i="1"/>
  <c r="Q380" i="1"/>
  <c r="N326" i="1"/>
  <c r="M326" i="1"/>
  <c r="L326" i="1"/>
  <c r="M263" i="1"/>
  <c r="N263" i="1"/>
  <c r="L263" i="1"/>
  <c r="L79" i="1"/>
  <c r="M79" i="1"/>
  <c r="R833" i="1"/>
  <c r="R783" i="1"/>
  <c r="L721" i="1"/>
  <c r="M721" i="1"/>
  <c r="N721" i="1"/>
  <c r="M665" i="1"/>
  <c r="N665" i="1"/>
  <c r="R658" i="1"/>
  <c r="N640" i="1"/>
  <c r="M640" i="1"/>
  <c r="R529" i="1"/>
  <c r="P513" i="1"/>
  <c r="M459" i="1"/>
  <c r="L459" i="1"/>
  <c r="N459" i="1"/>
  <c r="O12" i="1"/>
  <c r="P12" i="1" s="1"/>
  <c r="S12" i="1" s="1"/>
  <c r="O874" i="1"/>
  <c r="Q874" i="1" s="1"/>
  <c r="Q833" i="1"/>
  <c r="S833" i="1" s="1"/>
  <c r="Q741" i="1"/>
  <c r="M678" i="1"/>
  <c r="N678" i="1"/>
  <c r="O661" i="1"/>
  <c r="Q661" i="1" s="1"/>
  <c r="Q529" i="1"/>
  <c r="R513" i="1"/>
  <c r="O497" i="1"/>
  <c r="R497" i="1" s="1"/>
  <c r="P497" i="1"/>
  <c r="O447" i="1"/>
  <c r="P447" i="1"/>
  <c r="S421" i="1"/>
  <c r="L359" i="1"/>
  <c r="M359" i="1"/>
  <c r="R871" i="1"/>
  <c r="S871" i="1" s="1"/>
  <c r="Q812" i="1"/>
  <c r="O682" i="1"/>
  <c r="P682" i="1" s="1"/>
  <c r="R682" i="1"/>
  <c r="M643" i="1"/>
  <c r="L643" i="1"/>
  <c r="N643" i="1"/>
  <c r="P529" i="1"/>
  <c r="O294" i="1"/>
  <c r="P294" i="1"/>
  <c r="L70" i="1"/>
  <c r="M70" i="1"/>
  <c r="N70" i="1"/>
  <c r="M458" i="1"/>
  <c r="L458" i="1"/>
  <c r="N458" i="1"/>
  <c r="S455" i="1"/>
  <c r="Q415" i="1"/>
  <c r="S401" i="1"/>
  <c r="S383" i="1"/>
  <c r="O375" i="1"/>
  <c r="P375" i="1"/>
  <c r="L363" i="1"/>
  <c r="M363" i="1"/>
  <c r="N363" i="1"/>
  <c r="Q340" i="1"/>
  <c r="O329" i="1"/>
  <c r="Q329" i="1" s="1"/>
  <c r="R329" i="1"/>
  <c r="M325" i="1"/>
  <c r="L325" i="1"/>
  <c r="N325" i="1"/>
  <c r="O300" i="1"/>
  <c r="R300" i="1" s="1"/>
  <c r="P300" i="1"/>
  <c r="N280" i="1"/>
  <c r="M280" i="1"/>
  <c r="L280" i="1"/>
  <c r="M257" i="1"/>
  <c r="L257" i="1"/>
  <c r="N257" i="1"/>
  <c r="N218" i="1"/>
  <c r="L218" i="1"/>
  <c r="M218" i="1"/>
  <c r="O215" i="1"/>
  <c r="R215" i="1" s="1"/>
  <c r="N175" i="1"/>
  <c r="M175" i="1"/>
  <c r="L175" i="1"/>
  <c r="Q140" i="1"/>
  <c r="P104" i="1"/>
  <c r="S104" i="1" s="1"/>
  <c r="O104" i="1"/>
  <c r="M101" i="1"/>
  <c r="N101" i="1"/>
  <c r="N97" i="1"/>
  <c r="M97" i="1"/>
  <c r="L97" i="1"/>
  <c r="L78" i="1"/>
  <c r="M78" i="1"/>
  <c r="N78" i="1"/>
  <c r="R12" i="1"/>
  <c r="R865" i="1"/>
  <c r="R822" i="1"/>
  <c r="R817" i="1"/>
  <c r="L811" i="1"/>
  <c r="M811" i="1"/>
  <c r="N811" i="1"/>
  <c r="Q800" i="1"/>
  <c r="Q791" i="1"/>
  <c r="R779" i="1"/>
  <c r="O737" i="1"/>
  <c r="R737" i="1" s="1"/>
  <c r="P737" i="1"/>
  <c r="L708" i="1"/>
  <c r="M708" i="1"/>
  <c r="N708" i="1"/>
  <c r="R690" i="1"/>
  <c r="M675" i="1"/>
  <c r="L675" i="1"/>
  <c r="Q658" i="1"/>
  <c r="P639" i="1"/>
  <c r="O614" i="1"/>
  <c r="Q614" i="1" s="1"/>
  <c r="L577" i="1"/>
  <c r="M577" i="1"/>
  <c r="N577" i="1"/>
  <c r="S556" i="1"/>
  <c r="O508" i="1"/>
  <c r="R508" i="1" s="1"/>
  <c r="P508" i="1"/>
  <c r="L489" i="1"/>
  <c r="N489" i="1"/>
  <c r="O862" i="1"/>
  <c r="Q862" i="1" s="1"/>
  <c r="P862" i="1"/>
  <c r="R835" i="1"/>
  <c r="P830" i="1"/>
  <c r="S830" i="1" s="1"/>
  <c r="Q817" i="1"/>
  <c r="O791" i="1"/>
  <c r="R791" i="1" s="1"/>
  <c r="P791" i="1"/>
  <c r="L788" i="1"/>
  <c r="N788" i="1"/>
  <c r="Q779" i="1"/>
  <c r="M740" i="1"/>
  <c r="N740" i="1"/>
  <c r="L740" i="1"/>
  <c r="O730" i="1"/>
  <c r="P730" i="1"/>
  <c r="Q716" i="1"/>
  <c r="Q705" i="1"/>
  <c r="S705" i="1" s="1"/>
  <c r="P658" i="1"/>
  <c r="N630" i="1"/>
  <c r="M630" i="1"/>
  <c r="L630" i="1"/>
  <c r="R573" i="1"/>
  <c r="R562" i="1"/>
  <c r="R541" i="1"/>
  <c r="L521" i="1"/>
  <c r="M521" i="1"/>
  <c r="N521" i="1"/>
  <c r="M442" i="1"/>
  <c r="N442" i="1"/>
  <c r="L442" i="1"/>
  <c r="Q397" i="1"/>
  <c r="R383" i="1"/>
  <c r="Q332" i="1"/>
  <c r="S332" i="1" s="1"/>
  <c r="R273" i="1"/>
  <c r="N269" i="1"/>
  <c r="L269" i="1"/>
  <c r="M269" i="1"/>
  <c r="S256" i="1"/>
  <c r="M152" i="1"/>
  <c r="N152" i="1"/>
  <c r="N89" i="1"/>
  <c r="L89" i="1"/>
  <c r="M89" i="1"/>
  <c r="O77" i="1"/>
  <c r="P77" i="1" s="1"/>
  <c r="Q77" i="1"/>
  <c r="L842" i="1"/>
  <c r="M842" i="1"/>
  <c r="N842" i="1"/>
  <c r="Q835" i="1"/>
  <c r="S835" i="1" s="1"/>
  <c r="P817" i="1"/>
  <c r="S817" i="1" s="1"/>
  <c r="O779" i="1"/>
  <c r="P779" i="1"/>
  <c r="Q776" i="1"/>
  <c r="S776" i="1" s="1"/>
  <c r="L764" i="1"/>
  <c r="M764" i="1"/>
  <c r="M758" i="1"/>
  <c r="N758" i="1"/>
  <c r="N755" i="1"/>
  <c r="L755" i="1"/>
  <c r="O716" i="1"/>
  <c r="R716" i="1" s="1"/>
  <c r="P716" i="1"/>
  <c r="Q690" i="1"/>
  <c r="R672" i="1"/>
  <c r="S672" i="1" s="1"/>
  <c r="M648" i="1"/>
  <c r="N648" i="1"/>
  <c r="M620" i="1"/>
  <c r="N620" i="1"/>
  <c r="L617" i="1"/>
  <c r="M617" i="1"/>
  <c r="N617" i="1"/>
  <c r="M603" i="1"/>
  <c r="L603" i="1"/>
  <c r="N603" i="1"/>
  <c r="O576" i="1"/>
  <c r="P576" i="1" s="1"/>
  <c r="R570" i="1"/>
  <c r="L568" i="1"/>
  <c r="M568" i="1"/>
  <c r="N568" i="1"/>
  <c r="Q550" i="1"/>
  <c r="Q541" i="1"/>
  <c r="Q401" i="1"/>
  <c r="N366" i="1"/>
  <c r="L366" i="1"/>
  <c r="M366" i="1"/>
  <c r="L864" i="1"/>
  <c r="M864" i="1"/>
  <c r="N864" i="1"/>
  <c r="N859" i="1"/>
  <c r="L859" i="1"/>
  <c r="M856" i="1"/>
  <c r="N856" i="1"/>
  <c r="R794" i="1"/>
  <c r="L693" i="1"/>
  <c r="M693" i="1"/>
  <c r="N693" i="1"/>
  <c r="Q666" i="1"/>
  <c r="O660" i="1"/>
  <c r="Q623" i="1"/>
  <c r="N598" i="1"/>
  <c r="M598" i="1"/>
  <c r="M595" i="1"/>
  <c r="L595" i="1"/>
  <c r="N595" i="1"/>
  <c r="Q570" i="1"/>
  <c r="S570" i="1" s="1"/>
  <c r="O550" i="1"/>
  <c r="P541" i="1"/>
  <c r="R527" i="1"/>
  <c r="O511" i="1"/>
  <c r="P511" i="1" s="1"/>
  <c r="O504" i="1"/>
  <c r="Q504" i="1" s="1"/>
  <c r="O501" i="1"/>
  <c r="O465" i="1"/>
  <c r="R465" i="1" s="1"/>
  <c r="P465" i="1"/>
  <c r="M445" i="1"/>
  <c r="N445" i="1"/>
  <c r="L433" i="1"/>
  <c r="N433" i="1"/>
  <c r="M433" i="1"/>
  <c r="S417" i="1"/>
  <c r="O407" i="1"/>
  <c r="R407" i="1" s="1"/>
  <c r="Q404" i="1"/>
  <c r="Q389" i="1"/>
  <c r="Q383" i="1"/>
  <c r="Q369" i="1"/>
  <c r="M354" i="1"/>
  <c r="N354" i="1"/>
  <c r="L354" i="1"/>
  <c r="S349" i="1"/>
  <c r="R332" i="1"/>
  <c r="S314" i="1"/>
  <c r="M277" i="1"/>
  <c r="N277" i="1"/>
  <c r="L277" i="1"/>
  <c r="O226" i="1"/>
  <c r="Q226" i="1"/>
  <c r="Q139" i="1"/>
  <c r="N841" i="1"/>
  <c r="L841" i="1"/>
  <c r="M841" i="1"/>
  <c r="O824" i="1"/>
  <c r="P824" i="1"/>
  <c r="R819" i="1"/>
  <c r="P794" i="1"/>
  <c r="S794" i="1" s="1"/>
  <c r="R787" i="1"/>
  <c r="O782" i="1"/>
  <c r="P782" i="1" s="1"/>
  <c r="Q782" i="1"/>
  <c r="N772" i="1"/>
  <c r="L772" i="1"/>
  <c r="M772" i="1"/>
  <c r="R766" i="1"/>
  <c r="N745" i="1"/>
  <c r="L745" i="1"/>
  <c r="M745" i="1"/>
  <c r="O713" i="1"/>
  <c r="O710" i="1"/>
  <c r="P710" i="1" s="1"/>
  <c r="R707" i="1"/>
  <c r="M699" i="1"/>
  <c r="N699" i="1"/>
  <c r="R683" i="1"/>
  <c r="O677" i="1"/>
  <c r="R677" i="1" s="1"/>
  <c r="P677" i="1"/>
  <c r="R674" i="1"/>
  <c r="O666" i="1"/>
  <c r="P666" i="1" s="1"/>
  <c r="S666" i="1" s="1"/>
  <c r="R657" i="1"/>
  <c r="O623" i="1"/>
  <c r="P623" i="1" s="1"/>
  <c r="S623" i="1" s="1"/>
  <c r="Q600" i="1"/>
  <c r="P588" i="1"/>
  <c r="R588" i="1"/>
  <c r="O585" i="1"/>
  <c r="Q585" i="1" s="1"/>
  <c r="P585" i="1"/>
  <c r="O582" i="1"/>
  <c r="R582" i="1" s="1"/>
  <c r="P582" i="1"/>
  <c r="L559" i="1"/>
  <c r="M559" i="1"/>
  <c r="Q527" i="1"/>
  <c r="N511" i="1"/>
  <c r="M511" i="1"/>
  <c r="O485" i="1"/>
  <c r="Q485" i="1" s="1"/>
  <c r="P485" i="1"/>
  <c r="O475" i="1"/>
  <c r="Q457" i="1"/>
  <c r="L441" i="1"/>
  <c r="N441" i="1"/>
  <c r="M441" i="1"/>
  <c r="P404" i="1"/>
  <c r="S404" i="1" s="1"/>
  <c r="P369" i="1"/>
  <c r="S369" i="1" s="1"/>
  <c r="O369" i="1"/>
  <c r="O362" i="1"/>
  <c r="Q362" i="1" s="1"/>
  <c r="L299" i="1"/>
  <c r="M299" i="1"/>
  <c r="R296" i="1"/>
  <c r="S296" i="1" s="1"/>
  <c r="R290" i="1"/>
  <c r="N268" i="1"/>
  <c r="M268" i="1"/>
  <c r="M195" i="1"/>
  <c r="N195" i="1"/>
  <c r="L195" i="1"/>
  <c r="O185" i="1"/>
  <c r="P185" i="1" s="1"/>
  <c r="O139" i="1"/>
  <c r="P139" i="1" s="1"/>
  <c r="S139" i="1" s="1"/>
  <c r="R84" i="1"/>
  <c r="O681" i="1"/>
  <c r="Q681" i="1" s="1"/>
  <c r="P681" i="1"/>
  <c r="Q636" i="1"/>
  <c r="L586" i="1"/>
  <c r="M586" i="1"/>
  <c r="N586" i="1"/>
  <c r="S565" i="1"/>
  <c r="L553" i="1"/>
  <c r="M553" i="1"/>
  <c r="N553" i="1"/>
  <c r="O486" i="1"/>
  <c r="Q486" i="1" s="1"/>
  <c r="P486" i="1"/>
  <c r="L438" i="1"/>
  <c r="M438" i="1"/>
  <c r="O418" i="1"/>
  <c r="R418" i="1" s="1"/>
  <c r="O415" i="1"/>
  <c r="R415" i="1" s="1"/>
  <c r="S411" i="1"/>
  <c r="N370" i="1"/>
  <c r="M370" i="1"/>
  <c r="L370" i="1"/>
  <c r="N350" i="1"/>
  <c r="L350" i="1"/>
  <c r="M350" i="1"/>
  <c r="O340" i="1"/>
  <c r="P340" i="1"/>
  <c r="M284" i="1"/>
  <c r="L284" i="1"/>
  <c r="Q232" i="1"/>
  <c r="O152" i="1"/>
  <c r="P152" i="1" s="1"/>
  <c r="N148" i="1"/>
  <c r="L148" i="1"/>
  <c r="P140" i="1"/>
  <c r="S140" i="1" s="1"/>
  <c r="O690" i="1"/>
  <c r="P690" i="1" s="1"/>
  <c r="R401" i="1"/>
  <c r="L14" i="1"/>
  <c r="M14" i="1"/>
  <c r="M845" i="1"/>
  <c r="N845" i="1"/>
  <c r="O808" i="1"/>
  <c r="Q808" i="1" s="1"/>
  <c r="P808" i="1"/>
  <c r="Q573" i="1"/>
  <c r="O524" i="1"/>
  <c r="Q501" i="1"/>
  <c r="L492" i="1"/>
  <c r="N492" i="1"/>
  <c r="M492" i="1"/>
  <c r="Q455" i="1"/>
  <c r="L423" i="1"/>
  <c r="N423" i="1"/>
  <c r="M423" i="1"/>
  <c r="R411" i="1"/>
  <c r="R404" i="1"/>
  <c r="P397" i="1"/>
  <c r="R369" i="1"/>
  <c r="R362" i="1"/>
  <c r="L343" i="1"/>
  <c r="N343" i="1"/>
  <c r="M343" i="1"/>
  <c r="L307" i="1"/>
  <c r="M307" i="1"/>
  <c r="N231" i="1"/>
  <c r="L231" i="1"/>
  <c r="M231" i="1"/>
  <c r="O203" i="1"/>
  <c r="Q203" i="1"/>
  <c r="O186" i="1"/>
  <c r="P186" i="1" s="1"/>
  <c r="M870" i="1"/>
  <c r="N870" i="1"/>
  <c r="R867" i="1"/>
  <c r="S867" i="1" s="1"/>
  <c r="Q855" i="1"/>
  <c r="M829" i="1"/>
  <c r="N829" i="1"/>
  <c r="R826" i="1"/>
  <c r="S826" i="1" s="1"/>
  <c r="R810" i="1"/>
  <c r="Q794" i="1"/>
  <c r="M769" i="1"/>
  <c r="N769" i="1"/>
  <c r="L769" i="1"/>
  <c r="O760" i="1"/>
  <c r="P760" i="1"/>
  <c r="R742" i="1"/>
  <c r="S742" i="1" s="1"/>
  <c r="Q739" i="1"/>
  <c r="Q732" i="1"/>
  <c r="O719" i="1"/>
  <c r="Q719" i="1" s="1"/>
  <c r="P719" i="1"/>
  <c r="M710" i="1"/>
  <c r="N710" i="1"/>
  <c r="O696" i="1"/>
  <c r="O683" i="1"/>
  <c r="P683" i="1"/>
  <c r="R666" i="1"/>
  <c r="Q657" i="1"/>
  <c r="R623" i="1"/>
  <c r="M609" i="1"/>
  <c r="O609" i="1" s="1"/>
  <c r="P609" i="1" s="1"/>
  <c r="N609" i="1"/>
  <c r="P527" i="1"/>
  <c r="S527" i="1" s="1"/>
  <c r="R485" i="1"/>
  <c r="N461" i="1"/>
  <c r="L461" i="1"/>
  <c r="M461" i="1"/>
  <c r="P420" i="1"/>
  <c r="R417" i="1"/>
  <c r="R373" i="1"/>
  <c r="R346" i="1"/>
  <c r="L339" i="1"/>
  <c r="M339" i="1"/>
  <c r="N339" i="1"/>
  <c r="M335" i="1"/>
  <c r="L335" i="1"/>
  <c r="N318" i="1"/>
  <c r="M318" i="1"/>
  <c r="S310" i="1"/>
  <c r="O290" i="1"/>
  <c r="P290" i="1" s="1"/>
  <c r="S198" i="1"/>
  <c r="M185" i="1"/>
  <c r="N185" i="1"/>
  <c r="O161" i="1"/>
  <c r="P161" i="1" s="1"/>
  <c r="R154" i="1"/>
  <c r="R139" i="1"/>
  <c r="N111" i="1"/>
  <c r="M111" i="1"/>
  <c r="Q107" i="1"/>
  <c r="R45" i="1"/>
  <c r="S45" i="1" s="1"/>
  <c r="O17" i="1"/>
  <c r="P17" i="1" s="1"/>
  <c r="Q867" i="1"/>
  <c r="O855" i="1"/>
  <c r="P855" i="1" s="1"/>
  <c r="S855" i="1" s="1"/>
  <c r="O852" i="1"/>
  <c r="P852" i="1"/>
  <c r="L838" i="1"/>
  <c r="M838" i="1"/>
  <c r="N838" i="1"/>
  <c r="O816" i="1"/>
  <c r="R816" i="1" s="1"/>
  <c r="P816" i="1"/>
  <c r="M813" i="1"/>
  <c r="N813" i="1"/>
  <c r="P766" i="1"/>
  <c r="S766" i="1" s="1"/>
  <c r="O763" i="1"/>
  <c r="P763" i="1"/>
  <c r="N760" i="1"/>
  <c r="M760" i="1"/>
  <c r="L750" i="1"/>
  <c r="M750" i="1"/>
  <c r="N750" i="1"/>
  <c r="O739" i="1"/>
  <c r="R739" i="1" s="1"/>
  <c r="P739" i="1"/>
  <c r="P732" i="1"/>
  <c r="O704" i="1"/>
  <c r="R704" i="1" s="1"/>
  <c r="P704" i="1"/>
  <c r="S704" i="1" s="1"/>
  <c r="Q696" i="1"/>
  <c r="Q683" i="1"/>
  <c r="N680" i="1"/>
  <c r="L680" i="1"/>
  <c r="M680" i="1"/>
  <c r="P674" i="1"/>
  <c r="P657" i="1"/>
  <c r="R650" i="1"/>
  <c r="Q647" i="1"/>
  <c r="R616" i="1"/>
  <c r="L606" i="1"/>
  <c r="N606" i="1"/>
  <c r="Q588" i="1"/>
  <c r="Q561" i="1"/>
  <c r="R555" i="1"/>
  <c r="L549" i="1"/>
  <c r="M549" i="1"/>
  <c r="N549" i="1"/>
  <c r="O546" i="1"/>
  <c r="Q546" i="1" s="1"/>
  <c r="P546" i="1"/>
  <c r="R543" i="1"/>
  <c r="L472" i="1"/>
  <c r="M472" i="1"/>
  <c r="N472" i="1"/>
  <c r="M410" i="1"/>
  <c r="N410" i="1"/>
  <c r="L410" i="1"/>
  <c r="M396" i="1"/>
  <c r="N396" i="1"/>
  <c r="R385" i="1"/>
  <c r="L377" i="1"/>
  <c r="N377" i="1"/>
  <c r="M377" i="1"/>
  <c r="R353" i="1"/>
  <c r="Q346" i="1"/>
  <c r="L322" i="1"/>
  <c r="N322" i="1"/>
  <c r="N247" i="1"/>
  <c r="L247" i="1"/>
  <c r="M247" i="1"/>
  <c r="R234" i="1"/>
  <c r="L202" i="1"/>
  <c r="N202" i="1"/>
  <c r="M202" i="1"/>
  <c r="Q194" i="1"/>
  <c r="N161" i="1"/>
  <c r="M161" i="1"/>
  <c r="O116" i="1"/>
  <c r="P116" i="1" s="1"/>
  <c r="O107" i="1"/>
  <c r="P107" i="1" s="1"/>
  <c r="N25" i="1"/>
  <c r="L25" i="1"/>
  <c r="M25" i="1"/>
  <c r="M21" i="1"/>
  <c r="L21" i="1"/>
  <c r="N17" i="1"/>
  <c r="M17" i="1"/>
  <c r="Q872" i="1"/>
  <c r="R855" i="1"/>
  <c r="M852" i="1"/>
  <c r="N852" i="1"/>
  <c r="P810" i="1"/>
  <c r="R807" i="1"/>
  <c r="Q796" i="1"/>
  <c r="R784" i="1"/>
  <c r="O754" i="1"/>
  <c r="R754" i="1" s="1"/>
  <c r="P754" i="1"/>
  <c r="R732" i="1"/>
  <c r="O724" i="1"/>
  <c r="R724" i="1" s="1"/>
  <c r="R701" i="1"/>
  <c r="S679" i="1"/>
  <c r="P647" i="1"/>
  <c r="Q629" i="1"/>
  <c r="O619" i="1"/>
  <c r="R619" i="1" s="1"/>
  <c r="P619" i="1"/>
  <c r="N602" i="1"/>
  <c r="L602" i="1"/>
  <c r="O561" i="1"/>
  <c r="R561" i="1" s="1"/>
  <c r="Q543" i="1"/>
  <c r="S543" i="1" s="1"/>
  <c r="N540" i="1"/>
  <c r="L540" i="1"/>
  <c r="M540" i="1"/>
  <c r="M523" i="1"/>
  <c r="N523" i="1"/>
  <c r="L523" i="1"/>
  <c r="M507" i="1"/>
  <c r="L507" i="1"/>
  <c r="N507" i="1"/>
  <c r="M481" i="1"/>
  <c r="N481" i="1"/>
  <c r="Q417" i="1"/>
  <c r="O414" i="1"/>
  <c r="Q414" i="1" s="1"/>
  <c r="P414" i="1"/>
  <c r="L392" i="1"/>
  <c r="M392" i="1"/>
  <c r="N392" i="1"/>
  <c r="Q385" i="1"/>
  <c r="S385" i="1" s="1"/>
  <c r="O382" i="1"/>
  <c r="Q382" i="1" s="1"/>
  <c r="P382" i="1"/>
  <c r="P373" i="1"/>
  <c r="O373" i="1"/>
  <c r="Q373" i="1" s="1"/>
  <c r="O357" i="1"/>
  <c r="P357" i="1" s="1"/>
  <c r="Q357" i="1"/>
  <c r="Q353" i="1"/>
  <c r="P346" i="1"/>
  <c r="R321" i="1"/>
  <c r="N282" i="1"/>
  <c r="M282" i="1"/>
  <c r="L282" i="1"/>
  <c r="M239" i="1"/>
  <c r="N239" i="1"/>
  <c r="Q234" i="1"/>
  <c r="O230" i="1"/>
  <c r="O194" i="1"/>
  <c r="R194" i="1" s="1"/>
  <c r="P194" i="1"/>
  <c r="M165" i="1"/>
  <c r="N165" i="1"/>
  <c r="N116" i="1"/>
  <c r="M116" i="1"/>
  <c r="L34" i="1"/>
  <c r="M34" i="1"/>
  <c r="N34" i="1"/>
  <c r="O872" i="1"/>
  <c r="R872" i="1" s="1"/>
  <c r="P872" i="1"/>
  <c r="Q807" i="1"/>
  <c r="P796" i="1"/>
  <c r="S796" i="1" s="1"/>
  <c r="Q784" i="1"/>
  <c r="S771" i="1"/>
  <c r="R768" i="1"/>
  <c r="M757" i="1"/>
  <c r="O757" i="1" s="1"/>
  <c r="P757" i="1" s="1"/>
  <c r="N757" i="1"/>
  <c r="R747" i="1"/>
  <c r="N686" i="1"/>
  <c r="L686" i="1"/>
  <c r="M686" i="1"/>
  <c r="P650" i="1"/>
  <c r="S650" i="1" s="1"/>
  <c r="O632" i="1"/>
  <c r="Q632" i="1" s="1"/>
  <c r="P629" i="1"/>
  <c r="S629" i="1" s="1"/>
  <c r="Q619" i="1"/>
  <c r="P616" i="1"/>
  <c r="S616" i="1" s="1"/>
  <c r="R578" i="1"/>
  <c r="N575" i="1"/>
  <c r="L575" i="1"/>
  <c r="M575" i="1"/>
  <c r="M491" i="1"/>
  <c r="L491" i="1"/>
  <c r="N491" i="1"/>
  <c r="Q409" i="1"/>
  <c r="O395" i="1"/>
  <c r="P395" i="1" s="1"/>
  <c r="O388" i="1"/>
  <c r="R388" i="1" s="1"/>
  <c r="S376" i="1"/>
  <c r="P353" i="1"/>
  <c r="S353" i="1" s="1"/>
  <c r="Q334" i="1"/>
  <c r="M327" i="1"/>
  <c r="L327" i="1"/>
  <c r="N327" i="1"/>
  <c r="P234" i="1"/>
  <c r="N129" i="1"/>
  <c r="M129" i="1"/>
  <c r="L129" i="1"/>
  <c r="L110" i="1"/>
  <c r="M110" i="1"/>
  <c r="N110" i="1"/>
  <c r="N29" i="1"/>
  <c r="M29" i="1"/>
  <c r="L29" i="1"/>
  <c r="P807" i="1"/>
  <c r="O784" i="1"/>
  <c r="P784" i="1" s="1"/>
  <c r="S784" i="1" s="1"/>
  <c r="L735" i="1"/>
  <c r="M735" i="1"/>
  <c r="N735" i="1"/>
  <c r="O701" i="1"/>
  <c r="P701" i="1" s="1"/>
  <c r="L656" i="1"/>
  <c r="N656" i="1"/>
  <c r="M656" i="1"/>
  <c r="M622" i="1"/>
  <c r="O622" i="1" s="1"/>
  <c r="P622" i="1" s="1"/>
  <c r="N622" i="1"/>
  <c r="N612" i="1"/>
  <c r="L612" i="1"/>
  <c r="M612" i="1"/>
  <c r="M593" i="1"/>
  <c r="L593" i="1"/>
  <c r="N593" i="1"/>
  <c r="R590" i="1"/>
  <c r="R572" i="1"/>
  <c r="S572" i="1" s="1"/>
  <c r="N464" i="1"/>
  <c r="M464" i="1"/>
  <c r="L460" i="1"/>
  <c r="M460" i="1"/>
  <c r="N460" i="1"/>
  <c r="Q432" i="1"/>
  <c r="P409" i="1"/>
  <c r="L372" i="1"/>
  <c r="M372" i="1"/>
  <c r="N372" i="1"/>
  <c r="O321" i="1"/>
  <c r="Q321" i="1" s="1"/>
  <c r="O276" i="1"/>
  <c r="P276" i="1"/>
  <c r="N259" i="1"/>
  <c r="M259" i="1"/>
  <c r="L259" i="1"/>
  <c r="N246" i="1"/>
  <c r="M246" i="1"/>
  <c r="L246" i="1"/>
  <c r="R220" i="1"/>
  <c r="M160" i="1"/>
  <c r="N160" i="1"/>
  <c r="L160" i="1"/>
  <c r="M133" i="1"/>
  <c r="N133" i="1"/>
  <c r="L133" i="1"/>
  <c r="L72" i="1"/>
  <c r="N72" i="1"/>
  <c r="M72" i="1"/>
  <c r="R59" i="1"/>
  <c r="Q37" i="1"/>
  <c r="Q33" i="1"/>
  <c r="L840" i="1"/>
  <c r="M840" i="1"/>
  <c r="R828" i="1"/>
  <c r="N753" i="1"/>
  <c r="L753" i="1"/>
  <c r="M753" i="1"/>
  <c r="P747" i="1"/>
  <c r="S747" i="1" s="1"/>
  <c r="R741" i="1"/>
  <c r="L653" i="1"/>
  <c r="M653" i="1"/>
  <c r="P578" i="1"/>
  <c r="S578" i="1" s="1"/>
  <c r="M413" i="1"/>
  <c r="N413" i="1"/>
  <c r="L413" i="1"/>
  <c r="R409" i="1"/>
  <c r="L352" i="1"/>
  <c r="M352" i="1"/>
  <c r="N352" i="1"/>
  <c r="L243" i="1"/>
  <c r="M243" i="1"/>
  <c r="M193" i="1"/>
  <c r="N193" i="1"/>
  <c r="L193" i="1"/>
  <c r="M164" i="1"/>
  <c r="L164" i="1"/>
  <c r="N164" i="1"/>
  <c r="Q59" i="1"/>
  <c r="P37" i="1"/>
  <c r="S37" i="1" s="1"/>
  <c r="S722" i="1"/>
  <c r="L662" i="1"/>
  <c r="M662" i="1"/>
  <c r="N662" i="1"/>
  <c r="O649" i="1"/>
  <c r="R649" i="1" s="1"/>
  <c r="M446" i="1"/>
  <c r="N446" i="1"/>
  <c r="R301" i="1"/>
  <c r="S301" i="1" s="1"/>
  <c r="R873" i="1"/>
  <c r="O819" i="1"/>
  <c r="P819" i="1" s="1"/>
  <c r="R804" i="1"/>
  <c r="S804" i="1" s="1"/>
  <c r="Q756" i="1"/>
  <c r="R748" i="1"/>
  <c r="S748" i="1" s="1"/>
  <c r="Q654" i="1"/>
  <c r="Q621" i="1"/>
  <c r="S621" i="1" s="1"/>
  <c r="N610" i="1"/>
  <c r="L610" i="1"/>
  <c r="M610" i="1"/>
  <c r="N594" i="1"/>
  <c r="L594" i="1"/>
  <c r="M594" i="1"/>
  <c r="R348" i="1"/>
  <c r="O274" i="1"/>
  <c r="P274" i="1"/>
  <c r="O267" i="1"/>
  <c r="Q267" i="1" s="1"/>
  <c r="L174" i="1"/>
  <c r="M174" i="1"/>
  <c r="N174" i="1"/>
  <c r="L126" i="1"/>
  <c r="M126" i="1"/>
  <c r="P795" i="1"/>
  <c r="S795" i="1" s="1"/>
  <c r="P756" i="1"/>
  <c r="M853" i="1"/>
  <c r="N853" i="1"/>
  <c r="R801" i="1"/>
  <c r="M714" i="1"/>
  <c r="L714" i="1"/>
  <c r="N714" i="1"/>
  <c r="Q638" i="1"/>
  <c r="Q601" i="1"/>
  <c r="S601" i="1" s="1"/>
  <c r="O596" i="1"/>
  <c r="P596" i="1"/>
  <c r="Q569" i="1"/>
  <c r="S569" i="1" s="1"/>
  <c r="O544" i="1"/>
  <c r="P544" i="1" s="1"/>
  <c r="M531" i="1"/>
  <c r="L531" i="1"/>
  <c r="L528" i="1"/>
  <c r="M528" i="1"/>
  <c r="N528" i="1"/>
  <c r="O503" i="1"/>
  <c r="Q500" i="1"/>
  <c r="M468" i="1"/>
  <c r="N468" i="1"/>
  <c r="N462" i="1"/>
  <c r="L462" i="1"/>
  <c r="M462" i="1"/>
  <c r="M451" i="1"/>
  <c r="N451" i="1"/>
  <c r="L451" i="1"/>
  <c r="M443" i="1"/>
  <c r="N443" i="1"/>
  <c r="M426" i="1"/>
  <c r="L426" i="1"/>
  <c r="N426" i="1"/>
  <c r="P416" i="1"/>
  <c r="O374" i="1"/>
  <c r="O364" i="1"/>
  <c r="P364" i="1"/>
  <c r="Q344" i="1"/>
  <c r="R292" i="1"/>
  <c r="S292" i="1" s="1"/>
  <c r="N289" i="1"/>
  <c r="M289" i="1"/>
  <c r="L236" i="1"/>
  <c r="N236" i="1"/>
  <c r="M236" i="1"/>
  <c r="L178" i="1"/>
  <c r="N178" i="1"/>
  <c r="L118" i="1"/>
  <c r="M118" i="1"/>
  <c r="R35" i="1"/>
  <c r="S35" i="1" s="1"/>
  <c r="O790" i="1"/>
  <c r="P790" i="1"/>
  <c r="Q785" i="1"/>
  <c r="S785" i="1" s="1"/>
  <c r="M773" i="1"/>
  <c r="N773" i="1"/>
  <c r="R756" i="1"/>
  <c r="O751" i="1"/>
  <c r="O741" i="1"/>
  <c r="P741" i="1"/>
  <c r="N715" i="1"/>
  <c r="L715" i="1"/>
  <c r="O695" i="1"/>
  <c r="P695" i="1"/>
  <c r="R679" i="1"/>
  <c r="S659" i="1"/>
  <c r="R654" i="1"/>
  <c r="L646" i="1"/>
  <c r="M646" i="1"/>
  <c r="N646" i="1"/>
  <c r="R621" i="1"/>
  <c r="R618" i="1"/>
  <c r="R607" i="1"/>
  <c r="O555" i="1"/>
  <c r="Q555" i="1" s="1"/>
  <c r="P555" i="1"/>
  <c r="Q542" i="1"/>
  <c r="M537" i="1"/>
  <c r="N537" i="1"/>
  <c r="O526" i="1"/>
  <c r="P526" i="1" s="1"/>
  <c r="R520" i="1"/>
  <c r="R498" i="1"/>
  <c r="S498" i="1" s="1"/>
  <c r="L493" i="1"/>
  <c r="M493" i="1"/>
  <c r="N493" i="1"/>
  <c r="O490" i="1"/>
  <c r="R490" i="1" s="1"/>
  <c r="P490" i="1"/>
  <c r="N463" i="1"/>
  <c r="L463" i="1"/>
  <c r="P457" i="1"/>
  <c r="O452" i="1"/>
  <c r="P452" i="1" s="1"/>
  <c r="O429" i="1"/>
  <c r="P429" i="1"/>
  <c r="Q411" i="1"/>
  <c r="Q405" i="1"/>
  <c r="R400" i="1"/>
  <c r="R397" i="1"/>
  <c r="Q390" i="1"/>
  <c r="R375" i="1"/>
  <c r="O351" i="1"/>
  <c r="P351" i="1" s="1"/>
  <c r="S351" i="1" s="1"/>
  <c r="O312" i="1"/>
  <c r="P312" i="1" s="1"/>
  <c r="Q312" i="1"/>
  <c r="S298" i="1"/>
  <c r="Q274" i="1"/>
  <c r="M242" i="1"/>
  <c r="O242" i="1" s="1"/>
  <c r="P242" i="1" s="1"/>
  <c r="N242" i="1"/>
  <c r="N214" i="1"/>
  <c r="M214" i="1"/>
  <c r="O214" i="1" s="1"/>
  <c r="P214" i="1" s="1"/>
  <c r="P211" i="1"/>
  <c r="S211" i="1" s="1"/>
  <c r="O188" i="1"/>
  <c r="Q188" i="1" s="1"/>
  <c r="P188" i="1"/>
  <c r="M179" i="1"/>
  <c r="L179" i="1"/>
  <c r="O142" i="1"/>
  <c r="Q142" i="1" s="1"/>
  <c r="M114" i="1"/>
  <c r="L114" i="1"/>
  <c r="N114" i="1"/>
  <c r="R103" i="1"/>
  <c r="S103" i="1" s="1"/>
  <c r="Q84" i="1"/>
  <c r="N64" i="1"/>
  <c r="L64" i="1"/>
  <c r="M64" i="1"/>
  <c r="R20" i="1"/>
  <c r="R868" i="1"/>
  <c r="M861" i="1"/>
  <c r="N861" i="1"/>
  <c r="L861" i="1"/>
  <c r="O832" i="1"/>
  <c r="P832" i="1"/>
  <c r="O821" i="1"/>
  <c r="P821" i="1" s="1"/>
  <c r="Q809" i="1"/>
  <c r="O768" i="1"/>
  <c r="P768" i="1" s="1"/>
  <c r="N736" i="1"/>
  <c r="L736" i="1"/>
  <c r="P707" i="1"/>
  <c r="O692" i="1"/>
  <c r="Q692" i="1" s="1"/>
  <c r="P692" i="1"/>
  <c r="O687" i="1"/>
  <c r="L684" i="1"/>
  <c r="M684" i="1"/>
  <c r="N684" i="1"/>
  <c r="Q679" i="1"/>
  <c r="R676" i="1"/>
  <c r="Q618" i="1"/>
  <c r="Q607" i="1"/>
  <c r="O591" i="1"/>
  <c r="Q591" i="1" s="1"/>
  <c r="Q567" i="1"/>
  <c r="S567" i="1" s="1"/>
  <c r="O542" i="1"/>
  <c r="R542" i="1" s="1"/>
  <c r="P542" i="1"/>
  <c r="O520" i="1"/>
  <c r="P520" i="1" s="1"/>
  <c r="M515" i="1"/>
  <c r="L515" i="1"/>
  <c r="L509" i="1"/>
  <c r="M509" i="1"/>
  <c r="N509" i="1"/>
  <c r="N482" i="1"/>
  <c r="M482" i="1"/>
  <c r="M477" i="1"/>
  <c r="N477" i="1"/>
  <c r="N471" i="1"/>
  <c r="L471" i="1"/>
  <c r="M471" i="1"/>
  <c r="N452" i="1"/>
  <c r="M452" i="1"/>
  <c r="O405" i="1"/>
  <c r="R405" i="1" s="1"/>
  <c r="P405" i="1"/>
  <c r="P400" i="1"/>
  <c r="R394" i="1"/>
  <c r="O390" i="1"/>
  <c r="R390" i="1" s="1"/>
  <c r="P390" i="1"/>
  <c r="M378" i="1"/>
  <c r="N378" i="1"/>
  <c r="L378" i="1"/>
  <c r="N361" i="1"/>
  <c r="L361" i="1"/>
  <c r="M361" i="1"/>
  <c r="L338" i="1"/>
  <c r="M338" i="1"/>
  <c r="L316" i="1"/>
  <c r="M316" i="1"/>
  <c r="N316" i="1"/>
  <c r="O309" i="1"/>
  <c r="R309" i="1" s="1"/>
  <c r="Q287" i="1"/>
  <c r="R260" i="1"/>
  <c r="M241" i="1"/>
  <c r="L241" i="1"/>
  <c r="N241" i="1"/>
  <c r="L237" i="1"/>
  <c r="M237" i="1"/>
  <c r="O228" i="1"/>
  <c r="P228" i="1" s="1"/>
  <c r="M192" i="1"/>
  <c r="L192" i="1"/>
  <c r="N192" i="1"/>
  <c r="O183" i="1"/>
  <c r="P183" i="1" s="1"/>
  <c r="Q149" i="1"/>
  <c r="L122" i="1"/>
  <c r="M122" i="1"/>
  <c r="L119" i="1"/>
  <c r="M119" i="1"/>
  <c r="N119" i="1"/>
  <c r="O109" i="1"/>
  <c r="P109" i="1"/>
  <c r="O52" i="1"/>
  <c r="R52" i="1" s="1"/>
  <c r="O868" i="1"/>
  <c r="P868" i="1"/>
  <c r="L844" i="1"/>
  <c r="M844" i="1"/>
  <c r="N844" i="1"/>
  <c r="P839" i="1"/>
  <c r="S839" i="1" s="1"/>
  <c r="R825" i="1"/>
  <c r="S825" i="1" s="1"/>
  <c r="M821" i="1"/>
  <c r="N821" i="1"/>
  <c r="O809" i="1"/>
  <c r="R809" i="1" s="1"/>
  <c r="P809" i="1"/>
  <c r="P787" i="1"/>
  <c r="O743" i="1"/>
  <c r="R743" i="1" s="1"/>
  <c r="N733" i="1"/>
  <c r="L733" i="1"/>
  <c r="M733" i="1"/>
  <c r="R722" i="1"/>
  <c r="O712" i="1"/>
  <c r="R712" i="1" s="1"/>
  <c r="P712" i="1"/>
  <c r="Q697" i="1"/>
  <c r="R692" i="1"/>
  <c r="Q676" i="1"/>
  <c r="P667" i="1"/>
  <c r="S667" i="1" s="1"/>
  <c r="R659" i="1"/>
  <c r="O654" i="1"/>
  <c r="P654" i="1" s="1"/>
  <c r="R638" i="1"/>
  <c r="O631" i="1"/>
  <c r="N628" i="1"/>
  <c r="L628" i="1"/>
  <c r="M628" i="1"/>
  <c r="O618" i="1"/>
  <c r="P618" i="1" s="1"/>
  <c r="M613" i="1"/>
  <c r="N613" i="1"/>
  <c r="P607" i="1"/>
  <c r="O574" i="1"/>
  <c r="P574" i="1"/>
  <c r="O512" i="1"/>
  <c r="P512" i="1" s="1"/>
  <c r="O437" i="1"/>
  <c r="Q437" i="1" s="1"/>
  <c r="L431" i="1"/>
  <c r="M431" i="1"/>
  <c r="N431" i="1"/>
  <c r="Q421" i="1"/>
  <c r="Q348" i="1"/>
  <c r="S348" i="1" s="1"/>
  <c r="R341" i="1"/>
  <c r="S341" i="1" s="1"/>
  <c r="P287" i="1"/>
  <c r="S287" i="1" s="1"/>
  <c r="R274" i="1"/>
  <c r="R267" i="1"/>
  <c r="Q260" i="1"/>
  <c r="N228" i="1"/>
  <c r="M228" i="1"/>
  <c r="N183" i="1"/>
  <c r="M183" i="1"/>
  <c r="O149" i="1"/>
  <c r="P149" i="1"/>
  <c r="N109" i="1"/>
  <c r="M109" i="1"/>
  <c r="N68" i="1"/>
  <c r="M68" i="1"/>
  <c r="L68" i="1"/>
  <c r="R56" i="1"/>
  <c r="S56" i="1" s="1"/>
  <c r="O20" i="1"/>
  <c r="Q20" i="1" s="1"/>
  <c r="P873" i="1"/>
  <c r="Q868" i="1"/>
  <c r="N823" i="1"/>
  <c r="L823" i="1"/>
  <c r="M778" i="1"/>
  <c r="N778" i="1"/>
  <c r="O709" i="1"/>
  <c r="R709" i="1" s="1"/>
  <c r="P709" i="1"/>
  <c r="R702" i="1"/>
  <c r="N700" i="1"/>
  <c r="L700" i="1"/>
  <c r="O697" i="1"/>
  <c r="P697" i="1" s="1"/>
  <c r="S697" i="1" s="1"/>
  <c r="P676" i="1"/>
  <c r="Q667" i="1"/>
  <c r="O664" i="1"/>
  <c r="Q641" i="1"/>
  <c r="S641" i="1" s="1"/>
  <c r="O638" i="1"/>
  <c r="P638" i="1"/>
  <c r="M604" i="1"/>
  <c r="N604" i="1"/>
  <c r="L604" i="1"/>
  <c r="N581" i="1"/>
  <c r="M581" i="1"/>
  <c r="M564" i="1"/>
  <c r="N564" i="1"/>
  <c r="M539" i="1"/>
  <c r="L539" i="1"/>
  <c r="N539" i="1"/>
  <c r="O534" i="1"/>
  <c r="M506" i="1"/>
  <c r="L506" i="1"/>
  <c r="Q503" i="1"/>
  <c r="R500" i="1"/>
  <c r="S500" i="1" s="1"/>
  <c r="O487" i="1"/>
  <c r="P487" i="1"/>
  <c r="O484" i="1"/>
  <c r="P484" i="1"/>
  <c r="O468" i="1"/>
  <c r="P468" i="1" s="1"/>
  <c r="M440" i="1"/>
  <c r="N440" i="1"/>
  <c r="L440" i="1"/>
  <c r="N434" i="1"/>
  <c r="M434" i="1"/>
  <c r="L434" i="1"/>
  <c r="Q374" i="1"/>
  <c r="L355" i="1"/>
  <c r="M355" i="1"/>
  <c r="L315" i="1"/>
  <c r="M315" i="1"/>
  <c r="O304" i="1"/>
  <c r="P304" i="1"/>
  <c r="L295" i="1"/>
  <c r="N295" i="1"/>
  <c r="O260" i="1"/>
  <c r="P260" i="1"/>
  <c r="N252" i="1"/>
  <c r="L252" i="1"/>
  <c r="O227" i="1"/>
  <c r="P227" i="1" s="1"/>
  <c r="L223" i="1"/>
  <c r="N223" i="1"/>
  <c r="L204" i="1"/>
  <c r="M204" i="1"/>
  <c r="N204" i="1"/>
  <c r="N137" i="1"/>
  <c r="M137" i="1"/>
  <c r="L47" i="1"/>
  <c r="M47" i="1"/>
  <c r="N32" i="1"/>
  <c r="L32" i="1"/>
  <c r="M32" i="1"/>
  <c r="O858" i="1"/>
  <c r="R858" i="1" s="1"/>
  <c r="P858" i="1"/>
  <c r="N814" i="1"/>
  <c r="L814" i="1"/>
  <c r="O797" i="1"/>
  <c r="P797" i="1"/>
  <c r="O775" i="1"/>
  <c r="R775" i="1" s="1"/>
  <c r="M738" i="1"/>
  <c r="L738" i="1"/>
  <c r="Q722" i="1"/>
  <c r="O717" i="1"/>
  <c r="Q702" i="1"/>
  <c r="R697" i="1"/>
  <c r="L846" i="1"/>
  <c r="M846" i="1"/>
  <c r="Q704" i="1"/>
  <c r="M596" i="1"/>
  <c r="N596" i="1"/>
  <c r="L476" i="1"/>
  <c r="M476" i="1"/>
  <c r="N476" i="1"/>
  <c r="O448" i="1"/>
  <c r="P448" i="1" s="1"/>
  <c r="O386" i="1"/>
  <c r="P386" i="1" s="1"/>
  <c r="N364" i="1"/>
  <c r="M364" i="1"/>
  <c r="N360" i="1"/>
  <c r="M360" i="1"/>
  <c r="O344" i="1"/>
  <c r="R344" i="1" s="1"/>
  <c r="P344" i="1"/>
  <c r="N336" i="1"/>
  <c r="M336" i="1"/>
  <c r="L336" i="1"/>
  <c r="O311" i="1"/>
  <c r="P311" i="1"/>
  <c r="M308" i="1"/>
  <c r="N308" i="1"/>
  <c r="N286" i="1"/>
  <c r="L286" i="1"/>
  <c r="O125" i="1"/>
  <c r="R125" i="1" s="1"/>
  <c r="P125" i="1"/>
  <c r="O51" i="1"/>
  <c r="Q51" i="1" s="1"/>
  <c r="P51" i="1"/>
  <c r="L222" i="1"/>
  <c r="M222" i="1"/>
  <c r="O200" i="1"/>
  <c r="Q200" i="1" s="1"/>
  <c r="P200" i="1"/>
  <c r="L197" i="1"/>
  <c r="M197" i="1"/>
  <c r="M173" i="1"/>
  <c r="N173" i="1"/>
  <c r="L173" i="1"/>
  <c r="Q162" i="1"/>
  <c r="Q136" i="1"/>
  <c r="N106" i="1"/>
  <c r="M106" i="1"/>
  <c r="O106" i="1" s="1"/>
  <c r="P106" i="1" s="1"/>
  <c r="R98" i="1"/>
  <c r="R91" i="1"/>
  <c r="P84" i="1"/>
  <c r="R76" i="1"/>
  <c r="N69" i="1"/>
  <c r="M69" i="1"/>
  <c r="L69" i="1"/>
  <c r="L50" i="1"/>
  <c r="M50" i="1"/>
  <c r="N50" i="1"/>
  <c r="Q45" i="1"/>
  <c r="R27" i="1"/>
  <c r="O848" i="1"/>
  <c r="R848" i="1" s="1"/>
  <c r="P848" i="1"/>
  <c r="Q801" i="1"/>
  <c r="S801" i="1" s="1"/>
  <c r="O786" i="1"/>
  <c r="P786" i="1" s="1"/>
  <c r="P767" i="1"/>
  <c r="S767" i="1" s="1"/>
  <c r="O725" i="1"/>
  <c r="L723" i="1"/>
  <c r="M723" i="1"/>
  <c r="Q682" i="1"/>
  <c r="O669" i="1"/>
  <c r="L642" i="1"/>
  <c r="M642" i="1"/>
  <c r="L633" i="1"/>
  <c r="M633" i="1"/>
  <c r="P626" i="1"/>
  <c r="S626" i="1" s="1"/>
  <c r="N592" i="1"/>
  <c r="L592" i="1"/>
  <c r="P573" i="1"/>
  <c r="O558" i="1"/>
  <c r="M547" i="1"/>
  <c r="L547" i="1"/>
  <c r="N533" i="1"/>
  <c r="L533" i="1"/>
  <c r="P483" i="1"/>
  <c r="L474" i="1"/>
  <c r="M474" i="1"/>
  <c r="P469" i="1"/>
  <c r="S469" i="1" s="1"/>
  <c r="L454" i="1"/>
  <c r="M454" i="1"/>
  <c r="N454" i="1"/>
  <c r="N449" i="1"/>
  <c r="L449" i="1"/>
  <c r="R403" i="1"/>
  <c r="N398" i="1"/>
  <c r="L398" i="1"/>
  <c r="M398" i="1"/>
  <c r="M395" i="1"/>
  <c r="N395" i="1"/>
  <c r="M387" i="1"/>
  <c r="N387" i="1"/>
  <c r="O334" i="1"/>
  <c r="P334" i="1" s="1"/>
  <c r="O317" i="1"/>
  <c r="Q317" i="1" s="1"/>
  <c r="L313" i="1"/>
  <c r="N313" i="1"/>
  <c r="O306" i="1"/>
  <c r="Q306" i="1" s="1"/>
  <c r="P306" i="1"/>
  <c r="Q297" i="1"/>
  <c r="O272" i="1"/>
  <c r="Q272" i="1" s="1"/>
  <c r="P272" i="1"/>
  <c r="O255" i="1"/>
  <c r="Q255" i="1" s="1"/>
  <c r="P255" i="1"/>
  <c r="N248" i="1"/>
  <c r="L248" i="1"/>
  <c r="M248" i="1"/>
  <c r="N240" i="1"/>
  <c r="M240" i="1"/>
  <c r="L240" i="1"/>
  <c r="N229" i="1"/>
  <c r="M229" i="1"/>
  <c r="L229" i="1"/>
  <c r="R206" i="1"/>
  <c r="R199" i="1"/>
  <c r="O162" i="1"/>
  <c r="R162" i="1" s="1"/>
  <c r="P162" i="1"/>
  <c r="Q153" i="1"/>
  <c r="S146" i="1"/>
  <c r="O136" i="1"/>
  <c r="P136" i="1" s="1"/>
  <c r="S120" i="1"/>
  <c r="Q76" i="1"/>
  <c r="M74" i="1"/>
  <c r="N74" i="1"/>
  <c r="L54" i="1"/>
  <c r="M54" i="1"/>
  <c r="N49" i="1"/>
  <c r="M49" i="1"/>
  <c r="L49" i="1"/>
  <c r="P31" i="1"/>
  <c r="S31" i="1" s="1"/>
  <c r="O31" i="1"/>
  <c r="O27" i="1"/>
  <c r="L834" i="1"/>
  <c r="M834" i="1"/>
  <c r="O799" i="1"/>
  <c r="M786" i="1"/>
  <c r="N786" i="1"/>
  <c r="M651" i="1"/>
  <c r="N651" i="1"/>
  <c r="L651" i="1"/>
  <c r="O644" i="1"/>
  <c r="O615" i="1"/>
  <c r="P562" i="1"/>
  <c r="S562" i="1" s="1"/>
  <c r="L514" i="1"/>
  <c r="M514" i="1"/>
  <c r="N514" i="1"/>
  <c r="Q488" i="1"/>
  <c r="S488" i="1" s="1"/>
  <c r="Q483" i="1"/>
  <c r="L466" i="1"/>
  <c r="M466" i="1"/>
  <c r="N466" i="1"/>
  <c r="R456" i="1"/>
  <c r="M444" i="1"/>
  <c r="N444" i="1"/>
  <c r="P427" i="1"/>
  <c r="S427" i="1" s="1"/>
  <c r="P403" i="1"/>
  <c r="S403" i="1" s="1"/>
  <c r="R384" i="1"/>
  <c r="S384" i="1" s="1"/>
  <c r="L381" i="1"/>
  <c r="M381" i="1"/>
  <c r="N381" i="1"/>
  <c r="R328" i="1"/>
  <c r="S328" i="1" s="1"/>
  <c r="O297" i="1"/>
  <c r="R297" i="1" s="1"/>
  <c r="O265" i="1"/>
  <c r="R262" i="1"/>
  <c r="O233" i="1"/>
  <c r="Q233" i="1" s="1"/>
  <c r="P233" i="1"/>
  <c r="O212" i="1"/>
  <c r="R212" i="1" s="1"/>
  <c r="P212" i="1"/>
  <c r="M209" i="1"/>
  <c r="N209" i="1"/>
  <c r="L166" i="1"/>
  <c r="N166" i="1"/>
  <c r="M166" i="1"/>
  <c r="L158" i="1"/>
  <c r="M158" i="1"/>
  <c r="N158" i="1"/>
  <c r="P153" i="1"/>
  <c r="S153" i="1" s="1"/>
  <c r="L132" i="1"/>
  <c r="N132" i="1"/>
  <c r="N124" i="1"/>
  <c r="L124" i="1"/>
  <c r="M124" i="1"/>
  <c r="P91" i="1"/>
  <c r="N80" i="1"/>
  <c r="M80" i="1"/>
  <c r="L80" i="1"/>
  <c r="O76" i="1"/>
  <c r="P76" i="1" s="1"/>
  <c r="S76" i="1" s="1"/>
  <c r="R61" i="1"/>
  <c r="S61" i="1" s="1"/>
  <c r="L850" i="1"/>
  <c r="M850" i="1"/>
  <c r="M706" i="1"/>
  <c r="L706" i="1"/>
  <c r="O673" i="1"/>
  <c r="Q673" i="1" s="1"/>
  <c r="L671" i="1"/>
  <c r="M671" i="1"/>
  <c r="Q579" i="1"/>
  <c r="S579" i="1" s="1"/>
  <c r="N495" i="1"/>
  <c r="L495" i="1"/>
  <c r="M495" i="1"/>
  <c r="L436" i="1"/>
  <c r="M436" i="1"/>
  <c r="N436" i="1"/>
  <c r="Q403" i="1"/>
  <c r="Q384" i="1"/>
  <c r="R340" i="1"/>
  <c r="M324" i="1"/>
  <c r="N324" i="1"/>
  <c r="R312" i="1"/>
  <c r="N305" i="1"/>
  <c r="L305" i="1"/>
  <c r="M305" i="1"/>
  <c r="L279" i="1"/>
  <c r="M279" i="1"/>
  <c r="N279" i="1"/>
  <c r="O262" i="1"/>
  <c r="M225" i="1"/>
  <c r="L225" i="1"/>
  <c r="N225" i="1"/>
  <c r="O199" i="1"/>
  <c r="Q199" i="1" s="1"/>
  <c r="N181" i="1"/>
  <c r="M181" i="1"/>
  <c r="Q135" i="1"/>
  <c r="L94" i="1"/>
  <c r="M94" i="1"/>
  <c r="L58" i="1"/>
  <c r="M58" i="1"/>
  <c r="N58" i="1"/>
  <c r="Q376" i="1"/>
  <c r="N285" i="1"/>
  <c r="M285" i="1"/>
  <c r="O270" i="1"/>
  <c r="M251" i="1"/>
  <c r="L251" i="1"/>
  <c r="S221" i="1"/>
  <c r="O172" i="1"/>
  <c r="R172" i="1" s="1"/>
  <c r="O151" i="1"/>
  <c r="P151" i="1" s="1"/>
  <c r="S151" i="1" s="1"/>
  <c r="R127" i="1"/>
  <c r="M92" i="1"/>
  <c r="N92" i="1"/>
  <c r="R88" i="1"/>
  <c r="L82" i="1"/>
  <c r="M82" i="1"/>
  <c r="R63" i="1"/>
  <c r="L46" i="1"/>
  <c r="M46" i="1"/>
  <c r="R584" i="1"/>
  <c r="S584" i="1" s="1"/>
  <c r="M512" i="1"/>
  <c r="N512" i="1"/>
  <c r="Q497" i="1"/>
  <c r="Q420" i="1"/>
  <c r="Q416" i="1"/>
  <c r="M393" i="1"/>
  <c r="N393" i="1"/>
  <c r="O368" i="1"/>
  <c r="Q368" i="1" s="1"/>
  <c r="L345" i="1"/>
  <c r="M345" i="1"/>
  <c r="N345" i="1"/>
  <c r="L319" i="1"/>
  <c r="M319" i="1"/>
  <c r="N319" i="1"/>
  <c r="R298" i="1"/>
  <c r="O184" i="1"/>
  <c r="P184" i="1"/>
  <c r="N176" i="1"/>
  <c r="M176" i="1"/>
  <c r="O159" i="1"/>
  <c r="Q159" i="1" s="1"/>
  <c r="Q127" i="1"/>
  <c r="N112" i="1"/>
  <c r="O112" i="1" s="1"/>
  <c r="P112" i="1" s="1"/>
  <c r="M112" i="1"/>
  <c r="L102" i="1"/>
  <c r="N102" i="1"/>
  <c r="M102" i="1"/>
  <c r="O88" i="1"/>
  <c r="O43" i="1"/>
  <c r="Q43" i="1" s="1"/>
  <c r="P43" i="1"/>
  <c r="S43" i="1" s="1"/>
  <c r="R40" i="1"/>
  <c r="L22" i="1"/>
  <c r="M22" i="1"/>
  <c r="N22" i="1"/>
  <c r="O805" i="1"/>
  <c r="R600" i="1"/>
  <c r="S600" i="1" s="1"/>
  <c r="M566" i="1"/>
  <c r="N566" i="1"/>
  <c r="O478" i="1"/>
  <c r="Q386" i="1"/>
  <c r="M379" i="1"/>
  <c r="N379" i="1"/>
  <c r="L379" i="1"/>
  <c r="L371" i="1"/>
  <c r="M371" i="1"/>
  <c r="N371" i="1"/>
  <c r="L337" i="1"/>
  <c r="N337" i="1"/>
  <c r="R293" i="1"/>
  <c r="L291" i="1"/>
  <c r="M291" i="1"/>
  <c r="L285" i="1"/>
  <c r="N251" i="1"/>
  <c r="O232" i="1"/>
  <c r="P232" i="1" s="1"/>
  <c r="L216" i="1"/>
  <c r="M216" i="1"/>
  <c r="M201" i="1"/>
  <c r="N201" i="1"/>
  <c r="L191" i="1"/>
  <c r="N191" i="1"/>
  <c r="Q172" i="1"/>
  <c r="R159" i="1"/>
  <c r="Q151" i="1"/>
  <c r="P147" i="1"/>
  <c r="S147" i="1" s="1"/>
  <c r="O134" i="1"/>
  <c r="P134" i="1" s="1"/>
  <c r="O127" i="1"/>
  <c r="N113" i="1"/>
  <c r="L113" i="1"/>
  <c r="L92" i="1"/>
  <c r="N82" i="1"/>
  <c r="N46" i="1"/>
  <c r="R43" i="1"/>
  <c r="N23" i="1"/>
  <c r="M23" i="1"/>
  <c r="N311" i="1"/>
  <c r="M311" i="1"/>
  <c r="Q293" i="1"/>
  <c r="N253" i="1"/>
  <c r="M253" i="1"/>
  <c r="Q244" i="1"/>
  <c r="L224" i="1"/>
  <c r="N224" i="1"/>
  <c r="M224" i="1"/>
  <c r="N184" i="1"/>
  <c r="M184" i="1"/>
  <c r="N170" i="1"/>
  <c r="L170" i="1"/>
  <c r="R163" i="1"/>
  <c r="L150" i="1"/>
  <c r="M150" i="1"/>
  <c r="N138" i="1"/>
  <c r="M138" i="1"/>
  <c r="L138" i="1"/>
  <c r="R93" i="1"/>
  <c r="L90" i="1"/>
  <c r="N90" i="1"/>
  <c r="M90" i="1"/>
  <c r="N87" i="1"/>
  <c r="L87" i="1"/>
  <c r="R28" i="1"/>
  <c r="O19" i="1"/>
  <c r="O16" i="1"/>
  <c r="O518" i="1"/>
  <c r="O432" i="1"/>
  <c r="O430" i="1"/>
  <c r="P430" i="1" s="1"/>
  <c r="N422" i="1"/>
  <c r="M422" i="1"/>
  <c r="O422" i="1" s="1"/>
  <c r="P422" i="1" s="1"/>
  <c r="O389" i="1"/>
  <c r="N342" i="1"/>
  <c r="M342" i="1"/>
  <c r="P293" i="1"/>
  <c r="L258" i="1"/>
  <c r="M258" i="1"/>
  <c r="O244" i="1"/>
  <c r="R244" i="1" s="1"/>
  <c r="P244" i="1"/>
  <c r="N235" i="1"/>
  <c r="L235" i="1"/>
  <c r="M213" i="1"/>
  <c r="N213" i="1"/>
  <c r="N210" i="1"/>
  <c r="M210" i="1"/>
  <c r="Q207" i="1"/>
  <c r="S207" i="1" s="1"/>
  <c r="N180" i="1"/>
  <c r="L180" i="1"/>
  <c r="M180" i="1"/>
  <c r="Q163" i="1"/>
  <c r="R157" i="1"/>
  <c r="S157" i="1" s="1"/>
  <c r="O131" i="1"/>
  <c r="P131" i="1" s="1"/>
  <c r="M128" i="1"/>
  <c r="N128" i="1"/>
  <c r="M96" i="1"/>
  <c r="N96" i="1"/>
  <c r="L96" i="1"/>
  <c r="R67" i="1"/>
  <c r="N55" i="1"/>
  <c r="L55" i="1"/>
  <c r="M55" i="1"/>
  <c r="O42" i="1"/>
  <c r="R31" i="1"/>
  <c r="Q28" i="1"/>
  <c r="P456" i="1"/>
  <c r="S456" i="1" s="1"/>
  <c r="R448" i="1"/>
  <c r="L424" i="1"/>
  <c r="N424" i="1"/>
  <c r="Q300" i="1"/>
  <c r="L261" i="1"/>
  <c r="N261" i="1"/>
  <c r="O163" i="1"/>
  <c r="P163" i="1" s="1"/>
  <c r="S163" i="1" s="1"/>
  <c r="L155" i="1"/>
  <c r="M155" i="1"/>
  <c r="N131" i="1"/>
  <c r="M131" i="1"/>
  <c r="N121" i="1"/>
  <c r="L121" i="1"/>
  <c r="M121" i="1"/>
  <c r="N105" i="1"/>
  <c r="L105" i="1"/>
  <c r="M105" i="1"/>
  <c r="O67" i="1"/>
  <c r="Q44" i="1"/>
  <c r="L38" i="1"/>
  <c r="M38" i="1"/>
  <c r="Q31" i="1"/>
  <c r="O28" i="1"/>
  <c r="P28" i="1" s="1"/>
  <c r="S28" i="1" s="1"/>
  <c r="O320" i="1"/>
  <c r="N302" i="1"/>
  <c r="L302" i="1"/>
  <c r="N238" i="1"/>
  <c r="M238" i="1"/>
  <c r="L219" i="1"/>
  <c r="N219" i="1"/>
  <c r="L208" i="1"/>
  <c r="M208" i="1"/>
  <c r="N208" i="1"/>
  <c r="R167" i="1"/>
  <c r="R151" i="1"/>
  <c r="L99" i="1"/>
  <c r="M99" i="1"/>
  <c r="N65" i="1"/>
  <c r="M65" i="1"/>
  <c r="L65" i="1"/>
  <c r="P59" i="1"/>
  <c r="R221" i="1"/>
  <c r="O167" i="1"/>
  <c r="Q167" i="1" s="1"/>
  <c r="P167" i="1"/>
  <c r="P156" i="1"/>
  <c r="S156" i="1" s="1"/>
  <c r="N81" i="1"/>
  <c r="M81" i="1"/>
  <c r="O60" i="1"/>
  <c r="R60" i="1" s="1"/>
  <c r="N48" i="1"/>
  <c r="L48" i="1"/>
  <c r="R33" i="1"/>
  <c r="Q24" i="1"/>
  <c r="S24" i="1" s="1"/>
  <c r="O358" i="1"/>
  <c r="R334" i="1"/>
  <c r="L283" i="1"/>
  <c r="M283" i="1"/>
  <c r="L278" i="1"/>
  <c r="M278" i="1"/>
  <c r="N278" i="1"/>
  <c r="M271" i="1"/>
  <c r="N271" i="1"/>
  <c r="L266" i="1"/>
  <c r="M266" i="1"/>
  <c r="M254" i="1"/>
  <c r="N254" i="1"/>
  <c r="P154" i="1"/>
  <c r="L144" i="1"/>
  <c r="M144" i="1"/>
  <c r="L123" i="1"/>
  <c r="M123" i="1"/>
  <c r="N100" i="1"/>
  <c r="M100" i="1"/>
  <c r="L100" i="1"/>
  <c r="O63" i="1"/>
  <c r="P63" i="1" s="1"/>
  <c r="N36" i="1"/>
  <c r="M36" i="1"/>
  <c r="L36" i="1"/>
  <c r="O33" i="1"/>
  <c r="P33" i="1" s="1"/>
  <c r="L30" i="1"/>
  <c r="M30" i="1"/>
  <c r="R24" i="1"/>
  <c r="L323" i="1"/>
  <c r="M323" i="1"/>
  <c r="N323" i="1"/>
  <c r="O273" i="1"/>
  <c r="Q273" i="1" s="1"/>
  <c r="P273" i="1"/>
  <c r="O264" i="1"/>
  <c r="P264" i="1"/>
  <c r="L196" i="1"/>
  <c r="M196" i="1"/>
  <c r="N177" i="1"/>
  <c r="L177" i="1"/>
  <c r="M171" i="1"/>
  <c r="L171" i="1"/>
  <c r="N171" i="1"/>
  <c r="R146" i="1"/>
  <c r="O135" i="1"/>
  <c r="R135" i="1" s="1"/>
  <c r="P135" i="1"/>
  <c r="P127" i="1"/>
  <c r="N41" i="1"/>
  <c r="L41" i="1"/>
  <c r="M41" i="1"/>
  <c r="L331" i="1"/>
  <c r="M331" i="1"/>
  <c r="P329" i="1"/>
  <c r="N115" i="1"/>
  <c r="M115" i="1"/>
  <c r="L115" i="1"/>
  <c r="N73" i="1"/>
  <c r="L73" i="1"/>
  <c r="M73" i="1"/>
  <c r="N57" i="1"/>
  <c r="L57" i="1"/>
  <c r="M57" i="1"/>
  <c r="N39" i="1"/>
  <c r="L39" i="1"/>
  <c r="M39" i="1"/>
  <c r="L18" i="1"/>
  <c r="M18" i="1"/>
  <c r="L15" i="1"/>
  <c r="M15" i="1"/>
  <c r="N15" i="1"/>
  <c r="L365" i="1"/>
  <c r="M365" i="1"/>
  <c r="M249" i="1"/>
  <c r="L249" i="1"/>
  <c r="O206" i="1"/>
  <c r="Q206" i="1" s="1"/>
  <c r="P206" i="1"/>
  <c r="L189" i="1"/>
  <c r="M189" i="1"/>
  <c r="N189" i="1"/>
  <c r="O169" i="1"/>
  <c r="P169" i="1" s="1"/>
  <c r="M141" i="1"/>
  <c r="L141" i="1"/>
  <c r="R95" i="1"/>
  <c r="S95" i="1" s="1"/>
  <c r="O85" i="1"/>
  <c r="R85" i="1" s="1"/>
  <c r="M26" i="1"/>
  <c r="L347" i="1"/>
  <c r="M347" i="1"/>
  <c r="M187" i="1"/>
  <c r="N187" i="1"/>
  <c r="R147" i="1"/>
  <c r="N143" i="1"/>
  <c r="L143" i="1"/>
  <c r="P108" i="1"/>
  <c r="S108" i="1" s="1"/>
  <c r="L62" i="1"/>
  <c r="M62" i="1"/>
  <c r="O220" i="1"/>
  <c r="R149" i="1"/>
  <c r="O83" i="1"/>
  <c r="M117" i="1"/>
  <c r="L117" i="1"/>
  <c r="R104" i="1"/>
  <c r="Q104" i="1"/>
  <c r="O98" i="1"/>
  <c r="Q98" i="1" s="1"/>
  <c r="R19" i="1"/>
  <c r="N145" i="1"/>
  <c r="L145" i="1"/>
  <c r="J10" i="1"/>
  <c r="K10" i="1" s="1"/>
  <c r="S402" i="1" l="1"/>
  <c r="S106" i="1"/>
  <c r="S757" i="1"/>
  <c r="S544" i="1"/>
  <c r="Q83" i="1"/>
  <c r="P83" i="1"/>
  <c r="O115" i="1"/>
  <c r="R115" i="1" s="1"/>
  <c r="P115" i="1"/>
  <c r="O177" i="1"/>
  <c r="Q177" i="1" s="1"/>
  <c r="O254" i="1"/>
  <c r="P254" i="1" s="1"/>
  <c r="R213" i="1"/>
  <c r="O138" i="1"/>
  <c r="P138" i="1" s="1"/>
  <c r="S255" i="1"/>
  <c r="Q398" i="1"/>
  <c r="O69" i="1"/>
  <c r="P69" i="1" s="1"/>
  <c r="O295" i="1"/>
  <c r="Q295" i="1" s="1"/>
  <c r="P295" i="1"/>
  <c r="O628" i="1"/>
  <c r="P628" i="1" s="1"/>
  <c r="S628" i="1" s="1"/>
  <c r="O64" i="1"/>
  <c r="Q64" i="1" s="1"/>
  <c r="P64" i="1"/>
  <c r="R612" i="1"/>
  <c r="O523" i="1"/>
  <c r="R523" i="1" s="1"/>
  <c r="P523" i="1"/>
  <c r="Q377" i="1"/>
  <c r="S546" i="1"/>
  <c r="S763" i="1"/>
  <c r="R318" i="1"/>
  <c r="S719" i="1"/>
  <c r="O559" i="1"/>
  <c r="R559" i="1" s="1"/>
  <c r="P501" i="1"/>
  <c r="R501" i="1"/>
  <c r="Q115" i="1"/>
  <c r="R36" i="1"/>
  <c r="Q266" i="1"/>
  <c r="O38" i="1"/>
  <c r="R38" i="1" s="1"/>
  <c r="P38" i="1"/>
  <c r="O96" i="1"/>
  <c r="R96" i="1" s="1"/>
  <c r="P96" i="1"/>
  <c r="O213" i="1"/>
  <c r="P213" i="1" s="1"/>
  <c r="O253" i="1"/>
  <c r="P253" i="1" s="1"/>
  <c r="Q253" i="1"/>
  <c r="O291" i="1"/>
  <c r="R291" i="1" s="1"/>
  <c r="P291" i="1"/>
  <c r="O345" i="1"/>
  <c r="Q345" i="1" s="1"/>
  <c r="Q82" i="1"/>
  <c r="Q181" i="1"/>
  <c r="O305" i="1"/>
  <c r="R305" i="1" s="1"/>
  <c r="O124" i="1"/>
  <c r="Q124" i="1" s="1"/>
  <c r="P615" i="1"/>
  <c r="Q615" i="1"/>
  <c r="R615" i="1"/>
  <c r="O49" i="1"/>
  <c r="P49" i="1"/>
  <c r="O398" i="1"/>
  <c r="P398" i="1"/>
  <c r="R628" i="1"/>
  <c r="P52" i="1"/>
  <c r="Q743" i="1"/>
  <c r="O493" i="1"/>
  <c r="R493" i="1" s="1"/>
  <c r="Q773" i="1"/>
  <c r="O289" i="1"/>
  <c r="P289" i="1" s="1"/>
  <c r="O413" i="1"/>
  <c r="R413" i="1" s="1"/>
  <c r="P413" i="1"/>
  <c r="O246" i="1"/>
  <c r="Q246" i="1" s="1"/>
  <c r="S409" i="1"/>
  <c r="Q29" i="1"/>
  <c r="Q763" i="1"/>
  <c r="R763" i="1"/>
  <c r="O343" i="1"/>
  <c r="Q343" i="1" s="1"/>
  <c r="O148" i="1"/>
  <c r="Q148" i="1" s="1"/>
  <c r="R648" i="1"/>
  <c r="O521" i="1"/>
  <c r="R521" i="1" s="1"/>
  <c r="S639" i="1"/>
  <c r="O450" i="1"/>
  <c r="P450" i="1" s="1"/>
  <c r="S450" i="1" s="1"/>
  <c r="P536" i="1"/>
  <c r="P220" i="1"/>
  <c r="Q220" i="1"/>
  <c r="Q60" i="1"/>
  <c r="O266" i="1"/>
  <c r="R266" i="1" s="1"/>
  <c r="R208" i="1"/>
  <c r="O235" i="1"/>
  <c r="Q235" i="1" s="1"/>
  <c r="P235" i="1"/>
  <c r="Q134" i="1"/>
  <c r="S134" i="1" s="1"/>
  <c r="O82" i="1"/>
  <c r="P82" i="1"/>
  <c r="Q251" i="1"/>
  <c r="O671" i="1"/>
  <c r="R671" i="1" s="1"/>
  <c r="P671" i="1"/>
  <c r="Q49" i="1"/>
  <c r="O209" i="1"/>
  <c r="P209" i="1" s="1"/>
  <c r="R398" i="1"/>
  <c r="O547" i="1"/>
  <c r="R547" i="1" s="1"/>
  <c r="R69" i="1"/>
  <c r="Q797" i="1"/>
  <c r="S797" i="1" s="1"/>
  <c r="R797" i="1"/>
  <c r="Q304" i="1"/>
  <c r="S304" i="1" s="1"/>
  <c r="R304" i="1"/>
  <c r="O68" i="1"/>
  <c r="P68" i="1" s="1"/>
  <c r="P631" i="1"/>
  <c r="Q631" i="1"/>
  <c r="R631" i="1"/>
  <c r="P743" i="1"/>
  <c r="S743" i="1" s="1"/>
  <c r="O237" i="1"/>
  <c r="R237" i="1" s="1"/>
  <c r="P237" i="1"/>
  <c r="S237" i="1" s="1"/>
  <c r="O477" i="1"/>
  <c r="P477" i="1" s="1"/>
  <c r="S768" i="1"/>
  <c r="R214" i="1"/>
  <c r="Q451" i="1"/>
  <c r="Q174" i="1"/>
  <c r="O840" i="1"/>
  <c r="R840" i="1" s="1"/>
  <c r="P840" i="1"/>
  <c r="R29" i="1"/>
  <c r="R202" i="1"/>
  <c r="O377" i="1"/>
  <c r="P377" i="1" s="1"/>
  <c r="R680" i="1"/>
  <c r="O335" i="1"/>
  <c r="R335" i="1" s="1"/>
  <c r="R195" i="1"/>
  <c r="P504" i="1"/>
  <c r="S504" i="1" s="1"/>
  <c r="Q568" i="1"/>
  <c r="R842" i="1"/>
  <c r="R694" i="1"/>
  <c r="Q62" i="1"/>
  <c r="O141" i="1"/>
  <c r="R141" i="1" s="1"/>
  <c r="P141" i="1"/>
  <c r="S329" i="1"/>
  <c r="O196" i="1"/>
  <c r="R196" i="1" s="1"/>
  <c r="P196" i="1"/>
  <c r="R271" i="1"/>
  <c r="Q208" i="1"/>
  <c r="P67" i="1"/>
  <c r="Q67" i="1"/>
  <c r="Q96" i="1"/>
  <c r="P432" i="1"/>
  <c r="S432" i="1" s="1"/>
  <c r="R432" i="1"/>
  <c r="P368" i="1"/>
  <c r="P270" i="1"/>
  <c r="Q270" i="1"/>
  <c r="O651" i="1"/>
  <c r="P651" i="1"/>
  <c r="P725" i="1"/>
  <c r="Q725" i="1"/>
  <c r="R725" i="1"/>
  <c r="O336" i="1"/>
  <c r="Q336" i="1" s="1"/>
  <c r="P336" i="1"/>
  <c r="O814" i="1"/>
  <c r="Q814" i="1" s="1"/>
  <c r="P814" i="1"/>
  <c r="Q315" i="1"/>
  <c r="O604" i="1"/>
  <c r="P604" i="1" s="1"/>
  <c r="S604" i="1" s="1"/>
  <c r="S787" i="1"/>
  <c r="O482" i="1"/>
  <c r="P482" i="1" s="1"/>
  <c r="Q462" i="1"/>
  <c r="O174" i="1"/>
  <c r="R174" i="1" s="1"/>
  <c r="P174" i="1"/>
  <c r="Q413" i="1"/>
  <c r="R110" i="1"/>
  <c r="P230" i="1"/>
  <c r="R230" i="1"/>
  <c r="R17" i="1"/>
  <c r="O202" i="1"/>
  <c r="Q202" i="1" s="1"/>
  <c r="P202" i="1"/>
  <c r="R591" i="1"/>
  <c r="R441" i="1"/>
  <c r="R859" i="1"/>
  <c r="R269" i="1"/>
  <c r="Q730" i="1"/>
  <c r="S730" i="1" s="1"/>
  <c r="R730" i="1"/>
  <c r="Q678" i="1"/>
  <c r="S205" i="1"/>
  <c r="O718" i="1"/>
  <c r="P718" i="1" s="1"/>
  <c r="O145" i="1"/>
  <c r="Q145" i="1" s="1"/>
  <c r="P145" i="1"/>
  <c r="Q331" i="1"/>
  <c r="O271" i="1"/>
  <c r="P271" i="1" s="1"/>
  <c r="O424" i="1"/>
  <c r="Q424" i="1" s="1"/>
  <c r="S244" i="1"/>
  <c r="P518" i="1"/>
  <c r="Q518" i="1"/>
  <c r="R22" i="1"/>
  <c r="P159" i="1"/>
  <c r="S159" i="1" s="1"/>
  <c r="O706" i="1"/>
  <c r="R706" i="1" s="1"/>
  <c r="P706" i="1"/>
  <c r="O132" i="1"/>
  <c r="Q132" i="1" s="1"/>
  <c r="Q54" i="1"/>
  <c r="Q212" i="1"/>
  <c r="S212" i="1" s="1"/>
  <c r="O222" i="1"/>
  <c r="R222" i="1" s="1"/>
  <c r="P222" i="1"/>
  <c r="Q487" i="1"/>
  <c r="S487" i="1" s="1"/>
  <c r="R487" i="1"/>
  <c r="R68" i="1"/>
  <c r="S654" i="1"/>
  <c r="R242" i="1"/>
  <c r="Q790" i="1"/>
  <c r="R790" i="1"/>
  <c r="O462" i="1"/>
  <c r="R462" i="1" s="1"/>
  <c r="P462" i="1"/>
  <c r="R526" i="1"/>
  <c r="O259" i="1"/>
  <c r="R259" i="1" s="1"/>
  <c r="P259" i="1"/>
  <c r="Q110" i="1"/>
  <c r="P388" i="1"/>
  <c r="Q388" i="1"/>
  <c r="O540" i="1"/>
  <c r="Q540" i="1" s="1"/>
  <c r="P540" i="1"/>
  <c r="O21" i="1"/>
  <c r="R21" i="1" s="1"/>
  <c r="Q230" i="1"/>
  <c r="O549" i="1"/>
  <c r="Q549" i="1" s="1"/>
  <c r="P549" i="1"/>
  <c r="O813" i="1"/>
  <c r="P813" i="1" s="1"/>
  <c r="R339" i="1"/>
  <c r="P415" i="1"/>
  <c r="S415" i="1" s="1"/>
  <c r="Q268" i="1"/>
  <c r="S585" i="1"/>
  <c r="R864" i="1"/>
  <c r="O842" i="1"/>
  <c r="P842" i="1"/>
  <c r="O406" i="1"/>
  <c r="R406" i="1" s="1"/>
  <c r="P406" i="1"/>
  <c r="R843" i="1"/>
  <c r="R145" i="1"/>
  <c r="O18" i="1"/>
  <c r="R18" i="1" s="1"/>
  <c r="Q264" i="1"/>
  <c r="S264" i="1" s="1"/>
  <c r="R264" i="1"/>
  <c r="R278" i="1"/>
  <c r="S167" i="1"/>
  <c r="O105" i="1"/>
  <c r="Q105" i="1" s="1"/>
  <c r="P105" i="1"/>
  <c r="P150" i="1"/>
  <c r="S150" i="1" s="1"/>
  <c r="O150" i="1"/>
  <c r="R150" i="1" s="1"/>
  <c r="Q311" i="1"/>
  <c r="R368" i="1"/>
  <c r="Q22" i="1"/>
  <c r="P199" i="1"/>
  <c r="S199" i="1" s="1"/>
  <c r="Q324" i="1"/>
  <c r="Q651" i="1"/>
  <c r="S51" i="1"/>
  <c r="R336" i="1"/>
  <c r="Q604" i="1"/>
  <c r="Q775" i="1"/>
  <c r="Q241" i="1"/>
  <c r="O114" i="1"/>
  <c r="P114" i="1"/>
  <c r="R537" i="1"/>
  <c r="P267" i="1"/>
  <c r="S267" i="1" s="1"/>
  <c r="Q164" i="1"/>
  <c r="R656" i="1"/>
  <c r="O110" i="1"/>
  <c r="P110" i="1"/>
  <c r="R540" i="1"/>
  <c r="R396" i="1"/>
  <c r="S816" i="1"/>
  <c r="R186" i="1"/>
  <c r="P407" i="1"/>
  <c r="S407" i="1" s="1"/>
  <c r="O325" i="1"/>
  <c r="P325" i="1"/>
  <c r="O143" i="1"/>
  <c r="Q143" i="1" s="1"/>
  <c r="P143" i="1"/>
  <c r="Q39" i="1"/>
  <c r="S273" i="1"/>
  <c r="Q278" i="1"/>
  <c r="R105" i="1"/>
  <c r="O191" i="1"/>
  <c r="Q191" i="1" s="1"/>
  <c r="O444" i="1"/>
  <c r="P444" i="1" s="1"/>
  <c r="O229" i="1"/>
  <c r="R229" i="1" s="1"/>
  <c r="S344" i="1"/>
  <c r="R223" i="1"/>
  <c r="S638" i="1"/>
  <c r="R109" i="1"/>
  <c r="R821" i="1"/>
  <c r="S821" i="1" s="1"/>
  <c r="S390" i="1"/>
  <c r="Q832" i="1"/>
  <c r="S832" i="1" s="1"/>
  <c r="R832" i="1"/>
  <c r="O537" i="1"/>
  <c r="P537" i="1" s="1"/>
  <c r="Q695" i="1"/>
  <c r="R695" i="1"/>
  <c r="R468" i="1"/>
  <c r="S274" i="1"/>
  <c r="Q72" i="1"/>
  <c r="O129" i="1"/>
  <c r="P129" i="1"/>
  <c r="P632" i="1"/>
  <c r="S632" i="1" s="1"/>
  <c r="O239" i="1"/>
  <c r="P239" i="1" s="1"/>
  <c r="Q392" i="1"/>
  <c r="R609" i="1"/>
  <c r="Q418" i="1"/>
  <c r="Q475" i="1"/>
  <c r="R475" i="1"/>
  <c r="Q824" i="1"/>
  <c r="S824" i="1" s="1"/>
  <c r="R824" i="1"/>
  <c r="R277" i="1"/>
  <c r="O620" i="1"/>
  <c r="P620" i="1" s="1"/>
  <c r="O489" i="1"/>
  <c r="Q489" i="1" s="1"/>
  <c r="P489" i="1"/>
  <c r="R78" i="1"/>
  <c r="Q325" i="1"/>
  <c r="O458" i="1"/>
  <c r="P458" i="1" s="1"/>
  <c r="S458" i="1" s="1"/>
  <c r="O39" i="1"/>
  <c r="P39" i="1"/>
  <c r="O278" i="1"/>
  <c r="P278" i="1"/>
  <c r="O238" i="1"/>
  <c r="P238" i="1" s="1"/>
  <c r="Q238" i="1"/>
  <c r="O258" i="1"/>
  <c r="R258" i="1" s="1"/>
  <c r="P258" i="1"/>
  <c r="O170" i="1"/>
  <c r="Q170" i="1" s="1"/>
  <c r="P170" i="1"/>
  <c r="O449" i="1"/>
  <c r="Q449" i="1" s="1"/>
  <c r="P449" i="1"/>
  <c r="O355" i="1"/>
  <c r="R355" i="1" s="1"/>
  <c r="P355" i="1"/>
  <c r="O506" i="1"/>
  <c r="R506" i="1" s="1"/>
  <c r="P506" i="1"/>
  <c r="O778" i="1"/>
  <c r="P778" i="1" s="1"/>
  <c r="Q778" i="1"/>
  <c r="O137" i="1"/>
  <c r="P137" i="1" s="1"/>
  <c r="S574" i="1"/>
  <c r="Q821" i="1"/>
  <c r="O861" i="1"/>
  <c r="P861" i="1"/>
  <c r="R437" i="1"/>
  <c r="O714" i="1"/>
  <c r="P714" i="1"/>
  <c r="Q608" i="1"/>
  <c r="R72" i="1"/>
  <c r="Q129" i="1"/>
  <c r="O464" i="1"/>
  <c r="P464" i="1" s="1"/>
  <c r="O392" i="1"/>
  <c r="R392" i="1" s="1"/>
  <c r="P392" i="1"/>
  <c r="O410" i="1"/>
  <c r="R410" i="1" s="1"/>
  <c r="P410" i="1"/>
  <c r="Q724" i="1"/>
  <c r="O769" i="1"/>
  <c r="P769" i="1"/>
  <c r="O845" i="1"/>
  <c r="P845" i="1" s="1"/>
  <c r="Q845" i="1"/>
  <c r="S588" i="1"/>
  <c r="S541" i="1"/>
  <c r="R585" i="1"/>
  <c r="S508" i="1"/>
  <c r="P215" i="1"/>
  <c r="S215" i="1" s="1"/>
  <c r="Q359" i="1"/>
  <c r="Q435" i="1"/>
  <c r="Q551" i="1"/>
  <c r="Q399" i="1"/>
  <c r="P53" i="1"/>
  <c r="S53" i="1" s="1"/>
  <c r="O53" i="1"/>
  <c r="O548" i="1"/>
  <c r="R548" i="1" s="1"/>
  <c r="R752" i="1"/>
  <c r="R720" i="1"/>
  <c r="R39" i="1"/>
  <c r="Q283" i="1"/>
  <c r="R238" i="1"/>
  <c r="Q201" i="1"/>
  <c r="O393" i="1"/>
  <c r="P393" i="1" s="1"/>
  <c r="Q265" i="1"/>
  <c r="R265" i="1"/>
  <c r="R106" i="1"/>
  <c r="O360" i="1"/>
  <c r="P360" i="1" s="1"/>
  <c r="Q32" i="1"/>
  <c r="O823" i="1"/>
  <c r="Q823" i="1" s="1"/>
  <c r="P823" i="1"/>
  <c r="S823" i="1" s="1"/>
  <c r="R574" i="1"/>
  <c r="Q574" i="1"/>
  <c r="O122" i="1"/>
  <c r="R122" i="1" s="1"/>
  <c r="P122" i="1"/>
  <c r="S122" i="1" s="1"/>
  <c r="O509" i="1"/>
  <c r="Q509" i="1" s="1"/>
  <c r="P509" i="1"/>
  <c r="S555" i="1"/>
  <c r="Q118" i="1"/>
  <c r="Q714" i="1"/>
  <c r="R446" i="1"/>
  <c r="Q193" i="1"/>
  <c r="O72" i="1"/>
  <c r="P72" i="1" s="1"/>
  <c r="S72" i="1" s="1"/>
  <c r="Q276" i="1"/>
  <c r="R276" i="1"/>
  <c r="R735" i="1"/>
  <c r="S414" i="1"/>
  <c r="R247" i="1"/>
  <c r="R606" i="1"/>
  <c r="Q838" i="1"/>
  <c r="R769" i="1"/>
  <c r="O284" i="1"/>
  <c r="R284" i="1" s="1"/>
  <c r="S485" i="1"/>
  <c r="O829" i="1"/>
  <c r="P829" i="1" s="1"/>
  <c r="P550" i="1"/>
  <c r="R550" i="1"/>
  <c r="O78" i="1"/>
  <c r="Q78" i="1" s="1"/>
  <c r="O359" i="1"/>
  <c r="R359" i="1" s="1"/>
  <c r="P359" i="1"/>
  <c r="S865" i="1"/>
  <c r="P580" i="1"/>
  <c r="S580" i="1" s="1"/>
  <c r="R762" i="1"/>
  <c r="O399" i="1"/>
  <c r="R399" i="1" s="1"/>
  <c r="P399" i="1"/>
  <c r="R53" i="1"/>
  <c r="O831" i="1"/>
  <c r="P831" i="1" s="1"/>
  <c r="Q182" i="1"/>
  <c r="S182" i="1" s="1"/>
  <c r="S380" i="1"/>
  <c r="R86" i="1"/>
  <c r="R169" i="1"/>
  <c r="O65" i="1"/>
  <c r="Q65" i="1" s="1"/>
  <c r="P65" i="1"/>
  <c r="R121" i="1"/>
  <c r="Q184" i="1"/>
  <c r="S184" i="1" s="1"/>
  <c r="O225" i="1"/>
  <c r="Q225" i="1" s="1"/>
  <c r="Q166" i="1"/>
  <c r="Q786" i="1"/>
  <c r="O32" i="1"/>
  <c r="P32" i="1"/>
  <c r="O434" i="1"/>
  <c r="R434" i="1" s="1"/>
  <c r="P434" i="1"/>
  <c r="P664" i="1"/>
  <c r="R664" i="1"/>
  <c r="S149" i="1"/>
  <c r="P309" i="1"/>
  <c r="S309" i="1" s="1"/>
  <c r="S400" i="1"/>
  <c r="O515" i="1"/>
  <c r="R515" i="1" s="1"/>
  <c r="P515" i="1"/>
  <c r="O684" i="1"/>
  <c r="Q684" i="1" s="1"/>
  <c r="S452" i="1"/>
  <c r="P720" i="1"/>
  <c r="O118" i="1"/>
  <c r="R118" i="1" s="1"/>
  <c r="S416" i="1"/>
  <c r="R503" i="1"/>
  <c r="P503" i="1"/>
  <c r="S503" i="1" s="1"/>
  <c r="Q446" i="1"/>
  <c r="O653" i="1"/>
  <c r="R653" i="1" s="1"/>
  <c r="O133" i="1"/>
  <c r="P133" i="1" s="1"/>
  <c r="Q735" i="1"/>
  <c r="O491" i="1"/>
  <c r="R491" i="1" s="1"/>
  <c r="P491" i="1"/>
  <c r="O686" i="1"/>
  <c r="R686" i="1" s="1"/>
  <c r="O606" i="1"/>
  <c r="Q606" i="1" s="1"/>
  <c r="P606" i="1"/>
  <c r="S739" i="1"/>
  <c r="O838" i="1"/>
  <c r="P838" i="1"/>
  <c r="R185" i="1"/>
  <c r="S185" i="1" s="1"/>
  <c r="R382" i="1"/>
  <c r="S382" i="1" s="1"/>
  <c r="Q769" i="1"/>
  <c r="O231" i="1"/>
  <c r="R231" i="1" s="1"/>
  <c r="P231" i="1"/>
  <c r="O423" i="1"/>
  <c r="Q423" i="1" s="1"/>
  <c r="P423" i="1"/>
  <c r="O438" i="1"/>
  <c r="R438" i="1" s="1"/>
  <c r="P438" i="1"/>
  <c r="O299" i="1"/>
  <c r="R299" i="1" s="1"/>
  <c r="R306" i="1"/>
  <c r="S306" i="1" s="1"/>
  <c r="O433" i="1"/>
  <c r="Q433" i="1" s="1"/>
  <c r="P433" i="1"/>
  <c r="S737" i="1"/>
  <c r="Q85" i="1"/>
  <c r="O218" i="1"/>
  <c r="P218" i="1"/>
  <c r="O678" i="1"/>
  <c r="P678" i="1" s="1"/>
  <c r="S854" i="1"/>
  <c r="Q480" i="1"/>
  <c r="O762" i="1"/>
  <c r="Q762" i="1" s="1"/>
  <c r="P762" i="1"/>
  <c r="Q688" i="1"/>
  <c r="Q53" i="1"/>
  <c r="S851" i="1"/>
  <c r="Q803" i="1"/>
  <c r="Q519" i="1"/>
  <c r="O752" i="1"/>
  <c r="Q752" i="1" s="1"/>
  <c r="P752" i="1"/>
  <c r="R499" i="1"/>
  <c r="S563" i="1"/>
  <c r="O365" i="1"/>
  <c r="R365" i="1" s="1"/>
  <c r="P365" i="1"/>
  <c r="Q36" i="1"/>
  <c r="Q422" i="1"/>
  <c r="S422" i="1" s="1"/>
  <c r="R112" i="1"/>
  <c r="Q381" i="1"/>
  <c r="P533" i="1"/>
  <c r="S533" i="1" s="1"/>
  <c r="O533" i="1"/>
  <c r="Q533" i="1" s="1"/>
  <c r="O197" i="1"/>
  <c r="R197" i="1" s="1"/>
  <c r="P197" i="1"/>
  <c r="O431" i="1"/>
  <c r="P431" i="1"/>
  <c r="O361" i="1"/>
  <c r="R361" i="1" s="1"/>
  <c r="Q493" i="1"/>
  <c r="R773" i="1"/>
  <c r="O451" i="1"/>
  <c r="P451" i="1"/>
  <c r="O126" i="1"/>
  <c r="R126" i="1" s="1"/>
  <c r="O372" i="1"/>
  <c r="P372" i="1" s="1"/>
  <c r="S372" i="1" s="1"/>
  <c r="O29" i="1"/>
  <c r="P29" i="1"/>
  <c r="Q757" i="1"/>
  <c r="O165" i="1"/>
  <c r="P165" i="1" s="1"/>
  <c r="S373" i="1"/>
  <c r="Q680" i="1"/>
  <c r="O461" i="1"/>
  <c r="R461" i="1" s="1"/>
  <c r="P461" i="1"/>
  <c r="R343" i="1"/>
  <c r="Q370" i="1"/>
  <c r="Q521" i="1"/>
  <c r="Q811" i="1"/>
  <c r="O643" i="1"/>
  <c r="P643" i="1"/>
  <c r="O668" i="1"/>
  <c r="Q668" i="1" s="1"/>
  <c r="P668" i="1"/>
  <c r="Q450" i="1"/>
  <c r="O71" i="1"/>
  <c r="R71" i="1" s="1"/>
  <c r="P71" i="1"/>
  <c r="S522" i="1"/>
  <c r="O770" i="1"/>
  <c r="Q770" i="1" s="1"/>
  <c r="P770" i="1"/>
  <c r="R789" i="1"/>
  <c r="O510" i="1"/>
  <c r="P510" i="1" s="1"/>
  <c r="O566" i="1"/>
  <c r="P566" i="1" s="1"/>
  <c r="R698" i="1"/>
  <c r="P85" i="1"/>
  <c r="S85" i="1" s="1"/>
  <c r="R177" i="1"/>
  <c r="P60" i="1"/>
  <c r="S60" i="1" s="1"/>
  <c r="O261" i="1"/>
  <c r="Q261" i="1" s="1"/>
  <c r="R422" i="1"/>
  <c r="P251" i="1"/>
  <c r="S251" i="1" s="1"/>
  <c r="O251" i="1"/>
  <c r="O381" i="1"/>
  <c r="P381" i="1" s="1"/>
  <c r="S381" i="1" s="1"/>
  <c r="R533" i="1"/>
  <c r="S200" i="1"/>
  <c r="S484" i="1"/>
  <c r="Q237" i="1"/>
  <c r="Q214" i="1"/>
  <c r="S214" i="1" s="1"/>
  <c r="O646" i="1"/>
  <c r="Q646" i="1" s="1"/>
  <c r="P646" i="1"/>
  <c r="R451" i="1"/>
  <c r="Q840" i="1"/>
  <c r="R622" i="1"/>
  <c r="S194" i="1"/>
  <c r="O680" i="1"/>
  <c r="P680" i="1"/>
  <c r="P524" i="1"/>
  <c r="R524" i="1"/>
  <c r="R370" i="1"/>
  <c r="O195" i="1"/>
  <c r="Q195" i="1" s="1"/>
  <c r="S782" i="1"/>
  <c r="R568" i="1"/>
  <c r="Q269" i="1"/>
  <c r="O811" i="1"/>
  <c r="R811" i="1" s="1"/>
  <c r="P811" i="1"/>
  <c r="Q643" i="1"/>
  <c r="P661" i="1"/>
  <c r="R614" i="1"/>
  <c r="O79" i="1"/>
  <c r="R79" i="1" s="1"/>
  <c r="P250" i="1"/>
  <c r="S250" i="1" s="1"/>
  <c r="Q789" i="1"/>
  <c r="Q726" i="1"/>
  <c r="O836" i="1"/>
  <c r="R836" i="1" s="1"/>
  <c r="P836" i="1"/>
  <c r="S583" i="1"/>
  <c r="O698" i="1"/>
  <c r="P698" i="1"/>
  <c r="R253" i="1"/>
  <c r="P644" i="1"/>
  <c r="R644" i="1"/>
  <c r="S272" i="1"/>
  <c r="O723" i="1"/>
  <c r="R723" i="1" s="1"/>
  <c r="P723" i="1"/>
  <c r="O476" i="1"/>
  <c r="Q476" i="1" s="1"/>
  <c r="P476" i="1"/>
  <c r="R484" i="1"/>
  <c r="Q484" i="1"/>
  <c r="P437" i="1"/>
  <c r="O378" i="1"/>
  <c r="R378" i="1" s="1"/>
  <c r="P378" i="1"/>
  <c r="P591" i="1"/>
  <c r="S591" i="1" s="1"/>
  <c r="R289" i="1"/>
  <c r="S596" i="1"/>
  <c r="Q622" i="1"/>
  <c r="S622" i="1" s="1"/>
  <c r="Q17" i="1"/>
  <c r="S17" i="1" s="1"/>
  <c r="R549" i="1"/>
  <c r="R148" i="1"/>
  <c r="O586" i="1"/>
  <c r="P586" i="1" s="1"/>
  <c r="R226" i="1"/>
  <c r="P226" i="1"/>
  <c r="S226" i="1" s="1"/>
  <c r="O859" i="1"/>
  <c r="Q859" i="1" s="1"/>
  <c r="P859" i="1"/>
  <c r="Q648" i="1"/>
  <c r="O269" i="1"/>
  <c r="P269" i="1" s="1"/>
  <c r="S269" i="1" s="1"/>
  <c r="S300" i="1"/>
  <c r="R661" i="1"/>
  <c r="R678" i="1"/>
  <c r="O263" i="1"/>
  <c r="P263" i="1" s="1"/>
  <c r="S263" i="1" s="1"/>
  <c r="R450" i="1"/>
  <c r="P828" i="1"/>
  <c r="S828" i="1" s="1"/>
  <c r="Q698" i="1"/>
  <c r="O15" i="1"/>
  <c r="Q15" i="1" s="1"/>
  <c r="P15" i="1"/>
  <c r="R81" i="1"/>
  <c r="R424" i="1"/>
  <c r="P805" i="1"/>
  <c r="R805" i="1"/>
  <c r="P673" i="1"/>
  <c r="R673" i="1"/>
  <c r="R49" i="1"/>
  <c r="Q522" i="1"/>
  <c r="R204" i="1"/>
  <c r="S790" i="1"/>
  <c r="R164" i="1"/>
  <c r="R246" i="1"/>
  <c r="P724" i="1"/>
  <c r="S724" i="1" s="1"/>
  <c r="P660" i="1"/>
  <c r="Q660" i="1"/>
  <c r="O568" i="1"/>
  <c r="P568" i="1"/>
  <c r="Q842" i="1"/>
  <c r="S862" i="1"/>
  <c r="O675" i="1"/>
  <c r="R675" i="1" s="1"/>
  <c r="P675" i="1"/>
  <c r="O175" i="1"/>
  <c r="R175" i="1" s="1"/>
  <c r="P175" i="1"/>
  <c r="R640" i="1"/>
  <c r="R263" i="1"/>
  <c r="Q694" i="1"/>
  <c r="P608" i="1"/>
  <c r="Q250" i="1"/>
  <c r="R168" i="1"/>
  <c r="O535" i="1"/>
  <c r="R535" i="1" s="1"/>
  <c r="Q303" i="1"/>
  <c r="P303" i="1"/>
  <c r="O275" i="1"/>
  <c r="Q275" i="1" s="1"/>
  <c r="P275" i="1"/>
  <c r="Q473" i="1"/>
  <c r="Q685" i="1"/>
  <c r="S685" i="1" s="1"/>
  <c r="R428" i="1"/>
  <c r="S822" i="1"/>
  <c r="O62" i="1"/>
  <c r="R62" i="1" s="1"/>
  <c r="O208" i="1"/>
  <c r="P208" i="1"/>
  <c r="Q150" i="1"/>
  <c r="O337" i="1"/>
  <c r="Q337" i="1" s="1"/>
  <c r="R92" i="1"/>
  <c r="R324" i="1"/>
  <c r="S233" i="1"/>
  <c r="R651" i="1"/>
  <c r="P558" i="1"/>
  <c r="Q558" i="1"/>
  <c r="R558" i="1"/>
  <c r="S84" i="1"/>
  <c r="R596" i="1"/>
  <c r="O315" i="1"/>
  <c r="R315" i="1" s="1"/>
  <c r="R604" i="1"/>
  <c r="R544" i="1"/>
  <c r="S809" i="1"/>
  <c r="O241" i="1"/>
  <c r="R241" i="1" s="1"/>
  <c r="Q378" i="1"/>
  <c r="R114" i="1"/>
  <c r="O308" i="1"/>
  <c r="P308" i="1" s="1"/>
  <c r="P164" i="1"/>
  <c r="S164" i="1" s="1"/>
  <c r="O164" i="1"/>
  <c r="S397" i="1"/>
  <c r="O441" i="1"/>
  <c r="Q441" i="1" s="1"/>
  <c r="O268" i="1"/>
  <c r="P268" i="1" s="1"/>
  <c r="O740" i="1"/>
  <c r="P740" i="1"/>
  <c r="Q675" i="1"/>
  <c r="R325" i="1"/>
  <c r="S682" i="1"/>
  <c r="Q263" i="1"/>
  <c r="O781" i="1"/>
  <c r="P781" i="1" s="1"/>
  <c r="O694" i="1"/>
  <c r="P694" i="1"/>
  <c r="Q479" i="1"/>
  <c r="S479" i="1" s="1"/>
  <c r="Q205" i="1"/>
  <c r="Q168" i="1"/>
  <c r="Q535" i="1"/>
  <c r="R303" i="1"/>
  <c r="R827" i="1"/>
  <c r="O806" i="1"/>
  <c r="R806" i="1" s="1"/>
  <c r="P806" i="1"/>
  <c r="O605" i="1"/>
  <c r="R605" i="1" s="1"/>
  <c r="P605" i="1"/>
  <c r="R275" i="1"/>
  <c r="R815" i="1"/>
  <c r="O331" i="1"/>
  <c r="R331" i="1" s="1"/>
  <c r="P331" i="1"/>
  <c r="O81" i="1"/>
  <c r="P81" i="1" s="1"/>
  <c r="P16" i="1"/>
  <c r="Q16" i="1"/>
  <c r="R16" i="1"/>
  <c r="Q176" i="1"/>
  <c r="R285" i="1"/>
  <c r="Q706" i="1"/>
  <c r="R444" i="1"/>
  <c r="O54" i="1"/>
  <c r="R54" i="1" s="1"/>
  <c r="S573" i="1"/>
  <c r="Q596" i="1"/>
  <c r="O204" i="1"/>
  <c r="Q204" i="1" s="1"/>
  <c r="P204" i="1"/>
  <c r="Q109" i="1"/>
  <c r="S109" i="1" s="1"/>
  <c r="O564" i="1"/>
  <c r="P564" i="1" s="1"/>
  <c r="Q242" i="1"/>
  <c r="S242" i="1" s="1"/>
  <c r="S695" i="1"/>
  <c r="Q536" i="1"/>
  <c r="O460" i="1"/>
  <c r="R460" i="1" s="1"/>
  <c r="P460" i="1"/>
  <c r="O699" i="1"/>
  <c r="P699" i="1" s="1"/>
  <c r="O277" i="1"/>
  <c r="P277" i="1"/>
  <c r="Q524" i="1"/>
  <c r="Q677" i="1"/>
  <c r="S677" i="1" s="1"/>
  <c r="Q576" i="1"/>
  <c r="S576" i="1" s="1"/>
  <c r="R576" i="1"/>
  <c r="S716" i="1"/>
  <c r="R740" i="1"/>
  <c r="R458" i="1"/>
  <c r="O326" i="1"/>
  <c r="Q326" i="1" s="1"/>
  <c r="P326" i="1"/>
  <c r="Q526" i="1"/>
  <c r="S526" i="1" s="1"/>
  <c r="Q639" i="1"/>
  <c r="S446" i="1"/>
  <c r="O827" i="1"/>
  <c r="Q827" i="1" s="1"/>
  <c r="S571" i="1"/>
  <c r="R467" i="1"/>
  <c r="P44" i="1"/>
  <c r="S44" i="1" s="1"/>
  <c r="R516" i="1"/>
  <c r="Q815" i="1"/>
  <c r="Q627" i="1"/>
  <c r="O428" i="1"/>
  <c r="P428" i="1" s="1"/>
  <c r="P330" i="1"/>
  <c r="O843" i="1"/>
  <c r="Q843" i="1" s="1"/>
  <c r="O100" i="1"/>
  <c r="P100" i="1" s="1"/>
  <c r="S100" i="1" s="1"/>
  <c r="O219" i="1"/>
  <c r="Q219" i="1" s="1"/>
  <c r="P19" i="1"/>
  <c r="Q19" i="1"/>
  <c r="R311" i="1"/>
  <c r="S311" i="1" s="1"/>
  <c r="R371" i="1"/>
  <c r="O22" i="1"/>
  <c r="P22" i="1" s="1"/>
  <c r="S22" i="1" s="1"/>
  <c r="Q407" i="1"/>
  <c r="R255" i="1"/>
  <c r="R74" i="1"/>
  <c r="O592" i="1"/>
  <c r="Q592" i="1" s="1"/>
  <c r="P592" i="1"/>
  <c r="O119" i="1"/>
  <c r="R119" i="1" s="1"/>
  <c r="P119" i="1"/>
  <c r="R509" i="1"/>
  <c r="Q114" i="1"/>
  <c r="Q429" i="1"/>
  <c r="S429" i="1" s="1"/>
  <c r="R429" i="1"/>
  <c r="R714" i="1"/>
  <c r="O193" i="1"/>
  <c r="P193" i="1"/>
  <c r="O656" i="1"/>
  <c r="Q656" i="1" s="1"/>
  <c r="P656" i="1"/>
  <c r="S872" i="1"/>
  <c r="Q247" i="1"/>
  <c r="O339" i="1"/>
  <c r="Q339" i="1" s="1"/>
  <c r="P339" i="1"/>
  <c r="O864" i="1"/>
  <c r="Q864" i="1" s="1"/>
  <c r="P864" i="1"/>
  <c r="O856" i="1"/>
  <c r="P856" i="1" s="1"/>
  <c r="Q740" i="1"/>
  <c r="R708" i="1"/>
  <c r="R665" i="1"/>
  <c r="P812" i="1"/>
  <c r="S812" i="1" s="1"/>
  <c r="R728" i="1"/>
  <c r="O435" i="1"/>
  <c r="R435" i="1" s="1"/>
  <c r="P435" i="1"/>
  <c r="R749" i="1"/>
  <c r="Q467" i="1"/>
  <c r="S467" i="1" s="1"/>
  <c r="R685" i="1"/>
  <c r="R51" i="1"/>
  <c r="O41" i="1"/>
  <c r="Q41" i="1" s="1"/>
  <c r="P41" i="1"/>
  <c r="Q100" i="1"/>
  <c r="Q121" i="1"/>
  <c r="Q23" i="1"/>
  <c r="Q371" i="1"/>
  <c r="O850" i="1"/>
  <c r="R850" i="1" s="1"/>
  <c r="O74" i="1"/>
  <c r="P74" i="1" s="1"/>
  <c r="Q106" i="1"/>
  <c r="Q846" i="1"/>
  <c r="O223" i="1"/>
  <c r="Q223" i="1" s="1"/>
  <c r="P223" i="1"/>
  <c r="Q122" i="1"/>
  <c r="O715" i="1"/>
  <c r="Q715" i="1" s="1"/>
  <c r="P715" i="1"/>
  <c r="Q468" i="1"/>
  <c r="S468" i="1" s="1"/>
  <c r="R193" i="1"/>
  <c r="S276" i="1"/>
  <c r="O282" i="1"/>
  <c r="R282" i="1" s="1"/>
  <c r="O25" i="1"/>
  <c r="Q25" i="1" s="1"/>
  <c r="P25" i="1"/>
  <c r="O247" i="1"/>
  <c r="P247" i="1"/>
  <c r="R838" i="1"/>
  <c r="Q609" i="1"/>
  <c r="S609" i="1" s="1"/>
  <c r="P203" i="1"/>
  <c r="R203" i="1"/>
  <c r="R430" i="1"/>
  <c r="S430" i="1" s="1"/>
  <c r="P475" i="1"/>
  <c r="S475" i="1" s="1"/>
  <c r="Q277" i="1"/>
  <c r="O755" i="1"/>
  <c r="Q755" i="1" s="1"/>
  <c r="Q708" i="1"/>
  <c r="Q458" i="1"/>
  <c r="R326" i="1"/>
  <c r="Q792" i="1"/>
  <c r="Q728" i="1"/>
  <c r="S728" i="1" s="1"/>
  <c r="Q749" i="1"/>
  <c r="S749" i="1" s="1"/>
  <c r="R83" i="1"/>
  <c r="O189" i="1"/>
  <c r="R189" i="1" s="1"/>
  <c r="R41" i="1"/>
  <c r="R100" i="1"/>
  <c r="S59" i="1"/>
  <c r="O121" i="1"/>
  <c r="P121" i="1" s="1"/>
  <c r="S121" i="1" s="1"/>
  <c r="O87" i="1"/>
  <c r="Q87" i="1" s="1"/>
  <c r="P87" i="1"/>
  <c r="R23" i="1"/>
  <c r="O371" i="1"/>
  <c r="P371" i="1"/>
  <c r="O158" i="1"/>
  <c r="Q158" i="1" s="1"/>
  <c r="R466" i="1"/>
  <c r="R786" i="1"/>
  <c r="S786" i="1" s="1"/>
  <c r="O313" i="1"/>
  <c r="Q313" i="1" s="1"/>
  <c r="R449" i="1"/>
  <c r="O846" i="1"/>
  <c r="R846" i="1" s="1"/>
  <c r="R861" i="1"/>
  <c r="Q309" i="1"/>
  <c r="R374" i="1"/>
  <c r="P374" i="1"/>
  <c r="S374" i="1" s="1"/>
  <c r="Q653" i="1"/>
  <c r="R129" i="1"/>
  <c r="Q282" i="1"/>
  <c r="P561" i="1"/>
  <c r="S561" i="1" s="1"/>
  <c r="R25" i="1"/>
  <c r="S732" i="1"/>
  <c r="R862" i="1"/>
  <c r="Q438" i="1"/>
  <c r="Q299" i="1"/>
  <c r="P713" i="1"/>
  <c r="Q713" i="1"/>
  <c r="R713" i="1"/>
  <c r="R433" i="1"/>
  <c r="O693" i="1"/>
  <c r="Q693" i="1" s="1"/>
  <c r="P693" i="1"/>
  <c r="O598" i="1"/>
  <c r="P598" i="1" s="1"/>
  <c r="R755" i="1"/>
  <c r="O630" i="1"/>
  <c r="P630" i="1" s="1"/>
  <c r="O708" i="1"/>
  <c r="P708" i="1" s="1"/>
  <c r="S708" i="1" s="1"/>
  <c r="Q218" i="1"/>
  <c r="P874" i="1"/>
  <c r="S874" i="1" s="1"/>
  <c r="Q330" i="1"/>
  <c r="O792" i="1"/>
  <c r="R792" i="1" s="1"/>
  <c r="P792" i="1"/>
  <c r="S425" i="1"/>
  <c r="R480" i="1"/>
  <c r="O551" i="1"/>
  <c r="R551" i="1" s="1"/>
  <c r="S688" i="1"/>
  <c r="R589" i="1"/>
  <c r="Q516" i="1"/>
  <c r="S516" i="1" s="1"/>
  <c r="O168" i="1"/>
  <c r="P168" i="1" s="1"/>
  <c r="S206" i="1"/>
  <c r="S127" i="1"/>
  <c r="Q123" i="1"/>
  <c r="O283" i="1"/>
  <c r="R283" i="1" s="1"/>
  <c r="P283" i="1"/>
  <c r="O302" i="1"/>
  <c r="Q302" i="1" s="1"/>
  <c r="P302" i="1"/>
  <c r="R272" i="1"/>
  <c r="R87" i="1"/>
  <c r="O379" i="1"/>
  <c r="Q379" i="1" s="1"/>
  <c r="R134" i="1"/>
  <c r="R436" i="1"/>
  <c r="P265" i="1"/>
  <c r="S265" i="1" s="1"/>
  <c r="R233" i="1"/>
  <c r="Q633" i="1"/>
  <c r="R227" i="1"/>
  <c r="R823" i="1"/>
  <c r="Q861" i="1"/>
  <c r="Q86" i="1"/>
  <c r="P98" i="1"/>
  <c r="S98" i="1" s="1"/>
  <c r="R187" i="1"/>
  <c r="O57" i="1"/>
  <c r="Q57" i="1" s="1"/>
  <c r="P57" i="1"/>
  <c r="S135" i="1"/>
  <c r="O323" i="1"/>
  <c r="R323" i="1" s="1"/>
  <c r="P323" i="1"/>
  <c r="O123" i="1"/>
  <c r="R123" i="1" s="1"/>
  <c r="P123" i="1"/>
  <c r="Q131" i="1"/>
  <c r="S131" i="1" s="1"/>
  <c r="Q42" i="1"/>
  <c r="R42" i="1"/>
  <c r="Q180" i="1"/>
  <c r="S293" i="1"/>
  <c r="Q90" i="1"/>
  <c r="R184" i="1"/>
  <c r="R46" i="1"/>
  <c r="O216" i="1"/>
  <c r="R216" i="1" s="1"/>
  <c r="P216" i="1"/>
  <c r="R379" i="1"/>
  <c r="Q63" i="1"/>
  <c r="S63" i="1" s="1"/>
  <c r="R512" i="1"/>
  <c r="O23" i="1"/>
  <c r="P23" i="1" s="1"/>
  <c r="O466" i="1"/>
  <c r="Q466" i="1" s="1"/>
  <c r="P466" i="1"/>
  <c r="P799" i="1"/>
  <c r="Q799" i="1"/>
  <c r="R799" i="1"/>
  <c r="S136" i="1"/>
  <c r="O240" i="1"/>
  <c r="R240" i="1" s="1"/>
  <c r="P317" i="1"/>
  <c r="S317" i="1" s="1"/>
  <c r="Q454" i="1"/>
  <c r="P633" i="1"/>
  <c r="S633" i="1" s="1"/>
  <c r="O633" i="1"/>
  <c r="R633" i="1" s="1"/>
  <c r="R182" i="1"/>
  <c r="Q364" i="1"/>
  <c r="S702" i="1"/>
  <c r="R32" i="1"/>
  <c r="O252" i="1"/>
  <c r="Q252" i="1" s="1"/>
  <c r="P252" i="1"/>
  <c r="Q434" i="1"/>
  <c r="P534" i="1"/>
  <c r="Q534" i="1"/>
  <c r="R534" i="1"/>
  <c r="Q664" i="1"/>
  <c r="Q858" i="1"/>
  <c r="S858" i="1" s="1"/>
  <c r="O581" i="1"/>
  <c r="P581" i="1" s="1"/>
  <c r="Q709" i="1"/>
  <c r="S709" i="1" s="1"/>
  <c r="R844" i="1"/>
  <c r="S405" i="1"/>
  <c r="P687" i="1"/>
  <c r="Q687" i="1"/>
  <c r="R687" i="1"/>
  <c r="P142" i="1"/>
  <c r="S312" i="1"/>
  <c r="S457" i="1"/>
  <c r="Q125" i="1"/>
  <c r="S125" i="1" s="1"/>
  <c r="R426" i="1"/>
  <c r="R853" i="1"/>
  <c r="O594" i="1"/>
  <c r="R594" i="1" s="1"/>
  <c r="P594" i="1"/>
  <c r="P589" i="1"/>
  <c r="R317" i="1"/>
  <c r="O735" i="1"/>
  <c r="P735" i="1"/>
  <c r="O201" i="1"/>
  <c r="P201" i="1" s="1"/>
  <c r="O34" i="1"/>
  <c r="Q34" i="1" s="1"/>
  <c r="P34" i="1"/>
  <c r="O602" i="1"/>
  <c r="Q602" i="1" s="1"/>
  <c r="P602" i="1"/>
  <c r="R322" i="1"/>
  <c r="S852" i="1"/>
  <c r="Q185" i="1"/>
  <c r="O396" i="1"/>
  <c r="P396" i="1" s="1"/>
  <c r="O14" i="1"/>
  <c r="R14" i="1" s="1"/>
  <c r="S340" i="1"/>
  <c r="S486" i="1"/>
  <c r="R504" i="1"/>
  <c r="O745" i="1"/>
  <c r="Q745" i="1" s="1"/>
  <c r="P745" i="1"/>
  <c r="O841" i="1"/>
  <c r="Q841" i="1" s="1"/>
  <c r="P841" i="1"/>
  <c r="O603" i="1"/>
  <c r="R603" i="1" s="1"/>
  <c r="Q430" i="1"/>
  <c r="O773" i="1"/>
  <c r="P773" i="1" s="1"/>
  <c r="O97" i="1"/>
  <c r="P97" i="1"/>
  <c r="R218" i="1"/>
  <c r="O70" i="1"/>
  <c r="Q70" i="1" s="1"/>
  <c r="P70" i="1"/>
  <c r="S367" i="1"/>
  <c r="O625" i="1"/>
  <c r="R625" i="1" s="1"/>
  <c r="Q439" i="1"/>
  <c r="O480" i="1"/>
  <c r="P480" i="1"/>
  <c r="O803" i="1"/>
  <c r="P803" i="1"/>
  <c r="O519" i="1"/>
  <c r="R519" i="1" s="1"/>
  <c r="P519" i="1"/>
  <c r="O391" i="1"/>
  <c r="R391" i="1" s="1"/>
  <c r="P391" i="1"/>
  <c r="S590" i="1"/>
  <c r="Q499" i="1"/>
  <c r="S499" i="1" s="1"/>
  <c r="Q780" i="1"/>
  <c r="S780" i="1" s="1"/>
  <c r="R780" i="1"/>
  <c r="O86" i="1"/>
  <c r="P86" i="1" s="1"/>
  <c r="S86" i="1" s="1"/>
  <c r="O187" i="1"/>
  <c r="P187" i="1" s="1"/>
  <c r="Q187" i="1"/>
  <c r="Q227" i="1"/>
  <c r="S227" i="1" s="1"/>
  <c r="R358" i="1"/>
  <c r="Q358" i="1"/>
  <c r="P358" i="1"/>
  <c r="S358" i="1" s="1"/>
  <c r="R65" i="1"/>
  <c r="R320" i="1"/>
  <c r="Q320" i="1"/>
  <c r="R131" i="1"/>
  <c r="P42" i="1"/>
  <c r="S42" i="1" s="1"/>
  <c r="O180" i="1"/>
  <c r="P180" i="1" s="1"/>
  <c r="R82" i="1"/>
  <c r="P88" i="1"/>
  <c r="Q88" i="1"/>
  <c r="Q512" i="1"/>
  <c r="S512" i="1" s="1"/>
  <c r="O436" i="1"/>
  <c r="Q436" i="1" s="1"/>
  <c r="P436" i="1"/>
  <c r="O80" i="1"/>
  <c r="R80" i="1" s="1"/>
  <c r="P80" i="1"/>
  <c r="O166" i="1"/>
  <c r="R166" i="1" s="1"/>
  <c r="P166" i="1"/>
  <c r="P297" i="1"/>
  <c r="S297" i="1" s="1"/>
  <c r="S334" i="1"/>
  <c r="O454" i="1"/>
  <c r="R454" i="1" s="1"/>
  <c r="P454" i="1"/>
  <c r="Q642" i="1"/>
  <c r="O173" i="1"/>
  <c r="R173" i="1" s="1"/>
  <c r="P173" i="1"/>
  <c r="R232" i="1"/>
  <c r="S232" i="1" s="1"/>
  <c r="R364" i="1"/>
  <c r="S364" i="1" s="1"/>
  <c r="P717" i="1"/>
  <c r="R717" i="1"/>
  <c r="Q717" i="1"/>
  <c r="Q47" i="1"/>
  <c r="Q183" i="1"/>
  <c r="S183" i="1" s="1"/>
  <c r="S607" i="1"/>
  <c r="S712" i="1"/>
  <c r="Q844" i="1"/>
  <c r="R192" i="1"/>
  <c r="Q316" i="1"/>
  <c r="S692" i="1"/>
  <c r="O179" i="1"/>
  <c r="R179" i="1" s="1"/>
  <c r="P179" i="1"/>
  <c r="O463" i="1"/>
  <c r="Q463" i="1" s="1"/>
  <c r="S741" i="1"/>
  <c r="O426" i="1"/>
  <c r="P426" i="1"/>
  <c r="O853" i="1"/>
  <c r="P853" i="1" s="1"/>
  <c r="Q853" i="1"/>
  <c r="O243" i="1"/>
  <c r="R243" i="1" s="1"/>
  <c r="P243" i="1"/>
  <c r="R593" i="1"/>
  <c r="S234" i="1"/>
  <c r="Q701" i="1"/>
  <c r="S701" i="1" s="1"/>
  <c r="R107" i="1"/>
  <c r="S107" i="1" s="1"/>
  <c r="S346" i="1"/>
  <c r="R481" i="1"/>
  <c r="O322" i="1"/>
  <c r="Q322" i="1" s="1"/>
  <c r="R632" i="1"/>
  <c r="S683" i="1"/>
  <c r="O111" i="1"/>
  <c r="P111" i="1" s="1"/>
  <c r="Q511" i="1"/>
  <c r="S511" i="1" s="1"/>
  <c r="R745" i="1"/>
  <c r="R841" i="1"/>
  <c r="O445" i="1"/>
  <c r="P445" i="1" s="1"/>
  <c r="Q582" i="1"/>
  <c r="S582" i="1" s="1"/>
  <c r="R719" i="1"/>
  <c r="O366" i="1"/>
  <c r="P366" i="1" s="1"/>
  <c r="O89" i="1"/>
  <c r="Q89" i="1" s="1"/>
  <c r="P89" i="1"/>
  <c r="O442" i="1"/>
  <c r="R442" i="1" s="1"/>
  <c r="Q97" i="1"/>
  <c r="R257" i="1"/>
  <c r="R363" i="1"/>
  <c r="Q447" i="1"/>
  <c r="S447" i="1" s="1"/>
  <c r="R447" i="1"/>
  <c r="R530" i="1"/>
  <c r="O439" i="1"/>
  <c r="P439" i="1"/>
  <c r="Q508" i="1"/>
  <c r="O777" i="1"/>
  <c r="P777" i="1"/>
  <c r="O640" i="1"/>
  <c r="P640" i="1" s="1"/>
  <c r="O470" i="1"/>
  <c r="Q470" i="1" s="1"/>
  <c r="P470" i="1"/>
  <c r="O691" i="1"/>
  <c r="R691" i="1" s="1"/>
  <c r="P691" i="1"/>
  <c r="Q66" i="1"/>
  <c r="R803" i="1"/>
  <c r="O645" i="1"/>
  <c r="R645" i="1" s="1"/>
  <c r="O333" i="1"/>
  <c r="R333" i="1" s="1"/>
  <c r="P333" i="1"/>
  <c r="R798" i="1"/>
  <c r="Q502" i="1"/>
  <c r="Q281" i="1"/>
  <c r="O249" i="1"/>
  <c r="R249" i="1" s="1"/>
  <c r="P249" i="1"/>
  <c r="O144" i="1"/>
  <c r="R144" i="1" s="1"/>
  <c r="P144" i="1"/>
  <c r="R77" i="1"/>
  <c r="S77" i="1" s="1"/>
  <c r="P320" i="1"/>
  <c r="S320" i="1" s="1"/>
  <c r="Q155" i="1"/>
  <c r="O90" i="1"/>
  <c r="R90" i="1" s="1"/>
  <c r="P90" i="1"/>
  <c r="O92" i="1"/>
  <c r="Q92" i="1" s="1"/>
  <c r="Q102" i="1"/>
  <c r="P262" i="1"/>
  <c r="Q262" i="1"/>
  <c r="Q495" i="1"/>
  <c r="Q80" i="1"/>
  <c r="O834" i="1"/>
  <c r="R834" i="1" s="1"/>
  <c r="P834" i="1"/>
  <c r="O642" i="1"/>
  <c r="R642" i="1" s="1"/>
  <c r="S386" i="1"/>
  <c r="O47" i="1"/>
  <c r="R47" i="1" s="1"/>
  <c r="P47" i="1"/>
  <c r="S260" i="1"/>
  <c r="O440" i="1"/>
  <c r="R440" i="1" s="1"/>
  <c r="P440" i="1"/>
  <c r="O539" i="1"/>
  <c r="R539" i="1" s="1"/>
  <c r="P539" i="1"/>
  <c r="S676" i="1"/>
  <c r="S873" i="1"/>
  <c r="R183" i="1"/>
  <c r="O844" i="1"/>
  <c r="P844" i="1"/>
  <c r="O192" i="1"/>
  <c r="P192" i="1" s="1"/>
  <c r="S192" i="1" s="1"/>
  <c r="O316" i="1"/>
  <c r="R316" i="1" s="1"/>
  <c r="P316" i="1"/>
  <c r="Q452" i="1"/>
  <c r="Q520" i="1"/>
  <c r="S520" i="1" s="1"/>
  <c r="O178" i="1"/>
  <c r="Q178" i="1" s="1"/>
  <c r="P178" i="1"/>
  <c r="Q426" i="1"/>
  <c r="O528" i="1"/>
  <c r="P528" i="1" s="1"/>
  <c r="P649" i="1"/>
  <c r="O160" i="1"/>
  <c r="P160" i="1" s="1"/>
  <c r="S160" i="1" s="1"/>
  <c r="P321" i="1"/>
  <c r="S321" i="1" s="1"/>
  <c r="O593" i="1"/>
  <c r="P593" i="1"/>
  <c r="Q575" i="1"/>
  <c r="Q116" i="1"/>
  <c r="S116" i="1" s="1"/>
  <c r="Q481" i="1"/>
  <c r="S619" i="1"/>
  <c r="S810" i="1"/>
  <c r="R142" i="1"/>
  <c r="O472" i="1"/>
  <c r="R472" i="1" s="1"/>
  <c r="P472" i="1"/>
  <c r="R414" i="1"/>
  <c r="Q816" i="1"/>
  <c r="S690" i="1"/>
  <c r="Q350" i="1"/>
  <c r="O318" i="1"/>
  <c r="P318" i="1" s="1"/>
  <c r="R511" i="1"/>
  <c r="O870" i="1"/>
  <c r="P870" i="1" s="1"/>
  <c r="R617" i="1"/>
  <c r="O764" i="1"/>
  <c r="R764" i="1" s="1"/>
  <c r="O648" i="1"/>
  <c r="P648" i="1" s="1"/>
  <c r="R97" i="1"/>
  <c r="O257" i="1"/>
  <c r="Q257" i="1" s="1"/>
  <c r="Q363" i="1"/>
  <c r="Q294" i="1"/>
  <c r="R294" i="1"/>
  <c r="S294" i="1" s="1"/>
  <c r="S497" i="1"/>
  <c r="R459" i="1"/>
  <c r="O721" i="1"/>
  <c r="Q721" i="1" s="1"/>
  <c r="P721" i="1"/>
  <c r="R439" i="1"/>
  <c r="O866" i="1"/>
  <c r="Q866" i="1" s="1"/>
  <c r="P866" i="1"/>
  <c r="Q777" i="1"/>
  <c r="O774" i="1"/>
  <c r="Q774" i="1" s="1"/>
  <c r="P774" i="1"/>
  <c r="O66" i="1"/>
  <c r="R66" i="1" s="1"/>
  <c r="P66" i="1"/>
  <c r="R453" i="1"/>
  <c r="Q649" i="1"/>
  <c r="S611" i="1"/>
  <c r="Q333" i="1"/>
  <c r="Q798" i="1"/>
  <c r="O798" i="1"/>
  <c r="P798" i="1" s="1"/>
  <c r="O502" i="1"/>
  <c r="R502" i="1" s="1"/>
  <c r="P502" i="1"/>
  <c r="O837" i="1"/>
  <c r="P837" i="1"/>
  <c r="O525" i="1"/>
  <c r="Q525" i="1" s="1"/>
  <c r="P281" i="1"/>
  <c r="S281" i="1" s="1"/>
  <c r="Q249" i="1"/>
  <c r="O73" i="1"/>
  <c r="Q73" i="1" s="1"/>
  <c r="P73" i="1"/>
  <c r="O30" i="1"/>
  <c r="R30" i="1" s="1"/>
  <c r="S154" i="1"/>
  <c r="O155" i="1"/>
  <c r="R155" i="1" s="1"/>
  <c r="P155" i="1"/>
  <c r="R342" i="1"/>
  <c r="O113" i="1"/>
  <c r="Q113" i="1" s="1"/>
  <c r="R251" i="1"/>
  <c r="R102" i="1"/>
  <c r="O319" i="1"/>
  <c r="R319" i="1" s="1"/>
  <c r="Q46" i="1"/>
  <c r="P172" i="1"/>
  <c r="S172" i="1" s="1"/>
  <c r="O58" i="1"/>
  <c r="P58" i="1" s="1"/>
  <c r="O495" i="1"/>
  <c r="P495" i="1" s="1"/>
  <c r="S495" i="1" s="1"/>
  <c r="O324" i="1"/>
  <c r="P324" i="1" s="1"/>
  <c r="Q848" i="1"/>
  <c r="S848" i="1" s="1"/>
  <c r="S162" i="1"/>
  <c r="O387" i="1"/>
  <c r="P387" i="1" s="1"/>
  <c r="Q387" i="1"/>
  <c r="Q474" i="1"/>
  <c r="Q644" i="1"/>
  <c r="O50" i="1"/>
  <c r="R50" i="1" s="1"/>
  <c r="Q173" i="1"/>
  <c r="O286" i="1"/>
  <c r="Q286" i="1" s="1"/>
  <c r="P286" i="1"/>
  <c r="R386" i="1"/>
  <c r="O738" i="1"/>
  <c r="R738" i="1" s="1"/>
  <c r="O613" i="1"/>
  <c r="P613" i="1" s="1"/>
  <c r="Q613" i="1"/>
  <c r="S868" i="1"/>
  <c r="Q192" i="1"/>
  <c r="R452" i="1"/>
  <c r="S542" i="1"/>
  <c r="S707" i="1"/>
  <c r="Q52" i="1"/>
  <c r="S490" i="1"/>
  <c r="P751" i="1"/>
  <c r="R751" i="1"/>
  <c r="R443" i="1"/>
  <c r="O531" i="1"/>
  <c r="R531" i="1" s="1"/>
  <c r="S756" i="1"/>
  <c r="Q610" i="1"/>
  <c r="O753" i="1"/>
  <c r="Q753" i="1" s="1"/>
  <c r="R160" i="1"/>
  <c r="Q593" i="1"/>
  <c r="S807" i="1"/>
  <c r="O575" i="1"/>
  <c r="P575" i="1"/>
  <c r="R116" i="1"/>
  <c r="R507" i="1"/>
  <c r="Q161" i="1"/>
  <c r="S161" i="1" s="1"/>
  <c r="O481" i="1"/>
  <c r="P481" i="1" s="1"/>
  <c r="O750" i="1"/>
  <c r="Q750" i="1" s="1"/>
  <c r="P750" i="1"/>
  <c r="Q290" i="1"/>
  <c r="S290" i="1" s="1"/>
  <c r="P696" i="1"/>
  <c r="R696" i="1"/>
  <c r="Q819" i="1"/>
  <c r="S819" i="1" s="1"/>
  <c r="O307" i="1"/>
  <c r="R307" i="1" s="1"/>
  <c r="O350" i="1"/>
  <c r="P350" i="1"/>
  <c r="Q772" i="1"/>
  <c r="O354" i="1"/>
  <c r="R354" i="1" s="1"/>
  <c r="P354" i="1"/>
  <c r="R595" i="1"/>
  <c r="Q751" i="1"/>
  <c r="Q617" i="1"/>
  <c r="R152" i="1"/>
  <c r="Q442" i="1"/>
  <c r="O788" i="1"/>
  <c r="Q788" i="1" s="1"/>
  <c r="P788" i="1"/>
  <c r="O577" i="1"/>
  <c r="R577" i="1" s="1"/>
  <c r="P577" i="1"/>
  <c r="O363" i="1"/>
  <c r="P363" i="1"/>
  <c r="R479" i="1"/>
  <c r="O459" i="1"/>
  <c r="P459" i="1"/>
  <c r="O530" i="1"/>
  <c r="Q530" i="1" s="1"/>
  <c r="R402" i="1"/>
  <c r="Q793" i="1"/>
  <c r="S554" i="1"/>
  <c r="R777" i="1"/>
  <c r="O665" i="1"/>
  <c r="P665" i="1" s="1"/>
  <c r="R494" i="1"/>
  <c r="O453" i="1"/>
  <c r="Q453" i="1" s="1"/>
  <c r="Q611" i="1"/>
  <c r="R611" i="1"/>
  <c r="O815" i="1"/>
  <c r="P815" i="1" s="1"/>
  <c r="R837" i="1"/>
  <c r="S636" i="1"/>
  <c r="O117" i="1"/>
  <c r="R117" i="1" s="1"/>
  <c r="P117" i="1"/>
  <c r="O347" i="1"/>
  <c r="R347" i="1" s="1"/>
  <c r="R73" i="1"/>
  <c r="O171" i="1"/>
  <c r="Q171" i="1" s="1"/>
  <c r="S33" i="1"/>
  <c r="O48" i="1"/>
  <c r="Q48" i="1" s="1"/>
  <c r="P48" i="1"/>
  <c r="O99" i="1"/>
  <c r="R99" i="1" s="1"/>
  <c r="O55" i="1"/>
  <c r="Q55" i="1" s="1"/>
  <c r="P55" i="1"/>
  <c r="O210" i="1"/>
  <c r="P210" i="1" s="1"/>
  <c r="P389" i="1"/>
  <c r="R389" i="1"/>
  <c r="O128" i="1"/>
  <c r="P128" i="1" s="1"/>
  <c r="O224" i="1"/>
  <c r="Q224" i="1" s="1"/>
  <c r="R113" i="1"/>
  <c r="P102" i="1"/>
  <c r="S102" i="1" s="1"/>
  <c r="O102" i="1"/>
  <c r="O342" i="1"/>
  <c r="P342" i="1" s="1"/>
  <c r="O46" i="1"/>
  <c r="P46" i="1" s="1"/>
  <c r="S46" i="1" s="1"/>
  <c r="O176" i="1"/>
  <c r="P176" i="1" s="1"/>
  <c r="Q94" i="1"/>
  <c r="Q279" i="1"/>
  <c r="R495" i="1"/>
  <c r="S91" i="1"/>
  <c r="O181" i="1"/>
  <c r="P181" i="1" s="1"/>
  <c r="Q514" i="1"/>
  <c r="Q27" i="1"/>
  <c r="P27" i="1"/>
  <c r="S27" i="1" s="1"/>
  <c r="O248" i="1"/>
  <c r="Q248" i="1" s="1"/>
  <c r="R395" i="1"/>
  <c r="O474" i="1"/>
  <c r="R474" i="1" s="1"/>
  <c r="P474" i="1"/>
  <c r="R660" i="1"/>
  <c r="R286" i="1"/>
  <c r="Q738" i="1"/>
  <c r="Q544" i="1"/>
  <c r="P20" i="1"/>
  <c r="S20" i="1" s="1"/>
  <c r="Q228" i="1"/>
  <c r="S228" i="1" s="1"/>
  <c r="R431" i="1"/>
  <c r="S618" i="1"/>
  <c r="Q733" i="1"/>
  <c r="O338" i="1"/>
  <c r="R338" i="1" s="1"/>
  <c r="P338" i="1"/>
  <c r="Q471" i="1"/>
  <c r="Q712" i="1"/>
  <c r="O610" i="1"/>
  <c r="P610" i="1"/>
  <c r="Q160" i="1"/>
  <c r="R372" i="1"/>
  <c r="Q612" i="1"/>
  <c r="O327" i="1"/>
  <c r="R327" i="1" s="1"/>
  <c r="P327" i="1"/>
  <c r="R575" i="1"/>
  <c r="Q754" i="1"/>
  <c r="S754" i="1" s="1"/>
  <c r="O507" i="1"/>
  <c r="P507" i="1"/>
  <c r="R852" i="1"/>
  <c r="R161" i="1"/>
  <c r="R357" i="1"/>
  <c r="S357" i="1" s="1"/>
  <c r="S657" i="1"/>
  <c r="Q760" i="1"/>
  <c r="S760" i="1" s="1"/>
  <c r="S420" i="1"/>
  <c r="R710" i="1"/>
  <c r="O492" i="1"/>
  <c r="R492" i="1" s="1"/>
  <c r="O758" i="1"/>
  <c r="P758" i="1" s="1"/>
  <c r="R350" i="1"/>
  <c r="O553" i="1"/>
  <c r="Q553" i="1" s="1"/>
  <c r="P362" i="1"/>
  <c r="S362" i="1" s="1"/>
  <c r="R546" i="1"/>
  <c r="O772" i="1"/>
  <c r="P772" i="1"/>
  <c r="O595" i="1"/>
  <c r="P595" i="1" s="1"/>
  <c r="S595" i="1" s="1"/>
  <c r="R782" i="1"/>
  <c r="O617" i="1"/>
  <c r="P617" i="1"/>
  <c r="S779" i="1"/>
  <c r="Q152" i="1"/>
  <c r="S152" i="1" s="1"/>
  <c r="S658" i="1"/>
  <c r="S791" i="1"/>
  <c r="R808" i="1"/>
  <c r="S808" i="1" s="1"/>
  <c r="Q101" i="1"/>
  <c r="O101" i="1"/>
  <c r="P101" i="1" s="1"/>
  <c r="O280" i="1"/>
  <c r="R280" i="1" s="1"/>
  <c r="P280" i="1"/>
  <c r="S375" i="1"/>
  <c r="S529" i="1"/>
  <c r="Q459" i="1"/>
  <c r="Q805" i="1"/>
  <c r="Q402" i="1"/>
  <c r="O793" i="1"/>
  <c r="P793" i="1" s="1"/>
  <c r="O557" i="1"/>
  <c r="R557" i="1" s="1"/>
  <c r="P557" i="1"/>
  <c r="O869" i="1"/>
  <c r="P869" i="1" s="1"/>
  <c r="O494" i="1"/>
  <c r="Q494" i="1" s="1"/>
  <c r="P494" i="1"/>
  <c r="Q731" i="1"/>
  <c r="S731" i="1" s="1"/>
  <c r="R486" i="1"/>
  <c r="Q860" i="1"/>
  <c r="P419" i="1"/>
  <c r="Q419" i="1"/>
  <c r="O637" i="1"/>
  <c r="R637" i="1" s="1"/>
  <c r="P637" i="1"/>
  <c r="O473" i="1"/>
  <c r="P473" i="1" s="1"/>
  <c r="Q837" i="1"/>
  <c r="O627" i="1"/>
  <c r="P627" i="1" s="1"/>
  <c r="Q117" i="1"/>
  <c r="O26" i="1"/>
  <c r="Q26" i="1" s="1"/>
  <c r="Q365" i="1"/>
  <c r="O36" i="1"/>
  <c r="P36" i="1" s="1"/>
  <c r="S36" i="1" s="1"/>
  <c r="R48" i="1"/>
  <c r="R55" i="1"/>
  <c r="P418" i="1"/>
  <c r="S418" i="1" s="1"/>
  <c r="O285" i="1"/>
  <c r="Q285" i="1" s="1"/>
  <c r="P478" i="1"/>
  <c r="Q478" i="1"/>
  <c r="R478" i="1"/>
  <c r="Q112" i="1"/>
  <c r="S112" i="1" s="1"/>
  <c r="R345" i="1"/>
  <c r="P94" i="1"/>
  <c r="S94" i="1" s="1"/>
  <c r="O94" i="1"/>
  <c r="R94" i="1" s="1"/>
  <c r="O279" i="1"/>
  <c r="R279" i="1" s="1"/>
  <c r="P279" i="1"/>
  <c r="R381" i="1"/>
  <c r="O514" i="1"/>
  <c r="P514" i="1" s="1"/>
  <c r="Q169" i="1"/>
  <c r="S169" i="1" s="1"/>
  <c r="Q395" i="1"/>
  <c r="S395" i="1" s="1"/>
  <c r="S483" i="1"/>
  <c r="P669" i="1"/>
  <c r="Q669" i="1"/>
  <c r="R669" i="1"/>
  <c r="Q197" i="1"/>
  <c r="R308" i="1"/>
  <c r="Q465" i="1"/>
  <c r="S465" i="1" s="1"/>
  <c r="P775" i="1"/>
  <c r="O443" i="1"/>
  <c r="P443" i="1" s="1"/>
  <c r="O700" i="1"/>
  <c r="Q700" i="1" s="1"/>
  <c r="P700" i="1"/>
  <c r="R228" i="1"/>
  <c r="Q431" i="1"/>
  <c r="Q628" i="1"/>
  <c r="O733" i="1"/>
  <c r="R733" i="1" s="1"/>
  <c r="P733" i="1"/>
  <c r="Q361" i="1"/>
  <c r="O471" i="1"/>
  <c r="P471" i="1" s="1"/>
  <c r="O736" i="1"/>
  <c r="Q736" i="1" s="1"/>
  <c r="R200" i="1"/>
  <c r="Q768" i="1"/>
  <c r="O236" i="1"/>
  <c r="R236" i="1" s="1"/>
  <c r="P236" i="1"/>
  <c r="Q448" i="1"/>
  <c r="S448" i="1" s="1"/>
  <c r="R610" i="1"/>
  <c r="O662" i="1"/>
  <c r="Q662" i="1" s="1"/>
  <c r="P662" i="1"/>
  <c r="O352" i="1"/>
  <c r="Q352" i="1" s="1"/>
  <c r="P352" i="1"/>
  <c r="Q765" i="1"/>
  <c r="S765" i="1" s="1"/>
  <c r="R188" i="1"/>
  <c r="S188" i="1" s="1"/>
  <c r="Q372" i="1"/>
  <c r="O612" i="1"/>
  <c r="P612" i="1"/>
  <c r="R757" i="1"/>
  <c r="R165" i="1"/>
  <c r="Q507" i="1"/>
  <c r="S647" i="1"/>
  <c r="Q852" i="1"/>
  <c r="S674" i="1"/>
  <c r="R760" i="1"/>
  <c r="Q318" i="1"/>
  <c r="Q461" i="1"/>
  <c r="Q710" i="1"/>
  <c r="S710" i="1" s="1"/>
  <c r="R829" i="1"/>
  <c r="O370" i="1"/>
  <c r="P370" i="1"/>
  <c r="Q559" i="1"/>
  <c r="R772" i="1"/>
  <c r="Q354" i="1"/>
  <c r="Q595" i="1"/>
  <c r="Q186" i="1"/>
  <c r="S186" i="1" s="1"/>
  <c r="R681" i="1"/>
  <c r="S681" i="1" s="1"/>
  <c r="P614" i="1"/>
  <c r="S614" i="1" s="1"/>
  <c r="Q280" i="1"/>
  <c r="R643" i="1"/>
  <c r="S513" i="1"/>
  <c r="P734" i="1"/>
  <c r="Q734" i="1"/>
  <c r="R734" i="1"/>
  <c r="R205" i="1"/>
  <c r="O789" i="1"/>
  <c r="P789" i="1"/>
  <c r="O726" i="1"/>
  <c r="P726" i="1" s="1"/>
  <c r="S505" i="1"/>
  <c r="R860" i="1"/>
  <c r="S860" i="1" s="1"/>
  <c r="O744" i="1"/>
  <c r="R744" i="1" s="1"/>
  <c r="P744" i="1"/>
  <c r="R419" i="1"/>
  <c r="O711" i="1"/>
  <c r="P711" i="1" s="1"/>
  <c r="M10" i="1"/>
  <c r="S831" i="1" l="1"/>
  <c r="S528" i="1"/>
  <c r="S514" i="1"/>
  <c r="S630" i="1"/>
  <c r="S472" i="1"/>
  <c r="S834" i="1"/>
  <c r="S476" i="1"/>
  <c r="S836" i="1"/>
  <c r="S423" i="1"/>
  <c r="S494" i="1"/>
  <c r="P553" i="1"/>
  <c r="P171" i="1"/>
  <c r="P307" i="1"/>
  <c r="S307" i="1" s="1"/>
  <c r="P645" i="1"/>
  <c r="S645" i="1" s="1"/>
  <c r="P603" i="1"/>
  <c r="S603" i="1" s="1"/>
  <c r="S558" i="1"/>
  <c r="P126" i="1"/>
  <c r="S126" i="1" s="1"/>
  <c r="Q630" i="1"/>
  <c r="S388" i="1"/>
  <c r="S230" i="1"/>
  <c r="S814" i="1"/>
  <c r="R138" i="1"/>
  <c r="P124" i="1"/>
  <c r="S124" i="1" s="1"/>
  <c r="S80" i="1"/>
  <c r="P625" i="1"/>
  <c r="Q598" i="1"/>
  <c r="P684" i="1"/>
  <c r="S684" i="1" s="1"/>
  <c r="S392" i="1"/>
  <c r="S489" i="1"/>
  <c r="Q239" i="1"/>
  <c r="S239" i="1" s="1"/>
  <c r="Q781" i="1"/>
  <c r="S781" i="1" s="1"/>
  <c r="S235" i="1"/>
  <c r="P521" i="1"/>
  <c r="S521" i="1" s="1"/>
  <c r="Q581" i="1"/>
  <c r="S581" i="1" s="1"/>
  <c r="S38" i="1"/>
  <c r="R137" i="1"/>
  <c r="R261" i="1"/>
  <c r="P224" i="1"/>
  <c r="S144" i="1"/>
  <c r="S717" i="1"/>
  <c r="R528" i="1"/>
  <c r="Q686" i="1"/>
  <c r="S19" i="1"/>
  <c r="S15" i="1"/>
  <c r="R758" i="1"/>
  <c r="S515" i="1"/>
  <c r="Q460" i="1"/>
  <c r="S460" i="1" s="1"/>
  <c r="S336" i="1"/>
  <c r="S67" i="1"/>
  <c r="P246" i="1"/>
  <c r="S246" i="1" s="1"/>
  <c r="P305" i="1"/>
  <c r="R476" i="1"/>
  <c r="S696" i="1"/>
  <c r="Q338" i="1"/>
  <c r="S338" i="1" s="1"/>
  <c r="S73" i="1"/>
  <c r="S440" i="1"/>
  <c r="S691" i="1"/>
  <c r="Q445" i="1"/>
  <c r="S445" i="1" s="1"/>
  <c r="R721" i="1"/>
  <c r="S721" i="1" s="1"/>
  <c r="P379" i="1"/>
  <c r="S379" i="1" s="1"/>
  <c r="R191" i="1"/>
  <c r="R170" i="1"/>
  <c r="S129" i="1"/>
  <c r="R814" i="1"/>
  <c r="Q856" i="1"/>
  <c r="S413" i="1"/>
  <c r="Q308" i="1"/>
  <c r="Q254" i="1"/>
  <c r="S254" i="1" s="1"/>
  <c r="S669" i="1"/>
  <c r="R662" i="1"/>
  <c r="S662" i="1" s="1"/>
  <c r="P319" i="1"/>
  <c r="S319" i="1" s="1"/>
  <c r="S66" i="1"/>
  <c r="Q179" i="1"/>
  <c r="S179" i="1" s="1"/>
  <c r="S262" i="1"/>
  <c r="Q30" i="1"/>
  <c r="R684" i="1"/>
  <c r="S864" i="1"/>
  <c r="Q605" i="1"/>
  <c r="S605" i="1" s="1"/>
  <c r="P241" i="1"/>
  <c r="S241" i="1" s="1"/>
  <c r="S675" i="1"/>
  <c r="S433" i="1"/>
  <c r="S110" i="1"/>
  <c r="S222" i="1"/>
  <c r="S617" i="1"/>
  <c r="S181" i="1"/>
  <c r="S387" i="1"/>
  <c r="Q58" i="1"/>
  <c r="S58" i="1" s="1"/>
  <c r="S470" i="1"/>
  <c r="Q133" i="1"/>
  <c r="R58" i="1"/>
  <c r="P158" i="1"/>
  <c r="S203" i="1"/>
  <c r="P219" i="1"/>
  <c r="S219" i="1" s="1"/>
  <c r="Q119" i="1"/>
  <c r="S119" i="1" s="1"/>
  <c r="Q806" i="1"/>
  <c r="S644" i="1"/>
  <c r="R736" i="1"/>
  <c r="R464" i="1"/>
  <c r="S278" i="1"/>
  <c r="S196" i="1"/>
  <c r="P335" i="1"/>
  <c r="S335" i="1" s="1"/>
  <c r="Q69" i="1"/>
  <c r="S69" i="1" s="1"/>
  <c r="P285" i="1"/>
  <c r="S285" i="1" s="1"/>
  <c r="R753" i="1"/>
  <c r="Q347" i="1"/>
  <c r="S47" i="1"/>
  <c r="S249" i="1"/>
  <c r="S534" i="1"/>
  <c r="S792" i="1"/>
  <c r="R225" i="1"/>
  <c r="Q189" i="1"/>
  <c r="P337" i="1"/>
  <c r="R473" i="1"/>
  <c r="S473" i="1" s="1"/>
  <c r="Q71" i="1"/>
  <c r="S71" i="1" s="1"/>
  <c r="S365" i="1"/>
  <c r="S838" i="1"/>
  <c r="R34" i="1"/>
  <c r="S34" i="1" s="1"/>
  <c r="S462" i="1"/>
  <c r="P266" i="1"/>
  <c r="S266" i="1" s="1"/>
  <c r="Q723" i="1"/>
  <c r="S723" i="1" s="1"/>
  <c r="P345" i="1"/>
  <c r="S345" i="1" s="1"/>
  <c r="R15" i="1"/>
  <c r="S115" i="1"/>
  <c r="R770" i="1"/>
  <c r="S770" i="1" s="1"/>
  <c r="R248" i="1"/>
  <c r="S613" i="1"/>
  <c r="S316" i="1"/>
  <c r="S640" i="1"/>
  <c r="S111" i="1"/>
  <c r="Q144" i="1"/>
  <c r="Q491" i="1"/>
  <c r="S799" i="1"/>
  <c r="Q594" i="1"/>
  <c r="S713" i="1"/>
  <c r="S371" i="1"/>
  <c r="Q355" i="1"/>
  <c r="P827" i="1"/>
  <c r="S827" i="1" s="1"/>
  <c r="Q128" i="1"/>
  <c r="Q222" i="1"/>
  <c r="R181" i="1"/>
  <c r="P195" i="1"/>
  <c r="S195" i="1" s="1"/>
  <c r="P653" i="1"/>
  <c r="S653" i="1" s="1"/>
  <c r="Q323" i="1"/>
  <c r="S323" i="1" s="1"/>
  <c r="S39" i="1"/>
  <c r="P18" i="1"/>
  <c r="S651" i="1"/>
  <c r="S398" i="1"/>
  <c r="Q620" i="1"/>
  <c r="S700" i="1"/>
  <c r="S55" i="1"/>
  <c r="S459" i="1"/>
  <c r="P531" i="1"/>
  <c r="P113" i="1"/>
  <c r="S113" i="1" s="1"/>
  <c r="S777" i="1"/>
  <c r="R57" i="1"/>
  <c r="S57" i="1" s="1"/>
  <c r="S97" i="1"/>
  <c r="S201" i="1"/>
  <c r="S252" i="1"/>
  <c r="S283" i="1"/>
  <c r="Q699" i="1"/>
  <c r="S699" i="1" s="1"/>
  <c r="R219" i="1"/>
  <c r="R128" i="1"/>
  <c r="S568" i="1"/>
  <c r="Q547" i="1"/>
  <c r="S378" i="1"/>
  <c r="Q836" i="1"/>
  <c r="S714" i="1"/>
  <c r="R489" i="1"/>
  <c r="S549" i="1"/>
  <c r="R514" i="1"/>
  <c r="P525" i="1"/>
  <c r="Q577" i="1"/>
  <c r="S577" i="1" s="1"/>
  <c r="P92" i="1"/>
  <c r="S92" i="1" s="1"/>
  <c r="P442" i="1"/>
  <c r="S442" i="1" s="1"/>
  <c r="S88" i="1"/>
  <c r="S735" i="1"/>
  <c r="R268" i="1"/>
  <c r="P441" i="1"/>
  <c r="S441" i="1" s="1"/>
  <c r="S208" i="1"/>
  <c r="P535" i="1"/>
  <c r="S535" i="1" s="1"/>
  <c r="S859" i="1"/>
  <c r="R869" i="1"/>
  <c r="S869" i="1" s="1"/>
  <c r="Q637" i="1"/>
  <c r="S637" i="1" s="1"/>
  <c r="Q165" i="1"/>
  <c r="S165" i="1" s="1"/>
  <c r="Q625" i="1"/>
  <c r="S606" i="1"/>
  <c r="S434" i="1"/>
  <c r="P78" i="1"/>
  <c r="S78" i="1" s="1"/>
  <c r="R143" i="1"/>
  <c r="S143" i="1" s="1"/>
  <c r="R870" i="1"/>
  <c r="R646" i="1"/>
  <c r="S646" i="1" s="1"/>
  <c r="R564" i="1"/>
  <c r="R788" i="1"/>
  <c r="Q50" i="1"/>
  <c r="S853" i="1"/>
  <c r="Q691" i="1"/>
  <c r="R70" i="1"/>
  <c r="S70" i="1" s="1"/>
  <c r="S87" i="1"/>
  <c r="S25" i="1"/>
  <c r="R831" i="1"/>
  <c r="Q510" i="1"/>
  <c r="S510" i="1" s="1"/>
  <c r="R668" i="1"/>
  <c r="S668" i="1" s="1"/>
  <c r="S524" i="1"/>
  <c r="S678" i="1"/>
  <c r="P299" i="1"/>
  <c r="S299" i="1" s="1"/>
  <c r="Q444" i="1"/>
  <c r="S444" i="1" s="1"/>
  <c r="Q393" i="1"/>
  <c r="S706" i="1"/>
  <c r="Q141" i="1"/>
  <c r="Q523" i="1"/>
  <c r="S631" i="1"/>
  <c r="P493" i="1"/>
  <c r="S493" i="1" s="1"/>
  <c r="S501" i="1"/>
  <c r="R471" i="1"/>
  <c r="S471" i="1" s="1"/>
  <c r="Q305" i="1"/>
  <c r="S612" i="1"/>
  <c r="S443" i="1"/>
  <c r="R254" i="1"/>
  <c r="S575" i="1"/>
  <c r="S648" i="1"/>
  <c r="S844" i="1"/>
  <c r="Q472" i="1"/>
  <c r="R302" i="1"/>
  <c r="Q231" i="1"/>
  <c r="S326" i="1"/>
  <c r="S673" i="1"/>
  <c r="Q196" i="1"/>
  <c r="S29" i="1"/>
  <c r="S752" i="1"/>
  <c r="S438" i="1"/>
  <c r="S360" i="1"/>
  <c r="S845" i="1"/>
  <c r="Q229" i="1"/>
  <c r="R158" i="1"/>
  <c r="S202" i="1"/>
  <c r="S270" i="1"/>
  <c r="S220" i="1"/>
  <c r="R64" i="1"/>
  <c r="S253" i="1"/>
  <c r="S370" i="1"/>
  <c r="S279" i="1"/>
  <c r="S48" i="1"/>
  <c r="S350" i="1"/>
  <c r="S751" i="1"/>
  <c r="S333" i="1"/>
  <c r="Q240" i="1"/>
  <c r="R133" i="1"/>
  <c r="S133" i="1" s="1"/>
  <c r="S435" i="1"/>
  <c r="S694" i="1"/>
  <c r="Q406" i="1"/>
  <c r="S406" i="1" s="1"/>
  <c r="S698" i="1"/>
  <c r="S643" i="1"/>
  <c r="S197" i="1"/>
  <c r="Q360" i="1"/>
  <c r="S769" i="1"/>
  <c r="Q850" i="1"/>
  <c r="Q175" i="1"/>
  <c r="P21" i="1"/>
  <c r="S21" i="1" s="1"/>
  <c r="Q68" i="1"/>
  <c r="S68" i="1" s="1"/>
  <c r="S368" i="1"/>
  <c r="S840" i="1"/>
  <c r="S536" i="1"/>
  <c r="Q138" i="1"/>
  <c r="S138" i="1" s="1"/>
  <c r="P559" i="1"/>
  <c r="S559" i="1" s="1"/>
  <c r="R566" i="1"/>
  <c r="S566" i="1" s="1"/>
  <c r="Q137" i="1"/>
  <c r="S137" i="1" s="1"/>
  <c r="S342" i="1"/>
  <c r="R793" i="1"/>
  <c r="S793" i="1" s="1"/>
  <c r="R613" i="1"/>
  <c r="Q603" i="1"/>
  <c r="S123" i="1"/>
  <c r="S168" i="1"/>
  <c r="P282" i="1"/>
  <c r="S282" i="1" s="1"/>
  <c r="R239" i="1"/>
  <c r="P62" i="1"/>
  <c r="S62" i="1" s="1"/>
  <c r="S608" i="1"/>
  <c r="S805" i="1"/>
  <c r="R377" i="1"/>
  <c r="S377" i="1" s="1"/>
  <c r="Q671" i="1"/>
  <c r="S671" i="1" s="1"/>
  <c r="R726" i="1"/>
  <c r="S726" i="1" s="1"/>
  <c r="Q548" i="1"/>
  <c r="Q284" i="1"/>
  <c r="P118" i="1"/>
  <c r="S118" i="1" s="1"/>
  <c r="R360" i="1"/>
  <c r="Q831" i="1"/>
  <c r="Q396" i="1"/>
  <c r="S396" i="1" s="1"/>
  <c r="Q537" i="1"/>
  <c r="R176" i="1"/>
  <c r="S176" i="1" s="1"/>
  <c r="S114" i="1"/>
  <c r="S842" i="1"/>
  <c r="S540" i="1"/>
  <c r="R482" i="1"/>
  <c r="R393" i="1"/>
  <c r="S393" i="1" s="1"/>
  <c r="R337" i="1"/>
  <c r="Q640" i="1"/>
  <c r="R581" i="1"/>
  <c r="S82" i="1"/>
  <c r="R477" i="1"/>
  <c r="S615" i="1"/>
  <c r="R586" i="1"/>
  <c r="R700" i="1"/>
  <c r="Q291" i="1"/>
  <c r="S166" i="1"/>
  <c r="S594" i="1"/>
  <c r="S170" i="1"/>
  <c r="S52" i="1"/>
  <c r="S96" i="1"/>
  <c r="S295" i="1"/>
  <c r="P26" i="1"/>
  <c r="R26" i="1"/>
  <c r="S308" i="1"/>
  <c r="R781" i="1"/>
  <c r="S811" i="1"/>
  <c r="P686" i="1"/>
  <c r="R423" i="1"/>
  <c r="S105" i="1"/>
  <c r="P248" i="1"/>
  <c r="S788" i="1"/>
  <c r="P50" i="1"/>
  <c r="S50" i="1" s="1"/>
  <c r="P30" i="1"/>
  <c r="S30" i="1" s="1"/>
  <c r="R366" i="1"/>
  <c r="P463" i="1"/>
  <c r="S463" i="1" s="1"/>
  <c r="Q366" i="1"/>
  <c r="S366" i="1" s="1"/>
  <c r="S216" i="1"/>
  <c r="S598" i="1"/>
  <c r="P313" i="1"/>
  <c r="Q645" i="1"/>
  <c r="S451" i="1"/>
  <c r="S231" i="1"/>
  <c r="S491" i="1"/>
  <c r="P225" i="1"/>
  <c r="S225" i="1" s="1"/>
  <c r="S399" i="1"/>
  <c r="S258" i="1"/>
  <c r="S518" i="1"/>
  <c r="P753" i="1"/>
  <c r="S753" i="1" s="1"/>
  <c r="R171" i="1"/>
  <c r="R445" i="1"/>
  <c r="S602" i="1"/>
  <c r="P189" i="1"/>
  <c r="S275" i="1"/>
  <c r="S175" i="1"/>
  <c r="P261" i="1"/>
  <c r="S261" i="1" s="1"/>
  <c r="Q216" i="1"/>
  <c r="S509" i="1"/>
  <c r="S778" i="1"/>
  <c r="S733" i="1"/>
  <c r="S128" i="1"/>
  <c r="P347" i="1"/>
  <c r="S347" i="1" s="1"/>
  <c r="R352" i="1"/>
  <c r="S352" i="1" s="1"/>
  <c r="S870" i="1"/>
  <c r="R463" i="1"/>
  <c r="S436" i="1"/>
  <c r="S841" i="1"/>
  <c r="P240" i="1"/>
  <c r="P551" i="1"/>
  <c r="S551" i="1" s="1"/>
  <c r="Q258" i="1"/>
  <c r="S806" i="1"/>
  <c r="R510" i="1"/>
  <c r="Q665" i="1"/>
  <c r="S665" i="1" s="1"/>
  <c r="S620" i="1"/>
  <c r="S478" i="1"/>
  <c r="P492" i="1"/>
  <c r="S492" i="1" s="1"/>
  <c r="S117" i="1"/>
  <c r="S41" i="1"/>
  <c r="S740" i="1"/>
  <c r="R598" i="1"/>
  <c r="S461" i="1"/>
  <c r="Q38" i="1"/>
  <c r="S238" i="1"/>
  <c r="R693" i="1"/>
  <c r="S693" i="1" s="1"/>
  <c r="Q870" i="1"/>
  <c r="P424" i="1"/>
  <c r="S424" i="1" s="1"/>
  <c r="S174" i="1"/>
  <c r="Q477" i="1"/>
  <c r="S477" i="1" s="1"/>
  <c r="P547" i="1"/>
  <c r="S547" i="1" s="1"/>
  <c r="S523" i="1"/>
  <c r="S789" i="1"/>
  <c r="Q126" i="1"/>
  <c r="S389" i="1"/>
  <c r="S318" i="1"/>
  <c r="S173" i="1"/>
  <c r="S519" i="1"/>
  <c r="S745" i="1"/>
  <c r="S277" i="1"/>
  <c r="S762" i="1"/>
  <c r="S65" i="1"/>
  <c r="S355" i="1"/>
  <c r="Q464" i="1"/>
  <c r="S464" i="1" s="1"/>
  <c r="Q586" i="1"/>
  <c r="S586" i="1" s="1"/>
  <c r="P177" i="1"/>
  <c r="S177" i="1" s="1"/>
  <c r="R553" i="1"/>
  <c r="Q319" i="1"/>
  <c r="S302" i="1"/>
  <c r="S223" i="1"/>
  <c r="S339" i="1"/>
  <c r="R778" i="1"/>
  <c r="S16" i="1"/>
  <c r="S268" i="1"/>
  <c r="S303" i="1"/>
  <c r="R124" i="1"/>
  <c r="Q557" i="1"/>
  <c r="S557" i="1" s="1"/>
  <c r="S359" i="1"/>
  <c r="S325" i="1"/>
  <c r="S725" i="1"/>
  <c r="R620" i="1"/>
  <c r="Q210" i="1"/>
  <c r="S210" i="1" s="1"/>
  <c r="P530" i="1"/>
  <c r="S530" i="1" s="1"/>
  <c r="S481" i="1"/>
  <c r="P257" i="1"/>
  <c r="S257" i="1" s="1"/>
  <c r="S593" i="1"/>
  <c r="S803" i="1"/>
  <c r="S142" i="1"/>
  <c r="R715" i="1"/>
  <c r="S715" i="1" s="1"/>
  <c r="R699" i="1"/>
  <c r="R718" i="1"/>
  <c r="S718" i="1" s="1"/>
  <c r="P361" i="1"/>
  <c r="S361" i="1" s="1"/>
  <c r="Q259" i="1"/>
  <c r="S259" i="1" s="1"/>
  <c r="Q813" i="1"/>
  <c r="S813" i="1" s="1"/>
  <c r="Q271" i="1"/>
  <c r="S271" i="1" s="1"/>
  <c r="P148" i="1"/>
  <c r="S148" i="1" s="1"/>
  <c r="Q289" i="1"/>
  <c r="S289" i="1" s="1"/>
  <c r="Q566" i="1"/>
  <c r="R210" i="1"/>
  <c r="Q440" i="1"/>
  <c r="S815" i="1"/>
  <c r="S354" i="1"/>
  <c r="Q539" i="1"/>
  <c r="S539" i="1" s="1"/>
  <c r="R470" i="1"/>
  <c r="S466" i="1"/>
  <c r="S247" i="1"/>
  <c r="S592" i="1"/>
  <c r="S204" i="1"/>
  <c r="S664" i="1"/>
  <c r="P229" i="1"/>
  <c r="Q482" i="1"/>
  <c r="S482" i="1" s="1"/>
  <c r="S141" i="1"/>
  <c r="S291" i="1"/>
  <c r="R856" i="1"/>
  <c r="S856" i="1" s="1"/>
  <c r="S64" i="1"/>
  <c r="R209" i="1"/>
  <c r="S83" i="1"/>
  <c r="S419" i="1"/>
  <c r="S610" i="1"/>
  <c r="R224" i="1"/>
  <c r="Q492" i="1"/>
  <c r="R525" i="1"/>
  <c r="R750" i="1"/>
  <c r="S750" i="1" s="1"/>
  <c r="S454" i="1"/>
  <c r="P315" i="1"/>
  <c r="S315" i="1" s="1"/>
  <c r="S431" i="1"/>
  <c r="S449" i="1"/>
  <c r="P132" i="1"/>
  <c r="R132" i="1"/>
  <c r="P343" i="1"/>
  <c r="S343" i="1" s="1"/>
  <c r="S49" i="1"/>
  <c r="Q327" i="1"/>
  <c r="S327" i="1" s="1"/>
  <c r="Q744" i="1"/>
  <c r="S744" i="1" s="1"/>
  <c r="Q236" i="1"/>
  <c r="S236" i="1" s="1"/>
  <c r="S324" i="1"/>
  <c r="S837" i="1"/>
  <c r="Q307" i="1"/>
  <c r="S773" i="1"/>
  <c r="S687" i="1"/>
  <c r="R592" i="1"/>
  <c r="S656" i="1"/>
  <c r="S331" i="1"/>
  <c r="Q81" i="1"/>
  <c r="S81" i="1" s="1"/>
  <c r="S772" i="1"/>
  <c r="Q531" i="1"/>
  <c r="P99" i="1"/>
  <c r="S99" i="1" s="1"/>
  <c r="S363" i="1"/>
  <c r="P738" i="1"/>
  <c r="S738" i="1" s="1"/>
  <c r="S90" i="1"/>
  <c r="R866" i="1"/>
  <c r="S866" i="1" s="1"/>
  <c r="Q528" i="1"/>
  <c r="S187" i="1"/>
  <c r="R630" i="1"/>
  <c r="P14" i="1"/>
  <c r="Q515" i="1"/>
  <c r="Q506" i="1"/>
  <c r="S506" i="1" s="1"/>
  <c r="R313" i="1"/>
  <c r="P843" i="1"/>
  <c r="S843" i="1" s="1"/>
  <c r="R111" i="1"/>
  <c r="Q18" i="1"/>
  <c r="S660" i="1"/>
  <c r="S437" i="1"/>
  <c r="S680" i="1"/>
  <c r="Q79" i="1"/>
  <c r="Q410" i="1"/>
  <c r="S410" i="1" s="1"/>
  <c r="S32" i="1"/>
  <c r="S550" i="1"/>
  <c r="S861" i="1"/>
  <c r="R845" i="1"/>
  <c r="S145" i="1"/>
  <c r="Q718" i="1"/>
  <c r="R295" i="1"/>
  <c r="S280" i="1"/>
  <c r="S507" i="1"/>
  <c r="Q443" i="1"/>
  <c r="P453" i="1"/>
  <c r="S453" i="1" s="1"/>
  <c r="S155" i="1"/>
  <c r="S502" i="1"/>
  <c r="P642" i="1"/>
  <c r="S642" i="1" s="1"/>
  <c r="S439" i="1"/>
  <c r="Q764" i="1"/>
  <c r="S426" i="1"/>
  <c r="P755" i="1"/>
  <c r="S755" i="1" s="1"/>
  <c r="S330" i="1"/>
  <c r="Q21" i="1"/>
  <c r="Q111" i="1"/>
  <c r="P79" i="1"/>
  <c r="S218" i="1"/>
  <c r="P548" i="1"/>
  <c r="S537" i="1"/>
  <c r="Q711" i="1"/>
  <c r="S711" i="1" s="1"/>
  <c r="S474" i="1"/>
  <c r="R711" i="1"/>
  <c r="S286" i="1"/>
  <c r="R89" i="1"/>
  <c r="S89" i="1" s="1"/>
  <c r="S649" i="1"/>
  <c r="R387" i="1"/>
  <c r="Q342" i="1"/>
  <c r="P322" i="1"/>
  <c r="S322" i="1" s="1"/>
  <c r="Q834" i="1"/>
  <c r="S480" i="1"/>
  <c r="Q243" i="1"/>
  <c r="S243" i="1" s="1"/>
  <c r="S23" i="1"/>
  <c r="Q74" i="1"/>
  <c r="S74" i="1" s="1"/>
  <c r="S193" i="1"/>
  <c r="Q428" i="1"/>
  <c r="S428" i="1" s="1"/>
  <c r="Q335" i="1"/>
  <c r="S734" i="1"/>
  <c r="P736" i="1"/>
  <c r="S736" i="1" s="1"/>
  <c r="S775" i="1"/>
  <c r="R774" i="1"/>
  <c r="S774" i="1" s="1"/>
  <c r="S101" i="1"/>
  <c r="R101" i="1"/>
  <c r="Q99" i="1"/>
  <c r="S798" i="1"/>
  <c r="P764" i="1"/>
  <c r="R180" i="1"/>
  <c r="S180" i="1" s="1"/>
  <c r="Q391" i="1"/>
  <c r="S391" i="1" s="1"/>
  <c r="R602" i="1"/>
  <c r="R178" i="1"/>
  <c r="S178" i="1" s="1"/>
  <c r="R252" i="1"/>
  <c r="Q758" i="1"/>
  <c r="S758" i="1" s="1"/>
  <c r="S589" i="1"/>
  <c r="P846" i="1"/>
  <c r="S846" i="1" s="1"/>
  <c r="P850" i="1"/>
  <c r="S850" i="1" s="1"/>
  <c r="P54" i="1"/>
  <c r="S54" i="1" s="1"/>
  <c r="R627" i="1"/>
  <c r="S627" i="1" s="1"/>
  <c r="R813" i="1"/>
  <c r="R235" i="1"/>
  <c r="Q869" i="1"/>
  <c r="S661" i="1"/>
  <c r="Q14" i="1"/>
  <c r="S720" i="1"/>
  <c r="P284" i="1"/>
  <c r="R201" i="1"/>
  <c r="P191" i="1"/>
  <c r="Q209" i="1"/>
  <c r="S209" i="1" s="1"/>
  <c r="Q213" i="1"/>
  <c r="S213" i="1" s="1"/>
  <c r="Q829" i="1"/>
  <c r="S829" i="1" s="1"/>
  <c r="Q564" i="1"/>
  <c r="S564" i="1" s="1"/>
  <c r="L10" i="1"/>
  <c r="N10" i="1"/>
  <c r="S26" i="1" l="1"/>
  <c r="S525" i="1"/>
  <c r="S337" i="1"/>
  <c r="S548" i="1"/>
  <c r="S191" i="1"/>
  <c r="S531" i="1"/>
  <c r="S132" i="1"/>
  <c r="S284" i="1"/>
  <c r="S79" i="1"/>
  <c r="S248" i="1"/>
  <c r="S224" i="1"/>
  <c r="S240" i="1"/>
  <c r="S764" i="1"/>
  <c r="S14" i="1"/>
  <c r="S158" i="1"/>
  <c r="S305" i="1"/>
  <c r="S625" i="1"/>
  <c r="S229" i="1"/>
  <c r="S189" i="1"/>
  <c r="S171" i="1"/>
  <c r="S686" i="1"/>
  <c r="S313" i="1"/>
  <c r="S18" i="1"/>
  <c r="S553" i="1"/>
  <c r="O10" i="1"/>
  <c r="P10" i="1" s="1"/>
  <c r="Q10" i="1" l="1"/>
  <c r="R10" i="1"/>
  <c r="S10" i="1" l="1"/>
</calcChain>
</file>

<file path=xl/sharedStrings.xml><?xml version="1.0" encoding="utf-8"?>
<sst xmlns="http://schemas.openxmlformats.org/spreadsheetml/2006/main" count="2646" uniqueCount="41">
  <si>
    <t>상품</t>
    <phoneticPr fontId="1" type="noConversion"/>
  </si>
  <si>
    <t>서비스</t>
    <phoneticPr fontId="1" type="noConversion"/>
  </si>
  <si>
    <t>용도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</si>
  <si>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</si>
  <si>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</si>
  <si>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</si>
  <si>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</si>
  <si>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</si>
  <si>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</si>
  <si>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</si>
  <si>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</si>
  <si>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공급량합계</t>
    <phoneticPr fontId="1" type="noConversion"/>
  </si>
  <si>
    <t>보정공급량합계</t>
    <phoneticPr fontId="1" type="noConversion"/>
  </si>
  <si>
    <t>일반용(1)</t>
  </si>
  <si>
    <t>업무용</t>
  </si>
  <si>
    <t>영업용</t>
  </si>
  <si>
    <t>총합계</t>
  </si>
  <si>
    <t>합계 : 보정공급량합계</t>
  </si>
  <si>
    <t>공급월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</si>
  <si>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</si>
  <si>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</si>
  <si>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</si>
  <si>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상품</t>
  </si>
  <si>
    <t>서비스</t>
  </si>
  <si>
    <t>일반용(1)(동절기)</t>
  </si>
  <si>
    <t>용도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</si>
  <si>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</si>
  <si>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</si>
  <si>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</si>
  <si>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</si>
  <si>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</si>
  <si>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</si>
  <si>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</si>
  <si>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</si>
  <si>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</si>
  <si>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</si>
  <si>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</si>
  <si>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일반용(1)(기타)</t>
  </si>
  <si>
    <t>합계 : 4월보정공급량</t>
  </si>
  <si>
    <t>영업</t>
    <phoneticPr fontId="1" type="noConversion"/>
  </si>
  <si>
    <t>업무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</si>
</sst>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56.394174652778" createdVersion="8" refreshedVersion="8" minRefreshableVersion="3" recordCount="865" xr:uid="{C18F9136-3078-48CC-A855-972F1B7F3780}">
  <cacheSource type="worksheet">
    <worksheetSource ref="A9:S874" sheet="3월계산내역"/>
  </cacheSource>
  <cacheFields count="19">
    <cacheField name="상품" numFmtId="0">
      <sharedItems count="1">
        <s v="일반용(1)"/>
      </sharedItems>
    </cacheField>
    <cacheField name="서비스" numFmtId="0">
      <sharedItems count="2">
        <s v="일반용(1)(기타)"/>
        <s v="일반용(1)(동절기)"/>
      </sharedItems>
    </cacheField>
    <cacheField name="용도" numFmtId="0">
      <sharedItems count="2">
        <s v="영업용"/>
        <s v="업무용"/>
      </sharedItems>
    </cacheField>
    <cacheField name="이전일수" numFmtId="0">
      <sharedItems containsSemiMixedTypes="0" containsString="0" containsNumber="1" containsInteger="1" minValue="0" maxValue="28"/>
    </cacheField>
    <cacheField name="당월일수" numFmtId="0">
      <sharedItems containsSemiMixedTypes="0" containsString="0" containsNumber="1" containsInteger="1" minValue="1" maxValue="31"/>
    </cacheField>
    <cacheField name="이후일수" numFmtId="0">
      <sharedItems containsSemiMixedTypes="0" containsString="0" containsNumber="1" containsInteger="1" minValue="0" maxValue="20"/>
    </cacheField>
    <cacheField name="사용기간시작일" numFmtId="0">
      <sharedItems containsSemiMixedTypes="0" containsString="0" containsNumber="1" containsInteger="1" minValue="20260126" maxValue="20260331"/>
    </cacheField>
    <cacheField name="사용기간종료일" numFmtId="0">
      <sharedItems containsSemiMixedTypes="0" containsString="0" containsNumber="1" containsInteger="1" minValue="20260301" maxValue="20260420"/>
    </cacheField>
    <cacheField name="사용열량" numFmtId="0">
      <sharedItems containsSemiMixedTypes="0" containsString="0" containsNumber="1" minValue="4.9565999999999999" maxValue="23836591.8796"/>
    </cacheField>
    <cacheField name="총일수" numFmtId="0">
      <sharedItems containsSemiMixedTypes="0" containsString="0" containsNumber="1" containsInteger="1" minValue="3" maxValue="47"/>
    </cacheField>
    <cacheField name="일평균" numFmtId="0">
      <sharedItems containsSemiMixedTypes="0" containsString="0" containsNumber="1" minValue="0.29156470588235295" maxValue="768922.31869677419"/>
    </cacheField>
    <cacheField name="2월 공급량" numFmtId="0">
      <sharedItems containsSemiMixedTypes="0" containsString="0" containsNumber="1" minValue="0" maxValue="26690779.648327596"/>
    </cacheField>
    <cacheField name="3월 공급량" numFmtId="0">
      <sharedItems containsSemiMixedTypes="0" containsString="0" containsNumber="1" minValue="0.5831294117647059" maxValue="23067669.560903225"/>
    </cacheField>
    <cacheField name="4월 공급량" numFmtId="0">
      <sharedItems containsSemiMixedTypes="0" containsString="0" containsNumber="1" minValue="0" maxValue="2759106.1001311038"/>
    </cacheField>
    <cacheField name="공급량합계" numFmtId="0">
      <sharedItems containsSemiMixedTypes="0" containsString="0" containsNumber="1" minValue="3.2973815968793545" maxValue="27419604.05531688"/>
    </cacheField>
    <cacheField name="2월보정공급량" numFmtId="0">
      <sharedItems containsSemiMixedTypes="0" containsString="0" containsNumber="1" minValue="0" maxValue="19864654.685779665"/>
    </cacheField>
    <cacheField name="3월보정공급량" numFmtId="0">
      <sharedItems containsSemiMixedTypes="0" containsString="0" containsNumber="1" minValue="0.87655588455044497" maxValue="23353472.784915898"/>
    </cacheField>
    <cacheField name="4월보정공급량" numFmtId="0">
      <sharedItems containsSemiMixedTypes="0" containsString="0" containsNumber="1" minValue="0" maxValue="3405006.0265098885"/>
    </cacheField>
    <cacheField name="보정공급량합계" numFmtId="0">
      <sharedItems containsSemiMixedTypes="0" containsString="0" containsNumber="1" minValue="4.9565999999999999" maxValue="23836591.8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5">
  <r>
    <x v="0"/>
    <x v="0"/>
    <x v="0"/>
    <n v="0"/>
    <n v="28"/>
    <n v="3"/>
    <n v="20260304"/>
    <n v="20260403"/>
    <n v="638818.88069999998"/>
    <n v="31"/>
    <n v="20607.060667741935"/>
    <n v="0"/>
    <n v="576997.6986967742"/>
    <n v="38367.304627589372"/>
    <n v="615365.00332436361"/>
    <n v="0"/>
    <n v="598989.2536245822"/>
    <n v="39829.627075417695"/>
    <n v="638818.88069999986"/>
  </r>
  <r>
    <x v="0"/>
    <x v="0"/>
    <x v="1"/>
    <n v="0"/>
    <n v="15"/>
    <n v="15"/>
    <n v="20260317"/>
    <n v="20260415"/>
    <n v="8862442.7125000004"/>
    <n v="30"/>
    <n v="295414.75708333333"/>
    <n v="0"/>
    <n v="4431221.3562500002"/>
    <n v="2750093.3197726989"/>
    <n v="7181314.6760226991"/>
    <n v="0"/>
    <n v="5468559.3359797299"/>
    <n v="3393883.37652027"/>
    <n v="8862442.7125000004"/>
  </r>
  <r>
    <x v="0"/>
    <x v="1"/>
    <x v="1"/>
    <n v="0"/>
    <n v="15"/>
    <n v="15"/>
    <n v="20260317"/>
    <n v="20260415"/>
    <n v="8891487.2721999995"/>
    <n v="30"/>
    <n v="296382.90907333331"/>
    <n v="0"/>
    <n v="4445743.6360999998"/>
    <n v="2759106.1001311038"/>
    <n v="7204849.7362311035"/>
    <n v="0"/>
    <n v="5486481.245690112"/>
    <n v="3405006.0265098885"/>
    <n v="8891487.2721999995"/>
  </r>
  <r>
    <x v="0"/>
    <x v="1"/>
    <x v="0"/>
    <n v="0"/>
    <n v="26"/>
    <n v="6"/>
    <n v="20260306"/>
    <n v="20260406"/>
    <n v="1130150.92"/>
    <n v="32"/>
    <n v="35317.216249999998"/>
    <n v="0"/>
    <n v="918247.62249999994"/>
    <n v="131510.88515824507"/>
    <n v="1049758.507658245"/>
    <n v="0"/>
    <n v="988568.69249973795"/>
    <n v="141582.22750026183"/>
    <n v="1130150.9199999997"/>
  </r>
  <r>
    <x v="0"/>
    <x v="1"/>
    <x v="1"/>
    <n v="13"/>
    <n v="16"/>
    <n v="0"/>
    <n v="20260216"/>
    <n v="20260316"/>
    <n v="1595902.1804"/>
    <n v="29"/>
    <n v="55031.109668965517"/>
    <n v="970345.08472825342"/>
    <n v="880497.75470344827"/>
    <n v="0"/>
    <n v="1850842.8394317017"/>
    <n v="836686.8344876488"/>
    <n v="759215.34591235104"/>
    <n v="0"/>
    <n v="1595902.1804"/>
  </r>
  <r>
    <x v="0"/>
    <x v="0"/>
    <x v="0"/>
    <n v="0"/>
    <n v="30"/>
    <n v="1"/>
    <n v="20260302"/>
    <n v="20260401"/>
    <n v="794553.05900000001"/>
    <n v="31"/>
    <n v="25630.743838709677"/>
    <n v="0"/>
    <n v="768922.31516129035"/>
    <n v="15906.887005818993"/>
    <n v="784829.20216710935"/>
    <n v="0"/>
    <n v="778449.08925124223"/>
    <n v="16103.969748757778"/>
    <n v="794553.05900000001"/>
  </r>
  <r>
    <x v="0"/>
    <x v="0"/>
    <x v="0"/>
    <n v="0"/>
    <n v="27"/>
    <n v="1"/>
    <n v="20260305"/>
    <n v="20260401"/>
    <n v="143116.83369999999"/>
    <n v="28"/>
    <n v="5111.3154892857137"/>
    <n v="0"/>
    <n v="138005.51821071428"/>
    <n v="3172.1716096419541"/>
    <n v="141177.68982035623"/>
    <n v="0"/>
    <n v="139901.09077841885"/>
    <n v="3215.7429215811435"/>
    <n v="143116.83369999999"/>
  </r>
  <r>
    <x v="0"/>
    <x v="0"/>
    <x v="0"/>
    <n v="0"/>
    <n v="30"/>
    <n v="2"/>
    <n v="20260302"/>
    <n v="20260402"/>
    <n v="371774.88789999997"/>
    <n v="32"/>
    <n v="11617.965246874999"/>
    <n v="0"/>
    <n v="348538.95740624995"/>
    <n v="14420.624042948275"/>
    <n v="362959.58144919825"/>
    <n v="0"/>
    <n v="357004.02590591996"/>
    <n v="14770.86199407998"/>
    <n v="371774.88789999991"/>
  </r>
  <r>
    <x v="0"/>
    <x v="1"/>
    <x v="1"/>
    <n v="0"/>
    <n v="28"/>
    <n v="2"/>
    <n v="20260304"/>
    <n v="20260402"/>
    <n v="2776401.9304999998"/>
    <n v="30"/>
    <n v="92546.731016666658"/>
    <n v="0"/>
    <n v="2591308.4684666665"/>
    <n v="114872.23330730705"/>
    <n v="2706180.7017739736"/>
    <n v="0"/>
    <n v="2658548.9393430585"/>
    <n v="117852.99115694143"/>
    <n v="2776401.9304999998"/>
  </r>
  <r>
    <x v="0"/>
    <x v="1"/>
    <x v="0"/>
    <n v="0"/>
    <n v="27"/>
    <n v="3"/>
    <n v="20260305"/>
    <n v="20260403"/>
    <n v="6457120.5736999996"/>
    <n v="30"/>
    <n v="215237.35245666665"/>
    <n v="0"/>
    <n v="5811408.5163299991"/>
    <n v="400740.17357884784"/>
    <n v="6212148.6899088472"/>
    <n v="0"/>
    <n v="6040577.4823011272"/>
    <n v="416543.09139887261"/>
    <n v="6457120.5736999996"/>
  </r>
  <r>
    <x v="0"/>
    <x v="1"/>
    <x v="0"/>
    <n v="25"/>
    <n v="4"/>
    <n v="0"/>
    <n v="20260204"/>
    <n v="20260304"/>
    <n v="7725593.3835000005"/>
    <n v="29"/>
    <n v="266399.77184482763"/>
    <n v="9033341.8377538361"/>
    <n v="1065599.0873793105"/>
    <n v="0"/>
    <n v="10098940.925133146"/>
    <n v="6910420.2559462618"/>
    <n v="815173.12755373935"/>
    <n v="0"/>
    <n v="7725593.3835000014"/>
  </r>
  <r>
    <x v="0"/>
    <x v="1"/>
    <x v="0"/>
    <n v="0"/>
    <n v="26"/>
    <n v="2"/>
    <n v="20260306"/>
    <n v="20260402"/>
    <n v="3221796.2126000002"/>
    <n v="28"/>
    <n v="115064.15045"/>
    <n v="0"/>
    <n v="2991667.9117000001"/>
    <n v="142821.64038208028"/>
    <n v="3134489.5520820804"/>
    <n v="0"/>
    <n v="3074996.4825595357"/>
    <n v="146799.73004046438"/>
    <n v="3221796.2126000002"/>
  </r>
  <r>
    <x v="0"/>
    <x v="0"/>
    <x v="0"/>
    <n v="0"/>
    <n v="28"/>
    <n v="2"/>
    <n v="20260304"/>
    <n v="20260402"/>
    <n v="760955.55209999997"/>
    <n v="30"/>
    <n v="25365.18507"/>
    <n v="0"/>
    <n v="710225.18195999996"/>
    <n v="31484.153197364973"/>
    <n v="741709.33515736496"/>
    <n v="0"/>
    <n v="728654.43353093311"/>
    <n v="32301.118569066923"/>
    <n v="760955.55209999997"/>
  </r>
  <r>
    <x v="0"/>
    <x v="1"/>
    <x v="0"/>
    <n v="0"/>
    <n v="28"/>
    <n v="2"/>
    <n v="20260304"/>
    <n v="20260402"/>
    <n v="10653377.728399999"/>
    <n v="30"/>
    <n v="355112.59094666666"/>
    <n v="0"/>
    <n v="9943152.5465066656"/>
    <n v="440778.14472173509"/>
    <n v="10383930.691228401"/>
    <n v="0"/>
    <n v="10201162.068475511"/>
    <n v="452215.65992448881"/>
    <n v="10653377.728399999"/>
  </r>
  <r>
    <x v="0"/>
    <x v="1"/>
    <x v="0"/>
    <n v="25"/>
    <n v="3"/>
    <n v="0"/>
    <n v="20260204"/>
    <n v="20260303"/>
    <n v="12043937.243799999"/>
    <n v="28"/>
    <n v="430140.61585"/>
    <n v="14585625.184162291"/>
    <n v="1290421.8475500001"/>
    <n v="0"/>
    <n v="15876047.03171229"/>
    <n v="11064993.321621129"/>
    <n v="978943.922178871"/>
    <n v="0"/>
    <n v="12043937.243799999"/>
  </r>
  <r>
    <x v="0"/>
    <x v="1"/>
    <x v="0"/>
    <n v="0"/>
    <n v="29"/>
    <n v="3"/>
    <n v="20260303"/>
    <n v="20260403"/>
    <n v="1519533.186"/>
    <n v="32"/>
    <n v="47485.4120625"/>
    <n v="0"/>
    <n v="1377076.9498125"/>
    <n v="88410.82672311955"/>
    <n v="1465487.7765356195"/>
    <n v="0"/>
    <n v="1427861.8753562088"/>
    <n v="91671.310643791308"/>
    <n v="1519533.186"/>
  </r>
  <r>
    <x v="0"/>
    <x v="1"/>
    <x v="0"/>
    <n v="24"/>
    <n v="2"/>
    <n v="0"/>
    <n v="20260205"/>
    <n v="20260302"/>
    <n v="508902.83600000001"/>
    <n v="26"/>
    <n v="19573.186000000002"/>
    <n v="637158.31142351555"/>
    <n v="39146.372000000003"/>
    <n v="0"/>
    <n v="676304.68342351553"/>
    <n v="479446.14256256068"/>
    <n v="29456.693437439393"/>
    <n v="0"/>
    <n v="508902.83600000007"/>
  </r>
  <r>
    <x v="0"/>
    <x v="0"/>
    <x v="0"/>
    <n v="0"/>
    <n v="26"/>
    <n v="1"/>
    <n v="20260306"/>
    <n v="20260401"/>
    <n v="41387.407299999999"/>
    <n v="27"/>
    <n v="1532.8669370370369"/>
    <n v="0"/>
    <n v="39854.540362962958"/>
    <n v="951.32397701148875"/>
    <n v="40805.864339974447"/>
    <n v="0"/>
    <n v="40422.525571658327"/>
    <n v="964.88172834167142"/>
    <n v="41387.407299999999"/>
  </r>
  <r>
    <x v="0"/>
    <x v="1"/>
    <x v="0"/>
    <n v="0"/>
    <n v="28"/>
    <n v="4"/>
    <n v="20260304"/>
    <n v="20260404"/>
    <n v="481922.34120000002"/>
    <n v="32"/>
    <n v="15060.073162500001"/>
    <n v="0"/>
    <n v="421682.04855000001"/>
    <n v="37386.177100869449"/>
    <n v="459068.22565086943"/>
    <n v="0"/>
    <n v="442674.94181524869"/>
    <n v="39247.39938475137"/>
    <n v="481922.34120000008"/>
  </r>
  <r>
    <x v="0"/>
    <x v="0"/>
    <x v="0"/>
    <n v="0"/>
    <n v="27"/>
    <n v="5"/>
    <n v="20260305"/>
    <n v="20260405"/>
    <n v="84838.938899999994"/>
    <n v="32"/>
    <n v="2651.2168406249998"/>
    <n v="0"/>
    <n v="71582.854696875002"/>
    <n v="8226.9572387621702"/>
    <n v="79809.811935637175"/>
    <n v="0"/>
    <n v="76093.56905656353"/>
    <n v="8745.3698434364578"/>
    <n v="84838.938899999994"/>
  </r>
  <r>
    <x v="0"/>
    <x v="1"/>
    <x v="1"/>
    <n v="0"/>
    <n v="29"/>
    <n v="1"/>
    <n v="20260303"/>
    <n v="20260401"/>
    <n v="1213715.5353999999"/>
    <n v="30"/>
    <n v="40457.184513333334"/>
    <n v="0"/>
    <n v="1173258.3508866667"/>
    <n v="25108.434881051871"/>
    <n v="1198366.7857677185"/>
    <n v="0"/>
    <n v="1188285.5102635901"/>
    <n v="25430.025136409971"/>
    <n v="1213715.5354000002"/>
  </r>
  <r>
    <x v="0"/>
    <x v="1"/>
    <x v="1"/>
    <n v="25"/>
    <n v="3"/>
    <n v="0"/>
    <n v="20260204"/>
    <n v="20260303"/>
    <n v="1545542.7054999999"/>
    <n v="28"/>
    <n v="55197.953767857143"/>
    <n v="1871705.7513848883"/>
    <n v="165593.86130357144"/>
    <n v="0"/>
    <n v="2037299.6126884597"/>
    <n v="1419919.364279422"/>
    <n v="125623.34122057787"/>
    <n v="0"/>
    <n v="1545542.7054999999"/>
  </r>
  <r>
    <x v="0"/>
    <x v="1"/>
    <x v="0"/>
    <n v="0"/>
    <n v="26"/>
    <n v="5"/>
    <n v="20260306"/>
    <n v="20260405"/>
    <n v="728096.54330000002"/>
    <n v="31"/>
    <n v="23486.985267741937"/>
    <n v="0"/>
    <n v="610661.61696129036"/>
    <n v="72882.165088993119"/>
    <n v="683543.78205028351"/>
    <n v="0"/>
    <n v="650463.9850601356"/>
    <n v="77632.558239864418"/>
    <n v="728096.54330000002"/>
  </r>
  <r>
    <x v="0"/>
    <x v="1"/>
    <x v="1"/>
    <n v="0"/>
    <n v="31"/>
    <n v="0"/>
    <n v="20260301"/>
    <n v="20260331"/>
    <n v="2053157.0606"/>
    <n v="31"/>
    <n v="66230.872922580646"/>
    <n v="0"/>
    <n v="2053157.0606"/>
    <n v="0"/>
    <n v="2053157.0606"/>
    <n v="0"/>
    <n v="2053157.0606"/>
    <n v="0"/>
    <n v="2053157.0606"/>
  </r>
  <r>
    <x v="0"/>
    <x v="0"/>
    <x v="1"/>
    <n v="0"/>
    <n v="25"/>
    <n v="7"/>
    <n v="20260307"/>
    <n v="20260407"/>
    <n v="85076.538100000005"/>
    <n v="32"/>
    <n v="2658.6418156250002"/>
    <n v="0"/>
    <n v="66466.045390625004"/>
    <n v="11549.996617872232"/>
    <n v="78016.042008497228"/>
    <n v="0"/>
    <n v="72481.260231273307"/>
    <n v="12595.277868726705"/>
    <n v="85076.538100000005"/>
  </r>
  <r>
    <x v="0"/>
    <x v="0"/>
    <x v="1"/>
    <n v="0"/>
    <n v="16"/>
    <n v="16"/>
    <n v="20260316"/>
    <n v="20260416"/>
    <n v="178468.8622"/>
    <n v="32"/>
    <n v="5577.1519437500001"/>
    <n v="0"/>
    <n v="89234.431100000002"/>
    <n v="55380.445509836551"/>
    <n v="144614.87660983656"/>
    <n v="0"/>
    <n v="110123.99111916854"/>
    <n v="68344.871080831464"/>
    <n v="178468.8622"/>
  </r>
  <r>
    <x v="0"/>
    <x v="1"/>
    <x v="1"/>
    <n v="0"/>
    <n v="16"/>
    <n v="16"/>
    <n v="20260316"/>
    <n v="20260416"/>
    <n v="178468.86249999999"/>
    <n v="32"/>
    <n v="5577.1519531249996"/>
    <n v="0"/>
    <n v="89234.431249999994"/>
    <n v="55380.445602929169"/>
    <n v="144614.87685292916"/>
    <n v="0"/>
    <n v="110123.99130428316"/>
    <n v="68344.871195716842"/>
    <n v="178468.86249999999"/>
  </r>
  <r>
    <x v="0"/>
    <x v="1"/>
    <x v="0"/>
    <n v="0"/>
    <n v="25"/>
    <n v="7"/>
    <n v="20260307"/>
    <n v="20260407"/>
    <n v="1134241.9524000001"/>
    <n v="32"/>
    <n v="35445.061012500002"/>
    <n v="0"/>
    <n v="886126.52531250007"/>
    <n v="153984.76485573873"/>
    <n v="1040111.2901682388"/>
    <n v="0"/>
    <n v="966321.4789076132"/>
    <n v="167920.47349238681"/>
    <n v="1134241.9524000001"/>
  </r>
  <r>
    <x v="0"/>
    <x v="0"/>
    <x v="1"/>
    <n v="0"/>
    <n v="25"/>
    <n v="3"/>
    <n v="20260307"/>
    <n v="20260403"/>
    <n v="38061.2808"/>
    <n v="28"/>
    <n v="1359.3314571428571"/>
    <n v="0"/>
    <n v="33983.286428571424"/>
    <n v="2530.8744874860322"/>
    <n v="36514.160916057459"/>
    <n v="0"/>
    <n v="35423.172128703634"/>
    <n v="2638.1086712963638"/>
    <n v="38061.2808"/>
  </r>
  <r>
    <x v="0"/>
    <x v="1"/>
    <x v="0"/>
    <n v="22"/>
    <n v="6"/>
    <n v="0"/>
    <n v="20260207"/>
    <n v="20260306"/>
    <n v="866728.27709999995"/>
    <n v="28"/>
    <n v="30954.581324999999"/>
    <n v="923681.40972062387"/>
    <n v="185727.48794999998"/>
    <n v="0"/>
    <n v="1109408.8976706238"/>
    <n v="721628.24592212937"/>
    <n v="145100.03117787052"/>
    <n v="0"/>
    <n v="866728.27709999983"/>
  </r>
  <r>
    <x v="0"/>
    <x v="1"/>
    <x v="0"/>
    <n v="0"/>
    <n v="27"/>
    <n v="7"/>
    <n v="20260305"/>
    <n v="20260407"/>
    <n v="837127.83059999999"/>
    <n v="34"/>
    <n v="24621.40678235294"/>
    <n v="0"/>
    <n v="664777.98312352935"/>
    <n v="106963.32367607059"/>
    <n v="771741.3067995999"/>
    <n v="0"/>
    <n v="721101.93654225697"/>
    <n v="116025.89405774311"/>
    <n v="837127.8306000001"/>
  </r>
  <r>
    <x v="0"/>
    <x v="1"/>
    <x v="1"/>
    <n v="24"/>
    <n v="3"/>
    <n v="0"/>
    <n v="20260205"/>
    <n v="20260303"/>
    <n v="542035.47030000004"/>
    <n v="27"/>
    <n v="20075.387788888889"/>
    <n v="653506.29094010079"/>
    <n v="60226.163366666668"/>
    <n v="0"/>
    <n v="713732.45430676744"/>
    <n v="496297.43977072719"/>
    <n v="45738.030529272895"/>
    <n v="0"/>
    <n v="542035.47030000004"/>
  </r>
  <r>
    <x v="0"/>
    <x v="1"/>
    <x v="1"/>
    <n v="0"/>
    <n v="27"/>
    <n v="4"/>
    <n v="20260305"/>
    <n v="20260404"/>
    <n v="453661.39750000002"/>
    <n v="31"/>
    <n v="14634.238629032259"/>
    <n v="0"/>
    <n v="395124.44298387098"/>
    <n v="36329.055723562124"/>
    <n v="431453.49870743311"/>
    <n v="0"/>
    <n v="415462.40215338371"/>
    <n v="38198.995346616321"/>
    <n v="453661.39750000002"/>
  </r>
  <r>
    <x v="0"/>
    <x v="1"/>
    <x v="1"/>
    <n v="24"/>
    <n v="6"/>
    <n v="0"/>
    <n v="20260205"/>
    <n v="20260306"/>
    <n v="169659.30360000001"/>
    <n v="30"/>
    <n v="5655.3101200000001"/>
    <n v="184095.11086419545"/>
    <n v="33931.860719999997"/>
    <n v="0"/>
    <n v="218026.97158419545"/>
    <n v="143254.97473289803"/>
    <n v="26404.32886710198"/>
    <n v="0"/>
    <n v="169659.30360000001"/>
  </r>
  <r>
    <x v="0"/>
    <x v="1"/>
    <x v="0"/>
    <n v="0"/>
    <n v="25"/>
    <n v="8"/>
    <n v="20260307"/>
    <n v="20260408"/>
    <n v="125043.428"/>
    <n v="33"/>
    <n v="3789.1947878787878"/>
    <n v="0"/>
    <n v="94729.86969696969"/>
    <n v="18813.123399967786"/>
    <n v="113542.99309693748"/>
    <n v="0"/>
    <n v="104324.77881562828"/>
    <n v="20718.649184371716"/>
    <n v="125043.42799999999"/>
  </r>
  <r>
    <x v="0"/>
    <x v="1"/>
    <x v="0"/>
    <n v="0"/>
    <n v="29"/>
    <n v="4"/>
    <n v="20260303"/>
    <n v="20260404"/>
    <n v="346140.36560000002"/>
    <n v="33"/>
    <n v="10489.101987878788"/>
    <n v="0"/>
    <n v="304183.95764848485"/>
    <n v="26038.879115433258"/>
    <n v="330222.83676391811"/>
    <n v="0"/>
    <n v="318846.35036726826"/>
    <n v="27294.015232731756"/>
    <n v="346140.36560000002"/>
  </r>
  <r>
    <x v="0"/>
    <x v="1"/>
    <x v="1"/>
    <n v="0"/>
    <n v="10"/>
    <n v="0"/>
    <n v="20260311"/>
    <n v="20260320"/>
    <n v="29613.632699999998"/>
    <n v="10"/>
    <n v="2961.3632699999998"/>
    <n v="0"/>
    <n v="29613.632699999998"/>
    <n v="0"/>
    <n v="29613.632699999998"/>
    <n v="0"/>
    <n v="29613.632699999998"/>
    <n v="0"/>
    <n v="29613.632699999998"/>
  </r>
  <r>
    <x v="0"/>
    <x v="0"/>
    <x v="0"/>
    <n v="0"/>
    <n v="24"/>
    <n v="5"/>
    <n v="20260308"/>
    <n v="20260405"/>
    <n v="23713.464"/>
    <n v="29"/>
    <n v="817.7056551724138"/>
    <n v="0"/>
    <n v="19624.935724137933"/>
    <n v="2537.4120124446595"/>
    <n v="22162.347736582593"/>
    <n v="0"/>
    <n v="20998.461549652548"/>
    <n v="2715.0024503474492"/>
    <n v="23713.463999999996"/>
  </r>
  <r>
    <x v="0"/>
    <x v="0"/>
    <x v="0"/>
    <n v="0"/>
    <n v="29"/>
    <n v="7"/>
    <n v="20260303"/>
    <n v="20260407"/>
    <n v="58724.336799999997"/>
    <n v="36"/>
    <n v="1631.2315777777776"/>
    <n v="0"/>
    <n v="47305.715755555553"/>
    <n v="7086.5955299324869"/>
    <n v="54392.311285488038"/>
    <n v="0"/>
    <n v="51073.335898772239"/>
    <n v="7651.0009012277596"/>
    <n v="58724.336799999997"/>
  </r>
  <r>
    <x v="0"/>
    <x v="1"/>
    <x v="0"/>
    <n v="0"/>
    <n v="29"/>
    <n v="7"/>
    <n v="20260303"/>
    <n v="20260407"/>
    <n v="243286.53880000001"/>
    <n v="36"/>
    <n v="6757.959411111111"/>
    <n v="0"/>
    <n v="195980.82292222223"/>
    <n v="29358.752985573548"/>
    <n v="225339.57590779578"/>
    <n v="0"/>
    <n v="211589.53498444764"/>
    <n v="31697.003815552369"/>
    <n v="243286.53880000001"/>
  </r>
  <r>
    <x v="0"/>
    <x v="1"/>
    <x v="0"/>
    <n v="23"/>
    <n v="2"/>
    <n v="0"/>
    <n v="20260206"/>
    <n v="20260302"/>
    <n v="314308.24589999998"/>
    <n v="25"/>
    <n v="12572.329835999999"/>
    <n v="392209.57335501531"/>
    <n v="25144.659671999998"/>
    <n v="0"/>
    <n v="417354.23302701529"/>
    <n v="295371.87662458111"/>
    <n v="18936.369275418892"/>
    <n v="0"/>
    <n v="314308.24589999998"/>
  </r>
  <r>
    <x v="0"/>
    <x v="1"/>
    <x v="0"/>
    <n v="0"/>
    <n v="27"/>
    <n v="13"/>
    <n v="20260305"/>
    <n v="20260413"/>
    <n v="14057.122300000001"/>
    <n v="40"/>
    <n v="351.42805750000002"/>
    <n v="0"/>
    <n v="9488.5575525000004"/>
    <n v="2835.3310256839186"/>
    <n v="12323.88857818392"/>
    <n v="0"/>
    <n v="10823.029851324465"/>
    <n v="3234.0924486755348"/>
    <n v="14057.122299999999"/>
  </r>
  <r>
    <x v="0"/>
    <x v="1"/>
    <x v="0"/>
    <n v="0"/>
    <n v="14"/>
    <n v="15"/>
    <n v="20260318"/>
    <n v="20260415"/>
    <n v="224680.3"/>
    <n v="29"/>
    <n v="7747.5965517241375"/>
    <n v="0"/>
    <n v="108466.35172413793"/>
    <n v="72124.404791261593"/>
    <n v="180590.75651539952"/>
    <n v="0"/>
    <n v="134947.39661942056"/>
    <n v="89732.903380579432"/>
    <n v="224680.3"/>
  </r>
  <r>
    <x v="0"/>
    <x v="1"/>
    <x v="1"/>
    <n v="24"/>
    <n v="8"/>
    <n v="0"/>
    <n v="20260205"/>
    <n v="20260308"/>
    <n v="2914.6019999999999"/>
    <n v="32"/>
    <n v="91.081312499999996"/>
    <n v="2964.9345423242562"/>
    <n v="728.65049999999997"/>
    <n v="0"/>
    <n v="3693.5850423242564"/>
    <n v="2339.6250655946646"/>
    <n v="574.97693440533487"/>
    <n v="0"/>
    <n v="2914.6019999999994"/>
  </r>
  <r>
    <x v="0"/>
    <x v="0"/>
    <x v="0"/>
    <n v="0"/>
    <n v="25"/>
    <n v="1"/>
    <n v="20260307"/>
    <n v="20260401"/>
    <n v="22553.363700000002"/>
    <n v="26"/>
    <n v="867.43706538461549"/>
    <n v="0"/>
    <n v="21685.926634615389"/>
    <n v="538.34658371845921"/>
    <n v="22224.273218333848"/>
    <n v="0"/>
    <n v="22007.045438881847"/>
    <n v="546.31826111815417"/>
    <n v="22553.363700000002"/>
  </r>
  <r>
    <x v="0"/>
    <x v="1"/>
    <x v="0"/>
    <n v="0"/>
    <n v="14"/>
    <n v="16"/>
    <n v="20260318"/>
    <n v="20260416"/>
    <n v="435544.79369999998"/>
    <n v="30"/>
    <n v="14518.15979"/>
    <n v="0"/>
    <n v="203254.23705999998"/>
    <n v="144163.57403606645"/>
    <n v="347417.81109606643"/>
    <n v="0"/>
    <n v="254812.28054962811"/>
    <n v="180732.51315037187"/>
    <n v="435544.79369999998"/>
  </r>
  <r>
    <x v="0"/>
    <x v="1"/>
    <x v="0"/>
    <n v="0"/>
    <n v="16"/>
    <n v="0"/>
    <n v="20260316"/>
    <n v="20260331"/>
    <n v="3160.3377"/>
    <n v="16"/>
    <n v="197.52110625"/>
    <n v="0"/>
    <n v="3160.3377"/>
    <n v="0"/>
    <n v="3160.3377"/>
    <n v="0"/>
    <n v="3160.3377"/>
    <n v="0"/>
    <n v="3160.3377"/>
  </r>
  <r>
    <x v="0"/>
    <x v="1"/>
    <x v="0"/>
    <n v="0"/>
    <n v="29"/>
    <n v="6"/>
    <n v="20260303"/>
    <n v="20260406"/>
    <n v="245426.74179999999"/>
    <n v="35"/>
    <n v="7012.1926228571429"/>
    <n v="0"/>
    <n v="203353.58606285715"/>
    <n v="26111.334829003095"/>
    <n v="229464.92089186024"/>
    <n v="0"/>
    <n v="217499.07509511319"/>
    <n v="27927.666704886804"/>
    <n v="245426.74179999999"/>
  </r>
  <r>
    <x v="0"/>
    <x v="0"/>
    <x v="0"/>
    <n v="0"/>
    <n v="30"/>
    <n v="8"/>
    <n v="20260302"/>
    <n v="20260408"/>
    <n v="6598.3553000000002"/>
    <n v="38"/>
    <n v="173.64092894736842"/>
    <n v="0"/>
    <n v="5209.2278684210523"/>
    <n v="862.11673097983248"/>
    <n v="6071.3445994008853"/>
    <n v="0"/>
    <n v="5661.4042823225"/>
    <n v="936.95101767749975"/>
    <n v="6598.3552999999993"/>
  </r>
  <r>
    <x v="0"/>
    <x v="1"/>
    <x v="0"/>
    <n v="21"/>
    <n v="3"/>
    <n v="0"/>
    <n v="20260208"/>
    <n v="20260303"/>
    <n v="28000.2824"/>
    <n v="24"/>
    <n v="1166.6784333333333"/>
    <n v="33231.12563214219"/>
    <n v="3500.0352999999996"/>
    <n v="0"/>
    <n v="36731.160932142186"/>
    <n v="25332.194206680455"/>
    <n v="2668.0881933195456"/>
    <n v="0"/>
    <n v="28000.2824"/>
  </r>
  <r>
    <x v="0"/>
    <x v="1"/>
    <x v="1"/>
    <n v="21"/>
    <n v="8"/>
    <n v="0"/>
    <n v="20260208"/>
    <n v="20260308"/>
    <n v="48519.446000000004"/>
    <n v="29"/>
    <n v="1673.0843448275864"/>
    <n v="47655.355981240391"/>
    <n v="13384.674758620691"/>
    <n v="0"/>
    <n v="61040.030739861082"/>
    <n v="37880.247488679961"/>
    <n v="10639.198511320043"/>
    <n v="0"/>
    <n v="48519.446000000004"/>
  </r>
  <r>
    <x v="0"/>
    <x v="1"/>
    <x v="0"/>
    <n v="25"/>
    <n v="7"/>
    <n v="0"/>
    <n v="20260204"/>
    <n v="20260307"/>
    <n v="399127.0626"/>
    <n v="32"/>
    <n v="12472.72070625"/>
    <n v="422937.11066695227"/>
    <n v="87309.044943750006"/>
    <n v="0"/>
    <n v="510246.15561070229"/>
    <n v="330831.78538208106"/>
    <n v="68295.277217918949"/>
    <n v="0"/>
    <n v="399127.0626"/>
  </r>
  <r>
    <x v="0"/>
    <x v="1"/>
    <x v="1"/>
    <n v="0"/>
    <n v="25"/>
    <n v="8"/>
    <n v="20260307"/>
    <n v="20260408"/>
    <n v="61053.618499999997"/>
    <n v="33"/>
    <n v="1850.1096515151514"/>
    <n v="0"/>
    <n v="46252.741287878787"/>
    <n v="9185.682744198728"/>
    <n v="55438.424032077513"/>
    <n v="0"/>
    <n v="50937.545041601472"/>
    <n v="10116.073458398523"/>
    <n v="61053.618499999997"/>
  </r>
  <r>
    <x v="0"/>
    <x v="1"/>
    <x v="1"/>
    <n v="0"/>
    <n v="27"/>
    <n v="8"/>
    <n v="20260305"/>
    <n v="20260408"/>
    <n v="40909.2673"/>
    <n v="35"/>
    <n v="1168.8362085714286"/>
    <n v="0"/>
    <n v="31558.577631428572"/>
    <n v="5803.2012227364521"/>
    <n v="37361.778854165022"/>
    <n v="0"/>
    <n v="34555.054055944391"/>
    <n v="6354.2132440556134"/>
    <n v="40909.267300000007"/>
  </r>
  <r>
    <x v="0"/>
    <x v="1"/>
    <x v="1"/>
    <n v="25"/>
    <n v="7"/>
    <n v="0"/>
    <n v="20260204"/>
    <n v="20260307"/>
    <n v="380.12099999999998"/>
    <n v="32"/>
    <n v="11.878781249999999"/>
    <n v="402.79723553837653"/>
    <n v="83.151468749999992"/>
    <n v="0"/>
    <n v="485.94870428837652"/>
    <n v="315.07788089341659"/>
    <n v="65.04311910658339"/>
    <n v="0"/>
    <n v="380.12099999999998"/>
  </r>
  <r>
    <x v="0"/>
    <x v="1"/>
    <x v="1"/>
    <n v="0"/>
    <n v="14"/>
    <n v="20"/>
    <n v="20260318"/>
    <n v="20260420"/>
    <n v="28329.907299999999"/>
    <n v="34"/>
    <n v="833.23256764705877"/>
    <n v="0"/>
    <n v="11665.255947058822"/>
    <n v="10342.373507797067"/>
    <n v="22007.629454855887"/>
    <n v="0"/>
    <n v="15016.411480793635"/>
    <n v="13313.495819206366"/>
    <n v="28329.907299999999"/>
  </r>
  <r>
    <x v="0"/>
    <x v="1"/>
    <x v="0"/>
    <n v="22"/>
    <n v="7"/>
    <n v="0"/>
    <n v="20260207"/>
    <n v="20260307"/>
    <n v="250044.2542"/>
    <n v="29"/>
    <n v="8622.2156620689657"/>
    <n v="257285.99699143576"/>
    <n v="60355.509634482762"/>
    <n v="0"/>
    <n v="317641.50662591856"/>
    <n v="202532.9936165768"/>
    <n v="47511.26058342318"/>
    <n v="0"/>
    <n v="250044.25419999997"/>
  </r>
  <r>
    <x v="0"/>
    <x v="1"/>
    <x v="0"/>
    <n v="20"/>
    <n v="3"/>
    <n v="0"/>
    <n v="20260209"/>
    <n v="20260303"/>
    <n v="25933.913700000001"/>
    <n v="23"/>
    <n v="1127.5614652173913"/>
    <n v="30587.558203526416"/>
    <n v="3382.6843956521739"/>
    <n v="0"/>
    <n v="33970.242599178593"/>
    <n v="23351.469817385474"/>
    <n v="2582.443882614526"/>
    <n v="0"/>
    <n v="25933.913700000001"/>
  </r>
  <r>
    <x v="0"/>
    <x v="1"/>
    <x v="0"/>
    <n v="25"/>
    <n v="9"/>
    <n v="0"/>
    <n v="20260204"/>
    <n v="20260309"/>
    <n v="75234.044599999994"/>
    <n v="34"/>
    <n v="2212.7660176470586"/>
    <n v="75032.61622916894"/>
    <n v="19914.894158823528"/>
    <n v="0"/>
    <n v="94947.510387992472"/>
    <n v="59453.978021880546"/>
    <n v="15780.066578119442"/>
    <n v="0"/>
    <n v="75234.044599999994"/>
  </r>
  <r>
    <x v="0"/>
    <x v="1"/>
    <x v="0"/>
    <n v="0"/>
    <n v="20"/>
    <n v="0"/>
    <n v="20260305"/>
    <n v="20260324"/>
    <n v="3498.2606000000001"/>
    <n v="20"/>
    <n v="174.91302999999999"/>
    <n v="0"/>
    <n v="3498.2605999999996"/>
    <n v="0"/>
    <n v="3498.2605999999996"/>
    <n v="0"/>
    <n v="3498.2606000000001"/>
    <n v="0"/>
    <n v="3498.2606000000001"/>
  </r>
  <r>
    <x v="0"/>
    <x v="1"/>
    <x v="0"/>
    <n v="0"/>
    <n v="30"/>
    <n v="0"/>
    <n v="20260302"/>
    <n v="20260331"/>
    <n v="21652.7032"/>
    <n v="30"/>
    <n v="721.75677333333329"/>
    <n v="0"/>
    <n v="21652.7032"/>
    <n v="0"/>
    <n v="21652.7032"/>
    <n v="0"/>
    <n v="21652.7032"/>
    <n v="0"/>
    <n v="21652.7032"/>
  </r>
  <r>
    <x v="0"/>
    <x v="1"/>
    <x v="0"/>
    <n v="22"/>
    <n v="8"/>
    <n v="0"/>
    <n v="20260207"/>
    <n v="20260308"/>
    <n v="295.78800000000001"/>
    <n v="30"/>
    <n v="9.8596000000000004"/>
    <n v="294.20941383969642"/>
    <n v="78.876800000000003"/>
    <n v="0"/>
    <n v="373.08621383969643"/>
    <n v="233.25336309051471"/>
    <n v="62.534636909485286"/>
    <n v="0"/>
    <n v="295.78800000000001"/>
  </r>
  <r>
    <x v="0"/>
    <x v="1"/>
    <x v="0"/>
    <n v="0"/>
    <n v="22"/>
    <n v="0"/>
    <n v="20260302"/>
    <n v="20260323"/>
    <n v="9027.2248"/>
    <n v="22"/>
    <n v="410.32839999999999"/>
    <n v="0"/>
    <n v="9027.2248"/>
    <n v="0"/>
    <n v="9027.2248"/>
    <n v="0"/>
    <n v="9027.2248"/>
    <n v="0"/>
    <n v="9027.2248"/>
  </r>
  <r>
    <x v="0"/>
    <x v="1"/>
    <x v="0"/>
    <n v="22"/>
    <n v="2"/>
    <n v="0"/>
    <n v="20260207"/>
    <n v="20260302"/>
    <n v="85358.559899999993"/>
    <n v="24"/>
    <n v="3556.6066624999999"/>
    <n v="106128.76398966328"/>
    <n v="7113.2133249999997"/>
    <n v="0"/>
    <n v="113241.97731466328"/>
    <n v="79996.823377187873"/>
    <n v="5361.7365228121107"/>
    <n v="0"/>
    <n v="85358.559899999978"/>
  </r>
  <r>
    <x v="0"/>
    <x v="1"/>
    <x v="0"/>
    <n v="0"/>
    <n v="26"/>
    <n v="14"/>
    <n v="20260306"/>
    <n v="20260414"/>
    <n v="10738.986800000001"/>
    <n v="40"/>
    <n v="268.47467"/>
    <n v="0"/>
    <n v="6980.3414199999997"/>
    <n v="2332.6809292325829"/>
    <n v="9313.0223492325822"/>
    <n v="0"/>
    <n v="8049.1371713555809"/>
    <n v="2689.8496286444197"/>
    <n v="10738.986800000001"/>
  </r>
  <r>
    <x v="0"/>
    <x v="0"/>
    <x v="1"/>
    <n v="0"/>
    <n v="24"/>
    <n v="5"/>
    <n v="20260308"/>
    <n v="20260405"/>
    <n v="936.91790000000003"/>
    <n v="29"/>
    <n v="32.307513793103446"/>
    <n v="0"/>
    <n v="775.38033103448265"/>
    <n v="100.25303490601053"/>
    <n v="875.63336594049315"/>
    <n v="0"/>
    <n v="829.64827485057504"/>
    <n v="107.26962514942511"/>
    <n v="936.91790000000015"/>
  </r>
  <r>
    <x v="0"/>
    <x v="1"/>
    <x v="1"/>
    <n v="21"/>
    <n v="2"/>
    <n v="0"/>
    <n v="20260208"/>
    <n v="20260302"/>
    <n v="380.01429999999999"/>
    <n v="23"/>
    <n v="16.522360869565215"/>
    <n v="470.61523904868488"/>
    <n v="33.044721739130431"/>
    <n v="0"/>
    <n v="503.65996078781529"/>
    <n v="355.08186983273345"/>
    <n v="24.932430167266588"/>
    <n v="0"/>
    <n v="380.01430000000005"/>
  </r>
  <r>
    <x v="0"/>
    <x v="1"/>
    <x v="1"/>
    <n v="0"/>
    <n v="22"/>
    <n v="7"/>
    <n v="20260310"/>
    <n v="20260407"/>
    <n v="4375.1153999999997"/>
    <n v="29"/>
    <n v="150.86604827586206"/>
    <n v="0"/>
    <n v="3319.0530620689651"/>
    <n v="655.41072027723442"/>
    <n v="3974.4637823461994"/>
    <n v="0"/>
    <n v="3653.6350462609898"/>
    <n v="721.48035373901018"/>
    <n v="4375.1153999999997"/>
  </r>
  <r>
    <x v="0"/>
    <x v="1"/>
    <x v="0"/>
    <n v="0"/>
    <n v="27"/>
    <n v="9"/>
    <n v="20260305"/>
    <n v="20260409"/>
    <n v="22067.951700000001"/>
    <n v="36"/>
    <n v="612.99865833333342"/>
    <n v="0"/>
    <n v="16550.963775000004"/>
    <n v="3423.9390041776014"/>
    <n v="19974.902779177606"/>
    <n v="0"/>
    <n v="18285.23889267147"/>
    <n v="3782.7128073285317"/>
    <n v="22067.951700000001"/>
  </r>
  <r>
    <x v="0"/>
    <x v="0"/>
    <x v="0"/>
    <n v="0"/>
    <n v="15"/>
    <n v="20"/>
    <n v="20260317"/>
    <n v="20260420"/>
    <n v="15920.1685"/>
    <n v="35"/>
    <n v="454.86195714285714"/>
    <n v="0"/>
    <n v="6822.929357142857"/>
    <n v="5645.9054025498481"/>
    <n v="12468.834759692705"/>
    <n v="0"/>
    <n v="8711.4944678269167"/>
    <n v="7208.6740321730831"/>
    <n v="15920.1685"/>
  </r>
  <r>
    <x v="0"/>
    <x v="1"/>
    <x v="1"/>
    <n v="24"/>
    <n v="10"/>
    <n v="0"/>
    <n v="20260205"/>
    <n v="20260310"/>
    <n v="6674.1724000000004"/>
    <n v="34"/>
    <n v="196.29918823529414"/>
    <n v="6390.0511296324885"/>
    <n v="1962.9918823529415"/>
    <n v="0"/>
    <n v="8353.04301198543"/>
    <n v="5105.7204928536485"/>
    <n v="1568.4519071463515"/>
    <n v="0"/>
    <n v="6674.1723999999995"/>
  </r>
  <r>
    <x v="0"/>
    <x v="1"/>
    <x v="1"/>
    <n v="19"/>
    <n v="3"/>
    <n v="0"/>
    <n v="20260210"/>
    <n v="20260303"/>
    <n v="422.37639999999999"/>
    <n v="22"/>
    <n v="19.198927272727271"/>
    <n v="494.77204333358986"/>
    <n v="57.59678181818181"/>
    <n v="0"/>
    <n v="552.36882515177172"/>
    <n v="378.33423062292707"/>
    <n v="44.042169377072881"/>
    <n v="0"/>
    <n v="422.37639999999993"/>
  </r>
  <r>
    <x v="0"/>
    <x v="0"/>
    <x v="0"/>
    <n v="0"/>
    <n v="27"/>
    <n v="14"/>
    <n v="20260305"/>
    <n v="20260414"/>
    <n v="1871.3860999999999"/>
    <n v="41"/>
    <n v="45.643563414634144"/>
    <n v="0"/>
    <n v="1232.376212195122"/>
    <n v="396.58069016170163"/>
    <n v="1628.9569023568235"/>
    <n v="0"/>
    <n v="1415.784364912201"/>
    <n v="455.601735087799"/>
    <n v="1871.3860999999999"/>
  </r>
  <r>
    <x v="0"/>
    <x v="1"/>
    <x v="0"/>
    <n v="0"/>
    <n v="27"/>
    <n v="14"/>
    <n v="20260305"/>
    <n v="20260414"/>
    <n v="3609.1019000000001"/>
    <n v="41"/>
    <n v="88.026875609756104"/>
    <n v="0"/>
    <n v="2376.7256414634148"/>
    <n v="764.83421692931734"/>
    <n v="3141.5598583927322"/>
    <n v="0"/>
    <n v="2730.4413778615312"/>
    <n v="878.66052213846854"/>
    <n v="3609.1018999999997"/>
  </r>
  <r>
    <x v="0"/>
    <x v="1"/>
    <x v="0"/>
    <n v="0"/>
    <n v="16"/>
    <n v="0"/>
    <n v="20260303"/>
    <n v="20260318"/>
    <n v="1266.1806999999999"/>
    <n v="16"/>
    <n v="79.136293749999993"/>
    <n v="0"/>
    <n v="1266.1806999999999"/>
    <n v="0"/>
    <n v="1266.1806999999999"/>
    <n v="0"/>
    <n v="1266.1806999999999"/>
    <n v="0"/>
    <n v="1266.1806999999999"/>
  </r>
  <r>
    <x v="0"/>
    <x v="1"/>
    <x v="0"/>
    <n v="0"/>
    <n v="16"/>
    <n v="0"/>
    <n v="20260305"/>
    <n v="20260320"/>
    <n v="800.78790000000004"/>
    <n v="16"/>
    <n v="50.049243750000002"/>
    <n v="0"/>
    <n v="800.78790000000004"/>
    <n v="0"/>
    <n v="800.78790000000004"/>
    <n v="0"/>
    <n v="800.78790000000004"/>
    <n v="0"/>
    <n v="800.78790000000004"/>
  </r>
  <r>
    <x v="0"/>
    <x v="1"/>
    <x v="0"/>
    <n v="0"/>
    <n v="29"/>
    <n v="14"/>
    <n v="20260303"/>
    <n v="20260414"/>
    <n v="6712.5950999999995"/>
    <n v="43"/>
    <n v="156.10686279069768"/>
    <n v="0"/>
    <n v="4527.0990209302327"/>
    <n v="1356.3570140683587"/>
    <n v="5883.4560349985913"/>
    <n v="0"/>
    <n v="5165.0904713726395"/>
    <n v="1547.50462862736"/>
    <n v="6712.5950999999995"/>
  </r>
  <r>
    <x v="0"/>
    <x v="0"/>
    <x v="0"/>
    <n v="0"/>
    <n v="26"/>
    <n v="13"/>
    <n v="20260306"/>
    <n v="20260413"/>
    <n v="3301.4164000000001"/>
    <n v="39"/>
    <n v="84.651702564102564"/>
    <n v="0"/>
    <n v="2200.9442666666669"/>
    <n v="682.97221446801223"/>
    <n v="2883.9164811346791"/>
    <n v="0"/>
    <n v="2519.5714040236012"/>
    <n v="781.84499597639865"/>
    <n v="3301.4164000000001"/>
  </r>
  <r>
    <x v="0"/>
    <x v="0"/>
    <x v="1"/>
    <n v="0"/>
    <n v="15"/>
    <n v="20"/>
    <n v="20260317"/>
    <n v="20260420"/>
    <n v="135935.59940000001"/>
    <n v="35"/>
    <n v="3883.8742685714287"/>
    <n v="0"/>
    <n v="58258.114028571428"/>
    <n v="48208.003266505119"/>
    <n v="106466.11729507655"/>
    <n v="0"/>
    <n v="74383.774402503084"/>
    <n v="61551.824997496915"/>
    <n v="135935.59940000001"/>
  </r>
  <r>
    <x v="0"/>
    <x v="1"/>
    <x v="1"/>
    <n v="0"/>
    <n v="15"/>
    <n v="20"/>
    <n v="20260317"/>
    <n v="20260420"/>
    <n v="101951.6995"/>
    <n v="35"/>
    <n v="2912.9057000000003"/>
    <n v="0"/>
    <n v="43693.585500000001"/>
    <n v="36156.00243214691"/>
    <n v="79849.587932146911"/>
    <n v="0"/>
    <n v="55787.830774517388"/>
    <n v="46163.868725482615"/>
    <n v="101951.6995"/>
  </r>
  <r>
    <x v="0"/>
    <x v="1"/>
    <x v="0"/>
    <n v="0"/>
    <n v="12"/>
    <n v="0"/>
    <n v="20260302"/>
    <n v="20260313"/>
    <n v="3173.2338"/>
    <n v="12"/>
    <n v="264.43615"/>
    <n v="0"/>
    <n v="3173.2338"/>
    <n v="0"/>
    <n v="3173.2338"/>
    <n v="0"/>
    <n v="3173.2338"/>
    <n v="0"/>
    <n v="3173.2338"/>
  </r>
  <r>
    <x v="0"/>
    <x v="1"/>
    <x v="0"/>
    <n v="0"/>
    <n v="28"/>
    <n v="10"/>
    <n v="20260304"/>
    <n v="20260410"/>
    <n v="16434.8999"/>
    <n v="38"/>
    <n v="432.49736578947369"/>
    <n v="0"/>
    <n v="12109.926242105263"/>
    <n v="2684.154143641063"/>
    <n v="14794.080385746325"/>
    <n v="0"/>
    <n v="13453.044758168171"/>
    <n v="2981.8551418318293"/>
    <n v="16434.8999"/>
  </r>
  <r>
    <x v="0"/>
    <x v="1"/>
    <x v="0"/>
    <n v="19"/>
    <n v="1"/>
    <n v="0"/>
    <n v="20260210"/>
    <n v="20260301"/>
    <n v="11483.263499999999"/>
    <n v="20"/>
    <n v="574.16317499999991"/>
    <n v="14796.654170631535"/>
    <n v="574.16317499999991"/>
    <n v="0"/>
    <n v="15370.817345631534"/>
    <n v="11054.316432172442"/>
    <n v="428.94706782755776"/>
    <n v="0"/>
    <n v="11483.263499999999"/>
  </r>
  <r>
    <x v="0"/>
    <x v="0"/>
    <x v="0"/>
    <n v="0"/>
    <n v="28"/>
    <n v="11"/>
    <n v="20260304"/>
    <n v="20260411"/>
    <n v="2033.5794000000001"/>
    <n v="39"/>
    <n v="52.143061538461538"/>
    <n v="0"/>
    <n v="1460.005723076923"/>
    <n v="355.96983551246126"/>
    <n v="1815.9755585893843"/>
    <n v="0"/>
    <n v="1634.9545831099335"/>
    <n v="398.62481689006654"/>
    <n v="2033.5794000000001"/>
  </r>
  <r>
    <x v="0"/>
    <x v="1"/>
    <x v="0"/>
    <n v="0"/>
    <n v="21"/>
    <n v="7"/>
    <n v="20260311"/>
    <n v="20260407"/>
    <n v="3409.4827"/>
    <n v="28"/>
    <n v="121.76723928571428"/>
    <n v="0"/>
    <n v="2557.1120249999999"/>
    <n v="528.99611886493108"/>
    <n v="3086.1081438649308"/>
    <n v="0"/>
    <n v="2825.0562860317723"/>
    <n v="584.42641396822808"/>
    <n v="3409.4827000000005"/>
  </r>
  <r>
    <x v="0"/>
    <x v="1"/>
    <x v="0"/>
    <n v="0"/>
    <n v="20"/>
    <n v="3"/>
    <n v="20260312"/>
    <n v="20260403"/>
    <n v="9374.0892000000003"/>
    <n v="23"/>
    <n v="407.56909565217393"/>
    <n v="0"/>
    <n v="8151.3819130434786"/>
    <n v="758.83348439676149"/>
    <n v="8910.2153974402408"/>
    <n v="0"/>
    <n v="8575.7501640294886"/>
    <n v="798.33903597051165"/>
    <n v="9374.0892000000003"/>
  </r>
  <r>
    <x v="0"/>
    <x v="1"/>
    <x v="0"/>
    <n v="0"/>
    <n v="11"/>
    <n v="0"/>
    <n v="20260303"/>
    <n v="20260313"/>
    <n v="592.14329999999995"/>
    <n v="11"/>
    <n v="53.831209090909084"/>
    <n v="0"/>
    <n v="592.14329999999995"/>
    <n v="0"/>
    <n v="592.14329999999995"/>
    <n v="0"/>
    <n v="592.14329999999995"/>
    <n v="0"/>
    <n v="592.14329999999995"/>
  </r>
  <r>
    <x v="0"/>
    <x v="0"/>
    <x v="0"/>
    <n v="1"/>
    <n v="31"/>
    <n v="3"/>
    <n v="20260228"/>
    <n v="20260403"/>
    <n v="3973.2127"/>
    <n v="35"/>
    <n v="113.52036285714286"/>
    <n v="153.97434256538918"/>
    <n v="3519.1312485714284"/>
    <n v="211.35815599322649"/>
    <n v="3884.4637471300439"/>
    <n v="157.49221853517119"/>
    <n v="3599.5333925104487"/>
    <n v="216.18708895438041"/>
    <n v="3973.2127"/>
  </r>
  <r>
    <x v="0"/>
    <x v="1"/>
    <x v="0"/>
    <n v="2"/>
    <n v="31"/>
    <n v="2"/>
    <n v="20260227"/>
    <n v="20260402"/>
    <n v="59916.9882"/>
    <n v="35"/>
    <n v="1711.9139485714286"/>
    <n v="4643.9390806302317"/>
    <n v="53069.332405714289"/>
    <n v="2124.8873551991333"/>
    <n v="59838.158841543656"/>
    <n v="4650.0568948398204"/>
    <n v="53139.244674210495"/>
    <n v="2127.6866309496772"/>
    <n v="59916.988199999993"/>
  </r>
  <r>
    <x v="0"/>
    <x v="1"/>
    <x v="0"/>
    <n v="4"/>
    <n v="4"/>
    <n v="0"/>
    <n v="20260225"/>
    <n v="20260304"/>
    <n v="1992.4612999999999"/>
    <n v="8"/>
    <n v="249.05766249999999"/>
    <n v="1351.2462039103548"/>
    <n v="996.23064999999997"/>
    <n v="0"/>
    <n v="2347.4768539103547"/>
    <n v="1146.8934245628579"/>
    <n v="845.56787543714199"/>
    <n v="0"/>
    <n v="1992.4612999999999"/>
  </r>
  <r>
    <x v="0"/>
    <x v="1"/>
    <x v="0"/>
    <n v="17"/>
    <n v="2"/>
    <n v="0"/>
    <n v="20260212"/>
    <n v="20260302"/>
    <n v="29357.223300000001"/>
    <n v="19"/>
    <n v="1545.1170157894737"/>
    <n v="35627.461910660924"/>
    <n v="3090.2340315789475"/>
    <n v="0"/>
    <n v="38717.695942239872"/>
    <n v="27014.090830297722"/>
    <n v="2343.1324697022787"/>
    <n v="0"/>
    <n v="29357.223300000001"/>
  </r>
  <r>
    <x v="0"/>
    <x v="1"/>
    <x v="1"/>
    <n v="3"/>
    <n v="31"/>
    <n v="3"/>
    <n v="20260226"/>
    <n v="20260403"/>
    <n v="931.1626"/>
    <n v="37"/>
    <n v="25.166556756756755"/>
    <n v="102.40464178570109"/>
    <n v="780.16325945945937"/>
    <n v="46.856413201398546"/>
    <n v="929.42431444655904"/>
    <n v="102.59616734260175"/>
    <n v="781.62238475042113"/>
    <n v="46.944047906977076"/>
    <n v="931.1626"/>
  </r>
  <r>
    <x v="0"/>
    <x v="1"/>
    <x v="0"/>
    <n v="28"/>
    <n v="2"/>
    <n v="0"/>
    <n v="20260129"/>
    <n v="20260302"/>
    <n v="1940.5224000000001"/>
    <n v="30"/>
    <n v="64.684080000000009"/>
    <n v="2456.5749824060763"/>
    <n v="129.36816000000002"/>
    <n v="0"/>
    <n v="2585.9431424060763"/>
    <n v="1843.4429985970737"/>
    <n v="97.07940140292628"/>
    <n v="0"/>
    <n v="1940.5224000000001"/>
  </r>
  <r>
    <x v="0"/>
    <x v="1"/>
    <x v="0"/>
    <n v="28"/>
    <n v="1"/>
    <n v="0"/>
    <n v="20260130"/>
    <n v="20260301"/>
    <n v="2067.0297999999998"/>
    <n v="29"/>
    <n v="71.276889655172411"/>
    <n v="2706.9570124614124"/>
    <n v="71.276889655172411"/>
    <n v="0"/>
    <n v="2778.2339021165849"/>
    <n v="2013.9991840909831"/>
    <n v="53.030615909016618"/>
    <n v="0"/>
    <n v="2067.0297999999998"/>
  </r>
  <r>
    <x v="0"/>
    <x v="1"/>
    <x v="0"/>
    <n v="28"/>
    <n v="2"/>
    <n v="0"/>
    <n v="20260130"/>
    <n v="20260302"/>
    <n v="9999.3140999999996"/>
    <n v="30"/>
    <n v="333.31047000000001"/>
    <n v="12658.480447986754"/>
    <n v="666.62094000000002"/>
    <n v="0"/>
    <n v="13325.101387986755"/>
    <n v="9499.0738413625113"/>
    <n v="500.24025863748869"/>
    <n v="0"/>
    <n v="9999.3140999999996"/>
  </r>
  <r>
    <x v="0"/>
    <x v="1"/>
    <x v="0"/>
    <n v="28"/>
    <n v="4"/>
    <n v="0"/>
    <n v="20260131"/>
    <n v="20260304"/>
    <n v="3081.4002999999998"/>
    <n v="32"/>
    <n v="96.293759374999993"/>
    <n v="3657.0488479152136"/>
    <n v="385.17503749999997"/>
    <n v="0"/>
    <n v="4042.2238854152138"/>
    <n v="2787.7801271076969"/>
    <n v="293.62017289230278"/>
    <n v="0"/>
    <n v="3081.4002999999998"/>
  </r>
  <r>
    <x v="0"/>
    <x v="1"/>
    <x v="0"/>
    <n v="18"/>
    <n v="1"/>
    <n v="0"/>
    <n v="20260211"/>
    <n v="20260301"/>
    <n v="9880.6026000000002"/>
    <n v="19"/>
    <n v="520.03171578947365"/>
    <n v="12696.292644402443"/>
    <n v="520.03171578947365"/>
    <n v="0"/>
    <n v="13216.324360191917"/>
    <n v="9491.8238001554328"/>
    <n v="388.77879984456746"/>
    <n v="0"/>
    <n v="9880.6026000000002"/>
  </r>
  <r>
    <x v="0"/>
    <x v="1"/>
    <x v="1"/>
    <n v="28"/>
    <n v="3"/>
    <n v="0"/>
    <n v="20260131"/>
    <n v="20260303"/>
    <n v="11986.229600000001"/>
    <n v="31"/>
    <n v="386.65256774193551"/>
    <n v="14684.309103536903"/>
    <n v="1159.9577032258067"/>
    <n v="0"/>
    <n v="15844.266806762709"/>
    <n v="11108.718540212822"/>
    <n v="877.51105978717976"/>
    <n v="0"/>
    <n v="11986.229600000001"/>
  </r>
  <r>
    <x v="0"/>
    <x v="1"/>
    <x v="0"/>
    <n v="15"/>
    <n v="3"/>
    <n v="0"/>
    <n v="20260214"/>
    <n v="20260303"/>
    <n v="42.242600000000003"/>
    <n v="18"/>
    <n v="2.3468111111111112"/>
    <n v="47.746768359067218"/>
    <n v="7.0404333333333335"/>
    <n v="0"/>
    <n v="54.787201692400551"/>
    <n v="36.814211618413445"/>
    <n v="5.4283883815865606"/>
    <n v="0"/>
    <n v="42.242600000000003"/>
  </r>
  <r>
    <x v="0"/>
    <x v="0"/>
    <x v="0"/>
    <n v="0"/>
    <n v="14"/>
    <n v="7"/>
    <n v="20260318"/>
    <n v="20260407"/>
    <n v="2597.9515000000001"/>
    <n v="21"/>
    <n v="123.71197619047619"/>
    <n v="0"/>
    <n v="1731.9676666666667"/>
    <n v="537.44468254155822"/>
    <n v="2269.4123492082249"/>
    <n v="0"/>
    <n v="1982.701821085102"/>
    <n v="615.24967891489814"/>
    <n v="2597.9515000000001"/>
  </r>
  <r>
    <x v="0"/>
    <x v="0"/>
    <x v="0"/>
    <n v="0"/>
    <n v="19"/>
    <n v="6"/>
    <n v="20260313"/>
    <n v="20260406"/>
    <n v="5244.1346000000003"/>
    <n v="25"/>
    <n v="209.76538400000001"/>
    <n v="0"/>
    <n v="3985.5422960000001"/>
    <n v="781.10435233975113"/>
    <n v="4766.6466483397508"/>
    <n v="0"/>
    <n v="4384.7849014562216"/>
    <n v="859.34969854377914"/>
    <n v="5244.1346000000012"/>
  </r>
  <r>
    <x v="0"/>
    <x v="0"/>
    <x v="1"/>
    <n v="0"/>
    <n v="14"/>
    <n v="6"/>
    <n v="20260318"/>
    <n v="20260406"/>
    <n v="1984.4128000000001"/>
    <n v="20"/>
    <n v="99.220640000000003"/>
    <n v="0"/>
    <n v="1389.08896"/>
    <n v="369.46836636275316"/>
    <n v="1758.5573263627532"/>
    <n v="0"/>
    <n v="1567.4927801552233"/>
    <n v="416.9200198447769"/>
    <n v="1984.4128000000001"/>
  </r>
  <r>
    <x v="0"/>
    <x v="1"/>
    <x v="1"/>
    <n v="0"/>
    <n v="8"/>
    <n v="1"/>
    <n v="20260324"/>
    <n v="20260401"/>
    <n v="6203.1157999999996"/>
    <n v="9"/>
    <n v="689.23508888888887"/>
    <n v="0"/>
    <n v="5513.8807111111109"/>
    <n v="427.75132662529478"/>
    <n v="5941.6320377364054"/>
    <n v="0"/>
    <n v="5756.5396748195526"/>
    <n v="446.57612518044687"/>
    <n v="6203.1157999999996"/>
  </r>
  <r>
    <x v="0"/>
    <x v="0"/>
    <x v="0"/>
    <n v="0"/>
    <n v="8"/>
    <n v="5"/>
    <n v="20260324"/>
    <n v="20260405"/>
    <n v="292.23660000000001"/>
    <n v="13"/>
    <n v="22.479738461538464"/>
    <n v="0"/>
    <n v="179.83790769230771"/>
    <n v="69.756590342884351"/>
    <n v="249.59449803519206"/>
    <n v="0"/>
    <n v="210.56240866216422"/>
    <n v="81.674191337835794"/>
    <n v="292.23660000000001"/>
  </r>
  <r>
    <x v="0"/>
    <x v="1"/>
    <x v="0"/>
    <n v="0"/>
    <n v="20"/>
    <n v="5"/>
    <n v="20260312"/>
    <n v="20260405"/>
    <n v="235.7782"/>
    <n v="25"/>
    <n v="9.4311279999999993"/>
    <n v="0"/>
    <n v="188.62255999999999"/>
    <n v="29.265613276280178"/>
    <n v="217.88817327628016"/>
    <n v="0"/>
    <n v="204.10969079905288"/>
    <n v="31.668509200947138"/>
    <n v="235.77820000000003"/>
  </r>
  <r>
    <x v="0"/>
    <x v="0"/>
    <x v="1"/>
    <n v="0"/>
    <n v="12"/>
    <n v="2"/>
    <n v="20260320"/>
    <n v="20260402"/>
    <n v="24.116"/>
    <n v="14"/>
    <n v="1.7225714285714286"/>
    <n v="0"/>
    <n v="20.670857142857145"/>
    <n v="2.1381157914235041"/>
    <n v="22.80897293428065"/>
    <n v="0"/>
    <n v="21.85536333851871"/>
    <n v="2.2606366614812861"/>
    <n v="24.115999999999996"/>
  </r>
  <r>
    <x v="0"/>
    <x v="1"/>
    <x v="0"/>
    <n v="0"/>
    <n v="15"/>
    <n v="6"/>
    <n v="20260317"/>
    <n v="20260406"/>
    <n v="2737.8031000000001"/>
    <n v="21"/>
    <n v="130.37157619047619"/>
    <n v="0"/>
    <n v="1955.5736428571429"/>
    <n v="485.46525476183632"/>
    <n v="2441.0388976189793"/>
    <n v="0"/>
    <n v="2193.3184214782141"/>
    <n v="544.48467852178612"/>
    <n v="2737.8031000000001"/>
  </r>
  <r>
    <x v="0"/>
    <x v="1"/>
    <x v="0"/>
    <n v="0"/>
    <n v="19"/>
    <n v="3"/>
    <n v="20260313"/>
    <n v="20260403"/>
    <n v="4073.6795000000002"/>
    <n v="22"/>
    <n v="185.16725"/>
    <n v="0"/>
    <n v="3518.1777499999998"/>
    <n v="344.75408222212388"/>
    <n v="3862.9318322221238"/>
    <n v="0"/>
    <n v="3710.1168749557728"/>
    <n v="363.56262504422693"/>
    <n v="4073.6794999999997"/>
  </r>
  <r>
    <x v="0"/>
    <x v="0"/>
    <x v="0"/>
    <n v="0"/>
    <n v="26"/>
    <n v="7"/>
    <n v="20260306"/>
    <n v="20260407"/>
    <n v="313800.5307"/>
    <n v="33"/>
    <n v="9509.1069909090911"/>
    <n v="0"/>
    <n v="247236.78176363636"/>
    <n v="41310.624446853537"/>
    <n v="288547.40621048992"/>
    <n v="0"/>
    <n v="268874.47835657827"/>
    <n v="44926.052343421696"/>
    <n v="313800.53069999994"/>
  </r>
  <r>
    <x v="0"/>
    <x v="1"/>
    <x v="1"/>
    <n v="9"/>
    <n v="16"/>
    <n v="0"/>
    <n v="20260220"/>
    <n v="20260316"/>
    <n v="17060500.6886"/>
    <n v="25"/>
    <n v="682420.02754399995"/>
    <n v="8330457.6557859043"/>
    <n v="10918720.440703999"/>
    <n v="0"/>
    <n v="19249178.096489903"/>
    <n v="7383264.7742401296"/>
    <n v="9677235.9143598732"/>
    <n v="0"/>
    <n v="17060500.688600004"/>
  </r>
  <r>
    <x v="0"/>
    <x v="1"/>
    <x v="0"/>
    <n v="23"/>
    <n v="5"/>
    <n v="0"/>
    <n v="20260206"/>
    <n v="20260305"/>
    <n v="2923506.5375999999"/>
    <n v="28"/>
    <n v="104410.94777142857"/>
    <n v="3257230.2678350434"/>
    <n v="522054.73885714286"/>
    <n v="0"/>
    <n v="3779285.006692186"/>
    <n v="2519665.4831859143"/>
    <n v="403841.05441408587"/>
    <n v="0"/>
    <n v="2923506.5376000004"/>
  </r>
  <r>
    <x v="0"/>
    <x v="1"/>
    <x v="0"/>
    <n v="9"/>
    <n v="16"/>
    <n v="0"/>
    <n v="20260220"/>
    <n v="20260316"/>
    <n v="5676662.2922"/>
    <n v="25"/>
    <n v="227066.49168800001"/>
    <n v="2771852.6973225218"/>
    <n v="3633063.8670080001"/>
    <n v="0"/>
    <n v="6404916.564330522"/>
    <n v="2456686.4421079806"/>
    <n v="3219975.8500920199"/>
    <n v="0"/>
    <n v="5676662.292200001"/>
  </r>
  <r>
    <x v="0"/>
    <x v="1"/>
    <x v="0"/>
    <n v="0"/>
    <n v="29"/>
    <n v="2"/>
    <n v="20260303"/>
    <n v="20260402"/>
    <n v="3997759.5296999998"/>
    <n v="31"/>
    <n v="128959.98482903226"/>
    <n v="0"/>
    <n v="3739839.5600419352"/>
    <n v="160069.63511136387"/>
    <n v="3899909.1951532993"/>
    <n v="0"/>
    <n v="3833673.6812455454"/>
    <n v="164085.84845445416"/>
    <n v="3997759.5296999994"/>
  </r>
  <r>
    <x v="0"/>
    <x v="1"/>
    <x v="0"/>
    <n v="24"/>
    <n v="5"/>
    <n v="0"/>
    <n v="20260205"/>
    <n v="20260305"/>
    <n v="3351997.0227000001"/>
    <n v="29"/>
    <n v="115586.10423103449"/>
    <n v="3762629.4971022289"/>
    <n v="577930.52115517249"/>
    <n v="0"/>
    <n v="4340560.0182574019"/>
    <n v="2905690.2378401668"/>
    <n v="446306.78485983267"/>
    <n v="0"/>
    <n v="3351997.0226999996"/>
  </r>
  <r>
    <x v="0"/>
    <x v="1"/>
    <x v="0"/>
    <n v="25"/>
    <n v="6"/>
    <n v="0"/>
    <n v="20260204"/>
    <n v="20260306"/>
    <n v="1394608.3317"/>
    <n v="31"/>
    <n v="44987.365538709673"/>
    <n v="1525475.2227335346"/>
    <n v="269924.19323225803"/>
    <n v="0"/>
    <n v="1795399.4159657927"/>
    <n v="1184939.9284123606"/>
    <n v="209668.40328763926"/>
    <n v="0"/>
    <n v="1394608.3317"/>
  </r>
  <r>
    <x v="0"/>
    <x v="1"/>
    <x v="0"/>
    <n v="26"/>
    <n v="4"/>
    <n v="0"/>
    <n v="20260203"/>
    <n v="20260304"/>
    <n v="3502651.1131000002"/>
    <n v="30"/>
    <n v="116755.03710333334"/>
    <n v="4117404.7571268626"/>
    <n v="467020.14841333334"/>
    <n v="0"/>
    <n v="4584424.9055401962"/>
    <n v="3145832.3896210212"/>
    <n v="356818.7234789785"/>
    <n v="0"/>
    <n v="3502651.1130999997"/>
  </r>
  <r>
    <x v="0"/>
    <x v="0"/>
    <x v="1"/>
    <n v="0"/>
    <n v="30"/>
    <n v="2"/>
    <n v="20260302"/>
    <n v="20260402"/>
    <n v="88803.210900000005"/>
    <n v="32"/>
    <n v="2775.1003406250002"/>
    <n v="0"/>
    <n v="83253.010218750002"/>
    <n v="3444.5514204283795"/>
    <n v="86697.561639178384"/>
    <n v="0"/>
    <n v="85275.000642862084"/>
    <n v="3528.2102571379169"/>
    <n v="88803.210900000005"/>
  </r>
  <r>
    <x v="0"/>
    <x v="0"/>
    <x v="0"/>
    <n v="0"/>
    <n v="26"/>
    <n v="2"/>
    <n v="20260306"/>
    <n v="20260402"/>
    <n v="247830.47700000001"/>
    <n v="28"/>
    <n v="8851.0884642857145"/>
    <n v="0"/>
    <n v="230128.30007142859"/>
    <n v="10986.279989834953"/>
    <n v="241114.58006126355"/>
    <n v="0"/>
    <n v="236538.19011446805"/>
    <n v="11292.286885531958"/>
    <n v="247830.47700000001"/>
  </r>
  <r>
    <x v="0"/>
    <x v="1"/>
    <x v="1"/>
    <n v="27"/>
    <n v="3"/>
    <n v="0"/>
    <n v="20260202"/>
    <n v="20260303"/>
    <n v="459145.75069999998"/>
    <n v="30"/>
    <n v="15304.858356666666"/>
    <n v="560489.73940668313"/>
    <n v="45914.575069999999"/>
    <n v="0"/>
    <n v="606404.31447668315"/>
    <n v="424381.02107108955"/>
    <n v="34764.729628910412"/>
    <n v="0"/>
    <n v="459145.75069999998"/>
  </r>
  <r>
    <x v="0"/>
    <x v="0"/>
    <x v="1"/>
    <n v="0"/>
    <n v="27"/>
    <n v="2"/>
    <n v="20260305"/>
    <n v="20260402"/>
    <n v="155802.12770000001"/>
    <n v="29"/>
    <n v="5372.4871620689655"/>
    <n v="0"/>
    <n v="145057.15337586208"/>
    <n v="6668.5186169412755"/>
    <n v="151725.67199280334"/>
    <n v="0"/>
    <n v="148954.44414401095"/>
    <n v="6847.6835559890778"/>
    <n v="155802.12770000004"/>
  </r>
  <r>
    <x v="0"/>
    <x v="1"/>
    <x v="0"/>
    <n v="0"/>
    <n v="16"/>
    <n v="15"/>
    <n v="20260316"/>
    <n v="20260415"/>
    <n v="2793948.2349"/>
    <n v="31"/>
    <n v="90127.362416129035"/>
    <n v="0"/>
    <n v="1442037.7986580646"/>
    <n v="839019.21405846078"/>
    <n v="2281057.0127165252"/>
    <n v="0"/>
    <n v="1766277.1863039252"/>
    <n v="1027671.0485960749"/>
    <n v="2793948.2349"/>
  </r>
  <r>
    <x v="0"/>
    <x v="1"/>
    <x v="1"/>
    <n v="0"/>
    <n v="30"/>
    <n v="7"/>
    <n v="20260302"/>
    <n v="20260407"/>
    <n v="201864.16039999999"/>
    <n v="37"/>
    <n v="5455.7881189189184"/>
    <n v="0"/>
    <n v="163673.64356756755"/>
    <n v="23701.701354053006"/>
    <n v="187375.34492162056"/>
    <n v="0"/>
    <n v="176329.72284692261"/>
    <n v="25534.437553077365"/>
    <n v="201864.16039999996"/>
  </r>
  <r>
    <x v="0"/>
    <x v="1"/>
    <x v="1"/>
    <n v="25"/>
    <n v="5"/>
    <n v="0"/>
    <n v="20260204"/>
    <n v="20260305"/>
    <n v="530332.66319999995"/>
    <n v="30"/>
    <n v="17677.755439999997"/>
    <n v="599434.47664342646"/>
    <n v="88388.777199999982"/>
    <n v="0"/>
    <n v="687823.25384342647"/>
    <n v="462182.22579106351"/>
    <n v="68150.437408936428"/>
    <n v="0"/>
    <n v="530332.66319999995"/>
  </r>
  <r>
    <x v="0"/>
    <x v="1"/>
    <x v="1"/>
    <n v="13"/>
    <n v="15"/>
    <n v="0"/>
    <n v="20260216"/>
    <n v="20260315"/>
    <n v="7298599.2774999999"/>
    <n v="28"/>
    <n v="260664.25991071429"/>
    <n v="4596205.3989133053"/>
    <n v="3909963.8986607143"/>
    <n v="0"/>
    <n v="8506169.2975740191"/>
    <n v="3943709.5865606167"/>
    <n v="3354889.6909393836"/>
    <n v="0"/>
    <n v="7298599.2774999999"/>
  </r>
  <r>
    <x v="0"/>
    <x v="1"/>
    <x v="0"/>
    <n v="26"/>
    <n v="3"/>
    <n v="0"/>
    <n v="20260203"/>
    <n v="20260303"/>
    <n v="10011445.515000001"/>
    <n v="29"/>
    <n v="345222.25913793105"/>
    <n v="12174376.432107002"/>
    <n v="1035666.7774137931"/>
    <n v="0"/>
    <n v="13210043.209520794"/>
    <n v="9226548.6490835454"/>
    <n v="784896.86591645528"/>
    <n v="0"/>
    <n v="10011445.515000001"/>
  </r>
  <r>
    <x v="0"/>
    <x v="1"/>
    <x v="0"/>
    <n v="24"/>
    <n v="3"/>
    <n v="0"/>
    <n v="20260205"/>
    <n v="20260303"/>
    <n v="3180579.8144999999"/>
    <n v="27"/>
    <n v="117799.25238888888"/>
    <n v="3834673.2483437783"/>
    <n v="353397.75716666668"/>
    <n v="0"/>
    <n v="4188071.0055104448"/>
    <n v="2912196.1668839594"/>
    <n v="268383.64761604078"/>
    <n v="0"/>
    <n v="3180579.8145000003"/>
  </r>
  <r>
    <x v="0"/>
    <x v="0"/>
    <x v="0"/>
    <n v="0"/>
    <n v="26"/>
    <n v="4"/>
    <n v="20260306"/>
    <n v="20260404"/>
    <n v="62700.675499999998"/>
    <n v="30"/>
    <n v="2090.0225166666664"/>
    <n v="0"/>
    <n v="54340.585433333326"/>
    <n v="5188.4178190761068"/>
    <n v="59529.003252409435"/>
    <n v="0"/>
    <n v="57235.821659714311"/>
    <n v="5464.8538402856839"/>
    <n v="62700.675499999998"/>
  </r>
  <r>
    <x v="0"/>
    <x v="1"/>
    <x v="0"/>
    <n v="0"/>
    <n v="30"/>
    <n v="3"/>
    <n v="20260302"/>
    <n v="20260403"/>
    <n v="2923093.6124"/>
    <n v="33"/>
    <n v="88578.594315151509"/>
    <n v="0"/>
    <n v="2657357.8294545454"/>
    <n v="164920.26526097837"/>
    <n v="2822278.0947155235"/>
    <n v="0"/>
    <n v="2752282.1764744162"/>
    <n v="170811.43592558385"/>
    <n v="2923093.6124"/>
  </r>
  <r>
    <x v="0"/>
    <x v="1"/>
    <x v="0"/>
    <n v="13"/>
    <n v="15"/>
    <n v="0"/>
    <n v="20260216"/>
    <n v="20260315"/>
    <n v="3938011.9172"/>
    <n v="28"/>
    <n v="140643.28275714285"/>
    <n v="2479915.7957085934"/>
    <n v="2109649.2413571426"/>
    <n v="0"/>
    <n v="4589565.037065736"/>
    <n v="2127856.9708201922"/>
    <n v="1810154.9463798073"/>
    <n v="0"/>
    <n v="3938011.9171999996"/>
  </r>
  <r>
    <x v="0"/>
    <x v="1"/>
    <x v="1"/>
    <n v="0"/>
    <n v="25"/>
    <n v="3"/>
    <n v="20260307"/>
    <n v="20260403"/>
    <n v="317177.33960000001"/>
    <n v="28"/>
    <n v="11327.762128571429"/>
    <n v="0"/>
    <n v="283194.0532142857"/>
    <n v="21090.620702452379"/>
    <n v="304284.67391673807"/>
    <n v="0"/>
    <n v="295193.10070025519"/>
    <n v="21984.238899744843"/>
    <n v="317177.33960000006"/>
  </r>
  <r>
    <x v="0"/>
    <x v="1"/>
    <x v="0"/>
    <n v="0"/>
    <n v="30"/>
    <n v="4"/>
    <n v="20260302"/>
    <n v="20260404"/>
    <n v="496575.66489999997"/>
    <n v="34"/>
    <n v="14605.166614705882"/>
    <n v="0"/>
    <n v="438154.99844117649"/>
    <n v="36256.885325413503"/>
    <n v="474411.88376658998"/>
    <n v="0"/>
    <n v="458624.91460528696"/>
    <n v="37950.750294712998"/>
    <n v="496575.66489999997"/>
  </r>
  <r>
    <x v="0"/>
    <x v="0"/>
    <x v="0"/>
    <n v="0"/>
    <n v="23"/>
    <n v="4"/>
    <n v="20260309"/>
    <n v="20260404"/>
    <n v="20228.204600000001"/>
    <n v="27"/>
    <n v="749.192762962963"/>
    <n v="0"/>
    <n v="17231.43354814815"/>
    <n v="1859.8484228195753"/>
    <n v="19091.281970967724"/>
    <n v="0"/>
    <n v="18257.598619794335"/>
    <n v="1970.6059802056695"/>
    <n v="20228.204600000005"/>
  </r>
  <r>
    <x v="0"/>
    <x v="1"/>
    <x v="0"/>
    <n v="0"/>
    <n v="23"/>
    <n v="4"/>
    <n v="20260309"/>
    <n v="20260404"/>
    <n v="116312.1781"/>
    <n v="27"/>
    <n v="4307.8584481481485"/>
    <n v="0"/>
    <n v="99080.744307407411"/>
    <n v="10694.128582919047"/>
    <n v="109774.87289032646"/>
    <n v="0"/>
    <n v="104981.1935530765"/>
    <n v="11330.984546923502"/>
    <n v="116312.1781"/>
  </r>
  <r>
    <x v="0"/>
    <x v="1"/>
    <x v="0"/>
    <n v="23"/>
    <n v="1"/>
    <n v="0"/>
    <n v="20260206"/>
    <n v="20260301"/>
    <n v="948422.65410000004"/>
    <n v="24"/>
    <n v="39517.610587499999"/>
    <n v="1232801.3495280852"/>
    <n v="39517.610587499999"/>
    <n v="0"/>
    <n v="1272318.9601155852"/>
    <n v="918965.10588136606"/>
    <n v="29457.548218633914"/>
    <n v="0"/>
    <n v="948422.65409999993"/>
  </r>
  <r>
    <x v="0"/>
    <x v="0"/>
    <x v="0"/>
    <n v="0"/>
    <n v="25"/>
    <n v="8"/>
    <n v="20260307"/>
    <n v="20260408"/>
    <n v="40013.896699999998"/>
    <n v="33"/>
    <n v="1212.5423242424242"/>
    <n v="0"/>
    <n v="30313.558106060605"/>
    <n v="6020.1994488719847"/>
    <n v="36333.757554932592"/>
    <n v="0"/>
    <n v="33383.92900408087"/>
    <n v="6629.9676959191247"/>
    <n v="40013.896699999998"/>
  </r>
  <r>
    <x v="0"/>
    <x v="0"/>
    <x v="1"/>
    <n v="0"/>
    <n v="27"/>
    <n v="5"/>
    <n v="20260305"/>
    <n v="20260405"/>
    <n v="34082.500899999999"/>
    <n v="32"/>
    <n v="1065.078153125"/>
    <n v="0"/>
    <n v="28757.110134374998"/>
    <n v="3305.0304627793166"/>
    <n v="32062.140597154314"/>
    <n v="0"/>
    <n v="30569.2076006686"/>
    <n v="3513.2932993313993"/>
    <n v="34082.500899999999"/>
  </r>
  <r>
    <x v="0"/>
    <x v="1"/>
    <x v="0"/>
    <n v="23"/>
    <n v="9"/>
    <n v="0"/>
    <n v="20260206"/>
    <n v="20260309"/>
    <n v="16392.807100000002"/>
    <n v="32"/>
    <n v="512.27522187500006"/>
    <n v="15981.067060189684"/>
    <n v="4610.4769968750006"/>
    <n v="0"/>
    <n v="20591.544057064682"/>
    <n v="12722.433482591299"/>
    <n v="3670.3736174087039"/>
    <n v="0"/>
    <n v="16392.807100000002"/>
  </r>
  <r>
    <x v="0"/>
    <x v="1"/>
    <x v="0"/>
    <n v="24"/>
    <n v="6"/>
    <n v="0"/>
    <n v="20260205"/>
    <n v="20260306"/>
    <n v="628690.73309999995"/>
    <n v="30"/>
    <n v="20956.357769999999"/>
    <n v="682184.164106971"/>
    <n v="125738.14661999998"/>
    <n v="0"/>
    <n v="807922.31072697102"/>
    <n v="530846.6625407486"/>
    <n v="97844.070559251253"/>
    <n v="0"/>
    <n v="628690.73309999984"/>
  </r>
  <r>
    <x v="0"/>
    <x v="0"/>
    <x v="0"/>
    <n v="0"/>
    <n v="27"/>
    <n v="13"/>
    <n v="20260305"/>
    <n v="20260413"/>
    <n v="6768.2439999999997"/>
    <n v="40"/>
    <n v="169.20609999999999"/>
    <n v="0"/>
    <n v="4568.5646999999999"/>
    <n v="1365.1593685429502"/>
    <n v="5933.7240685429497"/>
    <n v="0"/>
    <n v="5211.0883927535942"/>
    <n v="1557.1556072464059"/>
    <n v="6768.2440000000006"/>
  </r>
  <r>
    <x v="0"/>
    <x v="1"/>
    <x v="1"/>
    <n v="0"/>
    <n v="23"/>
    <n v="6"/>
    <n v="20260309"/>
    <n v="20260406"/>
    <n v="2237.5421000000001"/>
    <n v="29"/>
    <n v="77.156624137931033"/>
    <n v="0"/>
    <n v="1774.6023551724138"/>
    <n v="287.30848616080635"/>
    <n v="2061.9108413332201"/>
    <n v="0"/>
    <n v="1925.7609984192941"/>
    <n v="311.78110158070598"/>
    <n v="2237.5421000000001"/>
  </r>
  <r>
    <x v="0"/>
    <x v="1"/>
    <x v="0"/>
    <n v="13"/>
    <n v="16"/>
    <n v="0"/>
    <n v="20260216"/>
    <n v="20260316"/>
    <n v="1350851.7409999999"/>
    <n v="29"/>
    <n v="46581.094517241378"/>
    <n v="821348.80393948336"/>
    <n v="745297.51227586204"/>
    <n v="0"/>
    <n v="1566646.3162153454"/>
    <n v="708213.7495144807"/>
    <n v="642637.9914855191"/>
    <n v="0"/>
    <n v="1350851.7409999999"/>
  </r>
  <r>
    <x v="0"/>
    <x v="0"/>
    <x v="1"/>
    <n v="0"/>
    <n v="13"/>
    <n v="16"/>
    <n v="20260319"/>
    <n v="20260416"/>
    <n v="22378.754799999999"/>
    <n v="29"/>
    <n v="771.68119999999999"/>
    <n v="0"/>
    <n v="10031.855599999999"/>
    <n v="7662.7011561801119"/>
    <n v="17694.556756180111"/>
    <n v="0"/>
    <n v="12687.542262565939"/>
    <n v="9691.2125374340576"/>
    <n v="22378.754799999995"/>
  </r>
  <r>
    <x v="0"/>
    <x v="0"/>
    <x v="0"/>
    <n v="0"/>
    <n v="14"/>
    <n v="16"/>
    <n v="20260318"/>
    <n v="20260416"/>
    <n v="490700.92690000002"/>
    <n v="30"/>
    <n v="16356.697563333333"/>
    <n v="0"/>
    <n v="228993.76588666666"/>
    <n v="162420.03217111257"/>
    <n v="391413.7980577792"/>
    <n v="0"/>
    <n v="287080.97091232747"/>
    <n v="203619.95598767258"/>
    <n v="490700.92690000008"/>
  </r>
  <r>
    <x v="0"/>
    <x v="1"/>
    <x v="1"/>
    <n v="0"/>
    <n v="22"/>
    <n v="1"/>
    <n v="20260310"/>
    <n v="20260401"/>
    <n v="147996.52919999999"/>
    <n v="23"/>
    <n v="6434.6317043478257"/>
    <n v="0"/>
    <n v="141561.89749565217"/>
    <n v="3993.4447509297952"/>
    <n v="145555.34224658197"/>
    <n v="0"/>
    <n v="143936.10823868381"/>
    <n v="4060.4209613161534"/>
    <n v="147996.52919999996"/>
  </r>
  <r>
    <x v="0"/>
    <x v="1"/>
    <x v="0"/>
    <n v="19"/>
    <n v="7"/>
    <n v="0"/>
    <n v="20260210"/>
    <n v="20260307"/>
    <n v="20795.9931"/>
    <n v="26"/>
    <n v="799.84588846153849"/>
    <n v="20612.682102726132"/>
    <n v="5598.9212192307696"/>
    <n v="0"/>
    <n v="26211.6033219569"/>
    <n v="16353.871585631156"/>
    <n v="4442.121514368846"/>
    <n v="0"/>
    <n v="20795.9931"/>
  </r>
  <r>
    <x v="0"/>
    <x v="0"/>
    <x v="1"/>
    <n v="0"/>
    <n v="28"/>
    <n v="7"/>
    <n v="20260304"/>
    <n v="20260407"/>
    <n v="33082.391499999998"/>
    <n v="35"/>
    <n v="945.21118571428565"/>
    <n v="0"/>
    <n v="26465.913199999999"/>
    <n v="4106.30192228755"/>
    <n v="30572.215122287547"/>
    <n v="0"/>
    <n v="28638.935660541199"/>
    <n v="4443.4558394588021"/>
    <n v="33082.391499999998"/>
  </r>
  <r>
    <x v="0"/>
    <x v="1"/>
    <x v="0"/>
    <n v="21"/>
    <n v="7"/>
    <n v="0"/>
    <n v="20260208"/>
    <n v="20260307"/>
    <n v="261803.01079999999"/>
    <n v="28"/>
    <n v="9350.1075285714287"/>
    <n v="266324.11217909347"/>
    <n v="65450.752699999997"/>
    <n v="0"/>
    <n v="331774.86487909348"/>
    <n v="210155.92740135043"/>
    <n v="51647.083398649556"/>
    <n v="0"/>
    <n v="261803.01079999999"/>
  </r>
  <r>
    <x v="0"/>
    <x v="1"/>
    <x v="0"/>
    <n v="0"/>
    <n v="13"/>
    <n v="0"/>
    <n v="20260305"/>
    <n v="20260317"/>
    <n v="10461.4568"/>
    <n v="13"/>
    <n v="804.72744615384613"/>
    <n v="0"/>
    <n v="10461.4568"/>
    <n v="0"/>
    <n v="10461.4568"/>
    <n v="0"/>
    <n v="10461.4568"/>
    <n v="0"/>
    <n v="10461.4568"/>
  </r>
  <r>
    <x v="0"/>
    <x v="1"/>
    <x v="0"/>
    <n v="21"/>
    <n v="4"/>
    <n v="0"/>
    <n v="20260208"/>
    <n v="20260304"/>
    <n v="106781.7614"/>
    <n v="25"/>
    <n v="4271.2704560000002"/>
    <n v="121660.88021928804"/>
    <n v="17085.081824000001"/>
    <n v="0"/>
    <n v="138745.96204328805"/>
    <n v="93632.729140159165"/>
    <n v="13149.032259840824"/>
    <n v="0"/>
    <n v="106781.76139999999"/>
  </r>
  <r>
    <x v="0"/>
    <x v="0"/>
    <x v="0"/>
    <n v="0"/>
    <n v="23"/>
    <n v="8"/>
    <n v="20260309"/>
    <n v="20260408"/>
    <n v="33925.618199999997"/>
    <n v="31"/>
    <n v="1094.3747806451613"/>
    <n v="0"/>
    <n v="25170.619954838709"/>
    <n v="5433.504727693271"/>
    <n v="30604.124682531979"/>
    <n v="0"/>
    <n v="27902.410256894524"/>
    <n v="6023.2079431054726"/>
    <n v="33925.618199999997"/>
  </r>
  <r>
    <x v="0"/>
    <x v="1"/>
    <x v="0"/>
    <n v="0"/>
    <n v="14"/>
    <n v="0"/>
    <n v="20260303"/>
    <n v="20260316"/>
    <n v="295.64280000000002"/>
    <n v="14"/>
    <n v="21.117342857142859"/>
    <n v="0"/>
    <n v="295.64280000000002"/>
    <n v="0"/>
    <n v="295.64280000000002"/>
    <n v="0"/>
    <n v="295.64280000000002"/>
    <n v="0"/>
    <n v="295.64280000000002"/>
  </r>
  <r>
    <x v="0"/>
    <x v="1"/>
    <x v="0"/>
    <n v="0"/>
    <n v="15"/>
    <n v="17"/>
    <n v="20260317"/>
    <n v="20260417"/>
    <n v="440893.3836"/>
    <n v="32"/>
    <n v="13777.9182375"/>
    <n v="0"/>
    <n v="206668.77356249999"/>
    <n v="145363.88133307084"/>
    <n v="352032.65489557083"/>
    <n v="0"/>
    <n v="258836.48460811947"/>
    <n v="182056.89899188053"/>
    <n v="440893.3836"/>
  </r>
  <r>
    <x v="0"/>
    <x v="1"/>
    <x v="1"/>
    <n v="20"/>
    <n v="1"/>
    <n v="0"/>
    <n v="20260209"/>
    <n v="20260301"/>
    <n v="16803.109700000001"/>
    <n v="21"/>
    <n v="800.14808095238095"/>
    <n v="21705.757736987114"/>
    <n v="800.14808095238095"/>
    <n v="0"/>
    <n v="22505.905817939496"/>
    <n v="16205.712017398382"/>
    <n v="597.3976826016185"/>
    <n v="0"/>
    <n v="16803.109700000001"/>
  </r>
  <r>
    <x v="0"/>
    <x v="1"/>
    <x v="0"/>
    <n v="0"/>
    <n v="14"/>
    <n v="17"/>
    <n v="20260318"/>
    <n v="20260417"/>
    <n v="80312.453999999998"/>
    <n v="31"/>
    <n v="2590.7243225806451"/>
    <n v="0"/>
    <n v="36270.140516129031"/>
    <n v="27333.428497877831"/>
    <n v="63603.569014006862"/>
    <n v="0"/>
    <n v="45798.436108729315"/>
    <n v="34514.017891270683"/>
    <n v="80312.453999999998"/>
  </r>
  <r>
    <x v="0"/>
    <x v="1"/>
    <x v="1"/>
    <n v="0"/>
    <n v="24"/>
    <n v="7"/>
    <n v="20260308"/>
    <n v="20260407"/>
    <n v="7434.5190000000002"/>
    <n v="31"/>
    <n v="239.82319354838711"/>
    <n v="0"/>
    <n v="5755.7566451612911"/>
    <n v="1041.8692198745923"/>
    <n v="6797.6258650358832"/>
    <n v="0"/>
    <n v="6295.0334407087867"/>
    <n v="1139.4855592912138"/>
    <n v="7434.5190000000002"/>
  </r>
  <r>
    <x v="0"/>
    <x v="1"/>
    <x v="0"/>
    <n v="0"/>
    <n v="17"/>
    <n v="0"/>
    <n v="20260304"/>
    <n v="20260320"/>
    <n v="12354.2037"/>
    <n v="17"/>
    <n v="726.71786470588233"/>
    <n v="0"/>
    <n v="12354.2037"/>
    <n v="0"/>
    <n v="12354.2037"/>
    <n v="0"/>
    <n v="12354.2037"/>
    <n v="0"/>
    <n v="12354.2037"/>
  </r>
  <r>
    <x v="0"/>
    <x v="0"/>
    <x v="1"/>
    <n v="0"/>
    <n v="25"/>
    <n v="8"/>
    <n v="20260307"/>
    <n v="20260408"/>
    <n v="19537.157899999998"/>
    <n v="33"/>
    <n v="592.03508787878786"/>
    <n v="0"/>
    <n v="14800.877196969697"/>
    <n v="2939.4184751345388"/>
    <n v="17740.295672104236"/>
    <n v="0"/>
    <n v="16300.014396626304"/>
    <n v="3237.1435033736948"/>
    <n v="19537.157899999998"/>
  </r>
  <r>
    <x v="0"/>
    <x v="0"/>
    <x v="1"/>
    <n v="0"/>
    <n v="27"/>
    <n v="8"/>
    <n v="20260305"/>
    <n v="20260408"/>
    <n v="12121.264300000001"/>
    <n v="35"/>
    <n v="346.32183714285719"/>
    <n v="0"/>
    <n v="9350.6896028571446"/>
    <n v="1719.4670168749687"/>
    <n v="11070.156619732114"/>
    <n v="0"/>
    <n v="10238.534463140797"/>
    <n v="1882.7298368592019"/>
    <n v="12121.264299999999"/>
  </r>
  <r>
    <x v="0"/>
    <x v="1"/>
    <x v="1"/>
    <n v="24"/>
    <n v="7"/>
    <n v="0"/>
    <n v="20260205"/>
    <n v="20260307"/>
    <n v="6124.3152"/>
    <n v="31"/>
    <n v="197.55855483870968"/>
    <n v="6431.046800878622"/>
    <n v="1382.9098838709679"/>
    <n v="0"/>
    <n v="7813.9566847495898"/>
    <n v="5040.4371643627164"/>
    <n v="1083.8780356372831"/>
    <n v="0"/>
    <n v="6124.3151999999991"/>
  </r>
  <r>
    <x v="0"/>
    <x v="0"/>
    <x v="1"/>
    <n v="0"/>
    <n v="24"/>
    <n v="1"/>
    <n v="20260308"/>
    <n v="20260401"/>
    <n v="55.622"/>
    <n v="25"/>
    <n v="2.2248800000000002"/>
    <n v="0"/>
    <n v="53.397120000000001"/>
    <n v="1.380799362836137"/>
    <n v="54.777919362836137"/>
    <n v="0"/>
    <n v="54.219923706248359"/>
    <n v="1.4020762937516422"/>
    <n v="55.622"/>
  </r>
  <r>
    <x v="0"/>
    <x v="1"/>
    <x v="1"/>
    <n v="24"/>
    <n v="2"/>
    <n v="0"/>
    <n v="20260205"/>
    <n v="20260302"/>
    <n v="110825.98330000001"/>
    <n v="26"/>
    <n v="4262.5378192307699"/>
    <n v="138756.73583646279"/>
    <n v="8525.0756384615397"/>
    <n v="0"/>
    <n v="147281.81147492433"/>
    <n v="104411.0710927297"/>
    <n v="6414.912207270304"/>
    <n v="0"/>
    <n v="110825.98330000001"/>
  </r>
  <r>
    <x v="0"/>
    <x v="0"/>
    <x v="1"/>
    <n v="0"/>
    <n v="14"/>
    <n v="20"/>
    <n v="20260318"/>
    <n v="20260420"/>
    <n v="40471.296199999997"/>
    <n v="34"/>
    <n v="1190.3322411764705"/>
    <n v="0"/>
    <n v="16664.651376470585"/>
    <n v="14774.819317714044"/>
    <n v="31439.470694184631"/>
    <n v="0"/>
    <n v="21452.01643142262"/>
    <n v="19019.279768577373"/>
    <n v="40471.296199999997"/>
  </r>
  <r>
    <x v="0"/>
    <x v="0"/>
    <x v="0"/>
    <n v="0"/>
    <n v="22"/>
    <n v="2"/>
    <n v="20260310"/>
    <n v="20260402"/>
    <n v="1712.5605"/>
    <n v="24"/>
    <n v="71.356687500000007"/>
    <n v="0"/>
    <n v="1569.8471250000002"/>
    <n v="88.570411558463675"/>
    <n v="1658.417536558464"/>
    <n v="0"/>
    <n v="1621.0984978442955"/>
    <n v="91.462002155704482"/>
    <n v="1712.5605"/>
  </r>
  <r>
    <x v="0"/>
    <x v="1"/>
    <x v="0"/>
    <n v="0"/>
    <n v="22"/>
    <n v="2"/>
    <n v="20260310"/>
    <n v="20260402"/>
    <n v="18838.165400000002"/>
    <n v="24"/>
    <n v="784.9235583333334"/>
    <n v="0"/>
    <n v="17268.318283333334"/>
    <n v="974.27452197128832"/>
    <n v="18242.592805304623"/>
    <n v="0"/>
    <n v="17832.083381627908"/>
    <n v="1006.0820183720913"/>
    <n v="18838.165399999998"/>
  </r>
  <r>
    <x v="0"/>
    <x v="0"/>
    <x v="0"/>
    <n v="0"/>
    <n v="24"/>
    <n v="1"/>
    <n v="20260308"/>
    <n v="20260401"/>
    <n v="10488.950199999999"/>
    <n v="25"/>
    <n v="419.55800799999997"/>
    <n v="0"/>
    <n v="10069.392191999999"/>
    <n v="260.38502306605244"/>
    <n v="10329.777215066051"/>
    <n v="0"/>
    <n v="10224.55286761782"/>
    <n v="264.39733238217872"/>
    <n v="10488.950199999999"/>
  </r>
  <r>
    <x v="0"/>
    <x v="0"/>
    <x v="1"/>
    <n v="0"/>
    <n v="15"/>
    <n v="13"/>
    <n v="20260317"/>
    <n v="20260413"/>
    <n v="78.239500000000007"/>
    <n v="28"/>
    <n v="2.7942678571428572"/>
    <n v="0"/>
    <n v="41.914017857142859"/>
    <n v="22.544228271894486"/>
    <n v="64.458246129037349"/>
    <n v="0"/>
    <n v="50.875287446839877"/>
    <n v="27.364212553160122"/>
    <n v="78.239499999999992"/>
  </r>
  <r>
    <x v="0"/>
    <x v="1"/>
    <x v="0"/>
    <n v="0"/>
    <n v="24"/>
    <n v="2"/>
    <n v="20260308"/>
    <n v="20260402"/>
    <n v="75805.653200000001"/>
    <n v="26"/>
    <n v="2915.602046153846"/>
    <n v="0"/>
    <n v="69974.4491076923"/>
    <n v="3618.9470421892124"/>
    <n v="73593.396149881519"/>
    <n v="0"/>
    <n v="72077.918664272875"/>
    <n v="3727.7345357271283"/>
    <n v="75805.653200000001"/>
  </r>
  <r>
    <x v="0"/>
    <x v="1"/>
    <x v="0"/>
    <n v="0"/>
    <n v="31"/>
    <n v="0"/>
    <n v="20260301"/>
    <n v="20260331"/>
    <n v="12946.700999999999"/>
    <n v="31"/>
    <n v="417.63551612903223"/>
    <n v="0"/>
    <n v="12946.700999999999"/>
    <n v="0"/>
    <n v="12946.700999999999"/>
    <n v="0"/>
    <n v="12946.700999999999"/>
    <n v="0"/>
    <n v="12946.700999999999"/>
  </r>
  <r>
    <x v="0"/>
    <x v="1"/>
    <x v="1"/>
    <n v="0"/>
    <n v="24"/>
    <n v="3"/>
    <n v="20260308"/>
    <n v="20260403"/>
    <n v="786.44380000000001"/>
    <n v="27"/>
    <n v="29.127548148148147"/>
    <n v="0"/>
    <n v="699.0611555555555"/>
    <n v="54.231194388832463"/>
    <n v="753.29234994438798"/>
    <n v="0"/>
    <n v="729.82595886987212"/>
    <n v="56.617841130127921"/>
    <n v="786.44380000000001"/>
  </r>
  <r>
    <x v="0"/>
    <x v="1"/>
    <x v="0"/>
    <n v="0"/>
    <n v="28"/>
    <n v="0"/>
    <n v="20260303"/>
    <n v="20260330"/>
    <n v="50634.182099999998"/>
    <n v="28"/>
    <n v="1808.3636464285714"/>
    <n v="0"/>
    <n v="50634.182099999998"/>
    <n v="0"/>
    <n v="50634.182099999998"/>
    <n v="0"/>
    <n v="50634.182099999998"/>
    <n v="0"/>
    <n v="50634.182099999998"/>
  </r>
  <r>
    <x v="0"/>
    <x v="0"/>
    <x v="0"/>
    <n v="0"/>
    <n v="22"/>
    <n v="1"/>
    <n v="20260310"/>
    <n v="20260401"/>
    <n v="2270.4472000000001"/>
    <n v="23"/>
    <n v="98.715095652173915"/>
    <n v="0"/>
    <n v="2171.732104347826"/>
    <n v="61.264311414022345"/>
    <n v="2232.9964157618483"/>
    <n v="0"/>
    <n v="2208.1553918591267"/>
    <n v="62.291808140873421"/>
    <n v="2270.4472000000001"/>
  </r>
  <r>
    <x v="0"/>
    <x v="1"/>
    <x v="0"/>
    <n v="13"/>
    <n v="17"/>
    <n v="0"/>
    <n v="20260216"/>
    <n v="20260317"/>
    <n v="236645.98120000001"/>
    <n v="30"/>
    <n v="7888.1993733333338"/>
    <n v="139089.97175078001"/>
    <n v="134099.38934666666"/>
    <n v="0"/>
    <n v="273189.36109744664"/>
    <n v="120484.49730186531"/>
    <n v="116161.48389813473"/>
    <n v="0"/>
    <n v="236645.98120000004"/>
  </r>
  <r>
    <x v="0"/>
    <x v="1"/>
    <x v="0"/>
    <n v="0"/>
    <n v="30"/>
    <n v="13"/>
    <n v="20260302"/>
    <n v="20260413"/>
    <n v="14773.616599999999"/>
    <n v="43"/>
    <n v="343.57247906976744"/>
    <n v="0"/>
    <n v="10307.174372093023"/>
    <n v="2771.9520074963002"/>
    <n v="13079.126379589323"/>
    <n v="0"/>
    <n v="11642.539263194227"/>
    <n v="3131.0773368057726"/>
    <n v="14773.616599999999"/>
  </r>
  <r>
    <x v="0"/>
    <x v="1"/>
    <x v="0"/>
    <n v="0"/>
    <n v="26"/>
    <n v="8"/>
    <n v="20260306"/>
    <n v="20260408"/>
    <n v="27102.7637"/>
    <n v="34"/>
    <n v="797.14010882352943"/>
    <n v="0"/>
    <n v="20725.642829411765"/>
    <n v="3957.7525236584738"/>
    <n v="24683.395353070238"/>
    <n v="0"/>
    <n v="22757.087997874522"/>
    <n v="4345.675702125478"/>
    <n v="27102.7637"/>
  </r>
  <r>
    <x v="0"/>
    <x v="1"/>
    <x v="0"/>
    <n v="0"/>
    <n v="14"/>
    <n v="0"/>
    <n v="20260304"/>
    <n v="20260317"/>
    <n v="10676.8735"/>
    <n v="14"/>
    <n v="762.63382142857142"/>
    <n v="0"/>
    <n v="10676.8735"/>
    <n v="0"/>
    <n v="10676.8735"/>
    <n v="0"/>
    <n v="10676.8735"/>
    <n v="0"/>
    <n v="10676.8735"/>
  </r>
  <r>
    <x v="0"/>
    <x v="0"/>
    <x v="0"/>
    <n v="0"/>
    <n v="23"/>
    <n v="1"/>
    <n v="20260309"/>
    <n v="20260401"/>
    <n v="3722.7959000000001"/>
    <n v="24"/>
    <n v="155.11649583333335"/>
    <n v="0"/>
    <n v="3567.6794041666672"/>
    <n v="96.268004841627842"/>
    <n v="3663.9474090082949"/>
    <n v="0"/>
    <n v="3624.9816866069659"/>
    <n v="97.814213393034237"/>
    <n v="3722.7959000000001"/>
  </r>
  <r>
    <x v="0"/>
    <x v="1"/>
    <x v="0"/>
    <n v="0"/>
    <n v="22"/>
    <n v="4"/>
    <n v="20260310"/>
    <n v="20260404"/>
    <n v="40400.6351"/>
    <n v="26"/>
    <n v="1553.8705807692309"/>
    <n v="0"/>
    <n v="34185.152776923082"/>
    <n v="3857.4368197043827"/>
    <n v="38042.589596627462"/>
    <n v="0"/>
    <n v="36304.0975344291"/>
    <n v="4096.537565570904"/>
    <n v="40400.635100000007"/>
  </r>
  <r>
    <x v="0"/>
    <x v="1"/>
    <x v="0"/>
    <n v="9"/>
    <n v="10"/>
    <n v="0"/>
    <n v="20260220"/>
    <n v="20260310"/>
    <n v="8085.8872000000001"/>
    <n v="19"/>
    <n v="425.57301052631578"/>
    <n v="5195.0672614253244"/>
    <n v="4255.7301052631574"/>
    <n v="0"/>
    <n v="9450.7973666884827"/>
    <n v="4444.7813493875656"/>
    <n v="3641.1058506124336"/>
    <n v="0"/>
    <n v="8085.8871999999992"/>
  </r>
  <r>
    <x v="0"/>
    <x v="1"/>
    <x v="0"/>
    <n v="19"/>
    <n v="6"/>
    <n v="0"/>
    <n v="20260210"/>
    <n v="20260306"/>
    <n v="42984.829299999998"/>
    <n v="25"/>
    <n v="1719.3931719999998"/>
    <n v="44310.166965042976"/>
    <n v="10316.359031999998"/>
    <n v="0"/>
    <n v="54626.525997042976"/>
    <n v="34867.034439458475"/>
    <n v="8117.7948605415195"/>
    <n v="0"/>
    <n v="42984.829299999998"/>
  </r>
  <r>
    <x v="0"/>
    <x v="0"/>
    <x v="0"/>
    <n v="0"/>
    <n v="29"/>
    <n v="9"/>
    <n v="20260303"/>
    <n v="20260409"/>
    <n v="5803.1473999999998"/>
    <n v="38"/>
    <n v="152.71440526315789"/>
    <n v="0"/>
    <n v="4428.7177526315791"/>
    <n v="852.99502955189132"/>
    <n v="5281.7127821834702"/>
    <n v="0"/>
    <n v="4865.9408361264868"/>
    <n v="937.20656387351266"/>
    <n v="5803.1473999999998"/>
  </r>
  <r>
    <x v="0"/>
    <x v="1"/>
    <x v="0"/>
    <n v="0"/>
    <n v="29"/>
    <n v="9"/>
    <n v="20260303"/>
    <n v="20260409"/>
    <n v="18699.030500000001"/>
    <n v="38"/>
    <n v="492.07975000000005"/>
    <n v="0"/>
    <n v="14270.312750000001"/>
    <n v="2748.5395380340019"/>
    <n v="17018.852288034002"/>
    <n v="0"/>
    <n v="15679.142684868679"/>
    <n v="3019.8878151313229"/>
    <n v="18699.030500000001"/>
  </r>
  <r>
    <x v="0"/>
    <x v="1"/>
    <x v="0"/>
    <n v="0"/>
    <n v="18"/>
    <n v="0"/>
    <n v="20260307"/>
    <n v="20260324"/>
    <n v="1010.4779"/>
    <n v="18"/>
    <n v="56.137661111111107"/>
    <n v="0"/>
    <n v="1010.4779"/>
    <n v="0"/>
    <n v="1010.4779"/>
    <n v="0"/>
    <n v="1010.4779"/>
    <n v="0"/>
    <n v="1010.4779"/>
  </r>
  <r>
    <x v="0"/>
    <x v="0"/>
    <x v="0"/>
    <n v="0"/>
    <n v="26"/>
    <n v="14"/>
    <n v="20260306"/>
    <n v="20260414"/>
    <n v="5782.5313999999998"/>
    <n v="40"/>
    <n v="144.56328500000001"/>
    <n v="0"/>
    <n v="3758.6454100000001"/>
    <n v="1256.0589719198267"/>
    <n v="5014.704381919827"/>
    <n v="0"/>
    <n v="4334.1508191695348"/>
    <n v="1448.3805808304649"/>
    <n v="5782.5313999999998"/>
  </r>
  <r>
    <x v="0"/>
    <x v="1"/>
    <x v="0"/>
    <n v="19"/>
    <n v="3"/>
    <n v="0"/>
    <n v="20260210"/>
    <n v="20260303"/>
    <n v="19260.366000000002"/>
    <n v="22"/>
    <n v="875.47118181818189"/>
    <n v="22561.607706237381"/>
    <n v="2626.4135454545458"/>
    <n v="0"/>
    <n v="25188.021251691927"/>
    <n v="17252.042851177255"/>
    <n v="2008.3231488227466"/>
    <n v="0"/>
    <n v="19260.366000000002"/>
  </r>
  <r>
    <x v="0"/>
    <x v="1"/>
    <x v="0"/>
    <n v="19"/>
    <n v="2"/>
    <n v="0"/>
    <n v="20260210"/>
    <n v="20260302"/>
    <n v="3969.5025999999998"/>
    <n v="21"/>
    <n v="189.02393333333333"/>
    <n v="4871.301214164152"/>
    <n v="378.04786666666666"/>
    <n v="0"/>
    <n v="5249.3490808308188"/>
    <n v="3683.6267768169328"/>
    <n v="285.87582318306704"/>
    <n v="0"/>
    <n v="3969.5025999999998"/>
  </r>
  <r>
    <x v="0"/>
    <x v="1"/>
    <x v="0"/>
    <n v="0"/>
    <n v="24"/>
    <n v="0"/>
    <n v="20260304"/>
    <n v="20260327"/>
    <n v="801.37"/>
    <n v="24"/>
    <n v="33.390416666666667"/>
    <n v="0"/>
    <n v="801.37"/>
    <n v="0"/>
    <n v="801.37"/>
    <n v="0"/>
    <n v="801.37"/>
    <n v="0"/>
    <n v="801.37"/>
  </r>
  <r>
    <x v="0"/>
    <x v="0"/>
    <x v="0"/>
    <n v="0"/>
    <n v="30"/>
    <n v="9"/>
    <n v="20260302"/>
    <n v="20260409"/>
    <n v="807.93449999999996"/>
    <n v="39"/>
    <n v="20.716269230769228"/>
    <n v="0"/>
    <n v="621.48807692307685"/>
    <n v="115.7119045466237"/>
    <n v="737.19998146970056"/>
    <n v="0"/>
    <n v="681.12000991069635"/>
    <n v="126.8144900893036"/>
    <n v="807.93449999999996"/>
  </r>
  <r>
    <x v="0"/>
    <x v="0"/>
    <x v="0"/>
    <n v="0"/>
    <n v="30"/>
    <n v="11"/>
    <n v="20260302"/>
    <n v="20260411"/>
    <n v="4379.6553000000004"/>
    <n v="41"/>
    <n v="106.82086097560976"/>
    <n v="0"/>
    <n v="3204.6258292682928"/>
    <n v="729.24379944087968"/>
    <n v="3933.8696287091725"/>
    <n v="0"/>
    <n v="3567.7736738513004"/>
    <n v="811.88162614870009"/>
    <n v="4379.6553000000004"/>
  </r>
  <r>
    <x v="0"/>
    <x v="1"/>
    <x v="0"/>
    <n v="0"/>
    <n v="16"/>
    <n v="0"/>
    <n v="20260306"/>
    <n v="20260321"/>
    <n v="3453.5198999999998"/>
    <n v="16"/>
    <n v="215.84499374999999"/>
    <n v="0"/>
    <n v="3453.5198999999998"/>
    <n v="0"/>
    <n v="3453.5198999999998"/>
    <n v="0"/>
    <n v="3453.5198999999998"/>
    <n v="0"/>
    <n v="3453.5198999999998"/>
  </r>
  <r>
    <x v="0"/>
    <x v="1"/>
    <x v="0"/>
    <n v="0"/>
    <n v="20"/>
    <n v="0"/>
    <n v="20260304"/>
    <n v="20260323"/>
    <n v="22131.183700000001"/>
    <n v="20"/>
    <n v="1106.5591850000001"/>
    <n v="0"/>
    <n v="22131.183700000001"/>
    <n v="0"/>
    <n v="22131.183700000001"/>
    <n v="0"/>
    <n v="22131.183700000001"/>
    <n v="0"/>
    <n v="22131.183700000001"/>
  </r>
  <r>
    <x v="0"/>
    <x v="1"/>
    <x v="0"/>
    <n v="24"/>
    <n v="11"/>
    <n v="0"/>
    <n v="20260205"/>
    <n v="20260311"/>
    <n v="17316.218700000001"/>
    <n v="35"/>
    <n v="494.74910571428575"/>
    <n v="16105.375219711736"/>
    <n v="5442.2401628571433"/>
    <n v="0"/>
    <n v="21547.615382568878"/>
    <n v="12942.694335248563"/>
    <n v="4373.5243647514408"/>
    <n v="0"/>
    <n v="17316.218700000005"/>
  </r>
  <r>
    <x v="0"/>
    <x v="1"/>
    <x v="0"/>
    <n v="20"/>
    <n v="2"/>
    <n v="0"/>
    <n v="20260209"/>
    <n v="20260302"/>
    <n v="295.60129999999998"/>
    <n v="22"/>
    <n v="13.436422727272726"/>
    <n v="364.49220277175948"/>
    <n v="26.872845454545452"/>
    <n v="0"/>
    <n v="391.36504822630491"/>
    <n v="275.30401467249334"/>
    <n v="20.297285327506685"/>
    <n v="0"/>
    <n v="295.60130000000004"/>
  </r>
  <r>
    <x v="0"/>
    <x v="0"/>
    <x v="0"/>
    <n v="0"/>
    <n v="21"/>
    <n v="7"/>
    <n v="20260311"/>
    <n v="20260407"/>
    <n v="1136.4942000000001"/>
    <n v="28"/>
    <n v="40.589078571428573"/>
    <n v="0"/>
    <n v="852.37065000000007"/>
    <n v="176.33203444983158"/>
    <n v="1028.7026844498316"/>
    <n v="0"/>
    <n v="941.68540105765896"/>
    <n v="194.8087989423411"/>
    <n v="1136.4942000000001"/>
  </r>
  <r>
    <x v="0"/>
    <x v="1"/>
    <x v="0"/>
    <n v="0"/>
    <n v="23"/>
    <n v="0"/>
    <n v="20260303"/>
    <n v="20260325"/>
    <n v="4766.4888000000001"/>
    <n v="23"/>
    <n v="207.23864347826088"/>
    <n v="0"/>
    <n v="4766.4888000000001"/>
    <n v="0"/>
    <n v="4766.4888000000001"/>
    <n v="0"/>
    <n v="4766.4888000000001"/>
    <n v="0"/>
    <n v="4766.4888000000001"/>
  </r>
  <r>
    <x v="0"/>
    <x v="0"/>
    <x v="0"/>
    <n v="0"/>
    <n v="20"/>
    <n v="3"/>
    <n v="20260312"/>
    <n v="20260403"/>
    <n v="1406.1134999999999"/>
    <n v="23"/>
    <n v="61.135369565217388"/>
    <n v="0"/>
    <n v="1222.7073913043478"/>
    <n v="113.82503237352655"/>
    <n v="1336.5324236778742"/>
    <n v="0"/>
    <n v="1286.3626343846906"/>
    <n v="119.75086561530928"/>
    <n v="1406.1134999999999"/>
  </r>
  <r>
    <x v="0"/>
    <x v="1"/>
    <x v="0"/>
    <n v="0"/>
    <n v="21"/>
    <n v="0"/>
    <n v="20260304"/>
    <n v="20260324"/>
    <n v="2866.9856"/>
    <n v="21"/>
    <n v="136.52312380952381"/>
    <n v="0"/>
    <n v="2866.9856"/>
    <n v="0"/>
    <n v="2866.9856"/>
    <n v="0"/>
    <n v="2866.9856"/>
    <n v="0"/>
    <n v="2866.9856"/>
  </r>
  <r>
    <x v="0"/>
    <x v="1"/>
    <x v="1"/>
    <n v="0"/>
    <n v="13"/>
    <n v="0"/>
    <n v="20260303"/>
    <n v="20260315"/>
    <n v="2915.4203000000002"/>
    <n v="13"/>
    <n v="224.26310000000001"/>
    <n v="0"/>
    <n v="2915.4203000000002"/>
    <n v="0"/>
    <n v="2915.4203000000002"/>
    <n v="0"/>
    <n v="2915.4203000000002"/>
    <n v="0"/>
    <n v="2915.4203000000002"/>
  </r>
  <r>
    <x v="0"/>
    <x v="0"/>
    <x v="0"/>
    <n v="2"/>
    <n v="31"/>
    <n v="6"/>
    <n v="20260227"/>
    <n v="20260406"/>
    <n v="2473.9802"/>
    <n v="39"/>
    <n v="63.435389743589745"/>
    <n v="172.08229757757303"/>
    <n v="1966.4970820512822"/>
    <n v="236.21466076159808"/>
    <n v="2374.7940403904536"/>
    <n v="179.26952389834497"/>
    <n v="2048.6302229193534"/>
    <n v="246.08045318230106"/>
    <n v="2473.9801999999995"/>
  </r>
  <r>
    <x v="0"/>
    <x v="1"/>
    <x v="0"/>
    <n v="3"/>
    <n v="27"/>
    <n v="0"/>
    <n v="20260226"/>
    <n v="20260327"/>
    <n v="42.226799999999997"/>
    <n v="30"/>
    <n v="1.4075599999999999"/>
    <n v="5.7274691561920692"/>
    <n v="38.00412"/>
    <n v="0"/>
    <n v="43.731589156192072"/>
    <n v="5.5303888843574454"/>
    <n v="36.696411115642547"/>
    <n v="0"/>
    <n v="42.22679999999999"/>
  </r>
  <r>
    <x v="0"/>
    <x v="0"/>
    <x v="0"/>
    <n v="2"/>
    <n v="31"/>
    <n v="2"/>
    <n v="20260227"/>
    <n v="20260402"/>
    <n v="3631.3326000000002"/>
    <n v="35"/>
    <n v="103.75236000000001"/>
    <n v="281.45085196232532"/>
    <n v="3216.3231600000004"/>
    <n v="128.78105118545315"/>
    <n v="3626.555063147779"/>
    <n v="281.8216285792318"/>
    <n v="3220.5602671603738"/>
    <n v="128.95070426039428"/>
    <n v="3631.3325999999997"/>
  </r>
  <r>
    <x v="0"/>
    <x v="1"/>
    <x v="0"/>
    <n v="16"/>
    <n v="2"/>
    <n v="0"/>
    <n v="20260213"/>
    <n v="20260302"/>
    <n v="295.62889999999999"/>
    <n v="18"/>
    <n v="16.423827777777777"/>
    <n v="356.42565204593393"/>
    <n v="32.847655555555555"/>
    <n v="0"/>
    <n v="389.27330760148948"/>
    <n v="270.68314571928545"/>
    <n v="24.945754280714574"/>
    <n v="0"/>
    <n v="295.62890000000004"/>
  </r>
  <r>
    <x v="0"/>
    <x v="1"/>
    <x v="0"/>
    <n v="28"/>
    <n v="5"/>
    <n v="0"/>
    <n v="20260126"/>
    <n v="20260305"/>
    <n v="1181.2152000000001"/>
    <n v="33"/>
    <n v="35.794400000000003"/>
    <n v="1359.4013789828357"/>
    <n v="178.97200000000001"/>
    <n v="0"/>
    <n v="1538.3733789828357"/>
    <n v="1043.79443488368"/>
    <n v="137.42076511632015"/>
    <n v="0"/>
    <n v="1181.2152000000001"/>
  </r>
  <r>
    <x v="0"/>
    <x v="0"/>
    <x v="1"/>
    <n v="2"/>
    <n v="31"/>
    <n v="1"/>
    <n v="20260227"/>
    <n v="20260401"/>
    <n v="19.8719"/>
    <n v="34"/>
    <n v="0.58446764705882348"/>
    <n v="1.5854956668852787"/>
    <n v="18.118497058823529"/>
    <n v="0.36273082353077901"/>
    <n v="20.066723549239587"/>
    <n v="1.5701024268095574"/>
    <n v="17.942588426045219"/>
    <n v="0.35920914714522167"/>
    <n v="19.8719"/>
  </r>
  <r>
    <x v="0"/>
    <x v="1"/>
    <x v="0"/>
    <n v="15"/>
    <n v="1"/>
    <n v="0"/>
    <n v="20260214"/>
    <n v="20260301"/>
    <n v="2955.1824999999999"/>
    <n v="16"/>
    <n v="184.69890624999999"/>
    <n v="3757.7697886032765"/>
    <n v="184.69890624999999"/>
    <n v="0"/>
    <n v="3942.4686948532767"/>
    <n v="2816.7365115177872"/>
    <n v="138.44598848221264"/>
    <n v="0"/>
    <n v="2955.1824999999999"/>
  </r>
  <r>
    <x v="0"/>
    <x v="1"/>
    <x v="0"/>
    <n v="10"/>
    <n v="3"/>
    <n v="0"/>
    <n v="20260219"/>
    <n v="20260303"/>
    <n v="19793.578799999999"/>
    <n v="13"/>
    <n v="1522.5829846153845"/>
    <n v="20651.688221999961"/>
    <n v="4567.7489538461532"/>
    <n v="0"/>
    <n v="25219.437175846113"/>
    <n v="16208.56228174227"/>
    <n v="3585.0165182577302"/>
    <n v="0"/>
    <n v="19793.578799999999"/>
  </r>
  <r>
    <x v="0"/>
    <x v="0"/>
    <x v="0"/>
    <n v="3"/>
    <n v="31"/>
    <n v="5"/>
    <n v="20260226"/>
    <n v="20260405"/>
    <n v="4199.8428999999996"/>
    <n v="39"/>
    <n v="107.68827948717947"/>
    <n v="438.19183498125238"/>
    <n v="3338.3366641025636"/>
    <n v="334.16612963579433"/>
    <n v="4110.6946287196106"/>
    <n v="447.69486259727546"/>
    <n v="3410.7348764332573"/>
    <n v="341.41316096946662"/>
    <n v="4199.8428999999996"/>
  </r>
  <r>
    <x v="0"/>
    <x v="1"/>
    <x v="0"/>
    <n v="28"/>
    <n v="6"/>
    <n v="0"/>
    <n v="20260128"/>
    <n v="20260306"/>
    <n v="17050.434399999998"/>
    <n v="34"/>
    <n v="501.48336470588231"/>
    <n v="19045.358422494264"/>
    <n v="3008.9001882352941"/>
    <n v="0"/>
    <n v="22054.258610729557"/>
    <n v="14724.21449929138"/>
    <n v="2326.2199007086197"/>
    <n v="0"/>
    <n v="17050.434399999998"/>
  </r>
  <r>
    <x v="0"/>
    <x v="1"/>
    <x v="0"/>
    <n v="28"/>
    <n v="3"/>
    <n v="0"/>
    <n v="20260129"/>
    <n v="20260303"/>
    <n v="42.1922"/>
    <n v="31"/>
    <n v="1.3610387096774192"/>
    <n v="51.689591075266037"/>
    <n v="4.0831161290322573"/>
    <n v="0"/>
    <n v="55.772707204298293"/>
    <n v="39.103311886530804"/>
    <n v="3.0888881134691961"/>
    <n v="0"/>
    <n v="42.1922"/>
  </r>
  <r>
    <x v="0"/>
    <x v="1"/>
    <x v="0"/>
    <n v="18"/>
    <n v="2"/>
    <n v="0"/>
    <n v="20260211"/>
    <n v="20260302"/>
    <n v="929.18470000000002"/>
    <n v="20"/>
    <n v="46.459235"/>
    <n v="1134.2770559668322"/>
    <n v="92.918469999999999"/>
    <n v="0"/>
    <n v="1227.1955259668323"/>
    <n v="858.83045013147296"/>
    <n v="70.354249868527049"/>
    <n v="0"/>
    <n v="929.18470000000002"/>
  </r>
  <r>
    <x v="0"/>
    <x v="1"/>
    <x v="0"/>
    <n v="5"/>
    <n v="3"/>
    <n v="0"/>
    <n v="20260224"/>
    <n v="20260303"/>
    <n v="1822.1251999999999"/>
    <n v="8"/>
    <n v="227.76564999999999"/>
    <n v="1544.6597128068411"/>
    <n v="683.29694999999992"/>
    <n v="0"/>
    <n v="2227.956662806841"/>
    <n v="1263.293597723864"/>
    <n v="558.83160227613598"/>
    <n v="0"/>
    <n v="1822.1251999999999"/>
  </r>
  <r>
    <x v="0"/>
    <x v="1"/>
    <x v="0"/>
    <n v="4"/>
    <n v="6"/>
    <n v="0"/>
    <n v="20260225"/>
    <n v="20260306"/>
    <n v="1060.4374"/>
    <n v="10"/>
    <n v="106.04374"/>
    <n v="575.33343758679439"/>
    <n v="636.26243999999997"/>
    <n v="0"/>
    <n v="1211.5958775867944"/>
    <n v="503.55494432911422"/>
    <n v="556.88245567088575"/>
    <n v="0"/>
    <n v="1060.4374"/>
  </r>
  <r>
    <x v="0"/>
    <x v="0"/>
    <x v="0"/>
    <n v="0"/>
    <n v="19"/>
    <n v="2"/>
    <n v="20260313"/>
    <n v="20260402"/>
    <n v="1315.7501"/>
    <n v="21"/>
    <n v="62.654766666666667"/>
    <n v="0"/>
    <n v="1190.4405666666667"/>
    <n v="77.769283639549244"/>
    <n v="1268.2098503062159"/>
    <n v="0"/>
    <n v="1235.0655487004194"/>
    <n v="80.684551299580576"/>
    <n v="1315.7501"/>
  </r>
  <r>
    <x v="0"/>
    <x v="0"/>
    <x v="0"/>
    <n v="0"/>
    <n v="12"/>
    <n v="1"/>
    <n v="20260320"/>
    <n v="20260401"/>
    <n v="175.34200000000001"/>
    <n v="13"/>
    <n v="13.487846153846155"/>
    <n v="0"/>
    <n v="161.85415384615385"/>
    <n v="8.3707927507382909"/>
    <n v="170.22494659689215"/>
    <n v="0"/>
    <n v="166.7195767192589"/>
    <n v="8.622423280741101"/>
    <n v="175.34199999999998"/>
  </r>
  <r>
    <x v="0"/>
    <x v="1"/>
    <x v="0"/>
    <n v="0"/>
    <n v="12"/>
    <n v="1"/>
    <n v="20260320"/>
    <n v="20260401"/>
    <n v="2104.1034"/>
    <n v="13"/>
    <n v="161.85410769230768"/>
    <n v="0"/>
    <n v="1942.249292307692"/>
    <n v="100.44948436497695"/>
    <n v="2042.6987766726691"/>
    <n v="0"/>
    <n v="2000.6343501360398"/>
    <n v="103.46904986396018"/>
    <n v="2104.1034"/>
  </r>
  <r>
    <x v="0"/>
    <x v="1"/>
    <x v="0"/>
    <n v="0"/>
    <n v="14"/>
    <n v="1"/>
    <n v="20260318"/>
    <n v="20260401"/>
    <n v="865.89980000000003"/>
    <n v="15"/>
    <n v="57.726653333333338"/>
    <n v="0"/>
    <n v="808.17314666666675"/>
    <n v="35.826168665873766"/>
    <n v="843.9993153325405"/>
    <n v="0"/>
    <n v="829.14399733643563"/>
    <n v="36.755802663564445"/>
    <n v="865.89980000000003"/>
  </r>
  <r>
    <x v="0"/>
    <x v="0"/>
    <x v="0"/>
    <n v="0"/>
    <n v="13"/>
    <n v="1"/>
    <n v="20260319"/>
    <n v="20260401"/>
    <n v="2241.7930999999999"/>
    <n v="14"/>
    <n v="160.12807857142857"/>
    <n v="0"/>
    <n v="2081.6650214285714"/>
    <n v="99.378280565065722"/>
    <n v="2181.0433019936372"/>
    <n v="0"/>
    <n v="2139.6467815582773"/>
    <n v="102.1463184417227"/>
    <n v="2241.7930999999999"/>
  </r>
  <r>
    <x v="0"/>
    <x v="1"/>
    <x v="0"/>
    <n v="0"/>
    <n v="1"/>
    <n v="15"/>
    <n v="20260331"/>
    <n v="20260415"/>
    <n v="52.653799999999997"/>
    <n v="16"/>
    <n v="3.2908624999999998"/>
    <n v="0"/>
    <n v="3.2908624999999998"/>
    <n v="30.635500632717285"/>
    <n v="33.926363132717285"/>
    <n v="0"/>
    <n v="5.1074267885613365"/>
    <n v="47.546373211438656"/>
    <n v="52.65379999999999"/>
  </r>
  <r>
    <x v="0"/>
    <x v="1"/>
    <x v="0"/>
    <n v="0"/>
    <n v="7"/>
    <n v="2"/>
    <n v="20260325"/>
    <n v="20260402"/>
    <n v="788.8972"/>
    <n v="9"/>
    <n v="87.655244444444449"/>
    <n v="0"/>
    <n v="613.58671111111119"/>
    <n v="108.80074941402208"/>
    <n v="722.38746052513329"/>
    <n v="0"/>
    <n v="670.07923698022603"/>
    <n v="118.81796301977388"/>
    <n v="788.89719999999988"/>
  </r>
  <r>
    <x v="0"/>
    <x v="0"/>
    <x v="0"/>
    <n v="0"/>
    <n v="7"/>
    <n v="1"/>
    <n v="20260325"/>
    <n v="20260401"/>
    <n v="1649.1950999999999"/>
    <n v="8"/>
    <n v="206.14938749999999"/>
    <n v="0"/>
    <n v="1443.0457124999998"/>
    <n v="127.93990817889497"/>
    <n v="1570.9856206788947"/>
    <n v="0"/>
    <n v="1514.8858696125812"/>
    <n v="134.30923038741861"/>
    <n v="1649.1950999999999"/>
  </r>
  <r>
    <x v="0"/>
    <x v="0"/>
    <x v="0"/>
    <n v="0"/>
    <n v="8"/>
    <n v="17"/>
    <n v="20260324"/>
    <n v="20260417"/>
    <n v="1950.6925000000001"/>
    <n v="25"/>
    <n v="78.02770000000001"/>
    <n v="0"/>
    <n v="624.22160000000008"/>
    <n v="823.23099382469047"/>
    <n v="1447.4525938246907"/>
    <n v="0"/>
    <n v="841.24647581064653"/>
    <n v="1109.4460241893535"/>
    <n v="1950.6925000000001"/>
  </r>
  <r>
    <x v="0"/>
    <x v="0"/>
    <x v="0"/>
    <n v="0"/>
    <n v="21"/>
    <n v="1"/>
    <n v="20260311"/>
    <n v="20260401"/>
    <n v="4126.7964000000002"/>
    <n v="22"/>
    <n v="187.58165454545454"/>
    <n v="0"/>
    <n v="3939.2147454545452"/>
    <n v="116.41644901123294"/>
    <n v="4055.6311944657782"/>
    <n v="0"/>
    <n v="4008.3371615623632"/>
    <n v="118.45923843763688"/>
    <n v="4126.7964000000002"/>
  </r>
  <r>
    <x v="0"/>
    <x v="1"/>
    <x v="0"/>
    <n v="0"/>
    <n v="20"/>
    <n v="1"/>
    <n v="20260312"/>
    <n v="20260401"/>
    <n v="4733.1579000000002"/>
    <n v="21"/>
    <n v="225.38847142857145"/>
    <n v="0"/>
    <n v="4507.7694285714288"/>
    <n v="139.88001947933475"/>
    <n v="4647.6494480507636"/>
    <n v="0"/>
    <n v="4590.7043379034776"/>
    <n v="142.45356209652232"/>
    <n v="4733.1579000000002"/>
  </r>
  <r>
    <x v="0"/>
    <x v="1"/>
    <x v="0"/>
    <n v="0"/>
    <n v="8"/>
    <n v="6"/>
    <n v="20260324"/>
    <n v="20260406"/>
    <n v="1060.8321000000001"/>
    <n v="14"/>
    <n v="75.773721428571434"/>
    <n v="0"/>
    <n v="606.18977142857148"/>
    <n v="282.15896480249103"/>
    <n v="888.3487362310625"/>
    <n v="0"/>
    <n v="723.88865092709261"/>
    <n v="336.94344907290741"/>
    <n v="1060.8321000000001"/>
  </r>
  <r>
    <x v="0"/>
    <x v="1"/>
    <x v="0"/>
    <n v="0"/>
    <n v="16"/>
    <n v="1"/>
    <n v="20260316"/>
    <n v="20260401"/>
    <n v="28833.5471"/>
    <n v="17"/>
    <n v="1696.0910058823529"/>
    <n v="0"/>
    <n v="27137.456094117646"/>
    <n v="1052.623683180421"/>
    <n v="28190.079777298066"/>
    <n v="0"/>
    <n v="27756.896207653102"/>
    <n v="1076.6508923468959"/>
    <n v="28833.5471"/>
  </r>
  <r>
    <x v="0"/>
    <x v="0"/>
    <x v="0"/>
    <n v="0"/>
    <n v="28"/>
    <n v="1"/>
    <n v="20260304"/>
    <n v="20260401"/>
    <n v="393800.68310000002"/>
    <n v="29"/>
    <n v="13579.333900000001"/>
    <n v="0"/>
    <n v="380221.34920000006"/>
    <n v="8427.5716429017084"/>
    <n v="388648.92084290175"/>
    <n v="0"/>
    <n v="385261.39920683729"/>
    <n v="8539.2838931627684"/>
    <n v="393800.68310000008"/>
  </r>
  <r>
    <x v="0"/>
    <x v="1"/>
    <x v="0"/>
    <n v="27"/>
    <n v="3"/>
    <n v="0"/>
    <n v="20260202"/>
    <n v="20260303"/>
    <n v="4400015.5805000002"/>
    <n v="30"/>
    <n v="146667.18601666667"/>
    <n v="5371199.8474121802"/>
    <n v="440001.55804999999"/>
    <n v="0"/>
    <n v="5811201.4054621803"/>
    <n v="4066863.521952427"/>
    <n v="333152.05854757305"/>
    <n v="0"/>
    <n v="4400015.5805000002"/>
  </r>
  <r>
    <x v="0"/>
    <x v="0"/>
    <x v="1"/>
    <n v="0"/>
    <n v="27"/>
    <n v="1"/>
    <n v="20260305"/>
    <n v="20260401"/>
    <n v="56707.5308"/>
    <n v="28"/>
    <n v="2025.2689571428571"/>
    <n v="0"/>
    <n v="54682.261842857144"/>
    <n v="1256.917265468099"/>
    <n v="55939.179108325246"/>
    <n v="0"/>
    <n v="55433.349167721164"/>
    <n v="1274.1816322788357"/>
    <n v="56707.5308"/>
  </r>
  <r>
    <x v="0"/>
    <x v="1"/>
    <x v="1"/>
    <n v="0"/>
    <n v="30"/>
    <n v="1"/>
    <n v="20260302"/>
    <n v="20260401"/>
    <n v="4828980.0928999996"/>
    <n v="31"/>
    <n v="155773.55138387094"/>
    <n v="0"/>
    <n v="4673206.541516128"/>
    <n v="96675.784985064907"/>
    <n v="4769882.3265011925"/>
    <n v="0"/>
    <n v="4731106.5167397261"/>
    <n v="97873.576160273951"/>
    <n v="4828980.0928999996"/>
  </r>
  <r>
    <x v="0"/>
    <x v="1"/>
    <x v="1"/>
    <n v="25"/>
    <n v="1"/>
    <n v="0"/>
    <n v="20260204"/>
    <n v="20260301"/>
    <n v="518634.60499999998"/>
    <n v="26"/>
    <n v="19947.484807692308"/>
    <n v="676398.66139316489"/>
    <n v="19947.484807692308"/>
    <n v="0"/>
    <n v="696346.14620085724"/>
    <n v="503777.83303332218"/>
    <n v="14856.771966677778"/>
    <n v="0"/>
    <n v="518634.60499999998"/>
  </r>
  <r>
    <x v="0"/>
    <x v="1"/>
    <x v="0"/>
    <n v="26"/>
    <n v="2"/>
    <n v="0"/>
    <n v="20260203"/>
    <n v="20260302"/>
    <n v="5155103.4617999997"/>
    <n v="28"/>
    <n v="184110.83792142855"/>
    <n v="6492729.2106925324"/>
    <n v="368221.6758428571"/>
    <n v="0"/>
    <n v="6860950.8865353893"/>
    <n v="4878433.2352906447"/>
    <n v="276670.22650935553"/>
    <n v="0"/>
    <n v="5155103.4618000006"/>
  </r>
  <r>
    <x v="0"/>
    <x v="1"/>
    <x v="0"/>
    <n v="0"/>
    <n v="25"/>
    <n v="3"/>
    <n v="20260307"/>
    <n v="20260403"/>
    <n v="922899.52179999999"/>
    <n v="28"/>
    <n v="32960.697207142854"/>
    <n v="0"/>
    <n v="824017.43017857138"/>
    <n v="61367.952027423074"/>
    <n v="885385.38220599445"/>
    <n v="0"/>
    <n v="858931.38462696387"/>
    <n v="63968.137173036157"/>
    <n v="922899.52179999999"/>
  </r>
  <r>
    <x v="0"/>
    <x v="1"/>
    <x v="0"/>
    <n v="0"/>
    <n v="27"/>
    <n v="1"/>
    <n v="20260305"/>
    <n v="20260401"/>
    <n v="3864154.5383000001"/>
    <n v="28"/>
    <n v="138005.519225"/>
    <n v="0"/>
    <n v="3726149.0190749997"/>
    <n v="85648.634089816187"/>
    <n v="3811797.6531648161"/>
    <n v="0"/>
    <n v="3777329.4787791795"/>
    <n v="86825.059520820563"/>
    <n v="3864154.5383000001"/>
  </r>
  <r>
    <x v="0"/>
    <x v="1"/>
    <x v="1"/>
    <n v="0"/>
    <n v="30"/>
    <n v="2"/>
    <n v="20260302"/>
    <n v="20260402"/>
    <n v="1332048.1731"/>
    <n v="32"/>
    <n v="41626.505409375"/>
    <n v="0"/>
    <n v="1248795.1622812501"/>
    <n v="51668.271678796162"/>
    <n v="1300463.4339600464"/>
    <n v="0"/>
    <n v="1279125.0188615168"/>
    <n v="52923.154238483083"/>
    <n v="1332048.1731"/>
  </r>
  <r>
    <x v="0"/>
    <x v="1"/>
    <x v="0"/>
    <n v="0"/>
    <n v="27"/>
    <n v="6"/>
    <n v="20260305"/>
    <n v="20260406"/>
    <n v="1177790.5881000001"/>
    <n v="33"/>
    <n v="35690.623881818181"/>
    <n v="0"/>
    <n v="963646.84480909084"/>
    <n v="132901.34492261719"/>
    <n v="1096548.189731708"/>
    <n v="0"/>
    <n v="1035042.6864013174"/>
    <n v="142747.90169868263"/>
    <n v="1177790.5881000001"/>
  </r>
  <r>
    <x v="0"/>
    <x v="1"/>
    <x v="1"/>
    <n v="0"/>
    <n v="14"/>
    <n v="15"/>
    <n v="20260318"/>
    <n v="20260415"/>
    <n v="562281.30740000005"/>
    <n v="29"/>
    <n v="19389.010600000001"/>
    <n v="0"/>
    <n v="271446.14840000001"/>
    <n v="180497.37614502653"/>
    <n v="451943.52454502654"/>
    <n v="0"/>
    <n v="337717.18571407523"/>
    <n v="224564.12168592485"/>
    <n v="562281.30740000005"/>
  </r>
  <r>
    <x v="0"/>
    <x v="0"/>
    <x v="0"/>
    <n v="0"/>
    <n v="27"/>
    <n v="4"/>
    <n v="20260305"/>
    <n v="20260404"/>
    <n v="229933.7438"/>
    <n v="31"/>
    <n v="7417.2175419354835"/>
    <n v="0"/>
    <n v="200264.87363225807"/>
    <n v="18413.018690305154"/>
    <n v="218677.89232256322"/>
    <n v="0"/>
    <n v="210572.96490664867"/>
    <n v="19360.778893351333"/>
    <n v="229933.7438"/>
  </r>
  <r>
    <x v="0"/>
    <x v="0"/>
    <x v="1"/>
    <n v="0"/>
    <n v="30"/>
    <n v="7"/>
    <n v="20260302"/>
    <n v="20260407"/>
    <n v="47101.637199999997"/>
    <n v="37"/>
    <n v="1273.0172216216215"/>
    <n v="0"/>
    <n v="38190.516648648641"/>
    <n v="5530.3969559985026"/>
    <n v="43720.913604647147"/>
    <n v="0"/>
    <n v="41143.601799620395"/>
    <n v="5958.0354003796019"/>
    <n v="47101.637199999997"/>
  </r>
  <r>
    <x v="0"/>
    <x v="0"/>
    <x v="1"/>
    <n v="0"/>
    <n v="29"/>
    <n v="6"/>
    <n v="20260303"/>
    <n v="20260406"/>
    <n v="13318.0944"/>
    <n v="35"/>
    <n v="380.51698285714286"/>
    <n v="0"/>
    <n v="11034.992502857143"/>
    <n v="1416.9328884545828"/>
    <n v="12451.925391311726"/>
    <n v="0"/>
    <n v="11802.598171595848"/>
    <n v="1515.496228404151"/>
    <n v="13318.094399999998"/>
  </r>
  <r>
    <x v="0"/>
    <x v="0"/>
    <x v="1"/>
    <n v="0"/>
    <n v="25"/>
    <n v="2"/>
    <n v="20260307"/>
    <n v="20260402"/>
    <n v="8016.8687"/>
    <n v="27"/>
    <n v="296.92106296296294"/>
    <n v="0"/>
    <n v="7423.0265740740733"/>
    <n v="368.54878874535945"/>
    <n v="7791.5753628194325"/>
    <n v="0"/>
    <n v="7637.6633260759208"/>
    <n v="379.20537392407897"/>
    <n v="8016.8687"/>
  </r>
  <r>
    <x v="0"/>
    <x v="1"/>
    <x v="1"/>
    <n v="0"/>
    <n v="25"/>
    <n v="2"/>
    <n v="20260307"/>
    <n v="20260402"/>
    <n v="100210.8587"/>
    <n v="27"/>
    <n v="3711.5132851851849"/>
    <n v="0"/>
    <n v="92787.83212962962"/>
    <n v="4606.8598570184104"/>
    <n v="97394.691986648031"/>
    <n v="0"/>
    <n v="95470.791528314061"/>
    <n v="4740.0671716859415"/>
    <n v="100210.8587"/>
  </r>
  <r>
    <x v="0"/>
    <x v="1"/>
    <x v="1"/>
    <n v="0"/>
    <n v="26"/>
    <n v="2"/>
    <n v="20260306"/>
    <n v="20260402"/>
    <n v="1039903.7606"/>
    <n v="28"/>
    <n v="37139.420021428574"/>
    <n v="0"/>
    <n v="965624.92055714293"/>
    <n v="46098.744652918125"/>
    <n v="1011723.665210061"/>
    <n v="0"/>
    <n v="992521.00227185979"/>
    <n v="47382.758328140349"/>
    <n v="1039903.7606000002"/>
  </r>
  <r>
    <x v="0"/>
    <x v="1"/>
    <x v="1"/>
    <n v="26"/>
    <n v="5"/>
    <n v="0"/>
    <n v="20260203"/>
    <n v="20260305"/>
    <n v="211718.89780000001"/>
    <n v="31"/>
    <n v="6829.6418645161293"/>
    <n v="240849.56503884026"/>
    <n v="34148.209322580646"/>
    <n v="0"/>
    <n v="274997.77436142089"/>
    <n v="185428.42597196795"/>
    <n v="26290.471828032081"/>
    <n v="0"/>
    <n v="211718.89780000004"/>
  </r>
  <r>
    <x v="0"/>
    <x v="0"/>
    <x v="1"/>
    <n v="0"/>
    <n v="29"/>
    <n v="1"/>
    <n v="20260303"/>
    <n v="20260401"/>
    <n v="41852.259599999998"/>
    <n v="30"/>
    <n v="1395.0753199999999"/>
    <n v="0"/>
    <n v="40457.184280000001"/>
    <n v="865.80809435314245"/>
    <n v="41322.992374353147"/>
    <n v="0"/>
    <n v="40975.362186560531"/>
    <n v="876.89741343946491"/>
    <n v="41852.259599999998"/>
  </r>
  <r>
    <x v="0"/>
    <x v="1"/>
    <x v="1"/>
    <n v="25"/>
    <n v="2"/>
    <n v="0"/>
    <n v="20260204"/>
    <n v="20260302"/>
    <n v="282780.62969999999"/>
    <n v="27"/>
    <n v="10473.356655555555"/>
    <n v="355140.73530609335"/>
    <n v="20946.713311111111"/>
    <n v="0"/>
    <n v="376087.44861720444"/>
    <n v="267030.76938947861"/>
    <n v="15749.860310521419"/>
    <n v="0"/>
    <n v="282780.62970000005"/>
  </r>
  <r>
    <x v="0"/>
    <x v="1"/>
    <x v="1"/>
    <n v="22"/>
    <n v="4"/>
    <n v="0"/>
    <n v="20260207"/>
    <n v="20260304"/>
    <n v="126539.0444"/>
    <n v="26"/>
    <n v="4866.886323076923"/>
    <n v="145227.36950149061"/>
    <n v="19467.545292307692"/>
    <n v="0"/>
    <n v="164694.91479379829"/>
    <n v="111581.66346819303"/>
    <n v="14957.380931806982"/>
    <n v="0"/>
    <n v="126539.04440000001"/>
  </r>
  <r>
    <x v="0"/>
    <x v="1"/>
    <x v="0"/>
    <n v="0"/>
    <n v="28"/>
    <n v="6"/>
    <n v="20260304"/>
    <n v="20260406"/>
    <n v="1400190.2390999999"/>
    <n v="34"/>
    <n v="41182.065855882349"/>
    <n v="0"/>
    <n v="1153097.8439647057"/>
    <n v="153349.85336938128"/>
    <n v="1306447.697334087"/>
    <n v="0"/>
    <n v="1235836.9563062261"/>
    <n v="164353.28279377386"/>
    <n v="1400190.2390999999"/>
  </r>
  <r>
    <x v="0"/>
    <x v="0"/>
    <x v="1"/>
    <n v="0"/>
    <n v="25"/>
    <n v="6"/>
    <n v="20260307"/>
    <n v="20260406"/>
    <n v="246046.98620000001"/>
    <n v="31"/>
    <n v="7936.9995548387105"/>
    <n v="0"/>
    <n v="198424.98887096776"/>
    <n v="29555.042774851659"/>
    <n v="227980.03164581943"/>
    <n v="0"/>
    <n v="214149.76630197969"/>
    <n v="31897.219898020332"/>
    <n v="246046.98620000001"/>
  </r>
  <r>
    <x v="0"/>
    <x v="1"/>
    <x v="1"/>
    <n v="0"/>
    <n v="26"/>
    <n v="1"/>
    <n v="20260306"/>
    <n v="20260401"/>
    <n v="248023.09349999999"/>
    <n v="27"/>
    <n v="9186.0404999999992"/>
    <n v="0"/>
    <n v="238837.05299999999"/>
    <n v="5701.0170748026621"/>
    <n v="244538.07007480264"/>
    <n v="0"/>
    <n v="242240.82863401677"/>
    <n v="5782.264865983233"/>
    <n v="248023.09349999999"/>
  </r>
  <r>
    <x v="0"/>
    <x v="0"/>
    <x v="0"/>
    <n v="0"/>
    <n v="30"/>
    <n v="7"/>
    <n v="20260302"/>
    <n v="20260407"/>
    <n v="142414.21840000001"/>
    <n v="37"/>
    <n v="3849.0329297297299"/>
    <n v="0"/>
    <n v="115470.9878918919"/>
    <n v="16721.439142040399"/>
    <n v="132192.4270339323"/>
    <n v="0"/>
    <n v="124399.7924652558"/>
    <n v="18014.425934744198"/>
    <n v="142414.21840000001"/>
  </r>
  <r>
    <x v="0"/>
    <x v="0"/>
    <x v="1"/>
    <n v="0"/>
    <n v="30"/>
    <n v="6"/>
    <n v="20260302"/>
    <n v="20260406"/>
    <n v="63014.543799999999"/>
    <n v="36"/>
    <n v="1750.4039944444444"/>
    <n v="0"/>
    <n v="52512.11983333333"/>
    <n v="6517.9876314265503"/>
    <n v="59030.10746475988"/>
    <n v="0"/>
    <n v="56056.602594597563"/>
    <n v="6957.9412054024351"/>
    <n v="63014.543799999999"/>
  </r>
  <r>
    <x v="0"/>
    <x v="1"/>
    <x v="0"/>
    <n v="23"/>
    <n v="4"/>
    <n v="0"/>
    <n v="20260206"/>
    <n v="20260304"/>
    <n v="2523884.3804000001"/>
    <n v="27"/>
    <n v="93477.199274074082"/>
    <n v="2916138.2913074205"/>
    <n v="373908.79709629633"/>
    <n v="0"/>
    <n v="3290047.0884037167"/>
    <n v="2237048.7980122217"/>
    <n v="286835.58238777856"/>
    <n v="0"/>
    <n v="2523884.3804000001"/>
  </r>
  <r>
    <x v="0"/>
    <x v="0"/>
    <x v="0"/>
    <n v="0"/>
    <n v="27"/>
    <n v="7"/>
    <n v="20260305"/>
    <n v="20260407"/>
    <n v="217033.14129999999"/>
    <n v="34"/>
    <n v="6383.3276852941171"/>
    <n v="0"/>
    <n v="172349.84750294115"/>
    <n v="27731.232068425586"/>
    <n v="200081.07957136675"/>
    <n v="0"/>
    <n v="186952.35394707622"/>
    <n v="30080.787352923759"/>
    <n v="217033.14129999999"/>
  </r>
  <r>
    <x v="0"/>
    <x v="1"/>
    <x v="0"/>
    <n v="22"/>
    <n v="4"/>
    <n v="0"/>
    <n v="20260207"/>
    <n v="20260304"/>
    <n v="397771.21779999998"/>
    <n v="26"/>
    <n v="15298.892992307692"/>
    <n v="456517.33738316817"/>
    <n v="61195.571969230768"/>
    <n v="0"/>
    <n v="517712.90935239894"/>
    <n v="350753.19536625891"/>
    <n v="47018.022433741098"/>
    <n v="0"/>
    <n v="397771.21779999998"/>
  </r>
  <r>
    <x v="0"/>
    <x v="1"/>
    <x v="0"/>
    <n v="23"/>
    <n v="8"/>
    <n v="0"/>
    <n v="20260206"/>
    <n v="20260308"/>
    <n v="55300.718500000003"/>
    <n v="31"/>
    <n v="1783.8941451612905"/>
    <n v="55650.811799479699"/>
    <n v="14271.153161290324"/>
    <n v="0"/>
    <n v="69921.964960770027"/>
    <n v="44013.778493584454"/>
    <n v="11286.940006415547"/>
    <n v="0"/>
    <n v="55300.718500000003"/>
  </r>
  <r>
    <x v="0"/>
    <x v="1"/>
    <x v="1"/>
    <n v="12"/>
    <n v="16"/>
    <n v="0"/>
    <n v="20260217"/>
    <n v="20260316"/>
    <n v="744455.4558"/>
    <n v="28"/>
    <n v="26587.69485"/>
    <n v="432749.44496183959"/>
    <n v="425403.1176"/>
    <n v="0"/>
    <n v="858152.56256183959"/>
    <n v="375414.23209704371"/>
    <n v="369041.22370295628"/>
    <n v="0"/>
    <n v="744455.4558"/>
  </r>
  <r>
    <x v="0"/>
    <x v="1"/>
    <x v="0"/>
    <n v="26"/>
    <n v="6"/>
    <n v="0"/>
    <n v="20260203"/>
    <n v="20260306"/>
    <n v="405307.25420000002"/>
    <n v="32"/>
    <n v="12665.851693750001"/>
    <n v="446665.42284384836"/>
    <n v="75995.110162500001"/>
    <n v="0"/>
    <n v="522660.53300634836"/>
    <n v="346375.37109909009"/>
    <n v="58931.883100909923"/>
    <n v="0"/>
    <n v="405307.25420000002"/>
  </r>
  <r>
    <x v="0"/>
    <x v="1"/>
    <x v="0"/>
    <n v="24"/>
    <n v="1"/>
    <n v="0"/>
    <n v="20260205"/>
    <n v="20260301"/>
    <n v="1207624.7818"/>
    <n v="25"/>
    <n v="48304.991271999999"/>
    <n v="1572453.5940237409"/>
    <n v="48304.991271999999"/>
    <n v="0"/>
    <n v="1620758.5852957407"/>
    <n v="1171632.8055279411"/>
    <n v="35991.976272058811"/>
    <n v="0"/>
    <n v="1207624.7818"/>
  </r>
  <r>
    <x v="0"/>
    <x v="1"/>
    <x v="0"/>
    <n v="9"/>
    <n v="17"/>
    <n v="0"/>
    <n v="20260220"/>
    <n v="20260317"/>
    <n v="640634.54630000005"/>
    <n v="26"/>
    <n v="24639.790242307696"/>
    <n v="300783.56580435572"/>
    <n v="418876.43411923083"/>
    <n v="0"/>
    <n v="719659.99992358661"/>
    <n v="267754.69420841744"/>
    <n v="372879.85209158261"/>
    <n v="0"/>
    <n v="640634.54630000005"/>
  </r>
  <r>
    <x v="0"/>
    <x v="1"/>
    <x v="1"/>
    <n v="0"/>
    <n v="13"/>
    <n v="16"/>
    <n v="20260319"/>
    <n v="20260416"/>
    <n v="18182.738300000001"/>
    <n v="29"/>
    <n v="626.99097586206904"/>
    <n v="0"/>
    <n v="8150.8826862068972"/>
    <n v="6225.9446979565819"/>
    <n v="14376.82738416348"/>
    <n v="0"/>
    <n v="10308.628102508474"/>
    <n v="7874.1101974915255"/>
    <n v="18182.738299999997"/>
  </r>
  <r>
    <x v="0"/>
    <x v="0"/>
    <x v="0"/>
    <n v="0"/>
    <n v="29"/>
    <n v="5"/>
    <n v="20260303"/>
    <n v="20260405"/>
    <n v="26897.4228"/>
    <n v="34"/>
    <n v="791.10067058823529"/>
    <n v="0"/>
    <n v="22941.919447058823"/>
    <n v="2454.8544233564862"/>
    <n v="25396.773870415309"/>
    <n v="0"/>
    <n v="24297.515517509011"/>
    <n v="2599.9072824909881"/>
    <n v="26897.4228"/>
  </r>
  <r>
    <x v="0"/>
    <x v="1"/>
    <x v="0"/>
    <n v="0"/>
    <n v="25"/>
    <n v="4"/>
    <n v="20260307"/>
    <n v="20260404"/>
    <n v="164584.12119999999"/>
    <n v="29"/>
    <n v="5675.3145241379307"/>
    <n v="0"/>
    <n v="141882.86310344827"/>
    <n v="14088.797020647096"/>
    <n v="155971.66012409536"/>
    <n v="0"/>
    <n v="149717.3673643129"/>
    <n v="14866.753835687108"/>
    <n v="164584.12119999999"/>
  </r>
  <r>
    <x v="0"/>
    <x v="1"/>
    <x v="0"/>
    <n v="0"/>
    <n v="15"/>
    <n v="0"/>
    <n v="20260301"/>
    <n v="20260315"/>
    <n v="2452.3625999999999"/>
    <n v="15"/>
    <n v="163.49083999999999"/>
    <n v="0"/>
    <n v="2452.3625999999999"/>
    <n v="0"/>
    <n v="2452.3625999999999"/>
    <n v="0"/>
    <n v="2452.3625999999999"/>
    <n v="0"/>
    <n v="2452.3625999999999"/>
  </r>
  <r>
    <x v="0"/>
    <x v="1"/>
    <x v="0"/>
    <n v="0"/>
    <n v="25"/>
    <n v="0"/>
    <n v="20260307"/>
    <n v="20260331"/>
    <n v="4298.7649000000001"/>
    <n v="25"/>
    <n v="171.95059600000002"/>
    <n v="0"/>
    <n v="4298.7649000000001"/>
    <n v="0"/>
    <n v="4298.7649000000001"/>
    <n v="0"/>
    <n v="4298.7649000000001"/>
    <n v="0"/>
    <n v="4298.7649000000001"/>
  </r>
  <r>
    <x v="0"/>
    <x v="0"/>
    <x v="0"/>
    <n v="0"/>
    <n v="24"/>
    <n v="6"/>
    <n v="20260308"/>
    <n v="20260406"/>
    <n v="58705.546300000002"/>
    <n v="30"/>
    <n v="1956.8515433333334"/>
    <n v="0"/>
    <n v="46964.437040000004"/>
    <n v="7286.7373454736735"/>
    <n v="54251.174385473678"/>
    <n v="0"/>
    <n v="50820.520741453118"/>
    <n v="7885.0255585468822"/>
    <n v="58705.546300000002"/>
  </r>
  <r>
    <x v="0"/>
    <x v="1"/>
    <x v="1"/>
    <n v="23"/>
    <n v="3"/>
    <n v="0"/>
    <n v="20260206"/>
    <n v="20260303"/>
    <n v="69937.402600000001"/>
    <n v="26"/>
    <n v="2689.9000999999998"/>
    <n v="83914.802136965896"/>
    <n v="8069.7002999999995"/>
    <n v="0"/>
    <n v="91984.502436965893"/>
    <n v="63801.870376741106"/>
    <n v="6135.5322232588969"/>
    <n v="0"/>
    <n v="69937.402600000001"/>
  </r>
  <r>
    <x v="0"/>
    <x v="1"/>
    <x v="0"/>
    <n v="24"/>
    <n v="7"/>
    <n v="0"/>
    <n v="20260205"/>
    <n v="20260307"/>
    <n v="264781.59769999998"/>
    <n v="31"/>
    <n v="8541.3418612903224"/>
    <n v="278042.97969838575"/>
    <n v="59789.393029032261"/>
    <n v="0"/>
    <n v="337832.37272741803"/>
    <n v="217920.69184917482"/>
    <n v="46860.905850825147"/>
    <n v="0"/>
    <n v="264781.59769999998"/>
  </r>
  <r>
    <x v="0"/>
    <x v="0"/>
    <x v="1"/>
    <n v="0"/>
    <n v="28"/>
    <n v="4"/>
    <n v="20260304"/>
    <n v="20260404"/>
    <n v="4185.9071999999996"/>
    <n v="32"/>
    <n v="130.80959999999999"/>
    <n v="0"/>
    <n v="3662.6687999999995"/>
    <n v="324.73088406179193"/>
    <n v="3987.3996840617915"/>
    <n v="0"/>
    <n v="3845.0100105133497"/>
    <n v="340.89718948664972"/>
    <n v="4185.9071999999996"/>
  </r>
  <r>
    <x v="0"/>
    <x v="0"/>
    <x v="0"/>
    <n v="0"/>
    <n v="15"/>
    <n v="17"/>
    <n v="20260317"/>
    <n v="20260417"/>
    <n v="499679.16800000001"/>
    <n v="32"/>
    <n v="15614.974"/>
    <n v="0"/>
    <n v="234224.61000000002"/>
    <n v="164745.73215110405"/>
    <n v="398970.34215110407"/>
    <n v="0"/>
    <n v="293348.01584223623"/>
    <n v="206331.15215776378"/>
    <n v="499679.16800000001"/>
  </r>
  <r>
    <x v="0"/>
    <x v="1"/>
    <x v="1"/>
    <n v="26"/>
    <n v="9"/>
    <n v="0"/>
    <n v="20260203"/>
    <n v="20260309"/>
    <n v="23360.149700000002"/>
    <n v="35"/>
    <n v="667.43284857142862"/>
    <n v="23537.23876888114"/>
    <n v="6006.8956371428576"/>
    <n v="0"/>
    <n v="29544.134406023997"/>
    <n v="18610.578113725245"/>
    <n v="4749.5715862747575"/>
    <n v="0"/>
    <n v="23360.149700000002"/>
  </r>
  <r>
    <x v="0"/>
    <x v="0"/>
    <x v="1"/>
    <n v="0"/>
    <n v="29"/>
    <n v="7"/>
    <n v="20260303"/>
    <n v="20260407"/>
    <n v="1221.8860999999999"/>
    <n v="36"/>
    <n v="33.941280555555551"/>
    <n v="0"/>
    <n v="984.29713611111094"/>
    <n v="147.45185805736742"/>
    <n v="1131.7489941684785"/>
    <n v="0"/>
    <n v="1062.6905745718154"/>
    <n v="159.19552542818448"/>
    <n v="1221.8860999999999"/>
  </r>
  <r>
    <x v="0"/>
    <x v="1"/>
    <x v="0"/>
    <n v="22"/>
    <n v="9"/>
    <n v="0"/>
    <n v="20260207"/>
    <n v="20260309"/>
    <n v="234280.5508"/>
    <n v="31"/>
    <n v="7557.4371225806453"/>
    <n v="225513.11878421169"/>
    <n v="68016.934103225809"/>
    <n v="0"/>
    <n v="293530.05288743752"/>
    <n v="179992.94164829995"/>
    <n v="54287.609151700031"/>
    <n v="0"/>
    <n v="234280.55079999997"/>
  </r>
  <r>
    <x v="0"/>
    <x v="1"/>
    <x v="0"/>
    <n v="26"/>
    <n v="7"/>
    <n v="0"/>
    <n v="20260203"/>
    <n v="20260307"/>
    <n v="161593.66570000001"/>
    <n v="33"/>
    <n v="4896.7777484848484"/>
    <n v="172686.47671586293"/>
    <n v="34277.444239393939"/>
    <n v="0"/>
    <n v="206963.92095525685"/>
    <n v="134830.46059688216"/>
    <n v="26763.205103117878"/>
    <n v="0"/>
    <n v="161593.66570000004"/>
  </r>
  <r>
    <x v="0"/>
    <x v="0"/>
    <x v="0"/>
    <n v="0"/>
    <n v="22"/>
    <n v="8"/>
    <n v="20260310"/>
    <n v="20260408"/>
    <n v="10709.809600000001"/>
    <n v="30"/>
    <n v="356.99365333333333"/>
    <n v="0"/>
    <n v="7853.860373333333"/>
    <n v="1772.45194009281"/>
    <n v="9626.3123134261423"/>
    <n v="0"/>
    <n v="8737.8579132602208"/>
    <n v="1971.9516867397808"/>
    <n v="10709.809600000002"/>
  </r>
  <r>
    <x v="0"/>
    <x v="1"/>
    <x v="1"/>
    <n v="9"/>
    <n v="6"/>
    <n v="0"/>
    <n v="20260220"/>
    <n v="20260306"/>
    <n v="4615.4286000000002"/>
    <n v="15"/>
    <n v="307.69524000000001"/>
    <n v="3756.1063044000607"/>
    <n v="1846.1714400000001"/>
    <n v="0"/>
    <n v="5602.2777444000603"/>
    <n v="3094.4628690173658"/>
    <n v="1520.965730982635"/>
    <n v="0"/>
    <n v="4615.4286000000011"/>
  </r>
  <r>
    <x v="0"/>
    <x v="1"/>
    <x v="0"/>
    <n v="0"/>
    <n v="24"/>
    <n v="8"/>
    <n v="20260308"/>
    <n v="20260408"/>
    <n v="148216.9736"/>
    <n v="32"/>
    <n v="4631.7804249999999"/>
    <n v="0"/>
    <n v="111162.73019999999"/>
    <n v="22996.51022845957"/>
    <n v="134159.24042845957"/>
    <n v="0"/>
    <n v="122810.79853119219"/>
    <n v="25406.17506880781"/>
    <n v="148216.9736"/>
  </r>
  <r>
    <x v="0"/>
    <x v="1"/>
    <x v="1"/>
    <n v="22"/>
    <n v="7"/>
    <n v="0"/>
    <n v="20260207"/>
    <n v="20260307"/>
    <n v="17618.8668"/>
    <n v="29"/>
    <n v="607.54713103448273"/>
    <n v="18129.141679342407"/>
    <n v="4252.829917241379"/>
    <n v="0"/>
    <n v="22381.971596583786"/>
    <n v="14271.081127429152"/>
    <n v="3347.7856725708484"/>
    <n v="0"/>
    <n v="17618.8668"/>
  </r>
  <r>
    <x v="0"/>
    <x v="0"/>
    <x v="1"/>
    <n v="0"/>
    <n v="23"/>
    <n v="2"/>
    <n v="20260309"/>
    <n v="20260402"/>
    <n v="74.138199999999998"/>
    <n v="25"/>
    <n v="2.9655279999999999"/>
    <n v="0"/>
    <n v="68.207144"/>
    <n v="3.6809168789981688"/>
    <n v="71.888060878998175"/>
    <n v="0"/>
    <n v="70.342068230388335"/>
    <n v="3.7961317696116592"/>
    <n v="74.138199999999998"/>
  </r>
  <r>
    <x v="0"/>
    <x v="1"/>
    <x v="0"/>
    <n v="0"/>
    <n v="22"/>
    <n v="7"/>
    <n v="20260310"/>
    <n v="20260407"/>
    <n v="171716.45540000001"/>
    <n v="29"/>
    <n v="5921.2570827586205"/>
    <n v="0"/>
    <n v="130267.65582068966"/>
    <n v="25723.848499440177"/>
    <n v="155991.50432012984"/>
    <n v="0"/>
    <n v="143399.47683874858"/>
    <n v="28316.978561251428"/>
    <n v="171716.45540000001"/>
  </r>
  <r>
    <x v="0"/>
    <x v="0"/>
    <x v="1"/>
    <n v="0"/>
    <n v="24"/>
    <n v="3"/>
    <n v="20260308"/>
    <n v="20260403"/>
    <n v="98.305499999999995"/>
    <n v="27"/>
    <n v="3.6409444444444441"/>
    <n v="0"/>
    <n v="87.382666666666665"/>
    <n v="6.778901022541433"/>
    <n v="94.161567689208098"/>
    <n v="0"/>
    <n v="91.228268058928307"/>
    <n v="7.0772319410716822"/>
    <n v="98.305499999999995"/>
  </r>
  <r>
    <x v="0"/>
    <x v="1"/>
    <x v="0"/>
    <n v="10"/>
    <n v="15"/>
    <n v="0"/>
    <n v="20260219"/>
    <n v="20260315"/>
    <n v="12214.6757"/>
    <n v="25"/>
    <n v="488.58702799999998"/>
    <n v="6626.9931251848384"/>
    <n v="7328.8054199999997"/>
    <n v="0"/>
    <n v="13955.798545184838"/>
    <n v="5800.2106886381825"/>
    <n v="6414.4650113618172"/>
    <n v="0"/>
    <n v="12214.6757"/>
  </r>
  <r>
    <x v="0"/>
    <x v="1"/>
    <x v="0"/>
    <n v="0"/>
    <n v="21"/>
    <n v="0"/>
    <n v="20260303"/>
    <n v="20260323"/>
    <n v="9403.7893000000004"/>
    <n v="21"/>
    <n v="447.7994904761905"/>
    <n v="0"/>
    <n v="9403.7893000000004"/>
    <n v="0"/>
    <n v="9403.7893000000004"/>
    <n v="0"/>
    <n v="9403.7893000000004"/>
    <n v="0"/>
    <n v="9403.7893000000004"/>
  </r>
  <r>
    <x v="0"/>
    <x v="1"/>
    <x v="0"/>
    <n v="19"/>
    <n v="5"/>
    <n v="0"/>
    <n v="20260210"/>
    <n v="20260305"/>
    <n v="37396.0573"/>
    <n v="24"/>
    <n v="1558.1690541666667"/>
    <n v="40155.289711647223"/>
    <n v="7790.8452708333334"/>
    <n v="0"/>
    <n v="47946.134982480558"/>
    <n v="31319.511270377901"/>
    <n v="6076.5460296220972"/>
    <n v="0"/>
    <n v="37396.0573"/>
  </r>
  <r>
    <x v="0"/>
    <x v="0"/>
    <x v="0"/>
    <n v="0"/>
    <n v="28"/>
    <n v="8"/>
    <n v="20260304"/>
    <n v="20260408"/>
    <n v="26151.370999999999"/>
    <n v="36"/>
    <n v="726.42697222222216"/>
    <n v="0"/>
    <n v="20339.955222222219"/>
    <n v="3606.6660687908684"/>
    <n v="23946.621291013089"/>
    <n v="0"/>
    <n v="22212.641552875091"/>
    <n v="3938.7294471249074"/>
    <n v="26151.370999999999"/>
  </r>
  <r>
    <x v="0"/>
    <x v="1"/>
    <x v="0"/>
    <n v="0"/>
    <n v="28"/>
    <n v="8"/>
    <n v="20260304"/>
    <n v="20260408"/>
    <n v="91529.797699999996"/>
    <n v="36"/>
    <n v="2542.4943805555554"/>
    <n v="0"/>
    <n v="71189.842655555549"/>
    <n v="12623.331130436047"/>
    <n v="83813.173785991588"/>
    <n v="0"/>
    <n v="77744.244755553009"/>
    <n v="13785.55294444699"/>
    <n v="91529.797699999996"/>
  </r>
  <r>
    <x v="0"/>
    <x v="1"/>
    <x v="0"/>
    <n v="0"/>
    <n v="24"/>
    <n v="14"/>
    <n v="20260308"/>
    <n v="20260414"/>
    <n v="2793.683"/>
    <n v="38"/>
    <n v="73.517973684210531"/>
    <n v="0"/>
    <n v="1764.4313684210529"/>
    <n v="638.7715279396034"/>
    <n v="2403.2028963606563"/>
    <n v="0"/>
    <n v="2051.1218283272583"/>
    <n v="742.56117167274147"/>
    <n v="2793.683"/>
  </r>
  <r>
    <x v="0"/>
    <x v="0"/>
    <x v="0"/>
    <n v="0"/>
    <n v="26"/>
    <n v="8"/>
    <n v="20260306"/>
    <n v="20260408"/>
    <n v="8339.3119000000006"/>
    <n v="34"/>
    <n v="245.27387941176471"/>
    <n v="0"/>
    <n v="6377.1208647058829"/>
    <n v="1217.7700061562409"/>
    <n v="7594.8908708621238"/>
    <n v="0"/>
    <n v="7002.1809159640125"/>
    <n v="1337.1309840359879"/>
    <n v="8339.3119000000006"/>
  </r>
  <r>
    <x v="0"/>
    <x v="0"/>
    <x v="0"/>
    <n v="0"/>
    <n v="22"/>
    <n v="4"/>
    <n v="20260310"/>
    <n v="20260404"/>
    <n v="7345.57"/>
    <n v="26"/>
    <n v="282.52192307692309"/>
    <n v="0"/>
    <n v="6215.4823076923076"/>
    <n v="701.35214730116763"/>
    <n v="6916.8344549934754"/>
    <n v="0"/>
    <n v="6600.7449899216135"/>
    <n v="744.82501007838528"/>
    <n v="7345.5699999999988"/>
  </r>
  <r>
    <x v="0"/>
    <x v="0"/>
    <x v="0"/>
    <n v="4"/>
    <n v="31"/>
    <n v="2"/>
    <n v="20260225"/>
    <n v="20260402"/>
    <n v="219.13810000000001"/>
    <n v="37"/>
    <n v="5.9226513513513517"/>
    <n v="32.13296099893352"/>
    <n v="183.60219189189189"/>
    <n v="7.3514016146907082"/>
    <n v="223.08655450551612"/>
    <n v="31.56423315734289"/>
    <n v="180.35257918706054"/>
    <n v="7.2212876555965666"/>
    <n v="219.13810000000001"/>
  </r>
  <r>
    <x v="0"/>
    <x v="1"/>
    <x v="1"/>
    <n v="20"/>
    <n v="4"/>
    <n v="0"/>
    <n v="20260209"/>
    <n v="20260304"/>
    <n v="6167.7061000000003"/>
    <n v="24"/>
    <n v="256.98775416666666"/>
    <n v="6971.3520110861036"/>
    <n v="1027.9510166666666"/>
    <n v="0"/>
    <n v="7999.3030277527705"/>
    <n v="5375.12457958505"/>
    <n v="792.58152041494975"/>
    <n v="0"/>
    <n v="6167.7060999999994"/>
  </r>
  <r>
    <x v="0"/>
    <x v="1"/>
    <x v="1"/>
    <n v="0"/>
    <n v="3"/>
    <n v="0"/>
    <n v="20260311"/>
    <n v="20260313"/>
    <n v="9491.1029999999992"/>
    <n v="3"/>
    <n v="3163.7009999999996"/>
    <n v="0"/>
    <n v="9491.1029999999992"/>
    <n v="0"/>
    <n v="9491.1029999999992"/>
    <n v="0"/>
    <n v="9491.1029999999992"/>
    <n v="0"/>
    <n v="9491.1029999999992"/>
  </r>
  <r>
    <x v="0"/>
    <x v="1"/>
    <x v="1"/>
    <n v="0"/>
    <n v="24"/>
    <n v="6"/>
    <n v="20260308"/>
    <n v="20260406"/>
    <n v="7749.9070000000002"/>
    <n v="30"/>
    <n v="258.33023333333335"/>
    <n v="0"/>
    <n v="6199.9256000000005"/>
    <n v="961.94551145583739"/>
    <n v="7161.8711114558382"/>
    <n v="0"/>
    <n v="6708.9795472669457"/>
    <n v="1040.9274527330545"/>
    <n v="7749.9070000000002"/>
  </r>
  <r>
    <x v="0"/>
    <x v="0"/>
    <x v="1"/>
    <n v="0"/>
    <n v="29"/>
    <n v="5"/>
    <n v="20260303"/>
    <n v="20260405"/>
    <n v="403.21319999999997"/>
    <n v="34"/>
    <n v="11.859211764705881"/>
    <n v="0"/>
    <n v="343.91714117647052"/>
    <n v="36.800169106748903"/>
    <n v="380.71731028321943"/>
    <n v="0"/>
    <n v="364.23857619044691"/>
    <n v="38.974623809553066"/>
    <n v="403.21319999999997"/>
  </r>
  <r>
    <x v="0"/>
    <x v="1"/>
    <x v="0"/>
    <n v="21"/>
    <n v="9"/>
    <n v="0"/>
    <n v="20260208"/>
    <n v="20260309"/>
    <n v="56046.427000000003"/>
    <n v="30"/>
    <n v="1868.2142333333334"/>
    <n v="53213.344930255029"/>
    <n v="16813.928100000001"/>
    <n v="0"/>
    <n v="70027.273030255034"/>
    <n v="42589.375867468319"/>
    <n v="13457.051132531682"/>
    <n v="0"/>
    <n v="56046.427000000003"/>
  </r>
  <r>
    <x v="0"/>
    <x v="1"/>
    <x v="0"/>
    <n v="20"/>
    <n v="8"/>
    <n v="0"/>
    <n v="20260209"/>
    <n v="20260308"/>
    <n v="6340.39"/>
    <n v="28"/>
    <n v="226.44250000000002"/>
    <n v="6142.7455284370253"/>
    <n v="1811.5400000000002"/>
    <n v="0"/>
    <n v="7954.2855284370253"/>
    <n v="4896.4048602237935"/>
    <n v="1443.9851397762075"/>
    <n v="0"/>
    <n v="6340.3900000000012"/>
  </r>
  <r>
    <x v="0"/>
    <x v="0"/>
    <x v="0"/>
    <n v="0"/>
    <n v="29"/>
    <n v="8"/>
    <n v="20260303"/>
    <n v="20260408"/>
    <n v="5653.6493"/>
    <n v="37"/>
    <n v="152.80133243243245"/>
    <n v="0"/>
    <n v="4431.2386405405414"/>
    <n v="758.64939219451094"/>
    <n v="5189.8880327350525"/>
    <n v="0"/>
    <n v="4827.2080399819952"/>
    <n v="826.4412600180051"/>
    <n v="5653.6493"/>
  </r>
  <r>
    <x v="0"/>
    <x v="1"/>
    <x v="0"/>
    <n v="0"/>
    <n v="16"/>
    <n v="16"/>
    <n v="20260316"/>
    <n v="20260416"/>
    <n v="6845.7925999999998"/>
    <n v="32"/>
    <n v="213.93101874999999"/>
    <n v="0"/>
    <n v="3422.8962999999999"/>
    <n v="2124.3091897514337"/>
    <n v="5547.2054897514336"/>
    <n v="0"/>
    <n v="4224.1878734074753"/>
    <n v="2621.6047265925249"/>
    <n v="6845.7926000000007"/>
  </r>
  <r>
    <x v="0"/>
    <x v="1"/>
    <x v="0"/>
    <n v="0"/>
    <n v="14"/>
    <n v="0"/>
    <n v="20260318"/>
    <n v="20260331"/>
    <n v="759.05029999999999"/>
    <n v="14"/>
    <n v="54.217878571428571"/>
    <n v="0"/>
    <n v="759.05029999999999"/>
    <n v="0"/>
    <n v="759.05029999999999"/>
    <n v="0"/>
    <n v="759.05029999999999"/>
    <n v="0"/>
    <n v="759.05029999999999"/>
  </r>
  <r>
    <x v="0"/>
    <x v="1"/>
    <x v="0"/>
    <n v="0"/>
    <n v="17"/>
    <n v="0"/>
    <n v="20260301"/>
    <n v="20260317"/>
    <n v="760.47329999999999"/>
    <n v="17"/>
    <n v="44.733723529411762"/>
    <n v="0"/>
    <n v="760.47329999999999"/>
    <n v="0"/>
    <n v="760.47329999999999"/>
    <n v="0"/>
    <n v="760.47329999999999"/>
    <n v="0"/>
    <n v="760.47329999999999"/>
  </r>
  <r>
    <x v="0"/>
    <x v="1"/>
    <x v="0"/>
    <n v="0"/>
    <n v="12"/>
    <n v="0"/>
    <n v="20260303"/>
    <n v="20260314"/>
    <n v="1352.6797999999999"/>
    <n v="12"/>
    <n v="112.72331666666666"/>
    <n v="0"/>
    <n v="1352.6797999999999"/>
    <n v="0"/>
    <n v="1352.6797999999999"/>
    <n v="0"/>
    <n v="1352.6797999999999"/>
    <n v="0"/>
    <n v="1352.6797999999999"/>
  </r>
  <r>
    <x v="0"/>
    <x v="0"/>
    <x v="0"/>
    <n v="0"/>
    <n v="21"/>
    <n v="2"/>
    <n v="20260311"/>
    <n v="20260402"/>
    <n v="952.03359999999998"/>
    <n v="23"/>
    <n v="41.3927652173913"/>
    <n v="0"/>
    <n v="869.24806956521729"/>
    <n v="51.378145192729235"/>
    <n v="920.62621475794651"/>
    <n v="0"/>
    <n v="898.90267699883691"/>
    <n v="53.130923001163104"/>
    <n v="952.03359999999998"/>
  </r>
  <r>
    <x v="0"/>
    <x v="1"/>
    <x v="0"/>
    <n v="0"/>
    <n v="23"/>
    <n v="6"/>
    <n v="20260309"/>
    <n v="20260406"/>
    <n v="7213.5685999999996"/>
    <n v="29"/>
    <n v="248.7437448275862"/>
    <n v="0"/>
    <n v="5721.1061310344821"/>
    <n v="926.24825887438146"/>
    <n v="6647.3543899088636"/>
    <n v="0"/>
    <n v="6208.4235506907635"/>
    <n v="1005.1450493092357"/>
    <n v="7213.5685999999987"/>
  </r>
  <r>
    <x v="0"/>
    <x v="1"/>
    <x v="0"/>
    <n v="0"/>
    <n v="30"/>
    <n v="14"/>
    <n v="20260302"/>
    <n v="20260414"/>
    <n v="28.7607"/>
    <n v="44"/>
    <n v="0.65365227272727278"/>
    <n v="0"/>
    <n v="19.609568181818183"/>
    <n v="5.6793521375422289"/>
    <n v="25.288920319360411"/>
    <n v="0"/>
    <n v="22.301660192865132"/>
    <n v="6.4590398071348707"/>
    <n v="28.760700000000003"/>
  </r>
  <r>
    <x v="0"/>
    <x v="1"/>
    <x v="0"/>
    <n v="0"/>
    <n v="24"/>
    <n v="0"/>
    <n v="20260305"/>
    <n v="20260328"/>
    <n v="801.21969999999999"/>
    <n v="24"/>
    <n v="33.384154166666669"/>
    <n v="0"/>
    <n v="801.2197000000001"/>
    <n v="0"/>
    <n v="801.2197000000001"/>
    <n v="0"/>
    <n v="801.21969999999999"/>
    <n v="0"/>
    <n v="801.21969999999999"/>
  </r>
  <r>
    <x v="0"/>
    <x v="1"/>
    <x v="0"/>
    <n v="0"/>
    <n v="19"/>
    <n v="0"/>
    <n v="20260306"/>
    <n v="20260324"/>
    <n v="84.255899999999997"/>
    <n v="19"/>
    <n v="4.4345210526315784"/>
    <n v="0"/>
    <n v="84.255899999999983"/>
    <n v="0"/>
    <n v="84.255899999999983"/>
    <n v="0"/>
    <n v="84.255899999999997"/>
    <n v="0"/>
    <n v="84.255899999999997"/>
  </r>
  <r>
    <x v="0"/>
    <x v="1"/>
    <x v="1"/>
    <n v="24"/>
    <n v="9"/>
    <n v="0"/>
    <n v="20260205"/>
    <n v="20260309"/>
    <n v="380.19220000000001"/>
    <n v="33"/>
    <n v="11.520975757575759"/>
    <n v="375.03784308023376"/>
    <n v="103.68878181818182"/>
    <n v="0"/>
    <n v="478.72662489841559"/>
    <n v="297.84527374926199"/>
    <n v="82.346926250738022"/>
    <n v="0"/>
    <n v="380.19220000000001"/>
  </r>
  <r>
    <x v="0"/>
    <x v="1"/>
    <x v="0"/>
    <n v="17"/>
    <n v="4"/>
    <n v="0"/>
    <n v="20260212"/>
    <n v="20260304"/>
    <n v="33595.4254"/>
    <n v="21"/>
    <n v="1599.782161904762"/>
    <n v="36887.936289727957"/>
    <n v="6399.128647619048"/>
    <n v="0"/>
    <n v="43287.064937347008"/>
    <n v="28629.012236685525"/>
    <n v="4966.4131633144743"/>
    <n v="0"/>
    <n v="33595.4254"/>
  </r>
  <r>
    <x v="0"/>
    <x v="1"/>
    <x v="0"/>
    <n v="28"/>
    <n v="5"/>
    <n v="0"/>
    <n v="20260129"/>
    <n v="20260305"/>
    <n v="18780.800299999999"/>
    <n v="33"/>
    <n v="569.11516060606061"/>
    <n v="21613.881895713203"/>
    <n v="2845.5758030303032"/>
    <n v="0"/>
    <n v="24459.457698743507"/>
    <n v="16595.870791200236"/>
    <n v="2184.9295087997639"/>
    <n v="0"/>
    <n v="18780.800299999999"/>
  </r>
  <r>
    <x v="0"/>
    <x v="1"/>
    <x v="0"/>
    <n v="4"/>
    <n v="2"/>
    <n v="0"/>
    <n v="20260225"/>
    <n v="20260302"/>
    <n v="1907.0975000000001"/>
    <n v="6"/>
    <n v="317.84958333333333"/>
    <n v="1724.4723112811462"/>
    <n v="635.69916666666666"/>
    <n v="0"/>
    <n v="2360.1714779478129"/>
    <n v="1393.431309712749"/>
    <n v="513.66619028725086"/>
    <n v="0"/>
    <n v="1907.0974999999999"/>
  </r>
  <r>
    <x v="0"/>
    <x v="1"/>
    <x v="0"/>
    <n v="16"/>
    <n v="1"/>
    <n v="0"/>
    <n v="20260213"/>
    <n v="20260301"/>
    <n v="14185.8719"/>
    <n v="17"/>
    <n v="834.46305294117644"/>
    <n v="18109.300814468377"/>
    <n v="834.46305294117644"/>
    <n v="0"/>
    <n v="18943.763867409554"/>
    <n v="13560.9915405762"/>
    <n v="624.88035942379838"/>
    <n v="0"/>
    <n v="14185.871899999998"/>
  </r>
  <r>
    <x v="0"/>
    <x v="1"/>
    <x v="0"/>
    <n v="1"/>
    <n v="31"/>
    <n v="2"/>
    <n v="20260228"/>
    <n v="20260402"/>
    <n v="13948.1068"/>
    <n v="34"/>
    <n v="410.23843529411761"/>
    <n v="556.43050973115533"/>
    <n v="12717.391494117646"/>
    <n v="509.20226714700237"/>
    <n v="13783.024270995804"/>
    <n v="563.09500904244294"/>
    <n v="12869.710688287772"/>
    <n v="515.30110266978306"/>
    <n v="13948.106799999998"/>
  </r>
  <r>
    <x v="0"/>
    <x v="1"/>
    <x v="0"/>
    <n v="28"/>
    <n v="4"/>
    <n v="0"/>
    <n v="20260128"/>
    <n v="20260304"/>
    <n v="13922.7696"/>
    <n v="32"/>
    <n v="435.08654999999999"/>
    <n v="16523.737122200244"/>
    <n v="1740.3462"/>
    <n v="0"/>
    <n v="18264.083322200244"/>
    <n v="12596.098080856027"/>
    <n v="1326.6715191439741"/>
    <n v="0"/>
    <n v="13922.769600000001"/>
  </r>
  <r>
    <x v="0"/>
    <x v="1"/>
    <x v="0"/>
    <n v="9"/>
    <n v="1"/>
    <n v="0"/>
    <n v="20260220"/>
    <n v="20260301"/>
    <n v="718.7287"/>
    <n v="10"/>
    <n v="71.872870000000006"/>
    <n v="877.36859407485804"/>
    <n v="71.872870000000006"/>
    <n v="0"/>
    <n v="949.24146407485807"/>
    <n v="664.30935953143478"/>
    <n v="54.419340468565203"/>
    <n v="0"/>
    <n v="718.7287"/>
  </r>
  <r>
    <x v="0"/>
    <x v="1"/>
    <x v="0"/>
    <n v="28"/>
    <n v="4"/>
    <n v="0"/>
    <n v="20260130"/>
    <n v="20260304"/>
    <n v="9791.3385999999991"/>
    <n v="32"/>
    <n v="305.97933124999997"/>
    <n v="11620.49719625125"/>
    <n v="1223.9173249999999"/>
    <n v="0"/>
    <n v="12844.41452125125"/>
    <n v="8858.3424772375402"/>
    <n v="932.99612276245898"/>
    <n v="0"/>
    <n v="9791.3385999999991"/>
  </r>
  <r>
    <x v="0"/>
    <x v="1"/>
    <x v="1"/>
    <n v="0"/>
    <n v="20"/>
    <n v="0"/>
    <n v="20260306"/>
    <n v="20260325"/>
    <n v="294.9579"/>
    <n v="20"/>
    <n v="14.747895"/>
    <n v="0"/>
    <n v="294.9579"/>
    <n v="0"/>
    <n v="294.9579"/>
    <n v="0"/>
    <n v="294.9579"/>
    <n v="0"/>
    <n v="294.9579"/>
  </r>
  <r>
    <x v="0"/>
    <x v="1"/>
    <x v="0"/>
    <n v="10"/>
    <n v="6"/>
    <n v="0"/>
    <n v="20260219"/>
    <n v="20260306"/>
    <n v="3894.3182999999999"/>
    <n v="16"/>
    <n v="243.39489374999999"/>
    <n v="3301.3080477984854"/>
    <n v="1460.3693625000001"/>
    <n v="0"/>
    <n v="4761.6774102984855"/>
    <n v="2699.9612188497699"/>
    <n v="1194.3570811502298"/>
    <n v="0"/>
    <n v="3894.3182999999999"/>
  </r>
  <r>
    <x v="0"/>
    <x v="1"/>
    <x v="0"/>
    <n v="28"/>
    <n v="4"/>
    <n v="0"/>
    <n v="20260126"/>
    <n v="20260304"/>
    <n v="6959.5911999999998"/>
    <n v="32"/>
    <n v="217.487225"/>
    <n v="8259.7398916073507"/>
    <n v="869.94889999999998"/>
    <n v="0"/>
    <n v="9129.6887916073501"/>
    <n v="6296.4263488108354"/>
    <n v="663.16485118916535"/>
    <n v="0"/>
    <n v="6959.5912000000008"/>
  </r>
  <r>
    <x v="0"/>
    <x v="1"/>
    <x v="0"/>
    <n v="0"/>
    <n v="19"/>
    <n v="2"/>
    <n v="20260313"/>
    <n v="20260402"/>
    <n v="12499.6258"/>
    <n v="21"/>
    <n v="595.22027619047617"/>
    <n v="0"/>
    <n v="11309.185247619047"/>
    <n v="738.80818570975407"/>
    <n v="12047.9934333288"/>
    <n v="0"/>
    <n v="11733.122571852298"/>
    <n v="766.50322814770141"/>
    <n v="12499.6258"/>
  </r>
  <r>
    <x v="0"/>
    <x v="0"/>
    <x v="0"/>
    <n v="0"/>
    <n v="19"/>
    <n v="1"/>
    <n v="20260313"/>
    <n v="20260401"/>
    <n v="1501.6502"/>
    <n v="20"/>
    <n v="75.082509999999999"/>
    <n v="0"/>
    <n v="1426.5676900000001"/>
    <n v="46.597516256219599"/>
    <n v="1473.1652062562198"/>
    <n v="0"/>
    <n v="1454.151678239851"/>
    <n v="47.498521760148982"/>
    <n v="1501.6502"/>
  </r>
  <r>
    <x v="0"/>
    <x v="0"/>
    <x v="1"/>
    <n v="0"/>
    <n v="14"/>
    <n v="4"/>
    <n v="20260318"/>
    <n v="20260404"/>
    <n v="908.49620000000004"/>
    <n v="18"/>
    <n v="50.472011111111115"/>
    <n v="0"/>
    <n v="706.60815555555564"/>
    <n v="125.29524429772508"/>
    <n v="831.90339985328069"/>
    <n v="0"/>
    <n v="771.66510477592635"/>
    <n v="136.83109522407369"/>
    <n v="908.49620000000004"/>
  </r>
  <r>
    <x v="0"/>
    <x v="1"/>
    <x v="0"/>
    <n v="0"/>
    <n v="14"/>
    <n v="8"/>
    <n v="20260318"/>
    <n v="20260408"/>
    <n v="1474.5821000000001"/>
    <n v="22"/>
    <n v="67.0264590909091"/>
    <n v="0"/>
    <n v="938.3704272727274"/>
    <n v="332.78232356222242"/>
    <n v="1271.1527508349498"/>
    <n v="0"/>
    <n v="1088.5428476765182"/>
    <n v="386.039252323482"/>
    <n v="1474.5821000000003"/>
  </r>
  <r>
    <x v="0"/>
    <x v="0"/>
    <x v="0"/>
    <n v="0"/>
    <n v="9"/>
    <n v="3"/>
    <n v="20260323"/>
    <n v="20260403"/>
    <n v="2502.7559999999999"/>
    <n v="12"/>
    <n v="208.56299999999999"/>
    <n v="0"/>
    <n v="1877.067"/>
    <n v="388.31351467655765"/>
    <n v="2265.3805146765576"/>
    <n v="0"/>
    <n v="2073.7534671179687"/>
    <n v="429.00253288203123"/>
    <n v="2502.7559999999999"/>
  </r>
  <r>
    <x v="0"/>
    <x v="1"/>
    <x v="0"/>
    <n v="0"/>
    <n v="12"/>
    <n v="2"/>
    <n v="20260320"/>
    <n v="20260402"/>
    <n v="5100.5409"/>
    <n v="14"/>
    <n v="364.32434999999998"/>
    <n v="0"/>
    <n v="4371.8922000000002"/>
    <n v="452.21210163756217"/>
    <n v="4824.1043016375625"/>
    <n v="0"/>
    <n v="4622.4155992899005"/>
    <n v="478.12530071009922"/>
    <n v="5100.5409"/>
  </r>
  <r>
    <x v="0"/>
    <x v="1"/>
    <x v="0"/>
    <n v="0"/>
    <n v="9"/>
    <n v="1"/>
    <n v="20260323"/>
    <n v="20260401"/>
    <n v="5746.2735000000002"/>
    <n v="10"/>
    <n v="574.62734999999998"/>
    <n v="0"/>
    <n v="5171.6461499999996"/>
    <n v="356.62376341565289"/>
    <n v="5528.2699134156528"/>
    <n v="0"/>
    <n v="5375.586519573696"/>
    <n v="370.68698042630439"/>
    <n v="5746.2735000000002"/>
  </r>
  <r>
    <x v="0"/>
    <x v="1"/>
    <x v="0"/>
    <n v="0"/>
    <n v="20"/>
    <n v="7"/>
    <n v="20260312"/>
    <n v="20260407"/>
    <n v="10009.807199999999"/>
    <n v="27"/>
    <n v="370.73359999999997"/>
    <n v="0"/>
    <n v="7414.6719999999996"/>
    <n v="1610.5862026867203"/>
    <n v="9025.2582026867203"/>
    <n v="0"/>
    <n v="8223.5250786669003"/>
    <n v="1786.2821213330994"/>
    <n v="10009.807199999999"/>
  </r>
  <r>
    <x v="0"/>
    <x v="1"/>
    <x v="0"/>
    <n v="0"/>
    <n v="18"/>
    <n v="4"/>
    <n v="20260314"/>
    <n v="20260404"/>
    <n v="4168.8086999999996"/>
    <n v="22"/>
    <n v="189.49130454545454"/>
    <n v="0"/>
    <n v="3410.8434818181818"/>
    <n v="470.4064445351695"/>
    <n v="3881.2499263533514"/>
    <n v="0"/>
    <n v="3663.550209636102"/>
    <n v="505.25849036389729"/>
    <n v="4168.8086999999996"/>
  </r>
  <r>
    <x v="0"/>
    <x v="0"/>
    <x v="0"/>
    <n v="0"/>
    <n v="18"/>
    <n v="8"/>
    <n v="20260314"/>
    <n v="20260408"/>
    <n v="427.4898"/>
    <n v="26"/>
    <n v="16.441915384615385"/>
    <n v="0"/>
    <n v="295.95447692307692"/>
    <n v="81.63311742433784"/>
    <n v="377.58759434741478"/>
    <n v="0"/>
    <n v="335.06800022816219"/>
    <n v="92.42179977183784"/>
    <n v="427.48980000000006"/>
  </r>
  <r>
    <x v="0"/>
    <x v="1"/>
    <x v="0"/>
    <n v="0"/>
    <n v="18"/>
    <n v="8"/>
    <n v="20260314"/>
    <n v="20260408"/>
    <n v="961.85220000000004"/>
    <n v="26"/>
    <n v="36.994315384615383"/>
    <n v="0"/>
    <n v="665.89767692307692"/>
    <n v="183.67454284864269"/>
    <n v="849.57221977171957"/>
    <n v="0"/>
    <n v="753.90311808388947"/>
    <n v="207.94908191611063"/>
    <n v="961.85220000000004"/>
  </r>
  <r>
    <x v="0"/>
    <x v="0"/>
    <x v="0"/>
    <n v="0"/>
    <n v="12"/>
    <n v="3"/>
    <n v="20260320"/>
    <n v="20260403"/>
    <n v="236.25960000000001"/>
    <n v="15"/>
    <n v="15.750640000000001"/>
    <n v="0"/>
    <n v="189.00767999999999"/>
    <n v="29.325366324828355"/>
    <n v="218.33304632482836"/>
    <n v="0"/>
    <n v="204.52643163917574"/>
    <n v="31.733168360824244"/>
    <n v="236.25959999999998"/>
  </r>
  <r>
    <x v="0"/>
    <x v="1"/>
    <x v="1"/>
    <n v="0"/>
    <n v="12"/>
    <n v="2"/>
    <n v="20260320"/>
    <n v="20260402"/>
    <n v="144.6962"/>
    <n v="14"/>
    <n v="10.335442857142857"/>
    <n v="0"/>
    <n v="124.02531428571427"/>
    <n v="12.828712480468303"/>
    <n v="136.85402676618259"/>
    <n v="0"/>
    <n v="131.13236128308887"/>
    <n v="13.563838716911116"/>
    <n v="144.69619999999998"/>
  </r>
  <r>
    <x v="0"/>
    <x v="1"/>
    <x v="0"/>
    <n v="0"/>
    <n v="14"/>
    <n v="6"/>
    <n v="20260318"/>
    <n v="20260406"/>
    <n v="294.92340000000002"/>
    <n v="20"/>
    <n v="14.746170000000001"/>
    <n v="0"/>
    <n v="206.44638"/>
    <n v="54.910382960717051"/>
    <n v="261.35676296071705"/>
    <n v="0"/>
    <n v="232.96075302418478"/>
    <n v="61.962646975815261"/>
    <n v="294.92340000000002"/>
  </r>
  <r>
    <x v="0"/>
    <x v="0"/>
    <x v="0"/>
    <n v="0"/>
    <n v="13"/>
    <n v="15"/>
    <n v="20260319"/>
    <n v="20260415"/>
    <n v="4628.8311000000003"/>
    <n v="28"/>
    <n v="165.31539642857143"/>
    <n v="0"/>
    <n v="2149.1001535714286"/>
    <n v="1538.9643085620896"/>
    <n v="3688.0644621335182"/>
    <n v="0"/>
    <n v="2697.3014517515953"/>
    <n v="1931.5296482484048"/>
    <n v="4628.8311000000003"/>
  </r>
  <r>
    <x v="0"/>
    <x v="1"/>
    <x v="0"/>
    <n v="0"/>
    <n v="28"/>
    <n v="3"/>
    <n v="20260304"/>
    <n v="20260403"/>
    <n v="5962309.5562000005"/>
    <n v="31"/>
    <n v="192332.56632903227"/>
    <n v="0"/>
    <n v="5385311.8572129039"/>
    <n v="358094.84337101341"/>
    <n v="5743406.7005839171"/>
    <n v="0"/>
    <n v="5590566.3699757224"/>
    <n v="371743.18622427841"/>
    <n v="5962309.5562000005"/>
  </r>
  <r>
    <x v="0"/>
    <x v="0"/>
    <x v="1"/>
    <n v="0"/>
    <n v="26"/>
    <n v="3"/>
    <n v="20260306"/>
    <n v="20260403"/>
    <n v="87166.659599999999"/>
    <n v="29"/>
    <n v="3005.7468827586208"/>
    <n v="0"/>
    <n v="78149.418951724147"/>
    <n v="5596.2569404549577"/>
    <n v="83745.675892179104"/>
    <n v="0"/>
    <n v="81341.797377969371"/>
    <n v="5824.8622220306233"/>
    <n v="87166.659599999999"/>
  </r>
  <r>
    <x v="0"/>
    <x v="1"/>
    <x v="1"/>
    <n v="0"/>
    <n v="26"/>
    <n v="3"/>
    <n v="20260306"/>
    <n v="20260403"/>
    <n v="755444.38589999999"/>
    <n v="29"/>
    <n v="26049.806410344827"/>
    <n v="0"/>
    <n v="677294.96666896553"/>
    <n v="48500.89365728783"/>
    <n v="725795.86032625334"/>
    <n v="0"/>
    <n v="704962.24646197527"/>
    <n v="50482.139438024693"/>
    <n v="755444.38589999999"/>
  </r>
  <r>
    <x v="0"/>
    <x v="0"/>
    <x v="0"/>
    <n v="0"/>
    <n v="15"/>
    <n v="15"/>
    <n v="20260317"/>
    <n v="20260415"/>
    <n v="3418850.8009000001"/>
    <n v="30"/>
    <n v="113961.69336333334"/>
    <n v="0"/>
    <n v="1709425.4004500001"/>
    <n v="1060899.2411982976"/>
    <n v="2770324.6416482977"/>
    <n v="0"/>
    <n v="2109597.6664778325"/>
    <n v="1309253.1344221677"/>
    <n v="3418850.8009000001"/>
  </r>
  <r>
    <x v="0"/>
    <x v="1"/>
    <x v="0"/>
    <n v="0"/>
    <n v="15"/>
    <n v="15"/>
    <n v="20260317"/>
    <n v="20260415"/>
    <n v="3418850.8084"/>
    <n v="30"/>
    <n v="113961.69361333334"/>
    <n v="0"/>
    <n v="1709425.4042"/>
    <n v="1060899.2435256129"/>
    <n v="2770324.6477256129"/>
    <n v="0"/>
    <n v="2109597.6711056982"/>
    <n v="1309253.1372943018"/>
    <n v="3418850.8084"/>
  </r>
  <r>
    <x v="0"/>
    <x v="1"/>
    <x v="1"/>
    <n v="0"/>
    <n v="15"/>
    <n v="16"/>
    <n v="20260317"/>
    <n v="20260416"/>
    <n v="3452355.0290000001"/>
    <n v="31"/>
    <n v="111366.29125806452"/>
    <n v="0"/>
    <n v="1670494.3688709678"/>
    <n v="1105853.8276980987"/>
    <n v="2776348.1965690665"/>
    <n v="0"/>
    <n v="2077239.3183300053"/>
    <n v="1375115.7106699951"/>
    <n v="3452355.0290000001"/>
  </r>
  <r>
    <x v="0"/>
    <x v="1"/>
    <x v="0"/>
    <n v="27"/>
    <n v="12"/>
    <n v="0"/>
    <n v="20260202"/>
    <n v="20260312"/>
    <n v="39527.960400000004"/>
    <n v="39"/>
    <n v="1013.5374461538462"/>
    <n v="37117.451585315379"/>
    <n v="12162.449353846154"/>
    <n v="0"/>
    <n v="49279.900939161533"/>
    <n v="29772.323573145291"/>
    <n v="9755.6368268547121"/>
    <n v="0"/>
    <n v="39527.960400000004"/>
  </r>
  <r>
    <x v="0"/>
    <x v="0"/>
    <x v="0"/>
    <n v="0"/>
    <n v="26"/>
    <n v="3"/>
    <n v="20260306"/>
    <n v="20260403"/>
    <n v="346577.71120000002"/>
    <n v="29"/>
    <n v="11950.95555862069"/>
    <n v="0"/>
    <n v="310724.84452413791"/>
    <n v="22250.914863668739"/>
    <n v="332975.75938780664"/>
    <n v="0"/>
    <n v="323417.85367843544"/>
    <n v="23159.857521564583"/>
    <n v="346577.71120000002"/>
  </r>
  <r>
    <x v="0"/>
    <x v="0"/>
    <x v="0"/>
    <n v="0"/>
    <n v="27"/>
    <n v="3"/>
    <n v="20260305"/>
    <n v="20260403"/>
    <n v="717457.83680000005"/>
    <n v="30"/>
    <n v="23915.261226666669"/>
    <n v="0"/>
    <n v="645712.05312000006"/>
    <n v="44526.685660135969"/>
    <n v="690238.73878013599"/>
    <n v="0"/>
    <n v="671175.27139364067"/>
    <n v="46282.565406359507"/>
    <n v="717457.83680000016"/>
  </r>
  <r>
    <x v="0"/>
    <x v="1"/>
    <x v="0"/>
    <n v="24"/>
    <n v="4"/>
    <n v="0"/>
    <n v="20260205"/>
    <n v="20260304"/>
    <n v="6477900.1799999997"/>
    <n v="28"/>
    <n v="231353.57785714284"/>
    <n v="7531163.0415838258"/>
    <n v="925414.31142857135"/>
    <n v="0"/>
    <n v="8456577.3530123979"/>
    <n v="5769015.0974976467"/>
    <n v="708885.08250235231"/>
    <n v="0"/>
    <n v="6477900.1799999988"/>
  </r>
  <r>
    <x v="0"/>
    <x v="1"/>
    <x v="0"/>
    <n v="26"/>
    <n v="1"/>
    <n v="0"/>
    <n v="20260203"/>
    <n v="20260301"/>
    <n v="6656157.2966"/>
    <n v="27"/>
    <n v="246524.34431851853"/>
    <n v="8693762.0271260198"/>
    <n v="246524.34431851853"/>
    <n v="0"/>
    <n v="8940286.3714445382"/>
    <n v="6472616.7761904616"/>
    <n v="183540.52040953882"/>
    <n v="0"/>
    <n v="6656157.2966"/>
  </r>
  <r>
    <x v="0"/>
    <x v="1"/>
    <x v="0"/>
    <n v="0"/>
    <n v="27"/>
    <n v="2"/>
    <n v="20260305"/>
    <n v="20260402"/>
    <n v="7012864.7753999997"/>
    <n v="29"/>
    <n v="241822.92328965515"/>
    <n v="0"/>
    <n v="6529218.9288206892"/>
    <n v="300159.05432879779"/>
    <n v="6829377.9831494866"/>
    <n v="0"/>
    <n v="6704641.2645160621"/>
    <n v="308223.51088393776"/>
    <n v="7012864.7753999997"/>
  </r>
  <r>
    <x v="0"/>
    <x v="1"/>
    <x v="1"/>
    <n v="26"/>
    <n v="1"/>
    <n v="0"/>
    <n v="20260203"/>
    <n v="20260301"/>
    <n v="804767.14020000002"/>
    <n v="27"/>
    <n v="29806.190377777777"/>
    <n v="1051125.1000218079"/>
    <n v="29806.190377777777"/>
    <n v="0"/>
    <n v="1080931.2903995856"/>
    <n v="782576.05108672846"/>
    <n v="22191.089113271704"/>
    <n v="0"/>
    <n v="804767.14020000014"/>
  </r>
  <r>
    <x v="0"/>
    <x v="1"/>
    <x v="0"/>
    <n v="0"/>
    <n v="25"/>
    <n v="2"/>
    <n v="20260307"/>
    <n v="20260402"/>
    <n v="618825.4656"/>
    <n v="27"/>
    <n v="22919.461688888889"/>
    <n v="0"/>
    <n v="572986.5422222222"/>
    <n v="28448.435957503349"/>
    <n v="601434.97817972559"/>
    <n v="0"/>
    <n v="589554.44335205038"/>
    <n v="29271.022247949535"/>
    <n v="618825.46559999988"/>
  </r>
  <r>
    <x v="0"/>
    <x v="0"/>
    <x v="1"/>
    <n v="0"/>
    <n v="26"/>
    <n v="2"/>
    <n v="20260306"/>
    <n v="20260402"/>
    <n v="79992.5965"/>
    <n v="28"/>
    <n v="2856.8784464285714"/>
    <n v="0"/>
    <n v="74278.839607142858"/>
    <n v="3546.0572601927865"/>
    <n v="77824.896867335643"/>
    <n v="0"/>
    <n v="76347.768957677181"/>
    <n v="3644.8275423228092"/>
    <n v="79992.596499999985"/>
  </r>
  <r>
    <x v="0"/>
    <x v="1"/>
    <x v="1"/>
    <n v="8"/>
    <n v="17"/>
    <n v="0"/>
    <n v="20260221"/>
    <n v="20260317"/>
    <n v="1036114.7496"/>
    <n v="25"/>
    <n v="41444.589983999998"/>
    <n v="449709.87301786878"/>
    <n v="704558.02972799994"/>
    <n v="0"/>
    <n v="1154267.9027458688"/>
    <n v="403676.67797580932"/>
    <n v="632438.07162419055"/>
    <n v="0"/>
    <n v="1036114.7495999999"/>
  </r>
  <r>
    <x v="0"/>
    <x v="1"/>
    <x v="0"/>
    <n v="0"/>
    <n v="26"/>
    <n v="4"/>
    <n v="20260306"/>
    <n v="20260404"/>
    <n v="407554.39059999998"/>
    <n v="30"/>
    <n v="13585.146353333334"/>
    <n v="0"/>
    <n v="353213.80518666666"/>
    <n v="33724.715811582348"/>
    <n v="386938.52099824901"/>
    <n v="0"/>
    <n v="372032.84065121674"/>
    <n v="35521.549948783271"/>
    <n v="407554.39060000004"/>
  </r>
  <r>
    <x v="0"/>
    <x v="1"/>
    <x v="0"/>
    <n v="0"/>
    <n v="24"/>
    <n v="3"/>
    <n v="20260308"/>
    <n v="20260403"/>
    <n v="264020.42479999998"/>
    <n v="27"/>
    <n v="9778.5342518518519"/>
    <n v="0"/>
    <n v="234684.82204444445"/>
    <n v="18206.187117186153"/>
    <n v="252891.00916163059"/>
    <n v="0"/>
    <n v="245013.00625790545"/>
    <n v="19007.418542094532"/>
    <n v="264020.42479999998"/>
  </r>
  <r>
    <x v="0"/>
    <x v="1"/>
    <x v="0"/>
    <n v="0"/>
    <n v="30"/>
    <n v="7"/>
    <n v="20260302"/>
    <n v="20260407"/>
    <n v="610346.65209999995"/>
    <n v="37"/>
    <n v="16495.855462162162"/>
    <n v="0"/>
    <n v="494875.66386486485"/>
    <n v="71663.310821767314"/>
    <n v="566538.97468663217"/>
    <n v="0"/>
    <n v="533141.9692930301"/>
    <n v="77204.682806969882"/>
    <n v="610346.65209999995"/>
  </r>
  <r>
    <x v="0"/>
    <x v="0"/>
    <x v="1"/>
    <n v="0"/>
    <n v="26"/>
    <n v="7"/>
    <n v="20260306"/>
    <n v="20260407"/>
    <n v="94205.749100000001"/>
    <n v="33"/>
    <n v="2854.7196696969695"/>
    <n v="0"/>
    <n v="74222.711412121207"/>
    <n v="12401.821989030212"/>
    <n v="86624.533401151421"/>
    <n v="0"/>
    <n v="80718.543053289992"/>
    <n v="13487.206046710015"/>
    <n v="94205.749100000001"/>
  </r>
  <r>
    <x v="0"/>
    <x v="1"/>
    <x v="1"/>
    <n v="0"/>
    <n v="25"/>
    <n v="7"/>
    <n v="20260307"/>
    <n v="20260407"/>
    <n v="303844.7781"/>
    <n v="32"/>
    <n v="9495.1493156249999"/>
    <n v="0"/>
    <n v="237378.73289062499"/>
    <n v="41249.987808485341"/>
    <n v="278628.7206991103"/>
    <n v="0"/>
    <n v="258861.64297721453"/>
    <n v="44983.135122785476"/>
    <n v="303844.7781"/>
  </r>
  <r>
    <x v="0"/>
    <x v="0"/>
    <x v="0"/>
    <n v="0"/>
    <n v="30"/>
    <n v="4"/>
    <n v="20260302"/>
    <n v="20260404"/>
    <n v="66210.088900000002"/>
    <n v="34"/>
    <n v="1947.355555882353"/>
    <n v="0"/>
    <n v="58420.666676470588"/>
    <n v="4834.2513947318757"/>
    <n v="63254.918071202461"/>
    <n v="0"/>
    <n v="61149.988841853461"/>
    <n v="5060.1000581465441"/>
    <n v="66210.088900000002"/>
  </r>
  <r>
    <x v="0"/>
    <x v="0"/>
    <x v="1"/>
    <n v="0"/>
    <n v="26"/>
    <n v="4"/>
    <n v="20260306"/>
    <n v="20260404"/>
    <n v="33291.972900000001"/>
    <n v="30"/>
    <n v="1109.73243"/>
    <n v="0"/>
    <n v="28853.043180000001"/>
    <n v="2754.8772648638987"/>
    <n v="31607.920444863899"/>
    <n v="0"/>
    <n v="30390.317303749656"/>
    <n v="2901.6555962503453"/>
    <n v="33291.972900000001"/>
  </r>
  <r>
    <x v="0"/>
    <x v="0"/>
    <x v="0"/>
    <n v="0"/>
    <n v="29"/>
    <n v="4"/>
    <n v="20260303"/>
    <n v="20260404"/>
    <n v="47743.498599999999"/>
    <n v="33"/>
    <n v="1446.7726848484849"/>
    <n v="0"/>
    <n v="41956.407860606065"/>
    <n v="3591.5695253811709"/>
    <n v="45547.977385987237"/>
    <n v="0"/>
    <n v="43978.806851918285"/>
    <n v="3764.6917480817124"/>
    <n v="47743.498599999999"/>
  </r>
  <r>
    <x v="0"/>
    <x v="0"/>
    <x v="1"/>
    <n v="0"/>
    <n v="26"/>
    <n v="6"/>
    <n v="20260306"/>
    <n v="20260406"/>
    <n v="79344.018700000001"/>
    <n v="32"/>
    <n v="2479.500584375"/>
    <n v="0"/>
    <n v="64467.015193749998"/>
    <n v="9232.9280511043162"/>
    <n v="73699.943244854308"/>
    <n v="0"/>
    <n v="69404.016256460483"/>
    <n v="9940.0024435395153"/>
    <n v="79344.018700000001"/>
  </r>
  <r>
    <x v="0"/>
    <x v="1"/>
    <x v="0"/>
    <n v="0"/>
    <n v="24"/>
    <n v="7"/>
    <n v="20260308"/>
    <n v="20260407"/>
    <n v="212470.72880000001"/>
    <n v="31"/>
    <n v="6853.8944774193551"/>
    <n v="0"/>
    <n v="164493.46745806452"/>
    <n v="29775.525822321808"/>
    <n v="194268.99328038632"/>
    <n v="0"/>
    <n v="179905.43073032264"/>
    <n v="32565.298069677392"/>
    <n v="212470.72880000004"/>
  </r>
  <r>
    <x v="0"/>
    <x v="0"/>
    <x v="1"/>
    <n v="0"/>
    <n v="27"/>
    <n v="6"/>
    <n v="20260305"/>
    <n v="20260406"/>
    <n v="108610.97749999999"/>
    <n v="33"/>
    <n v="3291.2417424242421"/>
    <n v="0"/>
    <n v="88863.527045454539"/>
    <n v="12255.612439895431"/>
    <n v="101119.13948534997"/>
    <n v="0"/>
    <n v="95447.356312825534"/>
    <n v="13163.621187174462"/>
    <n v="108610.97749999999"/>
  </r>
  <r>
    <x v="0"/>
    <x v="0"/>
    <x v="1"/>
    <n v="0"/>
    <n v="23"/>
    <n v="6"/>
    <n v="20260309"/>
    <n v="20260406"/>
    <n v="583.70659999999998"/>
    <n v="29"/>
    <n v="20.127813793103449"/>
    <n v="0"/>
    <n v="462.93971724137936"/>
    <n v="74.950035401823868"/>
    <n v="537.88975264320322"/>
    <n v="0"/>
    <n v="502.37240443428146"/>
    <n v="81.334195565718503"/>
    <n v="583.70659999999998"/>
  </r>
  <r>
    <x v="0"/>
    <x v="1"/>
    <x v="1"/>
    <n v="10"/>
    <n v="16"/>
    <n v="0"/>
    <n v="20260219"/>
    <n v="20260316"/>
    <n v="338839.31300000002"/>
    <n v="26"/>
    <n v="13032.281269230771"/>
    <n v="176764.49317575301"/>
    <n v="208516.50030769233"/>
    <n v="0"/>
    <n v="385280.99348344537"/>
    <n v="155457.34267589528"/>
    <n v="183381.97032410471"/>
    <n v="0"/>
    <n v="338839.31299999997"/>
  </r>
  <r>
    <x v="0"/>
    <x v="0"/>
    <x v="1"/>
    <n v="0"/>
    <n v="15"/>
    <n v="17"/>
    <n v="20260317"/>
    <n v="20260417"/>
    <n v="574144.39930000005"/>
    <n v="32"/>
    <n v="17942.012478125002"/>
    <n v="0"/>
    <n v="269130.18717187503"/>
    <n v="189297.14400888197"/>
    <n v="458427.33118075703"/>
    <n v="0"/>
    <n v="337064.52285316732"/>
    <n v="237079.87644683273"/>
    <n v="574144.39930000005"/>
  </r>
  <r>
    <x v="0"/>
    <x v="0"/>
    <x v="0"/>
    <n v="0"/>
    <n v="25"/>
    <n v="4"/>
    <n v="20260307"/>
    <n v="20260404"/>
    <n v="26333.459599999998"/>
    <n v="29"/>
    <n v="908.05033103448272"/>
    <n v="0"/>
    <n v="22701.258275862067"/>
    <n v="2254.2075411088363"/>
    <n v="24955.465816970904"/>
    <n v="0"/>
    <n v="23954.778967501585"/>
    <n v="2378.6806324984132"/>
    <n v="26333.459599999998"/>
  </r>
  <r>
    <x v="0"/>
    <x v="1"/>
    <x v="0"/>
    <n v="0"/>
    <n v="28"/>
    <n v="5"/>
    <n v="20260304"/>
    <n v="20260405"/>
    <n v="375467.47389999998"/>
    <n v="33"/>
    <n v="11377.802239393939"/>
    <n v="0"/>
    <n v="318578.46270303032"/>
    <n v="35306.313335170256"/>
    <n v="353884.77603820059"/>
    <n v="0"/>
    <n v="338007.90180683008"/>
    <n v="37459.572093169903"/>
    <n v="375467.47389999998"/>
  </r>
  <r>
    <x v="0"/>
    <x v="0"/>
    <x v="0"/>
    <n v="0"/>
    <n v="29"/>
    <n v="6"/>
    <n v="20260303"/>
    <n v="20260406"/>
    <n v="50777.9467"/>
    <n v="35"/>
    <n v="1450.7984771428571"/>
    <n v="0"/>
    <n v="42073.155837142855"/>
    <n v="5402.3451498754839"/>
    <n v="47475.500987018342"/>
    <n v="0"/>
    <n v="44999.80874732435"/>
    <n v="5778.1379526756473"/>
    <n v="50777.9467"/>
  </r>
  <r>
    <x v="0"/>
    <x v="0"/>
    <x v="0"/>
    <n v="0"/>
    <n v="28"/>
    <n v="7"/>
    <n v="20260304"/>
    <n v="20260407"/>
    <n v="110715.5901"/>
    <n v="35"/>
    <n v="3163.3025742857144"/>
    <n v="0"/>
    <n v="88572.472080000007"/>
    <n v="13742.40554691551"/>
    <n v="102314.87762691552"/>
    <n v="0"/>
    <n v="95844.844272904273"/>
    <n v="14870.745827095725"/>
    <n v="110715.5901"/>
  </r>
  <r>
    <x v="0"/>
    <x v="0"/>
    <x v="0"/>
    <n v="0"/>
    <n v="25"/>
    <n v="5"/>
    <n v="20260307"/>
    <n v="20260405"/>
    <n v="33130.499499999998"/>
    <n v="30"/>
    <n v="1104.3499833333333"/>
    <n v="0"/>
    <n v="27608.749583333331"/>
    <n v="3426.894379325548"/>
    <n v="31035.64396265888"/>
    <n v="0"/>
    <n v="29472.29531846604"/>
    <n v="3658.2041815339585"/>
    <n v="33130.499499999998"/>
  </r>
  <r>
    <x v="0"/>
    <x v="1"/>
    <x v="0"/>
    <n v="21"/>
    <n v="2"/>
    <n v="0"/>
    <n v="20260208"/>
    <n v="20260302"/>
    <n v="337.79039999999998"/>
    <n v="23"/>
    <n v="14.686539130434781"/>
    <n v="418.32454685087083"/>
    <n v="29.373078260869562"/>
    <n v="0"/>
    <n v="447.69762511174042"/>
    <n v="315.62824568324652"/>
    <n v="22.162154316753465"/>
    <n v="0"/>
    <n v="337.79039999999998"/>
  </r>
  <r>
    <x v="0"/>
    <x v="0"/>
    <x v="0"/>
    <n v="0"/>
    <n v="30"/>
    <n v="6"/>
    <n v="20260302"/>
    <n v="20260406"/>
    <n v="105739.8548"/>
    <n v="36"/>
    <n v="2937.218188888889"/>
    <n v="0"/>
    <n v="88116.545666666672"/>
    <n v="10937.333259488574"/>
    <n v="99053.878926155245"/>
    <n v="0"/>
    <n v="94064.269317681697"/>
    <n v="11675.585482318298"/>
    <n v="105739.8548"/>
  </r>
  <r>
    <x v="0"/>
    <x v="1"/>
    <x v="1"/>
    <n v="0"/>
    <n v="22"/>
    <n v="3"/>
    <n v="20260310"/>
    <n v="20260403"/>
    <n v="34683.674099999997"/>
    <n v="25"/>
    <n v="1387.3469639999998"/>
    <n v="0"/>
    <n v="30521.633207999996"/>
    <n v="2583.0352251678946"/>
    <n v="33104.668433167892"/>
    <n v="0"/>
    <n v="31977.434884240833"/>
    <n v="2706.2392157591621"/>
    <n v="34683.674099999997"/>
  </r>
  <r>
    <x v="0"/>
    <x v="1"/>
    <x v="1"/>
    <n v="25"/>
    <n v="9"/>
    <n v="0"/>
    <n v="20260204"/>
    <n v="20260309"/>
    <n v="139358.2892"/>
    <n v="34"/>
    <n v="4098.7732117647056"/>
    <n v="138985.17735542747"/>
    <n v="36888.958905882348"/>
    <n v="0"/>
    <n v="175874.13626130982"/>
    <n v="110128.39609135776"/>
    <n v="29229.893108642249"/>
    <n v="0"/>
    <n v="139358.2892"/>
  </r>
  <r>
    <x v="0"/>
    <x v="1"/>
    <x v="0"/>
    <n v="0"/>
    <n v="23"/>
    <n v="8"/>
    <n v="20260309"/>
    <n v="20260408"/>
    <n v="97536.151700000002"/>
    <n v="31"/>
    <n v="3146.3274741935484"/>
    <n v="0"/>
    <n v="72365.531906451608"/>
    <n v="15621.325992018565"/>
    <n v="87986.857898470174"/>
    <n v="0"/>
    <n v="80219.428974535258"/>
    <n v="17316.722725464748"/>
    <n v="97536.151700000002"/>
  </r>
  <r>
    <x v="0"/>
    <x v="1"/>
    <x v="0"/>
    <n v="21"/>
    <n v="8"/>
    <n v="0"/>
    <n v="20260208"/>
    <n v="20260308"/>
    <n v="88628.291200000007"/>
    <n v="29"/>
    <n v="3056.1479724137935"/>
    <n v="87049.896801068899"/>
    <n v="24449.183779310348"/>
    <n v="0"/>
    <n v="111499.08058037925"/>
    <n v="69194.145480449151"/>
    <n v="19434.145719550863"/>
    <n v="0"/>
    <n v="88628.291200000007"/>
  </r>
  <r>
    <x v="0"/>
    <x v="0"/>
    <x v="1"/>
    <n v="0"/>
    <n v="23"/>
    <n v="8"/>
    <n v="20260309"/>
    <n v="20260408"/>
    <n v="36109.8105"/>
    <n v="31"/>
    <n v="1164.8325967741935"/>
    <n v="0"/>
    <n v="26791.149725806448"/>
    <n v="5783.3235318275829"/>
    <n v="32574.473257634032"/>
    <n v="0"/>
    <n v="29698.81759943044"/>
    <n v="6410.9929005695585"/>
    <n v="36109.8105"/>
  </r>
  <r>
    <x v="0"/>
    <x v="1"/>
    <x v="1"/>
    <n v="19"/>
    <n v="6"/>
    <n v="0"/>
    <n v="20260210"/>
    <n v="20260306"/>
    <n v="43111.628199999999"/>
    <n v="25"/>
    <n v="1724.465128"/>
    <n v="44440.875415477225"/>
    <n v="10346.790768000001"/>
    <n v="0"/>
    <n v="54787.666183477224"/>
    <n v="34969.88704316035"/>
    <n v="8141.741156839651"/>
    <n v="0"/>
    <n v="43111.628199999999"/>
  </r>
  <r>
    <x v="0"/>
    <x v="0"/>
    <x v="1"/>
    <n v="0"/>
    <n v="30"/>
    <n v="4"/>
    <n v="20260302"/>
    <n v="20260404"/>
    <n v="2596.1821"/>
    <n v="34"/>
    <n v="76.358297058823524"/>
    <n v="0"/>
    <n v="2290.7489117647056"/>
    <n v="189.55716789413538"/>
    <n v="2480.3060796588411"/>
    <n v="0"/>
    <n v="2397.7691177276106"/>
    <n v="198.41298227238926"/>
    <n v="2596.1821"/>
  </r>
  <r>
    <x v="0"/>
    <x v="0"/>
    <x v="1"/>
    <n v="0"/>
    <n v="23"/>
    <n v="1"/>
    <n v="20260309"/>
    <n v="20260401"/>
    <n v="80.739599999999996"/>
    <n v="24"/>
    <n v="3.36415"/>
    <n v="0"/>
    <n v="77.375450000000001"/>
    <n v="2.087850210566498"/>
    <n v="79.463300210566501"/>
    <n v="0"/>
    <n v="78.618215783457742"/>
    <n v="2.1213842165422574"/>
    <n v="80.739599999999996"/>
  </r>
  <r>
    <x v="0"/>
    <x v="1"/>
    <x v="1"/>
    <n v="0"/>
    <n v="30"/>
    <n v="8"/>
    <n v="20260302"/>
    <n v="20260408"/>
    <n v="3796.4964"/>
    <n v="38"/>
    <n v="99.907799999999995"/>
    <n v="0"/>
    <n v="2997.2339999999999"/>
    <n v="496.03619640559555"/>
    <n v="3493.2701964055955"/>
    <n v="0"/>
    <n v="3257.4027919930222"/>
    <n v="539.09360800697777"/>
    <n v="3796.4964"/>
  </r>
  <r>
    <x v="0"/>
    <x v="1"/>
    <x v="1"/>
    <n v="0"/>
    <n v="25"/>
    <n v="5"/>
    <n v="20260307"/>
    <n v="20260405"/>
    <n v="8040.3608999999997"/>
    <n v="30"/>
    <n v="268.01202999999998"/>
    <n v="0"/>
    <n v="6700.3007499999994"/>
    <n v="831.66471957233546"/>
    <n v="7531.9654695723348"/>
    <n v="0"/>
    <n v="7152.5601632371227"/>
    <n v="887.80073676287748"/>
    <n v="8040.3608999999997"/>
  </r>
  <r>
    <x v="0"/>
    <x v="1"/>
    <x v="0"/>
    <n v="0"/>
    <n v="22"/>
    <n v="8"/>
    <n v="20260310"/>
    <n v="20260408"/>
    <n v="29451.9764"/>
    <n v="30"/>
    <n v="981.73254666666662"/>
    <n v="0"/>
    <n v="21598.116026666667"/>
    <n v="4874.242835255227"/>
    <n v="26472.358861921894"/>
    <n v="0"/>
    <n v="24029.109261465605"/>
    <n v="5422.8671385343951"/>
    <n v="29451.9764"/>
  </r>
  <r>
    <x v="0"/>
    <x v="1"/>
    <x v="1"/>
    <n v="22"/>
    <n v="1"/>
    <n v="0"/>
    <n v="20260207"/>
    <n v="20260301"/>
    <n v="16038.2883"/>
    <n v="23"/>
    <n v="697.31688260869566"/>
    <n v="20807.861504810415"/>
    <n v="697.31688260869566"/>
    <n v="0"/>
    <n v="21505.17838741911"/>
    <n v="15518.238245159338"/>
    <n v="520.05005484066157"/>
    <n v="0"/>
    <n v="16038.2883"/>
  </r>
  <r>
    <x v="0"/>
    <x v="1"/>
    <x v="1"/>
    <n v="0"/>
    <n v="24"/>
    <n v="8"/>
    <n v="20260308"/>
    <n v="20260408"/>
    <n v="11403.7356"/>
    <n v="32"/>
    <n v="356.3667375"/>
    <n v="0"/>
    <n v="8552.8017"/>
    <n v="1769.3393408219511"/>
    <n v="10322.141040821951"/>
    <n v="0"/>
    <n v="9448.9979201314909"/>
    <n v="1954.7376798685091"/>
    <n v="11403.7356"/>
  </r>
  <r>
    <x v="0"/>
    <x v="1"/>
    <x v="0"/>
    <n v="0"/>
    <n v="15"/>
    <n v="0"/>
    <n v="20260302"/>
    <n v="20260316"/>
    <n v="7055.6669000000002"/>
    <n v="15"/>
    <n v="470.37779333333333"/>
    <n v="0"/>
    <n v="7055.6669000000002"/>
    <n v="0"/>
    <n v="7055.6669000000002"/>
    <n v="0"/>
    <n v="7055.6669000000002"/>
    <n v="0"/>
    <n v="7055.6669000000002"/>
  </r>
  <r>
    <x v="0"/>
    <x v="1"/>
    <x v="0"/>
    <n v="0"/>
    <n v="26"/>
    <n v="0"/>
    <n v="20260306"/>
    <n v="20260331"/>
    <n v="5649.9129000000003"/>
    <n v="26"/>
    <n v="217.30434230769231"/>
    <n v="0"/>
    <n v="5649.9129000000003"/>
    <n v="0"/>
    <n v="5649.9129000000003"/>
    <n v="0"/>
    <n v="5649.9129000000003"/>
    <n v="0"/>
    <n v="5649.9129000000003"/>
  </r>
  <r>
    <x v="0"/>
    <x v="1"/>
    <x v="0"/>
    <n v="0"/>
    <n v="30"/>
    <n v="10"/>
    <n v="20260302"/>
    <n v="20260410"/>
    <n v="10376.603999999999"/>
    <n v="40"/>
    <n v="259.4151"/>
    <n v="0"/>
    <n v="7782.4529999999995"/>
    <n v="1609.9753909877059"/>
    <n v="9392.4283909877049"/>
    <n v="0"/>
    <n v="8597.9290517773934"/>
    <n v="1778.6749482226062"/>
    <n v="10376.603999999999"/>
  </r>
  <r>
    <x v="0"/>
    <x v="1"/>
    <x v="0"/>
    <n v="0"/>
    <n v="22"/>
    <n v="1"/>
    <n v="20260310"/>
    <n v="20260401"/>
    <n v="49949.835500000001"/>
    <n v="23"/>
    <n v="2171.7319782608697"/>
    <n v="0"/>
    <n v="47778.103521739133"/>
    <n v="1347.8147728567258"/>
    <n v="49125.91829459586"/>
    <n v="0"/>
    <n v="48579.415800464951"/>
    <n v="1370.4196995350469"/>
    <n v="49949.835500000001"/>
  </r>
  <r>
    <x v="0"/>
    <x v="1"/>
    <x v="0"/>
    <n v="0"/>
    <n v="27"/>
    <n v="0"/>
    <n v="20260305"/>
    <n v="20260331"/>
    <n v="6664.0236000000004"/>
    <n v="27"/>
    <n v="246.8156888888889"/>
    <n v="0"/>
    <n v="6664.0236000000004"/>
    <n v="0"/>
    <n v="6664.0236000000004"/>
    <n v="0"/>
    <n v="6664.0236000000004"/>
    <n v="0"/>
    <n v="6664.0236000000004"/>
  </r>
  <r>
    <x v="0"/>
    <x v="0"/>
    <x v="0"/>
    <n v="0"/>
    <n v="28"/>
    <n v="13"/>
    <n v="20260304"/>
    <n v="20260413"/>
    <n v="7259.6660000000002"/>
    <n v="41"/>
    <n v="177.06502439024391"/>
    <n v="0"/>
    <n v="4957.8206829268292"/>
    <n v="1428.5653820259877"/>
    <n v="6386.3860649528169"/>
    <n v="0"/>
    <n v="5635.7573563330443"/>
    <n v="1623.9086436669554"/>
    <n v="7259.6659999999993"/>
  </r>
  <r>
    <x v="0"/>
    <x v="1"/>
    <x v="1"/>
    <n v="0"/>
    <n v="24"/>
    <n v="5"/>
    <n v="20260308"/>
    <n v="20260405"/>
    <n v="4497.2057999999997"/>
    <n v="29"/>
    <n v="155.07606206896551"/>
    <n v="0"/>
    <n v="3721.8254896551725"/>
    <n v="481.2145547084894"/>
    <n v="4203.0400443636618"/>
    <n v="0"/>
    <n v="3982.3116130218023"/>
    <n v="514.89418697819769"/>
    <n v="4497.2057999999997"/>
  </r>
  <r>
    <x v="0"/>
    <x v="1"/>
    <x v="1"/>
    <n v="9"/>
    <n v="3"/>
    <n v="0"/>
    <n v="20260220"/>
    <n v="20260303"/>
    <n v="211.5341"/>
    <n v="12"/>
    <n v="17.627841666666665"/>
    <n v="215.18710272259241"/>
    <n v="52.883524999999992"/>
    <n v="0"/>
    <n v="268.07062772259241"/>
    <n v="169.80379571138988"/>
    <n v="41.730304288610093"/>
    <n v="0"/>
    <n v="211.53409999999997"/>
  </r>
  <r>
    <x v="0"/>
    <x v="0"/>
    <x v="0"/>
    <n v="0"/>
    <n v="27"/>
    <n v="11"/>
    <n v="20260305"/>
    <n v="20260411"/>
    <n v="268.45850000000002"/>
    <n v="38"/>
    <n v="7.0646973684210534"/>
    <n v="0"/>
    <n v="190.74682894736844"/>
    <n v="48.22921949696395"/>
    <n v="238.97604844433238"/>
    <n v="0"/>
    <n v="214.27924644463076"/>
    <n v="54.179253555369286"/>
    <n v="268.45850000000007"/>
  </r>
  <r>
    <x v="0"/>
    <x v="1"/>
    <x v="1"/>
    <n v="0"/>
    <n v="28"/>
    <n v="5"/>
    <n v="20260304"/>
    <n v="20260405"/>
    <n v="8230.0121999999992"/>
    <n v="33"/>
    <n v="249.39430909090908"/>
    <n v="0"/>
    <n v="6983.0406545454543"/>
    <n v="773.8923067484219"/>
    <n v="7756.9329612938764"/>
    <n v="0"/>
    <n v="7408.9218079846396"/>
    <n v="821.09039201535973"/>
    <n v="8230.0121999999992"/>
  </r>
  <r>
    <x v="0"/>
    <x v="1"/>
    <x v="1"/>
    <n v="23"/>
    <n v="9"/>
    <n v="0"/>
    <n v="20260206"/>
    <n v="20260309"/>
    <n v="844.99009999999998"/>
    <n v="32"/>
    <n v="26.405940624999999"/>
    <n v="823.76638552017039"/>
    <n v="237.653465625"/>
    <n v="0"/>
    <n v="1061.4198511451705"/>
    <n v="655.79557394402377"/>
    <n v="189.19452605597618"/>
    <n v="0"/>
    <n v="844.99009999999998"/>
  </r>
  <r>
    <x v="0"/>
    <x v="0"/>
    <x v="1"/>
    <n v="0"/>
    <n v="22"/>
    <n v="8"/>
    <n v="20260310"/>
    <n v="20260408"/>
    <n v="527.63210000000004"/>
    <n v="30"/>
    <n v="17.587736666666668"/>
    <n v="0"/>
    <n v="386.93020666666672"/>
    <n v="87.322050926119502"/>
    <n v="474.25225759278624"/>
    <n v="0"/>
    <n v="430.48144574625383"/>
    <n v="97.150654253746254"/>
    <n v="527.63210000000004"/>
  </r>
  <r>
    <x v="0"/>
    <x v="0"/>
    <x v="1"/>
    <n v="0"/>
    <n v="22"/>
    <n v="7"/>
    <n v="20260310"/>
    <n v="20260407"/>
    <n v="1392.0822000000001"/>
    <n v="29"/>
    <n v="48.002834482758622"/>
    <n v="0"/>
    <n v="1056.0623586206898"/>
    <n v="208.53977871923499"/>
    <n v="1264.6021373399249"/>
    <n v="0"/>
    <n v="1162.5202647674391"/>
    <n v="229.56193523256084"/>
    <n v="1392.0822000000001"/>
  </r>
  <r>
    <x v="0"/>
    <x v="0"/>
    <x v="0"/>
    <n v="0"/>
    <n v="27"/>
    <n v="9"/>
    <n v="20260305"/>
    <n v="20260409"/>
    <n v="7355.9839000000002"/>
    <n v="36"/>
    <n v="204.33288611111112"/>
    <n v="0"/>
    <n v="5516.9879250000004"/>
    <n v="1141.3130013925336"/>
    <n v="6658.3009263925342"/>
    <n v="0"/>
    <n v="6095.0796308904892"/>
    <n v="1260.9042691095106"/>
    <n v="7355.9838999999993"/>
  </r>
  <r>
    <x v="0"/>
    <x v="0"/>
    <x v="0"/>
    <n v="0"/>
    <n v="16"/>
    <n v="16"/>
    <n v="20260316"/>
    <n v="20260416"/>
    <n v="6845.7924999999996"/>
    <n v="32"/>
    <n v="213.93101562499999"/>
    <n v="0"/>
    <n v="3422.8962499999998"/>
    <n v="2124.3091587205608"/>
    <n v="5547.2054087205606"/>
    <n v="0"/>
    <n v="4224.1878117025981"/>
    <n v="2621.6046882974015"/>
    <n v="6845.7924999999996"/>
  </r>
  <r>
    <x v="0"/>
    <x v="0"/>
    <x v="0"/>
    <n v="0"/>
    <n v="23"/>
    <n v="7"/>
    <n v="20260309"/>
    <n v="20260407"/>
    <n v="11062.9656"/>
    <n v="30"/>
    <n v="368.76551999999998"/>
    <n v="0"/>
    <n v="8481.6069599999992"/>
    <n v="1602.0362290836165"/>
    <n v="10083.643189083616"/>
    <n v="0"/>
    <n v="9305.3397737021514"/>
    <n v="1757.625826297849"/>
    <n v="11062.9656"/>
  </r>
  <r>
    <x v="0"/>
    <x v="1"/>
    <x v="0"/>
    <n v="0"/>
    <n v="15"/>
    <n v="7"/>
    <n v="20260317"/>
    <n v="20260407"/>
    <n v="13123.608399999999"/>
    <n v="22"/>
    <n v="596.52765454545454"/>
    <n v="0"/>
    <n v="8947.9148181818182"/>
    <n v="2591.5083227740333"/>
    <n v="11539.423140955852"/>
    <n v="0"/>
    <n v="10176.325855804289"/>
    <n v="2947.2825441957098"/>
    <n v="13123.608399999999"/>
  </r>
  <r>
    <x v="0"/>
    <x v="0"/>
    <x v="0"/>
    <n v="0"/>
    <n v="25"/>
    <n v="11"/>
    <n v="20260307"/>
    <n v="20260411"/>
    <n v="38.618200000000002"/>
    <n v="36"/>
    <n v="1.0727277777777777"/>
    <n v="0"/>
    <n v="26.818194444444444"/>
    <n v="7.3232894145185288"/>
    <n v="34.141483858962971"/>
    <n v="0"/>
    <n v="30.33466269283301"/>
    <n v="8.2835373071669931"/>
    <n v="38.618200000000002"/>
  </r>
  <r>
    <x v="0"/>
    <x v="1"/>
    <x v="0"/>
    <n v="0"/>
    <n v="20"/>
    <n v="0"/>
    <n v="20260302"/>
    <n v="20260321"/>
    <n v="3417.0068000000001"/>
    <n v="20"/>
    <n v="170.85034000000002"/>
    <n v="0"/>
    <n v="3417.0068000000001"/>
    <n v="0"/>
    <n v="3417.0068000000001"/>
    <n v="0"/>
    <n v="3417.0068000000001"/>
    <n v="0"/>
    <n v="3417.0068000000001"/>
  </r>
  <r>
    <x v="0"/>
    <x v="1"/>
    <x v="0"/>
    <n v="0"/>
    <n v="26"/>
    <n v="0"/>
    <n v="20260305"/>
    <n v="20260330"/>
    <n v="9362.4973000000009"/>
    <n v="26"/>
    <n v="360.09605000000005"/>
    <n v="0"/>
    <n v="9362.4973000000009"/>
    <n v="0"/>
    <n v="9362.4973000000009"/>
    <n v="0"/>
    <n v="9362.4973000000009"/>
    <n v="0"/>
    <n v="9362.4973000000009"/>
  </r>
  <r>
    <x v="0"/>
    <x v="1"/>
    <x v="0"/>
    <n v="0"/>
    <n v="18"/>
    <n v="0"/>
    <n v="20260302"/>
    <n v="20260319"/>
    <n v="2869.9423000000002"/>
    <n v="18"/>
    <n v="159.4412388888889"/>
    <n v="0"/>
    <n v="2869.9423000000002"/>
    <n v="0"/>
    <n v="2869.9423000000002"/>
    <n v="0"/>
    <n v="2869.9423000000002"/>
    <n v="0"/>
    <n v="2869.9423000000002"/>
  </r>
  <r>
    <x v="0"/>
    <x v="1"/>
    <x v="0"/>
    <n v="0"/>
    <n v="27"/>
    <n v="10"/>
    <n v="20260305"/>
    <n v="20260410"/>
    <n v="2522.3831"/>
    <n v="37"/>
    <n v="68.172516216216223"/>
    <n v="0"/>
    <n v="1840.6579378378381"/>
    <n v="423.09053501441679"/>
    <n v="2263.748472852255"/>
    <n v="0"/>
    <n v="2050.9542164077834"/>
    <n v="471.42888359221632"/>
    <n v="2522.3830999999996"/>
  </r>
  <r>
    <x v="0"/>
    <x v="0"/>
    <x v="0"/>
    <n v="0"/>
    <n v="23"/>
    <n v="6"/>
    <n v="20260309"/>
    <n v="20260406"/>
    <n v="1881.8005000000001"/>
    <n v="29"/>
    <n v="64.889672413793107"/>
    <n v="0"/>
    <n v="1492.4624655172415"/>
    <n v="241.62998001764905"/>
    <n v="1734.0924455348907"/>
    <n v="0"/>
    <n v="1619.5887486121162"/>
    <n v="262.21175138788368"/>
    <n v="1881.8004999999998"/>
  </r>
  <r>
    <x v="0"/>
    <x v="0"/>
    <x v="0"/>
    <n v="0"/>
    <n v="30"/>
    <n v="14"/>
    <n v="20260302"/>
    <n v="20260414"/>
    <n v="13.4216"/>
    <n v="44"/>
    <n v="0.30503636363636361"/>
    <n v="0"/>
    <n v="9.1510909090909074"/>
    <n v="2.6503524827016296"/>
    <n v="11.801443391792537"/>
    <n v="0"/>
    <n v="10.407394898057371"/>
    <n v="3.014205101942629"/>
    <n v="13.4216"/>
  </r>
  <r>
    <x v="0"/>
    <x v="1"/>
    <x v="0"/>
    <n v="26"/>
    <n v="11"/>
    <n v="0"/>
    <n v="20260203"/>
    <n v="20260311"/>
    <n v="20905.6774"/>
    <n v="37"/>
    <n v="565.01830810810816"/>
    <n v="19925.556339030769"/>
    <n v="6215.2013891891893"/>
    <n v="0"/>
    <n v="26140.757728219956"/>
    <n v="15935.163669322892"/>
    <n v="4970.5137306771085"/>
    <n v="0"/>
    <n v="20905.6774"/>
  </r>
  <r>
    <x v="0"/>
    <x v="1"/>
    <x v="0"/>
    <n v="4"/>
    <n v="17"/>
    <n v="0"/>
    <n v="20260225"/>
    <n v="20260317"/>
    <n v="56591.932200000003"/>
    <n v="21"/>
    <n v="2694.8539142857144"/>
    <n v="14620.755230815403"/>
    <n v="45812.516542857142"/>
    <n v="0"/>
    <n v="60433.271773672546"/>
    <n v="13691.411443580995"/>
    <n v="42900.520756419006"/>
    <n v="0"/>
    <n v="56591.932200000003"/>
  </r>
  <r>
    <x v="0"/>
    <x v="1"/>
    <x v="0"/>
    <n v="0"/>
    <n v="22"/>
    <n v="0"/>
    <n v="20260306"/>
    <n v="20260327"/>
    <n v="2233.9339"/>
    <n v="22"/>
    <n v="101.54245"/>
    <n v="0"/>
    <n v="2233.9339"/>
    <n v="0"/>
    <n v="2233.9339"/>
    <n v="0"/>
    <n v="2233.9339"/>
    <n v="0"/>
    <n v="2233.9339"/>
  </r>
  <r>
    <x v="0"/>
    <x v="1"/>
    <x v="0"/>
    <n v="4"/>
    <n v="1"/>
    <n v="0"/>
    <n v="20260225"/>
    <n v="20260301"/>
    <n v="5252.9075999999995"/>
    <n v="5"/>
    <n v="1050.58152"/>
    <n v="5699.8619377886853"/>
    <n v="1050.58152"/>
    <n v="0"/>
    <n v="6750.443457788685"/>
    <n v="4435.3898050082998"/>
    <n v="817.51779499169982"/>
    <n v="0"/>
    <n v="5252.9075999999995"/>
  </r>
  <r>
    <x v="0"/>
    <x v="1"/>
    <x v="0"/>
    <n v="0"/>
    <n v="10"/>
    <n v="0"/>
    <n v="20260310"/>
    <n v="20260319"/>
    <n v="336.18560000000002"/>
    <n v="10"/>
    <n v="33.618560000000002"/>
    <n v="0"/>
    <n v="336.18560000000002"/>
    <n v="0"/>
    <n v="336.18560000000002"/>
    <n v="0"/>
    <n v="336.18560000000002"/>
    <n v="0"/>
    <n v="336.18560000000002"/>
  </r>
  <r>
    <x v="0"/>
    <x v="1"/>
    <x v="0"/>
    <n v="16"/>
    <n v="5"/>
    <n v="0"/>
    <n v="20260213"/>
    <n v="20260305"/>
    <n v="13270.998299999999"/>
    <n v="21"/>
    <n v="631.95229999999992"/>
    <n v="13714.464961340711"/>
    <n v="3159.7614999999996"/>
    <n v="0"/>
    <n v="16874.22646134071"/>
    <n v="10785.954639422405"/>
    <n v="2485.0436605775953"/>
    <n v="0"/>
    <n v="13270.998300000001"/>
  </r>
  <r>
    <x v="0"/>
    <x v="1"/>
    <x v="0"/>
    <n v="3"/>
    <n v="31"/>
    <n v="5"/>
    <n v="20260226"/>
    <n v="20260405"/>
    <n v="28558.931799999998"/>
    <n v="39"/>
    <n v="732.2803025641025"/>
    <n v="2979.7044862193397"/>
    <n v="22700.689379487176"/>
    <n v="2272.329687888709"/>
    <n v="27952.723553595224"/>
    <n v="3044.3250741893139"/>
    <n v="23192.99722471496"/>
    <n v="2321.6095010957247"/>
    <n v="28558.931799999998"/>
  </r>
  <r>
    <x v="0"/>
    <x v="1"/>
    <x v="1"/>
    <n v="8"/>
    <n v="4"/>
    <n v="0"/>
    <n v="20260221"/>
    <n v="20260304"/>
    <n v="1397.1685"/>
    <n v="12"/>
    <n v="116.43070833333333"/>
    <n v="1263.374521986533"/>
    <n v="465.72283333333331"/>
    <n v="0"/>
    <n v="1729.0973553198662"/>
    <n v="1020.8488726163173"/>
    <n v="376.31962738368276"/>
    <n v="0"/>
    <n v="1397.1685"/>
  </r>
  <r>
    <x v="0"/>
    <x v="1"/>
    <x v="0"/>
    <n v="8"/>
    <n v="2"/>
    <n v="0"/>
    <n v="20260221"/>
    <n v="20260302"/>
    <n v="8209.8233"/>
    <n v="10"/>
    <n v="820.98233000000005"/>
    <n v="8908.3728302475192"/>
    <n v="1641.9646600000001"/>
    <n v="0"/>
    <n v="10550.337490247519"/>
    <n v="6932.1163322460879"/>
    <n v="1277.7069677539123"/>
    <n v="0"/>
    <n v="8209.8233"/>
  </r>
  <r>
    <x v="0"/>
    <x v="1"/>
    <x v="0"/>
    <n v="8"/>
    <n v="3"/>
    <n v="0"/>
    <n v="20260221"/>
    <n v="20260303"/>
    <n v="42.330500000000001"/>
    <n v="11"/>
    <n v="3.8482272727272728"/>
    <n v="41.756615250149352"/>
    <n v="11.544681818181818"/>
    <n v="0"/>
    <n v="53.301297068331166"/>
    <n v="33.16201479263156"/>
    <n v="9.1684852073684464"/>
    <n v="0"/>
    <n v="42.330500000000008"/>
  </r>
  <r>
    <x v="0"/>
    <x v="1"/>
    <x v="0"/>
    <n v="10"/>
    <n v="1"/>
    <n v="0"/>
    <n v="20260219"/>
    <n v="20260301"/>
    <n v="126.79300000000001"/>
    <n v="11"/>
    <n v="11.526636363636364"/>
    <n v="156.34254607824695"/>
    <n v="11.526636363636364"/>
    <n v="0"/>
    <n v="167.86918244188331"/>
    <n v="118.08683497795661"/>
    <n v="8.706165022043395"/>
    <n v="0"/>
    <n v="126.79300000000001"/>
  </r>
  <r>
    <x v="0"/>
    <x v="1"/>
    <x v="0"/>
    <n v="0"/>
    <n v="15"/>
    <n v="1"/>
    <n v="20260317"/>
    <n v="20260401"/>
    <n v="12724.8341"/>
    <n v="16"/>
    <n v="795.30213125"/>
    <n v="0"/>
    <n v="11929.53196875"/>
    <n v="493.57838449364533"/>
    <n v="12423.110353243645"/>
    <n v="0"/>
    <n v="12219.268031645164"/>
    <n v="505.56606835483615"/>
    <n v="12724.8341"/>
  </r>
  <r>
    <x v="0"/>
    <x v="1"/>
    <x v="0"/>
    <n v="0"/>
    <n v="13"/>
    <n v="7"/>
    <n v="20260319"/>
    <n v="20260407"/>
    <n v="410.82459999999998"/>
    <n v="20"/>
    <n v="20.541229999999999"/>
    <n v="0"/>
    <n v="267.03598999999997"/>
    <n v="89.237721167475897"/>
    <n v="356.27371116747588"/>
    <n v="0"/>
    <n v="307.92323525039507"/>
    <n v="102.90136474960488"/>
    <n v="410.82459999999992"/>
  </r>
  <r>
    <x v="0"/>
    <x v="0"/>
    <x v="0"/>
    <n v="0"/>
    <n v="16"/>
    <n v="2"/>
    <n v="20260316"/>
    <n v="20260402"/>
    <n v="589.91589999999997"/>
    <n v="18"/>
    <n v="32.773105555555553"/>
    <n v="0"/>
    <n v="524.36968888888885"/>
    <n v="40.679122711582252"/>
    <n v="565.04881160047114"/>
    <n v="0"/>
    <n v="547.44654019789266"/>
    <n v="42.469359802107178"/>
    <n v="589.91589999999985"/>
  </r>
  <r>
    <x v="0"/>
    <x v="1"/>
    <x v="1"/>
    <n v="0"/>
    <n v="14"/>
    <n v="6"/>
    <n v="20260318"/>
    <n v="20260406"/>
    <n v="4630.2965999999997"/>
    <n v="20"/>
    <n v="231.51482999999999"/>
    <n v="0"/>
    <n v="3241.2076199999997"/>
    <n v="862.09286725877314"/>
    <n v="4103.3004872587726"/>
    <n v="0"/>
    <n v="3657.4832063556923"/>
    <n v="972.81339364430778"/>
    <n v="4630.2965999999997"/>
  </r>
  <r>
    <x v="0"/>
    <x v="0"/>
    <x v="0"/>
    <n v="0"/>
    <n v="9"/>
    <n v="1"/>
    <n v="20260323"/>
    <n v="20260401"/>
    <n v="638.47479999999996"/>
    <n v="10"/>
    <n v="63.847479999999997"/>
    <n v="0"/>
    <n v="574.62731999999994"/>
    <n v="39.624860533014356"/>
    <n v="614.25218053301433"/>
    <n v="0"/>
    <n v="597.28735988071423"/>
    <n v="41.18744011928576"/>
    <n v="638.47479999999996"/>
  </r>
  <r>
    <x v="0"/>
    <x v="0"/>
    <x v="0"/>
    <n v="0"/>
    <n v="7"/>
    <n v="2"/>
    <n v="20260325"/>
    <n v="20260402"/>
    <n v="225.39920000000001"/>
    <n v="9"/>
    <n v="25.044355555555555"/>
    <n v="0"/>
    <n v="175.31048888888887"/>
    <n v="31.085928404006303"/>
    <n v="206.39641729289517"/>
    <n v="0"/>
    <n v="191.45121056577889"/>
    <n v="33.947989434221121"/>
    <n v="225.39920000000001"/>
  </r>
  <r>
    <x v="0"/>
    <x v="1"/>
    <x v="0"/>
    <n v="0"/>
    <n v="7"/>
    <n v="1"/>
    <n v="20260325"/>
    <n v="20260401"/>
    <n v="11544.365900000001"/>
    <n v="8"/>
    <n v="1443.0457375000001"/>
    <n v="0"/>
    <n v="10101.3201625"/>
    <n v="895.57937276770133"/>
    <n v="10996.899535267701"/>
    <n v="0"/>
    <n v="10604.201271000218"/>
    <n v="940.16462899978262"/>
    <n v="11544.365900000001"/>
  </r>
  <r>
    <x v="0"/>
    <x v="1"/>
    <x v="0"/>
    <n v="0"/>
    <n v="8"/>
    <n v="17"/>
    <n v="20260324"/>
    <n v="20260417"/>
    <n v="917.97299999999996"/>
    <n v="25"/>
    <n v="36.718919999999997"/>
    <n v="0"/>
    <n v="293.75135999999998"/>
    <n v="387.40284544808185"/>
    <n v="681.15420544808183"/>
    <n v="0"/>
    <n v="395.8807198670865"/>
    <n v="522.0922801329134"/>
    <n v="917.97299999999996"/>
  </r>
  <r>
    <x v="0"/>
    <x v="0"/>
    <x v="0"/>
    <n v="0"/>
    <n v="14"/>
    <n v="2"/>
    <n v="20260318"/>
    <n v="20260402"/>
    <n v="168.65809999999999"/>
    <n v="16"/>
    <n v="10.541131249999999"/>
    <n v="0"/>
    <n v="147.57583749999998"/>
    <n v="13.084020094182238"/>
    <n v="160.65985759418223"/>
    <n v="0"/>
    <n v="154.92270895402592"/>
    <n v="13.735391045974053"/>
    <n v="168.65809999999996"/>
  </r>
  <r>
    <x v="0"/>
    <x v="1"/>
    <x v="0"/>
    <n v="0"/>
    <n v="9"/>
    <n v="2"/>
    <n v="20260323"/>
    <n v="20260402"/>
    <n v="484.11869999999999"/>
    <n v="11"/>
    <n v="44.010790909090908"/>
    <n v="0"/>
    <n v="396.09711818181819"/>
    <n v="54.627730075498157"/>
    <n v="450.72484825731635"/>
    <n v="0"/>
    <n v="425.44364409759493"/>
    <n v="58.675055902405049"/>
    <n v="484.11869999999999"/>
  </r>
  <r>
    <x v="0"/>
    <x v="1"/>
    <x v="0"/>
    <n v="0"/>
    <n v="8"/>
    <n v="1"/>
    <n v="20260324"/>
    <n v="20260401"/>
    <n v="11917.5013"/>
    <n v="9"/>
    <n v="1324.1668111111112"/>
    <n v="0"/>
    <n v="10593.33448888889"/>
    <n v="821.80103604283443"/>
    <n v="11415.135524931724"/>
    <n v="0"/>
    <n v="11059.533832685116"/>
    <n v="857.96746731488372"/>
    <n v="11917.5013"/>
  </r>
  <r>
    <x v="0"/>
    <x v="0"/>
    <x v="0"/>
    <n v="0"/>
    <n v="20"/>
    <n v="5"/>
    <n v="20260312"/>
    <n v="20260405"/>
    <n v="58.944499999999998"/>
    <n v="25"/>
    <n v="2.35778"/>
    <n v="0"/>
    <n v="47.1556"/>
    <n v="7.3163971128954968"/>
    <n v="54.471997112895494"/>
    <n v="0"/>
    <n v="51.02737941550479"/>
    <n v="7.9171205844952102"/>
    <n v="58.944499999999998"/>
  </r>
  <r>
    <x v="0"/>
    <x v="0"/>
    <x v="0"/>
    <n v="0"/>
    <n v="7"/>
    <n v="7"/>
    <n v="20260325"/>
    <n v="20260407"/>
    <n v="5102.6239999999998"/>
    <n v="14"/>
    <n v="364.47314285714282"/>
    <n v="0"/>
    <n v="2551.3119999999999"/>
    <n v="1583.3887598415149"/>
    <n v="4134.7007598415148"/>
    <n v="0"/>
    <n v="3148.5678405387189"/>
    <n v="1954.0561594612807"/>
    <n v="5102.6239999999998"/>
  </r>
  <r>
    <x v="0"/>
    <x v="1"/>
    <x v="0"/>
    <n v="0"/>
    <n v="26"/>
    <n v="7"/>
    <n v="20260306"/>
    <n v="20260407"/>
    <n v="1165544.8306"/>
    <n v="33"/>
    <n v="35319.540321212124"/>
    <n v="0"/>
    <n v="918308.0483515152"/>
    <n v="153439.4625320757"/>
    <n v="1071747.5108835909"/>
    <n v="0"/>
    <n v="998676.63585433643"/>
    <n v="166868.19474566355"/>
    <n v="1165544.8306"/>
  </r>
  <r>
    <x v="0"/>
    <x v="1"/>
    <x v="1"/>
    <n v="0"/>
    <n v="27"/>
    <n v="3"/>
    <n v="20260305"/>
    <n v="20260403"/>
    <n v="1710807.0245000001"/>
    <n v="30"/>
    <n v="57026.900816666668"/>
    <n v="0"/>
    <n v="1539726.3220500001"/>
    <n v="106175.67011996995"/>
    <n v="1645901.9921699699"/>
    <n v="0"/>
    <n v="1600444.3886101465"/>
    <n v="110362.63588985379"/>
    <n v="1710807.0245000003"/>
  </r>
  <r>
    <x v="0"/>
    <x v="1"/>
    <x v="0"/>
    <n v="0"/>
    <n v="26"/>
    <n v="3"/>
    <n v="20260306"/>
    <n v="20260403"/>
    <n v="3003673.4917000001"/>
    <n v="29"/>
    <n v="103574.94798965518"/>
    <n v="0"/>
    <n v="2692948.6477310346"/>
    <n v="192841.26180724608"/>
    <n v="2885789.9095382807"/>
    <n v="0"/>
    <n v="2802954.7268717317"/>
    <n v="200718.76482826861"/>
    <n v="3003673.4917000001"/>
  </r>
  <r>
    <x v="0"/>
    <x v="0"/>
    <x v="0"/>
    <n v="0"/>
    <n v="25"/>
    <n v="3"/>
    <n v="20260307"/>
    <n v="20260403"/>
    <n v="110747.9418"/>
    <n v="28"/>
    <n v="3955.2836357142855"/>
    <n v="0"/>
    <n v="98882.090892857144"/>
    <n v="7364.1541890310718"/>
    <n v="106246.24508188822"/>
    <n v="0"/>
    <n v="103071.76539579437"/>
    <n v="7676.1764042056348"/>
    <n v="110747.9418"/>
  </r>
  <r>
    <x v="0"/>
    <x v="1"/>
    <x v="0"/>
    <n v="0"/>
    <n v="30"/>
    <n v="2"/>
    <n v="20260302"/>
    <n v="20260402"/>
    <n v="5576623.3415999999"/>
    <n v="32"/>
    <n v="174269.479425"/>
    <n v="0"/>
    <n v="5228084.3827499999"/>
    <n v="216309.36154024058"/>
    <n v="5444393.7442902401"/>
    <n v="0"/>
    <n v="5355060.4107710226"/>
    <n v="221562.93082897799"/>
    <n v="5576623.3416000009"/>
  </r>
  <r>
    <x v="0"/>
    <x v="0"/>
    <x v="1"/>
    <n v="0"/>
    <n v="28"/>
    <n v="2"/>
    <n v="20260304"/>
    <n v="20260402"/>
    <n v="198314.42379999999"/>
    <n v="30"/>
    <n v="6610.4807933333332"/>
    <n v="0"/>
    <n v="185093.46221333332"/>
    <n v="8205.1595299298715"/>
    <n v="193298.62174326318"/>
    <n v="0"/>
    <n v="189896.3529948892"/>
    <n v="8418.0708051108086"/>
    <n v="198314.42379999999"/>
  </r>
  <r>
    <x v="0"/>
    <x v="1"/>
    <x v="0"/>
    <n v="0"/>
    <n v="16"/>
    <n v="0"/>
    <n v="20260301"/>
    <n v="20260316"/>
    <n v="13355.8392"/>
    <n v="16"/>
    <n v="834.73995000000002"/>
    <n v="0"/>
    <n v="13355.8392"/>
    <n v="0"/>
    <n v="13355.8392"/>
    <n v="0"/>
    <n v="13355.8392"/>
    <n v="0"/>
    <n v="13355.8392"/>
  </r>
  <r>
    <x v="0"/>
    <x v="1"/>
    <x v="1"/>
    <n v="0"/>
    <n v="27"/>
    <n v="2"/>
    <n v="20260305"/>
    <n v="20260402"/>
    <n v="2103328.7223999999"/>
    <n v="29"/>
    <n v="72528.576634482757"/>
    <n v="0"/>
    <n v="1958271.5691310344"/>
    <n v="90025.001262365346"/>
    <n v="2048296.5703933998"/>
    <n v="0"/>
    <n v="2010884.9944622717"/>
    <n v="92443.727937728254"/>
    <n v="2103328.7223999999"/>
  </r>
  <r>
    <x v="0"/>
    <x v="1"/>
    <x v="1"/>
    <n v="25"/>
    <n v="4"/>
    <n v="0"/>
    <n v="20260204"/>
    <n v="20260304"/>
    <n v="1463669.1706000001"/>
    <n v="29"/>
    <n v="50471.350710344828"/>
    <n v="1711431.5107044147"/>
    <n v="201885.40284137931"/>
    <n v="0"/>
    <n v="1913316.9135457941"/>
    <n v="1309228.7650189535"/>
    <n v="154440.40558104654"/>
    <n v="0"/>
    <n v="1463669.1706000001"/>
  </r>
  <r>
    <x v="0"/>
    <x v="1"/>
    <x v="0"/>
    <n v="27"/>
    <n v="4"/>
    <n v="0"/>
    <n v="20260202"/>
    <n v="20260304"/>
    <n v="2942220.8095"/>
    <n v="31"/>
    <n v="94910.348693548382"/>
    <n v="3475777.1268802704"/>
    <n v="379641.39477419353"/>
    <n v="0"/>
    <n v="3855418.5216544638"/>
    <n v="2652501.5985820354"/>
    <n v="289719.21091796458"/>
    <n v="0"/>
    <n v="2942220.8095"/>
  </r>
  <r>
    <x v="0"/>
    <x v="1"/>
    <x v="1"/>
    <n v="0"/>
    <n v="29"/>
    <n v="6"/>
    <n v="20260303"/>
    <n v="20260406"/>
    <n v="64370.790099999998"/>
    <n v="35"/>
    <n v="1839.1654314285713"/>
    <n v="0"/>
    <n v="53335.797511428565"/>
    <n v="6848.5090140595985"/>
    <n v="60184.306525488166"/>
    <n v="0"/>
    <n v="57045.891605817131"/>
    <n v="7324.8984941828676"/>
    <n v="64370.790099999998"/>
  </r>
  <r>
    <x v="0"/>
    <x v="1"/>
    <x v="1"/>
    <n v="27"/>
    <n v="2"/>
    <n v="0"/>
    <n v="20260202"/>
    <n v="20260302"/>
    <n v="633132.53630000004"/>
    <n v="29"/>
    <n v="21832.156424137931"/>
    <n v="799530.40921288962"/>
    <n v="43664.312848275862"/>
    <n v="0"/>
    <n v="843194.72206116549"/>
    <n v="600346.16274224408"/>
    <n v="32786.373557755949"/>
    <n v="0"/>
    <n v="633132.53630000004"/>
  </r>
  <r>
    <x v="0"/>
    <x v="1"/>
    <x v="1"/>
    <n v="25"/>
    <n v="6"/>
    <n v="0"/>
    <n v="20260204"/>
    <n v="20260306"/>
    <n v="550249.89260000002"/>
    <n v="31"/>
    <n v="17749.996535483871"/>
    <n v="601884.09777380701"/>
    <n v="106499.97921290323"/>
    <n v="0"/>
    <n v="708384.07698671019"/>
    <n v="467524.14532871905"/>
    <n v="82725.747271280983"/>
    <n v="0"/>
    <n v="550249.89260000002"/>
  </r>
  <r>
    <x v="0"/>
    <x v="0"/>
    <x v="0"/>
    <n v="0"/>
    <n v="28"/>
    <n v="4"/>
    <n v="20260304"/>
    <n v="20260404"/>
    <n v="68846.0484"/>
    <n v="32"/>
    <n v="2151.4390125"/>
    <n v="0"/>
    <n v="60240.292350000003"/>
    <n v="5340.8824163834588"/>
    <n v="65581.174766383469"/>
    <n v="0"/>
    <n v="63239.277087243259"/>
    <n v="5606.7713127567331"/>
    <n v="68846.0484"/>
  </r>
  <r>
    <x v="0"/>
    <x v="0"/>
    <x v="0"/>
    <n v="0"/>
    <n v="28"/>
    <n v="6"/>
    <n v="20260304"/>
    <n v="20260406"/>
    <n v="300040.766"/>
    <n v="34"/>
    <n v="8824.7284117647068"/>
    <n v="0"/>
    <n v="247092.39552941179"/>
    <n v="32860.682917280916"/>
    <n v="279953.07844669273"/>
    <n v="0"/>
    <n v="264822.2053451598"/>
    <n v="35218.560654840185"/>
    <n v="300040.766"/>
  </r>
  <r>
    <x v="0"/>
    <x v="0"/>
    <x v="1"/>
    <n v="0"/>
    <n v="25"/>
    <n v="1"/>
    <n v="20260307"/>
    <n v="20260401"/>
    <n v="9612.7756000000008"/>
    <n v="26"/>
    <n v="369.72213846153852"/>
    <n v="0"/>
    <n v="9243.0534615384622"/>
    <n v="229.45601255533168"/>
    <n v="9472.5094740937948"/>
    <n v="0"/>
    <n v="9379.9218705001731"/>
    <n v="232.85372949982715"/>
    <n v="9612.7756000000008"/>
  </r>
  <r>
    <x v="0"/>
    <x v="1"/>
    <x v="1"/>
    <n v="0"/>
    <n v="14"/>
    <n v="16"/>
    <n v="20260318"/>
    <n v="20260416"/>
    <n v="1859514.3728"/>
    <n v="30"/>
    <n v="61983.812426666664"/>
    <n v="0"/>
    <n v="867773.37397333328"/>
    <n v="615491.77451293333"/>
    <n v="1483265.1484862666"/>
    <n v="0"/>
    <n v="1087895.2174419698"/>
    <n v="771619.15535803011"/>
    <n v="1859514.3728"/>
  </r>
  <r>
    <x v="0"/>
    <x v="1"/>
    <x v="1"/>
    <n v="0"/>
    <n v="28"/>
    <n v="6"/>
    <n v="20260304"/>
    <n v="20260406"/>
    <n v="317570.77840000001"/>
    <n v="34"/>
    <n v="9340.317011764706"/>
    <n v="0"/>
    <n v="261528.87632941175"/>
    <n v="34780.582625217277"/>
    <n v="296309.45895462902"/>
    <n v="0"/>
    <n v="280294.55800371821"/>
    <n v="37276.220396281795"/>
    <n v="317570.77840000001"/>
  </r>
  <r>
    <x v="0"/>
    <x v="1"/>
    <x v="1"/>
    <n v="11"/>
    <n v="16"/>
    <n v="0"/>
    <n v="20260218"/>
    <n v="20260316"/>
    <n v="339261.88400000002"/>
    <n v="27"/>
    <n v="12565.254962962963"/>
    <n v="187472.93487563741"/>
    <n v="201044.07940740741"/>
    <n v="0"/>
    <n v="388517.01428304485"/>
    <n v="163705.62612885216"/>
    <n v="175556.25787114783"/>
    <n v="0"/>
    <n v="339261.88399999996"/>
  </r>
  <r>
    <x v="0"/>
    <x v="1"/>
    <x v="1"/>
    <n v="26"/>
    <n v="4"/>
    <n v="0"/>
    <n v="20260203"/>
    <n v="20260304"/>
    <n v="713443.67339999997"/>
    <n v="30"/>
    <n v="23781.45578"/>
    <n v="838660.85429198667"/>
    <n v="95125.823120000001"/>
    <n v="0"/>
    <n v="933786.67741198663"/>
    <n v="640764.42199964123"/>
    <n v="72679.251400358728"/>
    <n v="0"/>
    <n v="713443.67339999997"/>
  </r>
  <r>
    <x v="0"/>
    <x v="1"/>
    <x v="0"/>
    <n v="23"/>
    <n v="3"/>
    <n v="0"/>
    <n v="20260206"/>
    <n v="20260303"/>
    <n v="1965399.8348000001"/>
    <n v="26"/>
    <n v="75592.301338461548"/>
    <n v="2358196.503243709"/>
    <n v="226776.90401538464"/>
    <n v="0"/>
    <n v="2584973.4072590936"/>
    <n v="1792977.4460680068"/>
    <n v="172422.38873199321"/>
    <n v="0"/>
    <n v="1965399.8348000001"/>
  </r>
  <r>
    <x v="0"/>
    <x v="0"/>
    <x v="1"/>
    <n v="0"/>
    <n v="27"/>
    <n v="4"/>
    <n v="20260305"/>
    <n v="20260404"/>
    <n v="67209.095499999996"/>
    <n v="31"/>
    <n v="2168.0353387096775"/>
    <n v="0"/>
    <n v="58536.954145161289"/>
    <n v="5382.0822953086026"/>
    <n v="63919.036440469892"/>
    <n v="0"/>
    <n v="61549.985114142684"/>
    <n v="5659.1103858573106"/>
    <n v="67209.095499999996"/>
  </r>
  <r>
    <x v="0"/>
    <x v="1"/>
    <x v="1"/>
    <n v="22"/>
    <n v="3"/>
    <n v="0"/>
    <n v="20260207"/>
    <n v="20260303"/>
    <n v="90310.191500000001"/>
    <n v="25"/>
    <n v="3612.4076599999999"/>
    <n v="107793.85981161805"/>
    <n v="10837.222979999999"/>
    <n v="0"/>
    <n v="118631.08279161804"/>
    <n v="82060.14724835004"/>
    <n v="8250.0442516499734"/>
    <n v="0"/>
    <n v="90310.191500000015"/>
  </r>
  <r>
    <x v="0"/>
    <x v="1"/>
    <x v="1"/>
    <n v="27"/>
    <n v="5"/>
    <n v="0"/>
    <n v="20260202"/>
    <n v="20260305"/>
    <n v="67612.448199999999"/>
    <n v="32"/>
    <n v="2112.88900625"/>
    <n v="77377.56083135902"/>
    <n v="10564.445031249999"/>
    <n v="0"/>
    <n v="87942.005862609018"/>
    <n v="59490.186427246445"/>
    <n v="8122.2617727535517"/>
    <n v="0"/>
    <n v="67612.448199999999"/>
  </r>
  <r>
    <x v="0"/>
    <x v="1"/>
    <x v="0"/>
    <n v="0"/>
    <n v="25"/>
    <n v="1"/>
    <n v="20260307"/>
    <n v="20260401"/>
    <n v="563834.0906"/>
    <n v="26"/>
    <n v="21685.926561538461"/>
    <n v="0"/>
    <n v="542148.16403846152"/>
    <n v="13458.664547608663"/>
    <n v="555606.82858607022"/>
    <n v="0"/>
    <n v="550176.13411807048"/>
    <n v="13657.956481929465"/>
    <n v="563834.0906"/>
  </r>
  <r>
    <x v="0"/>
    <x v="1"/>
    <x v="0"/>
    <n v="27"/>
    <n v="6"/>
    <n v="0"/>
    <n v="20260202"/>
    <n v="20260306"/>
    <n v="234233.5344"/>
    <n v="33"/>
    <n v="7097.9858909090908"/>
    <n v="259940.22091521125"/>
    <n v="42587.915345454545"/>
    <n v="0"/>
    <n v="302528.13626066578"/>
    <n v="201259.68258775517"/>
    <n v="32973.851812244859"/>
    <n v="0"/>
    <n v="234233.53440000003"/>
  </r>
  <r>
    <x v="0"/>
    <x v="1"/>
    <x v="1"/>
    <n v="9"/>
    <n v="18"/>
    <n v="0"/>
    <n v="20260220"/>
    <n v="20260318"/>
    <n v="52862.422200000001"/>
    <n v="27"/>
    <n v="1957.8674888888888"/>
    <n v="23900.137090828801"/>
    <n v="35241.614799999996"/>
    <n v="0"/>
    <n v="59141.751890828797"/>
    <n v="21362.558550268313"/>
    <n v="31499.863649731691"/>
    <n v="0"/>
    <n v="52862.422200000001"/>
  </r>
  <r>
    <x v="0"/>
    <x v="0"/>
    <x v="1"/>
    <n v="13"/>
    <n v="31"/>
    <n v="3"/>
    <n v="20260216"/>
    <n v="20260403"/>
    <n v="1611.3145999999999"/>
    <n v="47"/>
    <n v="34.283289361702124"/>
    <n v="604.50573358517249"/>
    <n v="1062.7819702127658"/>
    <n v="63.830423357527422"/>
    <n v="1731.1181271554658"/>
    <n v="562.67039148277763"/>
    <n v="989.23122481219502"/>
    <n v="59.412983705027237"/>
    <n v="1611.3145999999999"/>
  </r>
  <r>
    <x v="0"/>
    <x v="1"/>
    <x v="1"/>
    <n v="0"/>
    <n v="16"/>
    <n v="17"/>
    <n v="20260316"/>
    <n v="20260417"/>
    <n v="163706.7059"/>
    <n v="33"/>
    <n v="4960.8092696969697"/>
    <n v="0"/>
    <n v="79372.948315151516"/>
    <n v="52339.001986055882"/>
    <n v="131711.9503012074"/>
    <n v="0"/>
    <n v="98653.796231315064"/>
    <n v="65052.909668684952"/>
    <n v="163706.7059"/>
  </r>
  <r>
    <x v="0"/>
    <x v="0"/>
    <x v="1"/>
    <n v="0"/>
    <n v="27"/>
    <n v="7"/>
    <n v="20260305"/>
    <n v="20260407"/>
    <n v="134004.3959"/>
    <n v="34"/>
    <n v="3941.3057617647059"/>
    <n v="0"/>
    <n v="106415.25556764707"/>
    <n v="17122.302053193747"/>
    <n v="123537.55762084082"/>
    <n v="0"/>
    <n v="115431.39035218366"/>
    <n v="18573.005547816345"/>
    <n v="134004.3959"/>
  </r>
  <r>
    <x v="0"/>
    <x v="1"/>
    <x v="1"/>
    <n v="0"/>
    <n v="27"/>
    <n v="7"/>
    <n v="20260305"/>
    <n v="20260407"/>
    <n v="516874.098"/>
    <n v="34"/>
    <n v="15202.179352941177"/>
    <n v="0"/>
    <n v="410458.84252941178"/>
    <n v="66043.165002082344"/>
    <n v="476502.00753149414"/>
    <n v="0"/>
    <n v="445235.36238090548"/>
    <n v="71638.735619094485"/>
    <n v="516874.098"/>
  </r>
  <r>
    <x v="0"/>
    <x v="1"/>
    <x v="0"/>
    <n v="20"/>
    <n v="4"/>
    <n v="0"/>
    <n v="20260209"/>
    <n v="20260304"/>
    <n v="75364.298299999995"/>
    <n v="24"/>
    <n v="3140.1790958333331"/>
    <n v="85184.19068603123"/>
    <n v="12560.716383333332"/>
    <n v="0"/>
    <n v="97744.907069364563"/>
    <n v="65679.603672345824"/>
    <n v="9684.6946276541621"/>
    <n v="0"/>
    <n v="75364.29829999998"/>
  </r>
  <r>
    <x v="0"/>
    <x v="1"/>
    <x v="0"/>
    <n v="21"/>
    <n v="1"/>
    <n v="0"/>
    <n v="20260208"/>
    <n v="20260301"/>
    <n v="107859.1097"/>
    <n v="22"/>
    <n v="4902.6868045454548"/>
    <n v="139645.84968919808"/>
    <n v="4902.6868045454548"/>
    <n v="0"/>
    <n v="144548.53649374354"/>
    <n v="104200.82683734992"/>
    <n v="3658.2828626500732"/>
    <n v="0"/>
    <n v="107859.10969999999"/>
  </r>
  <r>
    <x v="0"/>
    <x v="1"/>
    <x v="0"/>
    <n v="0"/>
    <n v="30"/>
    <n v="6"/>
    <n v="20260302"/>
    <n v="20260406"/>
    <n v="528699.27930000005"/>
    <n v="36"/>
    <n v="14686.091091666669"/>
    <n v="0"/>
    <n v="440582.73275000008"/>
    <n v="54686.66684565496"/>
    <n v="495269.39959565504"/>
    <n v="0"/>
    <n v="470321.35130319302"/>
    <n v="58377.927996806997"/>
    <n v="528699.27930000005"/>
  </r>
  <r>
    <x v="0"/>
    <x v="0"/>
    <x v="0"/>
    <n v="0"/>
    <n v="13"/>
    <n v="16"/>
    <n v="20260319"/>
    <n v="20260416"/>
    <n v="28580.3999"/>
    <n v="29"/>
    <n v="985.53103103448279"/>
    <n v="0"/>
    <n v="12811.903403448276"/>
    <n v="9786.2041617177001"/>
    <n v="22598.107565165978"/>
    <n v="0"/>
    <n v="16203.539243045167"/>
    <n v="12376.860656954832"/>
    <n v="28580.399899999997"/>
  </r>
  <r>
    <x v="0"/>
    <x v="1"/>
    <x v="0"/>
    <n v="0"/>
    <n v="13"/>
    <n v="16"/>
    <n v="20260319"/>
    <n v="20260416"/>
    <n v="23221.574799999999"/>
    <n v="29"/>
    <n v="800.74395862068957"/>
    <n v="0"/>
    <n v="10409.671462068964"/>
    <n v="7951.2908407344867"/>
    <n v="18360.962302803451"/>
    <n v="0"/>
    <n v="13165.375567649377"/>
    <n v="10056.199232350622"/>
    <n v="23221.574799999999"/>
  </r>
  <r>
    <x v="0"/>
    <x v="0"/>
    <x v="0"/>
    <n v="0"/>
    <n v="13"/>
    <n v="2"/>
    <n v="20260319"/>
    <n v="20260402"/>
    <n v="151.83850000000001"/>
    <n v="15"/>
    <n v="10.122566666666668"/>
    <n v="0"/>
    <n v="131.59336666666667"/>
    <n v="12.564483121426461"/>
    <n v="144.15784978809313"/>
    <n v="0"/>
    <n v="138.60458819265085"/>
    <n v="13.233911807349157"/>
    <n v="151.83850000000001"/>
  </r>
  <r>
    <x v="0"/>
    <x v="1"/>
    <x v="0"/>
    <n v="0"/>
    <n v="13"/>
    <n v="2"/>
    <n v="20260319"/>
    <n v="20260402"/>
    <n v="986.95029999999997"/>
    <n v="15"/>
    <n v="65.796686666666659"/>
    <n v="0"/>
    <n v="855.3569266666666"/>
    <n v="81.669144426721672"/>
    <n v="937.02607109338828"/>
    <n v="0"/>
    <n v="900.92986889433973"/>
    <n v="86.020431105660222"/>
    <n v="986.95029999999997"/>
  </r>
  <r>
    <x v="0"/>
    <x v="1"/>
    <x v="0"/>
    <n v="27"/>
    <n v="7"/>
    <n v="0"/>
    <n v="20260202"/>
    <n v="20260307"/>
    <n v="305751.1544"/>
    <n v="34"/>
    <n v="8992.6810117647055"/>
    <n v="329327.15346927167"/>
    <n v="62948.767082352941"/>
    <n v="0"/>
    <n v="392275.92055162461"/>
    <n v="256687.07170937455"/>
    <n v="49064.082690625459"/>
    <n v="0"/>
    <n v="305751.1544"/>
  </r>
  <r>
    <x v="0"/>
    <x v="1"/>
    <x v="1"/>
    <n v="22"/>
    <n v="2"/>
    <n v="0"/>
    <n v="20260207"/>
    <n v="20260302"/>
    <n v="49813.600599999998"/>
    <n v="24"/>
    <n v="2075.5666916666664"/>
    <n v="61934.689007713081"/>
    <n v="4151.1333833333329"/>
    <n v="0"/>
    <n v="66085.822391046415"/>
    <n v="46684.59512026023"/>
    <n v="3129.0054797397688"/>
    <n v="0"/>
    <n v="49813.600599999998"/>
  </r>
  <r>
    <x v="0"/>
    <x v="0"/>
    <x v="0"/>
    <n v="0"/>
    <n v="14"/>
    <n v="17"/>
    <n v="20260318"/>
    <n v="20260417"/>
    <n v="97522.265499999994"/>
    <n v="31"/>
    <n v="3145.8795322580645"/>
    <n v="0"/>
    <n v="44042.313451612907"/>
    <n v="33190.591723113183"/>
    <n v="77232.905174726096"/>
    <n v="0"/>
    <n v="55612.386662724653"/>
    <n v="41909.878837275333"/>
    <n v="97522.26549999998"/>
  </r>
  <r>
    <x v="0"/>
    <x v="1"/>
    <x v="1"/>
    <n v="23"/>
    <n v="7"/>
    <n v="0"/>
    <n v="20260206"/>
    <n v="20260307"/>
    <n v="6294.1453000000001"/>
    <n v="30"/>
    <n v="209.80484333333334"/>
    <n v="6545.1248229232733"/>
    <n v="1468.6339033333334"/>
    <n v="0"/>
    <n v="8013.7587262566067"/>
    <n v="5140.654722625939"/>
    <n v="1153.4905773740613"/>
    <n v="0"/>
    <n v="6294.1453000000001"/>
  </r>
  <r>
    <x v="0"/>
    <x v="0"/>
    <x v="1"/>
    <n v="0"/>
    <n v="25"/>
    <n v="5"/>
    <n v="20260307"/>
    <n v="20260405"/>
    <n v="1608.0721000000001"/>
    <n v="30"/>
    <n v="53.602403333333335"/>
    <n v="0"/>
    <n v="1340.0600833333333"/>
    <n v="166.33293563956772"/>
    <n v="1506.393018972901"/>
    <n v="0"/>
    <n v="1430.5119614808661"/>
    <n v="177.56013851913383"/>
    <n v="1608.0720999999999"/>
  </r>
  <r>
    <x v="0"/>
    <x v="1"/>
    <x v="1"/>
    <n v="0"/>
    <n v="24"/>
    <n v="4"/>
    <n v="20260308"/>
    <n v="20260404"/>
    <n v="2166.5295999999998"/>
    <n v="28"/>
    <n v="77.376057142857135"/>
    <n v="0"/>
    <n v="1857.0253714285714"/>
    <n v="192.08372658593657"/>
    <n v="2049.1090980145082"/>
    <n v="0"/>
    <n v="1963.438861820186"/>
    <n v="203.09073817981363"/>
    <n v="2166.5295999999998"/>
  </r>
  <r>
    <x v="0"/>
    <x v="0"/>
    <x v="1"/>
    <n v="0"/>
    <n v="22"/>
    <n v="2"/>
    <n v="20260310"/>
    <n v="20260402"/>
    <n v="4561.6274999999996"/>
    <n v="24"/>
    <n v="190.06781249999997"/>
    <n v="0"/>
    <n v="4181.4918749999997"/>
    <n v="235.918804066429"/>
    <n v="4417.4106790664291"/>
    <n v="0"/>
    <n v="4318.0065685126037"/>
    <n v="243.62093148739609"/>
    <n v="4561.6274999999996"/>
  </r>
  <r>
    <x v="0"/>
    <x v="0"/>
    <x v="1"/>
    <n v="0"/>
    <n v="24"/>
    <n v="8"/>
    <n v="20260308"/>
    <n v="20260408"/>
    <n v="3801.2451999999998"/>
    <n v="32"/>
    <n v="118.7889125"/>
    <n v="0"/>
    <n v="2850.9339"/>
    <n v="589.77978027398365"/>
    <n v="3440.7136802739838"/>
    <n v="0"/>
    <n v="3149.6659733771635"/>
    <n v="651.57922662283625"/>
    <n v="3801.2451999999998"/>
  </r>
  <r>
    <x v="0"/>
    <x v="1"/>
    <x v="1"/>
    <n v="0"/>
    <n v="15"/>
    <n v="13"/>
    <n v="20260317"/>
    <n v="20260413"/>
    <n v="90.276300000000006"/>
    <n v="28"/>
    <n v="3.2241535714285718"/>
    <n v="0"/>
    <n v="48.362303571428576"/>
    <n v="26.012557784009722"/>
    <n v="74.374861355438298"/>
    <n v="0"/>
    <n v="58.702224734784231"/>
    <n v="31.574075265215779"/>
    <n v="90.276300000000006"/>
  </r>
  <r>
    <x v="0"/>
    <x v="1"/>
    <x v="0"/>
    <n v="0"/>
    <n v="16"/>
    <n v="0"/>
    <n v="20260302"/>
    <n v="20260317"/>
    <n v="19130.966899999999"/>
    <n v="16"/>
    <n v="1195.68543125"/>
    <n v="0"/>
    <n v="19130.966899999999"/>
    <n v="0"/>
    <n v="19130.966899999999"/>
    <n v="0"/>
    <n v="19130.966899999999"/>
    <n v="0"/>
    <n v="19130.966899999999"/>
  </r>
  <r>
    <x v="0"/>
    <x v="0"/>
    <x v="0"/>
    <n v="0"/>
    <n v="24"/>
    <n v="2"/>
    <n v="20260308"/>
    <n v="20260402"/>
    <n v="6317.1377000000002"/>
    <n v="26"/>
    <n v="242.96683461538461"/>
    <n v="0"/>
    <n v="5831.2040307692305"/>
    <n v="301.57891699978074"/>
    <n v="6132.7829477690111"/>
    <n v="0"/>
    <n v="6006.4931586343992"/>
    <n v="310.64454136560147"/>
    <n v="6317.1377000000002"/>
  </r>
  <r>
    <x v="0"/>
    <x v="1"/>
    <x v="0"/>
    <n v="27"/>
    <n v="9"/>
    <n v="0"/>
    <n v="20260202"/>
    <n v="20260309"/>
    <n v="40849.535600000003"/>
    <n v="36"/>
    <n v="1134.7093222222222"/>
    <n v="41554.970160023353"/>
    <n v="10212.383900000001"/>
    <n v="0"/>
    <n v="51767.354060023354"/>
    <n v="32790.959934722341"/>
    <n v="8058.5756652776608"/>
    <n v="0"/>
    <n v="40849.535600000003"/>
  </r>
  <r>
    <x v="0"/>
    <x v="1"/>
    <x v="1"/>
    <n v="0"/>
    <n v="30"/>
    <n v="5"/>
    <n v="20260302"/>
    <n v="20260405"/>
    <n v="12946.6708"/>
    <n v="35"/>
    <n v="369.90487999999999"/>
    <n v="0"/>
    <n v="11097.1464"/>
    <n v="1147.8471257190897"/>
    <n v="12244.99352571909"/>
    <n v="0"/>
    <n v="11733.048364496215"/>
    <n v="1213.6224355037839"/>
    <n v="12946.6708"/>
  </r>
  <r>
    <x v="0"/>
    <x v="1"/>
    <x v="0"/>
    <n v="0"/>
    <n v="21"/>
    <n v="0"/>
    <n v="20260305"/>
    <n v="20260325"/>
    <n v="6281.0406999999996"/>
    <n v="21"/>
    <n v="299.09717619047615"/>
    <n v="0"/>
    <n v="6281.0406999999996"/>
    <n v="0"/>
    <n v="6281.0406999999996"/>
    <n v="0"/>
    <n v="6281.0406999999996"/>
    <n v="0"/>
    <n v="6281.0406999999996"/>
  </r>
  <r>
    <x v="0"/>
    <x v="1"/>
    <x v="0"/>
    <n v="1"/>
    <n v="31"/>
    <n v="1"/>
    <n v="20260228"/>
    <n v="20260401"/>
    <n v="14781.238300000001"/>
    <n v="33"/>
    <n v="447.91631212121217"/>
    <n v="607.53522934002638"/>
    <n v="13885.405675757578"/>
    <n v="277.98468159221261"/>
    <n v="14770.925586689817"/>
    <n v="607.95939616757209"/>
    <n v="13895.100139864739"/>
    <n v="278.17876396769128"/>
    <n v="14781.238300000003"/>
  </r>
  <r>
    <x v="0"/>
    <x v="1"/>
    <x v="1"/>
    <n v="27"/>
    <n v="7"/>
    <n v="0"/>
    <n v="20260202"/>
    <n v="20260307"/>
    <n v="3463.4058"/>
    <n v="34"/>
    <n v="101.86487647058823"/>
    <n v="3730.4636695852996"/>
    <n v="713.0541352941176"/>
    <n v="0"/>
    <n v="4443.5178048794169"/>
    <n v="2907.6308630390695"/>
    <n v="555.77493696093075"/>
    <n v="0"/>
    <n v="3463.4058000000005"/>
  </r>
  <r>
    <x v="0"/>
    <x v="1"/>
    <x v="1"/>
    <n v="0"/>
    <n v="22"/>
    <n v="8"/>
    <n v="20260310"/>
    <n v="20260408"/>
    <n v="1450.9884"/>
    <n v="30"/>
    <n v="48.366279999999996"/>
    <n v="0"/>
    <n v="1064.0581599999998"/>
    <n v="240.13566073407711"/>
    <n v="1304.193820734077"/>
    <n v="0"/>
    <n v="1183.8240777864794"/>
    <n v="267.16432221352051"/>
    <n v="1450.9884"/>
  </r>
  <r>
    <x v="0"/>
    <x v="1"/>
    <x v="0"/>
    <n v="24"/>
    <n v="8"/>
    <n v="0"/>
    <n v="20260205"/>
    <n v="20260308"/>
    <n v="29821.869900000002"/>
    <n v="32"/>
    <n v="931.93343437500005"/>
    <n v="30336.866640182776"/>
    <n v="7455.4674750000004"/>
    <n v="0"/>
    <n v="37792.334115182777"/>
    <n v="23938.77253942153"/>
    <n v="5883.0973605784711"/>
    <n v="0"/>
    <n v="29821.869900000002"/>
  </r>
  <r>
    <x v="0"/>
    <x v="1"/>
    <x v="0"/>
    <n v="0"/>
    <n v="15"/>
    <n v="0"/>
    <n v="20260304"/>
    <n v="20260318"/>
    <n v="42.190199999999997"/>
    <n v="15"/>
    <n v="2.8126799999999998"/>
    <n v="0"/>
    <n v="42.190199999999997"/>
    <n v="0"/>
    <n v="42.190199999999997"/>
    <n v="0"/>
    <n v="42.190199999999997"/>
    <n v="0"/>
    <n v="42.190199999999997"/>
  </r>
  <r>
    <x v="0"/>
    <x v="1"/>
    <x v="0"/>
    <n v="0"/>
    <n v="30"/>
    <n v="11"/>
    <n v="20260302"/>
    <n v="20260411"/>
    <n v="11944.5144"/>
    <n v="41"/>
    <n v="291.32961951219511"/>
    <n v="0"/>
    <n v="8739.8885853658539"/>
    <n v="1988.8467166656471"/>
    <n v="10728.7353020315"/>
    <n v="0"/>
    <n v="9730.2917933422195"/>
    <n v="2214.2226066577805"/>
    <n v="11944.5144"/>
  </r>
  <r>
    <x v="0"/>
    <x v="1"/>
    <x v="0"/>
    <n v="19"/>
    <n v="9"/>
    <n v="0"/>
    <n v="20260210"/>
    <n v="20260309"/>
    <n v="5030.7483000000002"/>
    <n v="28"/>
    <n v="179.66958214285714"/>
    <n v="4630.2319405101744"/>
    <n v="1617.0262392857142"/>
    <n v="0"/>
    <n v="6247.2581797958883"/>
    <n v="3728.6007385864614"/>
    <n v="1302.1475614135391"/>
    <n v="0"/>
    <n v="5030.7483000000002"/>
  </r>
  <r>
    <x v="0"/>
    <x v="1"/>
    <x v="0"/>
    <n v="0"/>
    <n v="16"/>
    <n v="0"/>
    <n v="20260304"/>
    <n v="20260319"/>
    <n v="716.94799999999998"/>
    <n v="16"/>
    <n v="44.809249999999999"/>
    <n v="0"/>
    <n v="716.94799999999998"/>
    <n v="0"/>
    <n v="716.94799999999998"/>
    <n v="0"/>
    <n v="716.94799999999998"/>
    <n v="0"/>
    <n v="716.94799999999998"/>
  </r>
  <r>
    <x v="0"/>
    <x v="1"/>
    <x v="1"/>
    <n v="15"/>
    <n v="16"/>
    <n v="0"/>
    <n v="20260214"/>
    <n v="20260316"/>
    <n v="5574.7168000000001"/>
    <n v="31"/>
    <n v="179.82957419354838"/>
    <n v="3658.7013681999406"/>
    <n v="2877.2731870967741"/>
    <n v="0"/>
    <n v="6535.9745552967142"/>
    <n v="3120.609453254101"/>
    <n v="2454.1073467458996"/>
    <n v="0"/>
    <n v="5574.7168000000001"/>
  </r>
  <r>
    <x v="0"/>
    <x v="1"/>
    <x v="0"/>
    <n v="0"/>
    <n v="23"/>
    <n v="5"/>
    <n v="20260309"/>
    <n v="20260405"/>
    <n v="10896.7727"/>
    <n v="28"/>
    <n v="389.17045357142854"/>
    <n v="0"/>
    <n v="8950.920432142857"/>
    <n v="1207.629881894931"/>
    <n v="10158.550314037788"/>
    <n v="0"/>
    <n v="9601.3842910306103"/>
    <n v="1295.38840896939"/>
    <n v="10896.7727"/>
  </r>
  <r>
    <x v="0"/>
    <x v="1"/>
    <x v="0"/>
    <n v="25"/>
    <n v="11"/>
    <n v="0"/>
    <n v="20260204"/>
    <n v="20260311"/>
    <n v="12290.004199999999"/>
    <n v="36"/>
    <n v="341.38900555555551"/>
    <n v="11576.149504476583"/>
    <n v="3755.2790611111104"/>
    <n v="0"/>
    <n v="15331.428565587694"/>
    <n v="9279.6914143526519"/>
    <n v="3010.312785647347"/>
    <n v="0"/>
    <n v="12290.004199999999"/>
  </r>
  <r>
    <x v="0"/>
    <x v="1"/>
    <x v="0"/>
    <n v="0"/>
    <n v="23"/>
    <n v="0"/>
    <n v="20260305"/>
    <n v="20260327"/>
    <n v="379.4896"/>
    <n v="23"/>
    <n v="16.499547826086957"/>
    <n v="0"/>
    <n v="379.4896"/>
    <n v="0"/>
    <n v="379.4896"/>
    <n v="0"/>
    <n v="379.4896"/>
    <n v="0"/>
    <n v="379.4896"/>
  </r>
  <r>
    <x v="0"/>
    <x v="1"/>
    <x v="0"/>
    <n v="0"/>
    <n v="22"/>
    <n v="14"/>
    <n v="20260310"/>
    <n v="20260414"/>
    <n v="1080.8023000000001"/>
    <n v="36"/>
    <n v="30.022286111111114"/>
    <n v="0"/>
    <n v="660.49029444444454"/>
    <n v="260.85296710990707"/>
    <n v="921.34326155435156"/>
    <n v="0"/>
    <n v="774.80289828018806"/>
    <n v="305.99940171981211"/>
    <n v="1080.8023000000003"/>
  </r>
  <r>
    <x v="0"/>
    <x v="1"/>
    <x v="0"/>
    <n v="28"/>
    <n v="3"/>
    <n v="0"/>
    <n v="20260128"/>
    <n v="20260303"/>
    <n v="48427.5553"/>
    <n v="31"/>
    <n v="1562.1792032258065"/>
    <n v="59328.514043634437"/>
    <n v="4686.5376096774198"/>
    <n v="0"/>
    <n v="64015.051653311857"/>
    <n v="44882.177245986648"/>
    <n v="3545.378054013353"/>
    <n v="0"/>
    <n v="48427.5553"/>
  </r>
  <r>
    <x v="0"/>
    <x v="1"/>
    <x v="0"/>
    <n v="6"/>
    <n v="5"/>
    <n v="0"/>
    <n v="20260223"/>
    <n v="20260305"/>
    <n v="423.84890000000001"/>
    <n v="11"/>
    <n v="38.531718181818185"/>
    <n v="313.57700903897359"/>
    <n v="192.65859090909092"/>
    <n v="0"/>
    <n v="506.23559994806453"/>
    <n v="262.54429826763345"/>
    <n v="161.30460173236654"/>
    <n v="0"/>
    <n v="423.84889999999996"/>
  </r>
  <r>
    <x v="0"/>
    <x v="1"/>
    <x v="0"/>
    <n v="3"/>
    <n v="31"/>
    <n v="1"/>
    <n v="20260226"/>
    <n v="20260401"/>
    <n v="15507.123"/>
    <n v="35"/>
    <n v="443.06065714285711"/>
    <n v="1802.847657014908"/>
    <n v="13734.88037142857"/>
    <n v="274.97117735815738"/>
    <n v="15812.699205801635"/>
    <n v="1768.008105620238"/>
    <n v="13469.457461878719"/>
    <n v="269.65743250104367"/>
    <n v="15507.123000000001"/>
  </r>
  <r>
    <x v="0"/>
    <x v="1"/>
    <x v="0"/>
    <n v="28"/>
    <n v="2"/>
    <n v="0"/>
    <n v="20260131"/>
    <n v="20260302"/>
    <n v="11435.6895"/>
    <n v="30"/>
    <n v="381.18965000000003"/>
    <n v="14476.838160829191"/>
    <n v="762.37930000000006"/>
    <n v="0"/>
    <n v="15239.217460829192"/>
    <n v="10863.591032448308"/>
    <n v="572.09846755169087"/>
    <n v="0"/>
    <n v="11435.689499999999"/>
  </r>
  <r>
    <x v="0"/>
    <x v="1"/>
    <x v="1"/>
    <n v="5"/>
    <n v="4"/>
    <n v="0"/>
    <n v="20260224"/>
    <n v="20260304"/>
    <n v="58696.224099999999"/>
    <n v="9"/>
    <n v="6521.8026777777777"/>
    <n v="44229.522104141288"/>
    <n v="26087.210711111111"/>
    <n v="0"/>
    <n v="70316.732815252399"/>
    <n v="36920.173013178726"/>
    <n v="21776.051086821273"/>
    <n v="0"/>
    <n v="58696.224099999999"/>
  </r>
  <r>
    <x v="0"/>
    <x v="1"/>
    <x v="0"/>
    <n v="2"/>
    <n v="16"/>
    <n v="0"/>
    <n v="20260227"/>
    <n v="20260316"/>
    <n v="1902.4728"/>
    <n v="18"/>
    <n v="105.69293333333333"/>
    <n v="286.71507937808752"/>
    <n v="1691.0869333333333"/>
    <n v="0"/>
    <n v="1977.8020127114207"/>
    <n v="275.79486539143346"/>
    <n v="1626.6779346085666"/>
    <n v="0"/>
    <n v="1902.4728"/>
  </r>
  <r>
    <x v="0"/>
    <x v="0"/>
    <x v="0"/>
    <n v="2"/>
    <n v="31"/>
    <n v="1"/>
    <n v="20260227"/>
    <n v="20260401"/>
    <n v="1055.694"/>
    <n v="34"/>
    <n v="31.049823529411764"/>
    <n v="84.229402450535048"/>
    <n v="962.54452941176464"/>
    <n v="19.270062450822628"/>
    <n v="1066.0439943131223"/>
    <n v="83.411637104065989"/>
    <n v="953.19938938125608"/>
    <n v="19.082973514677896"/>
    <n v="1055.694"/>
  </r>
  <r>
    <x v="0"/>
    <x v="1"/>
    <x v="0"/>
    <n v="2"/>
    <n v="31"/>
    <n v="1"/>
    <n v="20260227"/>
    <n v="20260401"/>
    <n v="34837.9041"/>
    <n v="34"/>
    <n v="1024.6442382352941"/>
    <n v="2779.5704484178605"/>
    <n v="31763.971385294117"/>
    <n v="635.91209920940139"/>
    <n v="35179.45393292138"/>
    <n v="2752.584190357672"/>
    <n v="31455.581745697862"/>
    <n v="629.73816394446544"/>
    <n v="34837.9041"/>
  </r>
  <r>
    <x v="0"/>
    <x v="0"/>
    <x v="0"/>
    <n v="2"/>
    <n v="31"/>
    <n v="3"/>
    <n v="20260227"/>
    <n v="20260403"/>
    <n v="3546.4679999999998"/>
    <n v="36"/>
    <n v="98.512999999999991"/>
    <n v="267.23794793067401"/>
    <n v="3053.9029999999998"/>
    <n v="183.41666197423189"/>
    <n v="3504.5576099049058"/>
    <n v="270.43379970218786"/>
    <n v="3090.4240906166415"/>
    <n v="185.61010968117046"/>
    <n v="3546.4679999999998"/>
  </r>
  <r>
    <x v="0"/>
    <x v="1"/>
    <x v="0"/>
    <n v="2"/>
    <n v="31"/>
    <n v="3"/>
    <n v="20260227"/>
    <n v="20260403"/>
    <n v="39011.147700000001"/>
    <n v="36"/>
    <n v="1083.6429916666666"/>
    <n v="2939.6174046314345"/>
    <n v="33592.932741666664"/>
    <n v="2017.5832662011142"/>
    <n v="38550.133412499214"/>
    <n v="2974.7717738477463"/>
    <n v="33994.664735360362"/>
    <n v="2041.7111907918925"/>
    <n v="39011.147700000001"/>
  </r>
  <r>
    <x v="0"/>
    <x v="1"/>
    <x v="0"/>
    <n v="6"/>
    <n v="2"/>
    <n v="0"/>
    <n v="20260223"/>
    <n v="20260302"/>
    <n v="296.5213"/>
    <n v="8"/>
    <n v="37.0651625"/>
    <n v="301.64195485520611"/>
    <n v="74.130324999999999"/>
    <n v="0"/>
    <n v="375.77227985520608"/>
    <n v="238.02518009756236"/>
    <n v="58.49611990243767"/>
    <n v="0"/>
    <n v="296.5213"/>
  </r>
  <r>
    <x v="0"/>
    <x v="1"/>
    <x v="0"/>
    <n v="0"/>
    <n v="22"/>
    <n v="6"/>
    <n v="20260310"/>
    <n v="20260406"/>
    <n v="16141.3153"/>
    <n v="28"/>
    <n v="576.47554642857142"/>
    <n v="0"/>
    <n v="12682.462021428571"/>
    <n v="2146.6247182747438"/>
    <n v="14829.086739703314"/>
    <n v="0"/>
    <n v="13804.735373221614"/>
    <n v="2336.5799267783864"/>
    <n v="16141.3153"/>
  </r>
  <r>
    <x v="0"/>
    <x v="1"/>
    <x v="0"/>
    <n v="4"/>
    <n v="7"/>
    <n v="0"/>
    <n v="20260225"/>
    <n v="20260307"/>
    <n v="2883.8521999999998"/>
    <n v="11"/>
    <n v="262.16838181818179"/>
    <n v="1422.3775617308647"/>
    <n v="1835.1786727272724"/>
    <n v="0"/>
    <n v="3257.5562344581372"/>
    <n v="1259.2036377571562"/>
    <n v="1624.6485622428436"/>
    <n v="0"/>
    <n v="2883.8521999999998"/>
  </r>
  <r>
    <x v="0"/>
    <x v="1"/>
    <x v="0"/>
    <n v="6"/>
    <n v="7"/>
    <n v="0"/>
    <n v="20260223"/>
    <n v="20260307"/>
    <n v="127.1784"/>
    <n v="13"/>
    <n v="9.7829538461538466"/>
    <n v="79.615172937987353"/>
    <n v="68.480676923076928"/>
    <n v="0"/>
    <n v="148.09584986106427"/>
    <n v="68.37011516173871"/>
    <n v="58.808284838261294"/>
    <n v="0"/>
    <n v="127.17840000000001"/>
  </r>
  <r>
    <x v="0"/>
    <x v="0"/>
    <x v="1"/>
    <n v="3"/>
    <n v="31"/>
    <n v="3"/>
    <n v="20260226"/>
    <n v="20260403"/>
    <n v="82.1614"/>
    <n v="37"/>
    <n v="2.2205783783783786"/>
    <n v="9.0357030400616427"/>
    <n v="68.837929729729737"/>
    <n v="4.1343891041214356"/>
    <n v="82.008021873912824"/>
    <n v="9.0526023526959065"/>
    <n v="68.966676069714623"/>
    <n v="4.1421215775894629"/>
    <n v="82.1614"/>
  </r>
  <r>
    <x v="0"/>
    <x v="1"/>
    <x v="0"/>
    <n v="17"/>
    <n v="1"/>
    <n v="0"/>
    <n v="20260212"/>
    <n v="20260301"/>
    <n v="8023.4625999999998"/>
    <n v="18"/>
    <n v="445.7479222222222"/>
    <n v="10278.099948704648"/>
    <n v="445.7479222222222"/>
    <n v="0"/>
    <n v="10723.847870926871"/>
    <n v="7689.9590081900387"/>
    <n v="333.50359180996043"/>
    <n v="0"/>
    <n v="8023.4625999999989"/>
  </r>
  <r>
    <x v="0"/>
    <x v="1"/>
    <x v="0"/>
    <n v="28"/>
    <n v="1"/>
    <n v="0"/>
    <n v="20260131"/>
    <n v="20260301"/>
    <n v="506.2944"/>
    <n v="29"/>
    <n v="17.458427586206895"/>
    <n v="663.03697046358172"/>
    <n v="17.458427586206895"/>
    <n v="0"/>
    <n v="680.49539804978861"/>
    <n v="493.30518046224296"/>
    <n v="12.989219537757041"/>
    <n v="0"/>
    <n v="506.2944"/>
  </r>
  <r>
    <x v="0"/>
    <x v="1"/>
    <x v="0"/>
    <n v="9"/>
    <n v="4"/>
    <n v="0"/>
    <n v="20260220"/>
    <n v="20260304"/>
    <n v="1269.501"/>
    <n v="13"/>
    <n v="97.653923076923078"/>
    <n v="1192.083816826771"/>
    <n v="390.61569230769231"/>
    <n v="0"/>
    <n v="1582.6995091344634"/>
    <n v="956.18377892403259"/>
    <n v="313.31722107596738"/>
    <n v="0"/>
    <n v="1269.501"/>
  </r>
  <r>
    <x v="0"/>
    <x v="1"/>
    <x v="0"/>
    <n v="9"/>
    <n v="5"/>
    <n v="0"/>
    <n v="20260220"/>
    <n v="20260305"/>
    <n v="3047.6561999999999"/>
    <n v="14"/>
    <n v="217.68972857142856"/>
    <n v="2657.3884012319486"/>
    <n v="1088.4486428571429"/>
    <n v="0"/>
    <n v="3745.8370440890913"/>
    <n v="2162.081836849391"/>
    <n v="885.57436315060909"/>
    <n v="0"/>
    <n v="3047.6562000000004"/>
  </r>
  <r>
    <x v="0"/>
    <x v="0"/>
    <x v="0"/>
    <n v="0"/>
    <n v="14"/>
    <n v="8"/>
    <n v="20260318"/>
    <n v="20260408"/>
    <n v="842.61839999999995"/>
    <n v="22"/>
    <n v="38.300836363636364"/>
    <n v="0"/>
    <n v="536.21170909090915"/>
    <n v="190.16134064578847"/>
    <n v="726.37304973669757"/>
    <n v="0"/>
    <n v="622.02452656968467"/>
    <n v="220.59387343031537"/>
    <n v="842.61840000000007"/>
  </r>
  <r>
    <x v="0"/>
    <x v="1"/>
    <x v="0"/>
    <n v="0"/>
    <n v="16"/>
    <n v="2"/>
    <n v="20260316"/>
    <n v="20260402"/>
    <n v="4719.3269"/>
    <n v="18"/>
    <n v="262.1848277777778"/>
    <n v="0"/>
    <n v="4194.9572444444448"/>
    <n v="325.4329610054096"/>
    <n v="4520.390205449854"/>
    <n v="0"/>
    <n v="4379.5720431808113"/>
    <n v="339.75485681918923"/>
    <n v="4719.3269000000009"/>
  </r>
  <r>
    <x v="0"/>
    <x v="0"/>
    <x v="0"/>
    <n v="0"/>
    <n v="14"/>
    <n v="1"/>
    <n v="20260318"/>
    <n v="20260401"/>
    <n v="61.85"/>
    <n v="15"/>
    <n v="4.1233333333333331"/>
    <n v="0"/>
    <n v="57.726666666666659"/>
    <n v="2.5590126386266543"/>
    <n v="60.285679305293314"/>
    <n v="0"/>
    <n v="59.224584917629663"/>
    <n v="2.6254150823703402"/>
    <n v="61.85"/>
  </r>
  <r>
    <x v="0"/>
    <x v="1"/>
    <x v="0"/>
    <n v="0"/>
    <n v="8"/>
    <n v="3"/>
    <n v="20260324"/>
    <n v="20260403"/>
    <n v="5776.1189000000004"/>
    <n v="11"/>
    <n v="525.10171818181823"/>
    <n v="0"/>
    <n v="4200.8137454545458"/>
    <n v="977.66187554782539"/>
    <n v="5178.4756210023716"/>
    <n v="0"/>
    <n v="4685.6259344140844"/>
    <n v="1090.4929655859157"/>
    <n v="5776.1189000000004"/>
  </r>
  <r>
    <x v="0"/>
    <x v="1"/>
    <x v="0"/>
    <n v="0"/>
    <n v="14"/>
    <n v="2"/>
    <n v="20260318"/>
    <n v="20260402"/>
    <n v="1180.6065000000001"/>
    <n v="16"/>
    <n v="73.787906250000006"/>
    <n v="0"/>
    <n v="1033.0306875000001"/>
    <n v="91.588125143839306"/>
    <n v="1124.6188126438394"/>
    <n v="0"/>
    <n v="1084.4587789660338"/>
    <n v="96.147721033966164"/>
    <n v="1180.6065000000001"/>
  </r>
  <r>
    <x v="0"/>
    <x v="0"/>
    <x v="0"/>
    <n v="0"/>
    <n v="18"/>
    <n v="4"/>
    <n v="20260314"/>
    <n v="20260404"/>
    <n v="926.40189999999996"/>
    <n v="22"/>
    <n v="42.109177272727273"/>
    <n v="0"/>
    <n v="757.96519090909089"/>
    <n v="104.53476169094199"/>
    <n v="862.49995260003288"/>
    <n v="0"/>
    <n v="814.12223951468036"/>
    <n v="112.27966048531951"/>
    <n v="926.40189999999984"/>
  </r>
  <r>
    <x v="0"/>
    <x v="1"/>
    <x v="0"/>
    <n v="0"/>
    <n v="13"/>
    <n v="3"/>
    <n v="20260319"/>
    <n v="20260403"/>
    <n v="445.3732"/>
    <n v="16"/>
    <n v="27.835825"/>
    <n v="0"/>
    <n v="361.865725"/>
    <n v="51.826196591301382"/>
    <n v="413.69192159130137"/>
    <n v="0"/>
    <n v="389.57805918383394"/>
    <n v="55.795140816166068"/>
    <n v="445.3732"/>
  </r>
  <r>
    <x v="0"/>
    <x v="0"/>
    <x v="1"/>
    <n v="0"/>
    <n v="16"/>
    <n v="6"/>
    <n v="20260316"/>
    <n v="20260406"/>
    <n v="103.36620000000001"/>
    <n v="22"/>
    <n v="4.6984636363636367"/>
    <n v="0"/>
    <n v="75.175418181818188"/>
    <n v="17.495691260831148"/>
    <n v="92.671109442649339"/>
    <n v="0"/>
    <n v="83.85134652644237"/>
    <n v="19.514853473557629"/>
    <n v="103.36619999999999"/>
  </r>
  <r>
    <x v="0"/>
    <x v="1"/>
    <x v="0"/>
    <n v="0"/>
    <n v="7"/>
    <n v="7"/>
    <n v="20260325"/>
    <n v="20260407"/>
    <n v="5102.6241"/>
    <n v="14"/>
    <n v="364.47314999999998"/>
    <n v="0"/>
    <n v="2551.31205"/>
    <n v="1583.3887908723877"/>
    <n v="4134.7008408723877"/>
    <n v="0"/>
    <n v="3148.5679022435957"/>
    <n v="1954.0561977564041"/>
    <n v="5102.6241"/>
  </r>
  <r>
    <x v="0"/>
    <x v="1"/>
    <x v="0"/>
    <n v="0"/>
    <n v="13"/>
    <n v="15"/>
    <n v="20260319"/>
    <n v="20260415"/>
    <n v="4011.6536999999998"/>
    <n v="28"/>
    <n v="143.27334642857141"/>
    <n v="0"/>
    <n v="1862.5535035714283"/>
    <n v="1333.7690940183684"/>
    <n v="3196.3225975897967"/>
    <n v="0"/>
    <n v="2337.6613048021254"/>
    <n v="1673.9923951978742"/>
    <n v="4011.6536999999998"/>
  </r>
  <r>
    <x v="0"/>
    <x v="1"/>
    <x v="0"/>
    <n v="0"/>
    <n v="28"/>
    <n v="1"/>
    <n v="20260304"/>
    <n v="20260401"/>
    <n v="11026419.1259"/>
    <n v="29"/>
    <n v="380221.34916896553"/>
    <n v="0"/>
    <n v="10646197.776731035"/>
    <n v="235972.00598198731"/>
    <n v="10882169.782713022"/>
    <n v="0"/>
    <n v="10787319.176910957"/>
    <n v="239099.94898904167"/>
    <n v="11026419.125899998"/>
  </r>
  <r>
    <x v="0"/>
    <x v="1"/>
    <x v="1"/>
    <n v="0"/>
    <n v="27"/>
    <n v="1"/>
    <n v="20260305"/>
    <n v="20260401"/>
    <n v="1531103.3407000001"/>
    <n v="28"/>
    <n v="54682.262167857145"/>
    <n v="0"/>
    <n v="1476421.078532143"/>
    <n v="33936.766369339348"/>
    <n v="1510357.8449014823"/>
    <n v="0"/>
    <n v="1496700.4364240004"/>
    <n v="34402.904275999696"/>
    <n v="1531103.3407000001"/>
  </r>
  <r>
    <x v="0"/>
    <x v="1"/>
    <x v="1"/>
    <n v="24"/>
    <n v="5"/>
    <n v="0"/>
    <n v="20260205"/>
    <n v="20260305"/>
    <n v="654607.78480000002"/>
    <n v="29"/>
    <n v="22572.68223448276"/>
    <n v="734799.74577580893"/>
    <n v="112863.41117241379"/>
    <n v="0"/>
    <n v="847663.15694822278"/>
    <n v="567449.02725940512"/>
    <n v="87158.757540594874"/>
    <n v="0"/>
    <n v="654607.78480000002"/>
  </r>
  <r>
    <x v="0"/>
    <x v="1"/>
    <x v="0"/>
    <n v="0"/>
    <n v="30"/>
    <n v="1"/>
    <n v="20260302"/>
    <n v="20260401"/>
    <n v="23836591.8796"/>
    <n v="31"/>
    <n v="768922.31869677419"/>
    <n v="0"/>
    <n v="23067669.560903225"/>
    <n v="477206.61236875277"/>
    <n v="23544876.173271976"/>
    <n v="0"/>
    <n v="23353472.784915898"/>
    <n v="483119.09468410182"/>
    <n v="23836591.8796"/>
  </r>
  <r>
    <x v="0"/>
    <x v="1"/>
    <x v="0"/>
    <n v="27"/>
    <n v="1"/>
    <n v="0"/>
    <n v="20260202"/>
    <n v="20260301"/>
    <n v="20407083.3957"/>
    <n v="28"/>
    <n v="728824.40698928572"/>
    <n v="26690779.648327596"/>
    <n v="728824.40698928572"/>
    <n v="0"/>
    <n v="27419604.05531688"/>
    <n v="19864654.685779665"/>
    <n v="542428.70992033614"/>
    <n v="0"/>
    <n v="20407083.3957"/>
  </r>
  <r>
    <x v="0"/>
    <x v="1"/>
    <x v="0"/>
    <n v="25"/>
    <n v="1"/>
    <n v="0"/>
    <n v="20260204"/>
    <n v="20260301"/>
    <n v="3218596.7760999999"/>
    <n v="26"/>
    <n v="123792.18369615384"/>
    <n v="4197665.427509211"/>
    <n v="123792.18369615384"/>
    <n v="0"/>
    <n v="4321457.6112053646"/>
    <n v="3126397.0696126129"/>
    <n v="92199.706487387128"/>
    <n v="0"/>
    <n v="3218596.7760999999"/>
  </r>
  <r>
    <x v="0"/>
    <x v="1"/>
    <x v="1"/>
    <n v="26"/>
    <n v="3"/>
    <n v="0"/>
    <n v="20260203"/>
    <n v="20260303"/>
    <n v="1814000.2779000001"/>
    <n v="29"/>
    <n v="62551.733720689655"/>
    <n v="2205907.4484311678"/>
    <n v="187655.20116206896"/>
    <n v="0"/>
    <n v="2393562.6495932369"/>
    <n v="1671782.7399069075"/>
    <n v="142217.53799309258"/>
    <n v="0"/>
    <n v="1814000.2779000001"/>
  </r>
  <r>
    <x v="0"/>
    <x v="1"/>
    <x v="0"/>
    <n v="26"/>
    <n v="5"/>
    <n v="0"/>
    <n v="20260203"/>
    <n v="20260305"/>
    <n v="1570303.4782"/>
    <n v="31"/>
    <n v="50654.95090967742"/>
    <n v="1786363.4925056177"/>
    <n v="253274.75454838711"/>
    <n v="0"/>
    <n v="2039638.2470540048"/>
    <n v="1375308.9841606591"/>
    <n v="194994.49403934076"/>
    <n v="0"/>
    <n v="1570303.4781999998"/>
  </r>
  <r>
    <x v="0"/>
    <x v="0"/>
    <x v="0"/>
    <n v="0"/>
    <n v="27"/>
    <n v="6"/>
    <n v="20260305"/>
    <n v="20260406"/>
    <n v="261731.24230000001"/>
    <n v="33"/>
    <n v="7931.2497666666668"/>
    <n v="0"/>
    <n v="214143.74369999999"/>
    <n v="29533.632261445808"/>
    <n v="243677.3759614458"/>
    <n v="0"/>
    <n v="230009.48630635958"/>
    <n v="31721.755993640447"/>
    <n v="261731.24230000004"/>
  </r>
  <r>
    <x v="0"/>
    <x v="1"/>
    <x v="0"/>
    <n v="0"/>
    <n v="25"/>
    <n v="6"/>
    <n v="20260307"/>
    <n v="20260406"/>
    <n v="983891.57499999995"/>
    <n v="31"/>
    <n v="31738.437903225804"/>
    <n v="0"/>
    <n v="793460.94758064509"/>
    <n v="118184.57130502809"/>
    <n v="911645.51888567314"/>
    <n v="0"/>
    <n v="856341.11641370994"/>
    <n v="127550.45858628997"/>
    <n v="983891.57499999995"/>
  </r>
  <r>
    <x v="0"/>
    <x v="0"/>
    <x v="1"/>
    <n v="0"/>
    <n v="28"/>
    <n v="3"/>
    <n v="20260304"/>
    <n v="20260403"/>
    <n v="140938.13699999999"/>
    <n v="31"/>
    <n v="4546.3915161290315"/>
    <n v="0"/>
    <n v="127298.96245161288"/>
    <n v="8464.7097937973085"/>
    <n v="135763.67224541018"/>
    <n v="0"/>
    <n v="132150.80524289381"/>
    <n v="8787.3317571061725"/>
    <n v="140938.13699999999"/>
  </r>
  <r>
    <x v="0"/>
    <x v="0"/>
    <x v="0"/>
    <n v="0"/>
    <n v="29"/>
    <n v="1"/>
    <n v="20260303"/>
    <n v="20260401"/>
    <n v="203001.72159999999"/>
    <n v="30"/>
    <n v="6766.7240533333334"/>
    <n v="0"/>
    <n v="196234.99754666668"/>
    <n v="4199.5470593158407"/>
    <n v="200434.54460598252"/>
    <n v="0"/>
    <n v="198748.38650420989"/>
    <n v="4253.3350957901066"/>
    <n v="203001.72159999999"/>
  </r>
  <r>
    <x v="0"/>
    <x v="0"/>
    <x v="0"/>
    <n v="0"/>
    <n v="27"/>
    <n v="2"/>
    <n v="20260305"/>
    <n v="20260402"/>
    <n v="519471.46659999999"/>
    <n v="29"/>
    <n v="17912.809193103447"/>
    <n v="0"/>
    <n v="483645.84821379307"/>
    <n v="22234.004099495283"/>
    <n v="505879.85231328837"/>
    <n v="0"/>
    <n v="496640.09534625331"/>
    <n v="22831.371253746678"/>
    <n v="519471.46659999999"/>
  </r>
  <r>
    <x v="0"/>
    <x v="1"/>
    <x v="0"/>
    <n v="25"/>
    <n v="2"/>
    <n v="0"/>
    <n v="20260204"/>
    <n v="20260302"/>
    <n v="2448735.8661000002"/>
    <n v="27"/>
    <n v="90693.920966666672"/>
    <n v="3075337.4337547757"/>
    <n v="181387.84193333334"/>
    <n v="0"/>
    <n v="3256725.275688109"/>
    <n v="2312350.117651267"/>
    <n v="136385.74844873359"/>
    <n v="0"/>
    <n v="2448735.8661000007"/>
  </r>
  <r>
    <x v="0"/>
    <x v="1"/>
    <x v="0"/>
    <n v="9"/>
    <n v="15"/>
    <n v="0"/>
    <n v="20260220"/>
    <n v="20260315"/>
    <n v="670406.47620000003"/>
    <n v="24"/>
    <n v="27933.603175"/>
    <n v="340991.89506547793"/>
    <n v="419004.04762500001"/>
    <n v="0"/>
    <n v="759995.94269047794"/>
    <n v="300795.25684614084"/>
    <n v="369611.2193538592"/>
    <n v="0"/>
    <n v="670406.47620000003"/>
  </r>
  <r>
    <x v="0"/>
    <x v="1"/>
    <x v="0"/>
    <n v="0"/>
    <n v="27"/>
    <n v="4"/>
    <n v="20260305"/>
    <n v="20260404"/>
    <n v="1552052.7705999999"/>
    <n v="31"/>
    <n v="50066.218406451611"/>
    <n v="0"/>
    <n v="1351787.8969741934"/>
    <n v="124287.8761555558"/>
    <n v="1476075.7731297491"/>
    <n v="0"/>
    <n v="1421367.5130740886"/>
    <n v="130685.25752591141"/>
    <n v="1552052.7705999999"/>
  </r>
  <r>
    <x v="0"/>
    <x v="0"/>
    <x v="1"/>
    <n v="0"/>
    <n v="28"/>
    <n v="1"/>
    <n v="20260304"/>
    <n v="20260401"/>
    <n v="107559.4531"/>
    <n v="29"/>
    <n v="3708.9466586206895"/>
    <n v="0"/>
    <n v="103850.5064413793"/>
    <n v="2301.8370352633251"/>
    <n v="106152.34347664262"/>
    <n v="0"/>
    <n v="105227.10390704294"/>
    <n v="2332.349192957066"/>
    <n v="107559.4531"/>
  </r>
  <r>
    <x v="0"/>
    <x v="0"/>
    <x v="1"/>
    <n v="0"/>
    <n v="16"/>
    <n v="15"/>
    <n v="20260316"/>
    <n v="20260415"/>
    <n v="4830965.8070999999"/>
    <n v="31"/>
    <n v="155837.60668064517"/>
    <n v="0"/>
    <n v="2493401.7068903227"/>
    <n v="1450733.0823047312"/>
    <n v="3944134.7891950542"/>
    <n v="0"/>
    <n v="3054038.2195736929"/>
    <n v="1776927.5875263067"/>
    <n v="4830965.8070999999"/>
  </r>
  <r>
    <x v="0"/>
    <x v="1"/>
    <x v="1"/>
    <n v="0"/>
    <n v="16"/>
    <n v="15"/>
    <n v="20260316"/>
    <n v="20260415"/>
    <n v="5178562.5158000002"/>
    <n v="31"/>
    <n v="167050.40373548388"/>
    <n v="0"/>
    <n v="2672806.4597677421"/>
    <n v="1555115.9458452291"/>
    <n v="4227922.4056129716"/>
    <n v="0"/>
    <n v="3273781.7813698961"/>
    <n v="1904780.7344301038"/>
    <n v="5178562.5158000002"/>
  </r>
  <r>
    <x v="0"/>
    <x v="1"/>
    <x v="1"/>
    <n v="24"/>
    <n v="1"/>
    <n v="0"/>
    <n v="20260205"/>
    <n v="20260301"/>
    <n v="232582.36960000001"/>
    <n v="25"/>
    <n v="9303.2947839999997"/>
    <n v="302846.53685141698"/>
    <n v="9303.2947839999997"/>
    <n v="0"/>
    <n v="312149.83163541701"/>
    <n v="225650.49866284925"/>
    <n v="6931.8709371507284"/>
    <n v="0"/>
    <n v="232582.36959999998"/>
  </r>
  <r>
    <x v="0"/>
    <x v="1"/>
    <x v="1"/>
    <n v="0"/>
    <n v="25"/>
    <n v="6"/>
    <n v="20260307"/>
    <n v="20260406"/>
    <n v="1025195.7749"/>
    <n v="31"/>
    <n v="33070.831448387093"/>
    <n v="0"/>
    <n v="826770.78620967735"/>
    <n v="123146.01144977035"/>
    <n v="949916.79765944765"/>
    <n v="0"/>
    <n v="892290.69211257808"/>
    <n v="132905.08278742188"/>
    <n v="1025195.7749"/>
  </r>
  <r>
    <x v="0"/>
    <x v="1"/>
    <x v="1"/>
    <n v="23"/>
    <n v="6"/>
    <n v="0"/>
    <n v="20260206"/>
    <n v="20260306"/>
    <n v="415657.22730000003"/>
    <n v="29"/>
    <n v="14333.007837931036"/>
    <n v="447136.12849323446"/>
    <n v="85998.047027586217"/>
    <n v="0"/>
    <n v="533134.17552082066"/>
    <n v="348608.98424602329"/>
    <n v="67048.243053976781"/>
    <n v="0"/>
    <n v="415657.22730000009"/>
  </r>
  <r>
    <x v="0"/>
    <x v="0"/>
    <x v="1"/>
    <n v="0"/>
    <n v="26"/>
    <n v="1"/>
    <n v="20260306"/>
    <n v="20260401"/>
    <n v="9539.3495999999996"/>
    <n v="27"/>
    <n v="353.3092444444444"/>
    <n v="0"/>
    <n v="9186.0403555555549"/>
    <n v="219.26988404453533"/>
    <n v="9405.3102396000904"/>
    <n v="0"/>
    <n v="9316.9548009591945"/>
    <n v="222.39479904080466"/>
    <n v="9539.3495999999996"/>
  </r>
  <r>
    <x v="0"/>
    <x v="1"/>
    <x v="1"/>
    <n v="23"/>
    <n v="4"/>
    <n v="0"/>
    <n v="20260206"/>
    <n v="20260304"/>
    <n v="488073.3174"/>
    <n v="27"/>
    <n v="18076.789533333333"/>
    <n v="563928.08675728983"/>
    <n v="72307.158133333331"/>
    <n v="0"/>
    <n v="636235.24489062314"/>
    <n v="432604.53470474173"/>
    <n v="55468.782695258247"/>
    <n v="0"/>
    <n v="488073.3174"/>
  </r>
  <r>
    <x v="0"/>
    <x v="1"/>
    <x v="1"/>
    <n v="9"/>
    <n v="15"/>
    <n v="0"/>
    <n v="20260220"/>
    <n v="20260315"/>
    <n v="1757933.4805999999"/>
    <n v="24"/>
    <n v="73247.228358333334"/>
    <n v="894145.70149530657"/>
    <n v="1098708.4253750001"/>
    <n v="0"/>
    <n v="1992854.1268703067"/>
    <n v="788742.45936991624"/>
    <n v="969191.02123008354"/>
    <n v="0"/>
    <n v="1757933.4805999999"/>
  </r>
  <r>
    <x v="0"/>
    <x v="1"/>
    <x v="1"/>
    <n v="26"/>
    <n v="2"/>
    <n v="0"/>
    <n v="20260203"/>
    <n v="20260302"/>
    <n v="797872.61340000003"/>
    <n v="28"/>
    <n v="28495.450478571431"/>
    <n v="1004901.4266776614"/>
    <n v="56990.900957142861"/>
    <n v="0"/>
    <n v="1061892.3276348042"/>
    <n v="755051.43661649642"/>
    <n v="42821.176783503659"/>
    <n v="0"/>
    <n v="797872.61340000003"/>
  </r>
  <r>
    <x v="0"/>
    <x v="1"/>
    <x v="1"/>
    <n v="9"/>
    <n v="17"/>
    <n v="0"/>
    <n v="20260220"/>
    <n v="20260317"/>
    <n v="2939234.4884000001"/>
    <n v="26"/>
    <n v="113047.48032307693"/>
    <n v="1379996.4976320434"/>
    <n v="1921807.1654923079"/>
    <n v="0"/>
    <n v="3301803.6631243513"/>
    <n v="1228459.8702859185"/>
    <n v="1710774.6181140814"/>
    <n v="0"/>
    <n v="2939234.4884000001"/>
  </r>
  <r>
    <x v="0"/>
    <x v="1"/>
    <x v="1"/>
    <n v="21"/>
    <n v="6"/>
    <n v="0"/>
    <n v="20260208"/>
    <n v="20260306"/>
    <n v="38513.683400000002"/>
    <n v="27"/>
    <n v="1426.4327185185186"/>
    <n v="40629.845826029545"/>
    <n v="8558.5963111111123"/>
    <n v="0"/>
    <n v="49188.442137140657"/>
    <n v="31812.453307053973"/>
    <n v="6701.2300929460262"/>
    <n v="0"/>
    <n v="38513.683400000002"/>
  </r>
  <r>
    <x v="0"/>
    <x v="1"/>
    <x v="1"/>
    <n v="0"/>
    <n v="30"/>
    <n v="6"/>
    <n v="20260302"/>
    <n v="20260406"/>
    <n v="315072.71970000002"/>
    <n v="36"/>
    <n v="8752.0199916666679"/>
    <n v="0"/>
    <n v="262560.59975000005"/>
    <n v="32589.938229538133"/>
    <n v="295150.5379795382"/>
    <n v="0"/>
    <n v="280283.0135956952"/>
    <n v="34789.706104304787"/>
    <n v="315072.71970000002"/>
  </r>
  <r>
    <x v="0"/>
    <x v="1"/>
    <x v="0"/>
    <n v="0"/>
    <n v="27"/>
    <n v="8"/>
    <n v="20260305"/>
    <n v="20260408"/>
    <n v="251991.98069999999"/>
    <n v="35"/>
    <n v="7199.770877142857"/>
    <n v="0"/>
    <n v="194393.81368285714"/>
    <n v="35746.427815342962"/>
    <n v="230140.24149820011"/>
    <n v="0"/>
    <n v="212851.44148140229"/>
    <n v="39140.539218597696"/>
    <n v="251991.98069999999"/>
  </r>
  <r>
    <x v="0"/>
    <x v="0"/>
    <x v="0"/>
    <n v="0"/>
    <n v="30"/>
    <n v="5"/>
    <n v="20260302"/>
    <n v="20260405"/>
    <n v="36145.8033"/>
    <n v="35"/>
    <n v="1032.7372371428571"/>
    <n v="0"/>
    <n v="30982.117114285713"/>
    <n v="3204.6737779655746"/>
    <n v="34186.790892251287"/>
    <n v="0"/>
    <n v="32757.491469734978"/>
    <n v="3388.3118302650219"/>
    <n v="36145.8033"/>
  </r>
  <r>
    <x v="0"/>
    <x v="1"/>
    <x v="0"/>
    <n v="0"/>
    <n v="24"/>
    <n v="5"/>
    <n v="20260308"/>
    <n v="20260405"/>
    <n v="113824.62699999999"/>
    <n v="29"/>
    <n v="3924.9871379310343"/>
    <n v="0"/>
    <n v="94199.691310344817"/>
    <n v="12179.577638333763"/>
    <n v="106379.26894867858"/>
    <n v="0"/>
    <n v="100792.61526123063"/>
    <n v="13032.011738769354"/>
    <n v="113824.62699999998"/>
  </r>
  <r>
    <x v="0"/>
    <x v="0"/>
    <x v="0"/>
    <n v="0"/>
    <n v="24"/>
    <n v="7"/>
    <n v="20260308"/>
    <n v="20260407"/>
    <n v="61970.629300000001"/>
    <n v="31"/>
    <n v="1999.0525580645162"/>
    <n v="0"/>
    <n v="47977.26139354839"/>
    <n v="8684.5283741864878"/>
    <n v="56661.789767734881"/>
    <n v="0"/>
    <n v="52472.417352792792"/>
    <n v="9498.2119472072063"/>
    <n v="61970.629300000001"/>
  </r>
  <r>
    <x v="0"/>
    <x v="1"/>
    <x v="1"/>
    <n v="27"/>
    <n v="6"/>
    <n v="0"/>
    <n v="20260202"/>
    <n v="20260306"/>
    <n v="63056.376900000003"/>
    <n v="33"/>
    <n v="1910.7993000000001"/>
    <n v="69976.694769537775"/>
    <n v="11464.7958"/>
    <n v="0"/>
    <n v="81441.490569537767"/>
    <n v="54179.716121928002"/>
    <n v="8876.660778072006"/>
    <n v="0"/>
    <n v="63056.37690000001"/>
  </r>
  <r>
    <x v="0"/>
    <x v="0"/>
    <x v="0"/>
    <n v="0"/>
    <n v="14"/>
    <n v="15"/>
    <n v="20260318"/>
    <n v="20260415"/>
    <n v="240728.89259999999"/>
    <n v="29"/>
    <n v="8300.9962965517243"/>
    <n v="0"/>
    <n v="116213.94815172414"/>
    <n v="77276.147908092258"/>
    <n v="193490.09605981639"/>
    <n v="0"/>
    <n v="144586.49622350553"/>
    <n v="96142.396376494464"/>
    <n v="240728.89259999999"/>
  </r>
  <r>
    <x v="0"/>
    <x v="1"/>
    <x v="1"/>
    <n v="13"/>
    <n v="31"/>
    <n v="3"/>
    <n v="20260216"/>
    <n v="20260403"/>
    <n v="23632.614099999999"/>
    <n v="47"/>
    <n v="502.82157659574466"/>
    <n v="8866.0840800770948"/>
    <n v="15587.468874468084"/>
    <n v="936.17954125660606"/>
    <n v="25389.732495801785"/>
    <n v="8252.4990634407513"/>
    <n v="14508.724610114592"/>
    <n v="871.39042644465371"/>
    <n v="23632.614099999999"/>
  </r>
  <r>
    <x v="0"/>
    <x v="0"/>
    <x v="1"/>
    <n v="0"/>
    <n v="16"/>
    <n v="17"/>
    <n v="20260316"/>
    <n v="20260417"/>
    <n v="171908.36610000001"/>
    <n v="33"/>
    <n v="5209.3444272727274"/>
    <n v="0"/>
    <n v="83349.510836363639"/>
    <n v="54961.171353747952"/>
    <n v="138310.68219011161"/>
    <n v="0"/>
    <n v="103596.32384300335"/>
    <n v="68312.042256996632"/>
    <n v="171908.36609999998"/>
  </r>
  <r>
    <x v="0"/>
    <x v="1"/>
    <x v="1"/>
    <n v="0"/>
    <n v="29"/>
    <n v="3"/>
    <n v="20260303"/>
    <n v="20260403"/>
    <n v="329653.40110000002"/>
    <n v="32"/>
    <n v="10301.668784375001"/>
    <n v="0"/>
    <n v="298748.39474687504"/>
    <n v="19180.18638346417"/>
    <n v="317928.58113033918"/>
    <n v="0"/>
    <n v="309765.87273573276"/>
    <n v="19887.528364267284"/>
    <n v="329653.40110000002"/>
  </r>
  <r>
    <x v="0"/>
    <x v="1"/>
    <x v="0"/>
    <n v="0"/>
    <n v="29"/>
    <n v="5"/>
    <n v="20260303"/>
    <n v="20260405"/>
    <n v="156005.0526"/>
    <n v="34"/>
    <n v="4588.3838999999998"/>
    <n v="0"/>
    <n v="133063.13310000001"/>
    <n v="14238.155688323839"/>
    <n v="147301.28878832384"/>
    <n v="0"/>
    <n v="140925.59032675464"/>
    <n v="15079.462273245363"/>
    <n v="156005.0526"/>
  </r>
  <r>
    <x v="0"/>
    <x v="1"/>
    <x v="1"/>
    <n v="0"/>
    <n v="29"/>
    <n v="2"/>
    <n v="20260303"/>
    <n v="20260402"/>
    <n v="430363.01490000001"/>
    <n v="31"/>
    <n v="13882.677900000001"/>
    <n v="0"/>
    <n v="402597.65909999999"/>
    <n v="17231.664448221312"/>
    <n v="419829.32354822132"/>
    <n v="0"/>
    <n v="412699.00086447276"/>
    <n v="17664.014035527194"/>
    <n v="430363.01489999995"/>
  </r>
  <r>
    <x v="0"/>
    <x v="0"/>
    <x v="0"/>
    <n v="0"/>
    <n v="28"/>
    <n v="5"/>
    <n v="20260304"/>
    <n v="20260405"/>
    <n v="67047.763000000006"/>
    <n v="33"/>
    <n v="2031.7503939393941"/>
    <n v="0"/>
    <n v="56889.011030303038"/>
    <n v="6304.6987913810754"/>
    <n v="63193.709821684111"/>
    <n v="0"/>
    <n v="60358.553717245486"/>
    <n v="6689.2092827545202"/>
    <n v="67047.763000000006"/>
  </r>
  <r>
    <x v="0"/>
    <x v="1"/>
    <x v="0"/>
    <n v="0"/>
    <n v="28"/>
    <n v="7"/>
    <n v="20260304"/>
    <n v="20260407"/>
    <n v="442862.36129999999"/>
    <n v="35"/>
    <n v="12653.210322857143"/>
    <n v="0"/>
    <n v="354289.88904000004"/>
    <n v="54969.622299373186"/>
    <n v="409259.51133937325"/>
    <n v="0"/>
    <n v="383379.37787073373"/>
    <n v="59482.983429266264"/>
    <n v="442862.36129999999"/>
  </r>
  <r>
    <x v="0"/>
    <x v="1"/>
    <x v="0"/>
    <n v="0"/>
    <n v="25"/>
    <n v="5"/>
    <n v="20260307"/>
    <n v="20260405"/>
    <n v="165652.5001"/>
    <n v="30"/>
    <n v="5521.7500033333336"/>
    <n v="0"/>
    <n v="138043.75008333335"/>
    <n v="17134.472165561972"/>
    <n v="155178.22224889533"/>
    <n v="0"/>
    <n v="147361.47890524336"/>
    <n v="18291.021194756649"/>
    <n v="165652.5001"/>
  </r>
  <r>
    <x v="0"/>
    <x v="1"/>
    <x v="0"/>
    <n v="0"/>
    <n v="30"/>
    <n v="8"/>
    <n v="20260302"/>
    <n v="20260408"/>
    <n v="24743.8318"/>
    <n v="38"/>
    <n v="651.15346842105259"/>
    <n v="0"/>
    <n v="19534.604052631577"/>
    <n v="3232.9376660469957"/>
    <n v="22767.541718678574"/>
    <n v="0"/>
    <n v="21230.26556535803"/>
    <n v="3513.566234641969"/>
    <n v="24743.8318"/>
  </r>
  <r>
    <x v="0"/>
    <x v="1"/>
    <x v="1"/>
    <n v="0"/>
    <n v="25"/>
    <n v="4"/>
    <n v="20260307"/>
    <n v="20260404"/>
    <n v="3559.7539000000002"/>
    <n v="29"/>
    <n v="122.75013448275863"/>
    <n v="0"/>
    <n v="3068.7533620689655"/>
    <n v="304.72350415634679"/>
    <n v="3373.4768662253123"/>
    <n v="0"/>
    <n v="3238.2041383275655"/>
    <n v="321.5497616724349"/>
    <n v="3559.7539000000006"/>
  </r>
  <r>
    <x v="0"/>
    <x v="0"/>
    <x v="0"/>
    <n v="0"/>
    <n v="24"/>
    <n v="4"/>
    <n v="20260308"/>
    <n v="20260404"/>
    <n v="15472.632900000001"/>
    <n v="28"/>
    <n v="552.59403214285715"/>
    <n v="0"/>
    <n v="13262.256771428572"/>
    <n v="1371.7980070653857"/>
    <n v="14634.054778493959"/>
    <n v="0"/>
    <n v="14022.226481714151"/>
    <n v="1450.4064182858478"/>
    <n v="15472.632899999999"/>
  </r>
  <r>
    <x v="0"/>
    <x v="0"/>
    <x v="1"/>
    <n v="0"/>
    <n v="24"/>
    <n v="7"/>
    <n v="20260308"/>
    <n v="20260407"/>
    <n v="2168.4014000000002"/>
    <n v="31"/>
    <n v="69.948432258064528"/>
    <n v="0"/>
    <n v="1678.7623741935486"/>
    <n v="303.87852596690846"/>
    <n v="1982.640900160457"/>
    <n v="0"/>
    <n v="1836.05144137499"/>
    <n v="332.34995862501012"/>
    <n v="2168.4014000000002"/>
  </r>
  <r>
    <x v="0"/>
    <x v="1"/>
    <x v="0"/>
    <n v="10"/>
    <n v="16"/>
    <n v="0"/>
    <n v="20260219"/>
    <n v="20260316"/>
    <n v="229462.32089999999"/>
    <n v="26"/>
    <n v="8825.4738807692302"/>
    <n v="119705.09117641994"/>
    <n v="141207.58209230768"/>
    <n v="0"/>
    <n v="260912.67326872761"/>
    <n v="105275.86759496691"/>
    <n v="124186.45330503309"/>
    <n v="0"/>
    <n v="229462.32089999999"/>
  </r>
  <r>
    <x v="0"/>
    <x v="1"/>
    <x v="1"/>
    <n v="0"/>
    <n v="23"/>
    <n v="1"/>
    <n v="20260309"/>
    <n v="20260401"/>
    <n v="1857.01"/>
    <n v="24"/>
    <n v="77.375416666666666"/>
    <n v="0"/>
    <n v="1779.6345833333332"/>
    <n v="48.020534155780958"/>
    <n v="1827.6551174891142"/>
    <n v="0"/>
    <n v="1808.2181840390447"/>
    <n v="48.791815960955191"/>
    <n v="1857.0099999999998"/>
  </r>
  <r>
    <x v="0"/>
    <x v="1"/>
    <x v="1"/>
    <n v="0"/>
    <n v="29"/>
    <n v="7"/>
    <n v="20260303"/>
    <n v="20260407"/>
    <n v="5062.0995000000003"/>
    <n v="36"/>
    <n v="140.61387500000001"/>
    <n v="0"/>
    <n v="4077.8023750000002"/>
    <n v="610.87197648477286"/>
    <n v="4688.6743514847731"/>
    <n v="0"/>
    <n v="4402.5751878139044"/>
    <n v="659.52431218609513"/>
    <n v="5062.0994999999994"/>
  </r>
  <r>
    <x v="0"/>
    <x v="0"/>
    <x v="1"/>
    <n v="0"/>
    <n v="26"/>
    <n v="5"/>
    <n v="20260306"/>
    <n v="20260405"/>
    <n v="11360.022499999999"/>
    <n v="31"/>
    <n v="366.45233870967741"/>
    <n v="0"/>
    <n v="9527.7608064516135"/>
    <n v="1137.1335887781245"/>
    <n v="10664.894395229738"/>
    <n v="0"/>
    <n v="10148.771579427994"/>
    <n v="1211.2509205720055"/>
    <n v="11360.022499999999"/>
  </r>
  <r>
    <x v="0"/>
    <x v="1"/>
    <x v="0"/>
    <n v="0"/>
    <n v="22"/>
    <n v="3"/>
    <n v="20260310"/>
    <n v="20260403"/>
    <n v="63660.846400000002"/>
    <n v="25"/>
    <n v="2546.4338560000001"/>
    <n v="0"/>
    <n v="56021.544832"/>
    <n v="4741.0838955842573"/>
    <n v="60762.628727584255"/>
    <n v="0"/>
    <n v="58693.625264794478"/>
    <n v="4967.2211352055274"/>
    <n v="63660.846400000009"/>
  </r>
  <r>
    <x v="0"/>
    <x v="1"/>
    <x v="0"/>
    <n v="0"/>
    <n v="15"/>
    <n v="0"/>
    <n v="20260305"/>
    <n v="20260319"/>
    <n v="14670.1571"/>
    <n v="15"/>
    <n v="978.01047333333338"/>
    <n v="0"/>
    <n v="14670.1571"/>
    <n v="0"/>
    <n v="14670.1571"/>
    <n v="0"/>
    <n v="14670.1571"/>
    <n v="0"/>
    <n v="14670.1571"/>
  </r>
  <r>
    <x v="0"/>
    <x v="1"/>
    <x v="1"/>
    <n v="0"/>
    <n v="24"/>
    <n v="1"/>
    <n v="20260308"/>
    <n v="20260401"/>
    <n v="1334.9266"/>
    <n v="25"/>
    <n v="53.397064"/>
    <n v="0"/>
    <n v="1281.529536"/>
    <n v="33.139149953489813"/>
    <n v="1314.6686859534898"/>
    <n v="0"/>
    <n v="1301.2768042400762"/>
    <n v="33.649795759923784"/>
    <n v="1334.9266"/>
  </r>
  <r>
    <x v="0"/>
    <x v="1"/>
    <x v="1"/>
    <n v="0"/>
    <n v="14"/>
    <n v="17"/>
    <n v="20260318"/>
    <n v="20260417"/>
    <n v="56136.2448"/>
    <n v="31"/>
    <n v="1810.8466064516128"/>
    <n v="0"/>
    <n v="25351.852490322581"/>
    <n v="19105.331202806556"/>
    <n v="44457.183693129133"/>
    <n v="0"/>
    <n v="32011.874781671955"/>
    <n v="24124.370018328053"/>
    <n v="56136.244800000008"/>
  </r>
  <r>
    <x v="0"/>
    <x v="0"/>
    <x v="0"/>
    <n v="0"/>
    <n v="24"/>
    <n v="8"/>
    <n v="20260308"/>
    <n v="20260408"/>
    <n v="49405.657599999999"/>
    <n v="32"/>
    <n v="1543.9268"/>
    <n v="0"/>
    <n v="37054.243199999997"/>
    <n v="7665.5033681120258"/>
    <n v="44719.746568112023"/>
    <n v="0"/>
    <n v="40936.932622773944"/>
    <n v="8468.7249772260566"/>
    <n v="49405.657599999999"/>
  </r>
  <r>
    <x v="0"/>
    <x v="0"/>
    <x v="0"/>
    <n v="0"/>
    <n v="22"/>
    <n v="7"/>
    <n v="20260310"/>
    <n v="20260407"/>
    <n v="54637.054199999999"/>
    <n v="29"/>
    <n v="1884.0363517241378"/>
    <n v="0"/>
    <n v="41448.799737931033"/>
    <n v="8184.8609175082092"/>
    <n v="49633.660655439242"/>
    <n v="0"/>
    <n v="45627.106441485223"/>
    <n v="9009.9477585147743"/>
    <n v="54637.054199999999"/>
  </r>
  <r>
    <x v="0"/>
    <x v="0"/>
    <x v="0"/>
    <n v="0"/>
    <n v="30"/>
    <n v="10"/>
    <n v="20260302"/>
    <n v="20260410"/>
    <n v="3458.8679999999999"/>
    <n v="40"/>
    <n v="86.471699999999998"/>
    <n v="0"/>
    <n v="2594.1509999999998"/>
    <n v="536.65846366256858"/>
    <n v="3130.8094636625683"/>
    <n v="0"/>
    <n v="2865.9763505924648"/>
    <n v="592.8916494075354"/>
    <n v="3458.8680000000004"/>
  </r>
  <r>
    <x v="0"/>
    <x v="1"/>
    <x v="0"/>
    <n v="18"/>
    <n v="6"/>
    <n v="0"/>
    <n v="20260211"/>
    <n v="20260306"/>
    <n v="4481.0659999999998"/>
    <n v="24"/>
    <n v="186.71108333333333"/>
    <n v="4558.4499598349221"/>
    <n v="1120.2665"/>
    <n v="0"/>
    <n v="5678.7164598349218"/>
    <n v="3597.065511580663"/>
    <n v="884.0004884193371"/>
    <n v="0"/>
    <n v="4481.0659999999998"/>
  </r>
  <r>
    <x v="0"/>
    <x v="1"/>
    <x v="0"/>
    <n v="0"/>
    <n v="22"/>
    <n v="0"/>
    <n v="20260303"/>
    <n v="20260324"/>
    <n v="1054.3847000000001"/>
    <n v="22"/>
    <n v="47.926577272727279"/>
    <n v="0"/>
    <n v="1054.3847000000001"/>
    <n v="0"/>
    <n v="1054.3847000000001"/>
    <n v="0"/>
    <n v="1054.3847000000001"/>
    <n v="0"/>
    <n v="1054.3847000000001"/>
  </r>
  <r>
    <x v="0"/>
    <x v="1"/>
    <x v="0"/>
    <n v="0"/>
    <n v="23"/>
    <n v="1"/>
    <n v="20260309"/>
    <n v="20260401"/>
    <n v="85624.307000000001"/>
    <n v="24"/>
    <n v="3567.6794583333335"/>
    <n v="0"/>
    <n v="82056.627541666676"/>
    <n v="2214.1641449742192"/>
    <n v="84270.791686640892"/>
    <n v="0"/>
    <n v="83374.580057803498"/>
    <n v="2249.7269421965025"/>
    <n v="85624.307000000001"/>
  </r>
  <r>
    <x v="0"/>
    <x v="0"/>
    <x v="0"/>
    <n v="0"/>
    <n v="23"/>
    <n v="2"/>
    <n v="20260309"/>
    <n v="20260402"/>
    <n v="946.94749999999999"/>
    <n v="25"/>
    <n v="37.877899999999997"/>
    <n v="0"/>
    <n v="871.19169999999997"/>
    <n v="47.015371782362109"/>
    <n v="918.20707178236205"/>
    <n v="0"/>
    <n v="898.46051907917456"/>
    <n v="48.486980920825395"/>
    <n v="946.94749999999999"/>
  </r>
  <r>
    <x v="0"/>
    <x v="0"/>
    <x v="0"/>
    <n v="1"/>
    <n v="31"/>
    <n v="1"/>
    <n v="20260228"/>
    <n v="20260401"/>
    <n v="461.91370000000001"/>
    <n v="33"/>
    <n v="13.997384848484849"/>
    <n v="18.98547604531889"/>
    <n v="433.91893030303032"/>
    <n v="8.6870213585272342"/>
    <n v="461.59142770687646"/>
    <n v="18.998731258769372"/>
    <n v="434.22188230842863"/>
    <n v="8.6930864328019748"/>
    <n v="461.91370000000001"/>
  </r>
  <r>
    <x v="0"/>
    <x v="1"/>
    <x v="0"/>
    <n v="4"/>
    <n v="31"/>
    <n v="2"/>
    <n v="20260225"/>
    <n v="20260402"/>
    <n v="3834.9168"/>
    <n v="37"/>
    <n v="103.6464"/>
    <n v="562.32682481300571"/>
    <n v="3213.0383999999999"/>
    <n v="128.64952993443185"/>
    <n v="3904.0147547474376"/>
    <n v="552.37408745540495"/>
    <n v="3156.170176923998"/>
    <n v="126.37253562059669"/>
    <n v="3834.9168"/>
  </r>
  <r>
    <x v="0"/>
    <x v="0"/>
    <x v="0"/>
    <n v="0"/>
    <n v="19"/>
    <n v="5"/>
    <n v="20260313"/>
    <n v="20260405"/>
    <n v="4122.9967999999999"/>
    <n v="24"/>
    <n v="171.79153333333332"/>
    <n v="0"/>
    <n v="3264.0391333333332"/>
    <n v="533.0841208678886"/>
    <n v="3797.1232542012217"/>
    <n v="0"/>
    <n v="3544.1627782080268"/>
    <n v="578.8340217919731"/>
    <n v="4122.9967999999999"/>
  </r>
  <r>
    <x v="0"/>
    <x v="1"/>
    <x v="0"/>
    <n v="0"/>
    <n v="28"/>
    <n v="0"/>
    <n v="20260304"/>
    <n v="20260331"/>
    <n v="18393.639299999999"/>
    <n v="28"/>
    <n v="656.91568928571428"/>
    <n v="0"/>
    <n v="18393.639299999999"/>
    <n v="0"/>
    <n v="18393.639299999999"/>
    <n v="0"/>
    <n v="18393.639299999999"/>
    <n v="0"/>
    <n v="18393.639299999999"/>
  </r>
  <r>
    <x v="0"/>
    <x v="1"/>
    <x v="0"/>
    <n v="20"/>
    <n v="6"/>
    <n v="0"/>
    <n v="20260209"/>
    <n v="20260306"/>
    <n v="38121.530700000003"/>
    <n v="26"/>
    <n v="1466.2127192307694"/>
    <n v="39774.210339456149"/>
    <n v="8797.2763153846172"/>
    <n v="0"/>
    <n v="48571.486654840766"/>
    <n v="31216.952268697361"/>
    <n v="6904.5784313026406"/>
    <n v="0"/>
    <n v="38121.530700000003"/>
  </r>
  <r>
    <x v="0"/>
    <x v="1"/>
    <x v="1"/>
    <n v="0"/>
    <n v="29"/>
    <n v="5"/>
    <n v="20260303"/>
    <n v="20260405"/>
    <n v="2338.6365999999998"/>
    <n v="34"/>
    <n v="68.7834294117647"/>
    <n v="0"/>
    <n v="1994.7194529411763"/>
    <n v="213.44098446983452"/>
    <n v="2208.1604374110107"/>
    <n v="0"/>
    <n v="2112.5837780381885"/>
    <n v="226.0528219618113"/>
    <n v="2338.6365999999998"/>
  </r>
  <r>
    <x v="0"/>
    <x v="0"/>
    <x v="1"/>
    <n v="0"/>
    <n v="28"/>
    <n v="5"/>
    <n v="20260304"/>
    <n v="20260405"/>
    <n v="1469.6451"/>
    <n v="33"/>
    <n v="44.534700000000001"/>
    <n v="0"/>
    <n v="1246.9716000000001"/>
    <n v="138.19506082147913"/>
    <n v="1385.1666608214791"/>
    <n v="0"/>
    <n v="1323.0218092978971"/>
    <n v="146.62329070210279"/>
    <n v="1469.6451"/>
  </r>
  <r>
    <x v="0"/>
    <x v="1"/>
    <x v="1"/>
    <n v="20"/>
    <n v="5"/>
    <n v="0"/>
    <n v="20260209"/>
    <n v="20260305"/>
    <n v="591.54840000000002"/>
    <n v="25"/>
    <n v="23.661936000000001"/>
    <n v="641.8814999753273"/>
    <n v="118.30968"/>
    <n v="0"/>
    <n v="760.19117997532726"/>
    <n v="499.48484578882983"/>
    <n v="92.063554211170228"/>
    <n v="0"/>
    <n v="591.54840000000002"/>
  </r>
  <r>
    <x v="0"/>
    <x v="1"/>
    <x v="0"/>
    <n v="0"/>
    <n v="27"/>
    <n v="0"/>
    <n v="20260304"/>
    <n v="20260330"/>
    <n v="9449.5004000000008"/>
    <n v="27"/>
    <n v="349.98149629629631"/>
    <n v="0"/>
    <n v="9449.5004000000008"/>
    <n v="0"/>
    <n v="9449.5004000000008"/>
    <n v="0"/>
    <n v="9449.5004000000008"/>
    <n v="0"/>
    <n v="9449.5004000000008"/>
  </r>
  <r>
    <x v="0"/>
    <x v="1"/>
    <x v="0"/>
    <n v="20"/>
    <n v="1"/>
    <n v="0"/>
    <n v="20260209"/>
    <n v="20260301"/>
    <n v="6459.4867999999997"/>
    <n v="21"/>
    <n v="307.59460952380948"/>
    <n v="8344.1730780384132"/>
    <n v="307.59460952380948"/>
    <n v="0"/>
    <n v="8651.7676875622219"/>
    <n v="6229.8339253826462"/>
    <n v="229.65287461735397"/>
    <n v="0"/>
    <n v="6459.4868000000006"/>
  </r>
  <r>
    <x v="0"/>
    <x v="1"/>
    <x v="1"/>
    <n v="0"/>
    <n v="16"/>
    <n v="0"/>
    <n v="20260301"/>
    <n v="20260316"/>
    <n v="74574.943899999998"/>
    <n v="16"/>
    <n v="4660.9339937499999"/>
    <n v="0"/>
    <n v="74574.943899999998"/>
    <n v="0"/>
    <n v="74574.943899999998"/>
    <n v="0"/>
    <n v="74574.943899999998"/>
    <n v="0"/>
    <n v="74574.943899999998"/>
  </r>
  <r>
    <x v="0"/>
    <x v="1"/>
    <x v="1"/>
    <n v="0"/>
    <n v="17"/>
    <n v="0"/>
    <n v="20260301"/>
    <n v="20260317"/>
    <n v="4132248.4619999998"/>
    <n v="17"/>
    <n v="243073.43894117646"/>
    <n v="0"/>
    <n v="4132248.4619999998"/>
    <n v="0"/>
    <n v="4132248.4619999998"/>
    <n v="0"/>
    <n v="4132248.4619999998"/>
    <n v="0"/>
    <n v="4132248.4619999998"/>
  </r>
  <r>
    <x v="0"/>
    <x v="1"/>
    <x v="0"/>
    <n v="5"/>
    <n v="16"/>
    <n v="0"/>
    <n v="20260224"/>
    <n v="20260316"/>
    <n v="887.84140000000002"/>
    <n v="21"/>
    <n v="42.278161904761909"/>
    <n v="286.72178366584535"/>
    <n v="676.45059047619054"/>
    <n v="0"/>
    <n v="963.17237414203589"/>
    <n v="264.29689706075561"/>
    <n v="623.54450293924435"/>
    <n v="0"/>
    <n v="887.84140000000002"/>
  </r>
  <r>
    <x v="0"/>
    <x v="1"/>
    <x v="0"/>
    <n v="26"/>
    <n v="12"/>
    <n v="0"/>
    <n v="20260203"/>
    <n v="20260312"/>
    <n v="506.75689999999997"/>
    <n v="38"/>
    <n v="13.335707894736842"/>
    <n v="470.28812193213815"/>
    <n v="160.02849473684211"/>
    <n v="0"/>
    <n v="630.31661666898026"/>
    <n v="378.09847380607835"/>
    <n v="128.65842619392168"/>
    <n v="0"/>
    <n v="506.75690000000003"/>
  </r>
  <r>
    <x v="0"/>
    <x v="1"/>
    <x v="0"/>
    <n v="0"/>
    <n v="23"/>
    <n v="0"/>
    <n v="20260306"/>
    <n v="20260328"/>
    <n v="9189.4951000000001"/>
    <n v="23"/>
    <n v="399.54326521739131"/>
    <n v="0"/>
    <n v="9189.4951000000001"/>
    <n v="0"/>
    <n v="9189.4951000000001"/>
    <n v="0"/>
    <n v="9189.4951000000001"/>
    <n v="0"/>
    <n v="9189.4951000000001"/>
  </r>
  <r>
    <x v="0"/>
    <x v="1"/>
    <x v="0"/>
    <n v="0"/>
    <n v="24"/>
    <n v="0"/>
    <n v="20260303"/>
    <n v="20260326"/>
    <n v="6201.3798999999999"/>
    <n v="24"/>
    <n v="258.39082916666666"/>
    <n v="0"/>
    <n v="6201.3798999999999"/>
    <n v="0"/>
    <n v="6201.3798999999999"/>
    <n v="0"/>
    <n v="6201.3798999999999"/>
    <n v="0"/>
    <n v="6201.3798999999999"/>
  </r>
  <r>
    <x v="0"/>
    <x v="1"/>
    <x v="0"/>
    <n v="0"/>
    <n v="26"/>
    <n v="13"/>
    <n v="20260306"/>
    <n v="20260413"/>
    <n v="6602.8329000000003"/>
    <n v="39"/>
    <n v="169.3034076923077"/>
    <n v="0"/>
    <n v="4401.8886000000002"/>
    <n v="1365.9444496232729"/>
    <n v="5767.8330496232729"/>
    <n v="0"/>
    <n v="5039.1428843650947"/>
    <n v="1563.6900156349054"/>
    <n v="6602.8329000000003"/>
  </r>
  <r>
    <x v="0"/>
    <x v="0"/>
    <x v="0"/>
    <n v="0"/>
    <n v="27"/>
    <n v="10"/>
    <n v="20260305"/>
    <n v="20260410"/>
    <n v="934.21600000000001"/>
    <n v="37"/>
    <n v="25.24908108108108"/>
    <n v="0"/>
    <n v="681.72518918918911"/>
    <n v="156.70020436587461"/>
    <n v="838.42539355506369"/>
    <n v="0"/>
    <n v="759.61270285850469"/>
    <n v="174.60329714149529"/>
    <n v="934.21600000000001"/>
  </r>
  <r>
    <x v="0"/>
    <x v="1"/>
    <x v="0"/>
    <n v="0"/>
    <n v="23"/>
    <n v="0"/>
    <n v="20260304"/>
    <n v="20260326"/>
    <n v="3669.0868"/>
    <n v="23"/>
    <n v="159.52551304347827"/>
    <n v="0"/>
    <n v="3669.0868"/>
    <n v="0"/>
    <n v="3669.0868"/>
    <n v="0"/>
    <n v="3669.0868"/>
    <n v="0"/>
    <n v="3669.0868"/>
  </r>
  <r>
    <x v="0"/>
    <x v="1"/>
    <x v="0"/>
    <n v="0"/>
    <n v="11"/>
    <n v="0"/>
    <n v="20260307"/>
    <n v="20260317"/>
    <n v="2021.9046000000001"/>
    <n v="11"/>
    <n v="183.8095090909091"/>
    <n v="0"/>
    <n v="2021.9046000000001"/>
    <n v="0"/>
    <n v="2021.9046000000001"/>
    <n v="0"/>
    <n v="2021.9046000000001"/>
    <n v="0"/>
    <n v="2021.9046000000001"/>
  </r>
  <r>
    <x v="0"/>
    <x v="1"/>
    <x v="0"/>
    <n v="0"/>
    <n v="28"/>
    <n v="11"/>
    <n v="20260304"/>
    <n v="20260411"/>
    <n v="5176.3841000000002"/>
    <n v="39"/>
    <n v="132.72779743589743"/>
    <n v="0"/>
    <n v="3716.3783282051281"/>
    <n v="906.10506608511059"/>
    <n v="4622.4833942902387"/>
    <n v="0"/>
    <n v="4161.7027140579748"/>
    <n v="1014.681385942025"/>
    <n v="5176.3841000000002"/>
  </r>
  <r>
    <x v="0"/>
    <x v="0"/>
    <x v="0"/>
    <n v="0"/>
    <n v="23"/>
    <n v="5"/>
    <n v="20260309"/>
    <n v="20260405"/>
    <n v="2368.8636000000001"/>
    <n v="28"/>
    <n v="84.602271428571427"/>
    <n v="0"/>
    <n v="1945.8522428571428"/>
    <n v="262.52823182162933"/>
    <n v="2208.3804746787719"/>
    <n v="0"/>
    <n v="2087.2574277551207"/>
    <n v="281.6061722448797"/>
    <n v="2368.8636000000006"/>
  </r>
  <r>
    <x v="0"/>
    <x v="0"/>
    <x v="1"/>
    <n v="0"/>
    <n v="24"/>
    <n v="2"/>
    <n v="20260308"/>
    <n v="20260402"/>
    <n v="71.306799999999996"/>
    <n v="26"/>
    <n v="2.7425692307692304"/>
    <n v="0"/>
    <n v="65.821661538461527"/>
    <n v="3.4041726712273448"/>
    <n v="69.22583420968887"/>
    <n v="0"/>
    <n v="67.800296068282847"/>
    <n v="3.5065039317171558"/>
    <n v="71.30680000000001"/>
  </r>
  <r>
    <x v="0"/>
    <x v="1"/>
    <x v="0"/>
    <n v="0"/>
    <n v="10"/>
    <n v="0"/>
    <n v="20260304"/>
    <n v="20260313"/>
    <n v="12050.120699999999"/>
    <n v="10"/>
    <n v="1205.01207"/>
    <n v="0"/>
    <n v="12050.120699999999"/>
    <n v="0"/>
    <n v="12050.120699999999"/>
    <n v="0"/>
    <n v="12050.120699999999"/>
    <n v="0"/>
    <n v="12050.120699999999"/>
  </r>
  <r>
    <x v="0"/>
    <x v="1"/>
    <x v="1"/>
    <n v="0"/>
    <n v="30"/>
    <n v="0"/>
    <n v="20260302"/>
    <n v="20260331"/>
    <n v="42.207999999999998"/>
    <n v="30"/>
    <n v="1.4069333333333334"/>
    <n v="0"/>
    <n v="42.207999999999998"/>
    <n v="0"/>
    <n v="42.207999999999998"/>
    <n v="0"/>
    <n v="42.207999999999998"/>
    <n v="0"/>
    <n v="42.207999999999998"/>
  </r>
  <r>
    <x v="0"/>
    <x v="1"/>
    <x v="0"/>
    <n v="4"/>
    <n v="3"/>
    <n v="0"/>
    <n v="20260225"/>
    <n v="20260303"/>
    <n v="2755.2745"/>
    <n v="7"/>
    <n v="393.61064285714286"/>
    <n v="2135.5090288757074"/>
    <n v="1180.8319285714285"/>
    <n v="0"/>
    <n v="3316.3409574471361"/>
    <n v="1774.218527973776"/>
    <n v="981.05597202622391"/>
    <n v="0"/>
    <n v="2755.2745"/>
  </r>
  <r>
    <x v="0"/>
    <x v="1"/>
    <x v="0"/>
    <n v="28"/>
    <n v="5"/>
    <n v="0"/>
    <n v="20260128"/>
    <n v="20260305"/>
    <n v="24896.305700000001"/>
    <n v="33"/>
    <n v="754.43350606060608"/>
    <n v="28651.910591870328"/>
    <n v="3772.1675303030306"/>
    <n v="0"/>
    <n v="32424.07812217336"/>
    <n v="21999.907670357472"/>
    <n v="2896.3980296425266"/>
    <n v="0"/>
    <n v="24896.305699999997"/>
  </r>
  <r>
    <x v="0"/>
    <x v="1"/>
    <x v="0"/>
    <n v="28"/>
    <n v="7"/>
    <n v="0"/>
    <n v="20260130"/>
    <n v="20260307"/>
    <n v="1899.9380000000001"/>
    <n v="35"/>
    <n v="54.283942857142861"/>
    <n v="2061.5980929035113"/>
    <n v="379.98760000000004"/>
    <n v="0"/>
    <n v="2441.5856929035112"/>
    <n v="1604.2478332091471"/>
    <n v="295.6901667908532"/>
    <n v="0"/>
    <n v="1899.9380000000003"/>
  </r>
  <r>
    <x v="0"/>
    <x v="0"/>
    <x v="0"/>
    <n v="0"/>
    <n v="22"/>
    <n v="6"/>
    <n v="20260310"/>
    <n v="20260406"/>
    <n v="4402.1769000000004"/>
    <n v="28"/>
    <n v="157.2206035714286"/>
    <n v="0"/>
    <n v="3458.8532785714292"/>
    <n v="585.44310498402115"/>
    <n v="4044.2963835554501"/>
    <n v="0"/>
    <n v="3764.9278290604407"/>
    <n v="637.24907093956006"/>
    <n v="4402.1769000000004"/>
  </r>
  <r>
    <x v="0"/>
    <x v="0"/>
    <x v="0"/>
    <n v="1"/>
    <n v="31"/>
    <n v="2"/>
    <n v="20260228"/>
    <n v="20260402"/>
    <n v="871.75670000000002"/>
    <n v="34"/>
    <n v="25.639902941176473"/>
    <n v="34.776907855519852"/>
    <n v="794.83699117647063"/>
    <n v="31.825142609360384"/>
    <n v="861.43904164135085"/>
    <n v="35.193439074420496"/>
    <n v="804.35694108511404"/>
    <n v="32.206319840465468"/>
    <n v="871.75670000000002"/>
  </r>
  <r>
    <x v="0"/>
    <x v="1"/>
    <x v="0"/>
    <n v="6"/>
    <n v="3"/>
    <n v="0"/>
    <n v="20260223"/>
    <n v="20260303"/>
    <n v="83933.137700000007"/>
    <n v="9"/>
    <n v="9325.9041888888896"/>
    <n v="75895.633003869865"/>
    <n v="27977.712566666669"/>
    <n v="0"/>
    <n v="103873.34557053653"/>
    <n v="61326.210114381429"/>
    <n v="22606.927585618581"/>
    <n v="0"/>
    <n v="83933.137700000007"/>
  </r>
  <r>
    <x v="0"/>
    <x v="1"/>
    <x v="1"/>
    <n v="28"/>
    <n v="5"/>
    <n v="0"/>
    <n v="20260126"/>
    <n v="20260305"/>
    <n v="10673.123299999999"/>
    <n v="33"/>
    <n v="323.42797878787877"/>
    <n v="12283.162739587022"/>
    <n v="1617.1398939393939"/>
    <n v="0"/>
    <n v="13900.302633526415"/>
    <n v="9431.428501231052"/>
    <n v="1241.6947987689489"/>
    <n v="0"/>
    <n v="10673.123300000001"/>
  </r>
  <r>
    <x v="0"/>
    <x v="1"/>
    <x v="0"/>
    <n v="28"/>
    <n v="4"/>
    <n v="0"/>
    <n v="20260127"/>
    <n v="20260304"/>
    <n v="5483.8281999999999"/>
    <n v="32"/>
    <n v="171.36963125"/>
    <n v="6508.2837828551392"/>
    <n v="685.47852499999999"/>
    <n v="0"/>
    <n v="7193.7623078551387"/>
    <n v="4961.2857104066534"/>
    <n v="522.54248959334689"/>
    <n v="0"/>
    <n v="5483.8281999999999"/>
  </r>
  <r>
    <x v="0"/>
    <x v="1"/>
    <x v="0"/>
    <n v="0"/>
    <n v="19"/>
    <n v="1"/>
    <n v="20260313"/>
    <n v="20260401"/>
    <n v="28531.353599999999"/>
    <n v="20"/>
    <n v="1426.5676799999999"/>
    <n v="0"/>
    <n v="27104.785919999998"/>
    <n v="885.35280266199788"/>
    <n v="27990.138722661995"/>
    <n v="0"/>
    <n v="27628.881692883344"/>
    <n v="902.47190711665417"/>
    <n v="28531.353599999999"/>
  </r>
  <r>
    <x v="0"/>
    <x v="0"/>
    <x v="0"/>
    <n v="0"/>
    <n v="15"/>
    <n v="1"/>
    <n v="20260317"/>
    <n v="20260401"/>
    <n v="848.32219999999995"/>
    <n v="16"/>
    <n v="53.020137499999997"/>
    <n v="0"/>
    <n v="795.30206249999992"/>
    <n v="32.90522278841302"/>
    <n v="828.20728528841289"/>
    <n v="0"/>
    <n v="814.61779835659274"/>
    <n v="33.70440164340728"/>
    <n v="848.32220000000007"/>
  </r>
  <r>
    <x v="0"/>
    <x v="1"/>
    <x v="0"/>
    <n v="0"/>
    <n v="14"/>
    <n v="7"/>
    <n v="20260318"/>
    <n v="20260407"/>
    <n v="5195.9027999999998"/>
    <n v="21"/>
    <n v="247.42394285714286"/>
    <n v="0"/>
    <n v="3463.9351999999999"/>
    <n v="1074.8893237086193"/>
    <n v="4538.8245237086194"/>
    <n v="0"/>
    <n v="3965.4034895344198"/>
    <n v="1230.49931046558"/>
    <n v="5195.9027999999998"/>
  </r>
  <r>
    <x v="0"/>
    <x v="0"/>
    <x v="0"/>
    <n v="0"/>
    <n v="13"/>
    <n v="7"/>
    <n v="20260319"/>
    <n v="20260407"/>
    <n v="221.2133"/>
    <n v="20"/>
    <n v="11.060665"/>
    <n v="0"/>
    <n v="143.788645"/>
    <n v="48.051092324892899"/>
    <n v="191.83973732489289"/>
    <n v="0"/>
    <n v="165.80485934001086"/>
    <n v="55.408440659989132"/>
    <n v="221.2133"/>
  </r>
  <r>
    <x v="0"/>
    <x v="1"/>
    <x v="1"/>
    <n v="0"/>
    <n v="11"/>
    <n v="0"/>
    <n v="20260306"/>
    <n v="20260316"/>
    <n v="2530.5232999999998"/>
    <n v="11"/>
    <n v="230.04757272727272"/>
    <n v="0"/>
    <n v="2530.5232999999998"/>
    <n v="0"/>
    <n v="2530.5232999999998"/>
    <n v="0"/>
    <n v="2530.5232999999998"/>
    <n v="0"/>
    <n v="2530.5232999999998"/>
  </r>
  <r>
    <x v="0"/>
    <x v="1"/>
    <x v="0"/>
    <n v="0"/>
    <n v="9"/>
    <n v="3"/>
    <n v="20260323"/>
    <n v="20260403"/>
    <n v="7508.2682999999997"/>
    <n v="12"/>
    <n v="625.68902500000002"/>
    <n v="0"/>
    <n v="5631.2012249999998"/>
    <n v="1164.940590575982"/>
    <n v="6796.141815575982"/>
    <n v="0"/>
    <n v="6221.260649930291"/>
    <n v="1287.007650069708"/>
    <n v="7508.2682999999988"/>
  </r>
  <r>
    <x v="0"/>
    <x v="0"/>
    <x v="0"/>
    <n v="0"/>
    <n v="12"/>
    <n v="2"/>
    <n v="20260320"/>
    <n v="20260402"/>
    <n v="850.09019999999998"/>
    <n v="14"/>
    <n v="60.720728571428573"/>
    <n v="0"/>
    <n v="728.64874285714291"/>
    <n v="75.368688039242187"/>
    <n v="804.01743089638512"/>
    <n v="0"/>
    <n v="770.40264519464426"/>
    <n v="79.687554805355717"/>
    <n v="850.09019999999998"/>
  </r>
  <r>
    <x v="0"/>
    <x v="1"/>
    <x v="0"/>
    <n v="0"/>
    <n v="13"/>
    <n v="1"/>
    <n v="20260319"/>
    <n v="20260401"/>
    <n v="29143.312399999999"/>
    <n v="14"/>
    <n v="2081.6651714285713"/>
    <n v="0"/>
    <n v="27061.647228571426"/>
    <n v="1291.9177404384725"/>
    <n v="28353.564969009898"/>
    <n v="0"/>
    <n v="27815.410164572026"/>
    <n v="1327.9022354279732"/>
    <n v="29143.312399999999"/>
  </r>
  <r>
    <x v="0"/>
    <x v="0"/>
    <x v="0"/>
    <n v="0"/>
    <n v="15"/>
    <n v="2"/>
    <n v="20260317"/>
    <n v="20260402"/>
    <n v="9059.4925000000003"/>
    <n v="17"/>
    <n v="532.91132352941179"/>
    <n v="0"/>
    <n v="7993.6698529411769"/>
    <n v="661.46813848618729"/>
    <n v="8655.1379914273639"/>
    <n v="0"/>
    <n v="8367.1216047537291"/>
    <n v="692.37089524627083"/>
    <n v="9059.4925000000003"/>
  </r>
  <r>
    <x v="0"/>
    <x v="0"/>
    <x v="0"/>
    <n v="0"/>
    <n v="11"/>
    <n v="4"/>
    <n v="20260321"/>
    <n v="20260404"/>
    <n v="776.37260000000003"/>
    <n v="15"/>
    <n v="51.758173333333339"/>
    <n v="0"/>
    <n v="569.33990666666671"/>
    <n v="128.48810319698862"/>
    <n v="697.82800986365532"/>
    <n v="0"/>
    <n v="633.4224155159967"/>
    <n v="142.95018448400324"/>
    <n v="776.37259999999992"/>
  </r>
  <r>
    <x v="0"/>
    <x v="1"/>
    <x v="0"/>
    <n v="0"/>
    <n v="21"/>
    <n v="1"/>
    <n v="20260311"/>
    <n v="20260401"/>
    <n v="86662.722599999994"/>
    <n v="22"/>
    <n v="3939.2146636363632"/>
    <n v="0"/>
    <n v="82723.507936363632"/>
    <n v="2444.7453784580998"/>
    <n v="85168.253314821734"/>
    <n v="0"/>
    <n v="84175.078644478417"/>
    <n v="2487.6439555215711"/>
    <n v="86662.722599999994"/>
  </r>
  <r>
    <x v="0"/>
    <x v="0"/>
    <x v="0"/>
    <n v="0"/>
    <n v="20"/>
    <n v="7"/>
    <n v="20260312"/>
    <n v="20260407"/>
    <n v="3503.4324999999999"/>
    <n v="27"/>
    <n v="129.75675925925927"/>
    <n v="0"/>
    <n v="2595.1351851851855"/>
    <n v="563.70516772233577"/>
    <n v="3158.8403529075213"/>
    <n v="0"/>
    <n v="2878.2337611024791"/>
    <n v="625.1987388975208"/>
    <n v="3503.4324999999999"/>
  </r>
  <r>
    <x v="0"/>
    <x v="1"/>
    <x v="0"/>
    <n v="0"/>
    <n v="6"/>
    <n v="0"/>
    <n v="20260310"/>
    <n v="20260315"/>
    <n v="799.13559999999995"/>
    <n v="6"/>
    <n v="133.18926666666667"/>
    <n v="0"/>
    <n v="799.13560000000007"/>
    <n v="0"/>
    <n v="799.13560000000007"/>
    <n v="0"/>
    <n v="799.13559999999995"/>
    <n v="0"/>
    <n v="799.13559999999995"/>
  </r>
  <r>
    <x v="0"/>
    <x v="1"/>
    <x v="0"/>
    <n v="0"/>
    <n v="16"/>
    <n v="8"/>
    <n v="20260316"/>
    <n v="20260408"/>
    <n v="982.61670000000004"/>
    <n v="24"/>
    <n v="40.942362500000002"/>
    <n v="0"/>
    <n v="655.07780000000002"/>
    <n v="203.27635846609667"/>
    <n v="858.35415846609669"/>
    <n v="0"/>
    <n v="749.91235229704375"/>
    <n v="232.70434770295626"/>
    <n v="982.61670000000004"/>
  </r>
  <r>
    <x v="0"/>
    <x v="1"/>
    <x v="0"/>
    <n v="0"/>
    <n v="12"/>
    <n v="3"/>
    <n v="20260320"/>
    <n v="20260403"/>
    <n v="945.03859999999997"/>
    <n v="15"/>
    <n v="63.002573333333331"/>
    <n v="0"/>
    <n v="756.03088000000002"/>
    <n v="117.30149012401161"/>
    <n v="873.33237012401162"/>
    <n v="0"/>
    <n v="818.10589969373666"/>
    <n v="126.93270030626327"/>
    <n v="945.03859999999997"/>
  </r>
  <r>
    <x v="0"/>
    <x v="0"/>
    <x v="0"/>
    <n v="0"/>
    <n v="16"/>
    <n v="1"/>
    <n v="20260316"/>
    <n v="20260401"/>
    <n v="1802.0967000000001"/>
    <n v="17"/>
    <n v="106.00568823529412"/>
    <n v="0"/>
    <n v="1696.0910117647059"/>
    <n v="65.788980426944505"/>
    <n v="1761.8799921916504"/>
    <n v="0"/>
    <n v="1734.8060189949426"/>
    <n v="67.290681005057351"/>
    <n v="1802.0967000000001"/>
  </r>
  <r>
    <x v="0"/>
    <x v="0"/>
    <x v="0"/>
    <n v="0"/>
    <n v="13"/>
    <n v="3"/>
    <n v="20260319"/>
    <n v="20260403"/>
    <n v="102.7784"/>
    <n v="16"/>
    <n v="6.4236500000000003"/>
    <n v="0"/>
    <n v="83.507450000000006"/>
    <n v="11.959887940584233"/>
    <n v="95.467337940584244"/>
    <n v="0"/>
    <n v="89.902602127877827"/>
    <n v="12.875797872122169"/>
    <n v="102.77839999999999"/>
  </r>
  <r>
    <x v="0"/>
    <x v="1"/>
    <x v="0"/>
    <n v="0"/>
    <n v="11"/>
    <n v="2"/>
    <n v="20260321"/>
    <n v="20260402"/>
    <n v="2786.7714000000001"/>
    <n v="13"/>
    <n v="214.36703076923078"/>
    <n v="0"/>
    <n v="2358.0373384615386"/>
    <n v="266.07984205820395"/>
    <n v="2624.1171805197428"/>
    <n v="0"/>
    <n v="2504.1987696811607"/>
    <n v="282.57263031883923"/>
    <n v="2786.7714000000001"/>
  </r>
  <r>
    <x v="0"/>
    <x v="1"/>
    <x v="0"/>
    <n v="25"/>
    <n v="5"/>
    <n v="0"/>
    <n v="20260204"/>
    <n v="20260305"/>
    <n v="2966813.7571"/>
    <n v="30"/>
    <n v="98893.791903333331"/>
    <n v="3353386.6103115715"/>
    <n v="494468.95951666665"/>
    <n v="0"/>
    <n v="3847855.5698282383"/>
    <n v="2585563.1397286067"/>
    <n v="381250.61737139313"/>
    <n v="0"/>
    <n v="2966813.7571"/>
  </r>
  <r>
    <x v="0"/>
    <x v="1"/>
    <x v="1"/>
    <n v="24"/>
    <n v="4"/>
    <n v="0"/>
    <n v="20260205"/>
    <n v="20260304"/>
    <n v="1112281.4410000001"/>
    <n v="28"/>
    <n v="39724.337178571433"/>
    <n v="1293130.8985219346"/>
    <n v="158897.34871428573"/>
    <n v="0"/>
    <n v="1452028.2472362204"/>
    <n v="990563.02929870691"/>
    <n v="121718.41170129308"/>
    <n v="0"/>
    <n v="1112281.4410000001"/>
  </r>
  <r>
    <x v="0"/>
    <x v="0"/>
    <x v="0"/>
    <n v="0"/>
    <n v="26"/>
    <n v="6"/>
    <n v="20260306"/>
    <n v="20260406"/>
    <n v="260804.05809999999"/>
    <n v="32"/>
    <n v="8150.1268156249998"/>
    <n v="0"/>
    <n v="211903.29720624999"/>
    <n v="30348.665763678164"/>
    <n v="242251.96296992816"/>
    <n v="0"/>
    <n v="228131.23641446288"/>
    <n v="32672.821685537099"/>
    <n v="260804.05809999997"/>
  </r>
  <r>
    <x v="0"/>
    <x v="0"/>
    <x v="1"/>
    <n v="0"/>
    <n v="15"/>
    <n v="16"/>
    <n v="20260317"/>
    <n v="20260416"/>
    <n v="3681155.0447999998"/>
    <n v="31"/>
    <n v="118746.93692903225"/>
    <n v="0"/>
    <n v="1781204.0539354838"/>
    <n v="1179142.7481956827"/>
    <n v="2960346.8021311667"/>
    <n v="0"/>
    <n v="2214905.4577803127"/>
    <n v="1466249.5870196866"/>
    <n v="3681155.0447999993"/>
  </r>
  <r>
    <x v="0"/>
    <x v="0"/>
    <x v="1"/>
    <n v="0"/>
    <n v="30"/>
    <n v="1"/>
    <n v="20260302"/>
    <n v="20260401"/>
    <n v="160966.00080000001"/>
    <n v="31"/>
    <n v="5192.4516387096774"/>
    <n v="0"/>
    <n v="155773.54916129031"/>
    <n v="3222.5261201897529"/>
    <n v="158996.07528148007"/>
    <n v="0"/>
    <n v="157703.54830787296"/>
    <n v="3262.4524921270495"/>
    <n v="160966.00080000001"/>
  </r>
  <r>
    <x v="0"/>
    <x v="0"/>
    <x v="0"/>
    <n v="0"/>
    <n v="29"/>
    <n v="2"/>
    <n v="20260303"/>
    <n v="20260402"/>
    <n v="275707.554"/>
    <n v="31"/>
    <n v="8893.7920645161284"/>
    <n v="0"/>
    <n v="257919.96987096773"/>
    <n v="11039.285189206574"/>
    <n v="268959.25506017433"/>
    <n v="0"/>
    <n v="264391.2885800068"/>
    <n v="11316.265419993162"/>
    <n v="275707.55399999995"/>
  </r>
  <r>
    <x v="0"/>
    <x v="0"/>
    <x v="0"/>
    <n v="0"/>
    <n v="25"/>
    <n v="6"/>
    <n v="20260307"/>
    <n v="20260406"/>
    <n v="236133.9791"/>
    <n v="31"/>
    <n v="7617.2251322580641"/>
    <n v="0"/>
    <n v="190430.6283064516"/>
    <n v="28364.297245338203"/>
    <n v="218794.92555178981"/>
    <n v="0"/>
    <n v="205521.86889668778"/>
    <n v="30612.110203312201"/>
    <n v="236133.9791"/>
  </r>
  <r>
    <x v="0"/>
    <x v="1"/>
    <x v="0"/>
    <n v="23"/>
    <n v="6"/>
    <n v="0"/>
    <n v="20260206"/>
    <n v="20260306"/>
    <n v="1675304.7938999999"/>
    <n v="29"/>
    <n v="57769.13082413793"/>
    <n v="1802180.3793873359"/>
    <n v="346614.78494482755"/>
    <n v="0"/>
    <n v="2148795.1643321635"/>
    <n v="1405067.1181580396"/>
    <n v="270237.67574196012"/>
    <n v="0"/>
    <n v="1675304.7938999997"/>
  </r>
  <r>
    <x v="0"/>
    <x v="0"/>
    <x v="0"/>
    <n v="0"/>
    <n v="29"/>
    <n v="3"/>
    <n v="20260303"/>
    <n v="20260403"/>
    <n v="157193.08790000001"/>
    <n v="32"/>
    <n v="4912.2839968750004"/>
    <n v="0"/>
    <n v="142456.23590937501"/>
    <n v="9145.9475741907227"/>
    <n v="151602.18348356575"/>
    <n v="0"/>
    <n v="147709.84888639831"/>
    <n v="9483.2390136017002"/>
    <n v="157193.08790000001"/>
  </r>
  <r>
    <x v="0"/>
    <x v="1"/>
    <x v="1"/>
    <n v="0"/>
    <n v="28"/>
    <n v="3"/>
    <n v="20260304"/>
    <n v="20260403"/>
    <n v="1315422.6143"/>
    <n v="31"/>
    <n v="42432.987558064517"/>
    <n v="0"/>
    <n v="1188123.6516258065"/>
    <n v="79003.958213578982"/>
    <n v="1267127.6098393854"/>
    <n v="0"/>
    <n v="1233407.5177569401"/>
    <n v="82015.096543059975"/>
    <n v="1315422.6143"/>
  </r>
  <r>
    <x v="0"/>
    <x v="1"/>
    <x v="0"/>
    <n v="0"/>
    <n v="29"/>
    <n v="1"/>
    <n v="20260303"/>
    <n v="20260401"/>
    <n v="5887049.9649"/>
    <n v="30"/>
    <n v="196234.99883"/>
    <n v="0"/>
    <n v="5690814.9660700001"/>
    <n v="121786.86551661845"/>
    <n v="5812601.8315866189"/>
    <n v="0"/>
    <n v="5763703.2463154262"/>
    <n v="123346.71858457325"/>
    <n v="5887049.9648999991"/>
  </r>
  <r>
    <x v="0"/>
    <x v="1"/>
    <x v="0"/>
    <n v="27"/>
    <n v="2"/>
    <n v="0"/>
    <n v="20260202"/>
    <n v="20260302"/>
    <n v="3705383.7483999999"/>
    <n v="29"/>
    <n v="127771.85339310345"/>
    <n v="4679220.8815584807"/>
    <n v="255543.70678620689"/>
    <n v="0"/>
    <n v="4934764.5883446876"/>
    <n v="3513502.7617430193"/>
    <n v="191880.9866569803"/>
    <n v="0"/>
    <n v="3705383.7483999995"/>
  </r>
  <r>
    <x v="0"/>
    <x v="1"/>
    <x v="0"/>
    <n v="0"/>
    <n v="26"/>
    <n v="1"/>
    <n v="20260306"/>
    <n v="20260401"/>
    <n v="1076072.6122000001"/>
    <n v="27"/>
    <n v="39854.541192592595"/>
    <n v="0"/>
    <n v="1036218.0710074075"/>
    <n v="24734.423917181342"/>
    <n v="1060952.4949245888"/>
    <n v="0"/>
    <n v="1050985.6867408962"/>
    <n v="25086.925459103917"/>
    <n v="1076072.6122000001"/>
  </r>
  <r>
    <x v="0"/>
    <x v="0"/>
    <x v="1"/>
    <n v="0"/>
    <n v="14"/>
    <n v="15"/>
    <n v="20260318"/>
    <n v="20260415"/>
    <n v="596265.86730000004"/>
    <n v="29"/>
    <n v="20560.891975862069"/>
    <n v="0"/>
    <n v="287852.48766206898"/>
    <n v="191406.72669725769"/>
    <n v="479259.21435932664"/>
    <n v="0"/>
    <n v="358128.97919913719"/>
    <n v="238136.88810086291"/>
    <n v="596265.86730000004"/>
  </r>
  <r>
    <x v="0"/>
    <x v="1"/>
    <x v="1"/>
    <n v="0"/>
    <n v="28"/>
    <n v="1"/>
    <n v="20260304"/>
    <n v="20260401"/>
    <n v="3011664.6861"/>
    <n v="29"/>
    <n v="103850.50641724138"/>
    <n v="0"/>
    <n v="2907814.1796827586"/>
    <n v="64451.436972392687"/>
    <n v="2972265.6166551514"/>
    <n v="0"/>
    <n v="2946358.908712381"/>
    <n v="65305.777387618844"/>
    <n v="3011664.6861"/>
  </r>
  <r>
    <x v="0"/>
    <x v="0"/>
    <x v="0"/>
    <n v="0"/>
    <n v="24"/>
    <n v="3"/>
    <n v="20260308"/>
    <n v="20260403"/>
    <n v="33002.553"/>
    <n v="27"/>
    <n v="1222.3167777777778"/>
    <n v="0"/>
    <n v="29335.602666666666"/>
    <n v="2275.7733827525199"/>
    <n v="31611.376049419185"/>
    <n v="0"/>
    <n v="30626.625689437406"/>
    <n v="2375.9273105625939"/>
    <n v="33002.553"/>
  </r>
  <r>
    <x v="0"/>
    <x v="1"/>
    <x v="0"/>
    <n v="23"/>
    <n v="7"/>
    <n v="0"/>
    <n v="20260206"/>
    <n v="20260307"/>
    <n v="192499.46170000001"/>
    <n v="30"/>
    <n v="6416.6487233333337"/>
    <n v="200175.3923875952"/>
    <n v="44916.541063333338"/>
    <n v="0"/>
    <n v="245091.93345092854"/>
    <n v="157221.2301630622"/>
    <n v="35278.231536937827"/>
    <n v="0"/>
    <n v="192499.46170000001"/>
  </r>
  <r>
    <x v="0"/>
    <x v="1"/>
    <x v="1"/>
    <n v="0"/>
    <n v="25"/>
    <n v="1"/>
    <n v="20260307"/>
    <n v="20260401"/>
    <n v="240319.3806"/>
    <n v="26"/>
    <n v="9243.053100000001"/>
    <n v="0"/>
    <n v="231076.32750000001"/>
    <n v="5736.4000895062118"/>
    <n v="236812.72758950622"/>
    <n v="0"/>
    <n v="234498.03759020392"/>
    <n v="5821.3430097960891"/>
    <n v="240319.3806"/>
  </r>
  <r>
    <x v="0"/>
    <x v="1"/>
    <x v="1"/>
    <n v="26"/>
    <n v="6"/>
    <n v="0"/>
    <n v="20260203"/>
    <n v="20260306"/>
    <n v="182834.2108"/>
    <n v="32"/>
    <n v="5713.5690875"/>
    <n v="201490.89173964085"/>
    <n v="34281.414525"/>
    <n v="0"/>
    <n v="235772.30626464085"/>
    <n v="156250.02256734655"/>
    <n v="26584.188232653458"/>
    <n v="0"/>
    <n v="182834.2108"/>
  </r>
  <r>
    <x v="0"/>
    <x v="0"/>
    <x v="0"/>
    <n v="0"/>
    <n v="26"/>
    <n v="5"/>
    <n v="20260306"/>
    <n v="20260405"/>
    <n v="140018.56640000001"/>
    <n v="31"/>
    <n v="4516.7279483870971"/>
    <n v="0"/>
    <n v="117434.92665806452"/>
    <n v="14015.801016767364"/>
    <n v="131450.72767483187"/>
    <n v="0"/>
    <n v="125089.22823635004"/>
    <n v="14929.338163649985"/>
    <n v="140018.56640000004"/>
  </r>
  <r>
    <x v="0"/>
    <x v="1"/>
    <x v="0"/>
    <n v="21"/>
    <n v="5"/>
    <n v="0"/>
    <n v="20260208"/>
    <n v="20260305"/>
    <n v="255857.00440000001"/>
    <n v="26"/>
    <n v="9840.6540153846163"/>
    <n v="280296.61005506775"/>
    <n v="49203.27007692308"/>
    <n v="0"/>
    <n v="329499.88013199082"/>
    <n v="217650.61329745149"/>
    <n v="38206.391102548514"/>
    <n v="0"/>
    <n v="255857.00440000001"/>
  </r>
  <r>
    <x v="0"/>
    <x v="1"/>
    <x v="1"/>
    <n v="0"/>
    <n v="26"/>
    <n v="7"/>
    <n v="20260306"/>
    <n v="20260407"/>
    <n v="349907.06819999998"/>
    <n v="33"/>
    <n v="10603.24449090909"/>
    <n v="0"/>
    <n v="275684.35676363634"/>
    <n v="46063.910260014629"/>
    <n v="321748.26702365099"/>
    <n v="0"/>
    <n v="299811.73143871507"/>
    <n v="50095.336761284911"/>
    <n v="349907.06819999998"/>
  </r>
  <r>
    <x v="0"/>
    <x v="1"/>
    <x v="1"/>
    <n v="8"/>
    <n v="16"/>
    <n v="0"/>
    <n v="20260221"/>
    <n v="20260316"/>
    <n v="1115830.3012999999"/>
    <n v="24"/>
    <n v="46492.929220833328"/>
    <n v="504488.74760738463"/>
    <n v="743886.86753333325"/>
    <n v="0"/>
    <n v="1248375.6151407179"/>
    <n v="450925.04564962554"/>
    <n v="664905.25565037434"/>
    <n v="0"/>
    <n v="1115830.3012999999"/>
  </r>
  <r>
    <x v="0"/>
    <x v="1"/>
    <x v="0"/>
    <n v="0"/>
    <n v="11"/>
    <n v="0"/>
    <n v="20260306"/>
    <n v="20260316"/>
    <n v="632.63080000000002"/>
    <n v="11"/>
    <n v="57.511890909090909"/>
    <n v="0"/>
    <n v="632.63080000000002"/>
    <n v="0"/>
    <n v="632.63080000000002"/>
    <n v="0"/>
    <n v="632.63080000000002"/>
    <n v="0"/>
    <n v="632.63080000000002"/>
  </r>
  <r>
    <x v="0"/>
    <x v="1"/>
    <x v="0"/>
    <n v="22"/>
    <n v="3"/>
    <n v="0"/>
    <n v="20260207"/>
    <n v="20260303"/>
    <n v="438578.71029999998"/>
    <n v="25"/>
    <n v="17543.148411999999"/>
    <n v="523485.6800678852"/>
    <n v="52629.445236"/>
    <n v="0"/>
    <n v="576115.1253038852"/>
    <n v="398513.53373787767"/>
    <n v="40065.176562122273"/>
    <n v="0"/>
    <n v="438578.71029999992"/>
  </r>
  <r>
    <x v="0"/>
    <x v="1"/>
    <x v="1"/>
    <n v="27"/>
    <n v="4"/>
    <n v="0"/>
    <n v="20260202"/>
    <n v="20260304"/>
    <n v="412436.12760000001"/>
    <n v="31"/>
    <n v="13304.391212903227"/>
    <n v="487229.25688733999"/>
    <n v="53217.564851612908"/>
    <n v="0"/>
    <n v="540446.82173895289"/>
    <n v="371823.72044941667"/>
    <n v="40612.407150583356"/>
    <n v="0"/>
    <n v="412436.12760000001"/>
  </r>
  <r>
    <x v="0"/>
    <x v="0"/>
    <x v="0"/>
    <n v="0"/>
    <n v="15"/>
    <n v="16"/>
    <n v="20260317"/>
    <n v="20260416"/>
    <n v="863051.03899999999"/>
    <n v="31"/>
    <n v="27840.356096774194"/>
    <n v="0"/>
    <n v="417605.34145161288"/>
    <n v="276451.37506423332"/>
    <n v="694056.7165158462"/>
    <n v="0"/>
    <n v="519287.13497801812"/>
    <n v="343763.90402198193"/>
    <n v="863051.03900000011"/>
  </r>
  <r>
    <x v="0"/>
    <x v="1"/>
    <x v="0"/>
    <n v="0"/>
    <n v="15"/>
    <n v="16"/>
    <n v="20260317"/>
    <n v="20260416"/>
    <n v="808922.4142"/>
    <n v="31"/>
    <n v="26094.271425806452"/>
    <n v="0"/>
    <n v="391414.07138709677"/>
    <n v="259112.96507444364"/>
    <n v="650527.03646154038"/>
    <n v="0"/>
    <n v="486718.61095971602"/>
    <n v="322203.80324028403"/>
    <n v="808922.4142"/>
  </r>
  <r>
    <x v="0"/>
    <x v="1"/>
    <x v="1"/>
    <n v="0"/>
    <n v="26"/>
    <n v="4"/>
    <n v="20260306"/>
    <n v="20260404"/>
    <n v="216397.8236"/>
    <n v="30"/>
    <n v="7213.2607866666667"/>
    <n v="0"/>
    <n v="187544.78045333334"/>
    <n v="17906.702200928095"/>
    <n v="205451.48265426143"/>
    <n v="0"/>
    <n v="197537.06224616221"/>
    <n v="18860.761353837795"/>
    <n v="216397.8236"/>
  </r>
  <r>
    <x v="0"/>
    <x v="1"/>
    <x v="0"/>
    <n v="0"/>
    <n v="30"/>
    <n v="5"/>
    <n v="20260302"/>
    <n v="20260405"/>
    <n v="216874.81719999999"/>
    <n v="35"/>
    <n v="6196.4233485714285"/>
    <n v="0"/>
    <n v="185892.70045714284"/>
    <n v="19228.042437278393"/>
    <n v="205120.74289442124"/>
    <n v="0"/>
    <n v="196544.94646213416"/>
    <n v="20329.870737865822"/>
    <n v="216874.81719999999"/>
  </r>
  <r>
    <x v="0"/>
    <x v="1"/>
    <x v="1"/>
    <n v="23"/>
    <n v="2"/>
    <n v="0"/>
    <n v="20260206"/>
    <n v="20260302"/>
    <n v="21778.3073"/>
    <n v="25"/>
    <n v="871.13229200000001"/>
    <n v="27176.062753520699"/>
    <n v="1742.264584"/>
    <n v="0"/>
    <n v="28918.327337520699"/>
    <n v="20466.21296392725"/>
    <n v="1312.0943360727497"/>
    <n v="0"/>
    <n v="21778.3073"/>
  </r>
  <r>
    <x v="0"/>
    <x v="1"/>
    <x v="1"/>
    <n v="0"/>
    <n v="27"/>
    <n v="5"/>
    <n v="20260305"/>
    <n v="20260405"/>
    <n v="184045.50380000001"/>
    <n v="32"/>
    <n v="5751.4219937500002"/>
    <n v="0"/>
    <n v="155288.39383125"/>
    <n v="17847.164396218548"/>
    <n v="173135.55822746854"/>
    <n v="0"/>
    <n v="165073.7200928774"/>
    <n v="18971.783707122609"/>
    <n v="184045.50380000001"/>
  </r>
  <r>
    <x v="0"/>
    <x v="1"/>
    <x v="1"/>
    <n v="0"/>
    <n v="27"/>
    <n v="6"/>
    <n v="20260305"/>
    <n v="20260406"/>
    <n v="488749.40059999999"/>
    <n v="33"/>
    <n v="14810.587896969697"/>
    <n v="0"/>
    <n v="399885.87321818183"/>
    <n v="55150.256188282583"/>
    <n v="455036.1294064644"/>
    <n v="0"/>
    <n v="429513.10503349546"/>
    <n v="59236.295566504588"/>
    <n v="488749.40060000005"/>
  </r>
  <r>
    <x v="0"/>
    <x v="1"/>
    <x v="0"/>
    <n v="12"/>
    <n v="16"/>
    <n v="0"/>
    <n v="20260217"/>
    <n v="20260316"/>
    <n v="193718.5012"/>
    <n v="28"/>
    <n v="6918.5178999999998"/>
    <n v="112607.91121888297"/>
    <n v="110696.2864"/>
    <n v="0"/>
    <n v="223304.19761888299"/>
    <n v="97688.426895652883"/>
    <n v="96030.074304347101"/>
    <n v="0"/>
    <n v="193718.5012"/>
  </r>
  <r>
    <x v="0"/>
    <x v="1"/>
    <x v="0"/>
    <n v="8"/>
    <n v="17"/>
    <n v="0"/>
    <n v="20260221"/>
    <n v="20260317"/>
    <n v="502609.61540000001"/>
    <n v="25"/>
    <n v="20104.384615999999"/>
    <n v="218150.07112518561"/>
    <n v="341774.53847199999"/>
    <n v="0"/>
    <n v="559924.60959718563"/>
    <n v="195819.79693050322"/>
    <n v="306789.81846949673"/>
    <n v="0"/>
    <n v="502609.61539999995"/>
  </r>
  <r>
    <x v="0"/>
    <x v="0"/>
    <x v="1"/>
    <n v="0"/>
    <n v="29"/>
    <n v="2"/>
    <n v="20260303"/>
    <n v="20260402"/>
    <n v="29680.2075"/>
    <n v="31"/>
    <n v="957.42604838709678"/>
    <n v="0"/>
    <n v="27765.355403225807"/>
    <n v="1188.3906346190568"/>
    <n v="28953.746037844863"/>
    <n v="0"/>
    <n v="28461.999652889393"/>
    <n v="1218.2078471106081"/>
    <n v="29680.2075"/>
  </r>
  <r>
    <x v="0"/>
    <x v="0"/>
    <x v="1"/>
    <n v="0"/>
    <n v="22"/>
    <n v="1"/>
    <n v="20260310"/>
    <n v="20260401"/>
    <n v="6727.1148999999996"/>
    <n v="23"/>
    <n v="292.48325652173912"/>
    <n v="0"/>
    <n v="6434.6316434782602"/>
    <n v="181.52021423423093"/>
    <n v="6616.1518577124916"/>
    <n v="0"/>
    <n v="6542.5503125951864"/>
    <n v="184.56458740481207"/>
    <n v="6727.1148999999987"/>
  </r>
  <r>
    <x v="0"/>
    <x v="1"/>
    <x v="1"/>
    <n v="12"/>
    <n v="15"/>
    <n v="0"/>
    <n v="20260217"/>
    <n v="20260315"/>
    <n v="206522.4976"/>
    <n v="27"/>
    <n v="7648.9813925925928"/>
    <n v="124497.15820955737"/>
    <n v="114734.72088888889"/>
    <n v="0"/>
    <n v="239231.87909844625"/>
    <n v="107475.07461979854"/>
    <n v="99047.42298020146"/>
    <n v="0"/>
    <n v="206522.4976"/>
  </r>
  <r>
    <x v="0"/>
    <x v="1"/>
    <x v="0"/>
    <n v="22"/>
    <n v="1"/>
    <n v="0"/>
    <n v="20260207"/>
    <n v="20260301"/>
    <n v="166122.9026"/>
    <n v="23"/>
    <n v="7222.7348956521737"/>
    <n v="215525.63998228597"/>
    <n v="7222.7348956521737"/>
    <n v="0"/>
    <n v="222748.37487793813"/>
    <n v="160736.27885366045"/>
    <n v="5386.6237463395573"/>
    <n v="0"/>
    <n v="166122.9026"/>
  </r>
  <r>
    <x v="0"/>
    <x v="0"/>
    <x v="1"/>
    <n v="0"/>
    <n v="22"/>
    <n v="3"/>
    <n v="20260310"/>
    <n v="20260403"/>
    <n v="4729.5919000000004"/>
    <n v="25"/>
    <n v="189.18367600000002"/>
    <n v="0"/>
    <n v="4162.0408720000005"/>
    <n v="352.23207446666544"/>
    <n v="4514.2729464666663"/>
    <n v="0"/>
    <n v="4360.5592814425299"/>
    <n v="369.03261855746962"/>
    <n v="4729.5918999999994"/>
  </r>
  <r>
    <x v="0"/>
    <x v="1"/>
    <x v="1"/>
    <n v="0"/>
    <n v="30"/>
    <n v="4"/>
    <n v="20260302"/>
    <n v="20260404"/>
    <n v="19471.365399999999"/>
    <n v="34"/>
    <n v="572.68721764705879"/>
    <n v="0"/>
    <n v="17180.616529411764"/>
    <n v="1421.6787336511791"/>
    <n v="18602.295263062944"/>
    <n v="0"/>
    <n v="17983.268059705795"/>
    <n v="1488.0973402942011"/>
    <n v="19471.365399999995"/>
  </r>
  <r>
    <x v="0"/>
    <x v="0"/>
    <x v="1"/>
    <n v="0"/>
    <n v="30"/>
    <n v="8"/>
    <n v="20260302"/>
    <n v="20260408"/>
    <n v="1012.3991"/>
    <n v="38"/>
    <n v="26.642081578947369"/>
    <n v="0"/>
    <n v="799.26244736842114"/>
    <n v="132.27632688087053"/>
    <n v="931.53877424929169"/>
    <n v="0"/>
    <n v="868.64079601161291"/>
    <n v="143.75830398838704"/>
    <n v="1012.3991"/>
  </r>
  <r>
    <x v="0"/>
    <x v="1"/>
    <x v="1"/>
    <n v="0"/>
    <n v="26"/>
    <n v="5"/>
    <n v="20260306"/>
    <n v="20260405"/>
    <n v="59072.117200000001"/>
    <n v="31"/>
    <n v="1905.5521677419356"/>
    <n v="0"/>
    <n v="49544.356361290324"/>
    <n v="5913.0946816661653"/>
    <n v="55457.451042956491"/>
    <n v="0"/>
    <n v="52773.612391700772"/>
    <n v="6298.5048082992271"/>
    <n v="59072.117200000001"/>
  </r>
  <r>
    <x v="0"/>
    <x v="1"/>
    <x v="1"/>
    <n v="21"/>
    <n v="4"/>
    <n v="0"/>
    <n v="20260208"/>
    <n v="20260304"/>
    <n v="3717.0866000000001"/>
    <n v="25"/>
    <n v="148.68346400000001"/>
    <n v="4235.0306052108317"/>
    <n v="594.73385600000006"/>
    <n v="0"/>
    <n v="4829.7644612108315"/>
    <n v="3259.3671264193554"/>
    <n v="457.71947358064511"/>
    <n v="0"/>
    <n v="3717.0866000000005"/>
  </r>
  <r>
    <x v="0"/>
    <x v="0"/>
    <x v="0"/>
    <n v="0"/>
    <n v="22"/>
    <n v="3"/>
    <n v="20260310"/>
    <n v="20260403"/>
    <n v="8681.0244000000002"/>
    <n v="25"/>
    <n v="347.24097599999999"/>
    <n v="0"/>
    <n v="7639.3014720000001"/>
    <n v="646.5114321824974"/>
    <n v="8285.8129041824977"/>
    <n v="0"/>
    <n v="8003.6760718930254"/>
    <n v="677.3483281069739"/>
    <n v="8681.0243999999984"/>
  </r>
  <r>
    <x v="0"/>
    <x v="1"/>
    <x v="0"/>
    <n v="21"/>
    <n v="6"/>
    <n v="0"/>
    <n v="20260208"/>
    <n v="20260306"/>
    <n v="354209.88030000002"/>
    <n v="27"/>
    <n v="13118.884455555557"/>
    <n v="373672.20053134096"/>
    <n v="78713.306733333346"/>
    <n v="0"/>
    <n v="452385.50726467429"/>
    <n v="292578.74820513604"/>
    <n v="61631.132094863984"/>
    <n v="0"/>
    <n v="354209.88030000002"/>
  </r>
  <r>
    <x v="0"/>
    <x v="1"/>
    <x v="1"/>
    <n v="0"/>
    <n v="22"/>
    <n v="2"/>
    <n v="20260310"/>
    <n v="20260402"/>
    <n v="50177.902499999997"/>
    <n v="24"/>
    <n v="2090.7459374999999"/>
    <n v="0"/>
    <n v="45996.410624999997"/>
    <n v="2595.1068447307193"/>
    <n v="48591.517469730716"/>
    <n v="0"/>
    <n v="47498.072253638638"/>
    <n v="2679.8302463613572"/>
    <n v="50177.902499999997"/>
  </r>
  <r>
    <x v="0"/>
    <x v="1"/>
    <x v="1"/>
    <n v="22"/>
    <n v="9"/>
    <n v="0"/>
    <n v="20260207"/>
    <n v="20260309"/>
    <n v="36202.967700000001"/>
    <n v="31"/>
    <n v="1167.8376677419355"/>
    <n v="34848.151617334675"/>
    <n v="10510.539009677421"/>
    <n v="0"/>
    <n v="45358.690627012096"/>
    <n v="27813.99749347605"/>
    <n v="8388.9702065239508"/>
    <n v="0"/>
    <n v="36202.967700000001"/>
  </r>
  <r>
    <x v="0"/>
    <x v="0"/>
    <x v="1"/>
    <n v="0"/>
    <n v="13"/>
    <n v="15"/>
    <n v="20260319"/>
    <n v="20260415"/>
    <n v="4944.9463999999998"/>
    <n v="28"/>
    <n v="176.60522857142857"/>
    <n v="0"/>
    <n v="2295.8679714285713"/>
    <n v="1644.0643119064323"/>
    <n v="3939.9322833350034"/>
    <n v="0"/>
    <n v="2881.5074076809206"/>
    <n v="2063.4389923190793"/>
    <n v="4944.9463999999998"/>
  </r>
  <r>
    <x v="0"/>
    <x v="1"/>
    <x v="1"/>
    <n v="0"/>
    <n v="13"/>
    <n v="15"/>
    <n v="20260319"/>
    <n v="20260415"/>
    <n v="4285.6202999999996"/>
    <n v="28"/>
    <n v="153.05786785714284"/>
    <n v="0"/>
    <n v="1989.752282142857"/>
    <n v="1424.8557657999563"/>
    <n v="3414.6080479428133"/>
    <n v="0"/>
    <n v="2497.3064704923249"/>
    <n v="1788.3138295076747"/>
    <n v="4285.6202999999996"/>
  </r>
  <r>
    <x v="0"/>
    <x v="1"/>
    <x v="0"/>
    <n v="0"/>
    <n v="9"/>
    <n v="0"/>
    <n v="20260305"/>
    <n v="20260313"/>
    <n v="6382.0623999999998"/>
    <n v="9"/>
    <n v="709.11804444444442"/>
    <n v="0"/>
    <n v="6382.0623999999998"/>
    <n v="0"/>
    <n v="6382.0623999999998"/>
    <n v="0"/>
    <n v="6382.0623999999998"/>
    <n v="0"/>
    <n v="6382.0623999999998"/>
  </r>
  <r>
    <x v="0"/>
    <x v="1"/>
    <x v="0"/>
    <n v="0"/>
    <n v="18"/>
    <n v="0"/>
    <n v="20260306"/>
    <n v="20260323"/>
    <n v="13183.2659"/>
    <n v="18"/>
    <n v="732.40366111111109"/>
    <n v="0"/>
    <n v="13183.2659"/>
    <n v="0"/>
    <n v="13183.2659"/>
    <n v="0"/>
    <n v="13183.2659"/>
    <n v="0"/>
    <n v="13183.2659"/>
  </r>
  <r>
    <x v="0"/>
    <x v="1"/>
    <x v="0"/>
    <n v="0"/>
    <n v="24"/>
    <n v="1"/>
    <n v="20260308"/>
    <n v="20260401"/>
    <n v="251734.80470000001"/>
    <n v="25"/>
    <n v="10069.392188"/>
    <n v="0"/>
    <n v="241665.41251200001"/>
    <n v="6249.2405511027891"/>
    <n v="247914.6530631028"/>
    <n v="0"/>
    <n v="245389.26872534843"/>
    <n v="6345.5359746515669"/>
    <n v="251734.80470000001"/>
  </r>
  <r>
    <x v="0"/>
    <x v="1"/>
    <x v="0"/>
    <n v="24"/>
    <n v="10"/>
    <n v="0"/>
    <n v="20260205"/>
    <n v="20260310"/>
    <n v="20360.4499"/>
    <n v="34"/>
    <n v="598.8367617647059"/>
    <n v="19493.700205185094"/>
    <n v="5988.367617647059"/>
    <n v="0"/>
    <n v="25482.067822832152"/>
    <n v="15575.67891086392"/>
    <n v="4784.770989136081"/>
    <n v="0"/>
    <n v="20360.4499"/>
  </r>
  <r>
    <x v="0"/>
    <x v="0"/>
    <x v="1"/>
    <n v="0"/>
    <n v="30"/>
    <n v="5"/>
    <n v="20260302"/>
    <n v="20260405"/>
    <n v="2157.7784000000001"/>
    <n v="35"/>
    <n v="61.65081142857143"/>
    <n v="0"/>
    <n v="1849.524342857143"/>
    <n v="191.30784837587254"/>
    <n v="2040.8321912330155"/>
    <n v="0"/>
    <n v="1955.508000332044"/>
    <n v="202.27039966795618"/>
    <n v="2157.7784000000001"/>
  </r>
  <r>
    <x v="0"/>
    <x v="1"/>
    <x v="1"/>
    <n v="26"/>
    <n v="11"/>
    <n v="0"/>
    <n v="20260203"/>
    <n v="20260311"/>
    <n v="253.40209999999999"/>
    <n v="37"/>
    <n v="6.8487054054054051"/>
    <n v="241.52184707388184"/>
    <n v="75.335759459459453"/>
    <n v="0"/>
    <n v="316.85760653334131"/>
    <n v="193.15346067906538"/>
    <n v="60.248639320934593"/>
    <n v="0"/>
    <n v="253.40209999999996"/>
  </r>
  <r>
    <x v="0"/>
    <x v="0"/>
    <x v="0"/>
    <n v="0"/>
    <n v="24"/>
    <n v="14"/>
    <n v="20260308"/>
    <n v="20260414"/>
    <n v="1629.6484"/>
    <n v="38"/>
    <n v="42.885484210526315"/>
    <n v="0"/>
    <n v="1029.2516210526314"/>
    <n v="372.61672082062631"/>
    <n v="1401.8683418732578"/>
    <n v="0"/>
    <n v="1196.4877209542353"/>
    <n v="433.1606790457646"/>
    <n v="1629.6484"/>
  </r>
  <r>
    <x v="0"/>
    <x v="1"/>
    <x v="0"/>
    <n v="27"/>
    <n v="11"/>
    <n v="0"/>
    <n v="20260202"/>
    <n v="20260311"/>
    <n v="48275.368499999997"/>
    <n v="38"/>
    <n v="1270.4044342105262"/>
    <n v="46524.35414154554"/>
    <n v="13974.448776315789"/>
    <n v="0"/>
    <n v="60498.802917861329"/>
    <n v="37124.376551003152"/>
    <n v="11150.991948996849"/>
    <n v="0"/>
    <n v="48275.368499999997"/>
  </r>
  <r>
    <x v="0"/>
    <x v="1"/>
    <x v="0"/>
    <n v="0"/>
    <n v="28"/>
    <n v="13"/>
    <n v="20260304"/>
    <n v="20260413"/>
    <n v="15636.2037"/>
    <n v="41"/>
    <n v="381.37082195121951"/>
    <n v="0"/>
    <n v="10678.383014634146"/>
    <n v="3076.9100551081365"/>
    <n v="13755.293069742282"/>
    <n v="0"/>
    <n v="12138.554311919717"/>
    <n v="3497.6493880802832"/>
    <n v="15636.2037"/>
  </r>
  <r>
    <x v="0"/>
    <x v="1"/>
    <x v="0"/>
    <n v="0"/>
    <n v="19"/>
    <n v="5"/>
    <n v="20260313"/>
    <n v="20260405"/>
    <n v="15667.3881"/>
    <n v="24"/>
    <n v="652.80783750000001"/>
    <n v="0"/>
    <n v="12403.3489125"/>
    <n v="2025.7196929147558"/>
    <n v="14429.068605414755"/>
    <n v="0"/>
    <n v="13467.818780688693"/>
    <n v="2199.5693193113079"/>
    <n v="15667.3881"/>
  </r>
  <r>
    <x v="0"/>
    <x v="1"/>
    <x v="1"/>
    <n v="19"/>
    <n v="9"/>
    <n v="0"/>
    <n v="20260210"/>
    <n v="20260309"/>
    <n v="126.82559999999999"/>
    <n v="28"/>
    <n v="4.5294857142857143"/>
    <n v="116.72854791689085"/>
    <n v="40.765371428571427"/>
    <n v="0"/>
    <n v="157.49391934546227"/>
    <n v="93.998347289939176"/>
    <n v="32.827252710060833"/>
    <n v="0"/>
    <n v="126.82560000000001"/>
  </r>
  <r>
    <x v="0"/>
    <x v="1"/>
    <x v="0"/>
    <n v="0"/>
    <n v="15"/>
    <n v="20"/>
    <n v="20260317"/>
    <n v="20260420"/>
    <n v="11940.126399999999"/>
    <n v="35"/>
    <n v="341.14646857142856"/>
    <n v="0"/>
    <n v="5117.1970285714287"/>
    <n v="4234.4290607783496"/>
    <n v="9351.6260893497783"/>
    <n v="0"/>
    <n v="6533.6208645501529"/>
    <n v="5406.5055354498463"/>
    <n v="11940.126399999999"/>
  </r>
  <r>
    <x v="0"/>
    <x v="1"/>
    <x v="0"/>
    <n v="0"/>
    <n v="29"/>
    <n v="8"/>
    <n v="20260303"/>
    <n v="20260408"/>
    <n v="20494.478500000001"/>
    <n v="37"/>
    <n v="553.90482432432441"/>
    <n v="0"/>
    <n v="16063.239905405408"/>
    <n v="2750.1040181902463"/>
    <n v="18813.343923595654"/>
    <n v="0"/>
    <n v="17498.628963497638"/>
    <n v="2995.8495365023641"/>
    <n v="20494.478500000001"/>
  </r>
  <r>
    <x v="0"/>
    <x v="1"/>
    <x v="0"/>
    <n v="11"/>
    <n v="16"/>
    <n v="0"/>
    <n v="20260218"/>
    <n v="20260316"/>
    <n v="338716.04"/>
    <n v="27"/>
    <n v="12545.038518518517"/>
    <n v="187171.30660116771"/>
    <n v="200720.61629629627"/>
    <n v="0"/>
    <n v="387891.92289746401"/>
    <n v="163442.23746657415"/>
    <n v="175273.80253342583"/>
    <n v="0"/>
    <n v="338716.04"/>
  </r>
  <r>
    <x v="0"/>
    <x v="0"/>
    <x v="0"/>
    <n v="0"/>
    <n v="15"/>
    <n v="7"/>
    <n v="20260317"/>
    <n v="20260407"/>
    <n v="6124.3505999999998"/>
    <n v="22"/>
    <n v="278.37957272727272"/>
    <n v="0"/>
    <n v="4175.6935909090907"/>
    <n v="1209.3705532608046"/>
    <n v="5385.0641441698954"/>
    <n v="0"/>
    <n v="4748.9520763809533"/>
    <n v="1375.398523619047"/>
    <n v="6124.3505999999998"/>
  </r>
  <r>
    <x v="0"/>
    <x v="0"/>
    <x v="0"/>
    <n v="0"/>
    <n v="23"/>
    <n v="3"/>
    <n v="20260309"/>
    <n v="20260403"/>
    <n v="3173.5092"/>
    <n v="26"/>
    <n v="122.05804615384615"/>
    <n v="0"/>
    <n v="2807.3350615384616"/>
    <n v="227.25406182570009"/>
    <n v="3034.5891233641614"/>
    <n v="0"/>
    <n v="2935.8517028487186"/>
    <n v="237.65749715128149"/>
    <n v="3173.5092"/>
  </r>
  <r>
    <x v="0"/>
    <x v="1"/>
    <x v="0"/>
    <n v="25"/>
    <n v="8"/>
    <n v="0"/>
    <n v="20260204"/>
    <n v="20260308"/>
    <n v="130517.3746"/>
    <n v="33"/>
    <n v="3955.0719575757576"/>
    <n v="134112.41585637166"/>
    <n v="31640.57566060606"/>
    <n v="0"/>
    <n v="165752.99151697772"/>
    <n v="105602.92311251676"/>
    <n v="24914.451487483246"/>
    <n v="0"/>
    <n v="130517.37460000001"/>
  </r>
  <r>
    <x v="0"/>
    <x v="1"/>
    <x v="0"/>
    <n v="13"/>
    <n v="9"/>
    <n v="0"/>
    <n v="20260216"/>
    <n v="20260309"/>
    <n v="16712.7546"/>
    <n v="22"/>
    <n v="759.67066363636366"/>
    <n v="13395.017816395282"/>
    <n v="6837.0359727272726"/>
    <n v="0"/>
    <n v="20232.053789122554"/>
    <n v="11064.998539515605"/>
    <n v="5647.7560604843966"/>
    <n v="0"/>
    <n v="16712.7546"/>
  </r>
  <r>
    <x v="0"/>
    <x v="1"/>
    <x v="0"/>
    <n v="20"/>
    <n v="5"/>
    <n v="0"/>
    <n v="20260209"/>
    <n v="20260305"/>
    <n v="7056.3271000000004"/>
    <n v="25"/>
    <n v="282.253084"/>
    <n v="7656.7290576131236"/>
    <n v="1411.2654199999999"/>
    <n v="0"/>
    <n v="9067.9944776131233"/>
    <n v="5958.1404554201163"/>
    <n v="1098.1866445798848"/>
    <n v="0"/>
    <n v="7056.3271000000013"/>
  </r>
  <r>
    <x v="0"/>
    <x v="1"/>
    <x v="1"/>
    <n v="0"/>
    <n v="15"/>
    <n v="0"/>
    <n v="20260317"/>
    <n v="20260331"/>
    <n v="70434.678100000005"/>
    <n v="15"/>
    <n v="4695.645206666667"/>
    <n v="0"/>
    <n v="70434.678100000005"/>
    <n v="0"/>
    <n v="70434.678100000005"/>
    <n v="0"/>
    <n v="70434.678100000005"/>
    <n v="0"/>
    <n v="70434.678100000005"/>
  </r>
  <r>
    <x v="0"/>
    <x v="1"/>
    <x v="1"/>
    <n v="0"/>
    <n v="14"/>
    <n v="0"/>
    <n v="20260318"/>
    <n v="20260331"/>
    <n v="4309375.5779999997"/>
    <n v="14"/>
    <n v="307812.54128571425"/>
    <n v="0"/>
    <n v="4309375.5779999997"/>
    <n v="0"/>
    <n v="4309375.5779999997"/>
    <n v="0"/>
    <n v="4309375.5779999997"/>
    <n v="0"/>
    <n v="4309375.5779999997"/>
  </r>
  <r>
    <x v="0"/>
    <x v="1"/>
    <x v="0"/>
    <n v="0"/>
    <n v="12"/>
    <n v="0"/>
    <n v="20260310"/>
    <n v="20260321"/>
    <n v="126.0548"/>
    <n v="12"/>
    <n v="10.504566666666667"/>
    <n v="0"/>
    <n v="126.0548"/>
    <n v="0"/>
    <n v="126.0548"/>
    <n v="0"/>
    <n v="126.0548"/>
    <n v="0"/>
    <n v="126.0548"/>
  </r>
  <r>
    <x v="0"/>
    <x v="1"/>
    <x v="0"/>
    <n v="0"/>
    <n v="11"/>
    <n v="0"/>
    <n v="20260304"/>
    <n v="20260314"/>
    <n v="3676.2224999999999"/>
    <n v="11"/>
    <n v="334.20204545454544"/>
    <n v="0"/>
    <n v="3676.2224999999999"/>
    <n v="0"/>
    <n v="3676.2224999999999"/>
    <n v="0"/>
    <n v="3676.2224999999999"/>
    <n v="0"/>
    <n v="3676.2224999999999"/>
  </r>
  <r>
    <x v="0"/>
    <x v="1"/>
    <x v="0"/>
    <n v="20"/>
    <n v="9"/>
    <n v="0"/>
    <n v="20260209"/>
    <n v="20260309"/>
    <n v="9891.7021999999997"/>
    <n v="29"/>
    <n v="341.09317931034479"/>
    <n v="9252.8946729919899"/>
    <n v="3069.8386137931029"/>
    <n v="0"/>
    <n v="12322.733286785093"/>
    <n v="7427.4819119356125"/>
    <n v="2464.2202880643881"/>
    <n v="0"/>
    <n v="9891.7021999999997"/>
  </r>
  <r>
    <x v="0"/>
    <x v="1"/>
    <x v="0"/>
    <n v="0"/>
    <n v="17"/>
    <n v="0"/>
    <n v="20260305"/>
    <n v="20260321"/>
    <n v="2233.3577"/>
    <n v="17"/>
    <n v="131.37398235294117"/>
    <n v="0"/>
    <n v="2233.3577"/>
    <n v="0"/>
    <n v="2233.3577"/>
    <n v="0"/>
    <n v="2233.3577"/>
    <n v="0"/>
    <n v="2233.3577"/>
  </r>
  <r>
    <x v="0"/>
    <x v="1"/>
    <x v="0"/>
    <n v="0"/>
    <n v="21"/>
    <n v="2"/>
    <n v="20260311"/>
    <n v="20260402"/>
    <n v="9996.3528000000006"/>
    <n v="23"/>
    <n v="434.6240347826087"/>
    <n v="0"/>
    <n v="9127.1047304347831"/>
    <n v="539.4705245236571"/>
    <n v="9666.5752549584395"/>
    <n v="0"/>
    <n v="9438.4781084877886"/>
    <n v="557.87469151221273"/>
    <n v="9996.3528000000006"/>
  </r>
  <r>
    <x v="0"/>
    <x v="1"/>
    <x v="0"/>
    <n v="24"/>
    <n v="12"/>
    <n v="0"/>
    <n v="20260205"/>
    <n v="20260312"/>
    <n v="1478.0409"/>
    <n v="36"/>
    <n v="41.056691666666666"/>
    <n v="1336.5025159914819"/>
    <n v="492.68029999999999"/>
    <n v="0"/>
    <n v="1829.1828159914819"/>
    <n v="1079.938737844295"/>
    <n v="398.10216215570495"/>
    <n v="0"/>
    <n v="1478.0409"/>
  </r>
  <r>
    <x v="0"/>
    <x v="1"/>
    <x v="0"/>
    <n v="25"/>
    <n v="10"/>
    <n v="0"/>
    <n v="20260204"/>
    <n v="20260310"/>
    <n v="6082.5054"/>
    <n v="35"/>
    <n v="173.78586857142858"/>
    <n v="5892.8997818027055"/>
    <n v="1737.8586857142859"/>
    <n v="0"/>
    <n v="7630.758467516991"/>
    <n v="4697.2519045196696"/>
    <n v="1385.2534954803311"/>
    <n v="0"/>
    <n v="6082.5054000000009"/>
  </r>
  <r>
    <x v="0"/>
    <x v="0"/>
    <x v="0"/>
    <n v="0"/>
    <n v="28"/>
    <n v="10"/>
    <n v="20260304"/>
    <n v="20260410"/>
    <n v="5869.6072000000004"/>
    <n v="38"/>
    <n v="154.46334736842107"/>
    <n v="0"/>
    <n v="4324.9737263157895"/>
    <n v="958.62649503727243"/>
    <n v="5283.6002213530619"/>
    <n v="0"/>
    <n v="4804.6589182125872"/>
    <n v="1064.9482817874132"/>
    <n v="5869.6072000000004"/>
  </r>
  <r>
    <x v="0"/>
    <x v="1"/>
    <x v="0"/>
    <n v="0"/>
    <n v="23"/>
    <n v="0"/>
    <n v="20260302"/>
    <n v="20260324"/>
    <n v="18183.129000000001"/>
    <n v="23"/>
    <n v="790.57082608695657"/>
    <n v="0"/>
    <n v="18183.129000000001"/>
    <n v="0"/>
    <n v="18183.129000000001"/>
    <n v="0"/>
    <n v="18183.129000000001"/>
    <n v="0"/>
    <n v="18183.129000000001"/>
  </r>
  <r>
    <x v="0"/>
    <x v="1"/>
    <x v="1"/>
    <n v="19"/>
    <n v="1"/>
    <n v="0"/>
    <n v="20260210"/>
    <n v="20260301"/>
    <n v="39689.601000000002"/>
    <n v="20"/>
    <n v="1984.4800500000001"/>
    <n v="51141.672414584209"/>
    <n v="1984.4800500000001"/>
    <n v="0"/>
    <n v="53126.152464584207"/>
    <n v="38207.031347897559"/>
    <n v="1482.5696521024452"/>
    <n v="0"/>
    <n v="39689.601000000002"/>
  </r>
  <r>
    <x v="0"/>
    <x v="1"/>
    <x v="0"/>
    <n v="22"/>
    <n v="10"/>
    <n v="0"/>
    <n v="20260207"/>
    <n v="20260310"/>
    <n v="5704.4832999999999"/>
    <n v="32"/>
    <n v="178.265103125"/>
    <n v="5319.4116899751798"/>
    <n v="1782.65103125"/>
    <n v="0"/>
    <n v="7102.0627212251802"/>
    <n v="4272.6312541004208"/>
    <n v="1431.8520458995786"/>
    <n v="0"/>
    <n v="5704.4832999999999"/>
  </r>
  <r>
    <x v="0"/>
    <x v="1"/>
    <x v="1"/>
    <n v="0"/>
    <n v="24"/>
    <n v="2"/>
    <n v="20260308"/>
    <n v="20260402"/>
    <n v="855.68219999999997"/>
    <n v="26"/>
    <n v="32.910853846153842"/>
    <n v="0"/>
    <n v="789.8604923076922"/>
    <n v="40.85010069861066"/>
    <n v="830.71059300630282"/>
    <n v="0"/>
    <n v="813.60412331446116"/>
    <n v="42.078076685538896"/>
    <n v="855.68220000000008"/>
  </r>
  <r>
    <x v="0"/>
    <x v="0"/>
    <x v="0"/>
    <n v="0"/>
    <n v="22"/>
    <n v="14"/>
    <n v="20260310"/>
    <n v="20260414"/>
    <n v="687.78319999999997"/>
    <n v="36"/>
    <n v="19.105088888888886"/>
    <n v="0"/>
    <n v="420.31195555555553"/>
    <n v="165.99732295938543"/>
    <n v="586.30927851494096"/>
    <n v="0"/>
    <n v="493.05633116104781"/>
    <n v="194.72686883895213"/>
    <n v="687.78319999999997"/>
  </r>
  <r>
    <x v="0"/>
    <x v="1"/>
    <x v="0"/>
    <n v="1"/>
    <n v="31"/>
    <n v="3"/>
    <n v="20260228"/>
    <n v="20260403"/>
    <n v="42380.9349"/>
    <n v="35"/>
    <n v="1210.8838542857143"/>
    <n v="1642.3929654040564"/>
    <n v="37537.399482857145"/>
    <n v="2254.4869671168062"/>
    <n v="41434.279415378005"/>
    <n v="1679.9169752466721"/>
    <n v="38395.02234007293"/>
    <n v="2305.9955846804032"/>
    <n v="42380.9349"/>
  </r>
  <r>
    <x v="0"/>
    <x v="0"/>
    <x v="0"/>
    <n v="3"/>
    <n v="31"/>
    <n v="3"/>
    <n v="20260226"/>
    <n v="20260403"/>
    <n v="2434.0315999999998"/>
    <n v="37"/>
    <n v="65.784637837837835"/>
    <n v="267.68271630870584"/>
    <n v="2039.3237729729728"/>
    <n v="122.4812834996393"/>
    <n v="2429.4877727813177"/>
    <n v="268.18335847120653"/>
    <n v="2043.1378834908996"/>
    <n v="122.71035803789377"/>
    <n v="2434.0316000000003"/>
  </r>
  <r>
    <x v="0"/>
    <x v="1"/>
    <x v="0"/>
    <n v="3"/>
    <n v="31"/>
    <n v="3"/>
    <n v="20260226"/>
    <n v="20260403"/>
    <n v="27585.691900000002"/>
    <n v="37"/>
    <n v="745.5592405405406"/>
    <n v="3033.7374991545162"/>
    <n v="23112.336456756759"/>
    <n v="1388.1212348013905"/>
    <n v="27534.195190712664"/>
    <n v="3039.4114437519875"/>
    <n v="23155.563043305629"/>
    <n v="1390.7174129423902"/>
    <n v="27585.691900000009"/>
  </r>
  <r>
    <x v="0"/>
    <x v="1"/>
    <x v="0"/>
    <n v="17"/>
    <n v="5"/>
    <n v="0"/>
    <n v="20260212"/>
    <n v="20260305"/>
    <n v="17329.994200000001"/>
    <n v="22"/>
    <n v="787.72700909090918"/>
    <n v="18163.487765388192"/>
    <n v="3938.6350454545459"/>
    <n v="0"/>
    <n v="22102.122810842739"/>
    <n v="14241.760410069239"/>
    <n v="3088.2337899307622"/>
    <n v="0"/>
    <n v="17329.994200000001"/>
  </r>
  <r>
    <x v="0"/>
    <x v="1"/>
    <x v="0"/>
    <n v="28"/>
    <n v="3"/>
    <n v="0"/>
    <n v="20260130"/>
    <n v="20260303"/>
    <n v="23799.7376"/>
    <n v="31"/>
    <n v="767.73347096774194"/>
    <n v="29157.017274345348"/>
    <n v="2303.2004129032257"/>
    <n v="0"/>
    <n v="31460.217687248572"/>
    <n v="22057.360417100652"/>
    <n v="1742.3771828993486"/>
    <n v="0"/>
    <n v="23799.7376"/>
  </r>
  <r>
    <x v="0"/>
    <x v="1"/>
    <x v="1"/>
    <n v="0"/>
    <n v="14"/>
    <n v="0"/>
    <n v="20260303"/>
    <n v="20260316"/>
    <n v="84.469399999999993"/>
    <n v="14"/>
    <n v="6.0335285714285707"/>
    <n v="0"/>
    <n v="84.469399999999993"/>
    <n v="0"/>
    <n v="84.469399999999993"/>
    <n v="0"/>
    <n v="84.469399999999993"/>
    <n v="0"/>
    <n v="84.469399999999993"/>
  </r>
  <r>
    <x v="0"/>
    <x v="1"/>
    <x v="0"/>
    <n v="6"/>
    <n v="1"/>
    <n v="0"/>
    <n v="20260223"/>
    <n v="20260301"/>
    <n v="1482.0530000000001"/>
    <n v="7"/>
    <n v="211.72185714285715"/>
    <n v="1723.0248180928954"/>
    <n v="211.72185714285715"/>
    <n v="0"/>
    <n v="1934.7466752357525"/>
    <n v="1319.8700033521791"/>
    <n v="162.182996647821"/>
    <n v="0"/>
    <n v="1482.0530000000001"/>
  </r>
  <r>
    <x v="0"/>
    <x v="1"/>
    <x v="0"/>
    <n v="16"/>
    <n v="4"/>
    <n v="0"/>
    <n v="20260213"/>
    <n v="20260304"/>
    <n v="3929.5713999999998"/>
    <n v="20"/>
    <n v="196.47856999999999"/>
    <n v="4263.9269829690129"/>
    <n v="785.91427999999996"/>
    <n v="0"/>
    <n v="5049.8412629690129"/>
    <n v="3318.0063790979671"/>
    <n v="611.56502090203264"/>
    <n v="0"/>
    <n v="3929.5713999999998"/>
  </r>
  <r>
    <x v="0"/>
    <x v="1"/>
    <x v="0"/>
    <n v="28"/>
    <n v="1"/>
    <n v="0"/>
    <n v="20260126"/>
    <n v="20260301"/>
    <n v="3457.2473"/>
    <n v="29"/>
    <n v="119.21542413793104"/>
    <n v="4527.5688925956874"/>
    <n v="119.21542413793104"/>
    <n v="0"/>
    <n v="4646.7843167336187"/>
    <n v="3368.5500041657624"/>
    <n v="88.697295834237494"/>
    <n v="0"/>
    <n v="3457.2473"/>
  </r>
  <r>
    <x v="0"/>
    <x v="1"/>
    <x v="0"/>
    <n v="9"/>
    <n v="3"/>
    <n v="0"/>
    <n v="20260220"/>
    <n v="20260303"/>
    <n v="1184.5909999999999"/>
    <n v="12"/>
    <n v="98.715916666666658"/>
    <n v="1205.0478159372815"/>
    <n v="296.14774999999997"/>
    <n v="0"/>
    <n v="1501.1955659372816"/>
    <n v="950.90128809279952"/>
    <n v="233.68971190720035"/>
    <n v="0"/>
    <n v="1184.5909999999999"/>
  </r>
  <r>
    <x v="0"/>
    <x v="1"/>
    <x v="0"/>
    <n v="28"/>
    <n v="5"/>
    <n v="0"/>
    <n v="20260130"/>
    <n v="20260305"/>
    <n v="6795.9650000000001"/>
    <n v="33"/>
    <n v="205.93833333333333"/>
    <n v="7821.1355496602873"/>
    <n v="1029.6916666666666"/>
    <n v="0"/>
    <n v="8850.8272163269539"/>
    <n v="6005.3328526963314"/>
    <n v="790.63214730366883"/>
    <n v="0"/>
    <n v="6795.9650000000001"/>
  </r>
  <r>
    <x v="0"/>
    <x v="1"/>
    <x v="0"/>
    <n v="0"/>
    <n v="19"/>
    <n v="6"/>
    <n v="20260313"/>
    <n v="20260406"/>
    <n v="16606.425999999999"/>
    <n v="25"/>
    <n v="664.25703999999996"/>
    <n v="0"/>
    <n v="12620.883759999999"/>
    <n v="2473.4970809879674"/>
    <n v="15094.380840987966"/>
    <n v="0"/>
    <n v="13885.151992847404"/>
    <n v="2721.2740071525955"/>
    <n v="16606.425999999999"/>
  </r>
  <r>
    <x v="0"/>
    <x v="1"/>
    <x v="1"/>
    <n v="0"/>
    <n v="13"/>
    <n v="1"/>
    <n v="20260319"/>
    <n v="20260401"/>
    <n v="2859.4917"/>
    <n v="14"/>
    <n v="204.24940714285714"/>
    <n v="0"/>
    <n v="2655.2422928571427"/>
    <n v="126.76074720547437"/>
    <n v="2782.0030400626169"/>
    <n v="0"/>
    <n v="2729.2002160224365"/>
    <n v="130.29148397756379"/>
    <n v="2859.4917000000005"/>
  </r>
  <r>
    <x v="0"/>
    <x v="0"/>
    <x v="0"/>
    <n v="0"/>
    <n v="1"/>
    <n v="15"/>
    <n v="20260331"/>
    <n v="20260415"/>
    <n v="789.80650000000003"/>
    <n v="16"/>
    <n v="49.362906250000002"/>
    <n v="0"/>
    <n v="49.362906250000002"/>
    <n v="459.53221857632741"/>
    <n v="508.89512482632739"/>
    <n v="0"/>
    <n v="76.611353328342304"/>
    <n v="713.19514667165777"/>
    <n v="789.80650000000003"/>
  </r>
  <r>
    <x v="0"/>
    <x v="0"/>
    <x v="1"/>
    <n v="0"/>
    <n v="8"/>
    <n v="1"/>
    <n v="20260324"/>
    <n v="20260401"/>
    <n v="775.3895"/>
    <n v="9"/>
    <n v="86.154388888888889"/>
    <n v="0"/>
    <n v="689.23511111111111"/>
    <n v="53.468917552099221"/>
    <n v="742.70402866321035"/>
    <n v="0"/>
    <n v="719.56748255263847"/>
    <n v="55.822017447361546"/>
    <n v="775.3895"/>
  </r>
  <r>
    <x v="0"/>
    <x v="1"/>
    <x v="0"/>
    <n v="0"/>
    <n v="15"/>
    <n v="2"/>
    <n v="20260317"/>
    <n v="20260402"/>
    <n v="67946.194099999993"/>
    <n v="17"/>
    <n v="3996.8349470588232"/>
    <n v="0"/>
    <n v="59952.52420588235"/>
    <n v="4961.0110642012405"/>
    <n v="64913.535270083594"/>
    <n v="0"/>
    <n v="62753.412358904236"/>
    <n v="5192.7817410957496"/>
    <n v="67946.194099999979"/>
  </r>
  <r>
    <x v="0"/>
    <x v="0"/>
    <x v="0"/>
    <n v="0"/>
    <n v="8"/>
    <n v="2"/>
    <n v="20260324"/>
    <n v="20260402"/>
    <n v="287.45119999999997"/>
    <n v="10"/>
    <n v="28.745119999999996"/>
    <n v="0"/>
    <n v="229.96095999999997"/>
    <n v="35.679446424659567"/>
    <n v="265.64040642465955"/>
    <n v="0"/>
    <n v="248.8422405117042"/>
    <n v="38.60895948829576"/>
    <n v="287.45119999999997"/>
  </r>
  <r>
    <x v="0"/>
    <x v="0"/>
    <x v="0"/>
    <n v="0"/>
    <n v="8"/>
    <n v="3"/>
    <n v="20260324"/>
    <n v="20260403"/>
    <n v="2166.0446000000002"/>
    <n v="11"/>
    <n v="196.91314545454546"/>
    <n v="0"/>
    <n v="1575.3051636363637"/>
    <n v="366.62320544617586"/>
    <n v="1941.9283690825396"/>
    <n v="0"/>
    <n v="1757.1097355453646"/>
    <n v="408.9348644546356"/>
    <n v="2166.0446000000002"/>
  </r>
  <r>
    <x v="0"/>
    <x v="1"/>
    <x v="0"/>
    <n v="0"/>
    <n v="12"/>
    <n v="7"/>
    <n v="20260320"/>
    <n v="20260407"/>
    <n v="1863.5912000000001"/>
    <n v="19"/>
    <n v="98.083747368421058"/>
    <n v="0"/>
    <n v="1177.0049684210526"/>
    <n v="426.10739954346968"/>
    <n v="1603.1123679645223"/>
    <n v="0"/>
    <n v="1368.2485054312137"/>
    <n v="495.34269456878633"/>
    <n v="1863.5912000000001"/>
  </r>
  <r>
    <x v="0"/>
    <x v="0"/>
    <x v="0"/>
    <n v="0"/>
    <n v="9"/>
    <n v="2"/>
    <n v="20260323"/>
    <n v="20260402"/>
    <n v="107.5819"/>
    <n v="11"/>
    <n v="9.7801727272727277"/>
    <n v="0"/>
    <n v="88.021554545454549"/>
    <n v="12.139491811015017"/>
    <n v="100.16104635646957"/>
    <n v="0"/>
    <n v="94.543002728345442"/>
    <n v="13.038897271654555"/>
    <n v="107.58189999999999"/>
  </r>
  <r>
    <x v="0"/>
    <x v="0"/>
    <x v="0"/>
    <n v="0"/>
    <n v="8"/>
    <n v="10"/>
    <n v="20260324"/>
    <n v="20260410"/>
    <n v="140.59119999999999"/>
    <n v="18"/>
    <n v="7.8106222222222215"/>
    <n v="0"/>
    <n v="62.484977777777772"/>
    <n v="48.474084839623771"/>
    <n v="110.95906261740154"/>
    <n v="0"/>
    <n v="79.171883760789783"/>
    <n v="61.419316239210204"/>
    <n v="140.59119999999999"/>
  </r>
  <r>
    <x v="0"/>
    <x v="0"/>
    <x v="0"/>
    <n v="0"/>
    <n v="20"/>
    <n v="1"/>
    <n v="20260312"/>
    <n v="20260401"/>
    <n v="236.65790000000001"/>
    <n v="21"/>
    <n v="11.26942380952381"/>
    <n v="0"/>
    <n v="225.38847619047618"/>
    <n v="6.9940011217327971"/>
    <n v="232.38247731220898"/>
    <n v="0"/>
    <n v="229.53522174468921"/>
    <n v="7.1226782553108086"/>
    <n v="236.65790000000001"/>
  </r>
  <r>
    <x v="0"/>
    <x v="0"/>
    <x v="0"/>
    <n v="0"/>
    <n v="15"/>
    <n v="3"/>
    <n v="20260317"/>
    <n v="20260403"/>
    <n v="3329.0450999999998"/>
    <n v="18"/>
    <n v="184.94694999999999"/>
    <n v="0"/>
    <n v="2774.2042499999998"/>
    <n v="344.34391614624627"/>
    <n v="3118.5481661462459"/>
    <n v="0"/>
    <n v="2961.4585290418672"/>
    <n v="367.58657095813282"/>
    <n v="3329.0451000000003"/>
  </r>
  <r>
    <x v="0"/>
    <x v="0"/>
    <x v="0"/>
    <n v="0"/>
    <n v="2"/>
    <n v="15"/>
    <n v="20260330"/>
    <n v="20260415"/>
    <n v="37.174300000000002"/>
    <n v="17"/>
    <n v="2.1867235294117648"/>
    <n v="0"/>
    <n v="4.3734470588235297"/>
    <n v="20.356781867632545"/>
    <n v="24.730228926456075"/>
    <n v="0"/>
    <n v="6.5741337648879492"/>
    <n v="30.600166235112052"/>
    <n v="37.174300000000002"/>
  </r>
  <r>
    <x v="0"/>
    <x v="1"/>
    <x v="1"/>
    <n v="0"/>
    <n v="16"/>
    <n v="6"/>
    <n v="20260316"/>
    <n v="20260406"/>
    <n v="275.6431"/>
    <n v="22"/>
    <n v="12.529231818181819"/>
    <n v="0"/>
    <n v="200.4677090909091"/>
    <n v="46.655159769619139"/>
    <n v="247.12286886052823"/>
    <n v="0"/>
    <n v="223.60350961651687"/>
    <n v="52.039590383483123"/>
    <n v="275.6431"/>
  </r>
  <r>
    <x v="0"/>
    <x v="0"/>
    <x v="1"/>
    <n v="0"/>
    <n v="7"/>
    <n v="3"/>
    <n v="20260325"/>
    <n v="20260403"/>
    <n v="50.681600000000003"/>
    <n v="10"/>
    <n v="5.0681600000000007"/>
    <n v="0"/>
    <n v="35.477120000000006"/>
    <n v="9.4361656791623769"/>
    <n v="44.913285679162385"/>
    <n v="0"/>
    <n v="40.033526334195663"/>
    <n v="10.648073665804334"/>
    <n v="50.681599999999996"/>
  </r>
  <r>
    <x v="0"/>
    <x v="0"/>
    <x v="0"/>
    <n v="0"/>
    <n v="19"/>
    <n v="3"/>
    <n v="20260313"/>
    <n v="20260403"/>
    <n v="643.21259999999995"/>
    <n v="22"/>
    <n v="29.23693636363636"/>
    <n v="0"/>
    <n v="555.5017909090908"/>
    <n v="54.434859096476799"/>
    <n v="609.93665000556757"/>
    <n v="0"/>
    <n v="585.80797076553949"/>
    <n v="57.404629234460472"/>
    <n v="643.21259999999995"/>
  </r>
  <r>
    <x v="0"/>
    <x v="0"/>
    <x v="1"/>
    <n v="0"/>
    <n v="27"/>
    <n v="3"/>
    <n v="20260305"/>
    <n v="20260403"/>
    <n v="190089.66889999999"/>
    <n v="30"/>
    <n v="6336.3222966666663"/>
    <n v="0"/>
    <n v="171080.70200999998"/>
    <n v="11797.296649655362"/>
    <n v="182877.99865965534"/>
    <n v="0"/>
    <n v="177827.15383266512"/>
    <n v="12262.515067334854"/>
    <n v="190089.66889999999"/>
  </r>
  <r>
    <x v="0"/>
    <x v="1"/>
    <x v="0"/>
    <n v="0"/>
    <n v="15"/>
    <n v="0"/>
    <n v="20260317"/>
    <n v="20260331"/>
    <n v="43963.162300000004"/>
    <n v="15"/>
    <n v="2930.8774866666668"/>
    <n v="0"/>
    <n v="43963.162300000004"/>
    <n v="0"/>
    <n v="43963.162300000004"/>
    <n v="0"/>
    <n v="43963.162300000004"/>
    <n v="0"/>
    <n v="43963.162300000004"/>
  </r>
  <r>
    <x v="0"/>
    <x v="0"/>
    <x v="1"/>
    <n v="0"/>
    <n v="30"/>
    <n v="3"/>
    <n v="20260302"/>
    <n v="20260403"/>
    <n v="64339.962399999997"/>
    <n v="33"/>
    <n v="1949.6958303030301"/>
    <n v="0"/>
    <n v="58490.874909090904"/>
    <n v="3630.045791512392"/>
    <n v="62120.920700603296"/>
    <n v="0"/>
    <n v="60580.246557058264"/>
    <n v="3759.7158429417373"/>
    <n v="64339.962400000004"/>
  </r>
  <r>
    <x v="0"/>
    <x v="1"/>
    <x v="1"/>
    <n v="0"/>
    <n v="30"/>
    <n v="3"/>
    <n v="20260302"/>
    <n v="20260403"/>
    <n v="643399.62580000004"/>
    <n v="33"/>
    <n v="19496.958357575757"/>
    <n v="0"/>
    <n v="584908.75072727271"/>
    <n v="36300.458016679506"/>
    <n v="621209.20874395221"/>
    <n v="0"/>
    <n v="605802.46726539929"/>
    <n v="37597.158534600661"/>
    <n v="643399.62579999992"/>
  </r>
  <r>
    <x v="0"/>
    <x v="1"/>
    <x v="0"/>
    <n v="27"/>
    <n v="5"/>
    <n v="0"/>
    <n v="20260202"/>
    <n v="20260305"/>
    <n v="968057.96920000005"/>
    <n v="32"/>
    <n v="30251.811537500002"/>
    <n v="1107872.3873225297"/>
    <n v="151259.0576875"/>
    <n v="0"/>
    <n v="1259131.4450100297"/>
    <n v="851765.4750459044"/>
    <n v="116292.49415409566"/>
    <n v="0"/>
    <n v="968057.96920000005"/>
  </r>
  <r>
    <x v="0"/>
    <x v="1"/>
    <x v="1"/>
    <n v="13"/>
    <n v="17"/>
    <n v="0"/>
    <n v="20260216"/>
    <n v="20260317"/>
    <n v="517920.1838"/>
    <n v="30"/>
    <n v="17264.006126666667"/>
    <n v="304410.4250940932"/>
    <n v="293488.10415333335"/>
    <n v="0"/>
    <n v="597898.52924742654"/>
    <n v="263690.73614182579"/>
    <n v="254229.44765817418"/>
    <n v="0"/>
    <n v="517920.1838"/>
  </r>
  <r>
    <x v="0"/>
    <x v="0"/>
    <x v="0"/>
    <n v="0"/>
    <n v="16"/>
    <n v="15"/>
    <n v="20260316"/>
    <n v="20260415"/>
    <n v="2620521.6354"/>
    <n v="31"/>
    <n v="84532.955980645158"/>
    <n v="0"/>
    <n v="1352527.2956903225"/>
    <n v="786939.41981183272"/>
    <n v="2139466.715502155"/>
    <n v="0"/>
    <n v="1656640.4212526639"/>
    <n v="963881.21414733643"/>
    <n v="2620521.6354000005"/>
  </r>
  <r>
    <x v="0"/>
    <x v="1"/>
    <x v="1"/>
    <n v="27"/>
    <n v="1"/>
    <n v="0"/>
    <n v="20260202"/>
    <n v="20260301"/>
    <n v="3355952.9297000002"/>
    <n v="28"/>
    <n v="119855.461775"/>
    <n v="4389309.2618838493"/>
    <n v="119855.461775"/>
    <n v="0"/>
    <n v="4509164.7236588495"/>
    <n v="3266750.3139752015"/>
    <n v="89202.615724798525"/>
    <n v="0"/>
    <n v="3355952.9297000002"/>
  </r>
  <r>
    <x v="0"/>
    <x v="0"/>
    <x v="0"/>
    <n v="0"/>
    <n v="25"/>
    <n v="2"/>
    <n v="20260307"/>
    <n v="20260402"/>
    <n v="49506.036800000002"/>
    <n v="27"/>
    <n v="1833.5569185185186"/>
    <n v="0"/>
    <n v="45838.922962962963"/>
    <n v="2275.874856004963"/>
    <n v="48114.797818967927"/>
    <n v="0"/>
    <n v="47164.355041354858"/>
    <n v="2341.6817586451452"/>
    <n v="49506.036800000002"/>
  </r>
  <r>
    <x v="0"/>
    <x v="1"/>
    <x v="0"/>
    <n v="0"/>
    <n v="27"/>
    <n v="5"/>
    <n v="20260305"/>
    <n v="20260405"/>
    <n v="458130.2671"/>
    <n v="32"/>
    <n v="14316.570846875"/>
    <n v="0"/>
    <n v="386547.412865625"/>
    <n v="44425.568802280148"/>
    <n v="430972.98166790511"/>
    <n v="0"/>
    <n v="410905.27025056595"/>
    <n v="47224.996849434079"/>
    <n v="458130.26710000006"/>
  </r>
  <r>
    <x v="0"/>
    <x v="1"/>
    <x v="1"/>
    <n v="23"/>
    <n v="5"/>
    <n v="0"/>
    <n v="20260206"/>
    <n v="20260305"/>
    <n v="526051.86710000003"/>
    <n v="28"/>
    <n v="18787.566682142857"/>
    <n v="586101.67000888649"/>
    <n v="93937.833410714287"/>
    <n v="0"/>
    <n v="680039.50341960078"/>
    <n v="453385.2463984905"/>
    <n v="72666.620701509528"/>
    <n v="0"/>
    <n v="526051.86710000003"/>
  </r>
  <r>
    <x v="0"/>
    <x v="0"/>
    <x v="0"/>
    <n v="0"/>
    <n v="30"/>
    <n v="3"/>
    <n v="20260302"/>
    <n v="20260403"/>
    <n v="292309.36090000003"/>
    <n v="33"/>
    <n v="8857.8594212121225"/>
    <n v="0"/>
    <n v="265735.7826363637"/>
    <n v="16492.026506915117"/>
    <n v="282227.80914327881"/>
    <n v="0"/>
    <n v="275228.2173273096"/>
    <n v="17081.143572690427"/>
    <n v="292309.36090000003"/>
  </r>
  <r>
    <x v="0"/>
    <x v="1"/>
    <x v="0"/>
    <n v="8"/>
    <n v="16"/>
    <n v="0"/>
    <n v="20260221"/>
    <n v="20260316"/>
    <n v="385677.81910000002"/>
    <n v="24"/>
    <n v="16069.909129166668"/>
    <n v="174372.50064908818"/>
    <n v="257118.54606666669"/>
    <n v="0"/>
    <n v="431491.0467157549"/>
    <n v="155858.63547629002"/>
    <n v="229819.18362370998"/>
    <n v="0"/>
    <n v="385677.81909999996"/>
  </r>
  <r>
    <x v="0"/>
    <x v="0"/>
    <x v="1"/>
    <n v="0"/>
    <n v="14"/>
    <n v="16"/>
    <n v="20260318"/>
    <n v="20260416"/>
    <n v="2119561.5142000001"/>
    <n v="30"/>
    <n v="70652.050473333336"/>
    <n v="0"/>
    <n v="989128.70662666671"/>
    <n v="701566.33185894252"/>
    <n v="1690695.0384856092"/>
    <n v="0"/>
    <n v="1240033.8863206231"/>
    <n v="879527.62787937699"/>
    <n v="2119561.5142000001"/>
  </r>
  <r>
    <x v="0"/>
    <x v="0"/>
    <x v="1"/>
    <n v="0"/>
    <n v="28"/>
    <n v="6"/>
    <n v="20260304"/>
    <n v="20260406"/>
    <n v="68050.880900000004"/>
    <n v="34"/>
    <n v="2001.4964970588237"/>
    <n v="0"/>
    <n v="56041.901917647061"/>
    <n v="7452.9819707784245"/>
    <n v="63494.883888425487"/>
    <n v="0"/>
    <n v="60063.119408310056"/>
    <n v="7987.761491689952"/>
    <n v="68050.880900000004"/>
  </r>
  <r>
    <x v="0"/>
    <x v="0"/>
    <x v="0"/>
    <n v="0"/>
    <n v="25"/>
    <n v="7"/>
    <n v="20260307"/>
    <n v="20260407"/>
    <n v="317587.74660000001"/>
    <n v="32"/>
    <n v="9924.6170812500004"/>
    <n v="0"/>
    <n v="248115.42703125"/>
    <n v="43115.734149832111"/>
    <n v="291231.16118108213"/>
    <n v="0"/>
    <n v="270570.01403279102"/>
    <n v="47017.732567208965"/>
    <n v="317587.74659999995"/>
  </r>
  <r>
    <x v="0"/>
    <x v="0"/>
    <x v="0"/>
    <n v="0"/>
    <n v="27"/>
    <n v="8"/>
    <n v="20260305"/>
    <n v="20260408"/>
    <n v="74664.290599999993"/>
    <n v="35"/>
    <n v="2133.2654457142853"/>
    <n v="0"/>
    <n v="57598.167034285703"/>
    <n v="10591.534170661365"/>
    <n v="68189.701204947065"/>
    <n v="0"/>
    <n v="63067.093791037914"/>
    <n v="11597.196808962086"/>
    <n v="74664.290600000008"/>
  </r>
  <r>
    <x v="0"/>
    <x v="1"/>
    <x v="0"/>
    <n v="27"/>
    <n v="8"/>
    <n v="0"/>
    <n v="20260202"/>
    <n v="20260308"/>
    <n v="230971.6501"/>
    <n v="35"/>
    <n v="6599.1900028571426"/>
    <n v="241673.47379503399"/>
    <n v="52793.520022857141"/>
    <n v="0"/>
    <n v="294466.99381789111"/>
    <n v="189561.89386155453"/>
    <n v="41409.756238445487"/>
    <n v="0"/>
    <n v="230971.65010000003"/>
  </r>
  <r>
    <x v="0"/>
    <x v="1"/>
    <x v="1"/>
    <n v="23"/>
    <n v="1"/>
    <n v="0"/>
    <n v="20260206"/>
    <n v="20260301"/>
    <n v="87291.271599999993"/>
    <n v="24"/>
    <n v="3637.1363166666665"/>
    <n v="113465.02212415112"/>
    <n v="3637.1363166666665"/>
    <n v="0"/>
    <n v="117102.15844081779"/>
    <n v="84580.046988159636"/>
    <n v="2711.2246118403518"/>
    <n v="0"/>
    <n v="87291.271599999993"/>
  </r>
  <r>
    <x v="0"/>
    <x v="1"/>
    <x v="1"/>
    <n v="22"/>
    <n v="5"/>
    <n v="0"/>
    <n v="20260207"/>
    <n v="20260305"/>
    <n v="106069.8944"/>
    <n v="27"/>
    <n v="3928.5146074074078"/>
    <n v="117226.45745324543"/>
    <n v="19642.57303703704"/>
    <n v="0"/>
    <n v="136869.03049028246"/>
    <n v="90847.417552465602"/>
    <n v="15222.476847534412"/>
    <n v="0"/>
    <n v="106069.89440000002"/>
  </r>
  <r>
    <x v="0"/>
    <x v="0"/>
    <x v="1"/>
    <n v="0"/>
    <n v="29"/>
    <n v="4"/>
    <n v="20260303"/>
    <n v="20260404"/>
    <n v="14082.2102"/>
    <n v="33"/>
    <n v="426.73364242424242"/>
    <n v="0"/>
    <n v="12375.275630303031"/>
    <n v="1059.3533881560134"/>
    <n v="13434.629018459043"/>
    <n v="0"/>
    <n v="12971.793450300553"/>
    <n v="1110.4167496994476"/>
    <n v="14082.2102"/>
  </r>
  <r>
    <x v="0"/>
    <x v="1"/>
    <x v="1"/>
    <n v="0"/>
    <n v="29"/>
    <n v="4"/>
    <n v="20260303"/>
    <n v="20260404"/>
    <n v="102096.02280000001"/>
    <n v="33"/>
    <n v="3093.8188727272727"/>
    <n v="0"/>
    <n v="89720.747309090904"/>
    <n v="7680.311977620785"/>
    <n v="97401.059286711694"/>
    <n v="0"/>
    <n v="94045.501455359321"/>
    <n v="8050.5213446406806"/>
    <n v="102096.02280000001"/>
  </r>
  <r>
    <x v="0"/>
    <x v="1"/>
    <x v="1"/>
    <n v="22"/>
    <n v="6"/>
    <n v="0"/>
    <n v="20260207"/>
    <n v="20260306"/>
    <n v="209240.75760000001"/>
    <n v="28"/>
    <n v="7472.8842000000004"/>
    <n v="222990.06858025971"/>
    <n v="44837.305200000003"/>
    <n v="0"/>
    <n v="267827.37378025975"/>
    <n v="174211.50881048769"/>
    <n v="35029.24878951229"/>
    <n v="0"/>
    <n v="209240.75759999998"/>
  </r>
  <r>
    <x v="0"/>
    <x v="1"/>
    <x v="1"/>
    <n v="0"/>
    <n v="11"/>
    <n v="0"/>
    <n v="20260321"/>
    <n v="20260331"/>
    <n v="28400.701300000001"/>
    <n v="11"/>
    <n v="2581.8819363636362"/>
    <n v="0"/>
    <n v="28400.701299999997"/>
    <n v="0"/>
    <n v="28400.701299999997"/>
    <n v="0"/>
    <n v="28400.701300000001"/>
    <n v="0"/>
    <n v="28400.701300000001"/>
  </r>
  <r>
    <x v="0"/>
    <x v="1"/>
    <x v="1"/>
    <n v="0"/>
    <n v="10"/>
    <n v="0"/>
    <n v="20260301"/>
    <n v="20260310"/>
    <n v="54193.784099999997"/>
    <n v="10"/>
    <n v="5419.3784099999993"/>
    <n v="0"/>
    <n v="54193.78409999999"/>
    <n v="0"/>
    <n v="54193.78409999999"/>
    <n v="0"/>
    <n v="54193.784099999997"/>
    <n v="0"/>
    <n v="54193.784099999997"/>
  </r>
  <r>
    <x v="0"/>
    <x v="0"/>
    <x v="1"/>
    <n v="0"/>
    <n v="26"/>
    <n v="8"/>
    <n v="20260306"/>
    <n v="20260408"/>
    <n v="7625.3636999999999"/>
    <n v="34"/>
    <n v="224.27540294117648"/>
    <n v="0"/>
    <n v="5831.160476470588"/>
    <n v="1113.5138379813538"/>
    <n v="6944.6743144519423"/>
    <n v="0"/>
    <n v="6402.7076595401986"/>
    <n v="1222.6560404598013"/>
    <n v="7625.3636999999999"/>
  </r>
  <r>
    <x v="0"/>
    <x v="1"/>
    <x v="1"/>
    <n v="0"/>
    <n v="26"/>
    <n v="8"/>
    <n v="20260306"/>
    <n v="20260408"/>
    <n v="24782.432000000001"/>
    <n v="34"/>
    <n v="728.89505882352944"/>
    <n v="0"/>
    <n v="18951.271529411766"/>
    <n v="3618.9199697887093"/>
    <n v="22570.191499200475"/>
    <n v="0"/>
    <n v="20808.799872514166"/>
    <n v="3973.6321274858378"/>
    <n v="24782.432000000004"/>
  </r>
  <r>
    <x v="0"/>
    <x v="1"/>
    <x v="1"/>
    <n v="0"/>
    <n v="26"/>
    <n v="6"/>
    <n v="20260306"/>
    <n v="20260406"/>
    <n v="343824.08020000003"/>
    <n v="32"/>
    <n v="10744.502506250001"/>
    <n v="0"/>
    <n v="279357.06516250002"/>
    <n v="40009.354791147234"/>
    <n v="319366.41995364724"/>
    <n v="0"/>
    <n v="300750.73638239322"/>
    <n v="43073.343817606845"/>
    <n v="343824.08020000008"/>
  </r>
  <r>
    <x v="0"/>
    <x v="1"/>
    <x v="1"/>
    <n v="0"/>
    <n v="15"/>
    <n v="17"/>
    <n v="20260317"/>
    <n v="20260417"/>
    <n v="508421.75459999999"/>
    <n v="32"/>
    <n v="15888.17983125"/>
    <n v="0"/>
    <n v="238322.69746875"/>
    <n v="167628.18938076269"/>
    <n v="405950.8868495127"/>
    <n v="0"/>
    <n v="298480.55006955651"/>
    <n v="209941.20453044344"/>
    <n v="508421.75459999999"/>
  </r>
  <r>
    <x v="0"/>
    <x v="0"/>
    <x v="1"/>
    <n v="0"/>
    <n v="29"/>
    <n v="3"/>
    <n v="20260303"/>
    <n v="20260403"/>
    <n v="34102.076000000001"/>
    <n v="32"/>
    <n v="1065.689875"/>
    <n v="0"/>
    <n v="30905.006375000001"/>
    <n v="1984.1572134869148"/>
    <n v="32889.163588486917"/>
    <n v="0"/>
    <n v="32044.745478102348"/>
    <n v="2057.3305218976507"/>
    <n v="34102.076000000001"/>
  </r>
  <r>
    <x v="0"/>
    <x v="1"/>
    <x v="0"/>
    <n v="22"/>
    <n v="5"/>
    <n v="0"/>
    <n v="20260207"/>
    <n v="20260305"/>
    <n v="507171.12709999998"/>
    <n v="27"/>
    <n v="18784.11581851852"/>
    <n v="560516.01530115854"/>
    <n v="93920.579092592598"/>
    <n v="0"/>
    <n v="654436.59439375112"/>
    <n v="434385.15155350522"/>
    <n v="72785.975546494767"/>
    <n v="0"/>
    <n v="507171.12709999998"/>
  </r>
  <r>
    <x v="0"/>
    <x v="1"/>
    <x v="1"/>
    <n v="0"/>
    <n v="28"/>
    <n v="7"/>
    <n v="20260304"/>
    <n v="20260407"/>
    <n v="132329.56570000001"/>
    <n v="35"/>
    <n v="3780.8447342857144"/>
    <n v="0"/>
    <n v="105863.65256"/>
    <n v="16425.207651913155"/>
    <n v="122288.86021191315"/>
    <n v="0"/>
    <n v="114555.74238245926"/>
    <n v="17773.823317540762"/>
    <n v="132329.56570000001"/>
  </r>
  <r>
    <x v="0"/>
    <x v="1"/>
    <x v="0"/>
    <n v="0"/>
    <n v="24"/>
    <n v="6"/>
    <n v="20260308"/>
    <n v="20260406"/>
    <n v="234822.18520000001"/>
    <n v="30"/>
    <n v="7827.4061733333338"/>
    <n v="0"/>
    <n v="187857.74816000002"/>
    <n v="29146.949381894694"/>
    <n v="217004.69754189471"/>
    <n v="0"/>
    <n v="203282.08296581247"/>
    <n v="31540.102234187529"/>
    <n v="234822.18520000001"/>
  </r>
  <r>
    <x v="0"/>
    <x v="1"/>
    <x v="1"/>
    <n v="19"/>
    <n v="4"/>
    <n v="0"/>
    <n v="20260210"/>
    <n v="20260304"/>
    <n v="38892.402499999997"/>
    <n v="23"/>
    <n v="1690.9740217391302"/>
    <n v="43577.782241426205"/>
    <n v="6763.8960869565208"/>
    <n v="0"/>
    <n v="50341.678328382724"/>
    <n v="33666.828426642736"/>
    <n v="5225.5740733572629"/>
    <n v="0"/>
    <n v="38892.402499999997"/>
  </r>
  <r>
    <x v="0"/>
    <x v="1"/>
    <x v="0"/>
    <n v="9"/>
    <n v="18"/>
    <n v="0"/>
    <n v="20260220"/>
    <n v="20260318"/>
    <n v="60321.000699999997"/>
    <n v="27"/>
    <n v="2234.1111370370368"/>
    <n v="27272.30660622245"/>
    <n v="40214.000466666665"/>
    <n v="0"/>
    <n v="67486.307072889118"/>
    <n v="24376.690579731432"/>
    <n v="35944.310120268558"/>
    <n v="0"/>
    <n v="60321.00069999999"/>
  </r>
  <r>
    <x v="0"/>
    <x v="0"/>
    <x v="1"/>
    <n v="0"/>
    <n v="25"/>
    <n v="4"/>
    <n v="20260307"/>
    <n v="20260404"/>
    <n v="569.56050000000005"/>
    <n v="29"/>
    <n v="19.640017241379311"/>
    <n v="0"/>
    <n v="491.0004310344828"/>
    <n v="48.755750050316948"/>
    <n v="539.75618108479978"/>
    <n v="0"/>
    <n v="518.11254933323255"/>
    <n v="51.447950666767397"/>
    <n v="569.56049999999993"/>
  </r>
  <r>
    <x v="0"/>
    <x v="1"/>
    <x v="1"/>
    <n v="0"/>
    <n v="28"/>
    <n v="4"/>
    <n v="20260304"/>
    <n v="20260404"/>
    <n v="29301.3508"/>
    <n v="32"/>
    <n v="915.66721250000001"/>
    <n v="0"/>
    <n v="25638.681949999998"/>
    <n v="2273.1162194634167"/>
    <n v="27911.798169463415"/>
    <n v="0"/>
    <n v="26915.070441017746"/>
    <n v="2386.2803589822533"/>
    <n v="29301.3508"/>
  </r>
  <r>
    <x v="0"/>
    <x v="1"/>
    <x v="0"/>
    <n v="0"/>
    <n v="24"/>
    <n v="4"/>
    <n v="20260308"/>
    <n v="20260404"/>
    <n v="92835.796799999996"/>
    <n v="28"/>
    <n v="3315.5641714285712"/>
    <n v="0"/>
    <n v="79573.540114285715"/>
    <n v="8230.7879891965313"/>
    <n v="87804.328103482243"/>
    <n v="0"/>
    <n v="84133.358346528985"/>
    <n v="8702.4384534710171"/>
    <n v="92835.796799999996"/>
  </r>
  <r>
    <x v="0"/>
    <x v="1"/>
    <x v="0"/>
    <n v="12"/>
    <n v="15"/>
    <n v="0"/>
    <n v="20260217"/>
    <n v="20260315"/>
    <n v="224693.149"/>
    <n v="27"/>
    <n v="8321.9684814814809"/>
    <n v="135450.90169225534"/>
    <n v="124829.52722222221"/>
    <n v="0"/>
    <n v="260280.42891447755"/>
    <n v="116931.14908045014"/>
    <n v="107761.99991954985"/>
    <n v="0"/>
    <n v="224693.14899999998"/>
  </r>
  <r>
    <x v="0"/>
    <x v="1"/>
    <x v="1"/>
    <n v="0"/>
    <n v="23"/>
    <n v="8"/>
    <n v="20260309"/>
    <n v="20260408"/>
    <n v="103815.7055"/>
    <n v="31"/>
    <n v="3348.8937258064516"/>
    <n v="0"/>
    <n v="77024.555693548391"/>
    <n v="16627.055204054097"/>
    <n v="93651.610897602484"/>
    <n v="0"/>
    <n v="85384.100855380777"/>
    <n v="18431.604644619227"/>
    <n v="103815.70550000001"/>
  </r>
  <r>
    <x v="0"/>
    <x v="1"/>
    <x v="1"/>
    <n v="10"/>
    <n v="15"/>
    <n v="0"/>
    <n v="20260219"/>
    <n v="20260315"/>
    <n v="46196.012900000002"/>
    <n v="25"/>
    <n v="1847.840516"/>
    <n v="25063.347355120535"/>
    <n v="27717.607739999999"/>
    <n v="0"/>
    <n v="52780.955095120531"/>
    <n v="21936.448774898494"/>
    <n v="24259.564125101515"/>
    <n v="0"/>
    <n v="46196.012900000009"/>
  </r>
  <r>
    <x v="0"/>
    <x v="1"/>
    <x v="0"/>
    <n v="26"/>
    <n v="9"/>
    <n v="0"/>
    <n v="20260203"/>
    <n v="20260309"/>
    <n v="44819.383000000002"/>
    <n v="35"/>
    <n v="1280.5538000000001"/>
    <n v="45159.150634421334"/>
    <n v="11524.984200000001"/>
    <n v="0"/>
    <n v="56684.134834421333"/>
    <n v="35706.733006529888"/>
    <n v="9112.6499934701151"/>
    <n v="0"/>
    <n v="44819.383000000002"/>
  </r>
  <r>
    <x v="0"/>
    <x v="1"/>
    <x v="1"/>
    <n v="20"/>
    <n v="8"/>
    <n v="0"/>
    <n v="20260209"/>
    <n v="20260308"/>
    <n v="1563.9629"/>
    <n v="28"/>
    <n v="55.85581785714286"/>
    <n v="1515.2105959753899"/>
    <n v="446.84654285714288"/>
    <n v="0"/>
    <n v="1962.0571388325327"/>
    <n v="1207.779891263739"/>
    <n v="356.18300873626112"/>
    <n v="0"/>
    <n v="1563.9629000000002"/>
  </r>
  <r>
    <x v="0"/>
    <x v="0"/>
    <x v="1"/>
    <n v="0"/>
    <n v="24"/>
    <n v="4"/>
    <n v="20260308"/>
    <n v="20260404"/>
    <n v="361.0883"/>
    <n v="28"/>
    <n v="12.896010714285714"/>
    <n v="0"/>
    <n v="309.50425714285711"/>
    <n v="32.013957386310643"/>
    <n v="341.51821452916778"/>
    <n v="0"/>
    <n v="327.23984051202711"/>
    <n v="33.848459487972846"/>
    <n v="361.08829999999995"/>
  </r>
  <r>
    <x v="0"/>
    <x v="0"/>
    <x v="1"/>
    <n v="0"/>
    <n v="14"/>
    <n v="17"/>
    <n v="20260318"/>
    <n v="20260417"/>
    <n v="68165.440100000007"/>
    <n v="31"/>
    <n v="2198.8851645161294"/>
    <n v="0"/>
    <n v="30784.39230322581"/>
    <n v="23199.330741403126"/>
    <n v="53983.723044628932"/>
    <n v="0"/>
    <n v="38871.562226740898"/>
    <n v="29293.877873259113"/>
    <n v="68165.440100000007"/>
  </r>
  <r>
    <x v="0"/>
    <x v="1"/>
    <x v="0"/>
    <n v="0"/>
    <n v="17"/>
    <n v="0"/>
    <n v="20260302"/>
    <n v="20260318"/>
    <n v="8401.9482000000007"/>
    <n v="17"/>
    <n v="494.23224705882359"/>
    <n v="0"/>
    <n v="8401.9482000000007"/>
    <n v="0"/>
    <n v="8401.9482000000007"/>
    <n v="0"/>
    <n v="8401.9482000000007"/>
    <n v="0"/>
    <n v="8401.9482000000007"/>
  </r>
  <r>
    <x v="0"/>
    <x v="1"/>
    <x v="1"/>
    <n v="0"/>
    <n v="23"/>
    <n v="2"/>
    <n v="20260309"/>
    <n v="20260402"/>
    <n v="852.58979999999997"/>
    <n v="25"/>
    <n v="34.103591999999999"/>
    <n v="0"/>
    <n v="784.38261599999998"/>
    <n v="42.330568933177133"/>
    <n v="826.7131849331771"/>
    <n v="0"/>
    <n v="808.93425904773983"/>
    <n v="43.655540952260118"/>
    <n v="852.58979999999997"/>
  </r>
  <r>
    <x v="0"/>
    <x v="1"/>
    <x v="0"/>
    <n v="24"/>
    <n v="9"/>
    <n v="0"/>
    <n v="20260205"/>
    <n v="20260309"/>
    <n v="127074.5003"/>
    <n v="33"/>
    <n v="3850.7424333333333"/>
    <n v="125351.7207954569"/>
    <n v="34656.681900000003"/>
    <n v="0"/>
    <n v="160008.4026954569"/>
    <n v="99551.067403287539"/>
    <n v="27523.432896712471"/>
    <n v="0"/>
    <n v="127074.50030000001"/>
  </r>
  <r>
    <x v="0"/>
    <x v="1"/>
    <x v="0"/>
    <n v="0"/>
    <n v="14"/>
    <n v="0"/>
    <n v="20260306"/>
    <n v="20260319"/>
    <n v="24647.1656"/>
    <n v="14"/>
    <n v="1760.5118285714286"/>
    <n v="0"/>
    <n v="24647.1656"/>
    <n v="0"/>
    <n v="24647.1656"/>
    <n v="0"/>
    <n v="24647.1656"/>
    <n v="0"/>
    <n v="24647.1656"/>
  </r>
  <r>
    <x v="0"/>
    <x v="1"/>
    <x v="1"/>
    <n v="21"/>
    <n v="7"/>
    <n v="0"/>
    <n v="20260208"/>
    <n v="20260307"/>
    <n v="13438.7986"/>
    <n v="28"/>
    <n v="479.95709285714287"/>
    <n v="13670.874505842941"/>
    <n v="3359.69965"/>
    <n v="0"/>
    <n v="17030.57415584294"/>
    <n v="10787.665024603186"/>
    <n v="2651.1335753968151"/>
    <n v="0"/>
    <n v="13438.798600000002"/>
  </r>
  <r>
    <x v="0"/>
    <x v="1"/>
    <x v="0"/>
    <n v="0"/>
    <n v="29"/>
    <n v="0"/>
    <n v="20260302"/>
    <n v="20260330"/>
    <n v="22706.839800000002"/>
    <n v="29"/>
    <n v="782.99447586206907"/>
    <n v="0"/>
    <n v="22706.839800000002"/>
    <n v="0"/>
    <n v="22706.839800000002"/>
    <n v="0"/>
    <n v="22706.839800000002"/>
    <n v="0"/>
    <n v="22706.839800000002"/>
  </r>
  <r>
    <x v="0"/>
    <x v="1"/>
    <x v="0"/>
    <n v="0"/>
    <n v="13"/>
    <n v="0"/>
    <n v="20260304"/>
    <n v="20260316"/>
    <n v="759.93970000000002"/>
    <n v="13"/>
    <n v="58.456900000000005"/>
    <n v="0"/>
    <n v="759.93970000000002"/>
    <n v="0"/>
    <n v="759.93970000000002"/>
    <n v="0"/>
    <n v="759.93970000000002"/>
    <n v="0"/>
    <n v="759.93970000000002"/>
  </r>
  <r>
    <x v="0"/>
    <x v="0"/>
    <x v="0"/>
    <n v="0"/>
    <n v="30"/>
    <n v="13"/>
    <n v="20260302"/>
    <n v="20260413"/>
    <n v="6401.9005999999999"/>
    <n v="43"/>
    <n v="148.88140930232558"/>
    <n v="0"/>
    <n v="4466.4422790697672"/>
    <n v="1201.1792170078224"/>
    <n v="5667.6214960775897"/>
    <n v="0"/>
    <n v="5045.1004051754453"/>
    <n v="1356.8001948245549"/>
    <n v="6401.9005999999999"/>
  </r>
  <r>
    <x v="0"/>
    <x v="1"/>
    <x v="1"/>
    <n v="21"/>
    <n v="5"/>
    <n v="0"/>
    <n v="20260208"/>
    <n v="20260305"/>
    <n v="22011.4761"/>
    <n v="26"/>
    <n v="846.59523461538458"/>
    <n v="24114.024736616291"/>
    <n v="4232.9761730769233"/>
    <n v="0"/>
    <n v="28347.000909693215"/>
    <n v="18724.565637676929"/>
    <n v="3286.9104623230683"/>
    <n v="0"/>
    <n v="22011.476099999996"/>
  </r>
  <r>
    <x v="0"/>
    <x v="1"/>
    <x v="0"/>
    <n v="0"/>
    <n v="23"/>
    <n v="2"/>
    <n v="20260309"/>
    <n v="20260402"/>
    <n v="10889.8969"/>
    <n v="25"/>
    <n v="435.59587599999998"/>
    <n v="0"/>
    <n v="10018.705147999999"/>
    <n v="540.67680776927193"/>
    <n v="10559.381955769271"/>
    <n v="0"/>
    <n v="10332.296586128265"/>
    <n v="557.60031387173592"/>
    <n v="10889.8969"/>
  </r>
  <r>
    <x v="0"/>
    <x v="1"/>
    <x v="0"/>
    <n v="19"/>
    <n v="4"/>
    <n v="0"/>
    <n v="20260210"/>
    <n v="20260304"/>
    <n v="12631.419599999999"/>
    <n v="23"/>
    <n v="549.19215652173909"/>
    <n v="14153.130620533997"/>
    <n v="2196.7686260869564"/>
    <n v="0"/>
    <n v="16349.899246620953"/>
    <n v="10934.265026649671"/>
    <n v="1697.154573350329"/>
    <n v="0"/>
    <n v="12631.419600000001"/>
  </r>
  <r>
    <x v="0"/>
    <x v="0"/>
    <x v="1"/>
    <n v="0"/>
    <n v="24"/>
    <n v="6"/>
    <n v="20260308"/>
    <n v="20260406"/>
    <n v="1937.4767999999999"/>
    <n v="30"/>
    <n v="64.582560000000001"/>
    <n v="0"/>
    <n v="1549.98144"/>
    <n v="240.48638407013388"/>
    <n v="1790.4678240701339"/>
    <n v="0"/>
    <n v="1677.2449301009947"/>
    <n v="260.23186989900518"/>
    <n v="1937.4767999999999"/>
  </r>
  <r>
    <x v="0"/>
    <x v="1"/>
    <x v="0"/>
    <n v="0"/>
    <n v="27"/>
    <n v="11"/>
    <n v="20260305"/>
    <n v="20260411"/>
    <n v="658.94349999999997"/>
    <n v="38"/>
    <n v="17.340618421052632"/>
    <n v="0"/>
    <n v="468.19669736842104"/>
    <n v="118.38079516050959"/>
    <n v="586.57749252893063"/>
    <n v="0"/>
    <n v="525.95807780192285"/>
    <n v="132.98542219807709"/>
    <n v="658.94349999999997"/>
  </r>
  <r>
    <x v="0"/>
    <x v="1"/>
    <x v="1"/>
    <n v="0"/>
    <n v="12"/>
    <n v="0"/>
    <n v="20260306"/>
    <n v="20260317"/>
    <n v="252.94560000000001"/>
    <n v="12"/>
    <n v="21.078800000000001"/>
    <n v="0"/>
    <n v="252.94560000000001"/>
    <n v="0"/>
    <n v="252.94560000000001"/>
    <n v="0"/>
    <n v="252.94560000000001"/>
    <n v="0"/>
    <n v="252.94560000000001"/>
  </r>
  <r>
    <x v="0"/>
    <x v="1"/>
    <x v="0"/>
    <n v="25"/>
    <n v="12"/>
    <n v="0"/>
    <n v="20260204"/>
    <n v="20260312"/>
    <n v="8656.8938999999991"/>
    <n v="37"/>
    <n v="233.97010540540538"/>
    <n v="7933.6852554566458"/>
    <n v="2807.6412648648648"/>
    <n v="0"/>
    <n v="10741.326520321511"/>
    <n v="6394.0958653984571"/>
    <n v="2262.7980346015415"/>
    <n v="0"/>
    <n v="8656.8938999999991"/>
  </r>
  <r>
    <x v="0"/>
    <x v="1"/>
    <x v="1"/>
    <n v="27"/>
    <n v="8"/>
    <n v="0"/>
    <n v="20260202"/>
    <n v="20260308"/>
    <n v="12672.182699999999"/>
    <n v="35"/>
    <n v="362.06236285714283"/>
    <n v="13259.334694748899"/>
    <n v="2896.4989028571426"/>
    <n v="0"/>
    <n v="16155.833597606041"/>
    <n v="10400.250207900417"/>
    <n v="2271.9324920995828"/>
    <n v="0"/>
    <n v="12672.182699999999"/>
  </r>
  <r>
    <x v="0"/>
    <x v="1"/>
    <x v="0"/>
    <n v="0"/>
    <n v="30"/>
    <n v="9"/>
    <n v="20260302"/>
    <n v="20260409"/>
    <n v="2693.1149"/>
    <n v="39"/>
    <n v="69.054228205128211"/>
    <n v="0"/>
    <n v="2071.6268461538461"/>
    <n v="385.70633416680448"/>
    <n v="2457.3331803206506"/>
    <n v="0"/>
    <n v="2270.3999487317897"/>
    <n v="422.71495126821031"/>
    <n v="2693.1149"/>
  </r>
  <r>
    <x v="0"/>
    <x v="1"/>
    <x v="0"/>
    <n v="20"/>
    <n v="7"/>
    <n v="0"/>
    <n v="20260209"/>
    <n v="20260307"/>
    <n v="12806.6895"/>
    <n v="27"/>
    <n v="474.32183333333336"/>
    <n v="12867.011805418086"/>
    <n v="3320.2528333333335"/>
    <n v="0"/>
    <n v="16187.26463875142"/>
    <n v="10179.843763741308"/>
    <n v="2626.8457362586914"/>
    <n v="0"/>
    <n v="12806.6895"/>
  </r>
  <r>
    <x v="0"/>
    <x v="1"/>
    <x v="0"/>
    <n v="0"/>
    <n v="23"/>
    <n v="7"/>
    <n v="20260309"/>
    <n v="20260407"/>
    <n v="36349.743900000001"/>
    <n v="30"/>
    <n v="1211.65813"/>
    <n v="0"/>
    <n v="27868.136989999999"/>
    <n v="5263.83329310101"/>
    <n v="33131.970283101007"/>
    <n v="0"/>
    <n v="30574.687647637369"/>
    <n v="5775.0562523626304"/>
    <n v="36349.743900000001"/>
  </r>
  <r>
    <x v="0"/>
    <x v="1"/>
    <x v="1"/>
    <n v="19"/>
    <n v="5"/>
    <n v="0"/>
    <n v="20260210"/>
    <n v="20260305"/>
    <n v="15085.189200000001"/>
    <n v="24"/>
    <n v="628.54955000000007"/>
    <n v="16198.235493692326"/>
    <n v="3142.7477500000005"/>
    <n v="0"/>
    <n v="19340.983243692324"/>
    <n v="12633.972329622649"/>
    <n v="2451.2168703773518"/>
    <n v="0"/>
    <n v="15085.189200000001"/>
  </r>
  <r>
    <x v="0"/>
    <x v="1"/>
    <x v="0"/>
    <n v="0"/>
    <n v="24"/>
    <n v="0"/>
    <n v="20260302"/>
    <n v="20260325"/>
    <n v="8902.9685000000009"/>
    <n v="24"/>
    <n v="370.95702083333339"/>
    <n v="0"/>
    <n v="8902.9685000000009"/>
    <n v="0"/>
    <n v="8902.9685000000009"/>
    <n v="0"/>
    <n v="8902.9685000000009"/>
    <n v="0"/>
    <n v="8902.9685000000009"/>
  </r>
  <r>
    <x v="0"/>
    <x v="1"/>
    <x v="0"/>
    <n v="0"/>
    <n v="23"/>
    <n v="3"/>
    <n v="20260309"/>
    <n v="20260403"/>
    <n v="24330.237300000001"/>
    <n v="26"/>
    <n v="935.77835769230774"/>
    <n v="0"/>
    <n v="21522.902226923077"/>
    <n v="1742.2811478246717"/>
    <n v="23265.18337474775"/>
    <n v="0"/>
    <n v="22508.196481018047"/>
    <n v="1822.0408189819505"/>
    <n v="24330.237299999997"/>
  </r>
  <r>
    <x v="0"/>
    <x v="1"/>
    <x v="0"/>
    <n v="0"/>
    <n v="25"/>
    <n v="11"/>
    <n v="20260307"/>
    <n v="20260411"/>
    <n v="87.768600000000006"/>
    <n v="36"/>
    <n v="2.4380166666666669"/>
    <n v="0"/>
    <n v="60.950416666666676"/>
    <n v="16.643832682701706"/>
    <n v="77.594249349368383"/>
    <n v="0"/>
    <n v="68.942386647285048"/>
    <n v="18.826213352714959"/>
    <n v="87.768600000000006"/>
  </r>
  <r>
    <x v="0"/>
    <x v="1"/>
    <x v="1"/>
    <n v="19"/>
    <n v="8"/>
    <n v="0"/>
    <n v="20260210"/>
    <n v="20260308"/>
    <n v="84.544499999999999"/>
    <n v="27"/>
    <n v="3.1312777777777776"/>
    <n v="80.695586912137671"/>
    <n v="25.050222222222221"/>
    <n v="0"/>
    <n v="105.74580913435989"/>
    <n v="64.51667544597224"/>
    <n v="20.027824554027767"/>
    <n v="0"/>
    <n v="84.544499999999999"/>
  </r>
  <r>
    <x v="0"/>
    <x v="1"/>
    <x v="1"/>
    <n v="21"/>
    <n v="9"/>
    <n v="0"/>
    <n v="20260208"/>
    <n v="20260309"/>
    <n v="3592.7197000000001"/>
    <n v="30"/>
    <n v="119.75732333333333"/>
    <n v="3411.1118739794483"/>
    <n v="1077.81591"/>
    <n v="0"/>
    <n v="4488.9277839794486"/>
    <n v="2730.0882122201651"/>
    <n v="862.63148777983452"/>
    <n v="0"/>
    <n v="3592.7196999999996"/>
  </r>
  <r>
    <x v="0"/>
    <x v="1"/>
    <x v="0"/>
    <n v="0"/>
    <n v="25"/>
    <n v="0"/>
    <n v="20260302"/>
    <n v="20260326"/>
    <n v="1772.2793999999999"/>
    <n v="25"/>
    <n v="70.891176000000002"/>
    <n v="0"/>
    <n v="1772.2794000000001"/>
    <n v="0"/>
    <n v="1772.2794000000001"/>
    <n v="0"/>
    <n v="1772.2793999999999"/>
    <n v="0"/>
    <n v="1772.2793999999999"/>
  </r>
  <r>
    <x v="0"/>
    <x v="1"/>
    <x v="0"/>
    <n v="26"/>
    <n v="10"/>
    <n v="0"/>
    <n v="20260203"/>
    <n v="20260310"/>
    <n v="17698.401099999999"/>
    <n v="36"/>
    <n v="491.62225277777776"/>
    <n v="17337.220324851034"/>
    <n v="4916.2225277777779"/>
    <n v="0"/>
    <n v="22253.44285262881"/>
    <n v="13788.476744938305"/>
    <n v="3909.9243550616952"/>
    <n v="0"/>
    <n v="17698.401099999999"/>
  </r>
  <r>
    <x v="0"/>
    <x v="1"/>
    <x v="0"/>
    <n v="0"/>
    <n v="19"/>
    <n v="0"/>
    <n v="20260302"/>
    <n v="20260320"/>
    <n v="506.33"/>
    <n v="19"/>
    <n v="26.648947368421052"/>
    <n v="0"/>
    <n v="506.33"/>
    <n v="0"/>
    <n v="506.33"/>
    <n v="0"/>
    <n v="506.33"/>
    <n v="0"/>
    <n v="506.33"/>
  </r>
  <r>
    <x v="0"/>
    <x v="1"/>
    <x v="0"/>
    <n v="27"/>
    <n v="10"/>
    <n v="0"/>
    <n v="20260202"/>
    <n v="20260310"/>
    <n v="13010.411899999999"/>
    <n v="37"/>
    <n v="351.63275405405403"/>
    <n v="12877.384820798543"/>
    <n v="3516.3275405405402"/>
    <n v="0"/>
    <n v="16393.712361339083"/>
    <n v="10219.776766884275"/>
    <n v="2790.6351331157234"/>
    <n v="0"/>
    <n v="13010.411899999999"/>
  </r>
  <r>
    <x v="0"/>
    <x v="0"/>
    <x v="0"/>
    <n v="0"/>
    <n v="29"/>
    <n v="14"/>
    <n v="20260303"/>
    <n v="20260414"/>
    <n v="3240.5632000000001"/>
    <n v="43"/>
    <n v="75.361934883720934"/>
    <n v="0"/>
    <n v="2185.4961116279069"/>
    <n v="654.79305102907313"/>
    <n v="2840.2891626569799"/>
    <n v="0"/>
    <n v="2493.4919888436038"/>
    <n v="747.07121115639632"/>
    <n v="3240.5632000000001"/>
  </r>
  <r>
    <x v="0"/>
    <x v="1"/>
    <x v="1"/>
    <n v="17"/>
    <n v="1"/>
    <n v="0"/>
    <n v="20260212"/>
    <n v="20260301"/>
    <n v="4102.3680000000004"/>
    <n v="18"/>
    <n v="227.90933333333336"/>
    <n v="5255.1560881417463"/>
    <n v="227.90933333333336"/>
    <n v="0"/>
    <n v="5483.0654214750793"/>
    <n v="3931.8487951212687"/>
    <n v="170.51920487873204"/>
    <n v="0"/>
    <n v="4102.3680000000004"/>
  </r>
  <r>
    <x v="0"/>
    <x v="1"/>
    <x v="0"/>
    <n v="28"/>
    <n v="3"/>
    <n v="0"/>
    <n v="20260131"/>
    <n v="20260303"/>
    <n v="6626.1903000000002"/>
    <n v="31"/>
    <n v="213.7480741935484"/>
    <n v="8117.7342493137239"/>
    <n v="641.24422258064521"/>
    <n v="0"/>
    <n v="8758.9784718943683"/>
    <n v="6141.0873554923692"/>
    <n v="485.10294450763143"/>
    <n v="0"/>
    <n v="6626.1903000000002"/>
  </r>
  <r>
    <x v="0"/>
    <x v="1"/>
    <x v="0"/>
    <n v="0"/>
    <n v="26"/>
    <n v="0"/>
    <n v="20260302"/>
    <n v="20260327"/>
    <n v="1055.0023000000001"/>
    <n v="26"/>
    <n v="40.577011538461541"/>
    <n v="0"/>
    <n v="1055.0023000000001"/>
    <n v="0"/>
    <n v="1055.0023000000001"/>
    <n v="0"/>
    <n v="1055.0023000000001"/>
    <n v="0"/>
    <n v="1055.0023000000001"/>
  </r>
  <r>
    <x v="0"/>
    <x v="1"/>
    <x v="1"/>
    <n v="21"/>
    <n v="1"/>
    <n v="0"/>
    <n v="20260208"/>
    <n v="20260301"/>
    <n v="4854.7152999999998"/>
    <n v="22"/>
    <n v="220.66887727272726"/>
    <n v="6285.4296215987597"/>
    <n v="220.66887727272726"/>
    <n v="0"/>
    <n v="6506.0984988714872"/>
    <n v="4690.0567761680059"/>
    <n v="164.65852383199402"/>
    <n v="0"/>
    <n v="4854.7152999999998"/>
  </r>
  <r>
    <x v="0"/>
    <x v="1"/>
    <x v="0"/>
    <n v="0"/>
    <n v="22"/>
    <n v="0"/>
    <n v="20260304"/>
    <n v="20260325"/>
    <n v="84.3369"/>
    <n v="22"/>
    <n v="3.8334954545454547"/>
    <n v="0"/>
    <n v="84.3369"/>
    <n v="0"/>
    <n v="84.3369"/>
    <n v="0"/>
    <n v="84.3369"/>
    <n v="0"/>
    <n v="84.3369"/>
  </r>
  <r>
    <x v="0"/>
    <x v="0"/>
    <x v="0"/>
    <n v="3"/>
    <n v="31"/>
    <n v="1"/>
    <n v="20260226"/>
    <n v="20260401"/>
    <n v="456.09190000000001"/>
    <n v="35"/>
    <n v="13.031197142857144"/>
    <n v="53.024936559700834"/>
    <n v="403.96711142857146"/>
    <n v="8.0873884038012065"/>
    <n v="465.07943639207349"/>
    <n v="52.000243765896158"/>
    <n v="396.16055445987257"/>
    <n v="7.9311017742312835"/>
    <n v="456.09190000000007"/>
  </r>
  <r>
    <x v="0"/>
    <x v="1"/>
    <x v="0"/>
    <n v="2"/>
    <n v="31"/>
    <n v="6"/>
    <n v="20260227"/>
    <n v="20260406"/>
    <n v="13606.8907"/>
    <n v="39"/>
    <n v="348.89463333333333"/>
    <n v="946.45260885390712"/>
    <n v="10815.733633333333"/>
    <n v="1299.1805959969461"/>
    <n v="13061.366838184187"/>
    <n v="985.98235245610215"/>
    <n v="11267.465894828214"/>
    <n v="1353.4424527156839"/>
    <n v="13606.8907"/>
  </r>
  <r>
    <x v="0"/>
    <x v="1"/>
    <x v="1"/>
    <n v="2"/>
    <n v="31"/>
    <n v="1"/>
    <n v="20260227"/>
    <n v="20260401"/>
    <n v="655.77229999999997"/>
    <n v="34"/>
    <n v="19.287420588235292"/>
    <n v="52.321325092889609"/>
    <n v="597.91003823529411"/>
    <n v="11.970109875133886"/>
    <n v="662.20147320331762"/>
    <n v="51.813348480240187"/>
    <n v="592.10505689446177"/>
    <n v="11.853894625298057"/>
    <n v="655.77229999999997"/>
  </r>
  <r>
    <x v="0"/>
    <x v="1"/>
    <x v="0"/>
    <n v="28"/>
    <n v="3"/>
    <n v="0"/>
    <n v="20260127"/>
    <n v="20260303"/>
    <n v="187014.43280000001"/>
    <n v="31"/>
    <n v="6032.7236387096773"/>
    <n v="229111.05741356983"/>
    <n v="18098.170916129031"/>
    <n v="0"/>
    <n v="247209.22832969885"/>
    <n v="173323.11880065643"/>
    <n v="13691.313999343571"/>
    <n v="0"/>
    <n v="187014.43280000001"/>
  </r>
  <r>
    <x v="0"/>
    <x v="1"/>
    <x v="0"/>
    <n v="28"/>
    <n v="1"/>
    <n v="0"/>
    <n v="20260127"/>
    <n v="20260301"/>
    <n v="24371.091199999999"/>
    <n v="29"/>
    <n v="840.38245517241376"/>
    <n v="31916.083757078206"/>
    <n v="840.38245517241376"/>
    <n v="0"/>
    <n v="32756.46621225062"/>
    <n v="23745.839461147072"/>
    <n v="625.25173885292566"/>
    <n v="0"/>
    <n v="24371.091199999999"/>
  </r>
  <r>
    <x v="0"/>
    <x v="1"/>
    <x v="0"/>
    <n v="16"/>
    <n v="16"/>
    <n v="0"/>
    <n v="20260213"/>
    <n v="20260316"/>
    <n v="78765.834799999997"/>
    <n v="32"/>
    <n v="2461.4323374999999"/>
    <n v="53417.366385650814"/>
    <n v="39382.917399999998"/>
    <n v="0"/>
    <n v="92800.283785650812"/>
    <n v="45338.907216077088"/>
    <n v="33426.927583922916"/>
    <n v="0"/>
    <n v="78765.834800000011"/>
  </r>
  <r>
    <x v="0"/>
    <x v="1"/>
    <x v="1"/>
    <n v="28"/>
    <n v="5"/>
    <n v="0"/>
    <n v="20260130"/>
    <n v="20260305"/>
    <n v="1519.5947000000001"/>
    <n v="33"/>
    <n v="46.048324242424243"/>
    <n v="1748.8253881892208"/>
    <n v="230.24162121212123"/>
    <n v="0"/>
    <n v="1979.0670094013421"/>
    <n v="1342.8073827180137"/>
    <n v="176.78731728198639"/>
    <n v="0"/>
    <n v="1519.5947000000001"/>
  </r>
  <r>
    <x v="0"/>
    <x v="1"/>
    <x v="0"/>
    <n v="17"/>
    <n v="3"/>
    <n v="0"/>
    <n v="20260212"/>
    <n v="20260303"/>
    <n v="9548.6108999999997"/>
    <n v="20"/>
    <n v="477.430545"/>
    <n v="11008.641017575328"/>
    <n v="1432.291635"/>
    <n v="0"/>
    <n v="12440.932652575328"/>
    <n v="8449.3046100404008"/>
    <n v="1099.3062899595996"/>
    <n v="0"/>
    <n v="9548.6108999999997"/>
  </r>
  <r>
    <x v="0"/>
    <x v="1"/>
    <x v="0"/>
    <n v="4"/>
    <n v="5"/>
    <n v="0"/>
    <n v="20260225"/>
    <n v="20260305"/>
    <n v="42.403700000000001"/>
    <n v="9"/>
    <n v="4.7115222222222224"/>
    <n v="25.562058414553125"/>
    <n v="23.557611111111111"/>
    <n v="0"/>
    <n v="49.119669525664236"/>
    <n v="22.067042935353069"/>
    <n v="20.336657064646932"/>
    <n v="0"/>
    <n v="42.403700000000001"/>
  </r>
  <r>
    <x v="0"/>
    <x v="1"/>
    <x v="0"/>
    <n v="28"/>
    <n v="1"/>
    <n v="0"/>
    <n v="20260128"/>
    <n v="20260301"/>
    <n v="8054.7440999999999"/>
    <n v="29"/>
    <n v="277.74979655172416"/>
    <n v="10548.394621633994"/>
    <n v="277.74979655172416"/>
    <n v="0"/>
    <n v="10826.144418185719"/>
    <n v="7848.0958743128231"/>
    <n v="206.64822568717577"/>
    <n v="0"/>
    <n v="8054.744099999999"/>
  </r>
  <r>
    <x v="0"/>
    <x v="1"/>
    <x v="0"/>
    <n v="28"/>
    <n v="1"/>
    <n v="0"/>
    <n v="20260129"/>
    <n v="20260301"/>
    <n v="36484.274799999999"/>
    <n v="29"/>
    <n v="1258.0784413793103"/>
    <n v="47779.361243088606"/>
    <n v="1258.0784413793103"/>
    <n v="0"/>
    <n v="49037.439684467914"/>
    <n v="35548.253672661718"/>
    <n v="936.02112733827755"/>
    <n v="0"/>
    <n v="36484.274799999999"/>
  </r>
  <r>
    <x v="0"/>
    <x v="1"/>
    <x v="1"/>
    <n v="6"/>
    <n v="3"/>
    <n v="0"/>
    <n v="20260223"/>
    <n v="20260303"/>
    <n v="84.738200000000006"/>
    <n v="9"/>
    <n v="9.415355555555557"/>
    <n v="76.623601891253088"/>
    <n v="28.246066666666671"/>
    <n v="0"/>
    <n v="104.86966855791977"/>
    <n v="61.914433325354828"/>
    <n v="22.823766674645174"/>
    <n v="0"/>
    <n v="84.738200000000006"/>
  </r>
  <r>
    <x v="0"/>
    <x v="1"/>
    <x v="0"/>
    <n v="18"/>
    <n v="3"/>
    <n v="0"/>
    <n v="20260211"/>
    <n v="20260303"/>
    <n v="591.43780000000004"/>
    <n v="21"/>
    <n v="28.163704761904764"/>
    <n v="687.60159573123383"/>
    <n v="84.491114285714289"/>
    <n v="0"/>
    <n v="772.0927100169481"/>
    <n v="526.71598861080236"/>
    <n v="64.721811389197711"/>
    <n v="0"/>
    <n v="591.43780000000004"/>
  </r>
  <r>
    <x v="0"/>
    <x v="1"/>
    <x v="0"/>
    <n v="16"/>
    <n v="3"/>
    <n v="0"/>
    <n v="20260213"/>
    <n v="20260303"/>
    <n v="1225.0923"/>
    <n v="19"/>
    <n v="64.478542105263159"/>
    <n v="1399.2966027039754"/>
    <n v="193.43562631578948"/>
    <n v="0"/>
    <n v="1592.7322290197649"/>
    <n v="1076.3061499947376"/>
    <n v="148.78615000526264"/>
    <n v="0"/>
    <n v="1225.0923000000003"/>
  </r>
  <r>
    <x v="0"/>
    <x v="1"/>
    <x v="1"/>
    <n v="28"/>
    <n v="3"/>
    <n v="0"/>
    <n v="20260128"/>
    <n v="20260303"/>
    <n v="126.5528"/>
    <n v="31"/>
    <n v="4.0823483870967747"/>
    <n v="155.03961588705803"/>
    <n v="12.247045161290323"/>
    <n v="0"/>
    <n v="167.28666104834835"/>
    <n v="117.2878780559856"/>
    <n v="9.2649219440144037"/>
    <n v="0"/>
    <n v="126.5528"/>
  </r>
  <r>
    <x v="0"/>
    <x v="1"/>
    <x v="1"/>
    <n v="6"/>
    <n v="5"/>
    <n v="0"/>
    <n v="20260223"/>
    <n v="20260305"/>
    <n v="42.384900000000002"/>
    <n v="11"/>
    <n v="3.8531727272727276"/>
    <n v="31.357708302218057"/>
    <n v="19.265863636363637"/>
    <n v="0"/>
    <n v="50.623571938581691"/>
    <n v="26.254436021053301"/>
    <n v="16.130463978946704"/>
    <n v="0"/>
    <n v="42.384900000000002"/>
  </r>
  <r>
    <x v="0"/>
    <x v="1"/>
    <x v="0"/>
    <n v="28"/>
    <n v="6"/>
    <n v="0"/>
    <n v="20260126"/>
    <n v="20260306"/>
    <n v="7004.0671000000002"/>
    <n v="34"/>
    <n v="206.00197352941177"/>
    <n v="7823.5524799708319"/>
    <n v="1236.0118411764706"/>
    <n v="0"/>
    <n v="9059.5643211473034"/>
    <n v="6048.4902571062776"/>
    <n v="955.57684289372173"/>
    <n v="0"/>
    <n v="7004.0670999999993"/>
  </r>
  <r>
    <x v="0"/>
    <x v="1"/>
    <x v="1"/>
    <n v="9"/>
    <n v="10"/>
    <n v="0"/>
    <n v="20260220"/>
    <n v="20260310"/>
    <n v="42.334499999999998"/>
    <n v="19"/>
    <n v="2.2281315789473681"/>
    <n v="27.19931277037978"/>
    <n v="22.28131578947368"/>
    <n v="0"/>
    <n v="49.480628559853457"/>
    <n v="23.271113160674311"/>
    <n v="19.063386839325695"/>
    <n v="0"/>
    <n v="42.334500000000006"/>
  </r>
  <r>
    <x v="0"/>
    <x v="1"/>
    <x v="1"/>
    <n v="0"/>
    <n v="14"/>
    <n v="4"/>
    <n v="20260318"/>
    <n v="20260404"/>
    <n v="3179.7366000000002"/>
    <n v="18"/>
    <n v="176.65203333333335"/>
    <n v="0"/>
    <n v="2473.128466666667"/>
    <n v="438.5333412505388"/>
    <n v="2911.6618079172058"/>
    <n v="0"/>
    <n v="2700.8277817770154"/>
    <n v="478.90881822298468"/>
    <n v="3179.7366000000002"/>
  </r>
  <r>
    <x v="0"/>
    <x v="0"/>
    <x v="1"/>
    <n v="0"/>
    <n v="13"/>
    <n v="1"/>
    <n v="20260319"/>
    <n v="20260401"/>
    <n v="219.96090000000001"/>
    <n v="14"/>
    <n v="15.711492857142858"/>
    <n v="0"/>
    <n v="204.24940714285714"/>
    <n v="9.7508267081134132"/>
    <n v="214.00023385097055"/>
    <n v="0"/>
    <n v="209.93847815557203"/>
    <n v="10.022421844427983"/>
    <n v="219.96090000000001"/>
  </r>
  <r>
    <x v="0"/>
    <x v="1"/>
    <x v="0"/>
    <n v="0"/>
    <n v="8"/>
    <n v="2"/>
    <n v="20260324"/>
    <n v="20260402"/>
    <n v="1149.8046999999999"/>
    <n v="10"/>
    <n v="114.98047"/>
    <n v="0"/>
    <n v="919.84375999999997"/>
    <n v="142.71777328628917"/>
    <n v="1062.5615332862892"/>
    <n v="0"/>
    <n v="995.36887547829997"/>
    <n v="154.43582452169986"/>
    <n v="1149.8046999999999"/>
  </r>
  <r>
    <x v="0"/>
    <x v="1"/>
    <x v="0"/>
    <n v="0"/>
    <n v="8"/>
    <n v="5"/>
    <n v="20260324"/>
    <n v="20260405"/>
    <n v="467.57850000000002"/>
    <n v="13"/>
    <n v="35.967576923076926"/>
    <n v="0"/>
    <n v="287.74061538461541"/>
    <n v="111.6105302266737"/>
    <n v="399.3511456112891"/>
    <n v="0"/>
    <n v="336.89981062824353"/>
    <n v="130.67868937175649"/>
    <n v="467.57850000000002"/>
  </r>
  <r>
    <x v="0"/>
    <x v="1"/>
    <x v="0"/>
    <n v="0"/>
    <n v="11"/>
    <n v="4"/>
    <n v="20260321"/>
    <n v="20260404"/>
    <n v="2135.0246999999999"/>
    <n v="15"/>
    <n v="142.33498"/>
    <n v="0"/>
    <n v="1565.68478"/>
    <n v="353.34229206661803"/>
    <n v="1919.0270720666181"/>
    <n v="0"/>
    <n v="1741.9116834627039"/>
    <n v="393.11301653729623"/>
    <n v="2135.0246999999999"/>
  </r>
  <r>
    <x v="0"/>
    <x v="0"/>
    <x v="0"/>
    <n v="0"/>
    <n v="12"/>
    <n v="7"/>
    <n v="20260320"/>
    <n v="20260407"/>
    <n v="1087.0949000000001"/>
    <n v="19"/>
    <n v="57.21552105263158"/>
    <n v="0"/>
    <n v="686.58625263157899"/>
    <n v="248.56265735530852"/>
    <n v="935.14890998688747"/>
    <n v="0"/>
    <n v="798.14498597487193"/>
    <n v="288.94991402512812"/>
    <n v="1087.0949000000001"/>
  </r>
  <r>
    <x v="0"/>
    <x v="1"/>
    <x v="0"/>
    <n v="0"/>
    <n v="8"/>
    <n v="10"/>
    <n v="20260324"/>
    <n v="20260410"/>
    <n v="112.473"/>
    <n v="18"/>
    <n v="6.2484999999999999"/>
    <n v="0"/>
    <n v="49.988"/>
    <n v="38.77928166319802"/>
    <n v="88.76728166319802"/>
    <n v="0"/>
    <n v="63.337529534048436"/>
    <n v="49.13547046595157"/>
    <n v="112.47300000000001"/>
  </r>
  <r>
    <x v="0"/>
    <x v="1"/>
    <x v="0"/>
    <n v="0"/>
    <n v="15"/>
    <n v="3"/>
    <n v="20260317"/>
    <n v="20260403"/>
    <n v="16645.225999999999"/>
    <n v="18"/>
    <n v="924.73477777777771"/>
    <n v="0"/>
    <n v="13871.021666666666"/>
    <n v="1721.7196324493527"/>
    <n v="15592.741299116018"/>
    <n v="0"/>
    <n v="14807.293090000325"/>
    <n v="1837.9329099996744"/>
    <n v="16645.225999999999"/>
  </r>
  <r>
    <x v="0"/>
    <x v="0"/>
    <x v="0"/>
    <n v="0"/>
    <n v="16"/>
    <n v="8"/>
    <n v="20260316"/>
    <n v="20260408"/>
    <n v="491.30829999999997"/>
    <n v="24"/>
    <n v="20.471179166666666"/>
    <n v="0"/>
    <n v="327.53886666666665"/>
    <n v="101.63816888942408"/>
    <n v="429.17703555609074"/>
    <n v="0"/>
    <n v="374.95613798957584"/>
    <n v="116.35216201042412"/>
    <n v="491.30829999999997"/>
  </r>
  <r>
    <x v="0"/>
    <x v="0"/>
    <x v="0"/>
    <n v="0"/>
    <n v="8"/>
    <n v="1"/>
    <n v="20260324"/>
    <n v="20260401"/>
    <n v="1489.6876999999999"/>
    <n v="9"/>
    <n v="165.52085555555556"/>
    <n v="0"/>
    <n v="1324.1668444444445"/>
    <n v="102.72513209126036"/>
    <n v="1426.8919765357048"/>
    <n v="0"/>
    <n v="1382.4417638859309"/>
    <n v="107.245936114069"/>
    <n v="1489.6876999999999"/>
  </r>
  <r>
    <x v="0"/>
    <x v="0"/>
    <x v="0"/>
    <n v="0"/>
    <n v="8"/>
    <n v="6"/>
    <n v="20260324"/>
    <n v="20260406"/>
    <n v="795.6241"/>
    <n v="14"/>
    <n v="56.830292857142858"/>
    <n v="0"/>
    <n v="454.64234285714286"/>
    <n v="211.61923025134095"/>
    <n v="666.26157310848384"/>
    <n v="0"/>
    <n v="542.91650525477326"/>
    <n v="252.70759474522663"/>
    <n v="795.62409999999988"/>
  </r>
  <r>
    <x v="0"/>
    <x v="0"/>
    <x v="0"/>
    <n v="0"/>
    <n v="21"/>
    <n v="3"/>
    <n v="20260311"/>
    <n v="20260403"/>
    <n v="31.578199999999999"/>
    <n v="24"/>
    <n v="1.3157583333333334"/>
    <n v="0"/>
    <n v="27.630925000000001"/>
    <n v="2.4497477638969349"/>
    <n v="30.080672763896935"/>
    <n v="0"/>
    <n v="29.006494724487123"/>
    <n v="2.5717052755128744"/>
    <n v="31.578199999999995"/>
  </r>
  <r>
    <x v="0"/>
    <x v="1"/>
    <x v="0"/>
    <n v="0"/>
    <n v="21"/>
    <n v="3"/>
    <n v="20260311"/>
    <n v="20260403"/>
    <n v="221.0472"/>
    <n v="24"/>
    <n v="9.2103000000000002"/>
    <n v="0"/>
    <n v="193.41630000000001"/>
    <n v="17.148218831842172"/>
    <n v="210.56451883184218"/>
    <n v="0"/>
    <n v="203.04527935926211"/>
    <n v="18.001920640737897"/>
    <n v="221.0472"/>
  </r>
  <r>
    <x v="0"/>
    <x v="1"/>
    <x v="0"/>
    <n v="0"/>
    <n v="2"/>
    <n v="15"/>
    <n v="20260330"/>
    <n v="20260415"/>
    <n v="4.9565999999999999"/>
    <n v="17"/>
    <n v="0.29156470588235295"/>
    <n v="0"/>
    <n v="0.5831294117647059"/>
    <n v="2.7142521851146486"/>
    <n v="3.2973815968793545"/>
    <n v="0"/>
    <n v="0.87655588455044497"/>
    <n v="4.0800441154495548"/>
    <n v="4.9565999999999999"/>
  </r>
  <r>
    <x v="0"/>
    <x v="0"/>
    <x v="0"/>
    <n v="0"/>
    <n v="11"/>
    <n v="2"/>
    <n v="20260321"/>
    <n v="20260402"/>
    <n v="506.6857"/>
    <n v="13"/>
    <n v="38.975823076923078"/>
    <n v="0"/>
    <n v="428.73405384615387"/>
    <n v="48.378152233495186"/>
    <n v="477.11220607964907"/>
    <n v="0"/>
    <n v="455.30885904564605"/>
    <n v="51.376840954353938"/>
    <n v="506.6857"/>
  </r>
  <r>
    <x v="0"/>
    <x v="1"/>
    <x v="1"/>
    <n v="0"/>
    <n v="7"/>
    <n v="3"/>
    <n v="20260325"/>
    <n v="20260403"/>
    <n v="118.25709999999999"/>
    <n v="10"/>
    <n v="11.825709999999999"/>
    <n v="0"/>
    <n v="82.779969999999992"/>
    <n v="22.017726124220086"/>
    <n v="104.79769612422008"/>
    <n v="0"/>
    <n v="93.411587776542376"/>
    <n v="24.845512223457618"/>
    <n v="118.25709999999999"/>
  </r>
  <r>
    <x v="0"/>
    <x v="0"/>
    <x v="0"/>
    <n v="0"/>
    <n v="15"/>
    <n v="6"/>
    <n v="20260317"/>
    <n v="20260406"/>
    <n v="1095.1213"/>
    <n v="21"/>
    <n v="52.148633333333336"/>
    <n v="0"/>
    <n v="782.22950000000003"/>
    <n v="194.18611254389089"/>
    <n v="976.41561254389092"/>
    <n v="0"/>
    <n v="877.32741665869594"/>
    <n v="217.79388334130402"/>
    <n v="1095.1213"/>
  </r>
  <r>
    <x v="0"/>
    <x v="0"/>
    <x v="0"/>
    <n v="0"/>
    <n v="14"/>
    <n v="6"/>
    <n v="20260318"/>
    <n v="20260406"/>
    <n v="126.39570000000001"/>
    <n v="20"/>
    <n v="6.3197850000000004"/>
    <n v="0"/>
    <n v="88.476990000000001"/>
    <n v="23.533013289511459"/>
    <n v="112.01000328951146"/>
    <n v="0"/>
    <n v="99.840288871683128"/>
    <n v="26.555411128316887"/>
    <n v="126.39570000000002"/>
  </r>
  <r>
    <x v="0"/>
    <x v="0"/>
    <x v="0"/>
    <n v="0"/>
    <n v="16"/>
    <n v="9"/>
    <n v="20260316"/>
    <n v="20260409"/>
    <n v="6549.4341999999997"/>
    <n v="25"/>
    <n v="261.97736800000001"/>
    <n v="0"/>
    <n v="4191.6378880000002"/>
    <n v="1463.289546091022"/>
    <n v="5654.9274340910224"/>
    <n v="0"/>
    <n v="4854.6788367578338"/>
    <n v="1694.7553632421652"/>
    <n v="6549.4341999999988"/>
  </r>
  <r>
    <x v="0"/>
    <x v="1"/>
    <x v="0"/>
    <n v="0"/>
    <n v="16"/>
    <n v="9"/>
    <n v="20260316"/>
    <n v="20260409"/>
    <n v="11643.4385"/>
    <n v="25"/>
    <n v="465.73754000000002"/>
    <n v="0"/>
    <n v="7451.8006400000004"/>
    <n v="2601.4036201178615"/>
    <n v="10053.204260117862"/>
    <n v="0"/>
    <n v="8630.5400965844328"/>
    <n v="3012.8984034155674"/>
    <n v="11643.43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D053E-D276-41B6-BB4E-9BEBD2F473C0}" name="피벗 테이블3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8" indent="0" compact="0" compactData="0" multipleFieldFilters="0">
  <location ref="A8:G13" firstHeaderRow="0" firstDataRow="1" firstDataCol="3"/>
  <pivotFields count="19"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2"/>
    <field x="1"/>
  </rowFields>
  <rowItems count="5">
    <i>
      <x/>
      <x/>
      <x/>
    </i>
    <i r="2">
      <x v="1"/>
    </i>
    <i r="1">
      <x v="1"/>
      <x/>
    </i>
    <i r="2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2월보정공급량" fld="15" baseField="0" baseItem="0"/>
    <dataField name="합계 : 3월보정공급량" fld="16" baseField="0" baseItem="0"/>
    <dataField name="합계 : 4월보정공급량" fld="17" baseField="0" baseItem="0"/>
    <dataField name="합계 : 보정공급량합계" fld="18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17E-31A4-4CBD-B4FC-C91428A250B7}">
  <dimension ref="A2:G17"/>
  <sheetViews>
    <sheetView tabSelected="1" workbookViewId="0">
      <selection activeCell="E16" sqref="E16:E17"/>
    </sheetView>
  </sheetViews>
  <sheetFormatPr defaultRowHeight="16.5" x14ac:dyDescent="0.3"/>
  <cols>
    <col min="1" max="1" width="21.5" bestFit="1" customWidth="1"/>
    <col min="2" max="2" width="20.625" customWidth="1"/>
    <col min="3" max="3" width="16.875" bestFit="1" customWidth="1"/>
    <col min="4" max="6" width="20.625" bestFit="1" customWidth="1"/>
    <col min="7" max="7" width="21.5" bestFit="1" customWidth="1"/>
  </cols>
  <sheetData>
    <row r="2" spans="1:7" x14ac:dyDescent="0.3">
      <c r="A2" s="1" t="s">
        <v>18</v>
      </c>
      <c r="B2" s="4" t="s">
        <v>26</v>
      </c>
      <c r="C2" s="4" t="s">
        <v>30</v>
      </c>
      <c r="D2" s="4" t="s">
        <v>34</v>
      </c>
    </row>
    <row r="3" spans="1:7" x14ac:dyDescent="0.3">
      <c r="A3" s="1" t="s">
        <v>19</v>
      </c>
      <c r="B3" s="2">
        <v>5709938</v>
      </c>
      <c r="C3" s="2">
        <v>4660800</v>
      </c>
      <c r="D3" s="2">
        <v>2799265</v>
      </c>
    </row>
    <row r="4" spans="1:7" x14ac:dyDescent="0.3">
      <c r="A4" s="1" t="s">
        <v>20</v>
      </c>
      <c r="B4" s="2">
        <v>28</v>
      </c>
      <c r="C4" s="2">
        <v>31</v>
      </c>
      <c r="D4" s="2">
        <v>30</v>
      </c>
    </row>
    <row r="5" spans="1:7" x14ac:dyDescent="0.3">
      <c r="A5" s="1" t="s">
        <v>10</v>
      </c>
      <c r="B5" s="2">
        <f>B3/B4</f>
        <v>203926.35714285713</v>
      </c>
      <c r="C5" s="2">
        <f>C3/C4</f>
        <v>150348.38709677418</v>
      </c>
      <c r="D5" s="2">
        <f>D3/D4</f>
        <v>93308.833333333328</v>
      </c>
    </row>
    <row r="6" spans="1:7" x14ac:dyDescent="0.3">
      <c r="A6" s="1" t="s">
        <v>21</v>
      </c>
      <c r="B6" s="2">
        <f>B5/C5</f>
        <v>1.3563587949340394</v>
      </c>
      <c r="C6" s="2">
        <v>1</v>
      </c>
      <c r="D6" s="2">
        <f>D5/C5</f>
        <v>0.62061745480032038</v>
      </c>
    </row>
    <row r="7" spans="1:7" ht="17.25" thickBot="1" x14ac:dyDescent="0.35"/>
    <row r="8" spans="1:7" x14ac:dyDescent="0.3">
      <c r="A8" s="3" t="s">
        <v>22</v>
      </c>
      <c r="B8" s="3" t="s">
        <v>25</v>
      </c>
      <c r="C8" s="3" t="s">
        <v>23</v>
      </c>
      <c r="D8" t="s">
        <v>29</v>
      </c>
      <c r="E8" s="7" t="s">
        <v>33</v>
      </c>
      <c r="F8" t="s">
        <v>38</v>
      </c>
      <c r="G8" t="s">
        <v>17</v>
      </c>
    </row>
    <row r="9" spans="1:7" x14ac:dyDescent="0.3">
      <c r="A9" t="s">
        <v>13</v>
      </c>
      <c r="B9" t="s">
        <v>14</v>
      </c>
      <c r="C9" t="s">
        <v>37</v>
      </c>
      <c r="D9" s="6">
        <v>573.29309626228303</v>
      </c>
      <c r="E9" s="8">
        <v>15568117.322049525</v>
      </c>
      <c r="F9" s="6">
        <v>8476127.8475542162</v>
      </c>
      <c r="G9" s="6">
        <v>24044818.462699991</v>
      </c>
    </row>
    <row r="10" spans="1:7" x14ac:dyDescent="0.3">
      <c r="C10" t="s">
        <v>24</v>
      </c>
      <c r="D10" s="6">
        <v>34530509.872647621</v>
      </c>
      <c r="E10" s="8">
        <v>72339870.804301783</v>
      </c>
      <c r="F10" s="6">
        <v>9688976.1574505903</v>
      </c>
      <c r="G10" s="6">
        <v>116559356.83439995</v>
      </c>
    </row>
    <row r="11" spans="1:7" x14ac:dyDescent="0.3">
      <c r="B11" t="s">
        <v>15</v>
      </c>
      <c r="C11" t="s">
        <v>37</v>
      </c>
      <c r="D11" s="6">
        <v>1826.0636761439123</v>
      </c>
      <c r="E11" s="8">
        <v>14434946.201059112</v>
      </c>
      <c r="F11" s="6">
        <v>3965013.3779647411</v>
      </c>
      <c r="G11" s="6">
        <v>18401785.642700005</v>
      </c>
    </row>
    <row r="12" spans="1:7" x14ac:dyDescent="0.3">
      <c r="C12" t="s">
        <v>24</v>
      </c>
      <c r="D12" s="6">
        <v>120077354.90592995</v>
      </c>
      <c r="E12" s="8">
        <v>134626992.33998257</v>
      </c>
      <c r="F12" s="6">
        <v>8961436.4006874189</v>
      </c>
      <c r="G12" s="6">
        <v>263665783.64659977</v>
      </c>
    </row>
    <row r="13" spans="1:7" ht="17.25" thickBot="1" x14ac:dyDescent="0.35">
      <c r="A13" t="s">
        <v>16</v>
      </c>
      <c r="D13" s="6">
        <v>154610264.13534999</v>
      </c>
      <c r="E13" s="9">
        <v>236969926.667393</v>
      </c>
      <c r="F13" s="6">
        <v>31091553.78365697</v>
      </c>
      <c r="G13" s="6">
        <v>422671744.58639973</v>
      </c>
    </row>
    <row r="16" spans="1:7" x14ac:dyDescent="0.3">
      <c r="D16" t="s">
        <v>39</v>
      </c>
      <c r="E16">
        <f>SUM(E11:E12)</f>
        <v>149061938.54104167</v>
      </c>
    </row>
    <row r="17" spans="4:5" x14ac:dyDescent="0.3">
      <c r="D17" t="s">
        <v>40</v>
      </c>
      <c r="E17">
        <f>SUM(E9:E10)</f>
        <v>87907988.126351312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7CE4-068E-4220-B194-7E4D930DC5D0}">
  <dimension ref="A2:S874"/>
  <sheetViews>
    <sheetView workbookViewId="0"/>
  </sheetViews>
  <sheetFormatPr defaultRowHeight="16.5" x14ac:dyDescent="0.3"/>
  <cols>
    <col min="1" max="1" width="10.125" customWidth="1"/>
    <col min="2" max="2" width="16.875" bestFit="1" customWidth="1"/>
    <col min="3" max="4" width="12.75" bestFit="1" customWidth="1"/>
    <col min="7" max="7" width="15.25" customWidth="1"/>
    <col min="8" max="8" width="14.25" customWidth="1"/>
    <col min="10" max="10" width="7.125" bestFit="1" customWidth="1"/>
    <col min="11" max="14" width="12.75" bestFit="1" customWidth="1"/>
    <col min="15" max="15" width="13" bestFit="1" customWidth="1"/>
    <col min="16" max="18" width="16.125" bestFit="1" customWidth="1"/>
    <col min="19" max="19" width="15.125" bestFit="1" customWidth="1"/>
  </cols>
  <sheetData>
    <row r="2" spans="1:19" x14ac:dyDescent="0.3">
      <c r="B2" s="5" t="s">
        <v>26</v>
      </c>
      <c r="C2" s="5" t="s">
        <v>30</v>
      </c>
      <c r="D2" s="5" t="s">
        <v>34</v>
      </c>
    </row>
    <row r="3" spans="1:19" x14ac:dyDescent="0.3">
      <c r="A3" t="s">
        <v>19</v>
      </c>
      <c r="B3">
        <v>5709938</v>
      </c>
      <c r="C3">
        <v>4660800</v>
      </c>
      <c r="D3">
        <v>2799265</v>
      </c>
    </row>
    <row r="4" spans="1:19" x14ac:dyDescent="0.3">
      <c r="A4" t="s">
        <v>20</v>
      </c>
      <c r="B4">
        <v>28</v>
      </c>
      <c r="C4">
        <v>31</v>
      </c>
      <c r="D4">
        <v>30</v>
      </c>
    </row>
    <row r="5" spans="1:19" x14ac:dyDescent="0.3">
      <c r="A5" t="s">
        <v>10</v>
      </c>
      <c r="B5">
        <f>B3/B4</f>
        <v>203926.35714285713</v>
      </c>
      <c r="C5">
        <f>C3/C4</f>
        <v>150348.38709677418</v>
      </c>
      <c r="D5">
        <f>D3/D4</f>
        <v>93308.833333333328</v>
      </c>
    </row>
    <row r="6" spans="1:19" x14ac:dyDescent="0.3">
      <c r="A6" t="s">
        <v>21</v>
      </c>
      <c r="B6">
        <f>B5/C5</f>
        <v>1.3563587949340394</v>
      </c>
      <c r="C6">
        <v>1</v>
      </c>
      <c r="D6">
        <f>D5/C5</f>
        <v>0.62061745480032038</v>
      </c>
    </row>
    <row r="9" spans="1:1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27</v>
      </c>
      <c r="M9" t="s">
        <v>31</v>
      </c>
      <c r="N9" t="s">
        <v>35</v>
      </c>
      <c r="O9" t="s">
        <v>11</v>
      </c>
      <c r="P9" t="s">
        <v>28</v>
      </c>
      <c r="Q9" t="s">
        <v>32</v>
      </c>
      <c r="R9" t="s">
        <v>36</v>
      </c>
      <c r="S9" t="s">
        <v>12</v>
      </c>
    </row>
    <row r="10" spans="1:19" x14ac:dyDescent="0.3">
      <c r="A10" t="s">
        <v>13</v>
      </c>
      <c r="B10" t="s">
        <v>37</v>
      </c>
      <c r="C10" t="s">
        <v>15</v>
      </c>
      <c r="D10">
        <v>0</v>
      </c>
      <c r="E10">
        <v>28</v>
      </c>
      <c r="F10">
        <v>3</v>
      </c>
      <c r="G10">
        <v>20260304</v>
      </c>
      <c r="H10">
        <v>20260403</v>
      </c>
      <c r="I10">
        <v>638818.88069999998</v>
      </c>
      <c r="J10">
        <f>IF(D10&lt;0,0,D10)+E10+F10</f>
        <v>31</v>
      </c>
      <c r="K10">
        <f>I10/J10</f>
        <v>20607.060667741935</v>
      </c>
      <c r="L10">
        <f t="shared" ref="L10" si="0">IF(D10&lt;0,0,D10)*$K10*$B$6</f>
        <v>0</v>
      </c>
      <c r="M10">
        <f>IF(E10&lt;0,0,E10)*$K10*$C$6</f>
        <v>576997.6986967742</v>
      </c>
      <c r="N10">
        <f>IF(F10&lt;0,0,F10)*$K10*$D$6</f>
        <v>38367.304627589372</v>
      </c>
      <c r="O10">
        <f>L10+M10+N10</f>
        <v>615365.00332436361</v>
      </c>
      <c r="P10">
        <f>L10/$O10*$I10</f>
        <v>0</v>
      </c>
      <c r="Q10">
        <f>M10/$O10*$I10</f>
        <v>598989.2536245822</v>
      </c>
      <c r="R10">
        <f>N10/$O10*$I10</f>
        <v>39829.627075417695</v>
      </c>
      <c r="S10">
        <f>P10+Q10+R10</f>
        <v>638818.88069999986</v>
      </c>
    </row>
    <row r="11" spans="1:19" x14ac:dyDescent="0.3">
      <c r="A11" t="s">
        <v>13</v>
      </c>
      <c r="B11" t="s">
        <v>37</v>
      </c>
      <c r="C11" t="s">
        <v>14</v>
      </c>
      <c r="D11">
        <v>0</v>
      </c>
      <c r="E11">
        <v>15</v>
      </c>
      <c r="F11">
        <v>15</v>
      </c>
      <c r="G11">
        <v>20260317</v>
      </c>
      <c r="H11">
        <v>20260415</v>
      </c>
      <c r="I11">
        <v>8862442.7125000004</v>
      </c>
      <c r="J11">
        <f t="shared" ref="J11:J74" si="1">IF(D11&lt;0,0,D11)+E11+F11</f>
        <v>30</v>
      </c>
      <c r="K11">
        <f t="shared" ref="K11:K74" si="2">I11/J11</f>
        <v>295414.75708333333</v>
      </c>
      <c r="L11">
        <f t="shared" ref="L11:L74" si="3">IF(D11&lt;0,0,D11)*$K11*$B$6</f>
        <v>0</v>
      </c>
      <c r="M11">
        <f t="shared" ref="M11:M74" si="4">IF(E11&lt;0,0,E11)*$K11*$C$6</f>
        <v>4431221.3562500002</v>
      </c>
      <c r="N11">
        <f t="shared" ref="N11:N74" si="5">IF(F11&lt;0,0,F11)*$K11*$D$6</f>
        <v>2750093.3197726989</v>
      </c>
      <c r="O11">
        <f t="shared" ref="O11:O74" si="6">L11+M11+N11</f>
        <v>7181314.6760226991</v>
      </c>
      <c r="P11">
        <f t="shared" ref="P11:P74" si="7">L11/$O11*$I11</f>
        <v>0</v>
      </c>
      <c r="Q11">
        <f t="shared" ref="Q11:Q74" si="8">M11/$O11*$I11</f>
        <v>5468559.3359797299</v>
      </c>
      <c r="R11">
        <f t="shared" ref="R11:R74" si="9">N11/$O11*$I11</f>
        <v>3393883.37652027</v>
      </c>
      <c r="S11">
        <f t="shared" ref="S11:S74" si="10">P11+Q11+R11</f>
        <v>8862442.7125000004</v>
      </c>
    </row>
    <row r="12" spans="1:19" x14ac:dyDescent="0.3">
      <c r="A12" t="s">
        <v>13</v>
      </c>
      <c r="B12" t="s">
        <v>24</v>
      </c>
      <c r="C12" t="s">
        <v>14</v>
      </c>
      <c r="D12">
        <v>0</v>
      </c>
      <c r="E12">
        <v>15</v>
      </c>
      <c r="F12">
        <v>15</v>
      </c>
      <c r="G12">
        <v>20260317</v>
      </c>
      <c r="H12">
        <v>20260415</v>
      </c>
      <c r="I12">
        <v>8891487.2721999995</v>
      </c>
      <c r="J12">
        <f t="shared" si="1"/>
        <v>30</v>
      </c>
      <c r="K12">
        <f t="shared" si="2"/>
        <v>296382.90907333331</v>
      </c>
      <c r="L12">
        <f t="shared" si="3"/>
        <v>0</v>
      </c>
      <c r="M12">
        <f t="shared" si="4"/>
        <v>4445743.6360999998</v>
      </c>
      <c r="N12">
        <f t="shared" si="5"/>
        <v>2759106.1001311038</v>
      </c>
      <c r="O12">
        <f t="shared" si="6"/>
        <v>7204849.7362311035</v>
      </c>
      <c r="P12">
        <f t="shared" si="7"/>
        <v>0</v>
      </c>
      <c r="Q12">
        <f t="shared" si="8"/>
        <v>5486481.245690112</v>
      </c>
      <c r="R12">
        <f t="shared" si="9"/>
        <v>3405006.0265098885</v>
      </c>
      <c r="S12">
        <f t="shared" si="10"/>
        <v>8891487.2721999995</v>
      </c>
    </row>
    <row r="13" spans="1:19" x14ac:dyDescent="0.3">
      <c r="A13" t="s">
        <v>13</v>
      </c>
      <c r="B13" t="s">
        <v>24</v>
      </c>
      <c r="C13" t="s">
        <v>15</v>
      </c>
      <c r="D13">
        <v>0</v>
      </c>
      <c r="E13">
        <v>26</v>
      </c>
      <c r="F13">
        <v>6</v>
      </c>
      <c r="G13">
        <v>20260306</v>
      </c>
      <c r="H13">
        <v>20260406</v>
      </c>
      <c r="I13">
        <v>1130150.92</v>
      </c>
      <c r="J13">
        <f t="shared" si="1"/>
        <v>32</v>
      </c>
      <c r="K13">
        <f t="shared" si="2"/>
        <v>35317.216249999998</v>
      </c>
      <c r="L13">
        <f t="shared" si="3"/>
        <v>0</v>
      </c>
      <c r="M13">
        <f t="shared" si="4"/>
        <v>918247.62249999994</v>
      </c>
      <c r="N13">
        <f t="shared" si="5"/>
        <v>131510.88515824507</v>
      </c>
      <c r="O13">
        <f t="shared" si="6"/>
        <v>1049758.507658245</v>
      </c>
      <c r="P13">
        <f t="shared" si="7"/>
        <v>0</v>
      </c>
      <c r="Q13">
        <f t="shared" si="8"/>
        <v>988568.69249973795</v>
      </c>
      <c r="R13">
        <f t="shared" si="9"/>
        <v>141582.22750026183</v>
      </c>
      <c r="S13">
        <f t="shared" si="10"/>
        <v>1130150.9199999997</v>
      </c>
    </row>
    <row r="14" spans="1:19" x14ac:dyDescent="0.3">
      <c r="A14" t="s">
        <v>13</v>
      </c>
      <c r="B14" t="s">
        <v>24</v>
      </c>
      <c r="C14" t="s">
        <v>14</v>
      </c>
      <c r="D14">
        <v>13</v>
      </c>
      <c r="E14">
        <v>16</v>
      </c>
      <c r="F14">
        <v>0</v>
      </c>
      <c r="G14">
        <v>20260216</v>
      </c>
      <c r="H14">
        <v>20260316</v>
      </c>
      <c r="I14">
        <v>1595902.1804</v>
      </c>
      <c r="J14">
        <f t="shared" si="1"/>
        <v>29</v>
      </c>
      <c r="K14">
        <f t="shared" si="2"/>
        <v>55031.109668965517</v>
      </c>
      <c r="L14">
        <f t="shared" si="3"/>
        <v>970345.08472825342</v>
      </c>
      <c r="M14">
        <f t="shared" si="4"/>
        <v>880497.75470344827</v>
      </c>
      <c r="N14">
        <f t="shared" si="5"/>
        <v>0</v>
      </c>
      <c r="O14">
        <f t="shared" si="6"/>
        <v>1850842.8394317017</v>
      </c>
      <c r="P14">
        <f t="shared" si="7"/>
        <v>836686.8344876488</v>
      </c>
      <c r="Q14">
        <f t="shared" si="8"/>
        <v>759215.34591235104</v>
      </c>
      <c r="R14">
        <f t="shared" si="9"/>
        <v>0</v>
      </c>
      <c r="S14">
        <f t="shared" si="10"/>
        <v>1595902.1804</v>
      </c>
    </row>
    <row r="15" spans="1:19" x14ac:dyDescent="0.3">
      <c r="A15" t="s">
        <v>13</v>
      </c>
      <c r="B15" t="s">
        <v>37</v>
      </c>
      <c r="C15" t="s">
        <v>15</v>
      </c>
      <c r="D15">
        <v>0</v>
      </c>
      <c r="E15">
        <v>30</v>
      </c>
      <c r="F15">
        <v>1</v>
      </c>
      <c r="G15">
        <v>20260302</v>
      </c>
      <c r="H15">
        <v>20260401</v>
      </c>
      <c r="I15">
        <v>794553.05900000001</v>
      </c>
      <c r="J15">
        <f t="shared" si="1"/>
        <v>31</v>
      </c>
      <c r="K15">
        <f t="shared" si="2"/>
        <v>25630.743838709677</v>
      </c>
      <c r="L15">
        <f t="shared" si="3"/>
        <v>0</v>
      </c>
      <c r="M15">
        <f t="shared" si="4"/>
        <v>768922.31516129035</v>
      </c>
      <c r="N15">
        <f t="shared" si="5"/>
        <v>15906.887005818993</v>
      </c>
      <c r="O15">
        <f t="shared" si="6"/>
        <v>784829.20216710935</v>
      </c>
      <c r="P15">
        <f t="shared" si="7"/>
        <v>0</v>
      </c>
      <c r="Q15">
        <f t="shared" si="8"/>
        <v>778449.08925124223</v>
      </c>
      <c r="R15">
        <f t="shared" si="9"/>
        <v>16103.969748757778</v>
      </c>
      <c r="S15">
        <f t="shared" si="10"/>
        <v>794553.05900000001</v>
      </c>
    </row>
    <row r="16" spans="1:19" x14ac:dyDescent="0.3">
      <c r="A16" t="s">
        <v>13</v>
      </c>
      <c r="B16" t="s">
        <v>37</v>
      </c>
      <c r="C16" t="s">
        <v>15</v>
      </c>
      <c r="D16">
        <v>0</v>
      </c>
      <c r="E16">
        <v>27</v>
      </c>
      <c r="F16">
        <v>1</v>
      </c>
      <c r="G16">
        <v>20260305</v>
      </c>
      <c r="H16">
        <v>20260401</v>
      </c>
      <c r="I16">
        <v>143116.83369999999</v>
      </c>
      <c r="J16">
        <f t="shared" si="1"/>
        <v>28</v>
      </c>
      <c r="K16">
        <f t="shared" si="2"/>
        <v>5111.3154892857137</v>
      </c>
      <c r="L16">
        <f t="shared" si="3"/>
        <v>0</v>
      </c>
      <c r="M16">
        <f t="shared" si="4"/>
        <v>138005.51821071428</v>
      </c>
      <c r="N16">
        <f t="shared" si="5"/>
        <v>3172.1716096419541</v>
      </c>
      <c r="O16">
        <f t="shared" si="6"/>
        <v>141177.68982035623</v>
      </c>
      <c r="P16">
        <f t="shared" si="7"/>
        <v>0</v>
      </c>
      <c r="Q16">
        <f t="shared" si="8"/>
        <v>139901.09077841885</v>
      </c>
      <c r="R16">
        <f t="shared" si="9"/>
        <v>3215.7429215811435</v>
      </c>
      <c r="S16">
        <f t="shared" si="10"/>
        <v>143116.83369999999</v>
      </c>
    </row>
    <row r="17" spans="1:19" x14ac:dyDescent="0.3">
      <c r="A17" t="s">
        <v>13</v>
      </c>
      <c r="B17" t="s">
        <v>37</v>
      </c>
      <c r="C17" t="s">
        <v>15</v>
      </c>
      <c r="D17">
        <v>0</v>
      </c>
      <c r="E17">
        <v>30</v>
      </c>
      <c r="F17">
        <v>2</v>
      </c>
      <c r="G17">
        <v>20260302</v>
      </c>
      <c r="H17">
        <v>20260402</v>
      </c>
      <c r="I17">
        <v>371774.88789999997</v>
      </c>
      <c r="J17">
        <f t="shared" si="1"/>
        <v>32</v>
      </c>
      <c r="K17">
        <f t="shared" si="2"/>
        <v>11617.965246874999</v>
      </c>
      <c r="L17">
        <f t="shared" si="3"/>
        <v>0</v>
      </c>
      <c r="M17">
        <f t="shared" si="4"/>
        <v>348538.95740624995</v>
      </c>
      <c r="N17">
        <f t="shared" si="5"/>
        <v>14420.624042948275</v>
      </c>
      <c r="O17">
        <f t="shared" si="6"/>
        <v>362959.58144919825</v>
      </c>
      <c r="P17">
        <f t="shared" si="7"/>
        <v>0</v>
      </c>
      <c r="Q17">
        <f t="shared" si="8"/>
        <v>357004.02590591996</v>
      </c>
      <c r="R17">
        <f t="shared" si="9"/>
        <v>14770.86199407998</v>
      </c>
      <c r="S17">
        <f t="shared" si="10"/>
        <v>371774.88789999991</v>
      </c>
    </row>
    <row r="18" spans="1:19" x14ac:dyDescent="0.3">
      <c r="A18" t="s">
        <v>13</v>
      </c>
      <c r="B18" t="s">
        <v>24</v>
      </c>
      <c r="C18" t="s">
        <v>14</v>
      </c>
      <c r="D18">
        <v>0</v>
      </c>
      <c r="E18">
        <v>28</v>
      </c>
      <c r="F18">
        <v>2</v>
      </c>
      <c r="G18">
        <v>20260304</v>
      </c>
      <c r="H18">
        <v>20260402</v>
      </c>
      <c r="I18">
        <v>2776401.9304999998</v>
      </c>
      <c r="J18">
        <f t="shared" si="1"/>
        <v>30</v>
      </c>
      <c r="K18">
        <f t="shared" si="2"/>
        <v>92546.731016666658</v>
      </c>
      <c r="L18">
        <f t="shared" si="3"/>
        <v>0</v>
      </c>
      <c r="M18">
        <f t="shared" si="4"/>
        <v>2591308.4684666665</v>
      </c>
      <c r="N18">
        <f t="shared" si="5"/>
        <v>114872.23330730705</v>
      </c>
      <c r="O18">
        <f t="shared" si="6"/>
        <v>2706180.7017739736</v>
      </c>
      <c r="P18">
        <f t="shared" si="7"/>
        <v>0</v>
      </c>
      <c r="Q18">
        <f t="shared" si="8"/>
        <v>2658548.9393430585</v>
      </c>
      <c r="R18">
        <f t="shared" si="9"/>
        <v>117852.99115694143</v>
      </c>
      <c r="S18">
        <f t="shared" si="10"/>
        <v>2776401.9304999998</v>
      </c>
    </row>
    <row r="19" spans="1:19" x14ac:dyDescent="0.3">
      <c r="A19" t="s">
        <v>13</v>
      </c>
      <c r="B19" t="s">
        <v>24</v>
      </c>
      <c r="C19" t="s">
        <v>15</v>
      </c>
      <c r="D19">
        <v>0</v>
      </c>
      <c r="E19">
        <v>27</v>
      </c>
      <c r="F19">
        <v>3</v>
      </c>
      <c r="G19">
        <v>20260305</v>
      </c>
      <c r="H19">
        <v>20260403</v>
      </c>
      <c r="I19">
        <v>6457120.5736999996</v>
      </c>
      <c r="J19">
        <f t="shared" si="1"/>
        <v>30</v>
      </c>
      <c r="K19">
        <f t="shared" si="2"/>
        <v>215237.35245666665</v>
      </c>
      <c r="L19">
        <f t="shared" si="3"/>
        <v>0</v>
      </c>
      <c r="M19">
        <f t="shared" si="4"/>
        <v>5811408.5163299991</v>
      </c>
      <c r="N19">
        <f t="shared" si="5"/>
        <v>400740.17357884784</v>
      </c>
      <c r="O19">
        <f t="shared" si="6"/>
        <v>6212148.6899088472</v>
      </c>
      <c r="P19">
        <f t="shared" si="7"/>
        <v>0</v>
      </c>
      <c r="Q19">
        <f t="shared" si="8"/>
        <v>6040577.4823011272</v>
      </c>
      <c r="R19">
        <f t="shared" si="9"/>
        <v>416543.09139887261</v>
      </c>
      <c r="S19">
        <f t="shared" si="10"/>
        <v>6457120.5736999996</v>
      </c>
    </row>
    <row r="20" spans="1:19" x14ac:dyDescent="0.3">
      <c r="A20" t="s">
        <v>13</v>
      </c>
      <c r="B20" t="s">
        <v>24</v>
      </c>
      <c r="C20" t="s">
        <v>15</v>
      </c>
      <c r="D20">
        <v>25</v>
      </c>
      <c r="E20">
        <v>4</v>
      </c>
      <c r="F20">
        <v>0</v>
      </c>
      <c r="G20">
        <v>20260204</v>
      </c>
      <c r="H20">
        <v>20260304</v>
      </c>
      <c r="I20">
        <v>7725593.3835000005</v>
      </c>
      <c r="J20">
        <f t="shared" si="1"/>
        <v>29</v>
      </c>
      <c r="K20">
        <f t="shared" si="2"/>
        <v>266399.77184482763</v>
      </c>
      <c r="L20">
        <f t="shared" si="3"/>
        <v>9033341.8377538361</v>
      </c>
      <c r="M20">
        <f t="shared" si="4"/>
        <v>1065599.0873793105</v>
      </c>
      <c r="N20">
        <f t="shared" si="5"/>
        <v>0</v>
      </c>
      <c r="O20">
        <f t="shared" si="6"/>
        <v>10098940.925133146</v>
      </c>
      <c r="P20">
        <f t="shared" si="7"/>
        <v>6910420.2559462618</v>
      </c>
      <c r="Q20">
        <f t="shared" si="8"/>
        <v>815173.12755373935</v>
      </c>
      <c r="R20">
        <f t="shared" si="9"/>
        <v>0</v>
      </c>
      <c r="S20">
        <f t="shared" si="10"/>
        <v>7725593.3835000014</v>
      </c>
    </row>
    <row r="21" spans="1:19" x14ac:dyDescent="0.3">
      <c r="A21" t="s">
        <v>13</v>
      </c>
      <c r="B21" t="s">
        <v>24</v>
      </c>
      <c r="C21" t="s">
        <v>15</v>
      </c>
      <c r="D21">
        <v>0</v>
      </c>
      <c r="E21">
        <v>26</v>
      </c>
      <c r="F21">
        <v>2</v>
      </c>
      <c r="G21">
        <v>20260306</v>
      </c>
      <c r="H21">
        <v>20260402</v>
      </c>
      <c r="I21">
        <v>3221796.2126000002</v>
      </c>
      <c r="J21">
        <f t="shared" si="1"/>
        <v>28</v>
      </c>
      <c r="K21">
        <f t="shared" si="2"/>
        <v>115064.15045</v>
      </c>
      <c r="L21">
        <f t="shared" si="3"/>
        <v>0</v>
      </c>
      <c r="M21">
        <f t="shared" si="4"/>
        <v>2991667.9117000001</v>
      </c>
      <c r="N21">
        <f t="shared" si="5"/>
        <v>142821.64038208028</v>
      </c>
      <c r="O21">
        <f t="shared" si="6"/>
        <v>3134489.5520820804</v>
      </c>
      <c r="P21">
        <f t="shared" si="7"/>
        <v>0</v>
      </c>
      <c r="Q21">
        <f t="shared" si="8"/>
        <v>3074996.4825595357</v>
      </c>
      <c r="R21">
        <f t="shared" si="9"/>
        <v>146799.73004046438</v>
      </c>
      <c r="S21">
        <f t="shared" si="10"/>
        <v>3221796.2126000002</v>
      </c>
    </row>
    <row r="22" spans="1:19" x14ac:dyDescent="0.3">
      <c r="A22" t="s">
        <v>13</v>
      </c>
      <c r="B22" t="s">
        <v>37</v>
      </c>
      <c r="C22" t="s">
        <v>15</v>
      </c>
      <c r="D22">
        <v>0</v>
      </c>
      <c r="E22">
        <v>28</v>
      </c>
      <c r="F22">
        <v>2</v>
      </c>
      <c r="G22">
        <v>20260304</v>
      </c>
      <c r="H22">
        <v>20260402</v>
      </c>
      <c r="I22">
        <v>760955.55209999997</v>
      </c>
      <c r="J22">
        <f t="shared" si="1"/>
        <v>30</v>
      </c>
      <c r="K22">
        <f t="shared" si="2"/>
        <v>25365.18507</v>
      </c>
      <c r="L22">
        <f t="shared" si="3"/>
        <v>0</v>
      </c>
      <c r="M22">
        <f t="shared" si="4"/>
        <v>710225.18195999996</v>
      </c>
      <c r="N22">
        <f t="shared" si="5"/>
        <v>31484.153197364973</v>
      </c>
      <c r="O22">
        <f t="shared" si="6"/>
        <v>741709.33515736496</v>
      </c>
      <c r="P22">
        <f t="shared" si="7"/>
        <v>0</v>
      </c>
      <c r="Q22">
        <f t="shared" si="8"/>
        <v>728654.43353093311</v>
      </c>
      <c r="R22">
        <f t="shared" si="9"/>
        <v>32301.118569066923</v>
      </c>
      <c r="S22">
        <f t="shared" si="10"/>
        <v>760955.55209999997</v>
      </c>
    </row>
    <row r="23" spans="1:19" x14ac:dyDescent="0.3">
      <c r="A23" t="s">
        <v>13</v>
      </c>
      <c r="B23" t="s">
        <v>24</v>
      </c>
      <c r="C23" t="s">
        <v>15</v>
      </c>
      <c r="D23">
        <v>0</v>
      </c>
      <c r="E23">
        <v>28</v>
      </c>
      <c r="F23">
        <v>2</v>
      </c>
      <c r="G23">
        <v>20260304</v>
      </c>
      <c r="H23">
        <v>20260402</v>
      </c>
      <c r="I23">
        <v>10653377.728399999</v>
      </c>
      <c r="J23">
        <f t="shared" si="1"/>
        <v>30</v>
      </c>
      <c r="K23">
        <f t="shared" si="2"/>
        <v>355112.59094666666</v>
      </c>
      <c r="L23">
        <f t="shared" si="3"/>
        <v>0</v>
      </c>
      <c r="M23">
        <f t="shared" si="4"/>
        <v>9943152.5465066656</v>
      </c>
      <c r="N23">
        <f t="shared" si="5"/>
        <v>440778.14472173509</v>
      </c>
      <c r="O23">
        <f t="shared" si="6"/>
        <v>10383930.691228401</v>
      </c>
      <c r="P23">
        <f t="shared" si="7"/>
        <v>0</v>
      </c>
      <c r="Q23">
        <f t="shared" si="8"/>
        <v>10201162.068475511</v>
      </c>
      <c r="R23">
        <f t="shared" si="9"/>
        <v>452215.65992448881</v>
      </c>
      <c r="S23">
        <f t="shared" si="10"/>
        <v>10653377.728399999</v>
      </c>
    </row>
    <row r="24" spans="1:19" x14ac:dyDescent="0.3">
      <c r="A24" t="s">
        <v>13</v>
      </c>
      <c r="B24" t="s">
        <v>24</v>
      </c>
      <c r="C24" t="s">
        <v>15</v>
      </c>
      <c r="D24">
        <v>25</v>
      </c>
      <c r="E24">
        <v>3</v>
      </c>
      <c r="F24">
        <v>0</v>
      </c>
      <c r="G24">
        <v>20260204</v>
      </c>
      <c r="H24">
        <v>20260303</v>
      </c>
      <c r="I24">
        <v>12043937.243799999</v>
      </c>
      <c r="J24">
        <f t="shared" si="1"/>
        <v>28</v>
      </c>
      <c r="K24">
        <f t="shared" si="2"/>
        <v>430140.61585</v>
      </c>
      <c r="L24">
        <f t="shared" si="3"/>
        <v>14585625.184162291</v>
      </c>
      <c r="M24">
        <f t="shared" si="4"/>
        <v>1290421.8475500001</v>
      </c>
      <c r="N24">
        <f t="shared" si="5"/>
        <v>0</v>
      </c>
      <c r="O24">
        <f t="shared" si="6"/>
        <v>15876047.03171229</v>
      </c>
      <c r="P24">
        <f t="shared" si="7"/>
        <v>11064993.321621129</v>
      </c>
      <c r="Q24">
        <f t="shared" si="8"/>
        <v>978943.922178871</v>
      </c>
      <c r="R24">
        <f t="shared" si="9"/>
        <v>0</v>
      </c>
      <c r="S24">
        <f t="shared" si="10"/>
        <v>12043937.243799999</v>
      </c>
    </row>
    <row r="25" spans="1:19" x14ac:dyDescent="0.3">
      <c r="A25" t="s">
        <v>13</v>
      </c>
      <c r="B25" t="s">
        <v>24</v>
      </c>
      <c r="C25" t="s">
        <v>15</v>
      </c>
      <c r="D25">
        <v>0</v>
      </c>
      <c r="E25">
        <v>29</v>
      </c>
      <c r="F25">
        <v>3</v>
      </c>
      <c r="G25">
        <v>20260303</v>
      </c>
      <c r="H25">
        <v>20260403</v>
      </c>
      <c r="I25">
        <v>1519533.186</v>
      </c>
      <c r="J25">
        <f t="shared" si="1"/>
        <v>32</v>
      </c>
      <c r="K25">
        <f t="shared" si="2"/>
        <v>47485.4120625</v>
      </c>
      <c r="L25">
        <f t="shared" si="3"/>
        <v>0</v>
      </c>
      <c r="M25">
        <f t="shared" si="4"/>
        <v>1377076.9498125</v>
      </c>
      <c r="N25">
        <f t="shared" si="5"/>
        <v>88410.82672311955</v>
      </c>
      <c r="O25">
        <f t="shared" si="6"/>
        <v>1465487.7765356195</v>
      </c>
      <c r="P25">
        <f t="shared" si="7"/>
        <v>0</v>
      </c>
      <c r="Q25">
        <f t="shared" si="8"/>
        <v>1427861.8753562088</v>
      </c>
      <c r="R25">
        <f t="shared" si="9"/>
        <v>91671.310643791308</v>
      </c>
      <c r="S25">
        <f t="shared" si="10"/>
        <v>1519533.186</v>
      </c>
    </row>
    <row r="26" spans="1:19" x14ac:dyDescent="0.3">
      <c r="A26" t="s">
        <v>13</v>
      </c>
      <c r="B26" t="s">
        <v>24</v>
      </c>
      <c r="C26" t="s">
        <v>15</v>
      </c>
      <c r="D26">
        <v>24</v>
      </c>
      <c r="E26">
        <v>2</v>
      </c>
      <c r="F26">
        <v>0</v>
      </c>
      <c r="G26">
        <v>20260205</v>
      </c>
      <c r="H26">
        <v>20260302</v>
      </c>
      <c r="I26">
        <v>508902.83600000001</v>
      </c>
      <c r="J26">
        <f t="shared" si="1"/>
        <v>26</v>
      </c>
      <c r="K26">
        <f t="shared" si="2"/>
        <v>19573.186000000002</v>
      </c>
      <c r="L26">
        <f t="shared" si="3"/>
        <v>637158.31142351555</v>
      </c>
      <c r="M26">
        <f t="shared" si="4"/>
        <v>39146.372000000003</v>
      </c>
      <c r="N26">
        <f t="shared" si="5"/>
        <v>0</v>
      </c>
      <c r="O26">
        <f t="shared" si="6"/>
        <v>676304.68342351553</v>
      </c>
      <c r="P26">
        <f t="shared" si="7"/>
        <v>479446.14256256068</v>
      </c>
      <c r="Q26">
        <f t="shared" si="8"/>
        <v>29456.693437439393</v>
      </c>
      <c r="R26">
        <f t="shared" si="9"/>
        <v>0</v>
      </c>
      <c r="S26">
        <f t="shared" si="10"/>
        <v>508902.83600000007</v>
      </c>
    </row>
    <row r="27" spans="1:19" x14ac:dyDescent="0.3">
      <c r="A27" t="s">
        <v>13</v>
      </c>
      <c r="B27" t="s">
        <v>37</v>
      </c>
      <c r="C27" t="s">
        <v>15</v>
      </c>
      <c r="D27">
        <v>0</v>
      </c>
      <c r="E27">
        <v>26</v>
      </c>
      <c r="F27">
        <v>1</v>
      </c>
      <c r="G27">
        <v>20260306</v>
      </c>
      <c r="H27">
        <v>20260401</v>
      </c>
      <c r="I27">
        <v>41387.407299999999</v>
      </c>
      <c r="J27">
        <f t="shared" si="1"/>
        <v>27</v>
      </c>
      <c r="K27">
        <f t="shared" si="2"/>
        <v>1532.8669370370369</v>
      </c>
      <c r="L27">
        <f t="shared" si="3"/>
        <v>0</v>
      </c>
      <c r="M27">
        <f t="shared" si="4"/>
        <v>39854.540362962958</v>
      </c>
      <c r="N27">
        <f t="shared" si="5"/>
        <v>951.32397701148875</v>
      </c>
      <c r="O27">
        <f t="shared" si="6"/>
        <v>40805.864339974447</v>
      </c>
      <c r="P27">
        <f t="shared" si="7"/>
        <v>0</v>
      </c>
      <c r="Q27">
        <f t="shared" si="8"/>
        <v>40422.525571658327</v>
      </c>
      <c r="R27">
        <f t="shared" si="9"/>
        <v>964.88172834167142</v>
      </c>
      <c r="S27">
        <f t="shared" si="10"/>
        <v>41387.407299999999</v>
      </c>
    </row>
    <row r="28" spans="1:19" x14ac:dyDescent="0.3">
      <c r="A28" t="s">
        <v>13</v>
      </c>
      <c r="B28" t="s">
        <v>24</v>
      </c>
      <c r="C28" t="s">
        <v>15</v>
      </c>
      <c r="D28">
        <v>0</v>
      </c>
      <c r="E28">
        <v>28</v>
      </c>
      <c r="F28">
        <v>4</v>
      </c>
      <c r="G28">
        <v>20260304</v>
      </c>
      <c r="H28">
        <v>20260404</v>
      </c>
      <c r="I28">
        <v>481922.34120000002</v>
      </c>
      <c r="J28">
        <f t="shared" si="1"/>
        <v>32</v>
      </c>
      <c r="K28">
        <f t="shared" si="2"/>
        <v>15060.073162500001</v>
      </c>
      <c r="L28">
        <f t="shared" si="3"/>
        <v>0</v>
      </c>
      <c r="M28">
        <f t="shared" si="4"/>
        <v>421682.04855000001</v>
      </c>
      <c r="N28">
        <f t="shared" si="5"/>
        <v>37386.177100869449</v>
      </c>
      <c r="O28">
        <f t="shared" si="6"/>
        <v>459068.22565086943</v>
      </c>
      <c r="P28">
        <f t="shared" si="7"/>
        <v>0</v>
      </c>
      <c r="Q28">
        <f t="shared" si="8"/>
        <v>442674.94181524869</v>
      </c>
      <c r="R28">
        <f t="shared" si="9"/>
        <v>39247.39938475137</v>
      </c>
      <c r="S28">
        <f t="shared" si="10"/>
        <v>481922.34120000008</v>
      </c>
    </row>
    <row r="29" spans="1:19" x14ac:dyDescent="0.3">
      <c r="A29" t="s">
        <v>13</v>
      </c>
      <c r="B29" t="s">
        <v>37</v>
      </c>
      <c r="C29" t="s">
        <v>15</v>
      </c>
      <c r="D29">
        <v>0</v>
      </c>
      <c r="E29">
        <v>27</v>
      </c>
      <c r="F29">
        <v>5</v>
      </c>
      <c r="G29">
        <v>20260305</v>
      </c>
      <c r="H29">
        <v>20260405</v>
      </c>
      <c r="I29">
        <v>84838.938899999994</v>
      </c>
      <c r="J29">
        <f t="shared" si="1"/>
        <v>32</v>
      </c>
      <c r="K29">
        <f t="shared" si="2"/>
        <v>2651.2168406249998</v>
      </c>
      <c r="L29">
        <f t="shared" si="3"/>
        <v>0</v>
      </c>
      <c r="M29">
        <f t="shared" si="4"/>
        <v>71582.854696875002</v>
      </c>
      <c r="N29">
        <f t="shared" si="5"/>
        <v>8226.9572387621702</v>
      </c>
      <c r="O29">
        <f t="shared" si="6"/>
        <v>79809.811935637175</v>
      </c>
      <c r="P29">
        <f t="shared" si="7"/>
        <v>0</v>
      </c>
      <c r="Q29">
        <f t="shared" si="8"/>
        <v>76093.56905656353</v>
      </c>
      <c r="R29">
        <f t="shared" si="9"/>
        <v>8745.3698434364578</v>
      </c>
      <c r="S29">
        <f t="shared" si="10"/>
        <v>84838.938899999994</v>
      </c>
    </row>
    <row r="30" spans="1:19" x14ac:dyDescent="0.3">
      <c r="A30" t="s">
        <v>13</v>
      </c>
      <c r="B30" t="s">
        <v>24</v>
      </c>
      <c r="C30" t="s">
        <v>14</v>
      </c>
      <c r="D30">
        <v>0</v>
      </c>
      <c r="E30">
        <v>29</v>
      </c>
      <c r="F30">
        <v>1</v>
      </c>
      <c r="G30">
        <v>20260303</v>
      </c>
      <c r="H30">
        <v>20260401</v>
      </c>
      <c r="I30">
        <v>1213715.5353999999</v>
      </c>
      <c r="J30">
        <f t="shared" si="1"/>
        <v>30</v>
      </c>
      <c r="K30">
        <f t="shared" si="2"/>
        <v>40457.184513333334</v>
      </c>
      <c r="L30">
        <f t="shared" si="3"/>
        <v>0</v>
      </c>
      <c r="M30">
        <f t="shared" si="4"/>
        <v>1173258.3508866667</v>
      </c>
      <c r="N30">
        <f t="shared" si="5"/>
        <v>25108.434881051871</v>
      </c>
      <c r="O30">
        <f t="shared" si="6"/>
        <v>1198366.7857677185</v>
      </c>
      <c r="P30">
        <f t="shared" si="7"/>
        <v>0</v>
      </c>
      <c r="Q30">
        <f t="shared" si="8"/>
        <v>1188285.5102635901</v>
      </c>
      <c r="R30">
        <f t="shared" si="9"/>
        <v>25430.025136409971</v>
      </c>
      <c r="S30">
        <f t="shared" si="10"/>
        <v>1213715.5354000002</v>
      </c>
    </row>
    <row r="31" spans="1:19" x14ac:dyDescent="0.3">
      <c r="A31" t="s">
        <v>13</v>
      </c>
      <c r="B31" t="s">
        <v>24</v>
      </c>
      <c r="C31" t="s">
        <v>14</v>
      </c>
      <c r="D31">
        <v>25</v>
      </c>
      <c r="E31">
        <v>3</v>
      </c>
      <c r="F31">
        <v>0</v>
      </c>
      <c r="G31">
        <v>20260204</v>
      </c>
      <c r="H31">
        <v>20260303</v>
      </c>
      <c r="I31">
        <v>1545542.7054999999</v>
      </c>
      <c r="J31">
        <f t="shared" si="1"/>
        <v>28</v>
      </c>
      <c r="K31">
        <f t="shared" si="2"/>
        <v>55197.953767857143</v>
      </c>
      <c r="L31">
        <f t="shared" si="3"/>
        <v>1871705.7513848883</v>
      </c>
      <c r="M31">
        <f t="shared" si="4"/>
        <v>165593.86130357144</v>
      </c>
      <c r="N31">
        <f t="shared" si="5"/>
        <v>0</v>
      </c>
      <c r="O31">
        <f t="shared" si="6"/>
        <v>2037299.6126884597</v>
      </c>
      <c r="P31">
        <f t="shared" si="7"/>
        <v>1419919.364279422</v>
      </c>
      <c r="Q31">
        <f t="shared" si="8"/>
        <v>125623.34122057787</v>
      </c>
      <c r="R31">
        <f t="shared" si="9"/>
        <v>0</v>
      </c>
      <c r="S31">
        <f t="shared" si="10"/>
        <v>1545542.7054999999</v>
      </c>
    </row>
    <row r="32" spans="1:19" x14ac:dyDescent="0.3">
      <c r="A32" t="s">
        <v>13</v>
      </c>
      <c r="B32" t="s">
        <v>24</v>
      </c>
      <c r="C32" t="s">
        <v>15</v>
      </c>
      <c r="D32">
        <v>0</v>
      </c>
      <c r="E32">
        <v>26</v>
      </c>
      <c r="F32">
        <v>5</v>
      </c>
      <c r="G32">
        <v>20260306</v>
      </c>
      <c r="H32">
        <v>20260405</v>
      </c>
      <c r="I32">
        <v>728096.54330000002</v>
      </c>
      <c r="J32">
        <f t="shared" si="1"/>
        <v>31</v>
      </c>
      <c r="K32">
        <f t="shared" si="2"/>
        <v>23486.985267741937</v>
      </c>
      <c r="L32">
        <f t="shared" si="3"/>
        <v>0</v>
      </c>
      <c r="M32">
        <f t="shared" si="4"/>
        <v>610661.61696129036</v>
      </c>
      <c r="N32">
        <f t="shared" si="5"/>
        <v>72882.165088993119</v>
      </c>
      <c r="O32">
        <f t="shared" si="6"/>
        <v>683543.78205028351</v>
      </c>
      <c r="P32">
        <f t="shared" si="7"/>
        <v>0</v>
      </c>
      <c r="Q32">
        <f t="shared" si="8"/>
        <v>650463.9850601356</v>
      </c>
      <c r="R32">
        <f t="shared" si="9"/>
        <v>77632.558239864418</v>
      </c>
      <c r="S32">
        <f t="shared" si="10"/>
        <v>728096.54330000002</v>
      </c>
    </row>
    <row r="33" spans="1:19" x14ac:dyDescent="0.3">
      <c r="A33" t="s">
        <v>13</v>
      </c>
      <c r="B33" t="s">
        <v>24</v>
      </c>
      <c r="C33" t="s">
        <v>14</v>
      </c>
      <c r="D33">
        <v>0</v>
      </c>
      <c r="E33">
        <v>31</v>
      </c>
      <c r="F33">
        <v>0</v>
      </c>
      <c r="G33">
        <v>20260301</v>
      </c>
      <c r="H33">
        <v>20260331</v>
      </c>
      <c r="I33">
        <v>2053157.0606</v>
      </c>
      <c r="J33">
        <f t="shared" si="1"/>
        <v>31</v>
      </c>
      <c r="K33">
        <f t="shared" si="2"/>
        <v>66230.872922580646</v>
      </c>
      <c r="L33">
        <f t="shared" si="3"/>
        <v>0</v>
      </c>
      <c r="M33">
        <f t="shared" si="4"/>
        <v>2053157.0606</v>
      </c>
      <c r="N33">
        <f t="shared" si="5"/>
        <v>0</v>
      </c>
      <c r="O33">
        <f t="shared" si="6"/>
        <v>2053157.0606</v>
      </c>
      <c r="P33">
        <f t="shared" si="7"/>
        <v>0</v>
      </c>
      <c r="Q33">
        <f t="shared" si="8"/>
        <v>2053157.0606</v>
      </c>
      <c r="R33">
        <f t="shared" si="9"/>
        <v>0</v>
      </c>
      <c r="S33">
        <f t="shared" si="10"/>
        <v>2053157.0606</v>
      </c>
    </row>
    <row r="34" spans="1:19" x14ac:dyDescent="0.3">
      <c r="A34" t="s">
        <v>13</v>
      </c>
      <c r="B34" t="s">
        <v>37</v>
      </c>
      <c r="C34" t="s">
        <v>14</v>
      </c>
      <c r="D34">
        <v>0</v>
      </c>
      <c r="E34">
        <v>25</v>
      </c>
      <c r="F34">
        <v>7</v>
      </c>
      <c r="G34">
        <v>20260307</v>
      </c>
      <c r="H34">
        <v>20260407</v>
      </c>
      <c r="I34">
        <v>85076.538100000005</v>
      </c>
      <c r="J34">
        <f t="shared" si="1"/>
        <v>32</v>
      </c>
      <c r="K34">
        <f t="shared" si="2"/>
        <v>2658.6418156250002</v>
      </c>
      <c r="L34">
        <f t="shared" si="3"/>
        <v>0</v>
      </c>
      <c r="M34">
        <f t="shared" si="4"/>
        <v>66466.045390625004</v>
      </c>
      <c r="N34">
        <f t="shared" si="5"/>
        <v>11549.996617872232</v>
      </c>
      <c r="O34">
        <f t="shared" si="6"/>
        <v>78016.042008497228</v>
      </c>
      <c r="P34">
        <f t="shared" si="7"/>
        <v>0</v>
      </c>
      <c r="Q34">
        <f t="shared" si="8"/>
        <v>72481.260231273307</v>
      </c>
      <c r="R34">
        <f t="shared" si="9"/>
        <v>12595.277868726705</v>
      </c>
      <c r="S34">
        <f t="shared" si="10"/>
        <v>85076.538100000005</v>
      </c>
    </row>
    <row r="35" spans="1:19" x14ac:dyDescent="0.3">
      <c r="A35" t="s">
        <v>13</v>
      </c>
      <c r="B35" t="s">
        <v>37</v>
      </c>
      <c r="C35" t="s">
        <v>14</v>
      </c>
      <c r="D35">
        <v>0</v>
      </c>
      <c r="E35">
        <v>16</v>
      </c>
      <c r="F35">
        <v>16</v>
      </c>
      <c r="G35">
        <v>20260316</v>
      </c>
      <c r="H35">
        <v>20260416</v>
      </c>
      <c r="I35">
        <v>178468.8622</v>
      </c>
      <c r="J35">
        <f t="shared" si="1"/>
        <v>32</v>
      </c>
      <c r="K35">
        <f t="shared" si="2"/>
        <v>5577.1519437500001</v>
      </c>
      <c r="L35">
        <f t="shared" si="3"/>
        <v>0</v>
      </c>
      <c r="M35">
        <f t="shared" si="4"/>
        <v>89234.431100000002</v>
      </c>
      <c r="N35">
        <f t="shared" si="5"/>
        <v>55380.445509836551</v>
      </c>
      <c r="O35">
        <f t="shared" si="6"/>
        <v>144614.87660983656</v>
      </c>
      <c r="P35">
        <f t="shared" si="7"/>
        <v>0</v>
      </c>
      <c r="Q35">
        <f t="shared" si="8"/>
        <v>110123.99111916854</v>
      </c>
      <c r="R35">
        <f t="shared" si="9"/>
        <v>68344.871080831464</v>
      </c>
      <c r="S35">
        <f t="shared" si="10"/>
        <v>178468.8622</v>
      </c>
    </row>
    <row r="36" spans="1:19" x14ac:dyDescent="0.3">
      <c r="A36" t="s">
        <v>13</v>
      </c>
      <c r="B36" t="s">
        <v>24</v>
      </c>
      <c r="C36" t="s">
        <v>14</v>
      </c>
      <c r="D36">
        <v>0</v>
      </c>
      <c r="E36">
        <v>16</v>
      </c>
      <c r="F36">
        <v>16</v>
      </c>
      <c r="G36">
        <v>20260316</v>
      </c>
      <c r="H36">
        <v>20260416</v>
      </c>
      <c r="I36">
        <v>178468.86249999999</v>
      </c>
      <c r="J36">
        <f t="shared" si="1"/>
        <v>32</v>
      </c>
      <c r="K36">
        <f t="shared" si="2"/>
        <v>5577.1519531249996</v>
      </c>
      <c r="L36">
        <f t="shared" si="3"/>
        <v>0</v>
      </c>
      <c r="M36">
        <f t="shared" si="4"/>
        <v>89234.431249999994</v>
      </c>
      <c r="N36">
        <f t="shared" si="5"/>
        <v>55380.445602929169</v>
      </c>
      <c r="O36">
        <f t="shared" si="6"/>
        <v>144614.87685292916</v>
      </c>
      <c r="P36">
        <f t="shared" si="7"/>
        <v>0</v>
      </c>
      <c r="Q36">
        <f t="shared" si="8"/>
        <v>110123.99130428316</v>
      </c>
      <c r="R36">
        <f t="shared" si="9"/>
        <v>68344.871195716842</v>
      </c>
      <c r="S36">
        <f t="shared" si="10"/>
        <v>178468.86249999999</v>
      </c>
    </row>
    <row r="37" spans="1:19" x14ac:dyDescent="0.3">
      <c r="A37" t="s">
        <v>13</v>
      </c>
      <c r="B37" t="s">
        <v>24</v>
      </c>
      <c r="C37" t="s">
        <v>15</v>
      </c>
      <c r="D37">
        <v>0</v>
      </c>
      <c r="E37">
        <v>25</v>
      </c>
      <c r="F37">
        <v>7</v>
      </c>
      <c r="G37">
        <v>20260307</v>
      </c>
      <c r="H37">
        <v>20260407</v>
      </c>
      <c r="I37">
        <v>1134241.9524000001</v>
      </c>
      <c r="J37">
        <f t="shared" si="1"/>
        <v>32</v>
      </c>
      <c r="K37">
        <f t="shared" si="2"/>
        <v>35445.061012500002</v>
      </c>
      <c r="L37">
        <f t="shared" si="3"/>
        <v>0</v>
      </c>
      <c r="M37">
        <f t="shared" si="4"/>
        <v>886126.52531250007</v>
      </c>
      <c r="N37">
        <f t="shared" si="5"/>
        <v>153984.76485573873</v>
      </c>
      <c r="O37">
        <f t="shared" si="6"/>
        <v>1040111.2901682388</v>
      </c>
      <c r="P37">
        <f t="shared" si="7"/>
        <v>0</v>
      </c>
      <c r="Q37">
        <f t="shared" si="8"/>
        <v>966321.4789076132</v>
      </c>
      <c r="R37">
        <f t="shared" si="9"/>
        <v>167920.47349238681</v>
      </c>
      <c r="S37">
        <f t="shared" si="10"/>
        <v>1134241.9524000001</v>
      </c>
    </row>
    <row r="38" spans="1:19" x14ac:dyDescent="0.3">
      <c r="A38" t="s">
        <v>13</v>
      </c>
      <c r="B38" t="s">
        <v>37</v>
      </c>
      <c r="C38" t="s">
        <v>14</v>
      </c>
      <c r="D38">
        <v>0</v>
      </c>
      <c r="E38">
        <v>25</v>
      </c>
      <c r="F38">
        <v>3</v>
      </c>
      <c r="G38">
        <v>20260307</v>
      </c>
      <c r="H38">
        <v>20260403</v>
      </c>
      <c r="I38">
        <v>38061.2808</v>
      </c>
      <c r="J38">
        <f t="shared" si="1"/>
        <v>28</v>
      </c>
      <c r="K38">
        <f t="shared" si="2"/>
        <v>1359.3314571428571</v>
      </c>
      <c r="L38">
        <f t="shared" si="3"/>
        <v>0</v>
      </c>
      <c r="M38">
        <f t="shared" si="4"/>
        <v>33983.286428571424</v>
      </c>
      <c r="N38">
        <f t="shared" si="5"/>
        <v>2530.8744874860322</v>
      </c>
      <c r="O38">
        <f t="shared" si="6"/>
        <v>36514.160916057459</v>
      </c>
      <c r="P38">
        <f t="shared" si="7"/>
        <v>0</v>
      </c>
      <c r="Q38">
        <f t="shared" si="8"/>
        <v>35423.172128703634</v>
      </c>
      <c r="R38">
        <f t="shared" si="9"/>
        <v>2638.1086712963638</v>
      </c>
      <c r="S38">
        <f t="shared" si="10"/>
        <v>38061.2808</v>
      </c>
    </row>
    <row r="39" spans="1:19" x14ac:dyDescent="0.3">
      <c r="A39" t="s">
        <v>13</v>
      </c>
      <c r="B39" t="s">
        <v>24</v>
      </c>
      <c r="C39" t="s">
        <v>15</v>
      </c>
      <c r="D39">
        <v>22</v>
      </c>
      <c r="E39">
        <v>6</v>
      </c>
      <c r="F39">
        <v>0</v>
      </c>
      <c r="G39">
        <v>20260207</v>
      </c>
      <c r="H39">
        <v>20260306</v>
      </c>
      <c r="I39">
        <v>866728.27709999995</v>
      </c>
      <c r="J39">
        <f t="shared" si="1"/>
        <v>28</v>
      </c>
      <c r="K39">
        <f t="shared" si="2"/>
        <v>30954.581324999999</v>
      </c>
      <c r="L39">
        <f t="shared" si="3"/>
        <v>923681.40972062387</v>
      </c>
      <c r="M39">
        <f t="shared" si="4"/>
        <v>185727.48794999998</v>
      </c>
      <c r="N39">
        <f t="shared" si="5"/>
        <v>0</v>
      </c>
      <c r="O39">
        <f t="shared" si="6"/>
        <v>1109408.8976706238</v>
      </c>
      <c r="P39">
        <f t="shared" si="7"/>
        <v>721628.24592212937</v>
      </c>
      <c r="Q39">
        <f t="shared" si="8"/>
        <v>145100.03117787052</v>
      </c>
      <c r="R39">
        <f t="shared" si="9"/>
        <v>0</v>
      </c>
      <c r="S39">
        <f t="shared" si="10"/>
        <v>866728.27709999983</v>
      </c>
    </row>
    <row r="40" spans="1:19" x14ac:dyDescent="0.3">
      <c r="A40" t="s">
        <v>13</v>
      </c>
      <c r="B40" t="s">
        <v>24</v>
      </c>
      <c r="C40" t="s">
        <v>15</v>
      </c>
      <c r="D40">
        <v>0</v>
      </c>
      <c r="E40">
        <v>27</v>
      </c>
      <c r="F40">
        <v>7</v>
      </c>
      <c r="G40">
        <v>20260305</v>
      </c>
      <c r="H40">
        <v>20260407</v>
      </c>
      <c r="I40">
        <v>837127.83059999999</v>
      </c>
      <c r="J40">
        <f t="shared" si="1"/>
        <v>34</v>
      </c>
      <c r="K40">
        <f t="shared" si="2"/>
        <v>24621.40678235294</v>
      </c>
      <c r="L40">
        <f t="shared" si="3"/>
        <v>0</v>
      </c>
      <c r="M40">
        <f t="shared" si="4"/>
        <v>664777.98312352935</v>
      </c>
      <c r="N40">
        <f t="shared" si="5"/>
        <v>106963.32367607059</v>
      </c>
      <c r="O40">
        <f t="shared" si="6"/>
        <v>771741.3067995999</v>
      </c>
      <c r="P40">
        <f t="shared" si="7"/>
        <v>0</v>
      </c>
      <c r="Q40">
        <f t="shared" si="8"/>
        <v>721101.93654225697</v>
      </c>
      <c r="R40">
        <f t="shared" si="9"/>
        <v>116025.89405774311</v>
      </c>
      <c r="S40">
        <f t="shared" si="10"/>
        <v>837127.8306000001</v>
      </c>
    </row>
    <row r="41" spans="1:19" x14ac:dyDescent="0.3">
      <c r="A41" t="s">
        <v>13</v>
      </c>
      <c r="B41" t="s">
        <v>24</v>
      </c>
      <c r="C41" t="s">
        <v>14</v>
      </c>
      <c r="D41">
        <v>24</v>
      </c>
      <c r="E41">
        <v>3</v>
      </c>
      <c r="F41">
        <v>0</v>
      </c>
      <c r="G41">
        <v>20260205</v>
      </c>
      <c r="H41">
        <v>20260303</v>
      </c>
      <c r="I41">
        <v>542035.47030000004</v>
      </c>
      <c r="J41">
        <f t="shared" si="1"/>
        <v>27</v>
      </c>
      <c r="K41">
        <f t="shared" si="2"/>
        <v>20075.387788888889</v>
      </c>
      <c r="L41">
        <f t="shared" si="3"/>
        <v>653506.29094010079</v>
      </c>
      <c r="M41">
        <f t="shared" si="4"/>
        <v>60226.163366666668</v>
      </c>
      <c r="N41">
        <f t="shared" si="5"/>
        <v>0</v>
      </c>
      <c r="O41">
        <f t="shared" si="6"/>
        <v>713732.45430676744</v>
      </c>
      <c r="P41">
        <f t="shared" si="7"/>
        <v>496297.43977072719</v>
      </c>
      <c r="Q41">
        <f t="shared" si="8"/>
        <v>45738.030529272895</v>
      </c>
      <c r="R41">
        <f t="shared" si="9"/>
        <v>0</v>
      </c>
      <c r="S41">
        <f t="shared" si="10"/>
        <v>542035.47030000004</v>
      </c>
    </row>
    <row r="42" spans="1:19" x14ac:dyDescent="0.3">
      <c r="A42" t="s">
        <v>13</v>
      </c>
      <c r="B42" t="s">
        <v>24</v>
      </c>
      <c r="C42" t="s">
        <v>14</v>
      </c>
      <c r="D42">
        <v>0</v>
      </c>
      <c r="E42">
        <v>27</v>
      </c>
      <c r="F42">
        <v>4</v>
      </c>
      <c r="G42">
        <v>20260305</v>
      </c>
      <c r="H42">
        <v>20260404</v>
      </c>
      <c r="I42">
        <v>453661.39750000002</v>
      </c>
      <c r="J42">
        <f t="shared" si="1"/>
        <v>31</v>
      </c>
      <c r="K42">
        <f t="shared" si="2"/>
        <v>14634.238629032259</v>
      </c>
      <c r="L42">
        <f t="shared" si="3"/>
        <v>0</v>
      </c>
      <c r="M42">
        <f t="shared" si="4"/>
        <v>395124.44298387098</v>
      </c>
      <c r="N42">
        <f t="shared" si="5"/>
        <v>36329.055723562124</v>
      </c>
      <c r="O42">
        <f t="shared" si="6"/>
        <v>431453.49870743311</v>
      </c>
      <c r="P42">
        <f t="shared" si="7"/>
        <v>0</v>
      </c>
      <c r="Q42">
        <f t="shared" si="8"/>
        <v>415462.40215338371</v>
      </c>
      <c r="R42">
        <f t="shared" si="9"/>
        <v>38198.995346616321</v>
      </c>
      <c r="S42">
        <f t="shared" si="10"/>
        <v>453661.39750000002</v>
      </c>
    </row>
    <row r="43" spans="1:19" x14ac:dyDescent="0.3">
      <c r="A43" t="s">
        <v>13</v>
      </c>
      <c r="B43" t="s">
        <v>24</v>
      </c>
      <c r="C43" t="s">
        <v>14</v>
      </c>
      <c r="D43">
        <v>24</v>
      </c>
      <c r="E43">
        <v>6</v>
      </c>
      <c r="F43">
        <v>0</v>
      </c>
      <c r="G43">
        <v>20260205</v>
      </c>
      <c r="H43">
        <v>20260306</v>
      </c>
      <c r="I43">
        <v>169659.30360000001</v>
      </c>
      <c r="J43">
        <f t="shared" si="1"/>
        <v>30</v>
      </c>
      <c r="K43">
        <f t="shared" si="2"/>
        <v>5655.3101200000001</v>
      </c>
      <c r="L43">
        <f t="shared" si="3"/>
        <v>184095.11086419545</v>
      </c>
      <c r="M43">
        <f t="shared" si="4"/>
        <v>33931.860719999997</v>
      </c>
      <c r="N43">
        <f t="shared" si="5"/>
        <v>0</v>
      </c>
      <c r="O43">
        <f t="shared" si="6"/>
        <v>218026.97158419545</v>
      </c>
      <c r="P43">
        <f t="shared" si="7"/>
        <v>143254.97473289803</v>
      </c>
      <c r="Q43">
        <f t="shared" si="8"/>
        <v>26404.32886710198</v>
      </c>
      <c r="R43">
        <f t="shared" si="9"/>
        <v>0</v>
      </c>
      <c r="S43">
        <f t="shared" si="10"/>
        <v>169659.30360000001</v>
      </c>
    </row>
    <row r="44" spans="1:19" x14ac:dyDescent="0.3">
      <c r="A44" t="s">
        <v>13</v>
      </c>
      <c r="B44" t="s">
        <v>24</v>
      </c>
      <c r="C44" t="s">
        <v>15</v>
      </c>
      <c r="D44">
        <v>0</v>
      </c>
      <c r="E44">
        <v>25</v>
      </c>
      <c r="F44">
        <v>8</v>
      </c>
      <c r="G44">
        <v>20260307</v>
      </c>
      <c r="H44">
        <v>20260408</v>
      </c>
      <c r="I44">
        <v>125043.428</v>
      </c>
      <c r="J44">
        <f t="shared" si="1"/>
        <v>33</v>
      </c>
      <c r="K44">
        <f t="shared" si="2"/>
        <v>3789.1947878787878</v>
      </c>
      <c r="L44">
        <f t="shared" si="3"/>
        <v>0</v>
      </c>
      <c r="M44">
        <f t="shared" si="4"/>
        <v>94729.86969696969</v>
      </c>
      <c r="N44">
        <f t="shared" si="5"/>
        <v>18813.123399967786</v>
      </c>
      <c r="O44">
        <f t="shared" si="6"/>
        <v>113542.99309693748</v>
      </c>
      <c r="P44">
        <f t="shared" si="7"/>
        <v>0</v>
      </c>
      <c r="Q44">
        <f t="shared" si="8"/>
        <v>104324.77881562828</v>
      </c>
      <c r="R44">
        <f t="shared" si="9"/>
        <v>20718.649184371716</v>
      </c>
      <c r="S44">
        <f t="shared" si="10"/>
        <v>125043.42799999999</v>
      </c>
    </row>
    <row r="45" spans="1:19" x14ac:dyDescent="0.3">
      <c r="A45" t="s">
        <v>13</v>
      </c>
      <c r="B45" t="s">
        <v>24</v>
      </c>
      <c r="C45" t="s">
        <v>15</v>
      </c>
      <c r="D45">
        <v>0</v>
      </c>
      <c r="E45">
        <v>29</v>
      </c>
      <c r="F45">
        <v>4</v>
      </c>
      <c r="G45">
        <v>20260303</v>
      </c>
      <c r="H45">
        <v>20260404</v>
      </c>
      <c r="I45">
        <v>346140.36560000002</v>
      </c>
      <c r="J45">
        <f t="shared" si="1"/>
        <v>33</v>
      </c>
      <c r="K45">
        <f t="shared" si="2"/>
        <v>10489.101987878788</v>
      </c>
      <c r="L45">
        <f t="shared" si="3"/>
        <v>0</v>
      </c>
      <c r="M45">
        <f t="shared" si="4"/>
        <v>304183.95764848485</v>
      </c>
      <c r="N45">
        <f t="shared" si="5"/>
        <v>26038.879115433258</v>
      </c>
      <c r="O45">
        <f t="shared" si="6"/>
        <v>330222.83676391811</v>
      </c>
      <c r="P45">
        <f t="shared" si="7"/>
        <v>0</v>
      </c>
      <c r="Q45">
        <f t="shared" si="8"/>
        <v>318846.35036726826</v>
      </c>
      <c r="R45">
        <f t="shared" si="9"/>
        <v>27294.015232731756</v>
      </c>
      <c r="S45">
        <f t="shared" si="10"/>
        <v>346140.36560000002</v>
      </c>
    </row>
    <row r="46" spans="1:19" x14ac:dyDescent="0.3">
      <c r="A46" t="s">
        <v>13</v>
      </c>
      <c r="B46" t="s">
        <v>24</v>
      </c>
      <c r="C46" t="s">
        <v>14</v>
      </c>
      <c r="D46">
        <v>0</v>
      </c>
      <c r="E46">
        <v>10</v>
      </c>
      <c r="F46">
        <v>0</v>
      </c>
      <c r="G46">
        <v>20260311</v>
      </c>
      <c r="H46">
        <v>20260320</v>
      </c>
      <c r="I46">
        <v>29613.632699999998</v>
      </c>
      <c r="J46">
        <f t="shared" si="1"/>
        <v>10</v>
      </c>
      <c r="K46">
        <f t="shared" si="2"/>
        <v>2961.3632699999998</v>
      </c>
      <c r="L46">
        <f t="shared" si="3"/>
        <v>0</v>
      </c>
      <c r="M46">
        <f t="shared" si="4"/>
        <v>29613.632699999998</v>
      </c>
      <c r="N46">
        <f t="shared" si="5"/>
        <v>0</v>
      </c>
      <c r="O46">
        <f t="shared" si="6"/>
        <v>29613.632699999998</v>
      </c>
      <c r="P46">
        <f t="shared" si="7"/>
        <v>0</v>
      </c>
      <c r="Q46">
        <f t="shared" si="8"/>
        <v>29613.632699999998</v>
      </c>
      <c r="R46">
        <f t="shared" si="9"/>
        <v>0</v>
      </c>
      <c r="S46">
        <f t="shared" si="10"/>
        <v>29613.632699999998</v>
      </c>
    </row>
    <row r="47" spans="1:19" x14ac:dyDescent="0.3">
      <c r="A47" t="s">
        <v>13</v>
      </c>
      <c r="B47" t="s">
        <v>37</v>
      </c>
      <c r="C47" t="s">
        <v>15</v>
      </c>
      <c r="D47">
        <v>0</v>
      </c>
      <c r="E47">
        <v>24</v>
      </c>
      <c r="F47">
        <v>5</v>
      </c>
      <c r="G47">
        <v>20260308</v>
      </c>
      <c r="H47">
        <v>20260405</v>
      </c>
      <c r="I47">
        <v>23713.464</v>
      </c>
      <c r="J47">
        <f t="shared" si="1"/>
        <v>29</v>
      </c>
      <c r="K47">
        <f t="shared" si="2"/>
        <v>817.7056551724138</v>
      </c>
      <c r="L47">
        <f t="shared" si="3"/>
        <v>0</v>
      </c>
      <c r="M47">
        <f t="shared" si="4"/>
        <v>19624.935724137933</v>
      </c>
      <c r="N47">
        <f t="shared" si="5"/>
        <v>2537.4120124446595</v>
      </c>
      <c r="O47">
        <f t="shared" si="6"/>
        <v>22162.347736582593</v>
      </c>
      <c r="P47">
        <f t="shared" si="7"/>
        <v>0</v>
      </c>
      <c r="Q47">
        <f t="shared" si="8"/>
        <v>20998.461549652548</v>
      </c>
      <c r="R47">
        <f t="shared" si="9"/>
        <v>2715.0024503474492</v>
      </c>
      <c r="S47">
        <f t="shared" si="10"/>
        <v>23713.463999999996</v>
      </c>
    </row>
    <row r="48" spans="1:19" x14ac:dyDescent="0.3">
      <c r="A48" t="s">
        <v>13</v>
      </c>
      <c r="B48" t="s">
        <v>37</v>
      </c>
      <c r="C48" t="s">
        <v>15</v>
      </c>
      <c r="D48">
        <v>0</v>
      </c>
      <c r="E48">
        <v>29</v>
      </c>
      <c r="F48">
        <v>7</v>
      </c>
      <c r="G48">
        <v>20260303</v>
      </c>
      <c r="H48">
        <v>20260407</v>
      </c>
      <c r="I48">
        <v>58724.336799999997</v>
      </c>
      <c r="J48">
        <f t="shared" si="1"/>
        <v>36</v>
      </c>
      <c r="K48">
        <f t="shared" si="2"/>
        <v>1631.2315777777776</v>
      </c>
      <c r="L48">
        <f t="shared" si="3"/>
        <v>0</v>
      </c>
      <c r="M48">
        <f t="shared" si="4"/>
        <v>47305.715755555553</v>
      </c>
      <c r="N48">
        <f t="shared" si="5"/>
        <v>7086.5955299324869</v>
      </c>
      <c r="O48">
        <f t="shared" si="6"/>
        <v>54392.311285488038</v>
      </c>
      <c r="P48">
        <f t="shared" si="7"/>
        <v>0</v>
      </c>
      <c r="Q48">
        <f t="shared" si="8"/>
        <v>51073.335898772239</v>
      </c>
      <c r="R48">
        <f t="shared" si="9"/>
        <v>7651.0009012277596</v>
      </c>
      <c r="S48">
        <f t="shared" si="10"/>
        <v>58724.336799999997</v>
      </c>
    </row>
    <row r="49" spans="1:19" x14ac:dyDescent="0.3">
      <c r="A49" t="s">
        <v>13</v>
      </c>
      <c r="B49" t="s">
        <v>24</v>
      </c>
      <c r="C49" t="s">
        <v>15</v>
      </c>
      <c r="D49">
        <v>0</v>
      </c>
      <c r="E49">
        <v>29</v>
      </c>
      <c r="F49">
        <v>7</v>
      </c>
      <c r="G49">
        <v>20260303</v>
      </c>
      <c r="H49">
        <v>20260407</v>
      </c>
      <c r="I49">
        <v>243286.53880000001</v>
      </c>
      <c r="J49">
        <f t="shared" si="1"/>
        <v>36</v>
      </c>
      <c r="K49">
        <f t="shared" si="2"/>
        <v>6757.959411111111</v>
      </c>
      <c r="L49">
        <f t="shared" si="3"/>
        <v>0</v>
      </c>
      <c r="M49">
        <f t="shared" si="4"/>
        <v>195980.82292222223</v>
      </c>
      <c r="N49">
        <f t="shared" si="5"/>
        <v>29358.752985573548</v>
      </c>
      <c r="O49">
        <f t="shared" si="6"/>
        <v>225339.57590779578</v>
      </c>
      <c r="P49">
        <f t="shared" si="7"/>
        <v>0</v>
      </c>
      <c r="Q49">
        <f t="shared" si="8"/>
        <v>211589.53498444764</v>
      </c>
      <c r="R49">
        <f t="shared" si="9"/>
        <v>31697.003815552369</v>
      </c>
      <c r="S49">
        <f t="shared" si="10"/>
        <v>243286.53880000001</v>
      </c>
    </row>
    <row r="50" spans="1:19" x14ac:dyDescent="0.3">
      <c r="A50" t="s">
        <v>13</v>
      </c>
      <c r="B50" t="s">
        <v>24</v>
      </c>
      <c r="C50" t="s">
        <v>15</v>
      </c>
      <c r="D50">
        <v>23</v>
      </c>
      <c r="E50">
        <v>2</v>
      </c>
      <c r="F50">
        <v>0</v>
      </c>
      <c r="G50">
        <v>20260206</v>
      </c>
      <c r="H50">
        <v>20260302</v>
      </c>
      <c r="I50">
        <v>314308.24589999998</v>
      </c>
      <c r="J50">
        <f t="shared" si="1"/>
        <v>25</v>
      </c>
      <c r="K50">
        <f t="shared" si="2"/>
        <v>12572.329835999999</v>
      </c>
      <c r="L50">
        <f t="shared" si="3"/>
        <v>392209.57335501531</v>
      </c>
      <c r="M50">
        <f t="shared" si="4"/>
        <v>25144.659671999998</v>
      </c>
      <c r="N50">
        <f t="shared" si="5"/>
        <v>0</v>
      </c>
      <c r="O50">
        <f t="shared" si="6"/>
        <v>417354.23302701529</v>
      </c>
      <c r="P50">
        <f t="shared" si="7"/>
        <v>295371.87662458111</v>
      </c>
      <c r="Q50">
        <f t="shared" si="8"/>
        <v>18936.369275418892</v>
      </c>
      <c r="R50">
        <f t="shared" si="9"/>
        <v>0</v>
      </c>
      <c r="S50">
        <f t="shared" si="10"/>
        <v>314308.24589999998</v>
      </c>
    </row>
    <row r="51" spans="1:19" x14ac:dyDescent="0.3">
      <c r="A51" t="s">
        <v>13</v>
      </c>
      <c r="B51" t="s">
        <v>24</v>
      </c>
      <c r="C51" t="s">
        <v>15</v>
      </c>
      <c r="D51">
        <v>0</v>
      </c>
      <c r="E51">
        <v>27</v>
      </c>
      <c r="F51">
        <v>13</v>
      </c>
      <c r="G51">
        <v>20260305</v>
      </c>
      <c r="H51">
        <v>20260413</v>
      </c>
      <c r="I51">
        <v>14057.122300000001</v>
      </c>
      <c r="J51">
        <f t="shared" si="1"/>
        <v>40</v>
      </c>
      <c r="K51">
        <f t="shared" si="2"/>
        <v>351.42805750000002</v>
      </c>
      <c r="L51">
        <f t="shared" si="3"/>
        <v>0</v>
      </c>
      <c r="M51">
        <f t="shared" si="4"/>
        <v>9488.5575525000004</v>
      </c>
      <c r="N51">
        <f t="shared" si="5"/>
        <v>2835.3310256839186</v>
      </c>
      <c r="O51">
        <f t="shared" si="6"/>
        <v>12323.88857818392</v>
      </c>
      <c r="P51">
        <f t="shared" si="7"/>
        <v>0</v>
      </c>
      <c r="Q51">
        <f t="shared" si="8"/>
        <v>10823.029851324465</v>
      </c>
      <c r="R51">
        <f t="shared" si="9"/>
        <v>3234.0924486755348</v>
      </c>
      <c r="S51">
        <f t="shared" si="10"/>
        <v>14057.122299999999</v>
      </c>
    </row>
    <row r="52" spans="1:19" x14ac:dyDescent="0.3">
      <c r="A52" t="s">
        <v>13</v>
      </c>
      <c r="B52" t="s">
        <v>24</v>
      </c>
      <c r="C52" t="s">
        <v>15</v>
      </c>
      <c r="D52">
        <v>0</v>
      </c>
      <c r="E52">
        <v>14</v>
      </c>
      <c r="F52">
        <v>15</v>
      </c>
      <c r="G52">
        <v>20260318</v>
      </c>
      <c r="H52">
        <v>20260415</v>
      </c>
      <c r="I52">
        <v>224680.3</v>
      </c>
      <c r="J52">
        <f t="shared" si="1"/>
        <v>29</v>
      </c>
      <c r="K52">
        <f t="shared" si="2"/>
        <v>7747.5965517241375</v>
      </c>
      <c r="L52">
        <f t="shared" si="3"/>
        <v>0</v>
      </c>
      <c r="M52">
        <f t="shared" si="4"/>
        <v>108466.35172413793</v>
      </c>
      <c r="N52">
        <f t="shared" si="5"/>
        <v>72124.404791261593</v>
      </c>
      <c r="O52">
        <f t="shared" si="6"/>
        <v>180590.75651539952</v>
      </c>
      <c r="P52">
        <f t="shared" si="7"/>
        <v>0</v>
      </c>
      <c r="Q52">
        <f t="shared" si="8"/>
        <v>134947.39661942056</v>
      </c>
      <c r="R52">
        <f t="shared" si="9"/>
        <v>89732.903380579432</v>
      </c>
      <c r="S52">
        <f t="shared" si="10"/>
        <v>224680.3</v>
      </c>
    </row>
    <row r="53" spans="1:19" x14ac:dyDescent="0.3">
      <c r="A53" t="s">
        <v>13</v>
      </c>
      <c r="B53" t="s">
        <v>24</v>
      </c>
      <c r="C53" t="s">
        <v>14</v>
      </c>
      <c r="D53">
        <v>24</v>
      </c>
      <c r="E53">
        <v>8</v>
      </c>
      <c r="F53">
        <v>0</v>
      </c>
      <c r="G53">
        <v>20260205</v>
      </c>
      <c r="H53">
        <v>20260308</v>
      </c>
      <c r="I53">
        <v>2914.6019999999999</v>
      </c>
      <c r="J53">
        <f t="shared" si="1"/>
        <v>32</v>
      </c>
      <c r="K53">
        <f t="shared" si="2"/>
        <v>91.081312499999996</v>
      </c>
      <c r="L53">
        <f t="shared" si="3"/>
        <v>2964.9345423242562</v>
      </c>
      <c r="M53">
        <f t="shared" si="4"/>
        <v>728.65049999999997</v>
      </c>
      <c r="N53">
        <f t="shared" si="5"/>
        <v>0</v>
      </c>
      <c r="O53">
        <f t="shared" si="6"/>
        <v>3693.5850423242564</v>
      </c>
      <c r="P53">
        <f t="shared" si="7"/>
        <v>2339.6250655946646</v>
      </c>
      <c r="Q53">
        <f t="shared" si="8"/>
        <v>574.97693440533487</v>
      </c>
      <c r="R53">
        <f t="shared" si="9"/>
        <v>0</v>
      </c>
      <c r="S53">
        <f t="shared" si="10"/>
        <v>2914.6019999999994</v>
      </c>
    </row>
    <row r="54" spans="1:19" x14ac:dyDescent="0.3">
      <c r="A54" t="s">
        <v>13</v>
      </c>
      <c r="B54" t="s">
        <v>37</v>
      </c>
      <c r="C54" t="s">
        <v>15</v>
      </c>
      <c r="D54">
        <v>0</v>
      </c>
      <c r="E54">
        <v>25</v>
      </c>
      <c r="F54">
        <v>1</v>
      </c>
      <c r="G54">
        <v>20260307</v>
      </c>
      <c r="H54">
        <v>20260401</v>
      </c>
      <c r="I54">
        <v>22553.363700000002</v>
      </c>
      <c r="J54">
        <f t="shared" si="1"/>
        <v>26</v>
      </c>
      <c r="K54">
        <f t="shared" si="2"/>
        <v>867.43706538461549</v>
      </c>
      <c r="L54">
        <f t="shared" si="3"/>
        <v>0</v>
      </c>
      <c r="M54">
        <f t="shared" si="4"/>
        <v>21685.926634615389</v>
      </c>
      <c r="N54">
        <f t="shared" si="5"/>
        <v>538.34658371845921</v>
      </c>
      <c r="O54">
        <f t="shared" si="6"/>
        <v>22224.273218333848</v>
      </c>
      <c r="P54">
        <f t="shared" si="7"/>
        <v>0</v>
      </c>
      <c r="Q54">
        <f t="shared" si="8"/>
        <v>22007.045438881847</v>
      </c>
      <c r="R54">
        <f t="shared" si="9"/>
        <v>546.31826111815417</v>
      </c>
      <c r="S54">
        <f t="shared" si="10"/>
        <v>22553.363700000002</v>
      </c>
    </row>
    <row r="55" spans="1:19" x14ac:dyDescent="0.3">
      <c r="A55" t="s">
        <v>13</v>
      </c>
      <c r="B55" t="s">
        <v>24</v>
      </c>
      <c r="C55" t="s">
        <v>15</v>
      </c>
      <c r="D55">
        <v>0</v>
      </c>
      <c r="E55">
        <v>14</v>
      </c>
      <c r="F55">
        <v>16</v>
      </c>
      <c r="G55">
        <v>20260318</v>
      </c>
      <c r="H55">
        <v>20260416</v>
      </c>
      <c r="I55">
        <v>435544.79369999998</v>
      </c>
      <c r="J55">
        <f t="shared" si="1"/>
        <v>30</v>
      </c>
      <c r="K55">
        <f t="shared" si="2"/>
        <v>14518.15979</v>
      </c>
      <c r="L55">
        <f t="shared" si="3"/>
        <v>0</v>
      </c>
      <c r="M55">
        <f t="shared" si="4"/>
        <v>203254.23705999998</v>
      </c>
      <c r="N55">
        <f t="shared" si="5"/>
        <v>144163.57403606645</v>
      </c>
      <c r="O55">
        <f t="shared" si="6"/>
        <v>347417.81109606643</v>
      </c>
      <c r="P55">
        <f t="shared" si="7"/>
        <v>0</v>
      </c>
      <c r="Q55">
        <f t="shared" si="8"/>
        <v>254812.28054962811</v>
      </c>
      <c r="R55">
        <f t="shared" si="9"/>
        <v>180732.51315037187</v>
      </c>
      <c r="S55">
        <f t="shared" si="10"/>
        <v>435544.79369999998</v>
      </c>
    </row>
    <row r="56" spans="1:19" x14ac:dyDescent="0.3">
      <c r="A56" t="s">
        <v>13</v>
      </c>
      <c r="B56" t="s">
        <v>24</v>
      </c>
      <c r="C56" t="s">
        <v>15</v>
      </c>
      <c r="D56">
        <v>0</v>
      </c>
      <c r="E56">
        <v>16</v>
      </c>
      <c r="F56">
        <v>0</v>
      </c>
      <c r="G56">
        <v>20260316</v>
      </c>
      <c r="H56">
        <v>20260331</v>
      </c>
      <c r="I56">
        <v>3160.3377</v>
      </c>
      <c r="J56">
        <f t="shared" si="1"/>
        <v>16</v>
      </c>
      <c r="K56">
        <f t="shared" si="2"/>
        <v>197.52110625</v>
      </c>
      <c r="L56">
        <f t="shared" si="3"/>
        <v>0</v>
      </c>
      <c r="M56">
        <f t="shared" si="4"/>
        <v>3160.3377</v>
      </c>
      <c r="N56">
        <f t="shared" si="5"/>
        <v>0</v>
      </c>
      <c r="O56">
        <f t="shared" si="6"/>
        <v>3160.3377</v>
      </c>
      <c r="P56">
        <f t="shared" si="7"/>
        <v>0</v>
      </c>
      <c r="Q56">
        <f t="shared" si="8"/>
        <v>3160.3377</v>
      </c>
      <c r="R56">
        <f t="shared" si="9"/>
        <v>0</v>
      </c>
      <c r="S56">
        <f t="shared" si="10"/>
        <v>3160.3377</v>
      </c>
    </row>
    <row r="57" spans="1:19" x14ac:dyDescent="0.3">
      <c r="A57" t="s">
        <v>13</v>
      </c>
      <c r="B57" t="s">
        <v>24</v>
      </c>
      <c r="C57" t="s">
        <v>15</v>
      </c>
      <c r="D57">
        <v>0</v>
      </c>
      <c r="E57">
        <v>29</v>
      </c>
      <c r="F57">
        <v>6</v>
      </c>
      <c r="G57">
        <v>20260303</v>
      </c>
      <c r="H57">
        <v>20260406</v>
      </c>
      <c r="I57">
        <v>245426.74179999999</v>
      </c>
      <c r="J57">
        <f t="shared" si="1"/>
        <v>35</v>
      </c>
      <c r="K57">
        <f t="shared" si="2"/>
        <v>7012.1926228571429</v>
      </c>
      <c r="L57">
        <f t="shared" si="3"/>
        <v>0</v>
      </c>
      <c r="M57">
        <f t="shared" si="4"/>
        <v>203353.58606285715</v>
      </c>
      <c r="N57">
        <f t="shared" si="5"/>
        <v>26111.334829003095</v>
      </c>
      <c r="O57">
        <f t="shared" si="6"/>
        <v>229464.92089186024</v>
      </c>
      <c r="P57">
        <f t="shared" si="7"/>
        <v>0</v>
      </c>
      <c r="Q57">
        <f t="shared" si="8"/>
        <v>217499.07509511319</v>
      </c>
      <c r="R57">
        <f t="shared" si="9"/>
        <v>27927.666704886804</v>
      </c>
      <c r="S57">
        <f t="shared" si="10"/>
        <v>245426.74179999999</v>
      </c>
    </row>
    <row r="58" spans="1:19" x14ac:dyDescent="0.3">
      <c r="A58" t="s">
        <v>13</v>
      </c>
      <c r="B58" t="s">
        <v>37</v>
      </c>
      <c r="C58" t="s">
        <v>15</v>
      </c>
      <c r="D58">
        <v>0</v>
      </c>
      <c r="E58">
        <v>30</v>
      </c>
      <c r="F58">
        <v>8</v>
      </c>
      <c r="G58">
        <v>20260302</v>
      </c>
      <c r="H58">
        <v>20260408</v>
      </c>
      <c r="I58">
        <v>6598.3553000000002</v>
      </c>
      <c r="J58">
        <f t="shared" si="1"/>
        <v>38</v>
      </c>
      <c r="K58">
        <f t="shared" si="2"/>
        <v>173.64092894736842</v>
      </c>
      <c r="L58">
        <f t="shared" si="3"/>
        <v>0</v>
      </c>
      <c r="M58">
        <f t="shared" si="4"/>
        <v>5209.2278684210523</v>
      </c>
      <c r="N58">
        <f t="shared" si="5"/>
        <v>862.11673097983248</v>
      </c>
      <c r="O58">
        <f t="shared" si="6"/>
        <v>6071.3445994008853</v>
      </c>
      <c r="P58">
        <f t="shared" si="7"/>
        <v>0</v>
      </c>
      <c r="Q58">
        <f t="shared" si="8"/>
        <v>5661.4042823225</v>
      </c>
      <c r="R58">
        <f t="shared" si="9"/>
        <v>936.95101767749975</v>
      </c>
      <c r="S58">
        <f t="shared" si="10"/>
        <v>6598.3552999999993</v>
      </c>
    </row>
    <row r="59" spans="1:19" x14ac:dyDescent="0.3">
      <c r="A59" t="s">
        <v>13</v>
      </c>
      <c r="B59" t="s">
        <v>24</v>
      </c>
      <c r="C59" t="s">
        <v>15</v>
      </c>
      <c r="D59">
        <v>21</v>
      </c>
      <c r="E59">
        <v>3</v>
      </c>
      <c r="F59">
        <v>0</v>
      </c>
      <c r="G59">
        <v>20260208</v>
      </c>
      <c r="H59">
        <v>20260303</v>
      </c>
      <c r="I59">
        <v>28000.2824</v>
      </c>
      <c r="J59">
        <f t="shared" si="1"/>
        <v>24</v>
      </c>
      <c r="K59">
        <f t="shared" si="2"/>
        <v>1166.6784333333333</v>
      </c>
      <c r="L59">
        <f t="shared" si="3"/>
        <v>33231.12563214219</v>
      </c>
      <c r="M59">
        <f t="shared" si="4"/>
        <v>3500.0352999999996</v>
      </c>
      <c r="N59">
        <f t="shared" si="5"/>
        <v>0</v>
      </c>
      <c r="O59">
        <f t="shared" si="6"/>
        <v>36731.160932142186</v>
      </c>
      <c r="P59">
        <f t="shared" si="7"/>
        <v>25332.194206680455</v>
      </c>
      <c r="Q59">
        <f t="shared" si="8"/>
        <v>2668.0881933195456</v>
      </c>
      <c r="R59">
        <f t="shared" si="9"/>
        <v>0</v>
      </c>
      <c r="S59">
        <f t="shared" si="10"/>
        <v>28000.2824</v>
      </c>
    </row>
    <row r="60" spans="1:19" x14ac:dyDescent="0.3">
      <c r="A60" t="s">
        <v>13</v>
      </c>
      <c r="B60" t="s">
        <v>24</v>
      </c>
      <c r="C60" t="s">
        <v>14</v>
      </c>
      <c r="D60">
        <v>21</v>
      </c>
      <c r="E60">
        <v>8</v>
      </c>
      <c r="F60">
        <v>0</v>
      </c>
      <c r="G60">
        <v>20260208</v>
      </c>
      <c r="H60">
        <v>20260308</v>
      </c>
      <c r="I60">
        <v>48519.446000000004</v>
      </c>
      <c r="J60">
        <f t="shared" si="1"/>
        <v>29</v>
      </c>
      <c r="K60">
        <f t="shared" si="2"/>
        <v>1673.0843448275864</v>
      </c>
      <c r="L60">
        <f t="shared" si="3"/>
        <v>47655.355981240391</v>
      </c>
      <c r="M60">
        <f t="shared" si="4"/>
        <v>13384.674758620691</v>
      </c>
      <c r="N60">
        <f t="shared" si="5"/>
        <v>0</v>
      </c>
      <c r="O60">
        <f t="shared" si="6"/>
        <v>61040.030739861082</v>
      </c>
      <c r="P60">
        <f t="shared" si="7"/>
        <v>37880.247488679961</v>
      </c>
      <c r="Q60">
        <f t="shared" si="8"/>
        <v>10639.198511320043</v>
      </c>
      <c r="R60">
        <f t="shared" si="9"/>
        <v>0</v>
      </c>
      <c r="S60">
        <f t="shared" si="10"/>
        <v>48519.446000000004</v>
      </c>
    </row>
    <row r="61" spans="1:19" x14ac:dyDescent="0.3">
      <c r="A61" t="s">
        <v>13</v>
      </c>
      <c r="B61" t="s">
        <v>24</v>
      </c>
      <c r="C61" t="s">
        <v>15</v>
      </c>
      <c r="D61">
        <v>25</v>
      </c>
      <c r="E61">
        <v>7</v>
      </c>
      <c r="F61">
        <v>0</v>
      </c>
      <c r="G61">
        <v>20260204</v>
      </c>
      <c r="H61">
        <v>20260307</v>
      </c>
      <c r="I61">
        <v>399127.0626</v>
      </c>
      <c r="J61">
        <f t="shared" si="1"/>
        <v>32</v>
      </c>
      <c r="K61">
        <f t="shared" si="2"/>
        <v>12472.72070625</v>
      </c>
      <c r="L61">
        <f t="shared" si="3"/>
        <v>422937.11066695227</v>
      </c>
      <c r="M61">
        <f t="shared" si="4"/>
        <v>87309.044943750006</v>
      </c>
      <c r="N61">
        <f t="shared" si="5"/>
        <v>0</v>
      </c>
      <c r="O61">
        <f t="shared" si="6"/>
        <v>510246.15561070229</v>
      </c>
      <c r="P61">
        <f t="shared" si="7"/>
        <v>330831.78538208106</v>
      </c>
      <c r="Q61">
        <f t="shared" si="8"/>
        <v>68295.277217918949</v>
      </c>
      <c r="R61">
        <f t="shared" si="9"/>
        <v>0</v>
      </c>
      <c r="S61">
        <f t="shared" si="10"/>
        <v>399127.0626</v>
      </c>
    </row>
    <row r="62" spans="1:19" x14ac:dyDescent="0.3">
      <c r="A62" t="s">
        <v>13</v>
      </c>
      <c r="B62" t="s">
        <v>24</v>
      </c>
      <c r="C62" t="s">
        <v>14</v>
      </c>
      <c r="D62">
        <v>0</v>
      </c>
      <c r="E62">
        <v>25</v>
      </c>
      <c r="F62">
        <v>8</v>
      </c>
      <c r="G62">
        <v>20260307</v>
      </c>
      <c r="H62">
        <v>20260408</v>
      </c>
      <c r="I62">
        <v>61053.618499999997</v>
      </c>
      <c r="J62">
        <f t="shared" si="1"/>
        <v>33</v>
      </c>
      <c r="K62">
        <f t="shared" si="2"/>
        <v>1850.1096515151514</v>
      </c>
      <c r="L62">
        <f t="shared" si="3"/>
        <v>0</v>
      </c>
      <c r="M62">
        <f t="shared" si="4"/>
        <v>46252.741287878787</v>
      </c>
      <c r="N62">
        <f t="shared" si="5"/>
        <v>9185.682744198728</v>
      </c>
      <c r="O62">
        <f t="shared" si="6"/>
        <v>55438.424032077513</v>
      </c>
      <c r="P62">
        <f t="shared" si="7"/>
        <v>0</v>
      </c>
      <c r="Q62">
        <f t="shared" si="8"/>
        <v>50937.545041601472</v>
      </c>
      <c r="R62">
        <f t="shared" si="9"/>
        <v>10116.073458398523</v>
      </c>
      <c r="S62">
        <f t="shared" si="10"/>
        <v>61053.618499999997</v>
      </c>
    </row>
    <row r="63" spans="1:19" x14ac:dyDescent="0.3">
      <c r="A63" t="s">
        <v>13</v>
      </c>
      <c r="B63" t="s">
        <v>24</v>
      </c>
      <c r="C63" t="s">
        <v>14</v>
      </c>
      <c r="D63">
        <v>0</v>
      </c>
      <c r="E63">
        <v>27</v>
      </c>
      <c r="F63">
        <v>8</v>
      </c>
      <c r="G63">
        <v>20260305</v>
      </c>
      <c r="H63">
        <v>20260408</v>
      </c>
      <c r="I63">
        <v>40909.2673</v>
      </c>
      <c r="J63">
        <f t="shared" si="1"/>
        <v>35</v>
      </c>
      <c r="K63">
        <f t="shared" si="2"/>
        <v>1168.8362085714286</v>
      </c>
      <c r="L63">
        <f t="shared" si="3"/>
        <v>0</v>
      </c>
      <c r="M63">
        <f t="shared" si="4"/>
        <v>31558.577631428572</v>
      </c>
      <c r="N63">
        <f t="shared" si="5"/>
        <v>5803.2012227364521</v>
      </c>
      <c r="O63">
        <f t="shared" si="6"/>
        <v>37361.778854165022</v>
      </c>
      <c r="P63">
        <f t="shared" si="7"/>
        <v>0</v>
      </c>
      <c r="Q63">
        <f t="shared" si="8"/>
        <v>34555.054055944391</v>
      </c>
      <c r="R63">
        <f t="shared" si="9"/>
        <v>6354.2132440556134</v>
      </c>
      <c r="S63">
        <f t="shared" si="10"/>
        <v>40909.267300000007</v>
      </c>
    </row>
    <row r="64" spans="1:19" x14ac:dyDescent="0.3">
      <c r="A64" t="s">
        <v>13</v>
      </c>
      <c r="B64" t="s">
        <v>24</v>
      </c>
      <c r="C64" t="s">
        <v>14</v>
      </c>
      <c r="D64">
        <v>25</v>
      </c>
      <c r="E64">
        <v>7</v>
      </c>
      <c r="F64">
        <v>0</v>
      </c>
      <c r="G64">
        <v>20260204</v>
      </c>
      <c r="H64">
        <v>20260307</v>
      </c>
      <c r="I64">
        <v>380.12099999999998</v>
      </c>
      <c r="J64">
        <f t="shared" si="1"/>
        <v>32</v>
      </c>
      <c r="K64">
        <f t="shared" si="2"/>
        <v>11.878781249999999</v>
      </c>
      <c r="L64">
        <f t="shared" si="3"/>
        <v>402.79723553837653</v>
      </c>
      <c r="M64">
        <f t="shared" si="4"/>
        <v>83.151468749999992</v>
      </c>
      <c r="N64">
        <f t="shared" si="5"/>
        <v>0</v>
      </c>
      <c r="O64">
        <f t="shared" si="6"/>
        <v>485.94870428837652</v>
      </c>
      <c r="P64">
        <f t="shared" si="7"/>
        <v>315.07788089341659</v>
      </c>
      <c r="Q64">
        <f t="shared" si="8"/>
        <v>65.04311910658339</v>
      </c>
      <c r="R64">
        <f t="shared" si="9"/>
        <v>0</v>
      </c>
      <c r="S64">
        <f t="shared" si="10"/>
        <v>380.12099999999998</v>
      </c>
    </row>
    <row r="65" spans="1:19" x14ac:dyDescent="0.3">
      <c r="A65" t="s">
        <v>13</v>
      </c>
      <c r="B65" t="s">
        <v>24</v>
      </c>
      <c r="C65" t="s">
        <v>14</v>
      </c>
      <c r="D65">
        <v>0</v>
      </c>
      <c r="E65">
        <v>14</v>
      </c>
      <c r="F65">
        <v>20</v>
      </c>
      <c r="G65">
        <v>20260318</v>
      </c>
      <c r="H65">
        <v>20260420</v>
      </c>
      <c r="I65">
        <v>28329.907299999999</v>
      </c>
      <c r="J65">
        <f t="shared" si="1"/>
        <v>34</v>
      </c>
      <c r="K65">
        <f t="shared" si="2"/>
        <v>833.23256764705877</v>
      </c>
      <c r="L65">
        <f t="shared" si="3"/>
        <v>0</v>
      </c>
      <c r="M65">
        <f t="shared" si="4"/>
        <v>11665.255947058822</v>
      </c>
      <c r="N65">
        <f t="shared" si="5"/>
        <v>10342.373507797067</v>
      </c>
      <c r="O65">
        <f t="shared" si="6"/>
        <v>22007.629454855887</v>
      </c>
      <c r="P65">
        <f t="shared" si="7"/>
        <v>0</v>
      </c>
      <c r="Q65">
        <f t="shared" si="8"/>
        <v>15016.411480793635</v>
      </c>
      <c r="R65">
        <f t="shared" si="9"/>
        <v>13313.495819206366</v>
      </c>
      <c r="S65">
        <f t="shared" si="10"/>
        <v>28329.907299999999</v>
      </c>
    </row>
    <row r="66" spans="1:19" x14ac:dyDescent="0.3">
      <c r="A66" t="s">
        <v>13</v>
      </c>
      <c r="B66" t="s">
        <v>24</v>
      </c>
      <c r="C66" t="s">
        <v>15</v>
      </c>
      <c r="D66">
        <v>22</v>
      </c>
      <c r="E66">
        <v>7</v>
      </c>
      <c r="F66">
        <v>0</v>
      </c>
      <c r="G66">
        <v>20260207</v>
      </c>
      <c r="H66">
        <v>20260307</v>
      </c>
      <c r="I66">
        <v>250044.2542</v>
      </c>
      <c r="J66">
        <f t="shared" si="1"/>
        <v>29</v>
      </c>
      <c r="K66">
        <f t="shared" si="2"/>
        <v>8622.2156620689657</v>
      </c>
      <c r="L66">
        <f t="shared" si="3"/>
        <v>257285.99699143576</v>
      </c>
      <c r="M66">
        <f t="shared" si="4"/>
        <v>60355.509634482762</v>
      </c>
      <c r="N66">
        <f t="shared" si="5"/>
        <v>0</v>
      </c>
      <c r="O66">
        <f t="shared" si="6"/>
        <v>317641.50662591856</v>
      </c>
      <c r="P66">
        <f t="shared" si="7"/>
        <v>202532.9936165768</v>
      </c>
      <c r="Q66">
        <f t="shared" si="8"/>
        <v>47511.26058342318</v>
      </c>
      <c r="R66">
        <f t="shared" si="9"/>
        <v>0</v>
      </c>
      <c r="S66">
        <f t="shared" si="10"/>
        <v>250044.25419999997</v>
      </c>
    </row>
    <row r="67" spans="1:19" x14ac:dyDescent="0.3">
      <c r="A67" t="s">
        <v>13</v>
      </c>
      <c r="B67" t="s">
        <v>24</v>
      </c>
      <c r="C67" t="s">
        <v>15</v>
      </c>
      <c r="D67">
        <v>20</v>
      </c>
      <c r="E67">
        <v>3</v>
      </c>
      <c r="F67">
        <v>0</v>
      </c>
      <c r="G67">
        <v>20260209</v>
      </c>
      <c r="H67">
        <v>20260303</v>
      </c>
      <c r="I67">
        <v>25933.913700000001</v>
      </c>
      <c r="J67">
        <f t="shared" si="1"/>
        <v>23</v>
      </c>
      <c r="K67">
        <f t="shared" si="2"/>
        <v>1127.5614652173913</v>
      </c>
      <c r="L67">
        <f t="shared" si="3"/>
        <v>30587.558203526416</v>
      </c>
      <c r="M67">
        <f t="shared" si="4"/>
        <v>3382.6843956521739</v>
      </c>
      <c r="N67">
        <f t="shared" si="5"/>
        <v>0</v>
      </c>
      <c r="O67">
        <f t="shared" si="6"/>
        <v>33970.242599178593</v>
      </c>
      <c r="P67">
        <f t="shared" si="7"/>
        <v>23351.469817385474</v>
      </c>
      <c r="Q67">
        <f t="shared" si="8"/>
        <v>2582.443882614526</v>
      </c>
      <c r="R67">
        <f t="shared" si="9"/>
        <v>0</v>
      </c>
      <c r="S67">
        <f t="shared" si="10"/>
        <v>25933.913700000001</v>
      </c>
    </row>
    <row r="68" spans="1:19" x14ac:dyDescent="0.3">
      <c r="A68" t="s">
        <v>13</v>
      </c>
      <c r="B68" t="s">
        <v>24</v>
      </c>
      <c r="C68" t="s">
        <v>15</v>
      </c>
      <c r="D68">
        <v>25</v>
      </c>
      <c r="E68">
        <v>9</v>
      </c>
      <c r="F68">
        <v>0</v>
      </c>
      <c r="G68">
        <v>20260204</v>
      </c>
      <c r="H68">
        <v>20260309</v>
      </c>
      <c r="I68">
        <v>75234.044599999994</v>
      </c>
      <c r="J68">
        <f t="shared" si="1"/>
        <v>34</v>
      </c>
      <c r="K68">
        <f t="shared" si="2"/>
        <v>2212.7660176470586</v>
      </c>
      <c r="L68">
        <f t="shared" si="3"/>
        <v>75032.61622916894</v>
      </c>
      <c r="M68">
        <f t="shared" si="4"/>
        <v>19914.894158823528</v>
      </c>
      <c r="N68">
        <f t="shared" si="5"/>
        <v>0</v>
      </c>
      <c r="O68">
        <f t="shared" si="6"/>
        <v>94947.510387992472</v>
      </c>
      <c r="P68">
        <f t="shared" si="7"/>
        <v>59453.978021880546</v>
      </c>
      <c r="Q68">
        <f t="shared" si="8"/>
        <v>15780.066578119442</v>
      </c>
      <c r="R68">
        <f t="shared" si="9"/>
        <v>0</v>
      </c>
      <c r="S68">
        <f t="shared" si="10"/>
        <v>75234.044599999994</v>
      </c>
    </row>
    <row r="69" spans="1:19" x14ac:dyDescent="0.3">
      <c r="A69" t="s">
        <v>13</v>
      </c>
      <c r="B69" t="s">
        <v>24</v>
      </c>
      <c r="C69" t="s">
        <v>15</v>
      </c>
      <c r="D69">
        <v>0</v>
      </c>
      <c r="E69">
        <v>20</v>
      </c>
      <c r="F69">
        <v>0</v>
      </c>
      <c r="G69">
        <v>20260305</v>
      </c>
      <c r="H69">
        <v>20260324</v>
      </c>
      <c r="I69">
        <v>3498.2606000000001</v>
      </c>
      <c r="J69">
        <f t="shared" si="1"/>
        <v>20</v>
      </c>
      <c r="K69">
        <f t="shared" si="2"/>
        <v>174.91302999999999</v>
      </c>
      <c r="L69">
        <f t="shared" si="3"/>
        <v>0</v>
      </c>
      <c r="M69">
        <f t="shared" si="4"/>
        <v>3498.2605999999996</v>
      </c>
      <c r="N69">
        <f t="shared" si="5"/>
        <v>0</v>
      </c>
      <c r="O69">
        <f t="shared" si="6"/>
        <v>3498.2605999999996</v>
      </c>
      <c r="P69">
        <f t="shared" si="7"/>
        <v>0</v>
      </c>
      <c r="Q69">
        <f t="shared" si="8"/>
        <v>3498.2606000000001</v>
      </c>
      <c r="R69">
        <f t="shared" si="9"/>
        <v>0</v>
      </c>
      <c r="S69">
        <f t="shared" si="10"/>
        <v>3498.2606000000001</v>
      </c>
    </row>
    <row r="70" spans="1:19" x14ac:dyDescent="0.3">
      <c r="A70" t="s">
        <v>13</v>
      </c>
      <c r="B70" t="s">
        <v>24</v>
      </c>
      <c r="C70" t="s">
        <v>15</v>
      </c>
      <c r="D70">
        <v>0</v>
      </c>
      <c r="E70">
        <v>30</v>
      </c>
      <c r="F70">
        <v>0</v>
      </c>
      <c r="G70">
        <v>20260302</v>
      </c>
      <c r="H70">
        <v>20260331</v>
      </c>
      <c r="I70">
        <v>21652.7032</v>
      </c>
      <c r="J70">
        <f t="shared" si="1"/>
        <v>30</v>
      </c>
      <c r="K70">
        <f t="shared" si="2"/>
        <v>721.75677333333329</v>
      </c>
      <c r="L70">
        <f t="shared" si="3"/>
        <v>0</v>
      </c>
      <c r="M70">
        <f t="shared" si="4"/>
        <v>21652.7032</v>
      </c>
      <c r="N70">
        <f t="shared" si="5"/>
        <v>0</v>
      </c>
      <c r="O70">
        <f t="shared" si="6"/>
        <v>21652.7032</v>
      </c>
      <c r="P70">
        <f t="shared" si="7"/>
        <v>0</v>
      </c>
      <c r="Q70">
        <f t="shared" si="8"/>
        <v>21652.7032</v>
      </c>
      <c r="R70">
        <f t="shared" si="9"/>
        <v>0</v>
      </c>
      <c r="S70">
        <f t="shared" si="10"/>
        <v>21652.7032</v>
      </c>
    </row>
    <row r="71" spans="1:19" x14ac:dyDescent="0.3">
      <c r="A71" t="s">
        <v>13</v>
      </c>
      <c r="B71" t="s">
        <v>24</v>
      </c>
      <c r="C71" t="s">
        <v>15</v>
      </c>
      <c r="D71">
        <v>22</v>
      </c>
      <c r="E71">
        <v>8</v>
      </c>
      <c r="F71">
        <v>0</v>
      </c>
      <c r="G71">
        <v>20260207</v>
      </c>
      <c r="H71">
        <v>20260308</v>
      </c>
      <c r="I71">
        <v>295.78800000000001</v>
      </c>
      <c r="J71">
        <f t="shared" si="1"/>
        <v>30</v>
      </c>
      <c r="K71">
        <f t="shared" si="2"/>
        <v>9.8596000000000004</v>
      </c>
      <c r="L71">
        <f t="shared" si="3"/>
        <v>294.20941383969642</v>
      </c>
      <c r="M71">
        <f t="shared" si="4"/>
        <v>78.876800000000003</v>
      </c>
      <c r="N71">
        <f t="shared" si="5"/>
        <v>0</v>
      </c>
      <c r="O71">
        <f t="shared" si="6"/>
        <v>373.08621383969643</v>
      </c>
      <c r="P71">
        <f t="shared" si="7"/>
        <v>233.25336309051471</v>
      </c>
      <c r="Q71">
        <f t="shared" si="8"/>
        <v>62.534636909485286</v>
      </c>
      <c r="R71">
        <f t="shared" si="9"/>
        <v>0</v>
      </c>
      <c r="S71">
        <f t="shared" si="10"/>
        <v>295.78800000000001</v>
      </c>
    </row>
    <row r="72" spans="1:19" x14ac:dyDescent="0.3">
      <c r="A72" t="s">
        <v>13</v>
      </c>
      <c r="B72" t="s">
        <v>24</v>
      </c>
      <c r="C72" t="s">
        <v>15</v>
      </c>
      <c r="D72">
        <v>0</v>
      </c>
      <c r="E72">
        <v>22</v>
      </c>
      <c r="F72">
        <v>0</v>
      </c>
      <c r="G72">
        <v>20260302</v>
      </c>
      <c r="H72">
        <v>20260323</v>
      </c>
      <c r="I72">
        <v>9027.2248</v>
      </c>
      <c r="J72">
        <f t="shared" si="1"/>
        <v>22</v>
      </c>
      <c r="K72">
        <f t="shared" si="2"/>
        <v>410.32839999999999</v>
      </c>
      <c r="L72">
        <f t="shared" si="3"/>
        <v>0</v>
      </c>
      <c r="M72">
        <f t="shared" si="4"/>
        <v>9027.2248</v>
      </c>
      <c r="N72">
        <f t="shared" si="5"/>
        <v>0</v>
      </c>
      <c r="O72">
        <f t="shared" si="6"/>
        <v>9027.2248</v>
      </c>
      <c r="P72">
        <f t="shared" si="7"/>
        <v>0</v>
      </c>
      <c r="Q72">
        <f t="shared" si="8"/>
        <v>9027.2248</v>
      </c>
      <c r="R72">
        <f t="shared" si="9"/>
        <v>0</v>
      </c>
      <c r="S72">
        <f t="shared" si="10"/>
        <v>9027.2248</v>
      </c>
    </row>
    <row r="73" spans="1:19" x14ac:dyDescent="0.3">
      <c r="A73" t="s">
        <v>13</v>
      </c>
      <c r="B73" t="s">
        <v>24</v>
      </c>
      <c r="C73" t="s">
        <v>15</v>
      </c>
      <c r="D73">
        <v>22</v>
      </c>
      <c r="E73">
        <v>2</v>
      </c>
      <c r="F73">
        <v>0</v>
      </c>
      <c r="G73">
        <v>20260207</v>
      </c>
      <c r="H73">
        <v>20260302</v>
      </c>
      <c r="I73">
        <v>85358.559899999993</v>
      </c>
      <c r="J73">
        <f t="shared" si="1"/>
        <v>24</v>
      </c>
      <c r="K73">
        <f t="shared" si="2"/>
        <v>3556.6066624999999</v>
      </c>
      <c r="L73">
        <f t="shared" si="3"/>
        <v>106128.76398966328</v>
      </c>
      <c r="M73">
        <f t="shared" si="4"/>
        <v>7113.2133249999997</v>
      </c>
      <c r="N73">
        <f t="shared" si="5"/>
        <v>0</v>
      </c>
      <c r="O73">
        <f t="shared" si="6"/>
        <v>113241.97731466328</v>
      </c>
      <c r="P73">
        <f t="shared" si="7"/>
        <v>79996.823377187873</v>
      </c>
      <c r="Q73">
        <f t="shared" si="8"/>
        <v>5361.7365228121107</v>
      </c>
      <c r="R73">
        <f t="shared" si="9"/>
        <v>0</v>
      </c>
      <c r="S73">
        <f t="shared" si="10"/>
        <v>85358.559899999978</v>
      </c>
    </row>
    <row r="74" spans="1:19" x14ac:dyDescent="0.3">
      <c r="A74" t="s">
        <v>13</v>
      </c>
      <c r="B74" t="s">
        <v>24</v>
      </c>
      <c r="C74" t="s">
        <v>15</v>
      </c>
      <c r="D74">
        <v>0</v>
      </c>
      <c r="E74">
        <v>26</v>
      </c>
      <c r="F74">
        <v>14</v>
      </c>
      <c r="G74">
        <v>20260306</v>
      </c>
      <c r="H74">
        <v>20260414</v>
      </c>
      <c r="I74">
        <v>10738.986800000001</v>
      </c>
      <c r="J74">
        <f t="shared" si="1"/>
        <v>40</v>
      </c>
      <c r="K74">
        <f t="shared" si="2"/>
        <v>268.47467</v>
      </c>
      <c r="L74">
        <f t="shared" si="3"/>
        <v>0</v>
      </c>
      <c r="M74">
        <f t="shared" si="4"/>
        <v>6980.3414199999997</v>
      </c>
      <c r="N74">
        <f t="shared" si="5"/>
        <v>2332.6809292325829</v>
      </c>
      <c r="O74">
        <f t="shared" si="6"/>
        <v>9313.0223492325822</v>
      </c>
      <c r="P74">
        <f t="shared" si="7"/>
        <v>0</v>
      </c>
      <c r="Q74">
        <f t="shared" si="8"/>
        <v>8049.1371713555809</v>
      </c>
      <c r="R74">
        <f t="shared" si="9"/>
        <v>2689.8496286444197</v>
      </c>
      <c r="S74">
        <f t="shared" si="10"/>
        <v>10738.986800000001</v>
      </c>
    </row>
    <row r="75" spans="1:19" x14ac:dyDescent="0.3">
      <c r="A75" t="s">
        <v>13</v>
      </c>
      <c r="B75" t="s">
        <v>37</v>
      </c>
      <c r="C75" t="s">
        <v>14</v>
      </c>
      <c r="D75">
        <v>0</v>
      </c>
      <c r="E75">
        <v>24</v>
      </c>
      <c r="F75">
        <v>5</v>
      </c>
      <c r="G75">
        <v>20260308</v>
      </c>
      <c r="H75">
        <v>20260405</v>
      </c>
      <c r="I75">
        <v>936.91790000000003</v>
      </c>
      <c r="J75">
        <f t="shared" ref="J75:J138" si="11">IF(D75&lt;0,0,D75)+E75+F75</f>
        <v>29</v>
      </c>
      <c r="K75">
        <f t="shared" ref="K75:K138" si="12">I75/J75</f>
        <v>32.307513793103446</v>
      </c>
      <c r="L75">
        <f t="shared" ref="L75:L138" si="13">IF(D75&lt;0,0,D75)*$K75*$B$6</f>
        <v>0</v>
      </c>
      <c r="M75">
        <f t="shared" ref="M75:M138" si="14">IF(E75&lt;0,0,E75)*$K75*$C$6</f>
        <v>775.38033103448265</v>
      </c>
      <c r="N75">
        <f t="shared" ref="N75:N138" si="15">IF(F75&lt;0,0,F75)*$K75*$D$6</f>
        <v>100.25303490601053</v>
      </c>
      <c r="O75">
        <f t="shared" ref="O75:O138" si="16">L75+M75+N75</f>
        <v>875.63336594049315</v>
      </c>
      <c r="P75">
        <f t="shared" ref="P75:P138" si="17">L75/$O75*$I75</f>
        <v>0</v>
      </c>
      <c r="Q75">
        <f t="shared" ref="Q75:Q138" si="18">M75/$O75*$I75</f>
        <v>829.64827485057504</v>
      </c>
      <c r="R75">
        <f t="shared" ref="R75:R138" si="19">N75/$O75*$I75</f>
        <v>107.26962514942511</v>
      </c>
      <c r="S75">
        <f t="shared" ref="S75:S138" si="20">P75+Q75+R75</f>
        <v>936.91790000000015</v>
      </c>
    </row>
    <row r="76" spans="1:19" x14ac:dyDescent="0.3">
      <c r="A76" t="s">
        <v>13</v>
      </c>
      <c r="B76" t="s">
        <v>24</v>
      </c>
      <c r="C76" t="s">
        <v>14</v>
      </c>
      <c r="D76">
        <v>21</v>
      </c>
      <c r="E76">
        <v>2</v>
      </c>
      <c r="F76">
        <v>0</v>
      </c>
      <c r="G76">
        <v>20260208</v>
      </c>
      <c r="H76">
        <v>20260302</v>
      </c>
      <c r="I76">
        <v>380.01429999999999</v>
      </c>
      <c r="J76">
        <f t="shared" si="11"/>
        <v>23</v>
      </c>
      <c r="K76">
        <f t="shared" si="12"/>
        <v>16.522360869565215</v>
      </c>
      <c r="L76">
        <f t="shared" si="13"/>
        <v>470.61523904868488</v>
      </c>
      <c r="M76">
        <f t="shared" si="14"/>
        <v>33.044721739130431</v>
      </c>
      <c r="N76">
        <f t="shared" si="15"/>
        <v>0</v>
      </c>
      <c r="O76">
        <f t="shared" si="16"/>
        <v>503.65996078781529</v>
      </c>
      <c r="P76">
        <f t="shared" si="17"/>
        <v>355.08186983273345</v>
      </c>
      <c r="Q76">
        <f t="shared" si="18"/>
        <v>24.932430167266588</v>
      </c>
      <c r="R76">
        <f t="shared" si="19"/>
        <v>0</v>
      </c>
      <c r="S76">
        <f t="shared" si="20"/>
        <v>380.01430000000005</v>
      </c>
    </row>
    <row r="77" spans="1:19" x14ac:dyDescent="0.3">
      <c r="A77" t="s">
        <v>13</v>
      </c>
      <c r="B77" t="s">
        <v>24</v>
      </c>
      <c r="C77" t="s">
        <v>14</v>
      </c>
      <c r="D77">
        <v>0</v>
      </c>
      <c r="E77">
        <v>22</v>
      </c>
      <c r="F77">
        <v>7</v>
      </c>
      <c r="G77">
        <v>20260310</v>
      </c>
      <c r="H77">
        <v>20260407</v>
      </c>
      <c r="I77">
        <v>4375.1153999999997</v>
      </c>
      <c r="J77">
        <f t="shared" si="11"/>
        <v>29</v>
      </c>
      <c r="K77">
        <f t="shared" si="12"/>
        <v>150.86604827586206</v>
      </c>
      <c r="L77">
        <f t="shared" si="13"/>
        <v>0</v>
      </c>
      <c r="M77">
        <f t="shared" si="14"/>
        <v>3319.0530620689651</v>
      </c>
      <c r="N77">
        <f t="shared" si="15"/>
        <v>655.41072027723442</v>
      </c>
      <c r="O77">
        <f t="shared" si="16"/>
        <v>3974.4637823461994</v>
      </c>
      <c r="P77">
        <f t="shared" si="17"/>
        <v>0</v>
      </c>
      <c r="Q77">
        <f t="shared" si="18"/>
        <v>3653.6350462609898</v>
      </c>
      <c r="R77">
        <f t="shared" si="19"/>
        <v>721.48035373901018</v>
      </c>
      <c r="S77">
        <f t="shared" si="20"/>
        <v>4375.1153999999997</v>
      </c>
    </row>
    <row r="78" spans="1:19" x14ac:dyDescent="0.3">
      <c r="A78" t="s">
        <v>13</v>
      </c>
      <c r="B78" t="s">
        <v>24</v>
      </c>
      <c r="C78" t="s">
        <v>15</v>
      </c>
      <c r="D78">
        <v>0</v>
      </c>
      <c r="E78">
        <v>27</v>
      </c>
      <c r="F78">
        <v>9</v>
      </c>
      <c r="G78">
        <v>20260305</v>
      </c>
      <c r="H78">
        <v>20260409</v>
      </c>
      <c r="I78">
        <v>22067.951700000001</v>
      </c>
      <c r="J78">
        <f t="shared" si="11"/>
        <v>36</v>
      </c>
      <c r="K78">
        <f t="shared" si="12"/>
        <v>612.99865833333342</v>
      </c>
      <c r="L78">
        <f t="shared" si="13"/>
        <v>0</v>
      </c>
      <c r="M78">
        <f t="shared" si="14"/>
        <v>16550.963775000004</v>
      </c>
      <c r="N78">
        <f t="shared" si="15"/>
        <v>3423.9390041776014</v>
      </c>
      <c r="O78">
        <f t="shared" si="16"/>
        <v>19974.902779177606</v>
      </c>
      <c r="P78">
        <f t="shared" si="17"/>
        <v>0</v>
      </c>
      <c r="Q78">
        <f t="shared" si="18"/>
        <v>18285.23889267147</v>
      </c>
      <c r="R78">
        <f t="shared" si="19"/>
        <v>3782.7128073285317</v>
      </c>
      <c r="S78">
        <f t="shared" si="20"/>
        <v>22067.951700000001</v>
      </c>
    </row>
    <row r="79" spans="1:19" x14ac:dyDescent="0.3">
      <c r="A79" t="s">
        <v>13</v>
      </c>
      <c r="B79" t="s">
        <v>37</v>
      </c>
      <c r="C79" t="s">
        <v>15</v>
      </c>
      <c r="D79">
        <v>0</v>
      </c>
      <c r="E79">
        <v>15</v>
      </c>
      <c r="F79">
        <v>20</v>
      </c>
      <c r="G79">
        <v>20260317</v>
      </c>
      <c r="H79">
        <v>20260420</v>
      </c>
      <c r="I79">
        <v>15920.1685</v>
      </c>
      <c r="J79">
        <f t="shared" si="11"/>
        <v>35</v>
      </c>
      <c r="K79">
        <f t="shared" si="12"/>
        <v>454.86195714285714</v>
      </c>
      <c r="L79">
        <f t="shared" si="13"/>
        <v>0</v>
      </c>
      <c r="M79">
        <f t="shared" si="14"/>
        <v>6822.929357142857</v>
      </c>
      <c r="N79">
        <f t="shared" si="15"/>
        <v>5645.9054025498481</v>
      </c>
      <c r="O79">
        <f t="shared" si="16"/>
        <v>12468.834759692705</v>
      </c>
      <c r="P79">
        <f t="shared" si="17"/>
        <v>0</v>
      </c>
      <c r="Q79">
        <f t="shared" si="18"/>
        <v>8711.4944678269167</v>
      </c>
      <c r="R79">
        <f t="shared" si="19"/>
        <v>7208.6740321730831</v>
      </c>
      <c r="S79">
        <f t="shared" si="20"/>
        <v>15920.1685</v>
      </c>
    </row>
    <row r="80" spans="1:19" x14ac:dyDescent="0.3">
      <c r="A80" t="s">
        <v>13</v>
      </c>
      <c r="B80" t="s">
        <v>24</v>
      </c>
      <c r="C80" t="s">
        <v>14</v>
      </c>
      <c r="D80">
        <v>24</v>
      </c>
      <c r="E80">
        <v>10</v>
      </c>
      <c r="F80">
        <v>0</v>
      </c>
      <c r="G80">
        <v>20260205</v>
      </c>
      <c r="H80">
        <v>20260310</v>
      </c>
      <c r="I80">
        <v>6674.1724000000004</v>
      </c>
      <c r="J80">
        <f t="shared" si="11"/>
        <v>34</v>
      </c>
      <c r="K80">
        <f t="shared" si="12"/>
        <v>196.29918823529414</v>
      </c>
      <c r="L80">
        <f t="shared" si="13"/>
        <v>6390.0511296324885</v>
      </c>
      <c r="M80">
        <f t="shared" si="14"/>
        <v>1962.9918823529415</v>
      </c>
      <c r="N80">
        <f t="shared" si="15"/>
        <v>0</v>
      </c>
      <c r="O80">
        <f t="shared" si="16"/>
        <v>8353.04301198543</v>
      </c>
      <c r="P80">
        <f t="shared" si="17"/>
        <v>5105.7204928536485</v>
      </c>
      <c r="Q80">
        <f t="shared" si="18"/>
        <v>1568.4519071463515</v>
      </c>
      <c r="R80">
        <f t="shared" si="19"/>
        <v>0</v>
      </c>
      <c r="S80">
        <f t="shared" si="20"/>
        <v>6674.1723999999995</v>
      </c>
    </row>
    <row r="81" spans="1:19" x14ac:dyDescent="0.3">
      <c r="A81" t="s">
        <v>13</v>
      </c>
      <c r="B81" t="s">
        <v>24</v>
      </c>
      <c r="C81" t="s">
        <v>14</v>
      </c>
      <c r="D81">
        <v>19</v>
      </c>
      <c r="E81">
        <v>3</v>
      </c>
      <c r="F81">
        <v>0</v>
      </c>
      <c r="G81">
        <v>20260210</v>
      </c>
      <c r="H81">
        <v>20260303</v>
      </c>
      <c r="I81">
        <v>422.37639999999999</v>
      </c>
      <c r="J81">
        <f t="shared" si="11"/>
        <v>22</v>
      </c>
      <c r="K81">
        <f t="shared" si="12"/>
        <v>19.198927272727271</v>
      </c>
      <c r="L81">
        <f t="shared" si="13"/>
        <v>494.77204333358986</v>
      </c>
      <c r="M81">
        <f t="shared" si="14"/>
        <v>57.59678181818181</v>
      </c>
      <c r="N81">
        <f t="shared" si="15"/>
        <v>0</v>
      </c>
      <c r="O81">
        <f t="shared" si="16"/>
        <v>552.36882515177172</v>
      </c>
      <c r="P81">
        <f t="shared" si="17"/>
        <v>378.33423062292707</v>
      </c>
      <c r="Q81">
        <f t="shared" si="18"/>
        <v>44.042169377072881</v>
      </c>
      <c r="R81">
        <f t="shared" si="19"/>
        <v>0</v>
      </c>
      <c r="S81">
        <f t="shared" si="20"/>
        <v>422.37639999999993</v>
      </c>
    </row>
    <row r="82" spans="1:19" x14ac:dyDescent="0.3">
      <c r="A82" t="s">
        <v>13</v>
      </c>
      <c r="B82" t="s">
        <v>37</v>
      </c>
      <c r="C82" t="s">
        <v>15</v>
      </c>
      <c r="D82">
        <v>0</v>
      </c>
      <c r="E82">
        <v>27</v>
      </c>
      <c r="F82">
        <v>14</v>
      </c>
      <c r="G82">
        <v>20260305</v>
      </c>
      <c r="H82">
        <v>20260414</v>
      </c>
      <c r="I82">
        <v>1871.3860999999999</v>
      </c>
      <c r="J82">
        <f t="shared" si="11"/>
        <v>41</v>
      </c>
      <c r="K82">
        <f t="shared" si="12"/>
        <v>45.643563414634144</v>
      </c>
      <c r="L82">
        <f t="shared" si="13"/>
        <v>0</v>
      </c>
      <c r="M82">
        <f t="shared" si="14"/>
        <v>1232.376212195122</v>
      </c>
      <c r="N82">
        <f t="shared" si="15"/>
        <v>396.58069016170163</v>
      </c>
      <c r="O82">
        <f t="shared" si="16"/>
        <v>1628.9569023568235</v>
      </c>
      <c r="P82">
        <f t="shared" si="17"/>
        <v>0</v>
      </c>
      <c r="Q82">
        <f t="shared" si="18"/>
        <v>1415.784364912201</v>
      </c>
      <c r="R82">
        <f t="shared" si="19"/>
        <v>455.601735087799</v>
      </c>
      <c r="S82">
        <f t="shared" si="20"/>
        <v>1871.3860999999999</v>
      </c>
    </row>
    <row r="83" spans="1:19" x14ac:dyDescent="0.3">
      <c r="A83" t="s">
        <v>13</v>
      </c>
      <c r="B83" t="s">
        <v>24</v>
      </c>
      <c r="C83" t="s">
        <v>15</v>
      </c>
      <c r="D83">
        <v>0</v>
      </c>
      <c r="E83">
        <v>27</v>
      </c>
      <c r="F83">
        <v>14</v>
      </c>
      <c r="G83">
        <v>20260305</v>
      </c>
      <c r="H83">
        <v>20260414</v>
      </c>
      <c r="I83">
        <v>3609.1019000000001</v>
      </c>
      <c r="J83">
        <f t="shared" si="11"/>
        <v>41</v>
      </c>
      <c r="K83">
        <f t="shared" si="12"/>
        <v>88.026875609756104</v>
      </c>
      <c r="L83">
        <f t="shared" si="13"/>
        <v>0</v>
      </c>
      <c r="M83">
        <f t="shared" si="14"/>
        <v>2376.7256414634148</v>
      </c>
      <c r="N83">
        <f t="shared" si="15"/>
        <v>764.83421692931734</v>
      </c>
      <c r="O83">
        <f t="shared" si="16"/>
        <v>3141.5598583927322</v>
      </c>
      <c r="P83">
        <f t="shared" si="17"/>
        <v>0</v>
      </c>
      <c r="Q83">
        <f t="shared" si="18"/>
        <v>2730.4413778615312</v>
      </c>
      <c r="R83">
        <f t="shared" si="19"/>
        <v>878.66052213846854</v>
      </c>
      <c r="S83">
        <f t="shared" si="20"/>
        <v>3609.1018999999997</v>
      </c>
    </row>
    <row r="84" spans="1:19" x14ac:dyDescent="0.3">
      <c r="A84" t="s">
        <v>13</v>
      </c>
      <c r="B84" t="s">
        <v>24</v>
      </c>
      <c r="C84" t="s">
        <v>15</v>
      </c>
      <c r="D84">
        <v>0</v>
      </c>
      <c r="E84">
        <v>16</v>
      </c>
      <c r="F84">
        <v>0</v>
      </c>
      <c r="G84">
        <v>20260303</v>
      </c>
      <c r="H84">
        <v>20260318</v>
      </c>
      <c r="I84">
        <v>1266.1806999999999</v>
      </c>
      <c r="J84">
        <f t="shared" si="11"/>
        <v>16</v>
      </c>
      <c r="K84">
        <f t="shared" si="12"/>
        <v>79.136293749999993</v>
      </c>
      <c r="L84">
        <f t="shared" si="13"/>
        <v>0</v>
      </c>
      <c r="M84">
        <f t="shared" si="14"/>
        <v>1266.1806999999999</v>
      </c>
      <c r="N84">
        <f t="shared" si="15"/>
        <v>0</v>
      </c>
      <c r="O84">
        <f t="shared" si="16"/>
        <v>1266.1806999999999</v>
      </c>
      <c r="P84">
        <f t="shared" si="17"/>
        <v>0</v>
      </c>
      <c r="Q84">
        <f t="shared" si="18"/>
        <v>1266.1806999999999</v>
      </c>
      <c r="R84">
        <f t="shared" si="19"/>
        <v>0</v>
      </c>
      <c r="S84">
        <f t="shared" si="20"/>
        <v>1266.1806999999999</v>
      </c>
    </row>
    <row r="85" spans="1:19" x14ac:dyDescent="0.3">
      <c r="A85" t="s">
        <v>13</v>
      </c>
      <c r="B85" t="s">
        <v>24</v>
      </c>
      <c r="C85" t="s">
        <v>15</v>
      </c>
      <c r="D85">
        <v>0</v>
      </c>
      <c r="E85">
        <v>16</v>
      </c>
      <c r="F85">
        <v>0</v>
      </c>
      <c r="G85">
        <v>20260305</v>
      </c>
      <c r="H85">
        <v>20260320</v>
      </c>
      <c r="I85">
        <v>800.78790000000004</v>
      </c>
      <c r="J85">
        <f t="shared" si="11"/>
        <v>16</v>
      </c>
      <c r="K85">
        <f t="shared" si="12"/>
        <v>50.049243750000002</v>
      </c>
      <c r="L85">
        <f t="shared" si="13"/>
        <v>0</v>
      </c>
      <c r="M85">
        <f t="shared" si="14"/>
        <v>800.78790000000004</v>
      </c>
      <c r="N85">
        <f t="shared" si="15"/>
        <v>0</v>
      </c>
      <c r="O85">
        <f t="shared" si="16"/>
        <v>800.78790000000004</v>
      </c>
      <c r="P85">
        <f t="shared" si="17"/>
        <v>0</v>
      </c>
      <c r="Q85">
        <f t="shared" si="18"/>
        <v>800.78790000000004</v>
      </c>
      <c r="R85">
        <f t="shared" si="19"/>
        <v>0</v>
      </c>
      <c r="S85">
        <f t="shared" si="20"/>
        <v>800.78790000000004</v>
      </c>
    </row>
    <row r="86" spans="1:19" x14ac:dyDescent="0.3">
      <c r="A86" t="s">
        <v>13</v>
      </c>
      <c r="B86" t="s">
        <v>24</v>
      </c>
      <c r="C86" t="s">
        <v>15</v>
      </c>
      <c r="D86">
        <v>0</v>
      </c>
      <c r="E86">
        <v>29</v>
      </c>
      <c r="F86">
        <v>14</v>
      </c>
      <c r="G86">
        <v>20260303</v>
      </c>
      <c r="H86">
        <v>20260414</v>
      </c>
      <c r="I86">
        <v>6712.5950999999995</v>
      </c>
      <c r="J86">
        <f t="shared" si="11"/>
        <v>43</v>
      </c>
      <c r="K86">
        <f t="shared" si="12"/>
        <v>156.10686279069768</v>
      </c>
      <c r="L86">
        <f t="shared" si="13"/>
        <v>0</v>
      </c>
      <c r="M86">
        <f t="shared" si="14"/>
        <v>4527.0990209302327</v>
      </c>
      <c r="N86">
        <f t="shared" si="15"/>
        <v>1356.3570140683587</v>
      </c>
      <c r="O86">
        <f t="shared" si="16"/>
        <v>5883.4560349985913</v>
      </c>
      <c r="P86">
        <f t="shared" si="17"/>
        <v>0</v>
      </c>
      <c r="Q86">
        <f t="shared" si="18"/>
        <v>5165.0904713726395</v>
      </c>
      <c r="R86">
        <f t="shared" si="19"/>
        <v>1547.50462862736</v>
      </c>
      <c r="S86">
        <f t="shared" si="20"/>
        <v>6712.5950999999995</v>
      </c>
    </row>
    <row r="87" spans="1:19" x14ac:dyDescent="0.3">
      <c r="A87" t="s">
        <v>13</v>
      </c>
      <c r="B87" t="s">
        <v>37</v>
      </c>
      <c r="C87" t="s">
        <v>15</v>
      </c>
      <c r="D87">
        <v>0</v>
      </c>
      <c r="E87">
        <v>26</v>
      </c>
      <c r="F87">
        <v>13</v>
      </c>
      <c r="G87">
        <v>20260306</v>
      </c>
      <c r="H87">
        <v>20260413</v>
      </c>
      <c r="I87">
        <v>3301.4164000000001</v>
      </c>
      <c r="J87">
        <f t="shared" si="11"/>
        <v>39</v>
      </c>
      <c r="K87">
        <f t="shared" si="12"/>
        <v>84.651702564102564</v>
      </c>
      <c r="L87">
        <f t="shared" si="13"/>
        <v>0</v>
      </c>
      <c r="M87">
        <f t="shared" si="14"/>
        <v>2200.9442666666669</v>
      </c>
      <c r="N87">
        <f t="shared" si="15"/>
        <v>682.97221446801223</v>
      </c>
      <c r="O87">
        <f t="shared" si="16"/>
        <v>2883.9164811346791</v>
      </c>
      <c r="P87">
        <f t="shared" si="17"/>
        <v>0</v>
      </c>
      <c r="Q87">
        <f t="shared" si="18"/>
        <v>2519.5714040236012</v>
      </c>
      <c r="R87">
        <f t="shared" si="19"/>
        <v>781.84499597639865</v>
      </c>
      <c r="S87">
        <f t="shared" si="20"/>
        <v>3301.4164000000001</v>
      </c>
    </row>
    <row r="88" spans="1:19" x14ac:dyDescent="0.3">
      <c r="A88" t="s">
        <v>13</v>
      </c>
      <c r="B88" t="s">
        <v>37</v>
      </c>
      <c r="C88" t="s">
        <v>14</v>
      </c>
      <c r="D88">
        <v>0</v>
      </c>
      <c r="E88">
        <v>15</v>
      </c>
      <c r="F88">
        <v>20</v>
      </c>
      <c r="G88">
        <v>20260317</v>
      </c>
      <c r="H88">
        <v>20260420</v>
      </c>
      <c r="I88">
        <v>135935.59940000001</v>
      </c>
      <c r="J88">
        <f t="shared" si="11"/>
        <v>35</v>
      </c>
      <c r="K88">
        <f t="shared" si="12"/>
        <v>3883.8742685714287</v>
      </c>
      <c r="L88">
        <f t="shared" si="13"/>
        <v>0</v>
      </c>
      <c r="M88">
        <f t="shared" si="14"/>
        <v>58258.114028571428</v>
      </c>
      <c r="N88">
        <f t="shared" si="15"/>
        <v>48208.003266505119</v>
      </c>
      <c r="O88">
        <f t="shared" si="16"/>
        <v>106466.11729507655</v>
      </c>
      <c r="P88">
        <f t="shared" si="17"/>
        <v>0</v>
      </c>
      <c r="Q88">
        <f t="shared" si="18"/>
        <v>74383.774402503084</v>
      </c>
      <c r="R88">
        <f t="shared" si="19"/>
        <v>61551.824997496915</v>
      </c>
      <c r="S88">
        <f t="shared" si="20"/>
        <v>135935.59940000001</v>
      </c>
    </row>
    <row r="89" spans="1:19" x14ac:dyDescent="0.3">
      <c r="A89" t="s">
        <v>13</v>
      </c>
      <c r="B89" t="s">
        <v>24</v>
      </c>
      <c r="C89" t="s">
        <v>14</v>
      </c>
      <c r="D89">
        <v>0</v>
      </c>
      <c r="E89">
        <v>15</v>
      </c>
      <c r="F89">
        <v>20</v>
      </c>
      <c r="G89">
        <v>20260317</v>
      </c>
      <c r="H89">
        <v>20260420</v>
      </c>
      <c r="I89">
        <v>101951.6995</v>
      </c>
      <c r="J89">
        <f t="shared" si="11"/>
        <v>35</v>
      </c>
      <c r="K89">
        <f t="shared" si="12"/>
        <v>2912.9057000000003</v>
      </c>
      <c r="L89">
        <f t="shared" si="13"/>
        <v>0</v>
      </c>
      <c r="M89">
        <f t="shared" si="14"/>
        <v>43693.585500000001</v>
      </c>
      <c r="N89">
        <f t="shared" si="15"/>
        <v>36156.00243214691</v>
      </c>
      <c r="O89">
        <f t="shared" si="16"/>
        <v>79849.587932146911</v>
      </c>
      <c r="P89">
        <f t="shared" si="17"/>
        <v>0</v>
      </c>
      <c r="Q89">
        <f t="shared" si="18"/>
        <v>55787.830774517388</v>
      </c>
      <c r="R89">
        <f t="shared" si="19"/>
        <v>46163.868725482615</v>
      </c>
      <c r="S89">
        <f t="shared" si="20"/>
        <v>101951.6995</v>
      </c>
    </row>
    <row r="90" spans="1:19" x14ac:dyDescent="0.3">
      <c r="A90" t="s">
        <v>13</v>
      </c>
      <c r="B90" t="s">
        <v>24</v>
      </c>
      <c r="C90" t="s">
        <v>15</v>
      </c>
      <c r="D90">
        <v>0</v>
      </c>
      <c r="E90">
        <v>12</v>
      </c>
      <c r="F90">
        <v>0</v>
      </c>
      <c r="G90">
        <v>20260302</v>
      </c>
      <c r="H90">
        <v>20260313</v>
      </c>
      <c r="I90">
        <v>3173.2338</v>
      </c>
      <c r="J90">
        <f t="shared" si="11"/>
        <v>12</v>
      </c>
      <c r="K90">
        <f t="shared" si="12"/>
        <v>264.43615</v>
      </c>
      <c r="L90">
        <f t="shared" si="13"/>
        <v>0</v>
      </c>
      <c r="M90">
        <f t="shared" si="14"/>
        <v>3173.2338</v>
      </c>
      <c r="N90">
        <f t="shared" si="15"/>
        <v>0</v>
      </c>
      <c r="O90">
        <f t="shared" si="16"/>
        <v>3173.2338</v>
      </c>
      <c r="P90">
        <f t="shared" si="17"/>
        <v>0</v>
      </c>
      <c r="Q90">
        <f t="shared" si="18"/>
        <v>3173.2338</v>
      </c>
      <c r="R90">
        <f t="shared" si="19"/>
        <v>0</v>
      </c>
      <c r="S90">
        <f t="shared" si="20"/>
        <v>3173.2338</v>
      </c>
    </row>
    <row r="91" spans="1:19" x14ac:dyDescent="0.3">
      <c r="A91" t="s">
        <v>13</v>
      </c>
      <c r="B91" t="s">
        <v>24</v>
      </c>
      <c r="C91" t="s">
        <v>15</v>
      </c>
      <c r="D91">
        <v>0</v>
      </c>
      <c r="E91">
        <v>28</v>
      </c>
      <c r="F91">
        <v>10</v>
      </c>
      <c r="G91">
        <v>20260304</v>
      </c>
      <c r="H91">
        <v>20260410</v>
      </c>
      <c r="I91">
        <v>16434.8999</v>
      </c>
      <c r="J91">
        <f t="shared" si="11"/>
        <v>38</v>
      </c>
      <c r="K91">
        <f t="shared" si="12"/>
        <v>432.49736578947369</v>
      </c>
      <c r="L91">
        <f t="shared" si="13"/>
        <v>0</v>
      </c>
      <c r="M91">
        <f t="shared" si="14"/>
        <v>12109.926242105263</v>
      </c>
      <c r="N91">
        <f t="shared" si="15"/>
        <v>2684.154143641063</v>
      </c>
      <c r="O91">
        <f t="shared" si="16"/>
        <v>14794.080385746325</v>
      </c>
      <c r="P91">
        <f t="shared" si="17"/>
        <v>0</v>
      </c>
      <c r="Q91">
        <f t="shared" si="18"/>
        <v>13453.044758168171</v>
      </c>
      <c r="R91">
        <f t="shared" si="19"/>
        <v>2981.8551418318293</v>
      </c>
      <c r="S91">
        <f t="shared" si="20"/>
        <v>16434.8999</v>
      </c>
    </row>
    <row r="92" spans="1:19" x14ac:dyDescent="0.3">
      <c r="A92" t="s">
        <v>13</v>
      </c>
      <c r="B92" t="s">
        <v>24</v>
      </c>
      <c r="C92" t="s">
        <v>15</v>
      </c>
      <c r="D92">
        <v>19</v>
      </c>
      <c r="E92">
        <v>1</v>
      </c>
      <c r="F92">
        <v>0</v>
      </c>
      <c r="G92">
        <v>20260210</v>
      </c>
      <c r="H92">
        <v>20260301</v>
      </c>
      <c r="I92">
        <v>11483.263499999999</v>
      </c>
      <c r="J92">
        <f t="shared" si="11"/>
        <v>20</v>
      </c>
      <c r="K92">
        <f t="shared" si="12"/>
        <v>574.16317499999991</v>
      </c>
      <c r="L92">
        <f t="shared" si="13"/>
        <v>14796.654170631535</v>
      </c>
      <c r="M92">
        <f t="shared" si="14"/>
        <v>574.16317499999991</v>
      </c>
      <c r="N92">
        <f t="shared" si="15"/>
        <v>0</v>
      </c>
      <c r="O92">
        <f t="shared" si="16"/>
        <v>15370.817345631534</v>
      </c>
      <c r="P92">
        <f t="shared" si="17"/>
        <v>11054.316432172442</v>
      </c>
      <c r="Q92">
        <f t="shared" si="18"/>
        <v>428.94706782755776</v>
      </c>
      <c r="R92">
        <f t="shared" si="19"/>
        <v>0</v>
      </c>
      <c r="S92">
        <f t="shared" si="20"/>
        <v>11483.263499999999</v>
      </c>
    </row>
    <row r="93" spans="1:19" x14ac:dyDescent="0.3">
      <c r="A93" t="s">
        <v>13</v>
      </c>
      <c r="B93" t="s">
        <v>37</v>
      </c>
      <c r="C93" t="s">
        <v>15</v>
      </c>
      <c r="D93">
        <v>0</v>
      </c>
      <c r="E93">
        <v>28</v>
      </c>
      <c r="F93">
        <v>11</v>
      </c>
      <c r="G93">
        <v>20260304</v>
      </c>
      <c r="H93">
        <v>20260411</v>
      </c>
      <c r="I93">
        <v>2033.5794000000001</v>
      </c>
      <c r="J93">
        <f t="shared" si="11"/>
        <v>39</v>
      </c>
      <c r="K93">
        <f t="shared" si="12"/>
        <v>52.143061538461538</v>
      </c>
      <c r="L93">
        <f t="shared" si="13"/>
        <v>0</v>
      </c>
      <c r="M93">
        <f t="shared" si="14"/>
        <v>1460.005723076923</v>
      </c>
      <c r="N93">
        <f t="shared" si="15"/>
        <v>355.96983551246126</v>
      </c>
      <c r="O93">
        <f t="shared" si="16"/>
        <v>1815.9755585893843</v>
      </c>
      <c r="P93">
        <f t="shared" si="17"/>
        <v>0</v>
      </c>
      <c r="Q93">
        <f t="shared" si="18"/>
        <v>1634.9545831099335</v>
      </c>
      <c r="R93">
        <f t="shared" si="19"/>
        <v>398.62481689006654</v>
      </c>
      <c r="S93">
        <f t="shared" si="20"/>
        <v>2033.5794000000001</v>
      </c>
    </row>
    <row r="94" spans="1:19" x14ac:dyDescent="0.3">
      <c r="A94" t="s">
        <v>13</v>
      </c>
      <c r="B94" t="s">
        <v>24</v>
      </c>
      <c r="C94" t="s">
        <v>15</v>
      </c>
      <c r="D94">
        <v>0</v>
      </c>
      <c r="E94">
        <v>21</v>
      </c>
      <c r="F94">
        <v>7</v>
      </c>
      <c r="G94">
        <v>20260311</v>
      </c>
      <c r="H94">
        <v>20260407</v>
      </c>
      <c r="I94">
        <v>3409.4827</v>
      </c>
      <c r="J94">
        <f t="shared" si="11"/>
        <v>28</v>
      </c>
      <c r="K94">
        <f t="shared" si="12"/>
        <v>121.76723928571428</v>
      </c>
      <c r="L94">
        <f t="shared" si="13"/>
        <v>0</v>
      </c>
      <c r="M94">
        <f t="shared" si="14"/>
        <v>2557.1120249999999</v>
      </c>
      <c r="N94">
        <f t="shared" si="15"/>
        <v>528.99611886493108</v>
      </c>
      <c r="O94">
        <f t="shared" si="16"/>
        <v>3086.1081438649308</v>
      </c>
      <c r="P94">
        <f t="shared" si="17"/>
        <v>0</v>
      </c>
      <c r="Q94">
        <f t="shared" si="18"/>
        <v>2825.0562860317723</v>
      </c>
      <c r="R94">
        <f t="shared" si="19"/>
        <v>584.42641396822808</v>
      </c>
      <c r="S94">
        <f t="shared" si="20"/>
        <v>3409.4827000000005</v>
      </c>
    </row>
    <row r="95" spans="1:19" x14ac:dyDescent="0.3">
      <c r="A95" t="s">
        <v>13</v>
      </c>
      <c r="B95" t="s">
        <v>24</v>
      </c>
      <c r="C95" t="s">
        <v>15</v>
      </c>
      <c r="D95">
        <v>0</v>
      </c>
      <c r="E95">
        <v>20</v>
      </c>
      <c r="F95">
        <v>3</v>
      </c>
      <c r="G95">
        <v>20260312</v>
      </c>
      <c r="H95">
        <v>20260403</v>
      </c>
      <c r="I95">
        <v>9374.0892000000003</v>
      </c>
      <c r="J95">
        <f t="shared" si="11"/>
        <v>23</v>
      </c>
      <c r="K95">
        <f t="shared" si="12"/>
        <v>407.56909565217393</v>
      </c>
      <c r="L95">
        <f t="shared" si="13"/>
        <v>0</v>
      </c>
      <c r="M95">
        <f t="shared" si="14"/>
        <v>8151.3819130434786</v>
      </c>
      <c r="N95">
        <f t="shared" si="15"/>
        <v>758.83348439676149</v>
      </c>
      <c r="O95">
        <f t="shared" si="16"/>
        <v>8910.2153974402408</v>
      </c>
      <c r="P95">
        <f t="shared" si="17"/>
        <v>0</v>
      </c>
      <c r="Q95">
        <f t="shared" si="18"/>
        <v>8575.7501640294886</v>
      </c>
      <c r="R95">
        <f t="shared" si="19"/>
        <v>798.33903597051165</v>
      </c>
      <c r="S95">
        <f t="shared" si="20"/>
        <v>9374.0892000000003</v>
      </c>
    </row>
    <row r="96" spans="1:19" x14ac:dyDescent="0.3">
      <c r="A96" t="s">
        <v>13</v>
      </c>
      <c r="B96" t="s">
        <v>24</v>
      </c>
      <c r="C96" t="s">
        <v>15</v>
      </c>
      <c r="D96">
        <v>0</v>
      </c>
      <c r="E96">
        <v>11</v>
      </c>
      <c r="F96">
        <v>0</v>
      </c>
      <c r="G96">
        <v>20260303</v>
      </c>
      <c r="H96">
        <v>20260313</v>
      </c>
      <c r="I96">
        <v>592.14329999999995</v>
      </c>
      <c r="J96">
        <f t="shared" si="11"/>
        <v>11</v>
      </c>
      <c r="K96">
        <f t="shared" si="12"/>
        <v>53.831209090909084</v>
      </c>
      <c r="L96">
        <f t="shared" si="13"/>
        <v>0</v>
      </c>
      <c r="M96">
        <f t="shared" si="14"/>
        <v>592.14329999999995</v>
      </c>
      <c r="N96">
        <f t="shared" si="15"/>
        <v>0</v>
      </c>
      <c r="O96">
        <f t="shared" si="16"/>
        <v>592.14329999999995</v>
      </c>
      <c r="P96">
        <f t="shared" si="17"/>
        <v>0</v>
      </c>
      <c r="Q96">
        <f t="shared" si="18"/>
        <v>592.14329999999995</v>
      </c>
      <c r="R96">
        <f t="shared" si="19"/>
        <v>0</v>
      </c>
      <c r="S96">
        <f t="shared" si="20"/>
        <v>592.14329999999995</v>
      </c>
    </row>
    <row r="97" spans="1:19" x14ac:dyDescent="0.3">
      <c r="A97" t="s">
        <v>13</v>
      </c>
      <c r="B97" t="s">
        <v>37</v>
      </c>
      <c r="C97" t="s">
        <v>15</v>
      </c>
      <c r="D97">
        <v>1</v>
      </c>
      <c r="E97">
        <v>31</v>
      </c>
      <c r="F97">
        <v>3</v>
      </c>
      <c r="G97">
        <v>20260228</v>
      </c>
      <c r="H97">
        <v>20260403</v>
      </c>
      <c r="I97">
        <v>3973.2127</v>
      </c>
      <c r="J97">
        <f t="shared" si="11"/>
        <v>35</v>
      </c>
      <c r="K97">
        <f t="shared" si="12"/>
        <v>113.52036285714286</v>
      </c>
      <c r="L97">
        <f t="shared" si="13"/>
        <v>153.97434256538918</v>
      </c>
      <c r="M97">
        <f t="shared" si="14"/>
        <v>3519.1312485714284</v>
      </c>
      <c r="N97">
        <f t="shared" si="15"/>
        <v>211.35815599322649</v>
      </c>
      <c r="O97">
        <f t="shared" si="16"/>
        <v>3884.4637471300439</v>
      </c>
      <c r="P97">
        <f t="shared" si="17"/>
        <v>157.49221853517119</v>
      </c>
      <c r="Q97">
        <f t="shared" si="18"/>
        <v>3599.5333925104487</v>
      </c>
      <c r="R97">
        <f t="shared" si="19"/>
        <v>216.18708895438041</v>
      </c>
      <c r="S97">
        <f t="shared" si="20"/>
        <v>3973.2127</v>
      </c>
    </row>
    <row r="98" spans="1:19" x14ac:dyDescent="0.3">
      <c r="A98" t="s">
        <v>13</v>
      </c>
      <c r="B98" t="s">
        <v>24</v>
      </c>
      <c r="C98" t="s">
        <v>15</v>
      </c>
      <c r="D98">
        <v>2</v>
      </c>
      <c r="E98">
        <v>31</v>
      </c>
      <c r="F98">
        <v>2</v>
      </c>
      <c r="G98">
        <v>20260227</v>
      </c>
      <c r="H98">
        <v>20260402</v>
      </c>
      <c r="I98">
        <v>59916.9882</v>
      </c>
      <c r="J98">
        <f t="shared" si="11"/>
        <v>35</v>
      </c>
      <c r="K98">
        <f t="shared" si="12"/>
        <v>1711.9139485714286</v>
      </c>
      <c r="L98">
        <f t="shared" si="13"/>
        <v>4643.9390806302317</v>
      </c>
      <c r="M98">
        <f t="shared" si="14"/>
        <v>53069.332405714289</v>
      </c>
      <c r="N98">
        <f t="shared" si="15"/>
        <v>2124.8873551991333</v>
      </c>
      <c r="O98">
        <f t="shared" si="16"/>
        <v>59838.158841543656</v>
      </c>
      <c r="P98">
        <f t="shared" si="17"/>
        <v>4650.0568948398204</v>
      </c>
      <c r="Q98">
        <f t="shared" si="18"/>
        <v>53139.244674210495</v>
      </c>
      <c r="R98">
        <f t="shared" si="19"/>
        <v>2127.6866309496772</v>
      </c>
      <c r="S98">
        <f t="shared" si="20"/>
        <v>59916.988199999993</v>
      </c>
    </row>
    <row r="99" spans="1:19" x14ac:dyDescent="0.3">
      <c r="A99" t="s">
        <v>13</v>
      </c>
      <c r="B99" t="s">
        <v>24</v>
      </c>
      <c r="C99" t="s">
        <v>15</v>
      </c>
      <c r="D99">
        <v>4</v>
      </c>
      <c r="E99">
        <v>4</v>
      </c>
      <c r="F99">
        <v>0</v>
      </c>
      <c r="G99">
        <v>20260225</v>
      </c>
      <c r="H99">
        <v>20260304</v>
      </c>
      <c r="I99">
        <v>1992.4612999999999</v>
      </c>
      <c r="J99">
        <f t="shared" si="11"/>
        <v>8</v>
      </c>
      <c r="K99">
        <f t="shared" si="12"/>
        <v>249.05766249999999</v>
      </c>
      <c r="L99">
        <f t="shared" si="13"/>
        <v>1351.2462039103548</v>
      </c>
      <c r="M99">
        <f t="shared" si="14"/>
        <v>996.23064999999997</v>
      </c>
      <c r="N99">
        <f t="shared" si="15"/>
        <v>0</v>
      </c>
      <c r="O99">
        <f t="shared" si="16"/>
        <v>2347.4768539103547</v>
      </c>
      <c r="P99">
        <f t="shared" si="17"/>
        <v>1146.8934245628579</v>
      </c>
      <c r="Q99">
        <f t="shared" si="18"/>
        <v>845.56787543714199</v>
      </c>
      <c r="R99">
        <f t="shared" si="19"/>
        <v>0</v>
      </c>
      <c r="S99">
        <f t="shared" si="20"/>
        <v>1992.4612999999999</v>
      </c>
    </row>
    <row r="100" spans="1:19" x14ac:dyDescent="0.3">
      <c r="A100" t="s">
        <v>13</v>
      </c>
      <c r="B100" t="s">
        <v>24</v>
      </c>
      <c r="C100" t="s">
        <v>15</v>
      </c>
      <c r="D100">
        <v>17</v>
      </c>
      <c r="E100">
        <v>2</v>
      </c>
      <c r="F100">
        <v>0</v>
      </c>
      <c r="G100">
        <v>20260212</v>
      </c>
      <c r="H100">
        <v>20260302</v>
      </c>
      <c r="I100">
        <v>29357.223300000001</v>
      </c>
      <c r="J100">
        <f t="shared" si="11"/>
        <v>19</v>
      </c>
      <c r="K100">
        <f t="shared" si="12"/>
        <v>1545.1170157894737</v>
      </c>
      <c r="L100">
        <f t="shared" si="13"/>
        <v>35627.461910660924</v>
      </c>
      <c r="M100">
        <f t="shared" si="14"/>
        <v>3090.2340315789475</v>
      </c>
      <c r="N100">
        <f t="shared" si="15"/>
        <v>0</v>
      </c>
      <c r="O100">
        <f t="shared" si="16"/>
        <v>38717.695942239872</v>
      </c>
      <c r="P100">
        <f t="shared" si="17"/>
        <v>27014.090830297722</v>
      </c>
      <c r="Q100">
        <f t="shared" si="18"/>
        <v>2343.1324697022787</v>
      </c>
      <c r="R100">
        <f t="shared" si="19"/>
        <v>0</v>
      </c>
      <c r="S100">
        <f t="shared" si="20"/>
        <v>29357.223300000001</v>
      </c>
    </row>
    <row r="101" spans="1:19" x14ac:dyDescent="0.3">
      <c r="A101" t="s">
        <v>13</v>
      </c>
      <c r="B101" t="s">
        <v>24</v>
      </c>
      <c r="C101" t="s">
        <v>14</v>
      </c>
      <c r="D101">
        <v>3</v>
      </c>
      <c r="E101">
        <v>31</v>
      </c>
      <c r="F101">
        <v>3</v>
      </c>
      <c r="G101">
        <v>20260226</v>
      </c>
      <c r="H101">
        <v>20260403</v>
      </c>
      <c r="I101">
        <v>931.1626</v>
      </c>
      <c r="J101">
        <f t="shared" si="11"/>
        <v>37</v>
      </c>
      <c r="K101">
        <f t="shared" si="12"/>
        <v>25.166556756756755</v>
      </c>
      <c r="L101">
        <f t="shared" si="13"/>
        <v>102.40464178570109</v>
      </c>
      <c r="M101">
        <f t="shared" si="14"/>
        <v>780.16325945945937</v>
      </c>
      <c r="N101">
        <f t="shared" si="15"/>
        <v>46.856413201398546</v>
      </c>
      <c r="O101">
        <f t="shared" si="16"/>
        <v>929.42431444655904</v>
      </c>
      <c r="P101">
        <f t="shared" si="17"/>
        <v>102.59616734260175</v>
      </c>
      <c r="Q101">
        <f t="shared" si="18"/>
        <v>781.62238475042113</v>
      </c>
      <c r="R101">
        <f t="shared" si="19"/>
        <v>46.944047906977076</v>
      </c>
      <c r="S101">
        <f t="shared" si="20"/>
        <v>931.1626</v>
      </c>
    </row>
    <row r="102" spans="1:19" x14ac:dyDescent="0.3">
      <c r="A102" t="s">
        <v>13</v>
      </c>
      <c r="B102" t="s">
        <v>24</v>
      </c>
      <c r="C102" t="s">
        <v>15</v>
      </c>
      <c r="D102">
        <v>28</v>
      </c>
      <c r="E102">
        <v>2</v>
      </c>
      <c r="F102">
        <v>0</v>
      </c>
      <c r="G102">
        <v>20260129</v>
      </c>
      <c r="H102">
        <v>20260302</v>
      </c>
      <c r="I102">
        <v>1940.5224000000001</v>
      </c>
      <c r="J102">
        <f t="shared" si="11"/>
        <v>30</v>
      </c>
      <c r="K102">
        <f t="shared" si="12"/>
        <v>64.684080000000009</v>
      </c>
      <c r="L102">
        <f t="shared" si="13"/>
        <v>2456.5749824060763</v>
      </c>
      <c r="M102">
        <f t="shared" si="14"/>
        <v>129.36816000000002</v>
      </c>
      <c r="N102">
        <f t="shared" si="15"/>
        <v>0</v>
      </c>
      <c r="O102">
        <f t="shared" si="16"/>
        <v>2585.9431424060763</v>
      </c>
      <c r="P102">
        <f t="shared" si="17"/>
        <v>1843.4429985970737</v>
      </c>
      <c r="Q102">
        <f t="shared" si="18"/>
        <v>97.07940140292628</v>
      </c>
      <c r="R102">
        <f t="shared" si="19"/>
        <v>0</v>
      </c>
      <c r="S102">
        <f t="shared" si="20"/>
        <v>1940.5224000000001</v>
      </c>
    </row>
    <row r="103" spans="1:19" x14ac:dyDescent="0.3">
      <c r="A103" t="s">
        <v>13</v>
      </c>
      <c r="B103" t="s">
        <v>24</v>
      </c>
      <c r="C103" t="s">
        <v>15</v>
      </c>
      <c r="D103">
        <v>28</v>
      </c>
      <c r="E103">
        <v>1</v>
      </c>
      <c r="F103">
        <v>0</v>
      </c>
      <c r="G103">
        <v>20260130</v>
      </c>
      <c r="H103">
        <v>20260301</v>
      </c>
      <c r="I103">
        <v>2067.0297999999998</v>
      </c>
      <c r="J103">
        <f t="shared" si="11"/>
        <v>29</v>
      </c>
      <c r="K103">
        <f t="shared" si="12"/>
        <v>71.276889655172411</v>
      </c>
      <c r="L103">
        <f t="shared" si="13"/>
        <v>2706.9570124614124</v>
      </c>
      <c r="M103">
        <f t="shared" si="14"/>
        <v>71.276889655172411</v>
      </c>
      <c r="N103">
        <f t="shared" si="15"/>
        <v>0</v>
      </c>
      <c r="O103">
        <f t="shared" si="16"/>
        <v>2778.2339021165849</v>
      </c>
      <c r="P103">
        <f t="shared" si="17"/>
        <v>2013.9991840909831</v>
      </c>
      <c r="Q103">
        <f t="shared" si="18"/>
        <v>53.030615909016618</v>
      </c>
      <c r="R103">
        <f t="shared" si="19"/>
        <v>0</v>
      </c>
      <c r="S103">
        <f t="shared" si="20"/>
        <v>2067.0297999999998</v>
      </c>
    </row>
    <row r="104" spans="1:19" x14ac:dyDescent="0.3">
      <c r="A104" t="s">
        <v>13</v>
      </c>
      <c r="B104" t="s">
        <v>24</v>
      </c>
      <c r="C104" t="s">
        <v>15</v>
      </c>
      <c r="D104">
        <v>28</v>
      </c>
      <c r="E104">
        <v>2</v>
      </c>
      <c r="F104">
        <v>0</v>
      </c>
      <c r="G104">
        <v>20260130</v>
      </c>
      <c r="H104">
        <v>20260302</v>
      </c>
      <c r="I104">
        <v>9999.3140999999996</v>
      </c>
      <c r="J104">
        <f t="shared" si="11"/>
        <v>30</v>
      </c>
      <c r="K104">
        <f t="shared" si="12"/>
        <v>333.31047000000001</v>
      </c>
      <c r="L104">
        <f t="shared" si="13"/>
        <v>12658.480447986754</v>
      </c>
      <c r="M104">
        <f t="shared" si="14"/>
        <v>666.62094000000002</v>
      </c>
      <c r="N104">
        <f t="shared" si="15"/>
        <v>0</v>
      </c>
      <c r="O104">
        <f t="shared" si="16"/>
        <v>13325.101387986755</v>
      </c>
      <c r="P104">
        <f t="shared" si="17"/>
        <v>9499.0738413625113</v>
      </c>
      <c r="Q104">
        <f t="shared" si="18"/>
        <v>500.24025863748869</v>
      </c>
      <c r="R104">
        <f t="shared" si="19"/>
        <v>0</v>
      </c>
      <c r="S104">
        <f t="shared" si="20"/>
        <v>9999.3140999999996</v>
      </c>
    </row>
    <row r="105" spans="1:19" x14ac:dyDescent="0.3">
      <c r="A105" t="s">
        <v>13</v>
      </c>
      <c r="B105" t="s">
        <v>24</v>
      </c>
      <c r="C105" t="s">
        <v>15</v>
      </c>
      <c r="D105">
        <v>28</v>
      </c>
      <c r="E105">
        <v>4</v>
      </c>
      <c r="F105">
        <v>0</v>
      </c>
      <c r="G105">
        <v>20260131</v>
      </c>
      <c r="H105">
        <v>20260304</v>
      </c>
      <c r="I105">
        <v>3081.4002999999998</v>
      </c>
      <c r="J105">
        <f t="shared" si="11"/>
        <v>32</v>
      </c>
      <c r="K105">
        <f t="shared" si="12"/>
        <v>96.293759374999993</v>
      </c>
      <c r="L105">
        <f t="shared" si="13"/>
        <v>3657.0488479152136</v>
      </c>
      <c r="M105">
        <f t="shared" si="14"/>
        <v>385.17503749999997</v>
      </c>
      <c r="N105">
        <f t="shared" si="15"/>
        <v>0</v>
      </c>
      <c r="O105">
        <f t="shared" si="16"/>
        <v>4042.2238854152138</v>
      </c>
      <c r="P105">
        <f t="shared" si="17"/>
        <v>2787.7801271076969</v>
      </c>
      <c r="Q105">
        <f t="shared" si="18"/>
        <v>293.62017289230278</v>
      </c>
      <c r="R105">
        <f t="shared" si="19"/>
        <v>0</v>
      </c>
      <c r="S105">
        <f t="shared" si="20"/>
        <v>3081.4002999999998</v>
      </c>
    </row>
    <row r="106" spans="1:19" x14ac:dyDescent="0.3">
      <c r="A106" t="s">
        <v>13</v>
      </c>
      <c r="B106" t="s">
        <v>24</v>
      </c>
      <c r="C106" t="s">
        <v>15</v>
      </c>
      <c r="D106">
        <v>18</v>
      </c>
      <c r="E106">
        <v>1</v>
      </c>
      <c r="F106">
        <v>0</v>
      </c>
      <c r="G106">
        <v>20260211</v>
      </c>
      <c r="H106">
        <v>20260301</v>
      </c>
      <c r="I106">
        <v>9880.6026000000002</v>
      </c>
      <c r="J106">
        <f t="shared" si="11"/>
        <v>19</v>
      </c>
      <c r="K106">
        <f t="shared" si="12"/>
        <v>520.03171578947365</v>
      </c>
      <c r="L106">
        <f t="shared" si="13"/>
        <v>12696.292644402443</v>
      </c>
      <c r="M106">
        <f t="shared" si="14"/>
        <v>520.03171578947365</v>
      </c>
      <c r="N106">
        <f t="shared" si="15"/>
        <v>0</v>
      </c>
      <c r="O106">
        <f t="shared" si="16"/>
        <v>13216.324360191917</v>
      </c>
      <c r="P106">
        <f t="shared" si="17"/>
        <v>9491.8238001554328</v>
      </c>
      <c r="Q106">
        <f t="shared" si="18"/>
        <v>388.77879984456746</v>
      </c>
      <c r="R106">
        <f t="shared" si="19"/>
        <v>0</v>
      </c>
      <c r="S106">
        <f t="shared" si="20"/>
        <v>9880.6026000000002</v>
      </c>
    </row>
    <row r="107" spans="1:19" x14ac:dyDescent="0.3">
      <c r="A107" t="s">
        <v>13</v>
      </c>
      <c r="B107" t="s">
        <v>24</v>
      </c>
      <c r="C107" t="s">
        <v>14</v>
      </c>
      <c r="D107">
        <v>28</v>
      </c>
      <c r="E107">
        <v>3</v>
      </c>
      <c r="F107">
        <v>0</v>
      </c>
      <c r="G107">
        <v>20260131</v>
      </c>
      <c r="H107">
        <v>20260303</v>
      </c>
      <c r="I107">
        <v>11986.229600000001</v>
      </c>
      <c r="J107">
        <f t="shared" si="11"/>
        <v>31</v>
      </c>
      <c r="K107">
        <f t="shared" si="12"/>
        <v>386.65256774193551</v>
      </c>
      <c r="L107">
        <f t="shared" si="13"/>
        <v>14684.309103536903</v>
      </c>
      <c r="M107">
        <f t="shared" si="14"/>
        <v>1159.9577032258067</v>
      </c>
      <c r="N107">
        <f t="shared" si="15"/>
        <v>0</v>
      </c>
      <c r="O107">
        <f t="shared" si="16"/>
        <v>15844.266806762709</v>
      </c>
      <c r="P107">
        <f t="shared" si="17"/>
        <v>11108.718540212822</v>
      </c>
      <c r="Q107">
        <f t="shared" si="18"/>
        <v>877.51105978717976</v>
      </c>
      <c r="R107">
        <f t="shared" si="19"/>
        <v>0</v>
      </c>
      <c r="S107">
        <f t="shared" si="20"/>
        <v>11986.229600000001</v>
      </c>
    </row>
    <row r="108" spans="1:19" x14ac:dyDescent="0.3">
      <c r="A108" t="s">
        <v>13</v>
      </c>
      <c r="B108" t="s">
        <v>24</v>
      </c>
      <c r="C108" t="s">
        <v>15</v>
      </c>
      <c r="D108">
        <v>15</v>
      </c>
      <c r="E108">
        <v>3</v>
      </c>
      <c r="F108">
        <v>0</v>
      </c>
      <c r="G108">
        <v>20260214</v>
      </c>
      <c r="H108">
        <v>20260303</v>
      </c>
      <c r="I108">
        <v>42.242600000000003</v>
      </c>
      <c r="J108">
        <f t="shared" si="11"/>
        <v>18</v>
      </c>
      <c r="K108">
        <f t="shared" si="12"/>
        <v>2.3468111111111112</v>
      </c>
      <c r="L108">
        <f t="shared" si="13"/>
        <v>47.746768359067218</v>
      </c>
      <c r="M108">
        <f t="shared" si="14"/>
        <v>7.0404333333333335</v>
      </c>
      <c r="N108">
        <f t="shared" si="15"/>
        <v>0</v>
      </c>
      <c r="O108">
        <f t="shared" si="16"/>
        <v>54.787201692400551</v>
      </c>
      <c r="P108">
        <f t="shared" si="17"/>
        <v>36.814211618413445</v>
      </c>
      <c r="Q108">
        <f t="shared" si="18"/>
        <v>5.4283883815865606</v>
      </c>
      <c r="R108">
        <f t="shared" si="19"/>
        <v>0</v>
      </c>
      <c r="S108">
        <f t="shared" si="20"/>
        <v>42.242600000000003</v>
      </c>
    </row>
    <row r="109" spans="1:19" x14ac:dyDescent="0.3">
      <c r="A109" t="s">
        <v>13</v>
      </c>
      <c r="B109" t="s">
        <v>37</v>
      </c>
      <c r="C109" t="s">
        <v>15</v>
      </c>
      <c r="D109">
        <v>0</v>
      </c>
      <c r="E109">
        <v>14</v>
      </c>
      <c r="F109">
        <v>7</v>
      </c>
      <c r="G109">
        <v>20260318</v>
      </c>
      <c r="H109">
        <v>20260407</v>
      </c>
      <c r="I109">
        <v>2597.9515000000001</v>
      </c>
      <c r="J109">
        <f t="shared" si="11"/>
        <v>21</v>
      </c>
      <c r="K109">
        <f t="shared" si="12"/>
        <v>123.71197619047619</v>
      </c>
      <c r="L109">
        <f t="shared" si="13"/>
        <v>0</v>
      </c>
      <c r="M109">
        <f t="shared" si="14"/>
        <v>1731.9676666666667</v>
      </c>
      <c r="N109">
        <f t="shared" si="15"/>
        <v>537.44468254155822</v>
      </c>
      <c r="O109">
        <f t="shared" si="16"/>
        <v>2269.4123492082249</v>
      </c>
      <c r="P109">
        <f t="shared" si="17"/>
        <v>0</v>
      </c>
      <c r="Q109">
        <f t="shared" si="18"/>
        <v>1982.701821085102</v>
      </c>
      <c r="R109">
        <f t="shared" si="19"/>
        <v>615.24967891489814</v>
      </c>
      <c r="S109">
        <f t="shared" si="20"/>
        <v>2597.9515000000001</v>
      </c>
    </row>
    <row r="110" spans="1:19" x14ac:dyDescent="0.3">
      <c r="A110" t="s">
        <v>13</v>
      </c>
      <c r="B110" t="s">
        <v>37</v>
      </c>
      <c r="C110" t="s">
        <v>15</v>
      </c>
      <c r="D110">
        <v>0</v>
      </c>
      <c r="E110">
        <v>19</v>
      </c>
      <c r="F110">
        <v>6</v>
      </c>
      <c r="G110">
        <v>20260313</v>
      </c>
      <c r="H110">
        <v>20260406</v>
      </c>
      <c r="I110">
        <v>5244.1346000000003</v>
      </c>
      <c r="J110">
        <f t="shared" si="11"/>
        <v>25</v>
      </c>
      <c r="K110">
        <f t="shared" si="12"/>
        <v>209.76538400000001</v>
      </c>
      <c r="L110">
        <f t="shared" si="13"/>
        <v>0</v>
      </c>
      <c r="M110">
        <f t="shared" si="14"/>
        <v>3985.5422960000001</v>
      </c>
      <c r="N110">
        <f t="shared" si="15"/>
        <v>781.10435233975113</v>
      </c>
      <c r="O110">
        <f t="shared" si="16"/>
        <v>4766.6466483397508</v>
      </c>
      <c r="P110">
        <f t="shared" si="17"/>
        <v>0</v>
      </c>
      <c r="Q110">
        <f t="shared" si="18"/>
        <v>4384.7849014562216</v>
      </c>
      <c r="R110">
        <f t="shared" si="19"/>
        <v>859.34969854377914</v>
      </c>
      <c r="S110">
        <f t="shared" si="20"/>
        <v>5244.1346000000012</v>
      </c>
    </row>
    <row r="111" spans="1:19" x14ac:dyDescent="0.3">
      <c r="A111" t="s">
        <v>13</v>
      </c>
      <c r="B111" t="s">
        <v>37</v>
      </c>
      <c r="C111" t="s">
        <v>14</v>
      </c>
      <c r="D111">
        <v>0</v>
      </c>
      <c r="E111">
        <v>14</v>
      </c>
      <c r="F111">
        <v>6</v>
      </c>
      <c r="G111">
        <v>20260318</v>
      </c>
      <c r="H111">
        <v>20260406</v>
      </c>
      <c r="I111">
        <v>1984.4128000000001</v>
      </c>
      <c r="J111">
        <f t="shared" si="11"/>
        <v>20</v>
      </c>
      <c r="K111">
        <f t="shared" si="12"/>
        <v>99.220640000000003</v>
      </c>
      <c r="L111">
        <f t="shared" si="13"/>
        <v>0</v>
      </c>
      <c r="M111">
        <f t="shared" si="14"/>
        <v>1389.08896</v>
      </c>
      <c r="N111">
        <f t="shared" si="15"/>
        <v>369.46836636275316</v>
      </c>
      <c r="O111">
        <f t="shared" si="16"/>
        <v>1758.5573263627532</v>
      </c>
      <c r="P111">
        <f t="shared" si="17"/>
        <v>0</v>
      </c>
      <c r="Q111">
        <f t="shared" si="18"/>
        <v>1567.4927801552233</v>
      </c>
      <c r="R111">
        <f t="shared" si="19"/>
        <v>416.9200198447769</v>
      </c>
      <c r="S111">
        <f t="shared" si="20"/>
        <v>1984.4128000000001</v>
      </c>
    </row>
    <row r="112" spans="1:19" x14ac:dyDescent="0.3">
      <c r="A112" t="s">
        <v>13</v>
      </c>
      <c r="B112" t="s">
        <v>24</v>
      </c>
      <c r="C112" t="s">
        <v>14</v>
      </c>
      <c r="D112">
        <v>0</v>
      </c>
      <c r="E112">
        <v>8</v>
      </c>
      <c r="F112">
        <v>1</v>
      </c>
      <c r="G112">
        <v>20260324</v>
      </c>
      <c r="H112">
        <v>20260401</v>
      </c>
      <c r="I112">
        <v>6203.1157999999996</v>
      </c>
      <c r="J112">
        <f t="shared" si="11"/>
        <v>9</v>
      </c>
      <c r="K112">
        <f t="shared" si="12"/>
        <v>689.23508888888887</v>
      </c>
      <c r="L112">
        <f t="shared" si="13"/>
        <v>0</v>
      </c>
      <c r="M112">
        <f t="shared" si="14"/>
        <v>5513.8807111111109</v>
      </c>
      <c r="N112">
        <f t="shared" si="15"/>
        <v>427.75132662529478</v>
      </c>
      <c r="O112">
        <f t="shared" si="16"/>
        <v>5941.6320377364054</v>
      </c>
      <c r="P112">
        <f t="shared" si="17"/>
        <v>0</v>
      </c>
      <c r="Q112">
        <f t="shared" si="18"/>
        <v>5756.5396748195526</v>
      </c>
      <c r="R112">
        <f t="shared" si="19"/>
        <v>446.57612518044687</v>
      </c>
      <c r="S112">
        <f t="shared" si="20"/>
        <v>6203.1157999999996</v>
      </c>
    </row>
    <row r="113" spans="1:19" x14ac:dyDescent="0.3">
      <c r="A113" t="s">
        <v>13</v>
      </c>
      <c r="B113" t="s">
        <v>37</v>
      </c>
      <c r="C113" t="s">
        <v>15</v>
      </c>
      <c r="D113">
        <v>0</v>
      </c>
      <c r="E113">
        <v>8</v>
      </c>
      <c r="F113">
        <v>5</v>
      </c>
      <c r="G113">
        <v>20260324</v>
      </c>
      <c r="H113">
        <v>20260405</v>
      </c>
      <c r="I113">
        <v>292.23660000000001</v>
      </c>
      <c r="J113">
        <f t="shared" si="11"/>
        <v>13</v>
      </c>
      <c r="K113">
        <f t="shared" si="12"/>
        <v>22.479738461538464</v>
      </c>
      <c r="L113">
        <f t="shared" si="13"/>
        <v>0</v>
      </c>
      <c r="M113">
        <f t="shared" si="14"/>
        <v>179.83790769230771</v>
      </c>
      <c r="N113">
        <f t="shared" si="15"/>
        <v>69.756590342884351</v>
      </c>
      <c r="O113">
        <f t="shared" si="16"/>
        <v>249.59449803519206</v>
      </c>
      <c r="P113">
        <f t="shared" si="17"/>
        <v>0</v>
      </c>
      <c r="Q113">
        <f t="shared" si="18"/>
        <v>210.56240866216422</v>
      </c>
      <c r="R113">
        <f t="shared" si="19"/>
        <v>81.674191337835794</v>
      </c>
      <c r="S113">
        <f t="shared" si="20"/>
        <v>292.23660000000001</v>
      </c>
    </row>
    <row r="114" spans="1:19" x14ac:dyDescent="0.3">
      <c r="A114" t="s">
        <v>13</v>
      </c>
      <c r="B114" t="s">
        <v>24</v>
      </c>
      <c r="C114" t="s">
        <v>15</v>
      </c>
      <c r="D114">
        <v>0</v>
      </c>
      <c r="E114">
        <v>20</v>
      </c>
      <c r="F114">
        <v>5</v>
      </c>
      <c r="G114">
        <v>20260312</v>
      </c>
      <c r="H114">
        <v>20260405</v>
      </c>
      <c r="I114">
        <v>235.7782</v>
      </c>
      <c r="J114">
        <f t="shared" si="11"/>
        <v>25</v>
      </c>
      <c r="K114">
        <f t="shared" si="12"/>
        <v>9.4311279999999993</v>
      </c>
      <c r="L114">
        <f t="shared" si="13"/>
        <v>0</v>
      </c>
      <c r="M114">
        <f t="shared" si="14"/>
        <v>188.62255999999999</v>
      </c>
      <c r="N114">
        <f t="shared" si="15"/>
        <v>29.265613276280178</v>
      </c>
      <c r="O114">
        <f t="shared" si="16"/>
        <v>217.88817327628016</v>
      </c>
      <c r="P114">
        <f t="shared" si="17"/>
        <v>0</v>
      </c>
      <c r="Q114">
        <f t="shared" si="18"/>
        <v>204.10969079905288</v>
      </c>
      <c r="R114">
        <f t="shared" si="19"/>
        <v>31.668509200947138</v>
      </c>
      <c r="S114">
        <f t="shared" si="20"/>
        <v>235.77820000000003</v>
      </c>
    </row>
    <row r="115" spans="1:19" x14ac:dyDescent="0.3">
      <c r="A115" t="s">
        <v>13</v>
      </c>
      <c r="B115" t="s">
        <v>37</v>
      </c>
      <c r="C115" t="s">
        <v>14</v>
      </c>
      <c r="D115">
        <v>0</v>
      </c>
      <c r="E115">
        <v>12</v>
      </c>
      <c r="F115">
        <v>2</v>
      </c>
      <c r="G115">
        <v>20260320</v>
      </c>
      <c r="H115">
        <v>20260402</v>
      </c>
      <c r="I115">
        <v>24.116</v>
      </c>
      <c r="J115">
        <f t="shared" si="11"/>
        <v>14</v>
      </c>
      <c r="K115">
        <f t="shared" si="12"/>
        <v>1.7225714285714286</v>
      </c>
      <c r="L115">
        <f t="shared" si="13"/>
        <v>0</v>
      </c>
      <c r="M115">
        <f t="shared" si="14"/>
        <v>20.670857142857145</v>
      </c>
      <c r="N115">
        <f t="shared" si="15"/>
        <v>2.1381157914235041</v>
      </c>
      <c r="O115">
        <f t="shared" si="16"/>
        <v>22.80897293428065</v>
      </c>
      <c r="P115">
        <f t="shared" si="17"/>
        <v>0</v>
      </c>
      <c r="Q115">
        <f t="shared" si="18"/>
        <v>21.85536333851871</v>
      </c>
      <c r="R115">
        <f t="shared" si="19"/>
        <v>2.2606366614812861</v>
      </c>
      <c r="S115">
        <f t="shared" si="20"/>
        <v>24.115999999999996</v>
      </c>
    </row>
    <row r="116" spans="1:19" x14ac:dyDescent="0.3">
      <c r="A116" t="s">
        <v>13</v>
      </c>
      <c r="B116" t="s">
        <v>24</v>
      </c>
      <c r="C116" t="s">
        <v>15</v>
      </c>
      <c r="D116">
        <v>0</v>
      </c>
      <c r="E116">
        <v>15</v>
      </c>
      <c r="F116">
        <v>6</v>
      </c>
      <c r="G116">
        <v>20260317</v>
      </c>
      <c r="H116">
        <v>20260406</v>
      </c>
      <c r="I116">
        <v>2737.8031000000001</v>
      </c>
      <c r="J116">
        <f t="shared" si="11"/>
        <v>21</v>
      </c>
      <c r="K116">
        <f t="shared" si="12"/>
        <v>130.37157619047619</v>
      </c>
      <c r="L116">
        <f t="shared" si="13"/>
        <v>0</v>
      </c>
      <c r="M116">
        <f t="shared" si="14"/>
        <v>1955.5736428571429</v>
      </c>
      <c r="N116">
        <f t="shared" si="15"/>
        <v>485.46525476183632</v>
      </c>
      <c r="O116">
        <f t="shared" si="16"/>
        <v>2441.0388976189793</v>
      </c>
      <c r="P116">
        <f t="shared" si="17"/>
        <v>0</v>
      </c>
      <c r="Q116">
        <f t="shared" si="18"/>
        <v>2193.3184214782141</v>
      </c>
      <c r="R116">
        <f t="shared" si="19"/>
        <v>544.48467852178612</v>
      </c>
      <c r="S116">
        <f t="shared" si="20"/>
        <v>2737.8031000000001</v>
      </c>
    </row>
    <row r="117" spans="1:19" x14ac:dyDescent="0.3">
      <c r="A117" t="s">
        <v>13</v>
      </c>
      <c r="B117" t="s">
        <v>24</v>
      </c>
      <c r="C117" t="s">
        <v>15</v>
      </c>
      <c r="D117">
        <v>0</v>
      </c>
      <c r="E117">
        <v>19</v>
      </c>
      <c r="F117">
        <v>3</v>
      </c>
      <c r="G117">
        <v>20260313</v>
      </c>
      <c r="H117">
        <v>20260403</v>
      </c>
      <c r="I117">
        <v>4073.6795000000002</v>
      </c>
      <c r="J117">
        <f t="shared" si="11"/>
        <v>22</v>
      </c>
      <c r="K117">
        <f t="shared" si="12"/>
        <v>185.16725</v>
      </c>
      <c r="L117">
        <f t="shared" si="13"/>
        <v>0</v>
      </c>
      <c r="M117">
        <f t="shared" si="14"/>
        <v>3518.1777499999998</v>
      </c>
      <c r="N117">
        <f t="shared" si="15"/>
        <v>344.75408222212388</v>
      </c>
      <c r="O117">
        <f t="shared" si="16"/>
        <v>3862.9318322221238</v>
      </c>
      <c r="P117">
        <f t="shared" si="17"/>
        <v>0</v>
      </c>
      <c r="Q117">
        <f t="shared" si="18"/>
        <v>3710.1168749557728</v>
      </c>
      <c r="R117">
        <f t="shared" si="19"/>
        <v>363.56262504422693</v>
      </c>
      <c r="S117">
        <f t="shared" si="20"/>
        <v>4073.6794999999997</v>
      </c>
    </row>
    <row r="118" spans="1:19" x14ac:dyDescent="0.3">
      <c r="A118" t="s">
        <v>13</v>
      </c>
      <c r="B118" t="s">
        <v>37</v>
      </c>
      <c r="C118" t="s">
        <v>15</v>
      </c>
      <c r="D118">
        <v>0</v>
      </c>
      <c r="E118">
        <v>26</v>
      </c>
      <c r="F118">
        <v>7</v>
      </c>
      <c r="G118">
        <v>20260306</v>
      </c>
      <c r="H118">
        <v>20260407</v>
      </c>
      <c r="I118">
        <v>313800.5307</v>
      </c>
      <c r="J118">
        <f t="shared" si="11"/>
        <v>33</v>
      </c>
      <c r="K118">
        <f t="shared" si="12"/>
        <v>9509.1069909090911</v>
      </c>
      <c r="L118">
        <f t="shared" si="13"/>
        <v>0</v>
      </c>
      <c r="M118">
        <f t="shared" si="14"/>
        <v>247236.78176363636</v>
      </c>
      <c r="N118">
        <f t="shared" si="15"/>
        <v>41310.624446853537</v>
      </c>
      <c r="O118">
        <f t="shared" si="16"/>
        <v>288547.40621048992</v>
      </c>
      <c r="P118">
        <f t="shared" si="17"/>
        <v>0</v>
      </c>
      <c r="Q118">
        <f t="shared" si="18"/>
        <v>268874.47835657827</v>
      </c>
      <c r="R118">
        <f t="shared" si="19"/>
        <v>44926.052343421696</v>
      </c>
      <c r="S118">
        <f t="shared" si="20"/>
        <v>313800.53069999994</v>
      </c>
    </row>
    <row r="119" spans="1:19" x14ac:dyDescent="0.3">
      <c r="A119" t="s">
        <v>13</v>
      </c>
      <c r="B119" t="s">
        <v>24</v>
      </c>
      <c r="C119" t="s">
        <v>14</v>
      </c>
      <c r="D119">
        <v>9</v>
      </c>
      <c r="E119">
        <v>16</v>
      </c>
      <c r="F119">
        <v>0</v>
      </c>
      <c r="G119">
        <v>20260220</v>
      </c>
      <c r="H119">
        <v>20260316</v>
      </c>
      <c r="I119">
        <v>17060500.6886</v>
      </c>
      <c r="J119">
        <f t="shared" si="11"/>
        <v>25</v>
      </c>
      <c r="K119">
        <f t="shared" si="12"/>
        <v>682420.02754399995</v>
      </c>
      <c r="L119">
        <f t="shared" si="13"/>
        <v>8330457.6557859043</v>
      </c>
      <c r="M119">
        <f t="shared" si="14"/>
        <v>10918720.440703999</v>
      </c>
      <c r="N119">
        <f t="shared" si="15"/>
        <v>0</v>
      </c>
      <c r="O119">
        <f t="shared" si="16"/>
        <v>19249178.096489903</v>
      </c>
      <c r="P119">
        <f t="shared" si="17"/>
        <v>7383264.7742401296</v>
      </c>
      <c r="Q119">
        <f t="shared" si="18"/>
        <v>9677235.9143598732</v>
      </c>
      <c r="R119">
        <f t="shared" si="19"/>
        <v>0</v>
      </c>
      <c r="S119">
        <f t="shared" si="20"/>
        <v>17060500.688600004</v>
      </c>
    </row>
    <row r="120" spans="1:19" x14ac:dyDescent="0.3">
      <c r="A120" t="s">
        <v>13</v>
      </c>
      <c r="B120" t="s">
        <v>24</v>
      </c>
      <c r="C120" t="s">
        <v>15</v>
      </c>
      <c r="D120">
        <v>23</v>
      </c>
      <c r="E120">
        <v>5</v>
      </c>
      <c r="F120">
        <v>0</v>
      </c>
      <c r="G120">
        <v>20260206</v>
      </c>
      <c r="H120">
        <v>20260305</v>
      </c>
      <c r="I120">
        <v>2923506.5375999999</v>
      </c>
      <c r="J120">
        <f t="shared" si="11"/>
        <v>28</v>
      </c>
      <c r="K120">
        <f t="shared" si="12"/>
        <v>104410.94777142857</v>
      </c>
      <c r="L120">
        <f t="shared" si="13"/>
        <v>3257230.2678350434</v>
      </c>
      <c r="M120">
        <f t="shared" si="14"/>
        <v>522054.73885714286</v>
      </c>
      <c r="N120">
        <f t="shared" si="15"/>
        <v>0</v>
      </c>
      <c r="O120">
        <f t="shared" si="16"/>
        <v>3779285.006692186</v>
      </c>
      <c r="P120">
        <f t="shared" si="17"/>
        <v>2519665.4831859143</v>
      </c>
      <c r="Q120">
        <f t="shared" si="18"/>
        <v>403841.05441408587</v>
      </c>
      <c r="R120">
        <f t="shared" si="19"/>
        <v>0</v>
      </c>
      <c r="S120">
        <f t="shared" si="20"/>
        <v>2923506.5376000004</v>
      </c>
    </row>
    <row r="121" spans="1:19" x14ac:dyDescent="0.3">
      <c r="A121" t="s">
        <v>13</v>
      </c>
      <c r="B121" t="s">
        <v>24</v>
      </c>
      <c r="C121" t="s">
        <v>15</v>
      </c>
      <c r="D121">
        <v>9</v>
      </c>
      <c r="E121">
        <v>16</v>
      </c>
      <c r="F121">
        <v>0</v>
      </c>
      <c r="G121">
        <v>20260220</v>
      </c>
      <c r="H121">
        <v>20260316</v>
      </c>
      <c r="I121">
        <v>5676662.2922</v>
      </c>
      <c r="J121">
        <f t="shared" si="11"/>
        <v>25</v>
      </c>
      <c r="K121">
        <f t="shared" si="12"/>
        <v>227066.49168800001</v>
      </c>
      <c r="L121">
        <f t="shared" si="13"/>
        <v>2771852.6973225218</v>
      </c>
      <c r="M121">
        <f t="shared" si="14"/>
        <v>3633063.8670080001</v>
      </c>
      <c r="N121">
        <f t="shared" si="15"/>
        <v>0</v>
      </c>
      <c r="O121">
        <f t="shared" si="16"/>
        <v>6404916.564330522</v>
      </c>
      <c r="P121">
        <f t="shared" si="17"/>
        <v>2456686.4421079806</v>
      </c>
      <c r="Q121">
        <f t="shared" si="18"/>
        <v>3219975.8500920199</v>
      </c>
      <c r="R121">
        <f t="shared" si="19"/>
        <v>0</v>
      </c>
      <c r="S121">
        <f t="shared" si="20"/>
        <v>5676662.292200001</v>
      </c>
    </row>
    <row r="122" spans="1:19" x14ac:dyDescent="0.3">
      <c r="A122" t="s">
        <v>13</v>
      </c>
      <c r="B122" t="s">
        <v>24</v>
      </c>
      <c r="C122" t="s">
        <v>15</v>
      </c>
      <c r="D122">
        <v>0</v>
      </c>
      <c r="E122">
        <v>29</v>
      </c>
      <c r="F122">
        <v>2</v>
      </c>
      <c r="G122">
        <v>20260303</v>
      </c>
      <c r="H122">
        <v>20260402</v>
      </c>
      <c r="I122">
        <v>3997759.5296999998</v>
      </c>
      <c r="J122">
        <f t="shared" si="11"/>
        <v>31</v>
      </c>
      <c r="K122">
        <f t="shared" si="12"/>
        <v>128959.98482903226</v>
      </c>
      <c r="L122">
        <f t="shared" si="13"/>
        <v>0</v>
      </c>
      <c r="M122">
        <f t="shared" si="14"/>
        <v>3739839.5600419352</v>
      </c>
      <c r="N122">
        <f t="shared" si="15"/>
        <v>160069.63511136387</v>
      </c>
      <c r="O122">
        <f t="shared" si="16"/>
        <v>3899909.1951532993</v>
      </c>
      <c r="P122">
        <f t="shared" si="17"/>
        <v>0</v>
      </c>
      <c r="Q122">
        <f t="shared" si="18"/>
        <v>3833673.6812455454</v>
      </c>
      <c r="R122">
        <f t="shared" si="19"/>
        <v>164085.84845445416</v>
      </c>
      <c r="S122">
        <f t="shared" si="20"/>
        <v>3997759.5296999994</v>
      </c>
    </row>
    <row r="123" spans="1:19" x14ac:dyDescent="0.3">
      <c r="A123" t="s">
        <v>13</v>
      </c>
      <c r="B123" t="s">
        <v>24</v>
      </c>
      <c r="C123" t="s">
        <v>15</v>
      </c>
      <c r="D123">
        <v>24</v>
      </c>
      <c r="E123">
        <v>5</v>
      </c>
      <c r="F123">
        <v>0</v>
      </c>
      <c r="G123">
        <v>20260205</v>
      </c>
      <c r="H123">
        <v>20260305</v>
      </c>
      <c r="I123">
        <v>3351997.0227000001</v>
      </c>
      <c r="J123">
        <f t="shared" si="11"/>
        <v>29</v>
      </c>
      <c r="K123">
        <f t="shared" si="12"/>
        <v>115586.10423103449</v>
      </c>
      <c r="L123">
        <f t="shared" si="13"/>
        <v>3762629.4971022289</v>
      </c>
      <c r="M123">
        <f t="shared" si="14"/>
        <v>577930.52115517249</v>
      </c>
      <c r="N123">
        <f t="shared" si="15"/>
        <v>0</v>
      </c>
      <c r="O123">
        <f t="shared" si="16"/>
        <v>4340560.0182574019</v>
      </c>
      <c r="P123">
        <f t="shared" si="17"/>
        <v>2905690.2378401668</v>
      </c>
      <c r="Q123">
        <f t="shared" si="18"/>
        <v>446306.78485983267</v>
      </c>
      <c r="R123">
        <f t="shared" si="19"/>
        <v>0</v>
      </c>
      <c r="S123">
        <f t="shared" si="20"/>
        <v>3351997.0226999996</v>
      </c>
    </row>
    <row r="124" spans="1:19" x14ac:dyDescent="0.3">
      <c r="A124" t="s">
        <v>13</v>
      </c>
      <c r="B124" t="s">
        <v>24</v>
      </c>
      <c r="C124" t="s">
        <v>15</v>
      </c>
      <c r="D124">
        <v>25</v>
      </c>
      <c r="E124">
        <v>6</v>
      </c>
      <c r="F124">
        <v>0</v>
      </c>
      <c r="G124">
        <v>20260204</v>
      </c>
      <c r="H124">
        <v>20260306</v>
      </c>
      <c r="I124">
        <v>1394608.3317</v>
      </c>
      <c r="J124">
        <f t="shared" si="11"/>
        <v>31</v>
      </c>
      <c r="K124">
        <f t="shared" si="12"/>
        <v>44987.365538709673</v>
      </c>
      <c r="L124">
        <f t="shared" si="13"/>
        <v>1525475.2227335346</v>
      </c>
      <c r="M124">
        <f t="shared" si="14"/>
        <v>269924.19323225803</v>
      </c>
      <c r="N124">
        <f t="shared" si="15"/>
        <v>0</v>
      </c>
      <c r="O124">
        <f t="shared" si="16"/>
        <v>1795399.4159657927</v>
      </c>
      <c r="P124">
        <f t="shared" si="17"/>
        <v>1184939.9284123606</v>
      </c>
      <c r="Q124">
        <f t="shared" si="18"/>
        <v>209668.40328763926</v>
      </c>
      <c r="R124">
        <f t="shared" si="19"/>
        <v>0</v>
      </c>
      <c r="S124">
        <f t="shared" si="20"/>
        <v>1394608.3317</v>
      </c>
    </row>
    <row r="125" spans="1:19" x14ac:dyDescent="0.3">
      <c r="A125" t="s">
        <v>13</v>
      </c>
      <c r="B125" t="s">
        <v>24</v>
      </c>
      <c r="C125" t="s">
        <v>15</v>
      </c>
      <c r="D125">
        <v>26</v>
      </c>
      <c r="E125">
        <v>4</v>
      </c>
      <c r="F125">
        <v>0</v>
      </c>
      <c r="G125">
        <v>20260203</v>
      </c>
      <c r="H125">
        <v>20260304</v>
      </c>
      <c r="I125">
        <v>3502651.1131000002</v>
      </c>
      <c r="J125">
        <f t="shared" si="11"/>
        <v>30</v>
      </c>
      <c r="K125">
        <f t="shared" si="12"/>
        <v>116755.03710333334</v>
      </c>
      <c r="L125">
        <f t="shared" si="13"/>
        <v>4117404.7571268626</v>
      </c>
      <c r="M125">
        <f t="shared" si="14"/>
        <v>467020.14841333334</v>
      </c>
      <c r="N125">
        <f t="shared" si="15"/>
        <v>0</v>
      </c>
      <c r="O125">
        <f t="shared" si="16"/>
        <v>4584424.9055401962</v>
      </c>
      <c r="P125">
        <f t="shared" si="17"/>
        <v>3145832.3896210212</v>
      </c>
      <c r="Q125">
        <f t="shared" si="18"/>
        <v>356818.7234789785</v>
      </c>
      <c r="R125">
        <f t="shared" si="19"/>
        <v>0</v>
      </c>
      <c r="S125">
        <f t="shared" si="20"/>
        <v>3502651.1130999997</v>
      </c>
    </row>
    <row r="126" spans="1:19" x14ac:dyDescent="0.3">
      <c r="A126" t="s">
        <v>13</v>
      </c>
      <c r="B126" t="s">
        <v>37</v>
      </c>
      <c r="C126" t="s">
        <v>14</v>
      </c>
      <c r="D126">
        <v>0</v>
      </c>
      <c r="E126">
        <v>30</v>
      </c>
      <c r="F126">
        <v>2</v>
      </c>
      <c r="G126">
        <v>20260302</v>
      </c>
      <c r="H126">
        <v>20260402</v>
      </c>
      <c r="I126">
        <v>88803.210900000005</v>
      </c>
      <c r="J126">
        <f t="shared" si="11"/>
        <v>32</v>
      </c>
      <c r="K126">
        <f t="shared" si="12"/>
        <v>2775.1003406250002</v>
      </c>
      <c r="L126">
        <f t="shared" si="13"/>
        <v>0</v>
      </c>
      <c r="M126">
        <f t="shared" si="14"/>
        <v>83253.010218750002</v>
      </c>
      <c r="N126">
        <f t="shared" si="15"/>
        <v>3444.5514204283795</v>
      </c>
      <c r="O126">
        <f t="shared" si="16"/>
        <v>86697.561639178384</v>
      </c>
      <c r="P126">
        <f t="shared" si="17"/>
        <v>0</v>
      </c>
      <c r="Q126">
        <f t="shared" si="18"/>
        <v>85275.000642862084</v>
      </c>
      <c r="R126">
        <f t="shared" si="19"/>
        <v>3528.2102571379169</v>
      </c>
      <c r="S126">
        <f t="shared" si="20"/>
        <v>88803.210900000005</v>
      </c>
    </row>
    <row r="127" spans="1:19" x14ac:dyDescent="0.3">
      <c r="A127" t="s">
        <v>13</v>
      </c>
      <c r="B127" t="s">
        <v>37</v>
      </c>
      <c r="C127" t="s">
        <v>15</v>
      </c>
      <c r="D127">
        <v>0</v>
      </c>
      <c r="E127">
        <v>26</v>
      </c>
      <c r="F127">
        <v>2</v>
      </c>
      <c r="G127">
        <v>20260306</v>
      </c>
      <c r="H127">
        <v>20260402</v>
      </c>
      <c r="I127">
        <v>247830.47700000001</v>
      </c>
      <c r="J127">
        <f t="shared" si="11"/>
        <v>28</v>
      </c>
      <c r="K127">
        <f t="shared" si="12"/>
        <v>8851.0884642857145</v>
      </c>
      <c r="L127">
        <f t="shared" si="13"/>
        <v>0</v>
      </c>
      <c r="M127">
        <f t="shared" si="14"/>
        <v>230128.30007142859</v>
      </c>
      <c r="N127">
        <f t="shared" si="15"/>
        <v>10986.279989834953</v>
      </c>
      <c r="O127">
        <f t="shared" si="16"/>
        <v>241114.58006126355</v>
      </c>
      <c r="P127">
        <f t="shared" si="17"/>
        <v>0</v>
      </c>
      <c r="Q127">
        <f t="shared" si="18"/>
        <v>236538.19011446805</v>
      </c>
      <c r="R127">
        <f t="shared" si="19"/>
        <v>11292.286885531958</v>
      </c>
      <c r="S127">
        <f t="shared" si="20"/>
        <v>247830.47700000001</v>
      </c>
    </row>
    <row r="128" spans="1:19" x14ac:dyDescent="0.3">
      <c r="A128" t="s">
        <v>13</v>
      </c>
      <c r="B128" t="s">
        <v>24</v>
      </c>
      <c r="C128" t="s">
        <v>14</v>
      </c>
      <c r="D128">
        <v>27</v>
      </c>
      <c r="E128">
        <v>3</v>
      </c>
      <c r="F128">
        <v>0</v>
      </c>
      <c r="G128">
        <v>20260202</v>
      </c>
      <c r="H128">
        <v>20260303</v>
      </c>
      <c r="I128">
        <v>459145.75069999998</v>
      </c>
      <c r="J128">
        <f t="shared" si="11"/>
        <v>30</v>
      </c>
      <c r="K128">
        <f t="shared" si="12"/>
        <v>15304.858356666666</v>
      </c>
      <c r="L128">
        <f t="shared" si="13"/>
        <v>560489.73940668313</v>
      </c>
      <c r="M128">
        <f t="shared" si="14"/>
        <v>45914.575069999999</v>
      </c>
      <c r="N128">
        <f t="shared" si="15"/>
        <v>0</v>
      </c>
      <c r="O128">
        <f t="shared" si="16"/>
        <v>606404.31447668315</v>
      </c>
      <c r="P128">
        <f t="shared" si="17"/>
        <v>424381.02107108955</v>
      </c>
      <c r="Q128">
        <f t="shared" si="18"/>
        <v>34764.729628910412</v>
      </c>
      <c r="R128">
        <f t="shared" si="19"/>
        <v>0</v>
      </c>
      <c r="S128">
        <f t="shared" si="20"/>
        <v>459145.75069999998</v>
      </c>
    </row>
    <row r="129" spans="1:19" x14ac:dyDescent="0.3">
      <c r="A129" t="s">
        <v>13</v>
      </c>
      <c r="B129" t="s">
        <v>37</v>
      </c>
      <c r="C129" t="s">
        <v>14</v>
      </c>
      <c r="D129">
        <v>0</v>
      </c>
      <c r="E129">
        <v>27</v>
      </c>
      <c r="F129">
        <v>2</v>
      </c>
      <c r="G129">
        <v>20260305</v>
      </c>
      <c r="H129">
        <v>20260402</v>
      </c>
      <c r="I129">
        <v>155802.12770000001</v>
      </c>
      <c r="J129">
        <f t="shared" si="11"/>
        <v>29</v>
      </c>
      <c r="K129">
        <f t="shared" si="12"/>
        <v>5372.4871620689655</v>
      </c>
      <c r="L129">
        <f t="shared" si="13"/>
        <v>0</v>
      </c>
      <c r="M129">
        <f t="shared" si="14"/>
        <v>145057.15337586208</v>
      </c>
      <c r="N129">
        <f t="shared" si="15"/>
        <v>6668.5186169412755</v>
      </c>
      <c r="O129">
        <f t="shared" si="16"/>
        <v>151725.67199280334</v>
      </c>
      <c r="P129">
        <f t="shared" si="17"/>
        <v>0</v>
      </c>
      <c r="Q129">
        <f t="shared" si="18"/>
        <v>148954.44414401095</v>
      </c>
      <c r="R129">
        <f t="shared" si="19"/>
        <v>6847.6835559890778</v>
      </c>
      <c r="S129">
        <f t="shared" si="20"/>
        <v>155802.12770000004</v>
      </c>
    </row>
    <row r="130" spans="1:19" x14ac:dyDescent="0.3">
      <c r="A130" t="s">
        <v>13</v>
      </c>
      <c r="B130" t="s">
        <v>24</v>
      </c>
      <c r="C130" t="s">
        <v>15</v>
      </c>
      <c r="D130">
        <v>0</v>
      </c>
      <c r="E130">
        <v>16</v>
      </c>
      <c r="F130">
        <v>15</v>
      </c>
      <c r="G130">
        <v>20260316</v>
      </c>
      <c r="H130">
        <v>20260415</v>
      </c>
      <c r="I130">
        <v>2793948.2349</v>
      </c>
      <c r="J130">
        <f t="shared" si="11"/>
        <v>31</v>
      </c>
      <c r="K130">
        <f t="shared" si="12"/>
        <v>90127.362416129035</v>
      </c>
      <c r="L130">
        <f t="shared" si="13"/>
        <v>0</v>
      </c>
      <c r="M130">
        <f t="shared" si="14"/>
        <v>1442037.7986580646</v>
      </c>
      <c r="N130">
        <f t="shared" si="15"/>
        <v>839019.21405846078</v>
      </c>
      <c r="O130">
        <f t="shared" si="16"/>
        <v>2281057.0127165252</v>
      </c>
      <c r="P130">
        <f t="shared" si="17"/>
        <v>0</v>
      </c>
      <c r="Q130">
        <f t="shared" si="18"/>
        <v>1766277.1863039252</v>
      </c>
      <c r="R130">
        <f t="shared" si="19"/>
        <v>1027671.0485960749</v>
      </c>
      <c r="S130">
        <f t="shared" si="20"/>
        <v>2793948.2349</v>
      </c>
    </row>
    <row r="131" spans="1:19" x14ac:dyDescent="0.3">
      <c r="A131" t="s">
        <v>13</v>
      </c>
      <c r="B131" t="s">
        <v>24</v>
      </c>
      <c r="C131" t="s">
        <v>14</v>
      </c>
      <c r="D131">
        <v>0</v>
      </c>
      <c r="E131">
        <v>30</v>
      </c>
      <c r="F131">
        <v>7</v>
      </c>
      <c r="G131">
        <v>20260302</v>
      </c>
      <c r="H131">
        <v>20260407</v>
      </c>
      <c r="I131">
        <v>201864.16039999999</v>
      </c>
      <c r="J131">
        <f t="shared" si="11"/>
        <v>37</v>
      </c>
      <c r="K131">
        <f t="shared" si="12"/>
        <v>5455.7881189189184</v>
      </c>
      <c r="L131">
        <f t="shared" si="13"/>
        <v>0</v>
      </c>
      <c r="M131">
        <f t="shared" si="14"/>
        <v>163673.64356756755</v>
      </c>
      <c r="N131">
        <f t="shared" si="15"/>
        <v>23701.701354053006</v>
      </c>
      <c r="O131">
        <f t="shared" si="16"/>
        <v>187375.34492162056</v>
      </c>
      <c r="P131">
        <f t="shared" si="17"/>
        <v>0</v>
      </c>
      <c r="Q131">
        <f t="shared" si="18"/>
        <v>176329.72284692261</v>
      </c>
      <c r="R131">
        <f t="shared" si="19"/>
        <v>25534.437553077365</v>
      </c>
      <c r="S131">
        <f t="shared" si="20"/>
        <v>201864.16039999996</v>
      </c>
    </row>
    <row r="132" spans="1:19" x14ac:dyDescent="0.3">
      <c r="A132" t="s">
        <v>13</v>
      </c>
      <c r="B132" t="s">
        <v>24</v>
      </c>
      <c r="C132" t="s">
        <v>14</v>
      </c>
      <c r="D132">
        <v>25</v>
      </c>
      <c r="E132">
        <v>5</v>
      </c>
      <c r="F132">
        <v>0</v>
      </c>
      <c r="G132">
        <v>20260204</v>
      </c>
      <c r="H132">
        <v>20260305</v>
      </c>
      <c r="I132">
        <v>530332.66319999995</v>
      </c>
      <c r="J132">
        <f t="shared" si="11"/>
        <v>30</v>
      </c>
      <c r="K132">
        <f t="shared" si="12"/>
        <v>17677.755439999997</v>
      </c>
      <c r="L132">
        <f t="shared" si="13"/>
        <v>599434.47664342646</v>
      </c>
      <c r="M132">
        <f t="shared" si="14"/>
        <v>88388.777199999982</v>
      </c>
      <c r="N132">
        <f t="shared" si="15"/>
        <v>0</v>
      </c>
      <c r="O132">
        <f t="shared" si="16"/>
        <v>687823.25384342647</v>
      </c>
      <c r="P132">
        <f t="shared" si="17"/>
        <v>462182.22579106351</v>
      </c>
      <c r="Q132">
        <f t="shared" si="18"/>
        <v>68150.437408936428</v>
      </c>
      <c r="R132">
        <f t="shared" si="19"/>
        <v>0</v>
      </c>
      <c r="S132">
        <f t="shared" si="20"/>
        <v>530332.66319999995</v>
      </c>
    </row>
    <row r="133" spans="1:19" x14ac:dyDescent="0.3">
      <c r="A133" t="s">
        <v>13</v>
      </c>
      <c r="B133" t="s">
        <v>24</v>
      </c>
      <c r="C133" t="s">
        <v>14</v>
      </c>
      <c r="D133">
        <v>13</v>
      </c>
      <c r="E133">
        <v>15</v>
      </c>
      <c r="F133">
        <v>0</v>
      </c>
      <c r="G133">
        <v>20260216</v>
      </c>
      <c r="H133">
        <v>20260315</v>
      </c>
      <c r="I133">
        <v>7298599.2774999999</v>
      </c>
      <c r="J133">
        <f t="shared" si="11"/>
        <v>28</v>
      </c>
      <c r="K133">
        <f t="shared" si="12"/>
        <v>260664.25991071429</v>
      </c>
      <c r="L133">
        <f t="shared" si="13"/>
        <v>4596205.3989133053</v>
      </c>
      <c r="M133">
        <f t="shared" si="14"/>
        <v>3909963.8986607143</v>
      </c>
      <c r="N133">
        <f t="shared" si="15"/>
        <v>0</v>
      </c>
      <c r="O133">
        <f t="shared" si="16"/>
        <v>8506169.2975740191</v>
      </c>
      <c r="P133">
        <f t="shared" si="17"/>
        <v>3943709.5865606167</v>
      </c>
      <c r="Q133">
        <f t="shared" si="18"/>
        <v>3354889.6909393836</v>
      </c>
      <c r="R133">
        <f t="shared" si="19"/>
        <v>0</v>
      </c>
      <c r="S133">
        <f t="shared" si="20"/>
        <v>7298599.2774999999</v>
      </c>
    </row>
    <row r="134" spans="1:19" x14ac:dyDescent="0.3">
      <c r="A134" t="s">
        <v>13</v>
      </c>
      <c r="B134" t="s">
        <v>24</v>
      </c>
      <c r="C134" t="s">
        <v>15</v>
      </c>
      <c r="D134">
        <v>26</v>
      </c>
      <c r="E134">
        <v>3</v>
      </c>
      <c r="F134">
        <v>0</v>
      </c>
      <c r="G134">
        <v>20260203</v>
      </c>
      <c r="H134">
        <v>20260303</v>
      </c>
      <c r="I134">
        <v>10011445.515000001</v>
      </c>
      <c r="J134">
        <f t="shared" si="11"/>
        <v>29</v>
      </c>
      <c r="K134">
        <f t="shared" si="12"/>
        <v>345222.25913793105</v>
      </c>
      <c r="L134">
        <f t="shared" si="13"/>
        <v>12174376.432107002</v>
      </c>
      <c r="M134">
        <f t="shared" si="14"/>
        <v>1035666.7774137931</v>
      </c>
      <c r="N134">
        <f t="shared" si="15"/>
        <v>0</v>
      </c>
      <c r="O134">
        <f t="shared" si="16"/>
        <v>13210043.209520794</v>
      </c>
      <c r="P134">
        <f t="shared" si="17"/>
        <v>9226548.6490835454</v>
      </c>
      <c r="Q134">
        <f t="shared" si="18"/>
        <v>784896.86591645528</v>
      </c>
      <c r="R134">
        <f t="shared" si="19"/>
        <v>0</v>
      </c>
      <c r="S134">
        <f t="shared" si="20"/>
        <v>10011445.515000001</v>
      </c>
    </row>
    <row r="135" spans="1:19" x14ac:dyDescent="0.3">
      <c r="A135" t="s">
        <v>13</v>
      </c>
      <c r="B135" t="s">
        <v>24</v>
      </c>
      <c r="C135" t="s">
        <v>15</v>
      </c>
      <c r="D135">
        <v>24</v>
      </c>
      <c r="E135">
        <v>3</v>
      </c>
      <c r="F135">
        <v>0</v>
      </c>
      <c r="G135">
        <v>20260205</v>
      </c>
      <c r="H135">
        <v>20260303</v>
      </c>
      <c r="I135">
        <v>3180579.8144999999</v>
      </c>
      <c r="J135">
        <f t="shared" si="11"/>
        <v>27</v>
      </c>
      <c r="K135">
        <f t="shared" si="12"/>
        <v>117799.25238888888</v>
      </c>
      <c r="L135">
        <f t="shared" si="13"/>
        <v>3834673.2483437783</v>
      </c>
      <c r="M135">
        <f t="shared" si="14"/>
        <v>353397.75716666668</v>
      </c>
      <c r="N135">
        <f t="shared" si="15"/>
        <v>0</v>
      </c>
      <c r="O135">
        <f t="shared" si="16"/>
        <v>4188071.0055104448</v>
      </c>
      <c r="P135">
        <f t="shared" si="17"/>
        <v>2912196.1668839594</v>
      </c>
      <c r="Q135">
        <f t="shared" si="18"/>
        <v>268383.64761604078</v>
      </c>
      <c r="R135">
        <f t="shared" si="19"/>
        <v>0</v>
      </c>
      <c r="S135">
        <f t="shared" si="20"/>
        <v>3180579.8145000003</v>
      </c>
    </row>
    <row r="136" spans="1:19" x14ac:dyDescent="0.3">
      <c r="A136" t="s">
        <v>13</v>
      </c>
      <c r="B136" t="s">
        <v>37</v>
      </c>
      <c r="C136" t="s">
        <v>15</v>
      </c>
      <c r="D136">
        <v>0</v>
      </c>
      <c r="E136">
        <v>26</v>
      </c>
      <c r="F136">
        <v>4</v>
      </c>
      <c r="G136">
        <v>20260306</v>
      </c>
      <c r="H136">
        <v>20260404</v>
      </c>
      <c r="I136">
        <v>62700.675499999998</v>
      </c>
      <c r="J136">
        <f t="shared" si="11"/>
        <v>30</v>
      </c>
      <c r="K136">
        <f t="shared" si="12"/>
        <v>2090.0225166666664</v>
      </c>
      <c r="L136">
        <f t="shared" si="13"/>
        <v>0</v>
      </c>
      <c r="M136">
        <f t="shared" si="14"/>
        <v>54340.585433333326</v>
      </c>
      <c r="N136">
        <f t="shared" si="15"/>
        <v>5188.4178190761068</v>
      </c>
      <c r="O136">
        <f t="shared" si="16"/>
        <v>59529.003252409435</v>
      </c>
      <c r="P136">
        <f t="shared" si="17"/>
        <v>0</v>
      </c>
      <c r="Q136">
        <f t="shared" si="18"/>
        <v>57235.821659714311</v>
      </c>
      <c r="R136">
        <f t="shared" si="19"/>
        <v>5464.8538402856839</v>
      </c>
      <c r="S136">
        <f t="shared" si="20"/>
        <v>62700.675499999998</v>
      </c>
    </row>
    <row r="137" spans="1:19" x14ac:dyDescent="0.3">
      <c r="A137" t="s">
        <v>13</v>
      </c>
      <c r="B137" t="s">
        <v>24</v>
      </c>
      <c r="C137" t="s">
        <v>15</v>
      </c>
      <c r="D137">
        <v>0</v>
      </c>
      <c r="E137">
        <v>30</v>
      </c>
      <c r="F137">
        <v>3</v>
      </c>
      <c r="G137">
        <v>20260302</v>
      </c>
      <c r="H137">
        <v>20260403</v>
      </c>
      <c r="I137">
        <v>2923093.6124</v>
      </c>
      <c r="J137">
        <f t="shared" si="11"/>
        <v>33</v>
      </c>
      <c r="K137">
        <f t="shared" si="12"/>
        <v>88578.594315151509</v>
      </c>
      <c r="L137">
        <f t="shared" si="13"/>
        <v>0</v>
      </c>
      <c r="M137">
        <f t="shared" si="14"/>
        <v>2657357.8294545454</v>
      </c>
      <c r="N137">
        <f t="shared" si="15"/>
        <v>164920.26526097837</v>
      </c>
      <c r="O137">
        <f t="shared" si="16"/>
        <v>2822278.0947155235</v>
      </c>
      <c r="P137">
        <f t="shared" si="17"/>
        <v>0</v>
      </c>
      <c r="Q137">
        <f t="shared" si="18"/>
        <v>2752282.1764744162</v>
      </c>
      <c r="R137">
        <f t="shared" si="19"/>
        <v>170811.43592558385</v>
      </c>
      <c r="S137">
        <f t="shared" si="20"/>
        <v>2923093.6124</v>
      </c>
    </row>
    <row r="138" spans="1:19" x14ac:dyDescent="0.3">
      <c r="A138" t="s">
        <v>13</v>
      </c>
      <c r="B138" t="s">
        <v>24</v>
      </c>
      <c r="C138" t="s">
        <v>15</v>
      </c>
      <c r="D138">
        <v>13</v>
      </c>
      <c r="E138">
        <v>15</v>
      </c>
      <c r="F138">
        <v>0</v>
      </c>
      <c r="G138">
        <v>20260216</v>
      </c>
      <c r="H138">
        <v>20260315</v>
      </c>
      <c r="I138">
        <v>3938011.9172</v>
      </c>
      <c r="J138">
        <f t="shared" si="11"/>
        <v>28</v>
      </c>
      <c r="K138">
        <f t="shared" si="12"/>
        <v>140643.28275714285</v>
      </c>
      <c r="L138">
        <f t="shared" si="13"/>
        <v>2479915.7957085934</v>
      </c>
      <c r="M138">
        <f t="shared" si="14"/>
        <v>2109649.2413571426</v>
      </c>
      <c r="N138">
        <f t="shared" si="15"/>
        <v>0</v>
      </c>
      <c r="O138">
        <f t="shared" si="16"/>
        <v>4589565.037065736</v>
      </c>
      <c r="P138">
        <f t="shared" si="17"/>
        <v>2127856.9708201922</v>
      </c>
      <c r="Q138">
        <f t="shared" si="18"/>
        <v>1810154.9463798073</v>
      </c>
      <c r="R138">
        <f t="shared" si="19"/>
        <v>0</v>
      </c>
      <c r="S138">
        <f t="shared" si="20"/>
        <v>3938011.9171999996</v>
      </c>
    </row>
    <row r="139" spans="1:19" x14ac:dyDescent="0.3">
      <c r="A139" t="s">
        <v>13</v>
      </c>
      <c r="B139" t="s">
        <v>24</v>
      </c>
      <c r="C139" t="s">
        <v>14</v>
      </c>
      <c r="D139">
        <v>0</v>
      </c>
      <c r="E139">
        <v>25</v>
      </c>
      <c r="F139">
        <v>3</v>
      </c>
      <c r="G139">
        <v>20260307</v>
      </c>
      <c r="H139">
        <v>20260403</v>
      </c>
      <c r="I139">
        <v>317177.33960000001</v>
      </c>
      <c r="J139">
        <f t="shared" ref="J139:J202" si="21">IF(D139&lt;0,0,D139)+E139+F139</f>
        <v>28</v>
      </c>
      <c r="K139">
        <f t="shared" ref="K139:K202" si="22">I139/J139</f>
        <v>11327.762128571429</v>
      </c>
      <c r="L139">
        <f t="shared" ref="L139:L202" si="23">IF(D139&lt;0,0,D139)*$K139*$B$6</f>
        <v>0</v>
      </c>
      <c r="M139">
        <f t="shared" ref="M139:M202" si="24">IF(E139&lt;0,0,E139)*$K139*$C$6</f>
        <v>283194.0532142857</v>
      </c>
      <c r="N139">
        <f t="shared" ref="N139:N202" si="25">IF(F139&lt;0,0,F139)*$K139*$D$6</f>
        <v>21090.620702452379</v>
      </c>
      <c r="O139">
        <f t="shared" ref="O139:O202" si="26">L139+M139+N139</f>
        <v>304284.67391673807</v>
      </c>
      <c r="P139">
        <f t="shared" ref="P139:P202" si="27">L139/$O139*$I139</f>
        <v>0</v>
      </c>
      <c r="Q139">
        <f t="shared" ref="Q139:Q202" si="28">M139/$O139*$I139</f>
        <v>295193.10070025519</v>
      </c>
      <c r="R139">
        <f t="shared" ref="R139:R202" si="29">N139/$O139*$I139</f>
        <v>21984.238899744843</v>
      </c>
      <c r="S139">
        <f t="shared" ref="S139:S202" si="30">P139+Q139+R139</f>
        <v>317177.33960000006</v>
      </c>
    </row>
    <row r="140" spans="1:19" x14ac:dyDescent="0.3">
      <c r="A140" t="s">
        <v>13</v>
      </c>
      <c r="B140" t="s">
        <v>24</v>
      </c>
      <c r="C140" t="s">
        <v>15</v>
      </c>
      <c r="D140">
        <v>0</v>
      </c>
      <c r="E140">
        <v>30</v>
      </c>
      <c r="F140">
        <v>4</v>
      </c>
      <c r="G140">
        <v>20260302</v>
      </c>
      <c r="H140">
        <v>20260404</v>
      </c>
      <c r="I140">
        <v>496575.66489999997</v>
      </c>
      <c r="J140">
        <f t="shared" si="21"/>
        <v>34</v>
      </c>
      <c r="K140">
        <f t="shared" si="22"/>
        <v>14605.166614705882</v>
      </c>
      <c r="L140">
        <f t="shared" si="23"/>
        <v>0</v>
      </c>
      <c r="M140">
        <f t="shared" si="24"/>
        <v>438154.99844117649</v>
      </c>
      <c r="N140">
        <f t="shared" si="25"/>
        <v>36256.885325413503</v>
      </c>
      <c r="O140">
        <f t="shared" si="26"/>
        <v>474411.88376658998</v>
      </c>
      <c r="P140">
        <f t="shared" si="27"/>
        <v>0</v>
      </c>
      <c r="Q140">
        <f t="shared" si="28"/>
        <v>458624.91460528696</v>
      </c>
      <c r="R140">
        <f t="shared" si="29"/>
        <v>37950.750294712998</v>
      </c>
      <c r="S140">
        <f t="shared" si="30"/>
        <v>496575.66489999997</v>
      </c>
    </row>
    <row r="141" spans="1:19" x14ac:dyDescent="0.3">
      <c r="A141" t="s">
        <v>13</v>
      </c>
      <c r="B141" t="s">
        <v>37</v>
      </c>
      <c r="C141" t="s">
        <v>15</v>
      </c>
      <c r="D141">
        <v>0</v>
      </c>
      <c r="E141">
        <v>23</v>
      </c>
      <c r="F141">
        <v>4</v>
      </c>
      <c r="G141">
        <v>20260309</v>
      </c>
      <c r="H141">
        <v>20260404</v>
      </c>
      <c r="I141">
        <v>20228.204600000001</v>
      </c>
      <c r="J141">
        <f t="shared" si="21"/>
        <v>27</v>
      </c>
      <c r="K141">
        <f t="shared" si="22"/>
        <v>749.192762962963</v>
      </c>
      <c r="L141">
        <f t="shared" si="23"/>
        <v>0</v>
      </c>
      <c r="M141">
        <f t="shared" si="24"/>
        <v>17231.43354814815</v>
      </c>
      <c r="N141">
        <f t="shared" si="25"/>
        <v>1859.8484228195753</v>
      </c>
      <c r="O141">
        <f t="shared" si="26"/>
        <v>19091.281970967724</v>
      </c>
      <c r="P141">
        <f t="shared" si="27"/>
        <v>0</v>
      </c>
      <c r="Q141">
        <f t="shared" si="28"/>
        <v>18257.598619794335</v>
      </c>
      <c r="R141">
        <f t="shared" si="29"/>
        <v>1970.6059802056695</v>
      </c>
      <c r="S141">
        <f t="shared" si="30"/>
        <v>20228.204600000005</v>
      </c>
    </row>
    <row r="142" spans="1:19" x14ac:dyDescent="0.3">
      <c r="A142" t="s">
        <v>13</v>
      </c>
      <c r="B142" t="s">
        <v>24</v>
      </c>
      <c r="C142" t="s">
        <v>15</v>
      </c>
      <c r="D142">
        <v>0</v>
      </c>
      <c r="E142">
        <v>23</v>
      </c>
      <c r="F142">
        <v>4</v>
      </c>
      <c r="G142">
        <v>20260309</v>
      </c>
      <c r="H142">
        <v>20260404</v>
      </c>
      <c r="I142">
        <v>116312.1781</v>
      </c>
      <c r="J142">
        <f t="shared" si="21"/>
        <v>27</v>
      </c>
      <c r="K142">
        <f t="shared" si="22"/>
        <v>4307.8584481481485</v>
      </c>
      <c r="L142">
        <f t="shared" si="23"/>
        <v>0</v>
      </c>
      <c r="M142">
        <f t="shared" si="24"/>
        <v>99080.744307407411</v>
      </c>
      <c r="N142">
        <f t="shared" si="25"/>
        <v>10694.128582919047</v>
      </c>
      <c r="O142">
        <f t="shared" si="26"/>
        <v>109774.87289032646</v>
      </c>
      <c r="P142">
        <f t="shared" si="27"/>
        <v>0</v>
      </c>
      <c r="Q142">
        <f t="shared" si="28"/>
        <v>104981.1935530765</v>
      </c>
      <c r="R142">
        <f t="shared" si="29"/>
        <v>11330.984546923502</v>
      </c>
      <c r="S142">
        <f t="shared" si="30"/>
        <v>116312.1781</v>
      </c>
    </row>
    <row r="143" spans="1:19" x14ac:dyDescent="0.3">
      <c r="A143" t="s">
        <v>13</v>
      </c>
      <c r="B143" t="s">
        <v>24</v>
      </c>
      <c r="C143" t="s">
        <v>15</v>
      </c>
      <c r="D143">
        <v>23</v>
      </c>
      <c r="E143">
        <v>1</v>
      </c>
      <c r="F143">
        <v>0</v>
      </c>
      <c r="G143">
        <v>20260206</v>
      </c>
      <c r="H143">
        <v>20260301</v>
      </c>
      <c r="I143">
        <v>948422.65410000004</v>
      </c>
      <c r="J143">
        <f t="shared" si="21"/>
        <v>24</v>
      </c>
      <c r="K143">
        <f t="shared" si="22"/>
        <v>39517.610587499999</v>
      </c>
      <c r="L143">
        <f t="shared" si="23"/>
        <v>1232801.3495280852</v>
      </c>
      <c r="M143">
        <f t="shared" si="24"/>
        <v>39517.610587499999</v>
      </c>
      <c r="N143">
        <f t="shared" si="25"/>
        <v>0</v>
      </c>
      <c r="O143">
        <f t="shared" si="26"/>
        <v>1272318.9601155852</v>
      </c>
      <c r="P143">
        <f t="shared" si="27"/>
        <v>918965.10588136606</v>
      </c>
      <c r="Q143">
        <f t="shared" si="28"/>
        <v>29457.548218633914</v>
      </c>
      <c r="R143">
        <f t="shared" si="29"/>
        <v>0</v>
      </c>
      <c r="S143">
        <f t="shared" si="30"/>
        <v>948422.65409999993</v>
      </c>
    </row>
    <row r="144" spans="1:19" x14ac:dyDescent="0.3">
      <c r="A144" t="s">
        <v>13</v>
      </c>
      <c r="B144" t="s">
        <v>37</v>
      </c>
      <c r="C144" t="s">
        <v>15</v>
      </c>
      <c r="D144">
        <v>0</v>
      </c>
      <c r="E144">
        <v>25</v>
      </c>
      <c r="F144">
        <v>8</v>
      </c>
      <c r="G144">
        <v>20260307</v>
      </c>
      <c r="H144">
        <v>20260408</v>
      </c>
      <c r="I144">
        <v>40013.896699999998</v>
      </c>
      <c r="J144">
        <f t="shared" si="21"/>
        <v>33</v>
      </c>
      <c r="K144">
        <f t="shared" si="22"/>
        <v>1212.5423242424242</v>
      </c>
      <c r="L144">
        <f t="shared" si="23"/>
        <v>0</v>
      </c>
      <c r="M144">
        <f t="shared" si="24"/>
        <v>30313.558106060605</v>
      </c>
      <c r="N144">
        <f t="shared" si="25"/>
        <v>6020.1994488719847</v>
      </c>
      <c r="O144">
        <f t="shared" si="26"/>
        <v>36333.757554932592</v>
      </c>
      <c r="P144">
        <f t="shared" si="27"/>
        <v>0</v>
      </c>
      <c r="Q144">
        <f t="shared" si="28"/>
        <v>33383.92900408087</v>
      </c>
      <c r="R144">
        <f t="shared" si="29"/>
        <v>6629.9676959191247</v>
      </c>
      <c r="S144">
        <f t="shared" si="30"/>
        <v>40013.896699999998</v>
      </c>
    </row>
    <row r="145" spans="1:19" x14ac:dyDescent="0.3">
      <c r="A145" t="s">
        <v>13</v>
      </c>
      <c r="B145" t="s">
        <v>37</v>
      </c>
      <c r="C145" t="s">
        <v>14</v>
      </c>
      <c r="D145">
        <v>0</v>
      </c>
      <c r="E145">
        <v>27</v>
      </c>
      <c r="F145">
        <v>5</v>
      </c>
      <c r="G145">
        <v>20260305</v>
      </c>
      <c r="H145">
        <v>20260405</v>
      </c>
      <c r="I145">
        <v>34082.500899999999</v>
      </c>
      <c r="J145">
        <f t="shared" si="21"/>
        <v>32</v>
      </c>
      <c r="K145">
        <f t="shared" si="22"/>
        <v>1065.078153125</v>
      </c>
      <c r="L145">
        <f t="shared" si="23"/>
        <v>0</v>
      </c>
      <c r="M145">
        <f t="shared" si="24"/>
        <v>28757.110134374998</v>
      </c>
      <c r="N145">
        <f t="shared" si="25"/>
        <v>3305.0304627793166</v>
      </c>
      <c r="O145">
        <f t="shared" si="26"/>
        <v>32062.140597154314</v>
      </c>
      <c r="P145">
        <f t="shared" si="27"/>
        <v>0</v>
      </c>
      <c r="Q145">
        <f t="shared" si="28"/>
        <v>30569.2076006686</v>
      </c>
      <c r="R145">
        <f t="shared" si="29"/>
        <v>3513.2932993313993</v>
      </c>
      <c r="S145">
        <f t="shared" si="30"/>
        <v>34082.500899999999</v>
      </c>
    </row>
    <row r="146" spans="1:19" x14ac:dyDescent="0.3">
      <c r="A146" t="s">
        <v>13</v>
      </c>
      <c r="B146" t="s">
        <v>24</v>
      </c>
      <c r="C146" t="s">
        <v>15</v>
      </c>
      <c r="D146">
        <v>23</v>
      </c>
      <c r="E146">
        <v>9</v>
      </c>
      <c r="F146">
        <v>0</v>
      </c>
      <c r="G146">
        <v>20260206</v>
      </c>
      <c r="H146">
        <v>20260309</v>
      </c>
      <c r="I146">
        <v>16392.807100000002</v>
      </c>
      <c r="J146">
        <f t="shared" si="21"/>
        <v>32</v>
      </c>
      <c r="K146">
        <f t="shared" si="22"/>
        <v>512.27522187500006</v>
      </c>
      <c r="L146">
        <f t="shared" si="23"/>
        <v>15981.067060189684</v>
      </c>
      <c r="M146">
        <f t="shared" si="24"/>
        <v>4610.4769968750006</v>
      </c>
      <c r="N146">
        <f t="shared" si="25"/>
        <v>0</v>
      </c>
      <c r="O146">
        <f t="shared" si="26"/>
        <v>20591.544057064682</v>
      </c>
      <c r="P146">
        <f t="shared" si="27"/>
        <v>12722.433482591299</v>
      </c>
      <c r="Q146">
        <f t="shared" si="28"/>
        <v>3670.3736174087039</v>
      </c>
      <c r="R146">
        <f t="shared" si="29"/>
        <v>0</v>
      </c>
      <c r="S146">
        <f t="shared" si="30"/>
        <v>16392.807100000002</v>
      </c>
    </row>
    <row r="147" spans="1:19" x14ac:dyDescent="0.3">
      <c r="A147" t="s">
        <v>13</v>
      </c>
      <c r="B147" t="s">
        <v>24</v>
      </c>
      <c r="C147" t="s">
        <v>15</v>
      </c>
      <c r="D147">
        <v>24</v>
      </c>
      <c r="E147">
        <v>6</v>
      </c>
      <c r="F147">
        <v>0</v>
      </c>
      <c r="G147">
        <v>20260205</v>
      </c>
      <c r="H147">
        <v>20260306</v>
      </c>
      <c r="I147">
        <v>628690.73309999995</v>
      </c>
      <c r="J147">
        <f t="shared" si="21"/>
        <v>30</v>
      </c>
      <c r="K147">
        <f t="shared" si="22"/>
        <v>20956.357769999999</v>
      </c>
      <c r="L147">
        <f t="shared" si="23"/>
        <v>682184.164106971</v>
      </c>
      <c r="M147">
        <f t="shared" si="24"/>
        <v>125738.14661999998</v>
      </c>
      <c r="N147">
        <f t="shared" si="25"/>
        <v>0</v>
      </c>
      <c r="O147">
        <f t="shared" si="26"/>
        <v>807922.31072697102</v>
      </c>
      <c r="P147">
        <f t="shared" si="27"/>
        <v>530846.6625407486</v>
      </c>
      <c r="Q147">
        <f t="shared" si="28"/>
        <v>97844.070559251253</v>
      </c>
      <c r="R147">
        <f t="shared" si="29"/>
        <v>0</v>
      </c>
      <c r="S147">
        <f t="shared" si="30"/>
        <v>628690.73309999984</v>
      </c>
    </row>
    <row r="148" spans="1:19" x14ac:dyDescent="0.3">
      <c r="A148" t="s">
        <v>13</v>
      </c>
      <c r="B148" t="s">
        <v>37</v>
      </c>
      <c r="C148" t="s">
        <v>15</v>
      </c>
      <c r="D148">
        <v>0</v>
      </c>
      <c r="E148">
        <v>27</v>
      </c>
      <c r="F148">
        <v>13</v>
      </c>
      <c r="G148">
        <v>20260305</v>
      </c>
      <c r="H148">
        <v>20260413</v>
      </c>
      <c r="I148">
        <v>6768.2439999999997</v>
      </c>
      <c r="J148">
        <f t="shared" si="21"/>
        <v>40</v>
      </c>
      <c r="K148">
        <f t="shared" si="22"/>
        <v>169.20609999999999</v>
      </c>
      <c r="L148">
        <f t="shared" si="23"/>
        <v>0</v>
      </c>
      <c r="M148">
        <f t="shared" si="24"/>
        <v>4568.5646999999999</v>
      </c>
      <c r="N148">
        <f t="shared" si="25"/>
        <v>1365.1593685429502</v>
      </c>
      <c r="O148">
        <f t="shared" si="26"/>
        <v>5933.7240685429497</v>
      </c>
      <c r="P148">
        <f t="shared" si="27"/>
        <v>0</v>
      </c>
      <c r="Q148">
        <f t="shared" si="28"/>
        <v>5211.0883927535942</v>
      </c>
      <c r="R148">
        <f t="shared" si="29"/>
        <v>1557.1556072464059</v>
      </c>
      <c r="S148">
        <f t="shared" si="30"/>
        <v>6768.2440000000006</v>
      </c>
    </row>
    <row r="149" spans="1:19" x14ac:dyDescent="0.3">
      <c r="A149" t="s">
        <v>13</v>
      </c>
      <c r="B149" t="s">
        <v>24</v>
      </c>
      <c r="C149" t="s">
        <v>14</v>
      </c>
      <c r="D149">
        <v>0</v>
      </c>
      <c r="E149">
        <v>23</v>
      </c>
      <c r="F149">
        <v>6</v>
      </c>
      <c r="G149">
        <v>20260309</v>
      </c>
      <c r="H149">
        <v>20260406</v>
      </c>
      <c r="I149">
        <v>2237.5421000000001</v>
      </c>
      <c r="J149">
        <f t="shared" si="21"/>
        <v>29</v>
      </c>
      <c r="K149">
        <f t="shared" si="22"/>
        <v>77.156624137931033</v>
      </c>
      <c r="L149">
        <f t="shared" si="23"/>
        <v>0</v>
      </c>
      <c r="M149">
        <f t="shared" si="24"/>
        <v>1774.6023551724138</v>
      </c>
      <c r="N149">
        <f t="shared" si="25"/>
        <v>287.30848616080635</v>
      </c>
      <c r="O149">
        <f t="shared" si="26"/>
        <v>2061.9108413332201</v>
      </c>
      <c r="P149">
        <f t="shared" si="27"/>
        <v>0</v>
      </c>
      <c r="Q149">
        <f t="shared" si="28"/>
        <v>1925.7609984192941</v>
      </c>
      <c r="R149">
        <f t="shared" si="29"/>
        <v>311.78110158070598</v>
      </c>
      <c r="S149">
        <f t="shared" si="30"/>
        <v>2237.5421000000001</v>
      </c>
    </row>
    <row r="150" spans="1:19" x14ac:dyDescent="0.3">
      <c r="A150" t="s">
        <v>13</v>
      </c>
      <c r="B150" t="s">
        <v>24</v>
      </c>
      <c r="C150" t="s">
        <v>15</v>
      </c>
      <c r="D150">
        <v>13</v>
      </c>
      <c r="E150">
        <v>16</v>
      </c>
      <c r="F150">
        <v>0</v>
      </c>
      <c r="G150">
        <v>20260216</v>
      </c>
      <c r="H150">
        <v>20260316</v>
      </c>
      <c r="I150">
        <v>1350851.7409999999</v>
      </c>
      <c r="J150">
        <f t="shared" si="21"/>
        <v>29</v>
      </c>
      <c r="K150">
        <f t="shared" si="22"/>
        <v>46581.094517241378</v>
      </c>
      <c r="L150">
        <f t="shared" si="23"/>
        <v>821348.80393948336</v>
      </c>
      <c r="M150">
        <f t="shared" si="24"/>
        <v>745297.51227586204</v>
      </c>
      <c r="N150">
        <f t="shared" si="25"/>
        <v>0</v>
      </c>
      <c r="O150">
        <f t="shared" si="26"/>
        <v>1566646.3162153454</v>
      </c>
      <c r="P150">
        <f t="shared" si="27"/>
        <v>708213.7495144807</v>
      </c>
      <c r="Q150">
        <f t="shared" si="28"/>
        <v>642637.9914855191</v>
      </c>
      <c r="R150">
        <f t="shared" si="29"/>
        <v>0</v>
      </c>
      <c r="S150">
        <f t="shared" si="30"/>
        <v>1350851.7409999999</v>
      </c>
    </row>
    <row r="151" spans="1:19" x14ac:dyDescent="0.3">
      <c r="A151" t="s">
        <v>13</v>
      </c>
      <c r="B151" t="s">
        <v>37</v>
      </c>
      <c r="C151" t="s">
        <v>14</v>
      </c>
      <c r="D151">
        <v>0</v>
      </c>
      <c r="E151">
        <v>13</v>
      </c>
      <c r="F151">
        <v>16</v>
      </c>
      <c r="G151">
        <v>20260319</v>
      </c>
      <c r="H151">
        <v>20260416</v>
      </c>
      <c r="I151">
        <v>22378.754799999999</v>
      </c>
      <c r="J151">
        <f t="shared" si="21"/>
        <v>29</v>
      </c>
      <c r="K151">
        <f t="shared" si="22"/>
        <v>771.68119999999999</v>
      </c>
      <c r="L151">
        <f t="shared" si="23"/>
        <v>0</v>
      </c>
      <c r="M151">
        <f t="shared" si="24"/>
        <v>10031.855599999999</v>
      </c>
      <c r="N151">
        <f t="shared" si="25"/>
        <v>7662.7011561801119</v>
      </c>
      <c r="O151">
        <f t="shared" si="26"/>
        <v>17694.556756180111</v>
      </c>
      <c r="P151">
        <f t="shared" si="27"/>
        <v>0</v>
      </c>
      <c r="Q151">
        <f t="shared" si="28"/>
        <v>12687.542262565939</v>
      </c>
      <c r="R151">
        <f t="shared" si="29"/>
        <v>9691.2125374340576</v>
      </c>
      <c r="S151">
        <f t="shared" si="30"/>
        <v>22378.754799999995</v>
      </c>
    </row>
    <row r="152" spans="1:19" x14ac:dyDescent="0.3">
      <c r="A152" t="s">
        <v>13</v>
      </c>
      <c r="B152" t="s">
        <v>37</v>
      </c>
      <c r="C152" t="s">
        <v>15</v>
      </c>
      <c r="D152">
        <v>0</v>
      </c>
      <c r="E152">
        <v>14</v>
      </c>
      <c r="F152">
        <v>16</v>
      </c>
      <c r="G152">
        <v>20260318</v>
      </c>
      <c r="H152">
        <v>20260416</v>
      </c>
      <c r="I152">
        <v>490700.92690000002</v>
      </c>
      <c r="J152">
        <f t="shared" si="21"/>
        <v>30</v>
      </c>
      <c r="K152">
        <f t="shared" si="22"/>
        <v>16356.697563333333</v>
      </c>
      <c r="L152">
        <f t="shared" si="23"/>
        <v>0</v>
      </c>
      <c r="M152">
        <f t="shared" si="24"/>
        <v>228993.76588666666</v>
      </c>
      <c r="N152">
        <f t="shared" si="25"/>
        <v>162420.03217111257</v>
      </c>
      <c r="O152">
        <f t="shared" si="26"/>
        <v>391413.7980577792</v>
      </c>
      <c r="P152">
        <f t="shared" si="27"/>
        <v>0</v>
      </c>
      <c r="Q152">
        <f t="shared" si="28"/>
        <v>287080.97091232747</v>
      </c>
      <c r="R152">
        <f t="shared" si="29"/>
        <v>203619.95598767258</v>
      </c>
      <c r="S152">
        <f t="shared" si="30"/>
        <v>490700.92690000008</v>
      </c>
    </row>
    <row r="153" spans="1:19" x14ac:dyDescent="0.3">
      <c r="A153" t="s">
        <v>13</v>
      </c>
      <c r="B153" t="s">
        <v>24</v>
      </c>
      <c r="C153" t="s">
        <v>14</v>
      </c>
      <c r="D153">
        <v>0</v>
      </c>
      <c r="E153">
        <v>22</v>
      </c>
      <c r="F153">
        <v>1</v>
      </c>
      <c r="G153">
        <v>20260310</v>
      </c>
      <c r="H153">
        <v>20260401</v>
      </c>
      <c r="I153">
        <v>147996.52919999999</v>
      </c>
      <c r="J153">
        <f t="shared" si="21"/>
        <v>23</v>
      </c>
      <c r="K153">
        <f t="shared" si="22"/>
        <v>6434.6317043478257</v>
      </c>
      <c r="L153">
        <f t="shared" si="23"/>
        <v>0</v>
      </c>
      <c r="M153">
        <f t="shared" si="24"/>
        <v>141561.89749565217</v>
      </c>
      <c r="N153">
        <f t="shared" si="25"/>
        <v>3993.4447509297952</v>
      </c>
      <c r="O153">
        <f t="shared" si="26"/>
        <v>145555.34224658197</v>
      </c>
      <c r="P153">
        <f t="shared" si="27"/>
        <v>0</v>
      </c>
      <c r="Q153">
        <f t="shared" si="28"/>
        <v>143936.10823868381</v>
      </c>
      <c r="R153">
        <f t="shared" si="29"/>
        <v>4060.4209613161534</v>
      </c>
      <c r="S153">
        <f t="shared" si="30"/>
        <v>147996.52919999996</v>
      </c>
    </row>
    <row r="154" spans="1:19" x14ac:dyDescent="0.3">
      <c r="A154" t="s">
        <v>13</v>
      </c>
      <c r="B154" t="s">
        <v>24</v>
      </c>
      <c r="C154" t="s">
        <v>15</v>
      </c>
      <c r="D154">
        <v>19</v>
      </c>
      <c r="E154">
        <v>7</v>
      </c>
      <c r="F154">
        <v>0</v>
      </c>
      <c r="G154">
        <v>20260210</v>
      </c>
      <c r="H154">
        <v>20260307</v>
      </c>
      <c r="I154">
        <v>20795.9931</v>
      </c>
      <c r="J154">
        <f t="shared" si="21"/>
        <v>26</v>
      </c>
      <c r="K154">
        <f t="shared" si="22"/>
        <v>799.84588846153849</v>
      </c>
      <c r="L154">
        <f t="shared" si="23"/>
        <v>20612.682102726132</v>
      </c>
      <c r="M154">
        <f t="shared" si="24"/>
        <v>5598.9212192307696</v>
      </c>
      <c r="N154">
        <f t="shared" si="25"/>
        <v>0</v>
      </c>
      <c r="O154">
        <f t="shared" si="26"/>
        <v>26211.6033219569</v>
      </c>
      <c r="P154">
        <f t="shared" si="27"/>
        <v>16353.871585631156</v>
      </c>
      <c r="Q154">
        <f t="shared" si="28"/>
        <v>4442.121514368846</v>
      </c>
      <c r="R154">
        <f t="shared" si="29"/>
        <v>0</v>
      </c>
      <c r="S154">
        <f t="shared" si="30"/>
        <v>20795.9931</v>
      </c>
    </row>
    <row r="155" spans="1:19" x14ac:dyDescent="0.3">
      <c r="A155" t="s">
        <v>13</v>
      </c>
      <c r="B155" t="s">
        <v>37</v>
      </c>
      <c r="C155" t="s">
        <v>14</v>
      </c>
      <c r="D155">
        <v>0</v>
      </c>
      <c r="E155">
        <v>28</v>
      </c>
      <c r="F155">
        <v>7</v>
      </c>
      <c r="G155">
        <v>20260304</v>
      </c>
      <c r="H155">
        <v>20260407</v>
      </c>
      <c r="I155">
        <v>33082.391499999998</v>
      </c>
      <c r="J155">
        <f t="shared" si="21"/>
        <v>35</v>
      </c>
      <c r="K155">
        <f t="shared" si="22"/>
        <v>945.21118571428565</v>
      </c>
      <c r="L155">
        <f t="shared" si="23"/>
        <v>0</v>
      </c>
      <c r="M155">
        <f t="shared" si="24"/>
        <v>26465.913199999999</v>
      </c>
      <c r="N155">
        <f t="shared" si="25"/>
        <v>4106.30192228755</v>
      </c>
      <c r="O155">
        <f t="shared" si="26"/>
        <v>30572.215122287547</v>
      </c>
      <c r="P155">
        <f t="shared" si="27"/>
        <v>0</v>
      </c>
      <c r="Q155">
        <f t="shared" si="28"/>
        <v>28638.935660541199</v>
      </c>
      <c r="R155">
        <f t="shared" si="29"/>
        <v>4443.4558394588021</v>
      </c>
      <c r="S155">
        <f t="shared" si="30"/>
        <v>33082.391499999998</v>
      </c>
    </row>
    <row r="156" spans="1:19" x14ac:dyDescent="0.3">
      <c r="A156" t="s">
        <v>13</v>
      </c>
      <c r="B156" t="s">
        <v>24</v>
      </c>
      <c r="C156" t="s">
        <v>15</v>
      </c>
      <c r="D156">
        <v>21</v>
      </c>
      <c r="E156">
        <v>7</v>
      </c>
      <c r="F156">
        <v>0</v>
      </c>
      <c r="G156">
        <v>20260208</v>
      </c>
      <c r="H156">
        <v>20260307</v>
      </c>
      <c r="I156">
        <v>261803.01079999999</v>
      </c>
      <c r="J156">
        <f t="shared" si="21"/>
        <v>28</v>
      </c>
      <c r="K156">
        <f t="shared" si="22"/>
        <v>9350.1075285714287</v>
      </c>
      <c r="L156">
        <f t="shared" si="23"/>
        <v>266324.11217909347</v>
      </c>
      <c r="M156">
        <f t="shared" si="24"/>
        <v>65450.752699999997</v>
      </c>
      <c r="N156">
        <f t="shared" si="25"/>
        <v>0</v>
      </c>
      <c r="O156">
        <f t="shared" si="26"/>
        <v>331774.86487909348</v>
      </c>
      <c r="P156">
        <f t="shared" si="27"/>
        <v>210155.92740135043</v>
      </c>
      <c r="Q156">
        <f t="shared" si="28"/>
        <v>51647.083398649556</v>
      </c>
      <c r="R156">
        <f t="shared" si="29"/>
        <v>0</v>
      </c>
      <c r="S156">
        <f t="shared" si="30"/>
        <v>261803.01079999999</v>
      </c>
    </row>
    <row r="157" spans="1:19" x14ac:dyDescent="0.3">
      <c r="A157" t="s">
        <v>13</v>
      </c>
      <c r="B157" t="s">
        <v>24</v>
      </c>
      <c r="C157" t="s">
        <v>15</v>
      </c>
      <c r="D157">
        <v>0</v>
      </c>
      <c r="E157">
        <v>13</v>
      </c>
      <c r="F157">
        <v>0</v>
      </c>
      <c r="G157">
        <v>20260305</v>
      </c>
      <c r="H157">
        <v>20260317</v>
      </c>
      <c r="I157">
        <v>10461.4568</v>
      </c>
      <c r="J157">
        <f t="shared" si="21"/>
        <v>13</v>
      </c>
      <c r="K157">
        <f t="shared" si="22"/>
        <v>804.72744615384613</v>
      </c>
      <c r="L157">
        <f t="shared" si="23"/>
        <v>0</v>
      </c>
      <c r="M157">
        <f t="shared" si="24"/>
        <v>10461.4568</v>
      </c>
      <c r="N157">
        <f t="shared" si="25"/>
        <v>0</v>
      </c>
      <c r="O157">
        <f t="shared" si="26"/>
        <v>10461.4568</v>
      </c>
      <c r="P157">
        <f t="shared" si="27"/>
        <v>0</v>
      </c>
      <c r="Q157">
        <f t="shared" si="28"/>
        <v>10461.4568</v>
      </c>
      <c r="R157">
        <f t="shared" si="29"/>
        <v>0</v>
      </c>
      <c r="S157">
        <f t="shared" si="30"/>
        <v>10461.4568</v>
      </c>
    </row>
    <row r="158" spans="1:19" x14ac:dyDescent="0.3">
      <c r="A158" t="s">
        <v>13</v>
      </c>
      <c r="B158" t="s">
        <v>24</v>
      </c>
      <c r="C158" t="s">
        <v>15</v>
      </c>
      <c r="D158">
        <v>21</v>
      </c>
      <c r="E158">
        <v>4</v>
      </c>
      <c r="F158">
        <v>0</v>
      </c>
      <c r="G158">
        <v>20260208</v>
      </c>
      <c r="H158">
        <v>20260304</v>
      </c>
      <c r="I158">
        <v>106781.7614</v>
      </c>
      <c r="J158">
        <f t="shared" si="21"/>
        <v>25</v>
      </c>
      <c r="K158">
        <f t="shared" si="22"/>
        <v>4271.2704560000002</v>
      </c>
      <c r="L158">
        <f t="shared" si="23"/>
        <v>121660.88021928804</v>
      </c>
      <c r="M158">
        <f t="shared" si="24"/>
        <v>17085.081824000001</v>
      </c>
      <c r="N158">
        <f t="shared" si="25"/>
        <v>0</v>
      </c>
      <c r="O158">
        <f t="shared" si="26"/>
        <v>138745.96204328805</v>
      </c>
      <c r="P158">
        <f t="shared" si="27"/>
        <v>93632.729140159165</v>
      </c>
      <c r="Q158">
        <f t="shared" si="28"/>
        <v>13149.032259840824</v>
      </c>
      <c r="R158">
        <f t="shared" si="29"/>
        <v>0</v>
      </c>
      <c r="S158">
        <f t="shared" si="30"/>
        <v>106781.76139999999</v>
      </c>
    </row>
    <row r="159" spans="1:19" x14ac:dyDescent="0.3">
      <c r="A159" t="s">
        <v>13</v>
      </c>
      <c r="B159" t="s">
        <v>37</v>
      </c>
      <c r="C159" t="s">
        <v>15</v>
      </c>
      <c r="D159">
        <v>0</v>
      </c>
      <c r="E159">
        <v>23</v>
      </c>
      <c r="F159">
        <v>8</v>
      </c>
      <c r="G159">
        <v>20260309</v>
      </c>
      <c r="H159">
        <v>20260408</v>
      </c>
      <c r="I159">
        <v>33925.618199999997</v>
      </c>
      <c r="J159">
        <f t="shared" si="21"/>
        <v>31</v>
      </c>
      <c r="K159">
        <f t="shared" si="22"/>
        <v>1094.3747806451613</v>
      </c>
      <c r="L159">
        <f t="shared" si="23"/>
        <v>0</v>
      </c>
      <c r="M159">
        <f t="shared" si="24"/>
        <v>25170.619954838709</v>
      </c>
      <c r="N159">
        <f t="shared" si="25"/>
        <v>5433.504727693271</v>
      </c>
      <c r="O159">
        <f t="shared" si="26"/>
        <v>30604.124682531979</v>
      </c>
      <c r="P159">
        <f t="shared" si="27"/>
        <v>0</v>
      </c>
      <c r="Q159">
        <f t="shared" si="28"/>
        <v>27902.410256894524</v>
      </c>
      <c r="R159">
        <f t="shared" si="29"/>
        <v>6023.2079431054726</v>
      </c>
      <c r="S159">
        <f t="shared" si="30"/>
        <v>33925.618199999997</v>
      </c>
    </row>
    <row r="160" spans="1:19" x14ac:dyDescent="0.3">
      <c r="A160" t="s">
        <v>13</v>
      </c>
      <c r="B160" t="s">
        <v>24</v>
      </c>
      <c r="C160" t="s">
        <v>15</v>
      </c>
      <c r="D160">
        <v>0</v>
      </c>
      <c r="E160">
        <v>14</v>
      </c>
      <c r="F160">
        <v>0</v>
      </c>
      <c r="G160">
        <v>20260303</v>
      </c>
      <c r="H160">
        <v>20260316</v>
      </c>
      <c r="I160">
        <v>295.64280000000002</v>
      </c>
      <c r="J160">
        <f t="shared" si="21"/>
        <v>14</v>
      </c>
      <c r="K160">
        <f t="shared" si="22"/>
        <v>21.117342857142859</v>
      </c>
      <c r="L160">
        <f t="shared" si="23"/>
        <v>0</v>
      </c>
      <c r="M160">
        <f t="shared" si="24"/>
        <v>295.64280000000002</v>
      </c>
      <c r="N160">
        <f t="shared" si="25"/>
        <v>0</v>
      </c>
      <c r="O160">
        <f t="shared" si="26"/>
        <v>295.64280000000002</v>
      </c>
      <c r="P160">
        <f t="shared" si="27"/>
        <v>0</v>
      </c>
      <c r="Q160">
        <f t="shared" si="28"/>
        <v>295.64280000000002</v>
      </c>
      <c r="R160">
        <f t="shared" si="29"/>
        <v>0</v>
      </c>
      <c r="S160">
        <f t="shared" si="30"/>
        <v>295.64280000000002</v>
      </c>
    </row>
    <row r="161" spans="1:19" x14ac:dyDescent="0.3">
      <c r="A161" t="s">
        <v>13</v>
      </c>
      <c r="B161" t="s">
        <v>24</v>
      </c>
      <c r="C161" t="s">
        <v>15</v>
      </c>
      <c r="D161">
        <v>0</v>
      </c>
      <c r="E161">
        <v>15</v>
      </c>
      <c r="F161">
        <v>17</v>
      </c>
      <c r="G161">
        <v>20260317</v>
      </c>
      <c r="H161">
        <v>20260417</v>
      </c>
      <c r="I161">
        <v>440893.3836</v>
      </c>
      <c r="J161">
        <f t="shared" si="21"/>
        <v>32</v>
      </c>
      <c r="K161">
        <f t="shared" si="22"/>
        <v>13777.9182375</v>
      </c>
      <c r="L161">
        <f t="shared" si="23"/>
        <v>0</v>
      </c>
      <c r="M161">
        <f t="shared" si="24"/>
        <v>206668.77356249999</v>
      </c>
      <c r="N161">
        <f t="shared" si="25"/>
        <v>145363.88133307084</v>
      </c>
      <c r="O161">
        <f t="shared" si="26"/>
        <v>352032.65489557083</v>
      </c>
      <c r="P161">
        <f t="shared" si="27"/>
        <v>0</v>
      </c>
      <c r="Q161">
        <f t="shared" si="28"/>
        <v>258836.48460811947</v>
      </c>
      <c r="R161">
        <f t="shared" si="29"/>
        <v>182056.89899188053</v>
      </c>
      <c r="S161">
        <f t="shared" si="30"/>
        <v>440893.3836</v>
      </c>
    </row>
    <row r="162" spans="1:19" x14ac:dyDescent="0.3">
      <c r="A162" t="s">
        <v>13</v>
      </c>
      <c r="B162" t="s">
        <v>24</v>
      </c>
      <c r="C162" t="s">
        <v>14</v>
      </c>
      <c r="D162">
        <v>20</v>
      </c>
      <c r="E162">
        <v>1</v>
      </c>
      <c r="F162">
        <v>0</v>
      </c>
      <c r="G162">
        <v>20260209</v>
      </c>
      <c r="H162">
        <v>20260301</v>
      </c>
      <c r="I162">
        <v>16803.109700000001</v>
      </c>
      <c r="J162">
        <f t="shared" si="21"/>
        <v>21</v>
      </c>
      <c r="K162">
        <f t="shared" si="22"/>
        <v>800.14808095238095</v>
      </c>
      <c r="L162">
        <f t="shared" si="23"/>
        <v>21705.757736987114</v>
      </c>
      <c r="M162">
        <f t="shared" si="24"/>
        <v>800.14808095238095</v>
      </c>
      <c r="N162">
        <f t="shared" si="25"/>
        <v>0</v>
      </c>
      <c r="O162">
        <f t="shared" si="26"/>
        <v>22505.905817939496</v>
      </c>
      <c r="P162">
        <f t="shared" si="27"/>
        <v>16205.712017398382</v>
      </c>
      <c r="Q162">
        <f t="shared" si="28"/>
        <v>597.3976826016185</v>
      </c>
      <c r="R162">
        <f t="shared" si="29"/>
        <v>0</v>
      </c>
      <c r="S162">
        <f t="shared" si="30"/>
        <v>16803.109700000001</v>
      </c>
    </row>
    <row r="163" spans="1:19" x14ac:dyDescent="0.3">
      <c r="A163" t="s">
        <v>13</v>
      </c>
      <c r="B163" t="s">
        <v>24</v>
      </c>
      <c r="C163" t="s">
        <v>15</v>
      </c>
      <c r="D163">
        <v>0</v>
      </c>
      <c r="E163">
        <v>14</v>
      </c>
      <c r="F163">
        <v>17</v>
      </c>
      <c r="G163">
        <v>20260318</v>
      </c>
      <c r="H163">
        <v>20260417</v>
      </c>
      <c r="I163">
        <v>80312.453999999998</v>
      </c>
      <c r="J163">
        <f t="shared" si="21"/>
        <v>31</v>
      </c>
      <c r="K163">
        <f t="shared" si="22"/>
        <v>2590.7243225806451</v>
      </c>
      <c r="L163">
        <f t="shared" si="23"/>
        <v>0</v>
      </c>
      <c r="M163">
        <f t="shared" si="24"/>
        <v>36270.140516129031</v>
      </c>
      <c r="N163">
        <f t="shared" si="25"/>
        <v>27333.428497877831</v>
      </c>
      <c r="O163">
        <f t="shared" si="26"/>
        <v>63603.569014006862</v>
      </c>
      <c r="P163">
        <f t="shared" si="27"/>
        <v>0</v>
      </c>
      <c r="Q163">
        <f t="shared" si="28"/>
        <v>45798.436108729315</v>
      </c>
      <c r="R163">
        <f t="shared" si="29"/>
        <v>34514.017891270683</v>
      </c>
      <c r="S163">
        <f t="shared" si="30"/>
        <v>80312.453999999998</v>
      </c>
    </row>
    <row r="164" spans="1:19" x14ac:dyDescent="0.3">
      <c r="A164" t="s">
        <v>13</v>
      </c>
      <c r="B164" t="s">
        <v>24</v>
      </c>
      <c r="C164" t="s">
        <v>14</v>
      </c>
      <c r="D164">
        <v>0</v>
      </c>
      <c r="E164">
        <v>24</v>
      </c>
      <c r="F164">
        <v>7</v>
      </c>
      <c r="G164">
        <v>20260308</v>
      </c>
      <c r="H164">
        <v>20260407</v>
      </c>
      <c r="I164">
        <v>7434.5190000000002</v>
      </c>
      <c r="J164">
        <f t="shared" si="21"/>
        <v>31</v>
      </c>
      <c r="K164">
        <f t="shared" si="22"/>
        <v>239.82319354838711</v>
      </c>
      <c r="L164">
        <f t="shared" si="23"/>
        <v>0</v>
      </c>
      <c r="M164">
        <f t="shared" si="24"/>
        <v>5755.7566451612911</v>
      </c>
      <c r="N164">
        <f t="shared" si="25"/>
        <v>1041.8692198745923</v>
      </c>
      <c r="O164">
        <f t="shared" si="26"/>
        <v>6797.6258650358832</v>
      </c>
      <c r="P164">
        <f t="shared" si="27"/>
        <v>0</v>
      </c>
      <c r="Q164">
        <f t="shared" si="28"/>
        <v>6295.0334407087867</v>
      </c>
      <c r="R164">
        <f t="shared" si="29"/>
        <v>1139.4855592912138</v>
      </c>
      <c r="S164">
        <f t="shared" si="30"/>
        <v>7434.5190000000002</v>
      </c>
    </row>
    <row r="165" spans="1:19" x14ac:dyDescent="0.3">
      <c r="A165" t="s">
        <v>13</v>
      </c>
      <c r="B165" t="s">
        <v>24</v>
      </c>
      <c r="C165" t="s">
        <v>15</v>
      </c>
      <c r="D165">
        <v>0</v>
      </c>
      <c r="E165">
        <v>17</v>
      </c>
      <c r="F165">
        <v>0</v>
      </c>
      <c r="G165">
        <v>20260304</v>
      </c>
      <c r="H165">
        <v>20260320</v>
      </c>
      <c r="I165">
        <v>12354.2037</v>
      </c>
      <c r="J165">
        <f t="shared" si="21"/>
        <v>17</v>
      </c>
      <c r="K165">
        <f t="shared" si="22"/>
        <v>726.71786470588233</v>
      </c>
      <c r="L165">
        <f t="shared" si="23"/>
        <v>0</v>
      </c>
      <c r="M165">
        <f t="shared" si="24"/>
        <v>12354.2037</v>
      </c>
      <c r="N165">
        <f t="shared" si="25"/>
        <v>0</v>
      </c>
      <c r="O165">
        <f t="shared" si="26"/>
        <v>12354.2037</v>
      </c>
      <c r="P165">
        <f t="shared" si="27"/>
        <v>0</v>
      </c>
      <c r="Q165">
        <f t="shared" si="28"/>
        <v>12354.2037</v>
      </c>
      <c r="R165">
        <f t="shared" si="29"/>
        <v>0</v>
      </c>
      <c r="S165">
        <f t="shared" si="30"/>
        <v>12354.2037</v>
      </c>
    </row>
    <row r="166" spans="1:19" x14ac:dyDescent="0.3">
      <c r="A166" t="s">
        <v>13</v>
      </c>
      <c r="B166" t="s">
        <v>37</v>
      </c>
      <c r="C166" t="s">
        <v>14</v>
      </c>
      <c r="D166">
        <v>0</v>
      </c>
      <c r="E166">
        <v>25</v>
      </c>
      <c r="F166">
        <v>8</v>
      </c>
      <c r="G166">
        <v>20260307</v>
      </c>
      <c r="H166">
        <v>20260408</v>
      </c>
      <c r="I166">
        <v>19537.157899999998</v>
      </c>
      <c r="J166">
        <f t="shared" si="21"/>
        <v>33</v>
      </c>
      <c r="K166">
        <f t="shared" si="22"/>
        <v>592.03508787878786</v>
      </c>
      <c r="L166">
        <f t="shared" si="23"/>
        <v>0</v>
      </c>
      <c r="M166">
        <f t="shared" si="24"/>
        <v>14800.877196969697</v>
      </c>
      <c r="N166">
        <f t="shared" si="25"/>
        <v>2939.4184751345388</v>
      </c>
      <c r="O166">
        <f t="shared" si="26"/>
        <v>17740.295672104236</v>
      </c>
      <c r="P166">
        <f t="shared" si="27"/>
        <v>0</v>
      </c>
      <c r="Q166">
        <f t="shared" si="28"/>
        <v>16300.014396626304</v>
      </c>
      <c r="R166">
        <f t="shared" si="29"/>
        <v>3237.1435033736948</v>
      </c>
      <c r="S166">
        <f t="shared" si="30"/>
        <v>19537.157899999998</v>
      </c>
    </row>
    <row r="167" spans="1:19" x14ac:dyDescent="0.3">
      <c r="A167" t="s">
        <v>13</v>
      </c>
      <c r="B167" t="s">
        <v>37</v>
      </c>
      <c r="C167" t="s">
        <v>14</v>
      </c>
      <c r="D167">
        <v>0</v>
      </c>
      <c r="E167">
        <v>27</v>
      </c>
      <c r="F167">
        <v>8</v>
      </c>
      <c r="G167">
        <v>20260305</v>
      </c>
      <c r="H167">
        <v>20260408</v>
      </c>
      <c r="I167">
        <v>12121.264300000001</v>
      </c>
      <c r="J167">
        <f t="shared" si="21"/>
        <v>35</v>
      </c>
      <c r="K167">
        <f t="shared" si="22"/>
        <v>346.32183714285719</v>
      </c>
      <c r="L167">
        <f t="shared" si="23"/>
        <v>0</v>
      </c>
      <c r="M167">
        <f t="shared" si="24"/>
        <v>9350.6896028571446</v>
      </c>
      <c r="N167">
        <f t="shared" si="25"/>
        <v>1719.4670168749687</v>
      </c>
      <c r="O167">
        <f t="shared" si="26"/>
        <v>11070.156619732114</v>
      </c>
      <c r="P167">
        <f t="shared" si="27"/>
        <v>0</v>
      </c>
      <c r="Q167">
        <f t="shared" si="28"/>
        <v>10238.534463140797</v>
      </c>
      <c r="R167">
        <f t="shared" si="29"/>
        <v>1882.7298368592019</v>
      </c>
      <c r="S167">
        <f t="shared" si="30"/>
        <v>12121.264299999999</v>
      </c>
    </row>
    <row r="168" spans="1:19" x14ac:dyDescent="0.3">
      <c r="A168" t="s">
        <v>13</v>
      </c>
      <c r="B168" t="s">
        <v>24</v>
      </c>
      <c r="C168" t="s">
        <v>14</v>
      </c>
      <c r="D168">
        <v>24</v>
      </c>
      <c r="E168">
        <v>7</v>
      </c>
      <c r="F168">
        <v>0</v>
      </c>
      <c r="G168">
        <v>20260205</v>
      </c>
      <c r="H168">
        <v>20260307</v>
      </c>
      <c r="I168">
        <v>6124.3152</v>
      </c>
      <c r="J168">
        <f t="shared" si="21"/>
        <v>31</v>
      </c>
      <c r="K168">
        <f t="shared" si="22"/>
        <v>197.55855483870968</v>
      </c>
      <c r="L168">
        <f t="shared" si="23"/>
        <v>6431.046800878622</v>
      </c>
      <c r="M168">
        <f t="shared" si="24"/>
        <v>1382.9098838709679</v>
      </c>
      <c r="N168">
        <f t="shared" si="25"/>
        <v>0</v>
      </c>
      <c r="O168">
        <f t="shared" si="26"/>
        <v>7813.9566847495898</v>
      </c>
      <c r="P168">
        <f t="shared" si="27"/>
        <v>5040.4371643627164</v>
      </c>
      <c r="Q168">
        <f t="shared" si="28"/>
        <v>1083.8780356372831</v>
      </c>
      <c r="R168">
        <f t="shared" si="29"/>
        <v>0</v>
      </c>
      <c r="S168">
        <f t="shared" si="30"/>
        <v>6124.3151999999991</v>
      </c>
    </row>
    <row r="169" spans="1:19" x14ac:dyDescent="0.3">
      <c r="A169" t="s">
        <v>13</v>
      </c>
      <c r="B169" t="s">
        <v>37</v>
      </c>
      <c r="C169" t="s">
        <v>14</v>
      </c>
      <c r="D169">
        <v>0</v>
      </c>
      <c r="E169">
        <v>24</v>
      </c>
      <c r="F169">
        <v>1</v>
      </c>
      <c r="G169">
        <v>20260308</v>
      </c>
      <c r="H169">
        <v>20260401</v>
      </c>
      <c r="I169">
        <v>55.622</v>
      </c>
      <c r="J169">
        <f t="shared" si="21"/>
        <v>25</v>
      </c>
      <c r="K169">
        <f t="shared" si="22"/>
        <v>2.2248800000000002</v>
      </c>
      <c r="L169">
        <f t="shared" si="23"/>
        <v>0</v>
      </c>
      <c r="M169">
        <f t="shared" si="24"/>
        <v>53.397120000000001</v>
      </c>
      <c r="N169">
        <f t="shared" si="25"/>
        <v>1.380799362836137</v>
      </c>
      <c r="O169">
        <f t="shared" si="26"/>
        <v>54.777919362836137</v>
      </c>
      <c r="P169">
        <f t="shared" si="27"/>
        <v>0</v>
      </c>
      <c r="Q169">
        <f t="shared" si="28"/>
        <v>54.219923706248359</v>
      </c>
      <c r="R169">
        <f t="shared" si="29"/>
        <v>1.4020762937516422</v>
      </c>
      <c r="S169">
        <f t="shared" si="30"/>
        <v>55.622</v>
      </c>
    </row>
    <row r="170" spans="1:19" x14ac:dyDescent="0.3">
      <c r="A170" t="s">
        <v>13</v>
      </c>
      <c r="B170" t="s">
        <v>24</v>
      </c>
      <c r="C170" t="s">
        <v>14</v>
      </c>
      <c r="D170">
        <v>24</v>
      </c>
      <c r="E170">
        <v>2</v>
      </c>
      <c r="F170">
        <v>0</v>
      </c>
      <c r="G170">
        <v>20260205</v>
      </c>
      <c r="H170">
        <v>20260302</v>
      </c>
      <c r="I170">
        <v>110825.98330000001</v>
      </c>
      <c r="J170">
        <f t="shared" si="21"/>
        <v>26</v>
      </c>
      <c r="K170">
        <f t="shared" si="22"/>
        <v>4262.5378192307699</v>
      </c>
      <c r="L170">
        <f t="shared" si="23"/>
        <v>138756.73583646279</v>
      </c>
      <c r="M170">
        <f t="shared" si="24"/>
        <v>8525.0756384615397</v>
      </c>
      <c r="N170">
        <f t="shared" si="25"/>
        <v>0</v>
      </c>
      <c r="O170">
        <f t="shared" si="26"/>
        <v>147281.81147492433</v>
      </c>
      <c r="P170">
        <f t="shared" si="27"/>
        <v>104411.0710927297</v>
      </c>
      <c r="Q170">
        <f t="shared" si="28"/>
        <v>6414.912207270304</v>
      </c>
      <c r="R170">
        <f t="shared" si="29"/>
        <v>0</v>
      </c>
      <c r="S170">
        <f t="shared" si="30"/>
        <v>110825.98330000001</v>
      </c>
    </row>
    <row r="171" spans="1:19" x14ac:dyDescent="0.3">
      <c r="A171" t="s">
        <v>13</v>
      </c>
      <c r="B171" t="s">
        <v>37</v>
      </c>
      <c r="C171" t="s">
        <v>14</v>
      </c>
      <c r="D171">
        <v>0</v>
      </c>
      <c r="E171">
        <v>14</v>
      </c>
      <c r="F171">
        <v>20</v>
      </c>
      <c r="G171">
        <v>20260318</v>
      </c>
      <c r="H171">
        <v>20260420</v>
      </c>
      <c r="I171">
        <v>40471.296199999997</v>
      </c>
      <c r="J171">
        <f t="shared" si="21"/>
        <v>34</v>
      </c>
      <c r="K171">
        <f t="shared" si="22"/>
        <v>1190.3322411764705</v>
      </c>
      <c r="L171">
        <f t="shared" si="23"/>
        <v>0</v>
      </c>
      <c r="M171">
        <f t="shared" si="24"/>
        <v>16664.651376470585</v>
      </c>
      <c r="N171">
        <f t="shared" si="25"/>
        <v>14774.819317714044</v>
      </c>
      <c r="O171">
        <f t="shared" si="26"/>
        <v>31439.470694184631</v>
      </c>
      <c r="P171">
        <f t="shared" si="27"/>
        <v>0</v>
      </c>
      <c r="Q171">
        <f t="shared" si="28"/>
        <v>21452.01643142262</v>
      </c>
      <c r="R171">
        <f t="shared" si="29"/>
        <v>19019.279768577373</v>
      </c>
      <c r="S171">
        <f t="shared" si="30"/>
        <v>40471.296199999997</v>
      </c>
    </row>
    <row r="172" spans="1:19" x14ac:dyDescent="0.3">
      <c r="A172" t="s">
        <v>13</v>
      </c>
      <c r="B172" t="s">
        <v>37</v>
      </c>
      <c r="C172" t="s">
        <v>15</v>
      </c>
      <c r="D172">
        <v>0</v>
      </c>
      <c r="E172">
        <v>22</v>
      </c>
      <c r="F172">
        <v>2</v>
      </c>
      <c r="G172">
        <v>20260310</v>
      </c>
      <c r="H172">
        <v>20260402</v>
      </c>
      <c r="I172">
        <v>1712.5605</v>
      </c>
      <c r="J172">
        <f t="shared" si="21"/>
        <v>24</v>
      </c>
      <c r="K172">
        <f t="shared" si="22"/>
        <v>71.356687500000007</v>
      </c>
      <c r="L172">
        <f t="shared" si="23"/>
        <v>0</v>
      </c>
      <c r="M172">
        <f t="shared" si="24"/>
        <v>1569.8471250000002</v>
      </c>
      <c r="N172">
        <f t="shared" si="25"/>
        <v>88.570411558463675</v>
      </c>
      <c r="O172">
        <f t="shared" si="26"/>
        <v>1658.417536558464</v>
      </c>
      <c r="P172">
        <f t="shared" si="27"/>
        <v>0</v>
      </c>
      <c r="Q172">
        <f t="shared" si="28"/>
        <v>1621.0984978442955</v>
      </c>
      <c r="R172">
        <f t="shared" si="29"/>
        <v>91.462002155704482</v>
      </c>
      <c r="S172">
        <f t="shared" si="30"/>
        <v>1712.5605</v>
      </c>
    </row>
    <row r="173" spans="1:19" x14ac:dyDescent="0.3">
      <c r="A173" t="s">
        <v>13</v>
      </c>
      <c r="B173" t="s">
        <v>24</v>
      </c>
      <c r="C173" t="s">
        <v>15</v>
      </c>
      <c r="D173">
        <v>0</v>
      </c>
      <c r="E173">
        <v>22</v>
      </c>
      <c r="F173">
        <v>2</v>
      </c>
      <c r="G173">
        <v>20260310</v>
      </c>
      <c r="H173">
        <v>20260402</v>
      </c>
      <c r="I173">
        <v>18838.165400000002</v>
      </c>
      <c r="J173">
        <f t="shared" si="21"/>
        <v>24</v>
      </c>
      <c r="K173">
        <f t="shared" si="22"/>
        <v>784.9235583333334</v>
      </c>
      <c r="L173">
        <f t="shared" si="23"/>
        <v>0</v>
      </c>
      <c r="M173">
        <f t="shared" si="24"/>
        <v>17268.318283333334</v>
      </c>
      <c r="N173">
        <f t="shared" si="25"/>
        <v>974.27452197128832</v>
      </c>
      <c r="O173">
        <f t="shared" si="26"/>
        <v>18242.592805304623</v>
      </c>
      <c r="P173">
        <f t="shared" si="27"/>
        <v>0</v>
      </c>
      <c r="Q173">
        <f t="shared" si="28"/>
        <v>17832.083381627908</v>
      </c>
      <c r="R173">
        <f t="shared" si="29"/>
        <v>1006.0820183720913</v>
      </c>
      <c r="S173">
        <f t="shared" si="30"/>
        <v>18838.165399999998</v>
      </c>
    </row>
    <row r="174" spans="1:19" x14ac:dyDescent="0.3">
      <c r="A174" t="s">
        <v>13</v>
      </c>
      <c r="B174" t="s">
        <v>37</v>
      </c>
      <c r="C174" t="s">
        <v>15</v>
      </c>
      <c r="D174">
        <v>0</v>
      </c>
      <c r="E174">
        <v>24</v>
      </c>
      <c r="F174">
        <v>1</v>
      </c>
      <c r="G174">
        <v>20260308</v>
      </c>
      <c r="H174">
        <v>20260401</v>
      </c>
      <c r="I174">
        <v>10488.950199999999</v>
      </c>
      <c r="J174">
        <f t="shared" si="21"/>
        <v>25</v>
      </c>
      <c r="K174">
        <f t="shared" si="22"/>
        <v>419.55800799999997</v>
      </c>
      <c r="L174">
        <f t="shared" si="23"/>
        <v>0</v>
      </c>
      <c r="M174">
        <f t="shared" si="24"/>
        <v>10069.392191999999</v>
      </c>
      <c r="N174">
        <f t="shared" si="25"/>
        <v>260.38502306605244</v>
      </c>
      <c r="O174">
        <f t="shared" si="26"/>
        <v>10329.777215066051</v>
      </c>
      <c r="P174">
        <f t="shared" si="27"/>
        <v>0</v>
      </c>
      <c r="Q174">
        <f t="shared" si="28"/>
        <v>10224.55286761782</v>
      </c>
      <c r="R174">
        <f t="shared" si="29"/>
        <v>264.39733238217872</v>
      </c>
      <c r="S174">
        <f t="shared" si="30"/>
        <v>10488.950199999999</v>
      </c>
    </row>
    <row r="175" spans="1:19" x14ac:dyDescent="0.3">
      <c r="A175" t="s">
        <v>13</v>
      </c>
      <c r="B175" t="s">
        <v>37</v>
      </c>
      <c r="C175" t="s">
        <v>14</v>
      </c>
      <c r="D175">
        <v>0</v>
      </c>
      <c r="E175">
        <v>15</v>
      </c>
      <c r="F175">
        <v>13</v>
      </c>
      <c r="G175">
        <v>20260317</v>
      </c>
      <c r="H175">
        <v>20260413</v>
      </c>
      <c r="I175">
        <v>78.239500000000007</v>
      </c>
      <c r="J175">
        <f t="shared" si="21"/>
        <v>28</v>
      </c>
      <c r="K175">
        <f t="shared" si="22"/>
        <v>2.7942678571428572</v>
      </c>
      <c r="L175">
        <f t="shared" si="23"/>
        <v>0</v>
      </c>
      <c r="M175">
        <f t="shared" si="24"/>
        <v>41.914017857142859</v>
      </c>
      <c r="N175">
        <f t="shared" si="25"/>
        <v>22.544228271894486</v>
      </c>
      <c r="O175">
        <f t="shared" si="26"/>
        <v>64.458246129037349</v>
      </c>
      <c r="P175">
        <f t="shared" si="27"/>
        <v>0</v>
      </c>
      <c r="Q175">
        <f t="shared" si="28"/>
        <v>50.875287446839877</v>
      </c>
      <c r="R175">
        <f t="shared" si="29"/>
        <v>27.364212553160122</v>
      </c>
      <c r="S175">
        <f t="shared" si="30"/>
        <v>78.239499999999992</v>
      </c>
    </row>
    <row r="176" spans="1:19" x14ac:dyDescent="0.3">
      <c r="A176" t="s">
        <v>13</v>
      </c>
      <c r="B176" t="s">
        <v>24</v>
      </c>
      <c r="C176" t="s">
        <v>15</v>
      </c>
      <c r="D176">
        <v>0</v>
      </c>
      <c r="E176">
        <v>24</v>
      </c>
      <c r="F176">
        <v>2</v>
      </c>
      <c r="G176">
        <v>20260308</v>
      </c>
      <c r="H176">
        <v>20260402</v>
      </c>
      <c r="I176">
        <v>75805.653200000001</v>
      </c>
      <c r="J176">
        <f t="shared" si="21"/>
        <v>26</v>
      </c>
      <c r="K176">
        <f t="shared" si="22"/>
        <v>2915.602046153846</v>
      </c>
      <c r="L176">
        <f t="shared" si="23"/>
        <v>0</v>
      </c>
      <c r="M176">
        <f t="shared" si="24"/>
        <v>69974.4491076923</v>
      </c>
      <c r="N176">
        <f t="shared" si="25"/>
        <v>3618.9470421892124</v>
      </c>
      <c r="O176">
        <f t="shared" si="26"/>
        <v>73593.396149881519</v>
      </c>
      <c r="P176">
        <f t="shared" si="27"/>
        <v>0</v>
      </c>
      <c r="Q176">
        <f t="shared" si="28"/>
        <v>72077.918664272875</v>
      </c>
      <c r="R176">
        <f t="shared" si="29"/>
        <v>3727.7345357271283</v>
      </c>
      <c r="S176">
        <f t="shared" si="30"/>
        <v>75805.653200000001</v>
      </c>
    </row>
    <row r="177" spans="1:19" x14ac:dyDescent="0.3">
      <c r="A177" t="s">
        <v>13</v>
      </c>
      <c r="B177" t="s">
        <v>24</v>
      </c>
      <c r="C177" t="s">
        <v>15</v>
      </c>
      <c r="D177">
        <v>0</v>
      </c>
      <c r="E177">
        <v>31</v>
      </c>
      <c r="F177">
        <v>0</v>
      </c>
      <c r="G177">
        <v>20260301</v>
      </c>
      <c r="H177">
        <v>20260331</v>
      </c>
      <c r="I177">
        <v>12946.700999999999</v>
      </c>
      <c r="J177">
        <f t="shared" si="21"/>
        <v>31</v>
      </c>
      <c r="K177">
        <f t="shared" si="22"/>
        <v>417.63551612903223</v>
      </c>
      <c r="L177">
        <f t="shared" si="23"/>
        <v>0</v>
      </c>
      <c r="M177">
        <f t="shared" si="24"/>
        <v>12946.700999999999</v>
      </c>
      <c r="N177">
        <f t="shared" si="25"/>
        <v>0</v>
      </c>
      <c r="O177">
        <f t="shared" si="26"/>
        <v>12946.700999999999</v>
      </c>
      <c r="P177">
        <f t="shared" si="27"/>
        <v>0</v>
      </c>
      <c r="Q177">
        <f t="shared" si="28"/>
        <v>12946.700999999999</v>
      </c>
      <c r="R177">
        <f t="shared" si="29"/>
        <v>0</v>
      </c>
      <c r="S177">
        <f t="shared" si="30"/>
        <v>12946.700999999999</v>
      </c>
    </row>
    <row r="178" spans="1:19" x14ac:dyDescent="0.3">
      <c r="A178" t="s">
        <v>13</v>
      </c>
      <c r="B178" t="s">
        <v>24</v>
      </c>
      <c r="C178" t="s">
        <v>14</v>
      </c>
      <c r="D178">
        <v>0</v>
      </c>
      <c r="E178">
        <v>24</v>
      </c>
      <c r="F178">
        <v>3</v>
      </c>
      <c r="G178">
        <v>20260308</v>
      </c>
      <c r="H178">
        <v>20260403</v>
      </c>
      <c r="I178">
        <v>786.44380000000001</v>
      </c>
      <c r="J178">
        <f t="shared" si="21"/>
        <v>27</v>
      </c>
      <c r="K178">
        <f t="shared" si="22"/>
        <v>29.127548148148147</v>
      </c>
      <c r="L178">
        <f t="shared" si="23"/>
        <v>0</v>
      </c>
      <c r="M178">
        <f t="shared" si="24"/>
        <v>699.0611555555555</v>
      </c>
      <c r="N178">
        <f t="shared" si="25"/>
        <v>54.231194388832463</v>
      </c>
      <c r="O178">
        <f t="shared" si="26"/>
        <v>753.29234994438798</v>
      </c>
      <c r="P178">
        <f t="shared" si="27"/>
        <v>0</v>
      </c>
      <c r="Q178">
        <f t="shared" si="28"/>
        <v>729.82595886987212</v>
      </c>
      <c r="R178">
        <f t="shared" si="29"/>
        <v>56.617841130127921</v>
      </c>
      <c r="S178">
        <f t="shared" si="30"/>
        <v>786.44380000000001</v>
      </c>
    </row>
    <row r="179" spans="1:19" x14ac:dyDescent="0.3">
      <c r="A179" t="s">
        <v>13</v>
      </c>
      <c r="B179" t="s">
        <v>24</v>
      </c>
      <c r="C179" t="s">
        <v>15</v>
      </c>
      <c r="D179">
        <v>0</v>
      </c>
      <c r="E179">
        <v>28</v>
      </c>
      <c r="F179">
        <v>0</v>
      </c>
      <c r="G179">
        <v>20260303</v>
      </c>
      <c r="H179">
        <v>20260330</v>
      </c>
      <c r="I179">
        <v>50634.182099999998</v>
      </c>
      <c r="J179">
        <f t="shared" si="21"/>
        <v>28</v>
      </c>
      <c r="K179">
        <f t="shared" si="22"/>
        <v>1808.3636464285714</v>
      </c>
      <c r="L179">
        <f t="shared" si="23"/>
        <v>0</v>
      </c>
      <c r="M179">
        <f t="shared" si="24"/>
        <v>50634.182099999998</v>
      </c>
      <c r="N179">
        <f t="shared" si="25"/>
        <v>0</v>
      </c>
      <c r="O179">
        <f t="shared" si="26"/>
        <v>50634.182099999998</v>
      </c>
      <c r="P179">
        <f t="shared" si="27"/>
        <v>0</v>
      </c>
      <c r="Q179">
        <f t="shared" si="28"/>
        <v>50634.182099999998</v>
      </c>
      <c r="R179">
        <f t="shared" si="29"/>
        <v>0</v>
      </c>
      <c r="S179">
        <f t="shared" si="30"/>
        <v>50634.182099999998</v>
      </c>
    </row>
    <row r="180" spans="1:19" x14ac:dyDescent="0.3">
      <c r="A180" t="s">
        <v>13</v>
      </c>
      <c r="B180" t="s">
        <v>37</v>
      </c>
      <c r="C180" t="s">
        <v>15</v>
      </c>
      <c r="D180">
        <v>0</v>
      </c>
      <c r="E180">
        <v>22</v>
      </c>
      <c r="F180">
        <v>1</v>
      </c>
      <c r="G180">
        <v>20260310</v>
      </c>
      <c r="H180">
        <v>20260401</v>
      </c>
      <c r="I180">
        <v>2270.4472000000001</v>
      </c>
      <c r="J180">
        <f t="shared" si="21"/>
        <v>23</v>
      </c>
      <c r="K180">
        <f t="shared" si="22"/>
        <v>98.715095652173915</v>
      </c>
      <c r="L180">
        <f t="shared" si="23"/>
        <v>0</v>
      </c>
      <c r="M180">
        <f t="shared" si="24"/>
        <v>2171.732104347826</v>
      </c>
      <c r="N180">
        <f t="shared" si="25"/>
        <v>61.264311414022345</v>
      </c>
      <c r="O180">
        <f t="shared" si="26"/>
        <v>2232.9964157618483</v>
      </c>
      <c r="P180">
        <f t="shared" si="27"/>
        <v>0</v>
      </c>
      <c r="Q180">
        <f t="shared" si="28"/>
        <v>2208.1553918591267</v>
      </c>
      <c r="R180">
        <f t="shared" si="29"/>
        <v>62.291808140873421</v>
      </c>
      <c r="S180">
        <f t="shared" si="30"/>
        <v>2270.4472000000001</v>
      </c>
    </row>
    <row r="181" spans="1:19" x14ac:dyDescent="0.3">
      <c r="A181" t="s">
        <v>13</v>
      </c>
      <c r="B181" t="s">
        <v>24</v>
      </c>
      <c r="C181" t="s">
        <v>15</v>
      </c>
      <c r="D181">
        <v>13</v>
      </c>
      <c r="E181">
        <v>17</v>
      </c>
      <c r="F181">
        <v>0</v>
      </c>
      <c r="G181">
        <v>20260216</v>
      </c>
      <c r="H181">
        <v>20260317</v>
      </c>
      <c r="I181">
        <v>236645.98120000001</v>
      </c>
      <c r="J181">
        <f t="shared" si="21"/>
        <v>30</v>
      </c>
      <c r="K181">
        <f t="shared" si="22"/>
        <v>7888.1993733333338</v>
      </c>
      <c r="L181">
        <f t="shared" si="23"/>
        <v>139089.97175078001</v>
      </c>
      <c r="M181">
        <f t="shared" si="24"/>
        <v>134099.38934666666</v>
      </c>
      <c r="N181">
        <f t="shared" si="25"/>
        <v>0</v>
      </c>
      <c r="O181">
        <f t="shared" si="26"/>
        <v>273189.36109744664</v>
      </c>
      <c r="P181">
        <f t="shared" si="27"/>
        <v>120484.49730186531</v>
      </c>
      <c r="Q181">
        <f t="shared" si="28"/>
        <v>116161.48389813473</v>
      </c>
      <c r="R181">
        <f t="shared" si="29"/>
        <v>0</v>
      </c>
      <c r="S181">
        <f t="shared" si="30"/>
        <v>236645.98120000004</v>
      </c>
    </row>
    <row r="182" spans="1:19" x14ac:dyDescent="0.3">
      <c r="A182" t="s">
        <v>13</v>
      </c>
      <c r="B182" t="s">
        <v>24</v>
      </c>
      <c r="C182" t="s">
        <v>15</v>
      </c>
      <c r="D182">
        <v>0</v>
      </c>
      <c r="E182">
        <v>30</v>
      </c>
      <c r="F182">
        <v>13</v>
      </c>
      <c r="G182">
        <v>20260302</v>
      </c>
      <c r="H182">
        <v>20260413</v>
      </c>
      <c r="I182">
        <v>14773.616599999999</v>
      </c>
      <c r="J182">
        <f t="shared" si="21"/>
        <v>43</v>
      </c>
      <c r="K182">
        <f t="shared" si="22"/>
        <v>343.57247906976744</v>
      </c>
      <c r="L182">
        <f t="shared" si="23"/>
        <v>0</v>
      </c>
      <c r="M182">
        <f t="shared" si="24"/>
        <v>10307.174372093023</v>
      </c>
      <c r="N182">
        <f t="shared" si="25"/>
        <v>2771.9520074963002</v>
      </c>
      <c r="O182">
        <f t="shared" si="26"/>
        <v>13079.126379589323</v>
      </c>
      <c r="P182">
        <f t="shared" si="27"/>
        <v>0</v>
      </c>
      <c r="Q182">
        <f t="shared" si="28"/>
        <v>11642.539263194227</v>
      </c>
      <c r="R182">
        <f t="shared" si="29"/>
        <v>3131.0773368057726</v>
      </c>
      <c r="S182">
        <f t="shared" si="30"/>
        <v>14773.616599999999</v>
      </c>
    </row>
    <row r="183" spans="1:19" x14ac:dyDescent="0.3">
      <c r="A183" t="s">
        <v>13</v>
      </c>
      <c r="B183" t="s">
        <v>24</v>
      </c>
      <c r="C183" t="s">
        <v>15</v>
      </c>
      <c r="D183">
        <v>0</v>
      </c>
      <c r="E183">
        <v>26</v>
      </c>
      <c r="F183">
        <v>8</v>
      </c>
      <c r="G183">
        <v>20260306</v>
      </c>
      <c r="H183">
        <v>20260408</v>
      </c>
      <c r="I183">
        <v>27102.7637</v>
      </c>
      <c r="J183">
        <f t="shared" si="21"/>
        <v>34</v>
      </c>
      <c r="K183">
        <f t="shared" si="22"/>
        <v>797.14010882352943</v>
      </c>
      <c r="L183">
        <f t="shared" si="23"/>
        <v>0</v>
      </c>
      <c r="M183">
        <f t="shared" si="24"/>
        <v>20725.642829411765</v>
      </c>
      <c r="N183">
        <f t="shared" si="25"/>
        <v>3957.7525236584738</v>
      </c>
      <c r="O183">
        <f t="shared" si="26"/>
        <v>24683.395353070238</v>
      </c>
      <c r="P183">
        <f t="shared" si="27"/>
        <v>0</v>
      </c>
      <c r="Q183">
        <f t="shared" si="28"/>
        <v>22757.087997874522</v>
      </c>
      <c r="R183">
        <f t="shared" si="29"/>
        <v>4345.675702125478</v>
      </c>
      <c r="S183">
        <f t="shared" si="30"/>
        <v>27102.7637</v>
      </c>
    </row>
    <row r="184" spans="1:19" x14ac:dyDescent="0.3">
      <c r="A184" t="s">
        <v>13</v>
      </c>
      <c r="B184" t="s">
        <v>24</v>
      </c>
      <c r="C184" t="s">
        <v>15</v>
      </c>
      <c r="D184">
        <v>0</v>
      </c>
      <c r="E184">
        <v>14</v>
      </c>
      <c r="F184">
        <v>0</v>
      </c>
      <c r="G184">
        <v>20260304</v>
      </c>
      <c r="H184">
        <v>20260317</v>
      </c>
      <c r="I184">
        <v>10676.8735</v>
      </c>
      <c r="J184">
        <f t="shared" si="21"/>
        <v>14</v>
      </c>
      <c r="K184">
        <f t="shared" si="22"/>
        <v>762.63382142857142</v>
      </c>
      <c r="L184">
        <f t="shared" si="23"/>
        <v>0</v>
      </c>
      <c r="M184">
        <f t="shared" si="24"/>
        <v>10676.8735</v>
      </c>
      <c r="N184">
        <f t="shared" si="25"/>
        <v>0</v>
      </c>
      <c r="O184">
        <f t="shared" si="26"/>
        <v>10676.8735</v>
      </c>
      <c r="P184">
        <f t="shared" si="27"/>
        <v>0</v>
      </c>
      <c r="Q184">
        <f t="shared" si="28"/>
        <v>10676.8735</v>
      </c>
      <c r="R184">
        <f t="shared" si="29"/>
        <v>0</v>
      </c>
      <c r="S184">
        <f t="shared" si="30"/>
        <v>10676.8735</v>
      </c>
    </row>
    <row r="185" spans="1:19" x14ac:dyDescent="0.3">
      <c r="A185" t="s">
        <v>13</v>
      </c>
      <c r="B185" t="s">
        <v>37</v>
      </c>
      <c r="C185" t="s">
        <v>15</v>
      </c>
      <c r="D185">
        <v>0</v>
      </c>
      <c r="E185">
        <v>23</v>
      </c>
      <c r="F185">
        <v>1</v>
      </c>
      <c r="G185">
        <v>20260309</v>
      </c>
      <c r="H185">
        <v>20260401</v>
      </c>
      <c r="I185">
        <v>3722.7959000000001</v>
      </c>
      <c r="J185">
        <f t="shared" si="21"/>
        <v>24</v>
      </c>
      <c r="K185">
        <f t="shared" si="22"/>
        <v>155.11649583333335</v>
      </c>
      <c r="L185">
        <f t="shared" si="23"/>
        <v>0</v>
      </c>
      <c r="M185">
        <f t="shared" si="24"/>
        <v>3567.6794041666672</v>
      </c>
      <c r="N185">
        <f t="shared" si="25"/>
        <v>96.268004841627842</v>
      </c>
      <c r="O185">
        <f t="shared" si="26"/>
        <v>3663.9474090082949</v>
      </c>
      <c r="P185">
        <f t="shared" si="27"/>
        <v>0</v>
      </c>
      <c r="Q185">
        <f t="shared" si="28"/>
        <v>3624.9816866069659</v>
      </c>
      <c r="R185">
        <f t="shared" si="29"/>
        <v>97.814213393034237</v>
      </c>
      <c r="S185">
        <f t="shared" si="30"/>
        <v>3722.7959000000001</v>
      </c>
    </row>
    <row r="186" spans="1:19" x14ac:dyDescent="0.3">
      <c r="A186" t="s">
        <v>13</v>
      </c>
      <c r="B186" t="s">
        <v>24</v>
      </c>
      <c r="C186" t="s">
        <v>15</v>
      </c>
      <c r="D186">
        <v>0</v>
      </c>
      <c r="E186">
        <v>22</v>
      </c>
      <c r="F186">
        <v>4</v>
      </c>
      <c r="G186">
        <v>20260310</v>
      </c>
      <c r="H186">
        <v>20260404</v>
      </c>
      <c r="I186">
        <v>40400.6351</v>
      </c>
      <c r="J186">
        <f t="shared" si="21"/>
        <v>26</v>
      </c>
      <c r="K186">
        <f t="shared" si="22"/>
        <v>1553.8705807692309</v>
      </c>
      <c r="L186">
        <f t="shared" si="23"/>
        <v>0</v>
      </c>
      <c r="M186">
        <f t="shared" si="24"/>
        <v>34185.152776923082</v>
      </c>
      <c r="N186">
        <f t="shared" si="25"/>
        <v>3857.4368197043827</v>
      </c>
      <c r="O186">
        <f t="shared" si="26"/>
        <v>38042.589596627462</v>
      </c>
      <c r="P186">
        <f t="shared" si="27"/>
        <v>0</v>
      </c>
      <c r="Q186">
        <f t="shared" si="28"/>
        <v>36304.0975344291</v>
      </c>
      <c r="R186">
        <f t="shared" si="29"/>
        <v>4096.537565570904</v>
      </c>
      <c r="S186">
        <f t="shared" si="30"/>
        <v>40400.635100000007</v>
      </c>
    </row>
    <row r="187" spans="1:19" x14ac:dyDescent="0.3">
      <c r="A187" t="s">
        <v>13</v>
      </c>
      <c r="B187" t="s">
        <v>24</v>
      </c>
      <c r="C187" t="s">
        <v>15</v>
      </c>
      <c r="D187">
        <v>9</v>
      </c>
      <c r="E187">
        <v>10</v>
      </c>
      <c r="F187">
        <v>0</v>
      </c>
      <c r="G187">
        <v>20260220</v>
      </c>
      <c r="H187">
        <v>20260310</v>
      </c>
      <c r="I187">
        <v>8085.8872000000001</v>
      </c>
      <c r="J187">
        <f t="shared" si="21"/>
        <v>19</v>
      </c>
      <c r="K187">
        <f t="shared" si="22"/>
        <v>425.57301052631578</v>
      </c>
      <c r="L187">
        <f t="shared" si="23"/>
        <v>5195.0672614253244</v>
      </c>
      <c r="M187">
        <f t="shared" si="24"/>
        <v>4255.7301052631574</v>
      </c>
      <c r="N187">
        <f t="shared" si="25"/>
        <v>0</v>
      </c>
      <c r="O187">
        <f t="shared" si="26"/>
        <v>9450.7973666884827</v>
      </c>
      <c r="P187">
        <f t="shared" si="27"/>
        <v>4444.7813493875656</v>
      </c>
      <c r="Q187">
        <f t="shared" si="28"/>
        <v>3641.1058506124336</v>
      </c>
      <c r="R187">
        <f t="shared" si="29"/>
        <v>0</v>
      </c>
      <c r="S187">
        <f t="shared" si="30"/>
        <v>8085.8871999999992</v>
      </c>
    </row>
    <row r="188" spans="1:19" x14ac:dyDescent="0.3">
      <c r="A188" t="s">
        <v>13</v>
      </c>
      <c r="B188" t="s">
        <v>24</v>
      </c>
      <c r="C188" t="s">
        <v>15</v>
      </c>
      <c r="D188">
        <v>19</v>
      </c>
      <c r="E188">
        <v>6</v>
      </c>
      <c r="F188">
        <v>0</v>
      </c>
      <c r="G188">
        <v>20260210</v>
      </c>
      <c r="H188">
        <v>20260306</v>
      </c>
      <c r="I188">
        <v>42984.829299999998</v>
      </c>
      <c r="J188">
        <f t="shared" si="21"/>
        <v>25</v>
      </c>
      <c r="K188">
        <f t="shared" si="22"/>
        <v>1719.3931719999998</v>
      </c>
      <c r="L188">
        <f t="shared" si="23"/>
        <v>44310.166965042976</v>
      </c>
      <c r="M188">
        <f t="shared" si="24"/>
        <v>10316.359031999998</v>
      </c>
      <c r="N188">
        <f t="shared" si="25"/>
        <v>0</v>
      </c>
      <c r="O188">
        <f t="shared" si="26"/>
        <v>54626.525997042976</v>
      </c>
      <c r="P188">
        <f t="shared" si="27"/>
        <v>34867.034439458475</v>
      </c>
      <c r="Q188">
        <f t="shared" si="28"/>
        <v>8117.7948605415195</v>
      </c>
      <c r="R188">
        <f t="shared" si="29"/>
        <v>0</v>
      </c>
      <c r="S188">
        <f t="shared" si="30"/>
        <v>42984.829299999998</v>
      </c>
    </row>
    <row r="189" spans="1:19" x14ac:dyDescent="0.3">
      <c r="A189" t="s">
        <v>13</v>
      </c>
      <c r="B189" t="s">
        <v>37</v>
      </c>
      <c r="C189" t="s">
        <v>15</v>
      </c>
      <c r="D189">
        <v>0</v>
      </c>
      <c r="E189">
        <v>29</v>
      </c>
      <c r="F189">
        <v>9</v>
      </c>
      <c r="G189">
        <v>20260303</v>
      </c>
      <c r="H189">
        <v>20260409</v>
      </c>
      <c r="I189">
        <v>5803.1473999999998</v>
      </c>
      <c r="J189">
        <f t="shared" si="21"/>
        <v>38</v>
      </c>
      <c r="K189">
        <f t="shared" si="22"/>
        <v>152.71440526315789</v>
      </c>
      <c r="L189">
        <f t="shared" si="23"/>
        <v>0</v>
      </c>
      <c r="M189">
        <f t="shared" si="24"/>
        <v>4428.7177526315791</v>
      </c>
      <c r="N189">
        <f t="shared" si="25"/>
        <v>852.99502955189132</v>
      </c>
      <c r="O189">
        <f t="shared" si="26"/>
        <v>5281.7127821834702</v>
      </c>
      <c r="P189">
        <f t="shared" si="27"/>
        <v>0</v>
      </c>
      <c r="Q189">
        <f t="shared" si="28"/>
        <v>4865.9408361264868</v>
      </c>
      <c r="R189">
        <f t="shared" si="29"/>
        <v>937.20656387351266</v>
      </c>
      <c r="S189">
        <f t="shared" si="30"/>
        <v>5803.1473999999998</v>
      </c>
    </row>
    <row r="190" spans="1:19" x14ac:dyDescent="0.3">
      <c r="A190" t="s">
        <v>13</v>
      </c>
      <c r="B190" t="s">
        <v>24</v>
      </c>
      <c r="C190" t="s">
        <v>15</v>
      </c>
      <c r="D190">
        <v>0</v>
      </c>
      <c r="E190">
        <v>29</v>
      </c>
      <c r="F190">
        <v>9</v>
      </c>
      <c r="G190">
        <v>20260303</v>
      </c>
      <c r="H190">
        <v>20260409</v>
      </c>
      <c r="I190">
        <v>18699.030500000001</v>
      </c>
      <c r="J190">
        <f t="shared" si="21"/>
        <v>38</v>
      </c>
      <c r="K190">
        <f t="shared" si="22"/>
        <v>492.07975000000005</v>
      </c>
      <c r="L190">
        <f t="shared" si="23"/>
        <v>0</v>
      </c>
      <c r="M190">
        <f t="shared" si="24"/>
        <v>14270.312750000001</v>
      </c>
      <c r="N190">
        <f t="shared" si="25"/>
        <v>2748.5395380340019</v>
      </c>
      <c r="O190">
        <f t="shared" si="26"/>
        <v>17018.852288034002</v>
      </c>
      <c r="P190">
        <f t="shared" si="27"/>
        <v>0</v>
      </c>
      <c r="Q190">
        <f t="shared" si="28"/>
        <v>15679.142684868679</v>
      </c>
      <c r="R190">
        <f t="shared" si="29"/>
        <v>3019.8878151313229</v>
      </c>
      <c r="S190">
        <f t="shared" si="30"/>
        <v>18699.030500000001</v>
      </c>
    </row>
    <row r="191" spans="1:19" x14ac:dyDescent="0.3">
      <c r="A191" t="s">
        <v>13</v>
      </c>
      <c r="B191" t="s">
        <v>24</v>
      </c>
      <c r="C191" t="s">
        <v>15</v>
      </c>
      <c r="D191">
        <v>0</v>
      </c>
      <c r="E191">
        <v>18</v>
      </c>
      <c r="F191">
        <v>0</v>
      </c>
      <c r="G191">
        <v>20260307</v>
      </c>
      <c r="H191">
        <v>20260324</v>
      </c>
      <c r="I191">
        <v>1010.4779</v>
      </c>
      <c r="J191">
        <f t="shared" si="21"/>
        <v>18</v>
      </c>
      <c r="K191">
        <f t="shared" si="22"/>
        <v>56.137661111111107</v>
      </c>
      <c r="L191">
        <f t="shared" si="23"/>
        <v>0</v>
      </c>
      <c r="M191">
        <f t="shared" si="24"/>
        <v>1010.4779</v>
      </c>
      <c r="N191">
        <f t="shared" si="25"/>
        <v>0</v>
      </c>
      <c r="O191">
        <f t="shared" si="26"/>
        <v>1010.4779</v>
      </c>
      <c r="P191">
        <f t="shared" si="27"/>
        <v>0</v>
      </c>
      <c r="Q191">
        <f t="shared" si="28"/>
        <v>1010.4779</v>
      </c>
      <c r="R191">
        <f t="shared" si="29"/>
        <v>0</v>
      </c>
      <c r="S191">
        <f t="shared" si="30"/>
        <v>1010.4779</v>
      </c>
    </row>
    <row r="192" spans="1:19" x14ac:dyDescent="0.3">
      <c r="A192" t="s">
        <v>13</v>
      </c>
      <c r="B192" t="s">
        <v>37</v>
      </c>
      <c r="C192" t="s">
        <v>15</v>
      </c>
      <c r="D192">
        <v>0</v>
      </c>
      <c r="E192">
        <v>26</v>
      </c>
      <c r="F192">
        <v>14</v>
      </c>
      <c r="G192">
        <v>20260306</v>
      </c>
      <c r="H192">
        <v>20260414</v>
      </c>
      <c r="I192">
        <v>5782.5313999999998</v>
      </c>
      <c r="J192">
        <f t="shared" si="21"/>
        <v>40</v>
      </c>
      <c r="K192">
        <f t="shared" si="22"/>
        <v>144.56328500000001</v>
      </c>
      <c r="L192">
        <f t="shared" si="23"/>
        <v>0</v>
      </c>
      <c r="M192">
        <f t="shared" si="24"/>
        <v>3758.6454100000001</v>
      </c>
      <c r="N192">
        <f t="shared" si="25"/>
        <v>1256.0589719198267</v>
      </c>
      <c r="O192">
        <f t="shared" si="26"/>
        <v>5014.704381919827</v>
      </c>
      <c r="P192">
        <f t="shared" si="27"/>
        <v>0</v>
      </c>
      <c r="Q192">
        <f t="shared" si="28"/>
        <v>4334.1508191695348</v>
      </c>
      <c r="R192">
        <f t="shared" si="29"/>
        <v>1448.3805808304649</v>
      </c>
      <c r="S192">
        <f t="shared" si="30"/>
        <v>5782.5313999999998</v>
      </c>
    </row>
    <row r="193" spans="1:19" x14ac:dyDescent="0.3">
      <c r="A193" t="s">
        <v>13</v>
      </c>
      <c r="B193" t="s">
        <v>24</v>
      </c>
      <c r="C193" t="s">
        <v>15</v>
      </c>
      <c r="D193">
        <v>19</v>
      </c>
      <c r="E193">
        <v>3</v>
      </c>
      <c r="F193">
        <v>0</v>
      </c>
      <c r="G193">
        <v>20260210</v>
      </c>
      <c r="H193">
        <v>20260303</v>
      </c>
      <c r="I193">
        <v>19260.366000000002</v>
      </c>
      <c r="J193">
        <f t="shared" si="21"/>
        <v>22</v>
      </c>
      <c r="K193">
        <f t="shared" si="22"/>
        <v>875.47118181818189</v>
      </c>
      <c r="L193">
        <f t="shared" si="23"/>
        <v>22561.607706237381</v>
      </c>
      <c r="M193">
        <f t="shared" si="24"/>
        <v>2626.4135454545458</v>
      </c>
      <c r="N193">
        <f t="shared" si="25"/>
        <v>0</v>
      </c>
      <c r="O193">
        <f t="shared" si="26"/>
        <v>25188.021251691927</v>
      </c>
      <c r="P193">
        <f t="shared" si="27"/>
        <v>17252.042851177255</v>
      </c>
      <c r="Q193">
        <f t="shared" si="28"/>
        <v>2008.3231488227466</v>
      </c>
      <c r="R193">
        <f t="shared" si="29"/>
        <v>0</v>
      </c>
      <c r="S193">
        <f t="shared" si="30"/>
        <v>19260.366000000002</v>
      </c>
    </row>
    <row r="194" spans="1:19" x14ac:dyDescent="0.3">
      <c r="A194" t="s">
        <v>13</v>
      </c>
      <c r="B194" t="s">
        <v>24</v>
      </c>
      <c r="C194" t="s">
        <v>15</v>
      </c>
      <c r="D194">
        <v>19</v>
      </c>
      <c r="E194">
        <v>2</v>
      </c>
      <c r="F194">
        <v>0</v>
      </c>
      <c r="G194">
        <v>20260210</v>
      </c>
      <c r="H194">
        <v>20260302</v>
      </c>
      <c r="I194">
        <v>3969.5025999999998</v>
      </c>
      <c r="J194">
        <f t="shared" si="21"/>
        <v>21</v>
      </c>
      <c r="K194">
        <f t="shared" si="22"/>
        <v>189.02393333333333</v>
      </c>
      <c r="L194">
        <f t="shared" si="23"/>
        <v>4871.301214164152</v>
      </c>
      <c r="M194">
        <f t="shared" si="24"/>
        <v>378.04786666666666</v>
      </c>
      <c r="N194">
        <f t="shared" si="25"/>
        <v>0</v>
      </c>
      <c r="O194">
        <f t="shared" si="26"/>
        <v>5249.3490808308188</v>
      </c>
      <c r="P194">
        <f t="shared" si="27"/>
        <v>3683.6267768169328</v>
      </c>
      <c r="Q194">
        <f t="shared" si="28"/>
        <v>285.87582318306704</v>
      </c>
      <c r="R194">
        <f t="shared" si="29"/>
        <v>0</v>
      </c>
      <c r="S194">
        <f t="shared" si="30"/>
        <v>3969.5025999999998</v>
      </c>
    </row>
    <row r="195" spans="1:19" x14ac:dyDescent="0.3">
      <c r="A195" t="s">
        <v>13</v>
      </c>
      <c r="B195" t="s">
        <v>24</v>
      </c>
      <c r="C195" t="s">
        <v>15</v>
      </c>
      <c r="D195">
        <v>0</v>
      </c>
      <c r="E195">
        <v>24</v>
      </c>
      <c r="F195">
        <v>0</v>
      </c>
      <c r="G195">
        <v>20260304</v>
      </c>
      <c r="H195">
        <v>20260327</v>
      </c>
      <c r="I195">
        <v>801.37</v>
      </c>
      <c r="J195">
        <f t="shared" si="21"/>
        <v>24</v>
      </c>
      <c r="K195">
        <f t="shared" si="22"/>
        <v>33.390416666666667</v>
      </c>
      <c r="L195">
        <f t="shared" si="23"/>
        <v>0</v>
      </c>
      <c r="M195">
        <f t="shared" si="24"/>
        <v>801.37</v>
      </c>
      <c r="N195">
        <f t="shared" si="25"/>
        <v>0</v>
      </c>
      <c r="O195">
        <f t="shared" si="26"/>
        <v>801.37</v>
      </c>
      <c r="P195">
        <f t="shared" si="27"/>
        <v>0</v>
      </c>
      <c r="Q195">
        <f t="shared" si="28"/>
        <v>801.37</v>
      </c>
      <c r="R195">
        <f t="shared" si="29"/>
        <v>0</v>
      </c>
      <c r="S195">
        <f t="shared" si="30"/>
        <v>801.37</v>
      </c>
    </row>
    <row r="196" spans="1:19" x14ac:dyDescent="0.3">
      <c r="A196" t="s">
        <v>13</v>
      </c>
      <c r="B196" t="s">
        <v>37</v>
      </c>
      <c r="C196" t="s">
        <v>15</v>
      </c>
      <c r="D196">
        <v>0</v>
      </c>
      <c r="E196">
        <v>30</v>
      </c>
      <c r="F196">
        <v>9</v>
      </c>
      <c r="G196">
        <v>20260302</v>
      </c>
      <c r="H196">
        <v>20260409</v>
      </c>
      <c r="I196">
        <v>807.93449999999996</v>
      </c>
      <c r="J196">
        <f t="shared" si="21"/>
        <v>39</v>
      </c>
      <c r="K196">
        <f t="shared" si="22"/>
        <v>20.716269230769228</v>
      </c>
      <c r="L196">
        <f t="shared" si="23"/>
        <v>0</v>
      </c>
      <c r="M196">
        <f t="shared" si="24"/>
        <v>621.48807692307685</v>
      </c>
      <c r="N196">
        <f t="shared" si="25"/>
        <v>115.7119045466237</v>
      </c>
      <c r="O196">
        <f t="shared" si="26"/>
        <v>737.19998146970056</v>
      </c>
      <c r="P196">
        <f t="shared" si="27"/>
        <v>0</v>
      </c>
      <c r="Q196">
        <f t="shared" si="28"/>
        <v>681.12000991069635</v>
      </c>
      <c r="R196">
        <f t="shared" si="29"/>
        <v>126.8144900893036</v>
      </c>
      <c r="S196">
        <f t="shared" si="30"/>
        <v>807.93449999999996</v>
      </c>
    </row>
    <row r="197" spans="1:19" x14ac:dyDescent="0.3">
      <c r="A197" t="s">
        <v>13</v>
      </c>
      <c r="B197" t="s">
        <v>37</v>
      </c>
      <c r="C197" t="s">
        <v>15</v>
      </c>
      <c r="D197">
        <v>0</v>
      </c>
      <c r="E197">
        <v>30</v>
      </c>
      <c r="F197">
        <v>11</v>
      </c>
      <c r="G197">
        <v>20260302</v>
      </c>
      <c r="H197">
        <v>20260411</v>
      </c>
      <c r="I197">
        <v>4379.6553000000004</v>
      </c>
      <c r="J197">
        <f t="shared" si="21"/>
        <v>41</v>
      </c>
      <c r="K197">
        <f t="shared" si="22"/>
        <v>106.82086097560976</v>
      </c>
      <c r="L197">
        <f t="shared" si="23"/>
        <v>0</v>
      </c>
      <c r="M197">
        <f t="shared" si="24"/>
        <v>3204.6258292682928</v>
      </c>
      <c r="N197">
        <f t="shared" si="25"/>
        <v>729.24379944087968</v>
      </c>
      <c r="O197">
        <f t="shared" si="26"/>
        <v>3933.8696287091725</v>
      </c>
      <c r="P197">
        <f t="shared" si="27"/>
        <v>0</v>
      </c>
      <c r="Q197">
        <f t="shared" si="28"/>
        <v>3567.7736738513004</v>
      </c>
      <c r="R197">
        <f t="shared" si="29"/>
        <v>811.88162614870009</v>
      </c>
      <c r="S197">
        <f t="shared" si="30"/>
        <v>4379.6553000000004</v>
      </c>
    </row>
    <row r="198" spans="1:19" x14ac:dyDescent="0.3">
      <c r="A198" t="s">
        <v>13</v>
      </c>
      <c r="B198" t="s">
        <v>24</v>
      </c>
      <c r="C198" t="s">
        <v>15</v>
      </c>
      <c r="D198">
        <v>0</v>
      </c>
      <c r="E198">
        <v>16</v>
      </c>
      <c r="F198">
        <v>0</v>
      </c>
      <c r="G198">
        <v>20260306</v>
      </c>
      <c r="H198">
        <v>20260321</v>
      </c>
      <c r="I198">
        <v>3453.5198999999998</v>
      </c>
      <c r="J198">
        <f t="shared" si="21"/>
        <v>16</v>
      </c>
      <c r="K198">
        <f t="shared" si="22"/>
        <v>215.84499374999999</v>
      </c>
      <c r="L198">
        <f t="shared" si="23"/>
        <v>0</v>
      </c>
      <c r="M198">
        <f t="shared" si="24"/>
        <v>3453.5198999999998</v>
      </c>
      <c r="N198">
        <f t="shared" si="25"/>
        <v>0</v>
      </c>
      <c r="O198">
        <f t="shared" si="26"/>
        <v>3453.5198999999998</v>
      </c>
      <c r="P198">
        <f t="shared" si="27"/>
        <v>0</v>
      </c>
      <c r="Q198">
        <f t="shared" si="28"/>
        <v>3453.5198999999998</v>
      </c>
      <c r="R198">
        <f t="shared" si="29"/>
        <v>0</v>
      </c>
      <c r="S198">
        <f t="shared" si="30"/>
        <v>3453.5198999999998</v>
      </c>
    </row>
    <row r="199" spans="1:19" x14ac:dyDescent="0.3">
      <c r="A199" t="s">
        <v>13</v>
      </c>
      <c r="B199" t="s">
        <v>24</v>
      </c>
      <c r="C199" t="s">
        <v>15</v>
      </c>
      <c r="D199">
        <v>0</v>
      </c>
      <c r="E199">
        <v>20</v>
      </c>
      <c r="F199">
        <v>0</v>
      </c>
      <c r="G199">
        <v>20260304</v>
      </c>
      <c r="H199">
        <v>20260323</v>
      </c>
      <c r="I199">
        <v>22131.183700000001</v>
      </c>
      <c r="J199">
        <f t="shared" si="21"/>
        <v>20</v>
      </c>
      <c r="K199">
        <f t="shared" si="22"/>
        <v>1106.5591850000001</v>
      </c>
      <c r="L199">
        <f t="shared" si="23"/>
        <v>0</v>
      </c>
      <c r="M199">
        <f t="shared" si="24"/>
        <v>22131.183700000001</v>
      </c>
      <c r="N199">
        <f t="shared" si="25"/>
        <v>0</v>
      </c>
      <c r="O199">
        <f t="shared" si="26"/>
        <v>22131.183700000001</v>
      </c>
      <c r="P199">
        <f t="shared" si="27"/>
        <v>0</v>
      </c>
      <c r="Q199">
        <f t="shared" si="28"/>
        <v>22131.183700000001</v>
      </c>
      <c r="R199">
        <f t="shared" si="29"/>
        <v>0</v>
      </c>
      <c r="S199">
        <f t="shared" si="30"/>
        <v>22131.183700000001</v>
      </c>
    </row>
    <row r="200" spans="1:19" x14ac:dyDescent="0.3">
      <c r="A200" t="s">
        <v>13</v>
      </c>
      <c r="B200" t="s">
        <v>24</v>
      </c>
      <c r="C200" t="s">
        <v>15</v>
      </c>
      <c r="D200">
        <v>24</v>
      </c>
      <c r="E200">
        <v>11</v>
      </c>
      <c r="F200">
        <v>0</v>
      </c>
      <c r="G200">
        <v>20260205</v>
      </c>
      <c r="H200">
        <v>20260311</v>
      </c>
      <c r="I200">
        <v>17316.218700000001</v>
      </c>
      <c r="J200">
        <f t="shared" si="21"/>
        <v>35</v>
      </c>
      <c r="K200">
        <f t="shared" si="22"/>
        <v>494.74910571428575</v>
      </c>
      <c r="L200">
        <f t="shared" si="23"/>
        <v>16105.375219711736</v>
      </c>
      <c r="M200">
        <f t="shared" si="24"/>
        <v>5442.2401628571433</v>
      </c>
      <c r="N200">
        <f t="shared" si="25"/>
        <v>0</v>
      </c>
      <c r="O200">
        <f t="shared" si="26"/>
        <v>21547.615382568878</v>
      </c>
      <c r="P200">
        <f t="shared" si="27"/>
        <v>12942.694335248563</v>
      </c>
      <c r="Q200">
        <f t="shared" si="28"/>
        <v>4373.5243647514408</v>
      </c>
      <c r="R200">
        <f t="shared" si="29"/>
        <v>0</v>
      </c>
      <c r="S200">
        <f t="shared" si="30"/>
        <v>17316.218700000005</v>
      </c>
    </row>
    <row r="201" spans="1:19" x14ac:dyDescent="0.3">
      <c r="A201" t="s">
        <v>13</v>
      </c>
      <c r="B201" t="s">
        <v>24</v>
      </c>
      <c r="C201" t="s">
        <v>15</v>
      </c>
      <c r="D201">
        <v>20</v>
      </c>
      <c r="E201">
        <v>2</v>
      </c>
      <c r="F201">
        <v>0</v>
      </c>
      <c r="G201">
        <v>20260209</v>
      </c>
      <c r="H201">
        <v>20260302</v>
      </c>
      <c r="I201">
        <v>295.60129999999998</v>
      </c>
      <c r="J201">
        <f t="shared" si="21"/>
        <v>22</v>
      </c>
      <c r="K201">
        <f t="shared" si="22"/>
        <v>13.436422727272726</v>
      </c>
      <c r="L201">
        <f t="shared" si="23"/>
        <v>364.49220277175948</v>
      </c>
      <c r="M201">
        <f t="shared" si="24"/>
        <v>26.872845454545452</v>
      </c>
      <c r="N201">
        <f t="shared" si="25"/>
        <v>0</v>
      </c>
      <c r="O201">
        <f t="shared" si="26"/>
        <v>391.36504822630491</v>
      </c>
      <c r="P201">
        <f t="shared" si="27"/>
        <v>275.30401467249334</v>
      </c>
      <c r="Q201">
        <f t="shared" si="28"/>
        <v>20.297285327506685</v>
      </c>
      <c r="R201">
        <f t="shared" si="29"/>
        <v>0</v>
      </c>
      <c r="S201">
        <f t="shared" si="30"/>
        <v>295.60130000000004</v>
      </c>
    </row>
    <row r="202" spans="1:19" x14ac:dyDescent="0.3">
      <c r="A202" t="s">
        <v>13</v>
      </c>
      <c r="B202" t="s">
        <v>37</v>
      </c>
      <c r="C202" t="s">
        <v>15</v>
      </c>
      <c r="D202">
        <v>0</v>
      </c>
      <c r="E202">
        <v>21</v>
      </c>
      <c r="F202">
        <v>7</v>
      </c>
      <c r="G202">
        <v>20260311</v>
      </c>
      <c r="H202">
        <v>20260407</v>
      </c>
      <c r="I202">
        <v>1136.4942000000001</v>
      </c>
      <c r="J202">
        <f t="shared" si="21"/>
        <v>28</v>
      </c>
      <c r="K202">
        <f t="shared" si="22"/>
        <v>40.589078571428573</v>
      </c>
      <c r="L202">
        <f t="shared" si="23"/>
        <v>0</v>
      </c>
      <c r="M202">
        <f t="shared" si="24"/>
        <v>852.37065000000007</v>
      </c>
      <c r="N202">
        <f t="shared" si="25"/>
        <v>176.33203444983158</v>
      </c>
      <c r="O202">
        <f t="shared" si="26"/>
        <v>1028.7026844498316</v>
      </c>
      <c r="P202">
        <f t="shared" si="27"/>
        <v>0</v>
      </c>
      <c r="Q202">
        <f t="shared" si="28"/>
        <v>941.68540105765896</v>
      </c>
      <c r="R202">
        <f t="shared" si="29"/>
        <v>194.8087989423411</v>
      </c>
      <c r="S202">
        <f t="shared" si="30"/>
        <v>1136.4942000000001</v>
      </c>
    </row>
    <row r="203" spans="1:19" x14ac:dyDescent="0.3">
      <c r="A203" t="s">
        <v>13</v>
      </c>
      <c r="B203" t="s">
        <v>24</v>
      </c>
      <c r="C203" t="s">
        <v>15</v>
      </c>
      <c r="D203">
        <v>0</v>
      </c>
      <c r="E203">
        <v>23</v>
      </c>
      <c r="F203">
        <v>0</v>
      </c>
      <c r="G203">
        <v>20260303</v>
      </c>
      <c r="H203">
        <v>20260325</v>
      </c>
      <c r="I203">
        <v>4766.4888000000001</v>
      </c>
      <c r="J203">
        <f t="shared" ref="J203:J266" si="31">IF(D203&lt;0,0,D203)+E203+F203</f>
        <v>23</v>
      </c>
      <c r="K203">
        <f t="shared" ref="K203:K266" si="32">I203/J203</f>
        <v>207.23864347826088</v>
      </c>
      <c r="L203">
        <f t="shared" ref="L203:L266" si="33">IF(D203&lt;0,0,D203)*$K203*$B$6</f>
        <v>0</v>
      </c>
      <c r="M203">
        <f t="shared" ref="M203:M266" si="34">IF(E203&lt;0,0,E203)*$K203*$C$6</f>
        <v>4766.4888000000001</v>
      </c>
      <c r="N203">
        <f t="shared" ref="N203:N266" si="35">IF(F203&lt;0,0,F203)*$K203*$D$6</f>
        <v>0</v>
      </c>
      <c r="O203">
        <f t="shared" ref="O203:O266" si="36">L203+M203+N203</f>
        <v>4766.4888000000001</v>
      </c>
      <c r="P203">
        <f t="shared" ref="P203:P266" si="37">L203/$O203*$I203</f>
        <v>0</v>
      </c>
      <c r="Q203">
        <f t="shared" ref="Q203:Q266" si="38">M203/$O203*$I203</f>
        <v>4766.4888000000001</v>
      </c>
      <c r="R203">
        <f t="shared" ref="R203:R266" si="39">N203/$O203*$I203</f>
        <v>0</v>
      </c>
      <c r="S203">
        <f t="shared" ref="S203:S266" si="40">P203+Q203+R203</f>
        <v>4766.4888000000001</v>
      </c>
    </row>
    <row r="204" spans="1:19" x14ac:dyDescent="0.3">
      <c r="A204" t="s">
        <v>13</v>
      </c>
      <c r="B204" t="s">
        <v>37</v>
      </c>
      <c r="C204" t="s">
        <v>15</v>
      </c>
      <c r="D204">
        <v>0</v>
      </c>
      <c r="E204">
        <v>20</v>
      </c>
      <c r="F204">
        <v>3</v>
      </c>
      <c r="G204">
        <v>20260312</v>
      </c>
      <c r="H204">
        <v>20260403</v>
      </c>
      <c r="I204">
        <v>1406.1134999999999</v>
      </c>
      <c r="J204">
        <f t="shared" si="31"/>
        <v>23</v>
      </c>
      <c r="K204">
        <f t="shared" si="32"/>
        <v>61.135369565217388</v>
      </c>
      <c r="L204">
        <f t="shared" si="33"/>
        <v>0</v>
      </c>
      <c r="M204">
        <f t="shared" si="34"/>
        <v>1222.7073913043478</v>
      </c>
      <c r="N204">
        <f t="shared" si="35"/>
        <v>113.82503237352655</v>
      </c>
      <c r="O204">
        <f t="shared" si="36"/>
        <v>1336.5324236778742</v>
      </c>
      <c r="P204">
        <f t="shared" si="37"/>
        <v>0</v>
      </c>
      <c r="Q204">
        <f t="shared" si="38"/>
        <v>1286.3626343846906</v>
      </c>
      <c r="R204">
        <f t="shared" si="39"/>
        <v>119.75086561530928</v>
      </c>
      <c r="S204">
        <f t="shared" si="40"/>
        <v>1406.1134999999999</v>
      </c>
    </row>
    <row r="205" spans="1:19" x14ac:dyDescent="0.3">
      <c r="A205" t="s">
        <v>13</v>
      </c>
      <c r="B205" t="s">
        <v>24</v>
      </c>
      <c r="C205" t="s">
        <v>15</v>
      </c>
      <c r="D205">
        <v>0</v>
      </c>
      <c r="E205">
        <v>21</v>
      </c>
      <c r="F205">
        <v>0</v>
      </c>
      <c r="G205">
        <v>20260304</v>
      </c>
      <c r="H205">
        <v>20260324</v>
      </c>
      <c r="I205">
        <v>2866.9856</v>
      </c>
      <c r="J205">
        <f t="shared" si="31"/>
        <v>21</v>
      </c>
      <c r="K205">
        <f t="shared" si="32"/>
        <v>136.52312380952381</v>
      </c>
      <c r="L205">
        <f t="shared" si="33"/>
        <v>0</v>
      </c>
      <c r="M205">
        <f t="shared" si="34"/>
        <v>2866.9856</v>
      </c>
      <c r="N205">
        <f t="shared" si="35"/>
        <v>0</v>
      </c>
      <c r="O205">
        <f t="shared" si="36"/>
        <v>2866.9856</v>
      </c>
      <c r="P205">
        <f t="shared" si="37"/>
        <v>0</v>
      </c>
      <c r="Q205">
        <f t="shared" si="38"/>
        <v>2866.9856</v>
      </c>
      <c r="R205">
        <f t="shared" si="39"/>
        <v>0</v>
      </c>
      <c r="S205">
        <f t="shared" si="40"/>
        <v>2866.9856</v>
      </c>
    </row>
    <row r="206" spans="1:19" x14ac:dyDescent="0.3">
      <c r="A206" t="s">
        <v>13</v>
      </c>
      <c r="B206" t="s">
        <v>24</v>
      </c>
      <c r="C206" t="s">
        <v>14</v>
      </c>
      <c r="D206">
        <v>0</v>
      </c>
      <c r="E206">
        <v>13</v>
      </c>
      <c r="F206">
        <v>0</v>
      </c>
      <c r="G206">
        <v>20260303</v>
      </c>
      <c r="H206">
        <v>20260315</v>
      </c>
      <c r="I206">
        <v>2915.4203000000002</v>
      </c>
      <c r="J206">
        <f t="shared" si="31"/>
        <v>13</v>
      </c>
      <c r="K206">
        <f t="shared" si="32"/>
        <v>224.26310000000001</v>
      </c>
      <c r="L206">
        <f t="shared" si="33"/>
        <v>0</v>
      </c>
      <c r="M206">
        <f t="shared" si="34"/>
        <v>2915.4203000000002</v>
      </c>
      <c r="N206">
        <f t="shared" si="35"/>
        <v>0</v>
      </c>
      <c r="O206">
        <f t="shared" si="36"/>
        <v>2915.4203000000002</v>
      </c>
      <c r="P206">
        <f t="shared" si="37"/>
        <v>0</v>
      </c>
      <c r="Q206">
        <f t="shared" si="38"/>
        <v>2915.4203000000002</v>
      </c>
      <c r="R206">
        <f t="shared" si="39"/>
        <v>0</v>
      </c>
      <c r="S206">
        <f t="shared" si="40"/>
        <v>2915.4203000000002</v>
      </c>
    </row>
    <row r="207" spans="1:19" x14ac:dyDescent="0.3">
      <c r="A207" t="s">
        <v>13</v>
      </c>
      <c r="B207" t="s">
        <v>37</v>
      </c>
      <c r="C207" t="s">
        <v>15</v>
      </c>
      <c r="D207">
        <v>2</v>
      </c>
      <c r="E207">
        <v>31</v>
      </c>
      <c r="F207">
        <v>6</v>
      </c>
      <c r="G207">
        <v>20260227</v>
      </c>
      <c r="H207">
        <v>20260406</v>
      </c>
      <c r="I207">
        <v>2473.9802</v>
      </c>
      <c r="J207">
        <f t="shared" si="31"/>
        <v>39</v>
      </c>
      <c r="K207">
        <f t="shared" si="32"/>
        <v>63.435389743589745</v>
      </c>
      <c r="L207">
        <f t="shared" si="33"/>
        <v>172.08229757757303</v>
      </c>
      <c r="M207">
        <f t="shared" si="34"/>
        <v>1966.4970820512822</v>
      </c>
      <c r="N207">
        <f t="shared" si="35"/>
        <v>236.21466076159808</v>
      </c>
      <c r="O207">
        <f t="shared" si="36"/>
        <v>2374.7940403904536</v>
      </c>
      <c r="P207">
        <f t="shared" si="37"/>
        <v>179.26952389834497</v>
      </c>
      <c r="Q207">
        <f t="shared" si="38"/>
        <v>2048.6302229193534</v>
      </c>
      <c r="R207">
        <f t="shared" si="39"/>
        <v>246.08045318230106</v>
      </c>
      <c r="S207">
        <f t="shared" si="40"/>
        <v>2473.9801999999995</v>
      </c>
    </row>
    <row r="208" spans="1:19" x14ac:dyDescent="0.3">
      <c r="A208" t="s">
        <v>13</v>
      </c>
      <c r="B208" t="s">
        <v>24</v>
      </c>
      <c r="C208" t="s">
        <v>15</v>
      </c>
      <c r="D208">
        <v>3</v>
      </c>
      <c r="E208">
        <v>27</v>
      </c>
      <c r="F208">
        <v>0</v>
      </c>
      <c r="G208">
        <v>20260226</v>
      </c>
      <c r="H208">
        <v>20260327</v>
      </c>
      <c r="I208">
        <v>42.226799999999997</v>
      </c>
      <c r="J208">
        <f t="shared" si="31"/>
        <v>30</v>
      </c>
      <c r="K208">
        <f t="shared" si="32"/>
        <v>1.4075599999999999</v>
      </c>
      <c r="L208">
        <f t="shared" si="33"/>
        <v>5.7274691561920692</v>
      </c>
      <c r="M208">
        <f t="shared" si="34"/>
        <v>38.00412</v>
      </c>
      <c r="N208">
        <f t="shared" si="35"/>
        <v>0</v>
      </c>
      <c r="O208">
        <f t="shared" si="36"/>
        <v>43.731589156192072</v>
      </c>
      <c r="P208">
        <f t="shared" si="37"/>
        <v>5.5303888843574454</v>
      </c>
      <c r="Q208">
        <f t="shared" si="38"/>
        <v>36.696411115642547</v>
      </c>
      <c r="R208">
        <f t="shared" si="39"/>
        <v>0</v>
      </c>
      <c r="S208">
        <f t="shared" si="40"/>
        <v>42.22679999999999</v>
      </c>
    </row>
    <row r="209" spans="1:19" x14ac:dyDescent="0.3">
      <c r="A209" t="s">
        <v>13</v>
      </c>
      <c r="B209" t="s">
        <v>37</v>
      </c>
      <c r="C209" t="s">
        <v>15</v>
      </c>
      <c r="D209">
        <v>2</v>
      </c>
      <c r="E209">
        <v>31</v>
      </c>
      <c r="F209">
        <v>2</v>
      </c>
      <c r="G209">
        <v>20260227</v>
      </c>
      <c r="H209">
        <v>20260402</v>
      </c>
      <c r="I209">
        <v>3631.3326000000002</v>
      </c>
      <c r="J209">
        <f t="shared" si="31"/>
        <v>35</v>
      </c>
      <c r="K209">
        <f t="shared" si="32"/>
        <v>103.75236000000001</v>
      </c>
      <c r="L209">
        <f t="shared" si="33"/>
        <v>281.45085196232532</v>
      </c>
      <c r="M209">
        <f t="shared" si="34"/>
        <v>3216.3231600000004</v>
      </c>
      <c r="N209">
        <f t="shared" si="35"/>
        <v>128.78105118545315</v>
      </c>
      <c r="O209">
        <f t="shared" si="36"/>
        <v>3626.555063147779</v>
      </c>
      <c r="P209">
        <f t="shared" si="37"/>
        <v>281.8216285792318</v>
      </c>
      <c r="Q209">
        <f t="shared" si="38"/>
        <v>3220.5602671603738</v>
      </c>
      <c r="R209">
        <f t="shared" si="39"/>
        <v>128.95070426039428</v>
      </c>
      <c r="S209">
        <f t="shared" si="40"/>
        <v>3631.3325999999997</v>
      </c>
    </row>
    <row r="210" spans="1:19" x14ac:dyDescent="0.3">
      <c r="A210" t="s">
        <v>13</v>
      </c>
      <c r="B210" t="s">
        <v>24</v>
      </c>
      <c r="C210" t="s">
        <v>15</v>
      </c>
      <c r="D210">
        <v>16</v>
      </c>
      <c r="E210">
        <v>2</v>
      </c>
      <c r="F210">
        <v>0</v>
      </c>
      <c r="G210">
        <v>20260213</v>
      </c>
      <c r="H210">
        <v>20260302</v>
      </c>
      <c r="I210">
        <v>295.62889999999999</v>
      </c>
      <c r="J210">
        <f t="shared" si="31"/>
        <v>18</v>
      </c>
      <c r="K210">
        <f t="shared" si="32"/>
        <v>16.423827777777777</v>
      </c>
      <c r="L210">
        <f t="shared" si="33"/>
        <v>356.42565204593393</v>
      </c>
      <c r="M210">
        <f t="shared" si="34"/>
        <v>32.847655555555555</v>
      </c>
      <c r="N210">
        <f t="shared" si="35"/>
        <v>0</v>
      </c>
      <c r="O210">
        <f t="shared" si="36"/>
        <v>389.27330760148948</v>
      </c>
      <c r="P210">
        <f t="shared" si="37"/>
        <v>270.68314571928545</v>
      </c>
      <c r="Q210">
        <f t="shared" si="38"/>
        <v>24.945754280714574</v>
      </c>
      <c r="R210">
        <f t="shared" si="39"/>
        <v>0</v>
      </c>
      <c r="S210">
        <f t="shared" si="40"/>
        <v>295.62890000000004</v>
      </c>
    </row>
    <row r="211" spans="1:19" x14ac:dyDescent="0.3">
      <c r="A211" t="s">
        <v>13</v>
      </c>
      <c r="B211" t="s">
        <v>24</v>
      </c>
      <c r="C211" t="s">
        <v>15</v>
      </c>
      <c r="D211">
        <v>28</v>
      </c>
      <c r="E211">
        <v>5</v>
      </c>
      <c r="F211">
        <v>0</v>
      </c>
      <c r="G211">
        <v>20260126</v>
      </c>
      <c r="H211">
        <v>20260305</v>
      </c>
      <c r="I211">
        <v>1181.2152000000001</v>
      </c>
      <c r="J211">
        <f t="shared" si="31"/>
        <v>33</v>
      </c>
      <c r="K211">
        <f t="shared" si="32"/>
        <v>35.794400000000003</v>
      </c>
      <c r="L211">
        <f t="shared" si="33"/>
        <v>1359.4013789828357</v>
      </c>
      <c r="M211">
        <f t="shared" si="34"/>
        <v>178.97200000000001</v>
      </c>
      <c r="N211">
        <f t="shared" si="35"/>
        <v>0</v>
      </c>
      <c r="O211">
        <f t="shared" si="36"/>
        <v>1538.3733789828357</v>
      </c>
      <c r="P211">
        <f t="shared" si="37"/>
        <v>1043.79443488368</v>
      </c>
      <c r="Q211">
        <f t="shared" si="38"/>
        <v>137.42076511632015</v>
      </c>
      <c r="R211">
        <f t="shared" si="39"/>
        <v>0</v>
      </c>
      <c r="S211">
        <f t="shared" si="40"/>
        <v>1181.2152000000001</v>
      </c>
    </row>
    <row r="212" spans="1:19" x14ac:dyDescent="0.3">
      <c r="A212" t="s">
        <v>13</v>
      </c>
      <c r="B212" t="s">
        <v>37</v>
      </c>
      <c r="C212" t="s">
        <v>14</v>
      </c>
      <c r="D212">
        <v>2</v>
      </c>
      <c r="E212">
        <v>31</v>
      </c>
      <c r="F212">
        <v>1</v>
      </c>
      <c r="G212">
        <v>20260227</v>
      </c>
      <c r="H212">
        <v>20260401</v>
      </c>
      <c r="I212">
        <v>19.8719</v>
      </c>
      <c r="J212">
        <f t="shared" si="31"/>
        <v>34</v>
      </c>
      <c r="K212">
        <f t="shared" si="32"/>
        <v>0.58446764705882348</v>
      </c>
      <c r="L212">
        <f t="shared" si="33"/>
        <v>1.5854956668852787</v>
      </c>
      <c r="M212">
        <f t="shared" si="34"/>
        <v>18.118497058823529</v>
      </c>
      <c r="N212">
        <f t="shared" si="35"/>
        <v>0.36273082353077901</v>
      </c>
      <c r="O212">
        <f t="shared" si="36"/>
        <v>20.066723549239587</v>
      </c>
      <c r="P212">
        <f t="shared" si="37"/>
        <v>1.5701024268095574</v>
      </c>
      <c r="Q212">
        <f t="shared" si="38"/>
        <v>17.942588426045219</v>
      </c>
      <c r="R212">
        <f t="shared" si="39"/>
        <v>0.35920914714522167</v>
      </c>
      <c r="S212">
        <f t="shared" si="40"/>
        <v>19.8719</v>
      </c>
    </row>
    <row r="213" spans="1:19" x14ac:dyDescent="0.3">
      <c r="A213" t="s">
        <v>13</v>
      </c>
      <c r="B213" t="s">
        <v>24</v>
      </c>
      <c r="C213" t="s">
        <v>15</v>
      </c>
      <c r="D213">
        <v>15</v>
      </c>
      <c r="E213">
        <v>1</v>
      </c>
      <c r="F213">
        <v>0</v>
      </c>
      <c r="G213">
        <v>20260214</v>
      </c>
      <c r="H213">
        <v>20260301</v>
      </c>
      <c r="I213">
        <v>2955.1824999999999</v>
      </c>
      <c r="J213">
        <f t="shared" si="31"/>
        <v>16</v>
      </c>
      <c r="K213">
        <f t="shared" si="32"/>
        <v>184.69890624999999</v>
      </c>
      <c r="L213">
        <f t="shared" si="33"/>
        <v>3757.7697886032765</v>
      </c>
      <c r="M213">
        <f t="shared" si="34"/>
        <v>184.69890624999999</v>
      </c>
      <c r="N213">
        <f t="shared" si="35"/>
        <v>0</v>
      </c>
      <c r="O213">
        <f t="shared" si="36"/>
        <v>3942.4686948532767</v>
      </c>
      <c r="P213">
        <f t="shared" si="37"/>
        <v>2816.7365115177872</v>
      </c>
      <c r="Q213">
        <f t="shared" si="38"/>
        <v>138.44598848221264</v>
      </c>
      <c r="R213">
        <f t="shared" si="39"/>
        <v>0</v>
      </c>
      <c r="S213">
        <f t="shared" si="40"/>
        <v>2955.1824999999999</v>
      </c>
    </row>
    <row r="214" spans="1:19" x14ac:dyDescent="0.3">
      <c r="A214" t="s">
        <v>13</v>
      </c>
      <c r="B214" t="s">
        <v>24</v>
      </c>
      <c r="C214" t="s">
        <v>15</v>
      </c>
      <c r="D214">
        <v>10</v>
      </c>
      <c r="E214">
        <v>3</v>
      </c>
      <c r="F214">
        <v>0</v>
      </c>
      <c r="G214">
        <v>20260219</v>
      </c>
      <c r="H214">
        <v>20260303</v>
      </c>
      <c r="I214">
        <v>19793.578799999999</v>
      </c>
      <c r="J214">
        <f t="shared" si="31"/>
        <v>13</v>
      </c>
      <c r="K214">
        <f t="shared" si="32"/>
        <v>1522.5829846153845</v>
      </c>
      <c r="L214">
        <f t="shared" si="33"/>
        <v>20651.688221999961</v>
      </c>
      <c r="M214">
        <f t="shared" si="34"/>
        <v>4567.7489538461532</v>
      </c>
      <c r="N214">
        <f t="shared" si="35"/>
        <v>0</v>
      </c>
      <c r="O214">
        <f t="shared" si="36"/>
        <v>25219.437175846113</v>
      </c>
      <c r="P214">
        <f t="shared" si="37"/>
        <v>16208.56228174227</v>
      </c>
      <c r="Q214">
        <f t="shared" si="38"/>
        <v>3585.0165182577302</v>
      </c>
      <c r="R214">
        <f t="shared" si="39"/>
        <v>0</v>
      </c>
      <c r="S214">
        <f t="shared" si="40"/>
        <v>19793.578799999999</v>
      </c>
    </row>
    <row r="215" spans="1:19" x14ac:dyDescent="0.3">
      <c r="A215" t="s">
        <v>13</v>
      </c>
      <c r="B215" t="s">
        <v>37</v>
      </c>
      <c r="C215" t="s">
        <v>15</v>
      </c>
      <c r="D215">
        <v>3</v>
      </c>
      <c r="E215">
        <v>31</v>
      </c>
      <c r="F215">
        <v>5</v>
      </c>
      <c r="G215">
        <v>20260226</v>
      </c>
      <c r="H215">
        <v>20260405</v>
      </c>
      <c r="I215">
        <v>4199.8428999999996</v>
      </c>
      <c r="J215">
        <f t="shared" si="31"/>
        <v>39</v>
      </c>
      <c r="K215">
        <f t="shared" si="32"/>
        <v>107.68827948717947</v>
      </c>
      <c r="L215">
        <f t="shared" si="33"/>
        <v>438.19183498125238</v>
      </c>
      <c r="M215">
        <f t="shared" si="34"/>
        <v>3338.3366641025636</v>
      </c>
      <c r="N215">
        <f t="shared" si="35"/>
        <v>334.16612963579433</v>
      </c>
      <c r="O215">
        <f t="shared" si="36"/>
        <v>4110.6946287196106</v>
      </c>
      <c r="P215">
        <f t="shared" si="37"/>
        <v>447.69486259727546</v>
      </c>
      <c r="Q215">
        <f t="shared" si="38"/>
        <v>3410.7348764332573</v>
      </c>
      <c r="R215">
        <f t="shared" si="39"/>
        <v>341.41316096946662</v>
      </c>
      <c r="S215">
        <f t="shared" si="40"/>
        <v>4199.8428999999996</v>
      </c>
    </row>
    <row r="216" spans="1:19" x14ac:dyDescent="0.3">
      <c r="A216" t="s">
        <v>13</v>
      </c>
      <c r="B216" t="s">
        <v>24</v>
      </c>
      <c r="C216" t="s">
        <v>15</v>
      </c>
      <c r="D216">
        <v>28</v>
      </c>
      <c r="E216">
        <v>6</v>
      </c>
      <c r="F216">
        <v>0</v>
      </c>
      <c r="G216">
        <v>20260128</v>
      </c>
      <c r="H216">
        <v>20260306</v>
      </c>
      <c r="I216">
        <v>17050.434399999998</v>
      </c>
      <c r="J216">
        <f t="shared" si="31"/>
        <v>34</v>
      </c>
      <c r="K216">
        <f t="shared" si="32"/>
        <v>501.48336470588231</v>
      </c>
      <c r="L216">
        <f t="shared" si="33"/>
        <v>19045.358422494264</v>
      </c>
      <c r="M216">
        <f t="shared" si="34"/>
        <v>3008.9001882352941</v>
      </c>
      <c r="N216">
        <f t="shared" si="35"/>
        <v>0</v>
      </c>
      <c r="O216">
        <f t="shared" si="36"/>
        <v>22054.258610729557</v>
      </c>
      <c r="P216">
        <f t="shared" si="37"/>
        <v>14724.21449929138</v>
      </c>
      <c r="Q216">
        <f t="shared" si="38"/>
        <v>2326.2199007086197</v>
      </c>
      <c r="R216">
        <f t="shared" si="39"/>
        <v>0</v>
      </c>
      <c r="S216">
        <f t="shared" si="40"/>
        <v>17050.434399999998</v>
      </c>
    </row>
    <row r="217" spans="1:19" x14ac:dyDescent="0.3">
      <c r="A217" t="s">
        <v>13</v>
      </c>
      <c r="B217" t="s">
        <v>24</v>
      </c>
      <c r="C217" t="s">
        <v>15</v>
      </c>
      <c r="D217">
        <v>28</v>
      </c>
      <c r="E217">
        <v>3</v>
      </c>
      <c r="F217">
        <v>0</v>
      </c>
      <c r="G217">
        <v>20260129</v>
      </c>
      <c r="H217">
        <v>20260303</v>
      </c>
      <c r="I217">
        <v>42.1922</v>
      </c>
      <c r="J217">
        <f t="shared" si="31"/>
        <v>31</v>
      </c>
      <c r="K217">
        <f t="shared" si="32"/>
        <v>1.3610387096774192</v>
      </c>
      <c r="L217">
        <f t="shared" si="33"/>
        <v>51.689591075266037</v>
      </c>
      <c r="M217">
        <f t="shared" si="34"/>
        <v>4.0831161290322573</v>
      </c>
      <c r="N217">
        <f t="shared" si="35"/>
        <v>0</v>
      </c>
      <c r="O217">
        <f t="shared" si="36"/>
        <v>55.772707204298293</v>
      </c>
      <c r="P217">
        <f t="shared" si="37"/>
        <v>39.103311886530804</v>
      </c>
      <c r="Q217">
        <f t="shared" si="38"/>
        <v>3.0888881134691961</v>
      </c>
      <c r="R217">
        <f t="shared" si="39"/>
        <v>0</v>
      </c>
      <c r="S217">
        <f t="shared" si="40"/>
        <v>42.1922</v>
      </c>
    </row>
    <row r="218" spans="1:19" x14ac:dyDescent="0.3">
      <c r="A218" t="s">
        <v>13</v>
      </c>
      <c r="B218" t="s">
        <v>24</v>
      </c>
      <c r="C218" t="s">
        <v>15</v>
      </c>
      <c r="D218">
        <v>18</v>
      </c>
      <c r="E218">
        <v>2</v>
      </c>
      <c r="F218">
        <v>0</v>
      </c>
      <c r="G218">
        <v>20260211</v>
      </c>
      <c r="H218">
        <v>20260302</v>
      </c>
      <c r="I218">
        <v>929.18470000000002</v>
      </c>
      <c r="J218">
        <f t="shared" si="31"/>
        <v>20</v>
      </c>
      <c r="K218">
        <f t="shared" si="32"/>
        <v>46.459235</v>
      </c>
      <c r="L218">
        <f t="shared" si="33"/>
        <v>1134.2770559668322</v>
      </c>
      <c r="M218">
        <f t="shared" si="34"/>
        <v>92.918469999999999</v>
      </c>
      <c r="N218">
        <f t="shared" si="35"/>
        <v>0</v>
      </c>
      <c r="O218">
        <f t="shared" si="36"/>
        <v>1227.1955259668323</v>
      </c>
      <c r="P218">
        <f t="shared" si="37"/>
        <v>858.83045013147296</v>
      </c>
      <c r="Q218">
        <f t="shared" si="38"/>
        <v>70.354249868527049</v>
      </c>
      <c r="R218">
        <f t="shared" si="39"/>
        <v>0</v>
      </c>
      <c r="S218">
        <f t="shared" si="40"/>
        <v>929.18470000000002</v>
      </c>
    </row>
    <row r="219" spans="1:19" x14ac:dyDescent="0.3">
      <c r="A219" t="s">
        <v>13</v>
      </c>
      <c r="B219" t="s">
        <v>24</v>
      </c>
      <c r="C219" t="s">
        <v>15</v>
      </c>
      <c r="D219">
        <v>5</v>
      </c>
      <c r="E219">
        <v>3</v>
      </c>
      <c r="F219">
        <v>0</v>
      </c>
      <c r="G219">
        <v>20260224</v>
      </c>
      <c r="H219">
        <v>20260303</v>
      </c>
      <c r="I219">
        <v>1822.1251999999999</v>
      </c>
      <c r="J219">
        <f t="shared" si="31"/>
        <v>8</v>
      </c>
      <c r="K219">
        <f t="shared" si="32"/>
        <v>227.76564999999999</v>
      </c>
      <c r="L219">
        <f t="shared" si="33"/>
        <v>1544.6597128068411</v>
      </c>
      <c r="M219">
        <f t="shared" si="34"/>
        <v>683.29694999999992</v>
      </c>
      <c r="N219">
        <f t="shared" si="35"/>
        <v>0</v>
      </c>
      <c r="O219">
        <f t="shared" si="36"/>
        <v>2227.956662806841</v>
      </c>
      <c r="P219">
        <f t="shared" si="37"/>
        <v>1263.293597723864</v>
      </c>
      <c r="Q219">
        <f t="shared" si="38"/>
        <v>558.83160227613598</v>
      </c>
      <c r="R219">
        <f t="shared" si="39"/>
        <v>0</v>
      </c>
      <c r="S219">
        <f t="shared" si="40"/>
        <v>1822.1251999999999</v>
      </c>
    </row>
    <row r="220" spans="1:19" x14ac:dyDescent="0.3">
      <c r="A220" t="s">
        <v>13</v>
      </c>
      <c r="B220" t="s">
        <v>24</v>
      </c>
      <c r="C220" t="s">
        <v>15</v>
      </c>
      <c r="D220">
        <v>4</v>
      </c>
      <c r="E220">
        <v>6</v>
      </c>
      <c r="F220">
        <v>0</v>
      </c>
      <c r="G220">
        <v>20260225</v>
      </c>
      <c r="H220">
        <v>20260306</v>
      </c>
      <c r="I220">
        <v>1060.4374</v>
      </c>
      <c r="J220">
        <f t="shared" si="31"/>
        <v>10</v>
      </c>
      <c r="K220">
        <f t="shared" si="32"/>
        <v>106.04374</v>
      </c>
      <c r="L220">
        <f t="shared" si="33"/>
        <v>575.33343758679439</v>
      </c>
      <c r="M220">
        <f t="shared" si="34"/>
        <v>636.26243999999997</v>
      </c>
      <c r="N220">
        <f t="shared" si="35"/>
        <v>0</v>
      </c>
      <c r="O220">
        <f t="shared" si="36"/>
        <v>1211.5958775867944</v>
      </c>
      <c r="P220">
        <f t="shared" si="37"/>
        <v>503.55494432911422</v>
      </c>
      <c r="Q220">
        <f t="shared" si="38"/>
        <v>556.88245567088575</v>
      </c>
      <c r="R220">
        <f t="shared" si="39"/>
        <v>0</v>
      </c>
      <c r="S220">
        <f t="shared" si="40"/>
        <v>1060.4374</v>
      </c>
    </row>
    <row r="221" spans="1:19" x14ac:dyDescent="0.3">
      <c r="A221" t="s">
        <v>13</v>
      </c>
      <c r="B221" t="s">
        <v>37</v>
      </c>
      <c r="C221" t="s">
        <v>15</v>
      </c>
      <c r="D221">
        <v>0</v>
      </c>
      <c r="E221">
        <v>19</v>
      </c>
      <c r="F221">
        <v>2</v>
      </c>
      <c r="G221">
        <v>20260313</v>
      </c>
      <c r="H221">
        <v>20260402</v>
      </c>
      <c r="I221">
        <v>1315.7501</v>
      </c>
      <c r="J221">
        <f t="shared" si="31"/>
        <v>21</v>
      </c>
      <c r="K221">
        <f t="shared" si="32"/>
        <v>62.654766666666667</v>
      </c>
      <c r="L221">
        <f t="shared" si="33"/>
        <v>0</v>
      </c>
      <c r="M221">
        <f t="shared" si="34"/>
        <v>1190.4405666666667</v>
      </c>
      <c r="N221">
        <f t="shared" si="35"/>
        <v>77.769283639549244</v>
      </c>
      <c r="O221">
        <f t="shared" si="36"/>
        <v>1268.2098503062159</v>
      </c>
      <c r="P221">
        <f t="shared" si="37"/>
        <v>0</v>
      </c>
      <c r="Q221">
        <f t="shared" si="38"/>
        <v>1235.0655487004194</v>
      </c>
      <c r="R221">
        <f t="shared" si="39"/>
        <v>80.684551299580576</v>
      </c>
      <c r="S221">
        <f t="shared" si="40"/>
        <v>1315.7501</v>
      </c>
    </row>
    <row r="222" spans="1:19" x14ac:dyDescent="0.3">
      <c r="A222" t="s">
        <v>13</v>
      </c>
      <c r="B222" t="s">
        <v>37</v>
      </c>
      <c r="C222" t="s">
        <v>15</v>
      </c>
      <c r="D222">
        <v>0</v>
      </c>
      <c r="E222">
        <v>12</v>
      </c>
      <c r="F222">
        <v>1</v>
      </c>
      <c r="G222">
        <v>20260320</v>
      </c>
      <c r="H222">
        <v>20260401</v>
      </c>
      <c r="I222">
        <v>175.34200000000001</v>
      </c>
      <c r="J222">
        <f t="shared" si="31"/>
        <v>13</v>
      </c>
      <c r="K222">
        <f t="shared" si="32"/>
        <v>13.487846153846155</v>
      </c>
      <c r="L222">
        <f t="shared" si="33"/>
        <v>0</v>
      </c>
      <c r="M222">
        <f t="shared" si="34"/>
        <v>161.85415384615385</v>
      </c>
      <c r="N222">
        <f t="shared" si="35"/>
        <v>8.3707927507382909</v>
      </c>
      <c r="O222">
        <f t="shared" si="36"/>
        <v>170.22494659689215</v>
      </c>
      <c r="P222">
        <f t="shared" si="37"/>
        <v>0</v>
      </c>
      <c r="Q222">
        <f t="shared" si="38"/>
        <v>166.7195767192589</v>
      </c>
      <c r="R222">
        <f t="shared" si="39"/>
        <v>8.622423280741101</v>
      </c>
      <c r="S222">
        <f t="shared" si="40"/>
        <v>175.34199999999998</v>
      </c>
    </row>
    <row r="223" spans="1:19" x14ac:dyDescent="0.3">
      <c r="A223" t="s">
        <v>13</v>
      </c>
      <c r="B223" t="s">
        <v>24</v>
      </c>
      <c r="C223" t="s">
        <v>15</v>
      </c>
      <c r="D223">
        <v>0</v>
      </c>
      <c r="E223">
        <v>12</v>
      </c>
      <c r="F223">
        <v>1</v>
      </c>
      <c r="G223">
        <v>20260320</v>
      </c>
      <c r="H223">
        <v>20260401</v>
      </c>
      <c r="I223">
        <v>2104.1034</v>
      </c>
      <c r="J223">
        <f t="shared" si="31"/>
        <v>13</v>
      </c>
      <c r="K223">
        <f t="shared" si="32"/>
        <v>161.85410769230768</v>
      </c>
      <c r="L223">
        <f t="shared" si="33"/>
        <v>0</v>
      </c>
      <c r="M223">
        <f t="shared" si="34"/>
        <v>1942.249292307692</v>
      </c>
      <c r="N223">
        <f t="shared" si="35"/>
        <v>100.44948436497695</v>
      </c>
      <c r="O223">
        <f t="shared" si="36"/>
        <v>2042.6987766726691</v>
      </c>
      <c r="P223">
        <f t="shared" si="37"/>
        <v>0</v>
      </c>
      <c r="Q223">
        <f t="shared" si="38"/>
        <v>2000.6343501360398</v>
      </c>
      <c r="R223">
        <f t="shared" si="39"/>
        <v>103.46904986396018</v>
      </c>
      <c r="S223">
        <f t="shared" si="40"/>
        <v>2104.1034</v>
      </c>
    </row>
    <row r="224" spans="1:19" x14ac:dyDescent="0.3">
      <c r="A224" t="s">
        <v>13</v>
      </c>
      <c r="B224" t="s">
        <v>24</v>
      </c>
      <c r="C224" t="s">
        <v>15</v>
      </c>
      <c r="D224">
        <v>0</v>
      </c>
      <c r="E224">
        <v>14</v>
      </c>
      <c r="F224">
        <v>1</v>
      </c>
      <c r="G224">
        <v>20260318</v>
      </c>
      <c r="H224">
        <v>20260401</v>
      </c>
      <c r="I224">
        <v>865.89980000000003</v>
      </c>
      <c r="J224">
        <f t="shared" si="31"/>
        <v>15</v>
      </c>
      <c r="K224">
        <f t="shared" si="32"/>
        <v>57.726653333333338</v>
      </c>
      <c r="L224">
        <f t="shared" si="33"/>
        <v>0</v>
      </c>
      <c r="M224">
        <f t="shared" si="34"/>
        <v>808.17314666666675</v>
      </c>
      <c r="N224">
        <f t="shared" si="35"/>
        <v>35.826168665873766</v>
      </c>
      <c r="O224">
        <f t="shared" si="36"/>
        <v>843.9993153325405</v>
      </c>
      <c r="P224">
        <f t="shared" si="37"/>
        <v>0</v>
      </c>
      <c r="Q224">
        <f t="shared" si="38"/>
        <v>829.14399733643563</v>
      </c>
      <c r="R224">
        <f t="shared" si="39"/>
        <v>36.755802663564445</v>
      </c>
      <c r="S224">
        <f t="shared" si="40"/>
        <v>865.89980000000003</v>
      </c>
    </row>
    <row r="225" spans="1:19" x14ac:dyDescent="0.3">
      <c r="A225" t="s">
        <v>13</v>
      </c>
      <c r="B225" t="s">
        <v>37</v>
      </c>
      <c r="C225" t="s">
        <v>15</v>
      </c>
      <c r="D225">
        <v>0</v>
      </c>
      <c r="E225">
        <v>13</v>
      </c>
      <c r="F225">
        <v>1</v>
      </c>
      <c r="G225">
        <v>20260319</v>
      </c>
      <c r="H225">
        <v>20260401</v>
      </c>
      <c r="I225">
        <v>2241.7930999999999</v>
      </c>
      <c r="J225">
        <f t="shared" si="31"/>
        <v>14</v>
      </c>
      <c r="K225">
        <f t="shared" si="32"/>
        <v>160.12807857142857</v>
      </c>
      <c r="L225">
        <f t="shared" si="33"/>
        <v>0</v>
      </c>
      <c r="M225">
        <f t="shared" si="34"/>
        <v>2081.6650214285714</v>
      </c>
      <c r="N225">
        <f t="shared" si="35"/>
        <v>99.378280565065722</v>
      </c>
      <c r="O225">
        <f t="shared" si="36"/>
        <v>2181.0433019936372</v>
      </c>
      <c r="P225">
        <f t="shared" si="37"/>
        <v>0</v>
      </c>
      <c r="Q225">
        <f t="shared" si="38"/>
        <v>2139.6467815582773</v>
      </c>
      <c r="R225">
        <f t="shared" si="39"/>
        <v>102.1463184417227</v>
      </c>
      <c r="S225">
        <f t="shared" si="40"/>
        <v>2241.7930999999999</v>
      </c>
    </row>
    <row r="226" spans="1:19" x14ac:dyDescent="0.3">
      <c r="A226" t="s">
        <v>13</v>
      </c>
      <c r="B226" t="s">
        <v>24</v>
      </c>
      <c r="C226" t="s">
        <v>15</v>
      </c>
      <c r="D226">
        <v>0</v>
      </c>
      <c r="E226">
        <v>1</v>
      </c>
      <c r="F226">
        <v>15</v>
      </c>
      <c r="G226">
        <v>20260331</v>
      </c>
      <c r="H226">
        <v>20260415</v>
      </c>
      <c r="I226">
        <v>52.653799999999997</v>
      </c>
      <c r="J226">
        <f t="shared" si="31"/>
        <v>16</v>
      </c>
      <c r="K226">
        <f t="shared" si="32"/>
        <v>3.2908624999999998</v>
      </c>
      <c r="L226">
        <f t="shared" si="33"/>
        <v>0</v>
      </c>
      <c r="M226">
        <f t="shared" si="34"/>
        <v>3.2908624999999998</v>
      </c>
      <c r="N226">
        <f t="shared" si="35"/>
        <v>30.635500632717285</v>
      </c>
      <c r="O226">
        <f t="shared" si="36"/>
        <v>33.926363132717285</v>
      </c>
      <c r="P226">
        <f t="shared" si="37"/>
        <v>0</v>
      </c>
      <c r="Q226">
        <f t="shared" si="38"/>
        <v>5.1074267885613365</v>
      </c>
      <c r="R226">
        <f t="shared" si="39"/>
        <v>47.546373211438656</v>
      </c>
      <c r="S226">
        <f t="shared" si="40"/>
        <v>52.65379999999999</v>
      </c>
    </row>
    <row r="227" spans="1:19" x14ac:dyDescent="0.3">
      <c r="A227" t="s">
        <v>13</v>
      </c>
      <c r="B227" t="s">
        <v>24</v>
      </c>
      <c r="C227" t="s">
        <v>15</v>
      </c>
      <c r="D227">
        <v>0</v>
      </c>
      <c r="E227">
        <v>7</v>
      </c>
      <c r="F227">
        <v>2</v>
      </c>
      <c r="G227">
        <v>20260325</v>
      </c>
      <c r="H227">
        <v>20260402</v>
      </c>
      <c r="I227">
        <v>788.8972</v>
      </c>
      <c r="J227">
        <f t="shared" si="31"/>
        <v>9</v>
      </c>
      <c r="K227">
        <f t="shared" si="32"/>
        <v>87.655244444444449</v>
      </c>
      <c r="L227">
        <f t="shared" si="33"/>
        <v>0</v>
      </c>
      <c r="M227">
        <f t="shared" si="34"/>
        <v>613.58671111111119</v>
      </c>
      <c r="N227">
        <f t="shared" si="35"/>
        <v>108.80074941402208</v>
      </c>
      <c r="O227">
        <f t="shared" si="36"/>
        <v>722.38746052513329</v>
      </c>
      <c r="P227">
        <f t="shared" si="37"/>
        <v>0</v>
      </c>
      <c r="Q227">
        <f t="shared" si="38"/>
        <v>670.07923698022603</v>
      </c>
      <c r="R227">
        <f t="shared" si="39"/>
        <v>118.81796301977388</v>
      </c>
      <c r="S227">
        <f t="shared" si="40"/>
        <v>788.89719999999988</v>
      </c>
    </row>
    <row r="228" spans="1:19" x14ac:dyDescent="0.3">
      <c r="A228" t="s">
        <v>13</v>
      </c>
      <c r="B228" t="s">
        <v>37</v>
      </c>
      <c r="C228" t="s">
        <v>15</v>
      </c>
      <c r="D228">
        <v>0</v>
      </c>
      <c r="E228">
        <v>7</v>
      </c>
      <c r="F228">
        <v>1</v>
      </c>
      <c r="G228">
        <v>20260325</v>
      </c>
      <c r="H228">
        <v>20260401</v>
      </c>
      <c r="I228">
        <v>1649.1950999999999</v>
      </c>
      <c r="J228">
        <f t="shared" si="31"/>
        <v>8</v>
      </c>
      <c r="K228">
        <f t="shared" si="32"/>
        <v>206.14938749999999</v>
      </c>
      <c r="L228">
        <f t="shared" si="33"/>
        <v>0</v>
      </c>
      <c r="M228">
        <f t="shared" si="34"/>
        <v>1443.0457124999998</v>
      </c>
      <c r="N228">
        <f t="shared" si="35"/>
        <v>127.93990817889497</v>
      </c>
      <c r="O228">
        <f t="shared" si="36"/>
        <v>1570.9856206788947</v>
      </c>
      <c r="P228">
        <f t="shared" si="37"/>
        <v>0</v>
      </c>
      <c r="Q228">
        <f t="shared" si="38"/>
        <v>1514.8858696125812</v>
      </c>
      <c r="R228">
        <f t="shared" si="39"/>
        <v>134.30923038741861</v>
      </c>
      <c r="S228">
        <f t="shared" si="40"/>
        <v>1649.1950999999999</v>
      </c>
    </row>
    <row r="229" spans="1:19" x14ac:dyDescent="0.3">
      <c r="A229" t="s">
        <v>13</v>
      </c>
      <c r="B229" t="s">
        <v>37</v>
      </c>
      <c r="C229" t="s">
        <v>15</v>
      </c>
      <c r="D229">
        <v>0</v>
      </c>
      <c r="E229">
        <v>8</v>
      </c>
      <c r="F229">
        <v>17</v>
      </c>
      <c r="G229">
        <v>20260324</v>
      </c>
      <c r="H229">
        <v>20260417</v>
      </c>
      <c r="I229">
        <v>1950.6925000000001</v>
      </c>
      <c r="J229">
        <f t="shared" si="31"/>
        <v>25</v>
      </c>
      <c r="K229">
        <f t="shared" si="32"/>
        <v>78.02770000000001</v>
      </c>
      <c r="L229">
        <f t="shared" si="33"/>
        <v>0</v>
      </c>
      <c r="M229">
        <f t="shared" si="34"/>
        <v>624.22160000000008</v>
      </c>
      <c r="N229">
        <f t="shared" si="35"/>
        <v>823.23099382469047</v>
      </c>
      <c r="O229">
        <f t="shared" si="36"/>
        <v>1447.4525938246907</v>
      </c>
      <c r="P229">
        <f t="shared" si="37"/>
        <v>0</v>
      </c>
      <c r="Q229">
        <f t="shared" si="38"/>
        <v>841.24647581064653</v>
      </c>
      <c r="R229">
        <f t="shared" si="39"/>
        <v>1109.4460241893535</v>
      </c>
      <c r="S229">
        <f t="shared" si="40"/>
        <v>1950.6925000000001</v>
      </c>
    </row>
    <row r="230" spans="1:19" x14ac:dyDescent="0.3">
      <c r="A230" t="s">
        <v>13</v>
      </c>
      <c r="B230" t="s">
        <v>37</v>
      </c>
      <c r="C230" t="s">
        <v>15</v>
      </c>
      <c r="D230">
        <v>0</v>
      </c>
      <c r="E230">
        <v>21</v>
      </c>
      <c r="F230">
        <v>1</v>
      </c>
      <c r="G230">
        <v>20260311</v>
      </c>
      <c r="H230">
        <v>20260401</v>
      </c>
      <c r="I230">
        <v>4126.7964000000002</v>
      </c>
      <c r="J230">
        <f t="shared" si="31"/>
        <v>22</v>
      </c>
      <c r="K230">
        <f t="shared" si="32"/>
        <v>187.58165454545454</v>
      </c>
      <c r="L230">
        <f t="shared" si="33"/>
        <v>0</v>
      </c>
      <c r="M230">
        <f t="shared" si="34"/>
        <v>3939.2147454545452</v>
      </c>
      <c r="N230">
        <f t="shared" si="35"/>
        <v>116.41644901123294</v>
      </c>
      <c r="O230">
        <f t="shared" si="36"/>
        <v>4055.6311944657782</v>
      </c>
      <c r="P230">
        <f t="shared" si="37"/>
        <v>0</v>
      </c>
      <c r="Q230">
        <f t="shared" si="38"/>
        <v>4008.3371615623632</v>
      </c>
      <c r="R230">
        <f t="shared" si="39"/>
        <v>118.45923843763688</v>
      </c>
      <c r="S230">
        <f t="shared" si="40"/>
        <v>4126.7964000000002</v>
      </c>
    </row>
    <row r="231" spans="1:19" x14ac:dyDescent="0.3">
      <c r="A231" t="s">
        <v>13</v>
      </c>
      <c r="B231" t="s">
        <v>24</v>
      </c>
      <c r="C231" t="s">
        <v>15</v>
      </c>
      <c r="D231">
        <v>0</v>
      </c>
      <c r="E231">
        <v>20</v>
      </c>
      <c r="F231">
        <v>1</v>
      </c>
      <c r="G231">
        <v>20260312</v>
      </c>
      <c r="H231">
        <v>20260401</v>
      </c>
      <c r="I231">
        <v>4733.1579000000002</v>
      </c>
      <c r="J231">
        <f t="shared" si="31"/>
        <v>21</v>
      </c>
      <c r="K231">
        <f t="shared" si="32"/>
        <v>225.38847142857145</v>
      </c>
      <c r="L231">
        <f t="shared" si="33"/>
        <v>0</v>
      </c>
      <c r="M231">
        <f t="shared" si="34"/>
        <v>4507.7694285714288</v>
      </c>
      <c r="N231">
        <f t="shared" si="35"/>
        <v>139.88001947933475</v>
      </c>
      <c r="O231">
        <f t="shared" si="36"/>
        <v>4647.6494480507636</v>
      </c>
      <c r="P231">
        <f t="shared" si="37"/>
        <v>0</v>
      </c>
      <c r="Q231">
        <f t="shared" si="38"/>
        <v>4590.7043379034776</v>
      </c>
      <c r="R231">
        <f t="shared" si="39"/>
        <v>142.45356209652232</v>
      </c>
      <c r="S231">
        <f t="shared" si="40"/>
        <v>4733.1579000000002</v>
      </c>
    </row>
    <row r="232" spans="1:19" x14ac:dyDescent="0.3">
      <c r="A232" t="s">
        <v>13</v>
      </c>
      <c r="B232" t="s">
        <v>24</v>
      </c>
      <c r="C232" t="s">
        <v>15</v>
      </c>
      <c r="D232">
        <v>0</v>
      </c>
      <c r="E232">
        <v>8</v>
      </c>
      <c r="F232">
        <v>6</v>
      </c>
      <c r="G232">
        <v>20260324</v>
      </c>
      <c r="H232">
        <v>20260406</v>
      </c>
      <c r="I232">
        <v>1060.8321000000001</v>
      </c>
      <c r="J232">
        <f t="shared" si="31"/>
        <v>14</v>
      </c>
      <c r="K232">
        <f t="shared" si="32"/>
        <v>75.773721428571434</v>
      </c>
      <c r="L232">
        <f t="shared" si="33"/>
        <v>0</v>
      </c>
      <c r="M232">
        <f t="shared" si="34"/>
        <v>606.18977142857148</v>
      </c>
      <c r="N232">
        <f t="shared" si="35"/>
        <v>282.15896480249103</v>
      </c>
      <c r="O232">
        <f t="shared" si="36"/>
        <v>888.3487362310625</v>
      </c>
      <c r="P232">
        <f t="shared" si="37"/>
        <v>0</v>
      </c>
      <c r="Q232">
        <f t="shared" si="38"/>
        <v>723.88865092709261</v>
      </c>
      <c r="R232">
        <f t="shared" si="39"/>
        <v>336.94344907290741</v>
      </c>
      <c r="S232">
        <f t="shared" si="40"/>
        <v>1060.8321000000001</v>
      </c>
    </row>
    <row r="233" spans="1:19" x14ac:dyDescent="0.3">
      <c r="A233" t="s">
        <v>13</v>
      </c>
      <c r="B233" t="s">
        <v>24</v>
      </c>
      <c r="C233" t="s">
        <v>15</v>
      </c>
      <c r="D233">
        <v>0</v>
      </c>
      <c r="E233">
        <v>16</v>
      </c>
      <c r="F233">
        <v>1</v>
      </c>
      <c r="G233">
        <v>20260316</v>
      </c>
      <c r="H233">
        <v>20260401</v>
      </c>
      <c r="I233">
        <v>28833.5471</v>
      </c>
      <c r="J233">
        <f t="shared" si="31"/>
        <v>17</v>
      </c>
      <c r="K233">
        <f t="shared" si="32"/>
        <v>1696.0910058823529</v>
      </c>
      <c r="L233">
        <f t="shared" si="33"/>
        <v>0</v>
      </c>
      <c r="M233">
        <f t="shared" si="34"/>
        <v>27137.456094117646</v>
      </c>
      <c r="N233">
        <f t="shared" si="35"/>
        <v>1052.623683180421</v>
      </c>
      <c r="O233">
        <f t="shared" si="36"/>
        <v>28190.079777298066</v>
      </c>
      <c r="P233">
        <f t="shared" si="37"/>
        <v>0</v>
      </c>
      <c r="Q233">
        <f t="shared" si="38"/>
        <v>27756.896207653102</v>
      </c>
      <c r="R233">
        <f t="shared" si="39"/>
        <v>1076.6508923468959</v>
      </c>
      <c r="S233">
        <f t="shared" si="40"/>
        <v>28833.5471</v>
      </c>
    </row>
    <row r="234" spans="1:19" x14ac:dyDescent="0.3">
      <c r="A234" t="s">
        <v>13</v>
      </c>
      <c r="B234" t="s">
        <v>37</v>
      </c>
      <c r="C234" t="s">
        <v>15</v>
      </c>
      <c r="D234">
        <v>0</v>
      </c>
      <c r="E234">
        <v>28</v>
      </c>
      <c r="F234">
        <v>1</v>
      </c>
      <c r="G234">
        <v>20260304</v>
      </c>
      <c r="H234">
        <v>20260401</v>
      </c>
      <c r="I234">
        <v>393800.68310000002</v>
      </c>
      <c r="J234">
        <f t="shared" si="31"/>
        <v>29</v>
      </c>
      <c r="K234">
        <f t="shared" si="32"/>
        <v>13579.333900000001</v>
      </c>
      <c r="L234">
        <f t="shared" si="33"/>
        <v>0</v>
      </c>
      <c r="M234">
        <f t="shared" si="34"/>
        <v>380221.34920000006</v>
      </c>
      <c r="N234">
        <f t="shared" si="35"/>
        <v>8427.5716429017084</v>
      </c>
      <c r="O234">
        <f t="shared" si="36"/>
        <v>388648.92084290175</v>
      </c>
      <c r="P234">
        <f t="shared" si="37"/>
        <v>0</v>
      </c>
      <c r="Q234">
        <f t="shared" si="38"/>
        <v>385261.39920683729</v>
      </c>
      <c r="R234">
        <f t="shared" si="39"/>
        <v>8539.2838931627684</v>
      </c>
      <c r="S234">
        <f t="shared" si="40"/>
        <v>393800.68310000008</v>
      </c>
    </row>
    <row r="235" spans="1:19" x14ac:dyDescent="0.3">
      <c r="A235" t="s">
        <v>13</v>
      </c>
      <c r="B235" t="s">
        <v>24</v>
      </c>
      <c r="C235" t="s">
        <v>15</v>
      </c>
      <c r="D235">
        <v>27</v>
      </c>
      <c r="E235">
        <v>3</v>
      </c>
      <c r="F235">
        <v>0</v>
      </c>
      <c r="G235">
        <v>20260202</v>
      </c>
      <c r="H235">
        <v>20260303</v>
      </c>
      <c r="I235">
        <v>4400015.5805000002</v>
      </c>
      <c r="J235">
        <f t="shared" si="31"/>
        <v>30</v>
      </c>
      <c r="K235">
        <f t="shared" si="32"/>
        <v>146667.18601666667</v>
      </c>
      <c r="L235">
        <f t="shared" si="33"/>
        <v>5371199.8474121802</v>
      </c>
      <c r="M235">
        <f t="shared" si="34"/>
        <v>440001.55804999999</v>
      </c>
      <c r="N235">
        <f t="shared" si="35"/>
        <v>0</v>
      </c>
      <c r="O235">
        <f t="shared" si="36"/>
        <v>5811201.4054621803</v>
      </c>
      <c r="P235">
        <f t="shared" si="37"/>
        <v>4066863.521952427</v>
      </c>
      <c r="Q235">
        <f t="shared" si="38"/>
        <v>333152.05854757305</v>
      </c>
      <c r="R235">
        <f t="shared" si="39"/>
        <v>0</v>
      </c>
      <c r="S235">
        <f t="shared" si="40"/>
        <v>4400015.5805000002</v>
      </c>
    </row>
    <row r="236" spans="1:19" x14ac:dyDescent="0.3">
      <c r="A236" t="s">
        <v>13</v>
      </c>
      <c r="B236" t="s">
        <v>37</v>
      </c>
      <c r="C236" t="s">
        <v>14</v>
      </c>
      <c r="D236">
        <v>0</v>
      </c>
      <c r="E236">
        <v>27</v>
      </c>
      <c r="F236">
        <v>1</v>
      </c>
      <c r="G236">
        <v>20260305</v>
      </c>
      <c r="H236">
        <v>20260401</v>
      </c>
      <c r="I236">
        <v>56707.5308</v>
      </c>
      <c r="J236">
        <f t="shared" si="31"/>
        <v>28</v>
      </c>
      <c r="K236">
        <f t="shared" si="32"/>
        <v>2025.2689571428571</v>
      </c>
      <c r="L236">
        <f t="shared" si="33"/>
        <v>0</v>
      </c>
      <c r="M236">
        <f t="shared" si="34"/>
        <v>54682.261842857144</v>
      </c>
      <c r="N236">
        <f t="shared" si="35"/>
        <v>1256.917265468099</v>
      </c>
      <c r="O236">
        <f t="shared" si="36"/>
        <v>55939.179108325246</v>
      </c>
      <c r="P236">
        <f t="shared" si="37"/>
        <v>0</v>
      </c>
      <c r="Q236">
        <f t="shared" si="38"/>
        <v>55433.349167721164</v>
      </c>
      <c r="R236">
        <f t="shared" si="39"/>
        <v>1274.1816322788357</v>
      </c>
      <c r="S236">
        <f t="shared" si="40"/>
        <v>56707.5308</v>
      </c>
    </row>
    <row r="237" spans="1:19" x14ac:dyDescent="0.3">
      <c r="A237" t="s">
        <v>13</v>
      </c>
      <c r="B237" t="s">
        <v>24</v>
      </c>
      <c r="C237" t="s">
        <v>14</v>
      </c>
      <c r="D237">
        <v>0</v>
      </c>
      <c r="E237">
        <v>30</v>
      </c>
      <c r="F237">
        <v>1</v>
      </c>
      <c r="G237">
        <v>20260302</v>
      </c>
      <c r="H237">
        <v>20260401</v>
      </c>
      <c r="I237">
        <v>4828980.0928999996</v>
      </c>
      <c r="J237">
        <f t="shared" si="31"/>
        <v>31</v>
      </c>
      <c r="K237">
        <f t="shared" si="32"/>
        <v>155773.55138387094</v>
      </c>
      <c r="L237">
        <f t="shared" si="33"/>
        <v>0</v>
      </c>
      <c r="M237">
        <f t="shared" si="34"/>
        <v>4673206.541516128</v>
      </c>
      <c r="N237">
        <f t="shared" si="35"/>
        <v>96675.784985064907</v>
      </c>
      <c r="O237">
        <f t="shared" si="36"/>
        <v>4769882.3265011925</v>
      </c>
      <c r="P237">
        <f t="shared" si="37"/>
        <v>0</v>
      </c>
      <c r="Q237">
        <f t="shared" si="38"/>
        <v>4731106.5167397261</v>
      </c>
      <c r="R237">
        <f t="shared" si="39"/>
        <v>97873.576160273951</v>
      </c>
      <c r="S237">
        <f t="shared" si="40"/>
        <v>4828980.0928999996</v>
      </c>
    </row>
    <row r="238" spans="1:19" x14ac:dyDescent="0.3">
      <c r="A238" t="s">
        <v>13</v>
      </c>
      <c r="B238" t="s">
        <v>24</v>
      </c>
      <c r="C238" t="s">
        <v>14</v>
      </c>
      <c r="D238">
        <v>25</v>
      </c>
      <c r="E238">
        <v>1</v>
      </c>
      <c r="F238">
        <v>0</v>
      </c>
      <c r="G238">
        <v>20260204</v>
      </c>
      <c r="H238">
        <v>20260301</v>
      </c>
      <c r="I238">
        <v>518634.60499999998</v>
      </c>
      <c r="J238">
        <f t="shared" si="31"/>
        <v>26</v>
      </c>
      <c r="K238">
        <f t="shared" si="32"/>
        <v>19947.484807692308</v>
      </c>
      <c r="L238">
        <f t="shared" si="33"/>
        <v>676398.66139316489</v>
      </c>
      <c r="M238">
        <f t="shared" si="34"/>
        <v>19947.484807692308</v>
      </c>
      <c r="N238">
        <f t="shared" si="35"/>
        <v>0</v>
      </c>
      <c r="O238">
        <f t="shared" si="36"/>
        <v>696346.14620085724</v>
      </c>
      <c r="P238">
        <f t="shared" si="37"/>
        <v>503777.83303332218</v>
      </c>
      <c r="Q238">
        <f t="shared" si="38"/>
        <v>14856.771966677778</v>
      </c>
      <c r="R238">
        <f t="shared" si="39"/>
        <v>0</v>
      </c>
      <c r="S238">
        <f t="shared" si="40"/>
        <v>518634.60499999998</v>
      </c>
    </row>
    <row r="239" spans="1:19" x14ac:dyDescent="0.3">
      <c r="A239" t="s">
        <v>13</v>
      </c>
      <c r="B239" t="s">
        <v>24</v>
      </c>
      <c r="C239" t="s">
        <v>15</v>
      </c>
      <c r="D239">
        <v>26</v>
      </c>
      <c r="E239">
        <v>2</v>
      </c>
      <c r="F239">
        <v>0</v>
      </c>
      <c r="G239">
        <v>20260203</v>
      </c>
      <c r="H239">
        <v>20260302</v>
      </c>
      <c r="I239">
        <v>5155103.4617999997</v>
      </c>
      <c r="J239">
        <f t="shared" si="31"/>
        <v>28</v>
      </c>
      <c r="K239">
        <f t="shared" si="32"/>
        <v>184110.83792142855</v>
      </c>
      <c r="L239">
        <f t="shared" si="33"/>
        <v>6492729.2106925324</v>
      </c>
      <c r="M239">
        <f t="shared" si="34"/>
        <v>368221.6758428571</v>
      </c>
      <c r="N239">
        <f t="shared" si="35"/>
        <v>0</v>
      </c>
      <c r="O239">
        <f t="shared" si="36"/>
        <v>6860950.8865353893</v>
      </c>
      <c r="P239">
        <f t="shared" si="37"/>
        <v>4878433.2352906447</v>
      </c>
      <c r="Q239">
        <f t="shared" si="38"/>
        <v>276670.22650935553</v>
      </c>
      <c r="R239">
        <f t="shared" si="39"/>
        <v>0</v>
      </c>
      <c r="S239">
        <f t="shared" si="40"/>
        <v>5155103.4618000006</v>
      </c>
    </row>
    <row r="240" spans="1:19" x14ac:dyDescent="0.3">
      <c r="A240" t="s">
        <v>13</v>
      </c>
      <c r="B240" t="s">
        <v>24</v>
      </c>
      <c r="C240" t="s">
        <v>15</v>
      </c>
      <c r="D240">
        <v>0</v>
      </c>
      <c r="E240">
        <v>25</v>
      </c>
      <c r="F240">
        <v>3</v>
      </c>
      <c r="G240">
        <v>20260307</v>
      </c>
      <c r="H240">
        <v>20260403</v>
      </c>
      <c r="I240">
        <v>922899.52179999999</v>
      </c>
      <c r="J240">
        <f t="shared" si="31"/>
        <v>28</v>
      </c>
      <c r="K240">
        <f t="shared" si="32"/>
        <v>32960.697207142854</v>
      </c>
      <c r="L240">
        <f t="shared" si="33"/>
        <v>0</v>
      </c>
      <c r="M240">
        <f t="shared" si="34"/>
        <v>824017.43017857138</v>
      </c>
      <c r="N240">
        <f t="shared" si="35"/>
        <v>61367.952027423074</v>
      </c>
      <c r="O240">
        <f t="shared" si="36"/>
        <v>885385.38220599445</v>
      </c>
      <c r="P240">
        <f t="shared" si="37"/>
        <v>0</v>
      </c>
      <c r="Q240">
        <f t="shared" si="38"/>
        <v>858931.38462696387</v>
      </c>
      <c r="R240">
        <f t="shared" si="39"/>
        <v>63968.137173036157</v>
      </c>
      <c r="S240">
        <f t="shared" si="40"/>
        <v>922899.52179999999</v>
      </c>
    </row>
    <row r="241" spans="1:19" x14ac:dyDescent="0.3">
      <c r="A241" t="s">
        <v>13</v>
      </c>
      <c r="B241" t="s">
        <v>24</v>
      </c>
      <c r="C241" t="s">
        <v>15</v>
      </c>
      <c r="D241">
        <v>0</v>
      </c>
      <c r="E241">
        <v>27</v>
      </c>
      <c r="F241">
        <v>1</v>
      </c>
      <c r="G241">
        <v>20260305</v>
      </c>
      <c r="H241">
        <v>20260401</v>
      </c>
      <c r="I241">
        <v>3864154.5383000001</v>
      </c>
      <c r="J241">
        <f t="shared" si="31"/>
        <v>28</v>
      </c>
      <c r="K241">
        <f t="shared" si="32"/>
        <v>138005.519225</v>
      </c>
      <c r="L241">
        <f t="shared" si="33"/>
        <v>0</v>
      </c>
      <c r="M241">
        <f t="shared" si="34"/>
        <v>3726149.0190749997</v>
      </c>
      <c r="N241">
        <f t="shared" si="35"/>
        <v>85648.634089816187</v>
      </c>
      <c r="O241">
        <f t="shared" si="36"/>
        <v>3811797.6531648161</v>
      </c>
      <c r="P241">
        <f t="shared" si="37"/>
        <v>0</v>
      </c>
      <c r="Q241">
        <f t="shared" si="38"/>
        <v>3777329.4787791795</v>
      </c>
      <c r="R241">
        <f t="shared" si="39"/>
        <v>86825.059520820563</v>
      </c>
      <c r="S241">
        <f t="shared" si="40"/>
        <v>3864154.5383000001</v>
      </c>
    </row>
    <row r="242" spans="1:19" x14ac:dyDescent="0.3">
      <c r="A242" t="s">
        <v>13</v>
      </c>
      <c r="B242" t="s">
        <v>24</v>
      </c>
      <c r="C242" t="s">
        <v>14</v>
      </c>
      <c r="D242">
        <v>0</v>
      </c>
      <c r="E242">
        <v>30</v>
      </c>
      <c r="F242">
        <v>2</v>
      </c>
      <c r="G242">
        <v>20260302</v>
      </c>
      <c r="H242">
        <v>20260402</v>
      </c>
      <c r="I242">
        <v>1332048.1731</v>
      </c>
      <c r="J242">
        <f t="shared" si="31"/>
        <v>32</v>
      </c>
      <c r="K242">
        <f t="shared" si="32"/>
        <v>41626.505409375</v>
      </c>
      <c r="L242">
        <f t="shared" si="33"/>
        <v>0</v>
      </c>
      <c r="M242">
        <f t="shared" si="34"/>
        <v>1248795.1622812501</v>
      </c>
      <c r="N242">
        <f t="shared" si="35"/>
        <v>51668.271678796162</v>
      </c>
      <c r="O242">
        <f t="shared" si="36"/>
        <v>1300463.4339600464</v>
      </c>
      <c r="P242">
        <f t="shared" si="37"/>
        <v>0</v>
      </c>
      <c r="Q242">
        <f t="shared" si="38"/>
        <v>1279125.0188615168</v>
      </c>
      <c r="R242">
        <f t="shared" si="39"/>
        <v>52923.154238483083</v>
      </c>
      <c r="S242">
        <f t="shared" si="40"/>
        <v>1332048.1731</v>
      </c>
    </row>
    <row r="243" spans="1:19" x14ac:dyDescent="0.3">
      <c r="A243" t="s">
        <v>13</v>
      </c>
      <c r="B243" t="s">
        <v>24</v>
      </c>
      <c r="C243" t="s">
        <v>15</v>
      </c>
      <c r="D243">
        <v>0</v>
      </c>
      <c r="E243">
        <v>27</v>
      </c>
      <c r="F243">
        <v>6</v>
      </c>
      <c r="G243">
        <v>20260305</v>
      </c>
      <c r="H243">
        <v>20260406</v>
      </c>
      <c r="I243">
        <v>1177790.5881000001</v>
      </c>
      <c r="J243">
        <f t="shared" si="31"/>
        <v>33</v>
      </c>
      <c r="K243">
        <f t="shared" si="32"/>
        <v>35690.623881818181</v>
      </c>
      <c r="L243">
        <f t="shared" si="33"/>
        <v>0</v>
      </c>
      <c r="M243">
        <f t="shared" si="34"/>
        <v>963646.84480909084</v>
      </c>
      <c r="N243">
        <f t="shared" si="35"/>
        <v>132901.34492261719</v>
      </c>
      <c r="O243">
        <f t="shared" si="36"/>
        <v>1096548.189731708</v>
      </c>
      <c r="P243">
        <f t="shared" si="37"/>
        <v>0</v>
      </c>
      <c r="Q243">
        <f t="shared" si="38"/>
        <v>1035042.6864013174</v>
      </c>
      <c r="R243">
        <f t="shared" si="39"/>
        <v>142747.90169868263</v>
      </c>
      <c r="S243">
        <f t="shared" si="40"/>
        <v>1177790.5881000001</v>
      </c>
    </row>
    <row r="244" spans="1:19" x14ac:dyDescent="0.3">
      <c r="A244" t="s">
        <v>13</v>
      </c>
      <c r="B244" t="s">
        <v>24</v>
      </c>
      <c r="C244" t="s">
        <v>14</v>
      </c>
      <c r="D244">
        <v>0</v>
      </c>
      <c r="E244">
        <v>14</v>
      </c>
      <c r="F244">
        <v>15</v>
      </c>
      <c r="G244">
        <v>20260318</v>
      </c>
      <c r="H244">
        <v>20260415</v>
      </c>
      <c r="I244">
        <v>562281.30740000005</v>
      </c>
      <c r="J244">
        <f t="shared" si="31"/>
        <v>29</v>
      </c>
      <c r="K244">
        <f t="shared" si="32"/>
        <v>19389.010600000001</v>
      </c>
      <c r="L244">
        <f t="shared" si="33"/>
        <v>0</v>
      </c>
      <c r="M244">
        <f t="shared" si="34"/>
        <v>271446.14840000001</v>
      </c>
      <c r="N244">
        <f t="shared" si="35"/>
        <v>180497.37614502653</v>
      </c>
      <c r="O244">
        <f t="shared" si="36"/>
        <v>451943.52454502654</v>
      </c>
      <c r="P244">
        <f t="shared" si="37"/>
        <v>0</v>
      </c>
      <c r="Q244">
        <f t="shared" si="38"/>
        <v>337717.18571407523</v>
      </c>
      <c r="R244">
        <f t="shared" si="39"/>
        <v>224564.12168592485</v>
      </c>
      <c r="S244">
        <f t="shared" si="40"/>
        <v>562281.30740000005</v>
      </c>
    </row>
    <row r="245" spans="1:19" x14ac:dyDescent="0.3">
      <c r="A245" t="s">
        <v>13</v>
      </c>
      <c r="B245" t="s">
        <v>37</v>
      </c>
      <c r="C245" t="s">
        <v>15</v>
      </c>
      <c r="D245">
        <v>0</v>
      </c>
      <c r="E245">
        <v>27</v>
      </c>
      <c r="F245">
        <v>4</v>
      </c>
      <c r="G245">
        <v>20260305</v>
      </c>
      <c r="H245">
        <v>20260404</v>
      </c>
      <c r="I245">
        <v>229933.7438</v>
      </c>
      <c r="J245">
        <f t="shared" si="31"/>
        <v>31</v>
      </c>
      <c r="K245">
        <f t="shared" si="32"/>
        <v>7417.2175419354835</v>
      </c>
      <c r="L245">
        <f t="shared" si="33"/>
        <v>0</v>
      </c>
      <c r="M245">
        <f t="shared" si="34"/>
        <v>200264.87363225807</v>
      </c>
      <c r="N245">
        <f t="shared" si="35"/>
        <v>18413.018690305154</v>
      </c>
      <c r="O245">
        <f t="shared" si="36"/>
        <v>218677.89232256322</v>
      </c>
      <c r="P245">
        <f t="shared" si="37"/>
        <v>0</v>
      </c>
      <c r="Q245">
        <f t="shared" si="38"/>
        <v>210572.96490664867</v>
      </c>
      <c r="R245">
        <f t="shared" si="39"/>
        <v>19360.778893351333</v>
      </c>
      <c r="S245">
        <f t="shared" si="40"/>
        <v>229933.7438</v>
      </c>
    </row>
    <row r="246" spans="1:19" x14ac:dyDescent="0.3">
      <c r="A246" t="s">
        <v>13</v>
      </c>
      <c r="B246" t="s">
        <v>37</v>
      </c>
      <c r="C246" t="s">
        <v>14</v>
      </c>
      <c r="D246">
        <v>0</v>
      </c>
      <c r="E246">
        <v>30</v>
      </c>
      <c r="F246">
        <v>7</v>
      </c>
      <c r="G246">
        <v>20260302</v>
      </c>
      <c r="H246">
        <v>20260407</v>
      </c>
      <c r="I246">
        <v>47101.637199999997</v>
      </c>
      <c r="J246">
        <f t="shared" si="31"/>
        <v>37</v>
      </c>
      <c r="K246">
        <f t="shared" si="32"/>
        <v>1273.0172216216215</v>
      </c>
      <c r="L246">
        <f t="shared" si="33"/>
        <v>0</v>
      </c>
      <c r="M246">
        <f t="shared" si="34"/>
        <v>38190.516648648641</v>
      </c>
      <c r="N246">
        <f t="shared" si="35"/>
        <v>5530.3969559985026</v>
      </c>
      <c r="O246">
        <f t="shared" si="36"/>
        <v>43720.913604647147</v>
      </c>
      <c r="P246">
        <f t="shared" si="37"/>
        <v>0</v>
      </c>
      <c r="Q246">
        <f t="shared" si="38"/>
        <v>41143.601799620395</v>
      </c>
      <c r="R246">
        <f t="shared" si="39"/>
        <v>5958.0354003796019</v>
      </c>
      <c r="S246">
        <f t="shared" si="40"/>
        <v>47101.637199999997</v>
      </c>
    </row>
    <row r="247" spans="1:19" x14ac:dyDescent="0.3">
      <c r="A247" t="s">
        <v>13</v>
      </c>
      <c r="B247" t="s">
        <v>37</v>
      </c>
      <c r="C247" t="s">
        <v>14</v>
      </c>
      <c r="D247">
        <v>0</v>
      </c>
      <c r="E247">
        <v>29</v>
      </c>
      <c r="F247">
        <v>6</v>
      </c>
      <c r="G247">
        <v>20260303</v>
      </c>
      <c r="H247">
        <v>20260406</v>
      </c>
      <c r="I247">
        <v>13318.0944</v>
      </c>
      <c r="J247">
        <f t="shared" si="31"/>
        <v>35</v>
      </c>
      <c r="K247">
        <f t="shared" si="32"/>
        <v>380.51698285714286</v>
      </c>
      <c r="L247">
        <f t="shared" si="33"/>
        <v>0</v>
      </c>
      <c r="M247">
        <f t="shared" si="34"/>
        <v>11034.992502857143</v>
      </c>
      <c r="N247">
        <f t="shared" si="35"/>
        <v>1416.9328884545828</v>
      </c>
      <c r="O247">
        <f t="shared" si="36"/>
        <v>12451.925391311726</v>
      </c>
      <c r="P247">
        <f t="shared" si="37"/>
        <v>0</v>
      </c>
      <c r="Q247">
        <f t="shared" si="38"/>
        <v>11802.598171595848</v>
      </c>
      <c r="R247">
        <f t="shared" si="39"/>
        <v>1515.496228404151</v>
      </c>
      <c r="S247">
        <f t="shared" si="40"/>
        <v>13318.094399999998</v>
      </c>
    </row>
    <row r="248" spans="1:19" x14ac:dyDescent="0.3">
      <c r="A248" t="s">
        <v>13</v>
      </c>
      <c r="B248" t="s">
        <v>37</v>
      </c>
      <c r="C248" t="s">
        <v>14</v>
      </c>
      <c r="D248">
        <v>0</v>
      </c>
      <c r="E248">
        <v>25</v>
      </c>
      <c r="F248">
        <v>2</v>
      </c>
      <c r="G248">
        <v>20260307</v>
      </c>
      <c r="H248">
        <v>20260402</v>
      </c>
      <c r="I248">
        <v>8016.8687</v>
      </c>
      <c r="J248">
        <f t="shared" si="31"/>
        <v>27</v>
      </c>
      <c r="K248">
        <f t="shared" si="32"/>
        <v>296.92106296296294</v>
      </c>
      <c r="L248">
        <f t="shared" si="33"/>
        <v>0</v>
      </c>
      <c r="M248">
        <f t="shared" si="34"/>
        <v>7423.0265740740733</v>
      </c>
      <c r="N248">
        <f t="shared" si="35"/>
        <v>368.54878874535945</v>
      </c>
      <c r="O248">
        <f t="shared" si="36"/>
        <v>7791.5753628194325</v>
      </c>
      <c r="P248">
        <f t="shared" si="37"/>
        <v>0</v>
      </c>
      <c r="Q248">
        <f t="shared" si="38"/>
        <v>7637.6633260759208</v>
      </c>
      <c r="R248">
        <f t="shared" si="39"/>
        <v>379.20537392407897</v>
      </c>
      <c r="S248">
        <f t="shared" si="40"/>
        <v>8016.8687</v>
      </c>
    </row>
    <row r="249" spans="1:19" x14ac:dyDescent="0.3">
      <c r="A249" t="s">
        <v>13</v>
      </c>
      <c r="B249" t="s">
        <v>24</v>
      </c>
      <c r="C249" t="s">
        <v>14</v>
      </c>
      <c r="D249">
        <v>0</v>
      </c>
      <c r="E249">
        <v>25</v>
      </c>
      <c r="F249">
        <v>2</v>
      </c>
      <c r="G249">
        <v>20260307</v>
      </c>
      <c r="H249">
        <v>20260402</v>
      </c>
      <c r="I249">
        <v>100210.8587</v>
      </c>
      <c r="J249">
        <f t="shared" si="31"/>
        <v>27</v>
      </c>
      <c r="K249">
        <f t="shared" si="32"/>
        <v>3711.5132851851849</v>
      </c>
      <c r="L249">
        <f t="shared" si="33"/>
        <v>0</v>
      </c>
      <c r="M249">
        <f t="shared" si="34"/>
        <v>92787.83212962962</v>
      </c>
      <c r="N249">
        <f t="shared" si="35"/>
        <v>4606.8598570184104</v>
      </c>
      <c r="O249">
        <f t="shared" si="36"/>
        <v>97394.691986648031</v>
      </c>
      <c r="P249">
        <f t="shared" si="37"/>
        <v>0</v>
      </c>
      <c r="Q249">
        <f t="shared" si="38"/>
        <v>95470.791528314061</v>
      </c>
      <c r="R249">
        <f t="shared" si="39"/>
        <v>4740.0671716859415</v>
      </c>
      <c r="S249">
        <f t="shared" si="40"/>
        <v>100210.8587</v>
      </c>
    </row>
    <row r="250" spans="1:19" x14ac:dyDescent="0.3">
      <c r="A250" t="s">
        <v>13</v>
      </c>
      <c r="B250" t="s">
        <v>24</v>
      </c>
      <c r="C250" t="s">
        <v>14</v>
      </c>
      <c r="D250">
        <v>0</v>
      </c>
      <c r="E250">
        <v>26</v>
      </c>
      <c r="F250">
        <v>2</v>
      </c>
      <c r="G250">
        <v>20260306</v>
      </c>
      <c r="H250">
        <v>20260402</v>
      </c>
      <c r="I250">
        <v>1039903.7606</v>
      </c>
      <c r="J250">
        <f t="shared" si="31"/>
        <v>28</v>
      </c>
      <c r="K250">
        <f t="shared" si="32"/>
        <v>37139.420021428574</v>
      </c>
      <c r="L250">
        <f t="shared" si="33"/>
        <v>0</v>
      </c>
      <c r="M250">
        <f t="shared" si="34"/>
        <v>965624.92055714293</v>
      </c>
      <c r="N250">
        <f t="shared" si="35"/>
        <v>46098.744652918125</v>
      </c>
      <c r="O250">
        <f t="shared" si="36"/>
        <v>1011723.665210061</v>
      </c>
      <c r="P250">
        <f t="shared" si="37"/>
        <v>0</v>
      </c>
      <c r="Q250">
        <f t="shared" si="38"/>
        <v>992521.00227185979</v>
      </c>
      <c r="R250">
        <f t="shared" si="39"/>
        <v>47382.758328140349</v>
      </c>
      <c r="S250">
        <f t="shared" si="40"/>
        <v>1039903.7606000002</v>
      </c>
    </row>
    <row r="251" spans="1:19" x14ac:dyDescent="0.3">
      <c r="A251" t="s">
        <v>13</v>
      </c>
      <c r="B251" t="s">
        <v>24</v>
      </c>
      <c r="C251" t="s">
        <v>14</v>
      </c>
      <c r="D251">
        <v>26</v>
      </c>
      <c r="E251">
        <v>5</v>
      </c>
      <c r="F251">
        <v>0</v>
      </c>
      <c r="G251">
        <v>20260203</v>
      </c>
      <c r="H251">
        <v>20260305</v>
      </c>
      <c r="I251">
        <v>211718.89780000001</v>
      </c>
      <c r="J251">
        <f t="shared" si="31"/>
        <v>31</v>
      </c>
      <c r="K251">
        <f t="shared" si="32"/>
        <v>6829.6418645161293</v>
      </c>
      <c r="L251">
        <f t="shared" si="33"/>
        <v>240849.56503884026</v>
      </c>
      <c r="M251">
        <f t="shared" si="34"/>
        <v>34148.209322580646</v>
      </c>
      <c r="N251">
        <f t="shared" si="35"/>
        <v>0</v>
      </c>
      <c r="O251">
        <f t="shared" si="36"/>
        <v>274997.77436142089</v>
      </c>
      <c r="P251">
        <f t="shared" si="37"/>
        <v>185428.42597196795</v>
      </c>
      <c r="Q251">
        <f t="shared" si="38"/>
        <v>26290.471828032081</v>
      </c>
      <c r="R251">
        <f t="shared" si="39"/>
        <v>0</v>
      </c>
      <c r="S251">
        <f t="shared" si="40"/>
        <v>211718.89780000004</v>
      </c>
    </row>
    <row r="252" spans="1:19" x14ac:dyDescent="0.3">
      <c r="A252" t="s">
        <v>13</v>
      </c>
      <c r="B252" t="s">
        <v>37</v>
      </c>
      <c r="C252" t="s">
        <v>14</v>
      </c>
      <c r="D252">
        <v>0</v>
      </c>
      <c r="E252">
        <v>29</v>
      </c>
      <c r="F252">
        <v>1</v>
      </c>
      <c r="G252">
        <v>20260303</v>
      </c>
      <c r="H252">
        <v>20260401</v>
      </c>
      <c r="I252">
        <v>41852.259599999998</v>
      </c>
      <c r="J252">
        <f t="shared" si="31"/>
        <v>30</v>
      </c>
      <c r="K252">
        <f t="shared" si="32"/>
        <v>1395.0753199999999</v>
      </c>
      <c r="L252">
        <f t="shared" si="33"/>
        <v>0</v>
      </c>
      <c r="M252">
        <f t="shared" si="34"/>
        <v>40457.184280000001</v>
      </c>
      <c r="N252">
        <f t="shared" si="35"/>
        <v>865.80809435314245</v>
      </c>
      <c r="O252">
        <f t="shared" si="36"/>
        <v>41322.992374353147</v>
      </c>
      <c r="P252">
        <f t="shared" si="37"/>
        <v>0</v>
      </c>
      <c r="Q252">
        <f t="shared" si="38"/>
        <v>40975.362186560531</v>
      </c>
      <c r="R252">
        <f t="shared" si="39"/>
        <v>876.89741343946491</v>
      </c>
      <c r="S252">
        <f t="shared" si="40"/>
        <v>41852.259599999998</v>
      </c>
    </row>
    <row r="253" spans="1:19" x14ac:dyDescent="0.3">
      <c r="A253" t="s">
        <v>13</v>
      </c>
      <c r="B253" t="s">
        <v>24</v>
      </c>
      <c r="C253" t="s">
        <v>14</v>
      </c>
      <c r="D253">
        <v>25</v>
      </c>
      <c r="E253">
        <v>2</v>
      </c>
      <c r="F253">
        <v>0</v>
      </c>
      <c r="G253">
        <v>20260204</v>
      </c>
      <c r="H253">
        <v>20260302</v>
      </c>
      <c r="I253">
        <v>282780.62969999999</v>
      </c>
      <c r="J253">
        <f t="shared" si="31"/>
        <v>27</v>
      </c>
      <c r="K253">
        <f t="shared" si="32"/>
        <v>10473.356655555555</v>
      </c>
      <c r="L253">
        <f t="shared" si="33"/>
        <v>355140.73530609335</v>
      </c>
      <c r="M253">
        <f t="shared" si="34"/>
        <v>20946.713311111111</v>
      </c>
      <c r="N253">
        <f t="shared" si="35"/>
        <v>0</v>
      </c>
      <c r="O253">
        <f t="shared" si="36"/>
        <v>376087.44861720444</v>
      </c>
      <c r="P253">
        <f t="shared" si="37"/>
        <v>267030.76938947861</v>
      </c>
      <c r="Q253">
        <f t="shared" si="38"/>
        <v>15749.860310521419</v>
      </c>
      <c r="R253">
        <f t="shared" si="39"/>
        <v>0</v>
      </c>
      <c r="S253">
        <f t="shared" si="40"/>
        <v>282780.62970000005</v>
      </c>
    </row>
    <row r="254" spans="1:19" x14ac:dyDescent="0.3">
      <c r="A254" t="s">
        <v>13</v>
      </c>
      <c r="B254" t="s">
        <v>24</v>
      </c>
      <c r="C254" t="s">
        <v>14</v>
      </c>
      <c r="D254">
        <v>22</v>
      </c>
      <c r="E254">
        <v>4</v>
      </c>
      <c r="F254">
        <v>0</v>
      </c>
      <c r="G254">
        <v>20260207</v>
      </c>
      <c r="H254">
        <v>20260304</v>
      </c>
      <c r="I254">
        <v>126539.0444</v>
      </c>
      <c r="J254">
        <f t="shared" si="31"/>
        <v>26</v>
      </c>
      <c r="K254">
        <f t="shared" si="32"/>
        <v>4866.886323076923</v>
      </c>
      <c r="L254">
        <f t="shared" si="33"/>
        <v>145227.36950149061</v>
      </c>
      <c r="M254">
        <f t="shared" si="34"/>
        <v>19467.545292307692</v>
      </c>
      <c r="N254">
        <f t="shared" si="35"/>
        <v>0</v>
      </c>
      <c r="O254">
        <f t="shared" si="36"/>
        <v>164694.91479379829</v>
      </c>
      <c r="P254">
        <f t="shared" si="37"/>
        <v>111581.66346819303</v>
      </c>
      <c r="Q254">
        <f t="shared" si="38"/>
        <v>14957.380931806982</v>
      </c>
      <c r="R254">
        <f t="shared" si="39"/>
        <v>0</v>
      </c>
      <c r="S254">
        <f t="shared" si="40"/>
        <v>126539.04440000001</v>
      </c>
    </row>
    <row r="255" spans="1:19" x14ac:dyDescent="0.3">
      <c r="A255" t="s">
        <v>13</v>
      </c>
      <c r="B255" t="s">
        <v>24</v>
      </c>
      <c r="C255" t="s">
        <v>15</v>
      </c>
      <c r="D255">
        <v>0</v>
      </c>
      <c r="E255">
        <v>28</v>
      </c>
      <c r="F255">
        <v>6</v>
      </c>
      <c r="G255">
        <v>20260304</v>
      </c>
      <c r="H255">
        <v>20260406</v>
      </c>
      <c r="I255">
        <v>1400190.2390999999</v>
      </c>
      <c r="J255">
        <f t="shared" si="31"/>
        <v>34</v>
      </c>
      <c r="K255">
        <f t="shared" si="32"/>
        <v>41182.065855882349</v>
      </c>
      <c r="L255">
        <f t="shared" si="33"/>
        <v>0</v>
      </c>
      <c r="M255">
        <f t="shared" si="34"/>
        <v>1153097.8439647057</v>
      </c>
      <c r="N255">
        <f t="shared" si="35"/>
        <v>153349.85336938128</v>
      </c>
      <c r="O255">
        <f t="shared" si="36"/>
        <v>1306447.697334087</v>
      </c>
      <c r="P255">
        <f t="shared" si="37"/>
        <v>0</v>
      </c>
      <c r="Q255">
        <f t="shared" si="38"/>
        <v>1235836.9563062261</v>
      </c>
      <c r="R255">
        <f t="shared" si="39"/>
        <v>164353.28279377386</v>
      </c>
      <c r="S255">
        <f t="shared" si="40"/>
        <v>1400190.2390999999</v>
      </c>
    </row>
    <row r="256" spans="1:19" x14ac:dyDescent="0.3">
      <c r="A256" t="s">
        <v>13</v>
      </c>
      <c r="B256" t="s">
        <v>37</v>
      </c>
      <c r="C256" t="s">
        <v>14</v>
      </c>
      <c r="D256">
        <v>0</v>
      </c>
      <c r="E256">
        <v>25</v>
      </c>
      <c r="F256">
        <v>6</v>
      </c>
      <c r="G256">
        <v>20260307</v>
      </c>
      <c r="H256">
        <v>20260406</v>
      </c>
      <c r="I256">
        <v>246046.98620000001</v>
      </c>
      <c r="J256">
        <f t="shared" si="31"/>
        <v>31</v>
      </c>
      <c r="K256">
        <f t="shared" si="32"/>
        <v>7936.9995548387105</v>
      </c>
      <c r="L256">
        <f t="shared" si="33"/>
        <v>0</v>
      </c>
      <c r="M256">
        <f t="shared" si="34"/>
        <v>198424.98887096776</v>
      </c>
      <c r="N256">
        <f t="shared" si="35"/>
        <v>29555.042774851659</v>
      </c>
      <c r="O256">
        <f t="shared" si="36"/>
        <v>227980.03164581943</v>
      </c>
      <c r="P256">
        <f t="shared" si="37"/>
        <v>0</v>
      </c>
      <c r="Q256">
        <f t="shared" si="38"/>
        <v>214149.76630197969</v>
      </c>
      <c r="R256">
        <f t="shared" si="39"/>
        <v>31897.219898020332</v>
      </c>
      <c r="S256">
        <f t="shared" si="40"/>
        <v>246046.98620000001</v>
      </c>
    </row>
    <row r="257" spans="1:19" x14ac:dyDescent="0.3">
      <c r="A257" t="s">
        <v>13</v>
      </c>
      <c r="B257" t="s">
        <v>24</v>
      </c>
      <c r="C257" t="s">
        <v>14</v>
      </c>
      <c r="D257">
        <v>0</v>
      </c>
      <c r="E257">
        <v>26</v>
      </c>
      <c r="F257">
        <v>1</v>
      </c>
      <c r="G257">
        <v>20260306</v>
      </c>
      <c r="H257">
        <v>20260401</v>
      </c>
      <c r="I257">
        <v>248023.09349999999</v>
      </c>
      <c r="J257">
        <f t="shared" si="31"/>
        <v>27</v>
      </c>
      <c r="K257">
        <f t="shared" si="32"/>
        <v>9186.0404999999992</v>
      </c>
      <c r="L257">
        <f t="shared" si="33"/>
        <v>0</v>
      </c>
      <c r="M257">
        <f t="shared" si="34"/>
        <v>238837.05299999999</v>
      </c>
      <c r="N257">
        <f t="shared" si="35"/>
        <v>5701.0170748026621</v>
      </c>
      <c r="O257">
        <f t="shared" si="36"/>
        <v>244538.07007480264</v>
      </c>
      <c r="P257">
        <f t="shared" si="37"/>
        <v>0</v>
      </c>
      <c r="Q257">
        <f t="shared" si="38"/>
        <v>242240.82863401677</v>
      </c>
      <c r="R257">
        <f t="shared" si="39"/>
        <v>5782.264865983233</v>
      </c>
      <c r="S257">
        <f t="shared" si="40"/>
        <v>248023.09349999999</v>
      </c>
    </row>
    <row r="258" spans="1:19" x14ac:dyDescent="0.3">
      <c r="A258" t="s">
        <v>13</v>
      </c>
      <c r="B258" t="s">
        <v>37</v>
      </c>
      <c r="C258" t="s">
        <v>15</v>
      </c>
      <c r="D258">
        <v>0</v>
      </c>
      <c r="E258">
        <v>30</v>
      </c>
      <c r="F258">
        <v>7</v>
      </c>
      <c r="G258">
        <v>20260302</v>
      </c>
      <c r="H258">
        <v>20260407</v>
      </c>
      <c r="I258">
        <v>142414.21840000001</v>
      </c>
      <c r="J258">
        <f t="shared" si="31"/>
        <v>37</v>
      </c>
      <c r="K258">
        <f t="shared" si="32"/>
        <v>3849.0329297297299</v>
      </c>
      <c r="L258">
        <f t="shared" si="33"/>
        <v>0</v>
      </c>
      <c r="M258">
        <f t="shared" si="34"/>
        <v>115470.9878918919</v>
      </c>
      <c r="N258">
        <f t="shared" si="35"/>
        <v>16721.439142040399</v>
      </c>
      <c r="O258">
        <f t="shared" si="36"/>
        <v>132192.4270339323</v>
      </c>
      <c r="P258">
        <f t="shared" si="37"/>
        <v>0</v>
      </c>
      <c r="Q258">
        <f t="shared" si="38"/>
        <v>124399.7924652558</v>
      </c>
      <c r="R258">
        <f t="shared" si="39"/>
        <v>18014.425934744198</v>
      </c>
      <c r="S258">
        <f t="shared" si="40"/>
        <v>142414.21840000001</v>
      </c>
    </row>
    <row r="259" spans="1:19" x14ac:dyDescent="0.3">
      <c r="A259" t="s">
        <v>13</v>
      </c>
      <c r="B259" t="s">
        <v>37</v>
      </c>
      <c r="C259" t="s">
        <v>14</v>
      </c>
      <c r="D259">
        <v>0</v>
      </c>
      <c r="E259">
        <v>30</v>
      </c>
      <c r="F259">
        <v>6</v>
      </c>
      <c r="G259">
        <v>20260302</v>
      </c>
      <c r="H259">
        <v>20260406</v>
      </c>
      <c r="I259">
        <v>63014.543799999999</v>
      </c>
      <c r="J259">
        <f t="shared" si="31"/>
        <v>36</v>
      </c>
      <c r="K259">
        <f t="shared" si="32"/>
        <v>1750.4039944444444</v>
      </c>
      <c r="L259">
        <f t="shared" si="33"/>
        <v>0</v>
      </c>
      <c r="M259">
        <f t="shared" si="34"/>
        <v>52512.11983333333</v>
      </c>
      <c r="N259">
        <f t="shared" si="35"/>
        <v>6517.9876314265503</v>
      </c>
      <c r="O259">
        <f t="shared" si="36"/>
        <v>59030.10746475988</v>
      </c>
      <c r="P259">
        <f t="shared" si="37"/>
        <v>0</v>
      </c>
      <c r="Q259">
        <f t="shared" si="38"/>
        <v>56056.602594597563</v>
      </c>
      <c r="R259">
        <f t="shared" si="39"/>
        <v>6957.9412054024351</v>
      </c>
      <c r="S259">
        <f t="shared" si="40"/>
        <v>63014.543799999999</v>
      </c>
    </row>
    <row r="260" spans="1:19" x14ac:dyDescent="0.3">
      <c r="A260" t="s">
        <v>13</v>
      </c>
      <c r="B260" t="s">
        <v>24</v>
      </c>
      <c r="C260" t="s">
        <v>15</v>
      </c>
      <c r="D260">
        <v>23</v>
      </c>
      <c r="E260">
        <v>4</v>
      </c>
      <c r="F260">
        <v>0</v>
      </c>
      <c r="G260">
        <v>20260206</v>
      </c>
      <c r="H260">
        <v>20260304</v>
      </c>
      <c r="I260">
        <v>2523884.3804000001</v>
      </c>
      <c r="J260">
        <f t="shared" si="31"/>
        <v>27</v>
      </c>
      <c r="K260">
        <f t="shared" si="32"/>
        <v>93477.199274074082</v>
      </c>
      <c r="L260">
        <f t="shared" si="33"/>
        <v>2916138.2913074205</v>
      </c>
      <c r="M260">
        <f t="shared" si="34"/>
        <v>373908.79709629633</v>
      </c>
      <c r="N260">
        <f t="shared" si="35"/>
        <v>0</v>
      </c>
      <c r="O260">
        <f t="shared" si="36"/>
        <v>3290047.0884037167</v>
      </c>
      <c r="P260">
        <f t="shared" si="37"/>
        <v>2237048.7980122217</v>
      </c>
      <c r="Q260">
        <f t="shared" si="38"/>
        <v>286835.58238777856</v>
      </c>
      <c r="R260">
        <f t="shared" si="39"/>
        <v>0</v>
      </c>
      <c r="S260">
        <f t="shared" si="40"/>
        <v>2523884.3804000001</v>
      </c>
    </row>
    <row r="261" spans="1:19" x14ac:dyDescent="0.3">
      <c r="A261" t="s">
        <v>13</v>
      </c>
      <c r="B261" t="s">
        <v>37</v>
      </c>
      <c r="C261" t="s">
        <v>15</v>
      </c>
      <c r="D261">
        <v>0</v>
      </c>
      <c r="E261">
        <v>27</v>
      </c>
      <c r="F261">
        <v>7</v>
      </c>
      <c r="G261">
        <v>20260305</v>
      </c>
      <c r="H261">
        <v>20260407</v>
      </c>
      <c r="I261">
        <v>217033.14129999999</v>
      </c>
      <c r="J261">
        <f t="shared" si="31"/>
        <v>34</v>
      </c>
      <c r="K261">
        <f t="shared" si="32"/>
        <v>6383.3276852941171</v>
      </c>
      <c r="L261">
        <f t="shared" si="33"/>
        <v>0</v>
      </c>
      <c r="M261">
        <f t="shared" si="34"/>
        <v>172349.84750294115</v>
      </c>
      <c r="N261">
        <f t="shared" si="35"/>
        <v>27731.232068425586</v>
      </c>
      <c r="O261">
        <f t="shared" si="36"/>
        <v>200081.07957136675</v>
      </c>
      <c r="P261">
        <f t="shared" si="37"/>
        <v>0</v>
      </c>
      <c r="Q261">
        <f t="shared" si="38"/>
        <v>186952.35394707622</v>
      </c>
      <c r="R261">
        <f t="shared" si="39"/>
        <v>30080.787352923759</v>
      </c>
      <c r="S261">
        <f t="shared" si="40"/>
        <v>217033.14129999999</v>
      </c>
    </row>
    <row r="262" spans="1:19" x14ac:dyDescent="0.3">
      <c r="A262" t="s">
        <v>13</v>
      </c>
      <c r="B262" t="s">
        <v>24</v>
      </c>
      <c r="C262" t="s">
        <v>15</v>
      </c>
      <c r="D262">
        <v>22</v>
      </c>
      <c r="E262">
        <v>4</v>
      </c>
      <c r="F262">
        <v>0</v>
      </c>
      <c r="G262">
        <v>20260207</v>
      </c>
      <c r="H262">
        <v>20260304</v>
      </c>
      <c r="I262">
        <v>397771.21779999998</v>
      </c>
      <c r="J262">
        <f t="shared" si="31"/>
        <v>26</v>
      </c>
      <c r="K262">
        <f t="shared" si="32"/>
        <v>15298.892992307692</v>
      </c>
      <c r="L262">
        <f t="shared" si="33"/>
        <v>456517.33738316817</v>
      </c>
      <c r="M262">
        <f t="shared" si="34"/>
        <v>61195.571969230768</v>
      </c>
      <c r="N262">
        <f t="shared" si="35"/>
        <v>0</v>
      </c>
      <c r="O262">
        <f t="shared" si="36"/>
        <v>517712.90935239894</v>
      </c>
      <c r="P262">
        <f t="shared" si="37"/>
        <v>350753.19536625891</v>
      </c>
      <c r="Q262">
        <f t="shared" si="38"/>
        <v>47018.022433741098</v>
      </c>
      <c r="R262">
        <f t="shared" si="39"/>
        <v>0</v>
      </c>
      <c r="S262">
        <f t="shared" si="40"/>
        <v>397771.21779999998</v>
      </c>
    </row>
    <row r="263" spans="1:19" x14ac:dyDescent="0.3">
      <c r="A263" t="s">
        <v>13</v>
      </c>
      <c r="B263" t="s">
        <v>24</v>
      </c>
      <c r="C263" t="s">
        <v>15</v>
      </c>
      <c r="D263">
        <v>23</v>
      </c>
      <c r="E263">
        <v>8</v>
      </c>
      <c r="F263">
        <v>0</v>
      </c>
      <c r="G263">
        <v>20260206</v>
      </c>
      <c r="H263">
        <v>20260308</v>
      </c>
      <c r="I263">
        <v>55300.718500000003</v>
      </c>
      <c r="J263">
        <f t="shared" si="31"/>
        <v>31</v>
      </c>
      <c r="K263">
        <f t="shared" si="32"/>
        <v>1783.8941451612905</v>
      </c>
      <c r="L263">
        <f t="shared" si="33"/>
        <v>55650.811799479699</v>
      </c>
      <c r="M263">
        <f t="shared" si="34"/>
        <v>14271.153161290324</v>
      </c>
      <c r="N263">
        <f t="shared" si="35"/>
        <v>0</v>
      </c>
      <c r="O263">
        <f t="shared" si="36"/>
        <v>69921.964960770027</v>
      </c>
      <c r="P263">
        <f t="shared" si="37"/>
        <v>44013.778493584454</v>
      </c>
      <c r="Q263">
        <f t="shared" si="38"/>
        <v>11286.940006415547</v>
      </c>
      <c r="R263">
        <f t="shared" si="39"/>
        <v>0</v>
      </c>
      <c r="S263">
        <f t="shared" si="40"/>
        <v>55300.718500000003</v>
      </c>
    </row>
    <row r="264" spans="1:19" x14ac:dyDescent="0.3">
      <c r="A264" t="s">
        <v>13</v>
      </c>
      <c r="B264" t="s">
        <v>24</v>
      </c>
      <c r="C264" t="s">
        <v>14</v>
      </c>
      <c r="D264">
        <v>12</v>
      </c>
      <c r="E264">
        <v>16</v>
      </c>
      <c r="F264">
        <v>0</v>
      </c>
      <c r="G264">
        <v>20260217</v>
      </c>
      <c r="H264">
        <v>20260316</v>
      </c>
      <c r="I264">
        <v>744455.4558</v>
      </c>
      <c r="J264">
        <f t="shared" si="31"/>
        <v>28</v>
      </c>
      <c r="K264">
        <f t="shared" si="32"/>
        <v>26587.69485</v>
      </c>
      <c r="L264">
        <f t="shared" si="33"/>
        <v>432749.44496183959</v>
      </c>
      <c r="M264">
        <f t="shared" si="34"/>
        <v>425403.1176</v>
      </c>
      <c r="N264">
        <f t="shared" si="35"/>
        <v>0</v>
      </c>
      <c r="O264">
        <f t="shared" si="36"/>
        <v>858152.56256183959</v>
      </c>
      <c r="P264">
        <f t="shared" si="37"/>
        <v>375414.23209704371</v>
      </c>
      <c r="Q264">
        <f t="shared" si="38"/>
        <v>369041.22370295628</v>
      </c>
      <c r="R264">
        <f t="shared" si="39"/>
        <v>0</v>
      </c>
      <c r="S264">
        <f t="shared" si="40"/>
        <v>744455.4558</v>
      </c>
    </row>
    <row r="265" spans="1:19" x14ac:dyDescent="0.3">
      <c r="A265" t="s">
        <v>13</v>
      </c>
      <c r="B265" t="s">
        <v>24</v>
      </c>
      <c r="C265" t="s">
        <v>15</v>
      </c>
      <c r="D265">
        <v>26</v>
      </c>
      <c r="E265">
        <v>6</v>
      </c>
      <c r="F265">
        <v>0</v>
      </c>
      <c r="G265">
        <v>20260203</v>
      </c>
      <c r="H265">
        <v>20260306</v>
      </c>
      <c r="I265">
        <v>405307.25420000002</v>
      </c>
      <c r="J265">
        <f t="shared" si="31"/>
        <v>32</v>
      </c>
      <c r="K265">
        <f t="shared" si="32"/>
        <v>12665.851693750001</v>
      </c>
      <c r="L265">
        <f t="shared" si="33"/>
        <v>446665.42284384836</v>
      </c>
      <c r="M265">
        <f t="shared" si="34"/>
        <v>75995.110162500001</v>
      </c>
      <c r="N265">
        <f t="shared" si="35"/>
        <v>0</v>
      </c>
      <c r="O265">
        <f t="shared" si="36"/>
        <v>522660.53300634836</v>
      </c>
      <c r="P265">
        <f t="shared" si="37"/>
        <v>346375.37109909009</v>
      </c>
      <c r="Q265">
        <f t="shared" si="38"/>
        <v>58931.883100909923</v>
      </c>
      <c r="R265">
        <f t="shared" si="39"/>
        <v>0</v>
      </c>
      <c r="S265">
        <f t="shared" si="40"/>
        <v>405307.25420000002</v>
      </c>
    </row>
    <row r="266" spans="1:19" x14ac:dyDescent="0.3">
      <c r="A266" t="s">
        <v>13</v>
      </c>
      <c r="B266" t="s">
        <v>24</v>
      </c>
      <c r="C266" t="s">
        <v>15</v>
      </c>
      <c r="D266">
        <v>24</v>
      </c>
      <c r="E266">
        <v>1</v>
      </c>
      <c r="F266">
        <v>0</v>
      </c>
      <c r="G266">
        <v>20260205</v>
      </c>
      <c r="H266">
        <v>20260301</v>
      </c>
      <c r="I266">
        <v>1207624.7818</v>
      </c>
      <c r="J266">
        <f t="shared" si="31"/>
        <v>25</v>
      </c>
      <c r="K266">
        <f t="shared" si="32"/>
        <v>48304.991271999999</v>
      </c>
      <c r="L266">
        <f t="shared" si="33"/>
        <v>1572453.5940237409</v>
      </c>
      <c r="M266">
        <f t="shared" si="34"/>
        <v>48304.991271999999</v>
      </c>
      <c r="N266">
        <f t="shared" si="35"/>
        <v>0</v>
      </c>
      <c r="O266">
        <f t="shared" si="36"/>
        <v>1620758.5852957407</v>
      </c>
      <c r="P266">
        <f t="shared" si="37"/>
        <v>1171632.8055279411</v>
      </c>
      <c r="Q266">
        <f t="shared" si="38"/>
        <v>35991.976272058811</v>
      </c>
      <c r="R266">
        <f t="shared" si="39"/>
        <v>0</v>
      </c>
      <c r="S266">
        <f t="shared" si="40"/>
        <v>1207624.7818</v>
      </c>
    </row>
    <row r="267" spans="1:19" x14ac:dyDescent="0.3">
      <c r="A267" t="s">
        <v>13</v>
      </c>
      <c r="B267" t="s">
        <v>24</v>
      </c>
      <c r="C267" t="s">
        <v>15</v>
      </c>
      <c r="D267">
        <v>9</v>
      </c>
      <c r="E267">
        <v>17</v>
      </c>
      <c r="F267">
        <v>0</v>
      </c>
      <c r="G267">
        <v>20260220</v>
      </c>
      <c r="H267">
        <v>20260317</v>
      </c>
      <c r="I267">
        <v>640634.54630000005</v>
      </c>
      <c r="J267">
        <f t="shared" ref="J267:J330" si="41">IF(D267&lt;0,0,D267)+E267+F267</f>
        <v>26</v>
      </c>
      <c r="K267">
        <f t="shared" ref="K267:K330" si="42">I267/J267</f>
        <v>24639.790242307696</v>
      </c>
      <c r="L267">
        <f t="shared" ref="L267:L330" si="43">IF(D267&lt;0,0,D267)*$K267*$B$6</f>
        <v>300783.56580435572</v>
      </c>
      <c r="M267">
        <f t="shared" ref="M267:M330" si="44">IF(E267&lt;0,0,E267)*$K267*$C$6</f>
        <v>418876.43411923083</v>
      </c>
      <c r="N267">
        <f t="shared" ref="N267:N330" si="45">IF(F267&lt;0,0,F267)*$K267*$D$6</f>
        <v>0</v>
      </c>
      <c r="O267">
        <f t="shared" ref="O267:O330" si="46">L267+M267+N267</f>
        <v>719659.99992358661</v>
      </c>
      <c r="P267">
        <f t="shared" ref="P267:P330" si="47">L267/$O267*$I267</f>
        <v>267754.69420841744</v>
      </c>
      <c r="Q267">
        <f t="shared" ref="Q267:Q330" si="48">M267/$O267*$I267</f>
        <v>372879.85209158261</v>
      </c>
      <c r="R267">
        <f t="shared" ref="R267:R330" si="49">N267/$O267*$I267</f>
        <v>0</v>
      </c>
      <c r="S267">
        <f t="shared" ref="S267:S330" si="50">P267+Q267+R267</f>
        <v>640634.54630000005</v>
      </c>
    </row>
    <row r="268" spans="1:19" x14ac:dyDescent="0.3">
      <c r="A268" t="s">
        <v>13</v>
      </c>
      <c r="B268" t="s">
        <v>24</v>
      </c>
      <c r="C268" t="s">
        <v>14</v>
      </c>
      <c r="D268">
        <v>0</v>
      </c>
      <c r="E268">
        <v>13</v>
      </c>
      <c r="F268">
        <v>16</v>
      </c>
      <c r="G268">
        <v>20260319</v>
      </c>
      <c r="H268">
        <v>20260416</v>
      </c>
      <c r="I268">
        <v>18182.738300000001</v>
      </c>
      <c r="J268">
        <f t="shared" si="41"/>
        <v>29</v>
      </c>
      <c r="K268">
        <f t="shared" si="42"/>
        <v>626.99097586206904</v>
      </c>
      <c r="L268">
        <f t="shared" si="43"/>
        <v>0</v>
      </c>
      <c r="M268">
        <f t="shared" si="44"/>
        <v>8150.8826862068972</v>
      </c>
      <c r="N268">
        <f t="shared" si="45"/>
        <v>6225.9446979565819</v>
      </c>
      <c r="O268">
        <f t="shared" si="46"/>
        <v>14376.82738416348</v>
      </c>
      <c r="P268">
        <f t="shared" si="47"/>
        <v>0</v>
      </c>
      <c r="Q268">
        <f t="shared" si="48"/>
        <v>10308.628102508474</v>
      </c>
      <c r="R268">
        <f t="shared" si="49"/>
        <v>7874.1101974915255</v>
      </c>
      <c r="S268">
        <f t="shared" si="50"/>
        <v>18182.738299999997</v>
      </c>
    </row>
    <row r="269" spans="1:19" x14ac:dyDescent="0.3">
      <c r="A269" t="s">
        <v>13</v>
      </c>
      <c r="B269" t="s">
        <v>37</v>
      </c>
      <c r="C269" t="s">
        <v>15</v>
      </c>
      <c r="D269">
        <v>0</v>
      </c>
      <c r="E269">
        <v>29</v>
      </c>
      <c r="F269">
        <v>5</v>
      </c>
      <c r="G269">
        <v>20260303</v>
      </c>
      <c r="H269">
        <v>20260405</v>
      </c>
      <c r="I269">
        <v>26897.4228</v>
      </c>
      <c r="J269">
        <f t="shared" si="41"/>
        <v>34</v>
      </c>
      <c r="K269">
        <f t="shared" si="42"/>
        <v>791.10067058823529</v>
      </c>
      <c r="L269">
        <f t="shared" si="43"/>
        <v>0</v>
      </c>
      <c r="M269">
        <f t="shared" si="44"/>
        <v>22941.919447058823</v>
      </c>
      <c r="N269">
        <f t="shared" si="45"/>
        <v>2454.8544233564862</v>
      </c>
      <c r="O269">
        <f t="shared" si="46"/>
        <v>25396.773870415309</v>
      </c>
      <c r="P269">
        <f t="shared" si="47"/>
        <v>0</v>
      </c>
      <c r="Q269">
        <f t="shared" si="48"/>
        <v>24297.515517509011</v>
      </c>
      <c r="R269">
        <f t="shared" si="49"/>
        <v>2599.9072824909881</v>
      </c>
      <c r="S269">
        <f t="shared" si="50"/>
        <v>26897.4228</v>
      </c>
    </row>
    <row r="270" spans="1:19" x14ac:dyDescent="0.3">
      <c r="A270" t="s">
        <v>13</v>
      </c>
      <c r="B270" t="s">
        <v>24</v>
      </c>
      <c r="C270" t="s">
        <v>15</v>
      </c>
      <c r="D270">
        <v>0</v>
      </c>
      <c r="E270">
        <v>25</v>
      </c>
      <c r="F270">
        <v>4</v>
      </c>
      <c r="G270">
        <v>20260307</v>
      </c>
      <c r="H270">
        <v>20260404</v>
      </c>
      <c r="I270">
        <v>164584.12119999999</v>
      </c>
      <c r="J270">
        <f t="shared" si="41"/>
        <v>29</v>
      </c>
      <c r="K270">
        <f t="shared" si="42"/>
        <v>5675.3145241379307</v>
      </c>
      <c r="L270">
        <f t="shared" si="43"/>
        <v>0</v>
      </c>
      <c r="M270">
        <f t="shared" si="44"/>
        <v>141882.86310344827</v>
      </c>
      <c r="N270">
        <f t="shared" si="45"/>
        <v>14088.797020647096</v>
      </c>
      <c r="O270">
        <f t="shared" si="46"/>
        <v>155971.66012409536</v>
      </c>
      <c r="P270">
        <f t="shared" si="47"/>
        <v>0</v>
      </c>
      <c r="Q270">
        <f t="shared" si="48"/>
        <v>149717.3673643129</v>
      </c>
      <c r="R270">
        <f t="shared" si="49"/>
        <v>14866.753835687108</v>
      </c>
      <c r="S270">
        <f t="shared" si="50"/>
        <v>164584.12119999999</v>
      </c>
    </row>
    <row r="271" spans="1:19" x14ac:dyDescent="0.3">
      <c r="A271" t="s">
        <v>13</v>
      </c>
      <c r="B271" t="s">
        <v>24</v>
      </c>
      <c r="C271" t="s">
        <v>15</v>
      </c>
      <c r="D271">
        <v>0</v>
      </c>
      <c r="E271">
        <v>15</v>
      </c>
      <c r="F271">
        <v>0</v>
      </c>
      <c r="G271">
        <v>20260301</v>
      </c>
      <c r="H271">
        <v>20260315</v>
      </c>
      <c r="I271">
        <v>2452.3625999999999</v>
      </c>
      <c r="J271">
        <f t="shared" si="41"/>
        <v>15</v>
      </c>
      <c r="K271">
        <f t="shared" si="42"/>
        <v>163.49083999999999</v>
      </c>
      <c r="L271">
        <f t="shared" si="43"/>
        <v>0</v>
      </c>
      <c r="M271">
        <f t="shared" si="44"/>
        <v>2452.3625999999999</v>
      </c>
      <c r="N271">
        <f t="shared" si="45"/>
        <v>0</v>
      </c>
      <c r="O271">
        <f t="shared" si="46"/>
        <v>2452.3625999999999</v>
      </c>
      <c r="P271">
        <f t="shared" si="47"/>
        <v>0</v>
      </c>
      <c r="Q271">
        <f t="shared" si="48"/>
        <v>2452.3625999999999</v>
      </c>
      <c r="R271">
        <f t="shared" si="49"/>
        <v>0</v>
      </c>
      <c r="S271">
        <f t="shared" si="50"/>
        <v>2452.3625999999999</v>
      </c>
    </row>
    <row r="272" spans="1:19" x14ac:dyDescent="0.3">
      <c r="A272" t="s">
        <v>13</v>
      </c>
      <c r="B272" t="s">
        <v>24</v>
      </c>
      <c r="C272" t="s">
        <v>15</v>
      </c>
      <c r="D272">
        <v>0</v>
      </c>
      <c r="E272">
        <v>25</v>
      </c>
      <c r="F272">
        <v>0</v>
      </c>
      <c r="G272">
        <v>20260307</v>
      </c>
      <c r="H272">
        <v>20260331</v>
      </c>
      <c r="I272">
        <v>4298.7649000000001</v>
      </c>
      <c r="J272">
        <f t="shared" si="41"/>
        <v>25</v>
      </c>
      <c r="K272">
        <f t="shared" si="42"/>
        <v>171.95059600000002</v>
      </c>
      <c r="L272">
        <f t="shared" si="43"/>
        <v>0</v>
      </c>
      <c r="M272">
        <f t="shared" si="44"/>
        <v>4298.7649000000001</v>
      </c>
      <c r="N272">
        <f t="shared" si="45"/>
        <v>0</v>
      </c>
      <c r="O272">
        <f t="shared" si="46"/>
        <v>4298.7649000000001</v>
      </c>
      <c r="P272">
        <f t="shared" si="47"/>
        <v>0</v>
      </c>
      <c r="Q272">
        <f t="shared" si="48"/>
        <v>4298.7649000000001</v>
      </c>
      <c r="R272">
        <f t="shared" si="49"/>
        <v>0</v>
      </c>
      <c r="S272">
        <f t="shared" si="50"/>
        <v>4298.7649000000001</v>
      </c>
    </row>
    <row r="273" spans="1:19" x14ac:dyDescent="0.3">
      <c r="A273" t="s">
        <v>13</v>
      </c>
      <c r="B273" t="s">
        <v>37</v>
      </c>
      <c r="C273" t="s">
        <v>15</v>
      </c>
      <c r="D273">
        <v>0</v>
      </c>
      <c r="E273">
        <v>24</v>
      </c>
      <c r="F273">
        <v>6</v>
      </c>
      <c r="G273">
        <v>20260308</v>
      </c>
      <c r="H273">
        <v>20260406</v>
      </c>
      <c r="I273">
        <v>58705.546300000002</v>
      </c>
      <c r="J273">
        <f t="shared" si="41"/>
        <v>30</v>
      </c>
      <c r="K273">
        <f t="shared" si="42"/>
        <v>1956.8515433333334</v>
      </c>
      <c r="L273">
        <f t="shared" si="43"/>
        <v>0</v>
      </c>
      <c r="M273">
        <f t="shared" si="44"/>
        <v>46964.437040000004</v>
      </c>
      <c r="N273">
        <f t="shared" si="45"/>
        <v>7286.7373454736735</v>
      </c>
      <c r="O273">
        <f t="shared" si="46"/>
        <v>54251.174385473678</v>
      </c>
      <c r="P273">
        <f t="shared" si="47"/>
        <v>0</v>
      </c>
      <c r="Q273">
        <f t="shared" si="48"/>
        <v>50820.520741453118</v>
      </c>
      <c r="R273">
        <f t="shared" si="49"/>
        <v>7885.0255585468822</v>
      </c>
      <c r="S273">
        <f t="shared" si="50"/>
        <v>58705.546300000002</v>
      </c>
    </row>
    <row r="274" spans="1:19" x14ac:dyDescent="0.3">
      <c r="A274" t="s">
        <v>13</v>
      </c>
      <c r="B274" t="s">
        <v>24</v>
      </c>
      <c r="C274" t="s">
        <v>14</v>
      </c>
      <c r="D274">
        <v>23</v>
      </c>
      <c r="E274">
        <v>3</v>
      </c>
      <c r="F274">
        <v>0</v>
      </c>
      <c r="G274">
        <v>20260206</v>
      </c>
      <c r="H274">
        <v>20260303</v>
      </c>
      <c r="I274">
        <v>69937.402600000001</v>
      </c>
      <c r="J274">
        <f t="shared" si="41"/>
        <v>26</v>
      </c>
      <c r="K274">
        <f t="shared" si="42"/>
        <v>2689.9000999999998</v>
      </c>
      <c r="L274">
        <f t="shared" si="43"/>
        <v>83914.802136965896</v>
      </c>
      <c r="M274">
        <f t="shared" si="44"/>
        <v>8069.7002999999995</v>
      </c>
      <c r="N274">
        <f t="shared" si="45"/>
        <v>0</v>
      </c>
      <c r="O274">
        <f t="shared" si="46"/>
        <v>91984.502436965893</v>
      </c>
      <c r="P274">
        <f t="shared" si="47"/>
        <v>63801.870376741106</v>
      </c>
      <c r="Q274">
        <f t="shared" si="48"/>
        <v>6135.5322232588969</v>
      </c>
      <c r="R274">
        <f t="shared" si="49"/>
        <v>0</v>
      </c>
      <c r="S274">
        <f t="shared" si="50"/>
        <v>69937.402600000001</v>
      </c>
    </row>
    <row r="275" spans="1:19" x14ac:dyDescent="0.3">
      <c r="A275" t="s">
        <v>13</v>
      </c>
      <c r="B275" t="s">
        <v>24</v>
      </c>
      <c r="C275" t="s">
        <v>15</v>
      </c>
      <c r="D275">
        <v>24</v>
      </c>
      <c r="E275">
        <v>7</v>
      </c>
      <c r="F275">
        <v>0</v>
      </c>
      <c r="G275">
        <v>20260205</v>
      </c>
      <c r="H275">
        <v>20260307</v>
      </c>
      <c r="I275">
        <v>264781.59769999998</v>
      </c>
      <c r="J275">
        <f t="shared" si="41"/>
        <v>31</v>
      </c>
      <c r="K275">
        <f t="shared" si="42"/>
        <v>8541.3418612903224</v>
      </c>
      <c r="L275">
        <f t="shared" si="43"/>
        <v>278042.97969838575</v>
      </c>
      <c r="M275">
        <f t="shared" si="44"/>
        <v>59789.393029032261</v>
      </c>
      <c r="N275">
        <f t="shared" si="45"/>
        <v>0</v>
      </c>
      <c r="O275">
        <f t="shared" si="46"/>
        <v>337832.37272741803</v>
      </c>
      <c r="P275">
        <f t="shared" si="47"/>
        <v>217920.69184917482</v>
      </c>
      <c r="Q275">
        <f t="shared" si="48"/>
        <v>46860.905850825147</v>
      </c>
      <c r="R275">
        <f t="shared" si="49"/>
        <v>0</v>
      </c>
      <c r="S275">
        <f t="shared" si="50"/>
        <v>264781.59769999998</v>
      </c>
    </row>
    <row r="276" spans="1:19" x14ac:dyDescent="0.3">
      <c r="A276" t="s">
        <v>13</v>
      </c>
      <c r="B276" t="s">
        <v>37</v>
      </c>
      <c r="C276" t="s">
        <v>14</v>
      </c>
      <c r="D276">
        <v>0</v>
      </c>
      <c r="E276">
        <v>28</v>
      </c>
      <c r="F276">
        <v>4</v>
      </c>
      <c r="G276">
        <v>20260304</v>
      </c>
      <c r="H276">
        <v>20260404</v>
      </c>
      <c r="I276">
        <v>4185.9071999999996</v>
      </c>
      <c r="J276">
        <f t="shared" si="41"/>
        <v>32</v>
      </c>
      <c r="K276">
        <f t="shared" si="42"/>
        <v>130.80959999999999</v>
      </c>
      <c r="L276">
        <f t="shared" si="43"/>
        <v>0</v>
      </c>
      <c r="M276">
        <f t="shared" si="44"/>
        <v>3662.6687999999995</v>
      </c>
      <c r="N276">
        <f t="shared" si="45"/>
        <v>324.73088406179193</v>
      </c>
      <c r="O276">
        <f t="shared" si="46"/>
        <v>3987.3996840617915</v>
      </c>
      <c r="P276">
        <f t="shared" si="47"/>
        <v>0</v>
      </c>
      <c r="Q276">
        <f t="shared" si="48"/>
        <v>3845.0100105133497</v>
      </c>
      <c r="R276">
        <f t="shared" si="49"/>
        <v>340.89718948664972</v>
      </c>
      <c r="S276">
        <f t="shared" si="50"/>
        <v>4185.9071999999996</v>
      </c>
    </row>
    <row r="277" spans="1:19" x14ac:dyDescent="0.3">
      <c r="A277" t="s">
        <v>13</v>
      </c>
      <c r="B277" t="s">
        <v>37</v>
      </c>
      <c r="C277" t="s">
        <v>15</v>
      </c>
      <c r="D277">
        <v>0</v>
      </c>
      <c r="E277">
        <v>15</v>
      </c>
      <c r="F277">
        <v>17</v>
      </c>
      <c r="G277">
        <v>20260317</v>
      </c>
      <c r="H277">
        <v>20260417</v>
      </c>
      <c r="I277">
        <v>499679.16800000001</v>
      </c>
      <c r="J277">
        <f t="shared" si="41"/>
        <v>32</v>
      </c>
      <c r="K277">
        <f t="shared" si="42"/>
        <v>15614.974</v>
      </c>
      <c r="L277">
        <f t="shared" si="43"/>
        <v>0</v>
      </c>
      <c r="M277">
        <f t="shared" si="44"/>
        <v>234224.61000000002</v>
      </c>
      <c r="N277">
        <f t="shared" si="45"/>
        <v>164745.73215110405</v>
      </c>
      <c r="O277">
        <f t="shared" si="46"/>
        <v>398970.34215110407</v>
      </c>
      <c r="P277">
        <f t="shared" si="47"/>
        <v>0</v>
      </c>
      <c r="Q277">
        <f t="shared" si="48"/>
        <v>293348.01584223623</v>
      </c>
      <c r="R277">
        <f t="shared" si="49"/>
        <v>206331.15215776378</v>
      </c>
      <c r="S277">
        <f t="shared" si="50"/>
        <v>499679.16800000001</v>
      </c>
    </row>
    <row r="278" spans="1:19" x14ac:dyDescent="0.3">
      <c r="A278" t="s">
        <v>13</v>
      </c>
      <c r="B278" t="s">
        <v>24</v>
      </c>
      <c r="C278" t="s">
        <v>14</v>
      </c>
      <c r="D278">
        <v>26</v>
      </c>
      <c r="E278">
        <v>9</v>
      </c>
      <c r="F278">
        <v>0</v>
      </c>
      <c r="G278">
        <v>20260203</v>
      </c>
      <c r="H278">
        <v>20260309</v>
      </c>
      <c r="I278">
        <v>23360.149700000002</v>
      </c>
      <c r="J278">
        <f t="shared" si="41"/>
        <v>35</v>
      </c>
      <c r="K278">
        <f t="shared" si="42"/>
        <v>667.43284857142862</v>
      </c>
      <c r="L278">
        <f t="shared" si="43"/>
        <v>23537.23876888114</v>
      </c>
      <c r="M278">
        <f t="shared" si="44"/>
        <v>6006.8956371428576</v>
      </c>
      <c r="N278">
        <f t="shared" si="45"/>
        <v>0</v>
      </c>
      <c r="O278">
        <f t="shared" si="46"/>
        <v>29544.134406023997</v>
      </c>
      <c r="P278">
        <f t="shared" si="47"/>
        <v>18610.578113725245</v>
      </c>
      <c r="Q278">
        <f t="shared" si="48"/>
        <v>4749.5715862747575</v>
      </c>
      <c r="R278">
        <f t="shared" si="49"/>
        <v>0</v>
      </c>
      <c r="S278">
        <f t="shared" si="50"/>
        <v>23360.149700000002</v>
      </c>
    </row>
    <row r="279" spans="1:19" x14ac:dyDescent="0.3">
      <c r="A279" t="s">
        <v>13</v>
      </c>
      <c r="B279" t="s">
        <v>37</v>
      </c>
      <c r="C279" t="s">
        <v>14</v>
      </c>
      <c r="D279">
        <v>0</v>
      </c>
      <c r="E279">
        <v>29</v>
      </c>
      <c r="F279">
        <v>7</v>
      </c>
      <c r="G279">
        <v>20260303</v>
      </c>
      <c r="H279">
        <v>20260407</v>
      </c>
      <c r="I279">
        <v>1221.8860999999999</v>
      </c>
      <c r="J279">
        <f t="shared" si="41"/>
        <v>36</v>
      </c>
      <c r="K279">
        <f t="shared" si="42"/>
        <v>33.941280555555551</v>
      </c>
      <c r="L279">
        <f t="shared" si="43"/>
        <v>0</v>
      </c>
      <c r="M279">
        <f t="shared" si="44"/>
        <v>984.29713611111094</v>
      </c>
      <c r="N279">
        <f t="shared" si="45"/>
        <v>147.45185805736742</v>
      </c>
      <c r="O279">
        <f t="shared" si="46"/>
        <v>1131.7489941684785</v>
      </c>
      <c r="P279">
        <f t="shared" si="47"/>
        <v>0</v>
      </c>
      <c r="Q279">
        <f t="shared" si="48"/>
        <v>1062.6905745718154</v>
      </c>
      <c r="R279">
        <f t="shared" si="49"/>
        <v>159.19552542818448</v>
      </c>
      <c r="S279">
        <f t="shared" si="50"/>
        <v>1221.8860999999999</v>
      </c>
    </row>
    <row r="280" spans="1:19" x14ac:dyDescent="0.3">
      <c r="A280" t="s">
        <v>13</v>
      </c>
      <c r="B280" t="s">
        <v>24</v>
      </c>
      <c r="C280" t="s">
        <v>15</v>
      </c>
      <c r="D280">
        <v>22</v>
      </c>
      <c r="E280">
        <v>9</v>
      </c>
      <c r="F280">
        <v>0</v>
      </c>
      <c r="G280">
        <v>20260207</v>
      </c>
      <c r="H280">
        <v>20260309</v>
      </c>
      <c r="I280">
        <v>234280.5508</v>
      </c>
      <c r="J280">
        <f t="shared" si="41"/>
        <v>31</v>
      </c>
      <c r="K280">
        <f t="shared" si="42"/>
        <v>7557.4371225806453</v>
      </c>
      <c r="L280">
        <f t="shared" si="43"/>
        <v>225513.11878421169</v>
      </c>
      <c r="M280">
        <f t="shared" si="44"/>
        <v>68016.934103225809</v>
      </c>
      <c r="N280">
        <f t="shared" si="45"/>
        <v>0</v>
      </c>
      <c r="O280">
        <f t="shared" si="46"/>
        <v>293530.05288743752</v>
      </c>
      <c r="P280">
        <f t="shared" si="47"/>
        <v>179992.94164829995</v>
      </c>
      <c r="Q280">
        <f t="shared" si="48"/>
        <v>54287.609151700031</v>
      </c>
      <c r="R280">
        <f t="shared" si="49"/>
        <v>0</v>
      </c>
      <c r="S280">
        <f t="shared" si="50"/>
        <v>234280.55079999997</v>
      </c>
    </row>
    <row r="281" spans="1:19" x14ac:dyDescent="0.3">
      <c r="A281" t="s">
        <v>13</v>
      </c>
      <c r="B281" t="s">
        <v>24</v>
      </c>
      <c r="C281" t="s">
        <v>15</v>
      </c>
      <c r="D281">
        <v>26</v>
      </c>
      <c r="E281">
        <v>7</v>
      </c>
      <c r="F281">
        <v>0</v>
      </c>
      <c r="G281">
        <v>20260203</v>
      </c>
      <c r="H281">
        <v>20260307</v>
      </c>
      <c r="I281">
        <v>161593.66570000001</v>
      </c>
      <c r="J281">
        <f t="shared" si="41"/>
        <v>33</v>
      </c>
      <c r="K281">
        <f t="shared" si="42"/>
        <v>4896.7777484848484</v>
      </c>
      <c r="L281">
        <f t="shared" si="43"/>
        <v>172686.47671586293</v>
      </c>
      <c r="M281">
        <f t="shared" si="44"/>
        <v>34277.444239393939</v>
      </c>
      <c r="N281">
        <f t="shared" si="45"/>
        <v>0</v>
      </c>
      <c r="O281">
        <f t="shared" si="46"/>
        <v>206963.92095525685</v>
      </c>
      <c r="P281">
        <f t="shared" si="47"/>
        <v>134830.46059688216</v>
      </c>
      <c r="Q281">
        <f t="shared" si="48"/>
        <v>26763.205103117878</v>
      </c>
      <c r="R281">
        <f t="shared" si="49"/>
        <v>0</v>
      </c>
      <c r="S281">
        <f t="shared" si="50"/>
        <v>161593.66570000004</v>
      </c>
    </row>
    <row r="282" spans="1:19" x14ac:dyDescent="0.3">
      <c r="A282" t="s">
        <v>13</v>
      </c>
      <c r="B282" t="s">
        <v>37</v>
      </c>
      <c r="C282" t="s">
        <v>15</v>
      </c>
      <c r="D282">
        <v>0</v>
      </c>
      <c r="E282">
        <v>22</v>
      </c>
      <c r="F282">
        <v>8</v>
      </c>
      <c r="G282">
        <v>20260310</v>
      </c>
      <c r="H282">
        <v>20260408</v>
      </c>
      <c r="I282">
        <v>10709.809600000001</v>
      </c>
      <c r="J282">
        <f t="shared" si="41"/>
        <v>30</v>
      </c>
      <c r="K282">
        <f t="shared" si="42"/>
        <v>356.99365333333333</v>
      </c>
      <c r="L282">
        <f t="shared" si="43"/>
        <v>0</v>
      </c>
      <c r="M282">
        <f t="shared" si="44"/>
        <v>7853.860373333333</v>
      </c>
      <c r="N282">
        <f t="shared" si="45"/>
        <v>1772.45194009281</v>
      </c>
      <c r="O282">
        <f t="shared" si="46"/>
        <v>9626.3123134261423</v>
      </c>
      <c r="P282">
        <f t="shared" si="47"/>
        <v>0</v>
      </c>
      <c r="Q282">
        <f t="shared" si="48"/>
        <v>8737.8579132602208</v>
      </c>
      <c r="R282">
        <f t="shared" si="49"/>
        <v>1971.9516867397808</v>
      </c>
      <c r="S282">
        <f t="shared" si="50"/>
        <v>10709.809600000002</v>
      </c>
    </row>
    <row r="283" spans="1:19" x14ac:dyDescent="0.3">
      <c r="A283" t="s">
        <v>13</v>
      </c>
      <c r="B283" t="s">
        <v>24</v>
      </c>
      <c r="C283" t="s">
        <v>14</v>
      </c>
      <c r="D283">
        <v>9</v>
      </c>
      <c r="E283">
        <v>6</v>
      </c>
      <c r="F283">
        <v>0</v>
      </c>
      <c r="G283">
        <v>20260220</v>
      </c>
      <c r="H283">
        <v>20260306</v>
      </c>
      <c r="I283">
        <v>4615.4286000000002</v>
      </c>
      <c r="J283">
        <f t="shared" si="41"/>
        <v>15</v>
      </c>
      <c r="K283">
        <f t="shared" si="42"/>
        <v>307.69524000000001</v>
      </c>
      <c r="L283">
        <f t="shared" si="43"/>
        <v>3756.1063044000607</v>
      </c>
      <c r="M283">
        <f t="shared" si="44"/>
        <v>1846.1714400000001</v>
      </c>
      <c r="N283">
        <f t="shared" si="45"/>
        <v>0</v>
      </c>
      <c r="O283">
        <f t="shared" si="46"/>
        <v>5602.2777444000603</v>
      </c>
      <c r="P283">
        <f t="shared" si="47"/>
        <v>3094.4628690173658</v>
      </c>
      <c r="Q283">
        <f t="shared" si="48"/>
        <v>1520.965730982635</v>
      </c>
      <c r="R283">
        <f t="shared" si="49"/>
        <v>0</v>
      </c>
      <c r="S283">
        <f t="shared" si="50"/>
        <v>4615.4286000000011</v>
      </c>
    </row>
    <row r="284" spans="1:19" x14ac:dyDescent="0.3">
      <c r="A284" t="s">
        <v>13</v>
      </c>
      <c r="B284" t="s">
        <v>24</v>
      </c>
      <c r="C284" t="s">
        <v>15</v>
      </c>
      <c r="D284">
        <v>0</v>
      </c>
      <c r="E284">
        <v>24</v>
      </c>
      <c r="F284">
        <v>8</v>
      </c>
      <c r="G284">
        <v>20260308</v>
      </c>
      <c r="H284">
        <v>20260408</v>
      </c>
      <c r="I284">
        <v>148216.9736</v>
      </c>
      <c r="J284">
        <f t="shared" si="41"/>
        <v>32</v>
      </c>
      <c r="K284">
        <f t="shared" si="42"/>
        <v>4631.7804249999999</v>
      </c>
      <c r="L284">
        <f t="shared" si="43"/>
        <v>0</v>
      </c>
      <c r="M284">
        <f t="shared" si="44"/>
        <v>111162.73019999999</v>
      </c>
      <c r="N284">
        <f t="shared" si="45"/>
        <v>22996.51022845957</v>
      </c>
      <c r="O284">
        <f t="shared" si="46"/>
        <v>134159.24042845957</v>
      </c>
      <c r="P284">
        <f t="shared" si="47"/>
        <v>0</v>
      </c>
      <c r="Q284">
        <f t="shared" si="48"/>
        <v>122810.79853119219</v>
      </c>
      <c r="R284">
        <f t="shared" si="49"/>
        <v>25406.17506880781</v>
      </c>
      <c r="S284">
        <f t="shared" si="50"/>
        <v>148216.9736</v>
      </c>
    </row>
    <row r="285" spans="1:19" x14ac:dyDescent="0.3">
      <c r="A285" t="s">
        <v>13</v>
      </c>
      <c r="B285" t="s">
        <v>24</v>
      </c>
      <c r="C285" t="s">
        <v>14</v>
      </c>
      <c r="D285">
        <v>22</v>
      </c>
      <c r="E285">
        <v>7</v>
      </c>
      <c r="F285">
        <v>0</v>
      </c>
      <c r="G285">
        <v>20260207</v>
      </c>
      <c r="H285">
        <v>20260307</v>
      </c>
      <c r="I285">
        <v>17618.8668</v>
      </c>
      <c r="J285">
        <f t="shared" si="41"/>
        <v>29</v>
      </c>
      <c r="K285">
        <f t="shared" si="42"/>
        <v>607.54713103448273</v>
      </c>
      <c r="L285">
        <f t="shared" si="43"/>
        <v>18129.141679342407</v>
      </c>
      <c r="M285">
        <f t="shared" si="44"/>
        <v>4252.829917241379</v>
      </c>
      <c r="N285">
        <f t="shared" si="45"/>
        <v>0</v>
      </c>
      <c r="O285">
        <f t="shared" si="46"/>
        <v>22381.971596583786</v>
      </c>
      <c r="P285">
        <f t="shared" si="47"/>
        <v>14271.081127429152</v>
      </c>
      <c r="Q285">
        <f t="shared" si="48"/>
        <v>3347.7856725708484</v>
      </c>
      <c r="R285">
        <f t="shared" si="49"/>
        <v>0</v>
      </c>
      <c r="S285">
        <f t="shared" si="50"/>
        <v>17618.8668</v>
      </c>
    </row>
    <row r="286" spans="1:19" x14ac:dyDescent="0.3">
      <c r="A286" t="s">
        <v>13</v>
      </c>
      <c r="B286" t="s">
        <v>37</v>
      </c>
      <c r="C286" t="s">
        <v>14</v>
      </c>
      <c r="D286">
        <v>0</v>
      </c>
      <c r="E286">
        <v>23</v>
      </c>
      <c r="F286">
        <v>2</v>
      </c>
      <c r="G286">
        <v>20260309</v>
      </c>
      <c r="H286">
        <v>20260402</v>
      </c>
      <c r="I286">
        <v>74.138199999999998</v>
      </c>
      <c r="J286">
        <f t="shared" si="41"/>
        <v>25</v>
      </c>
      <c r="K286">
        <f t="shared" si="42"/>
        <v>2.9655279999999999</v>
      </c>
      <c r="L286">
        <f t="shared" si="43"/>
        <v>0</v>
      </c>
      <c r="M286">
        <f t="shared" si="44"/>
        <v>68.207144</v>
      </c>
      <c r="N286">
        <f t="shared" si="45"/>
        <v>3.6809168789981688</v>
      </c>
      <c r="O286">
        <f t="shared" si="46"/>
        <v>71.888060878998175</v>
      </c>
      <c r="P286">
        <f t="shared" si="47"/>
        <v>0</v>
      </c>
      <c r="Q286">
        <f t="shared" si="48"/>
        <v>70.342068230388335</v>
      </c>
      <c r="R286">
        <f t="shared" si="49"/>
        <v>3.7961317696116592</v>
      </c>
      <c r="S286">
        <f t="shared" si="50"/>
        <v>74.138199999999998</v>
      </c>
    </row>
    <row r="287" spans="1:19" x14ac:dyDescent="0.3">
      <c r="A287" t="s">
        <v>13</v>
      </c>
      <c r="B287" t="s">
        <v>24</v>
      </c>
      <c r="C287" t="s">
        <v>15</v>
      </c>
      <c r="D287">
        <v>0</v>
      </c>
      <c r="E287">
        <v>22</v>
      </c>
      <c r="F287">
        <v>7</v>
      </c>
      <c r="G287">
        <v>20260310</v>
      </c>
      <c r="H287">
        <v>20260407</v>
      </c>
      <c r="I287">
        <v>171716.45540000001</v>
      </c>
      <c r="J287">
        <f t="shared" si="41"/>
        <v>29</v>
      </c>
      <c r="K287">
        <f t="shared" si="42"/>
        <v>5921.2570827586205</v>
      </c>
      <c r="L287">
        <f t="shared" si="43"/>
        <v>0</v>
      </c>
      <c r="M287">
        <f t="shared" si="44"/>
        <v>130267.65582068966</v>
      </c>
      <c r="N287">
        <f t="shared" si="45"/>
        <v>25723.848499440177</v>
      </c>
      <c r="O287">
        <f t="shared" si="46"/>
        <v>155991.50432012984</v>
      </c>
      <c r="P287">
        <f t="shared" si="47"/>
        <v>0</v>
      </c>
      <c r="Q287">
        <f t="shared" si="48"/>
        <v>143399.47683874858</v>
      </c>
      <c r="R287">
        <f t="shared" si="49"/>
        <v>28316.978561251428</v>
      </c>
      <c r="S287">
        <f t="shared" si="50"/>
        <v>171716.45540000001</v>
      </c>
    </row>
    <row r="288" spans="1:19" x14ac:dyDescent="0.3">
      <c r="A288" t="s">
        <v>13</v>
      </c>
      <c r="B288" t="s">
        <v>37</v>
      </c>
      <c r="C288" t="s">
        <v>14</v>
      </c>
      <c r="D288">
        <v>0</v>
      </c>
      <c r="E288">
        <v>24</v>
      </c>
      <c r="F288">
        <v>3</v>
      </c>
      <c r="G288">
        <v>20260308</v>
      </c>
      <c r="H288">
        <v>20260403</v>
      </c>
      <c r="I288">
        <v>98.305499999999995</v>
      </c>
      <c r="J288">
        <f t="shared" si="41"/>
        <v>27</v>
      </c>
      <c r="K288">
        <f t="shared" si="42"/>
        <v>3.6409444444444441</v>
      </c>
      <c r="L288">
        <f t="shared" si="43"/>
        <v>0</v>
      </c>
      <c r="M288">
        <f t="shared" si="44"/>
        <v>87.382666666666665</v>
      </c>
      <c r="N288">
        <f t="shared" si="45"/>
        <v>6.778901022541433</v>
      </c>
      <c r="O288">
        <f t="shared" si="46"/>
        <v>94.161567689208098</v>
      </c>
      <c r="P288">
        <f t="shared" si="47"/>
        <v>0</v>
      </c>
      <c r="Q288">
        <f t="shared" si="48"/>
        <v>91.228268058928307</v>
      </c>
      <c r="R288">
        <f t="shared" si="49"/>
        <v>7.0772319410716822</v>
      </c>
      <c r="S288">
        <f t="shared" si="50"/>
        <v>98.305499999999995</v>
      </c>
    </row>
    <row r="289" spans="1:19" x14ac:dyDescent="0.3">
      <c r="A289" t="s">
        <v>13</v>
      </c>
      <c r="B289" t="s">
        <v>24</v>
      </c>
      <c r="C289" t="s">
        <v>15</v>
      </c>
      <c r="D289">
        <v>10</v>
      </c>
      <c r="E289">
        <v>15</v>
      </c>
      <c r="F289">
        <v>0</v>
      </c>
      <c r="G289">
        <v>20260219</v>
      </c>
      <c r="H289">
        <v>20260315</v>
      </c>
      <c r="I289">
        <v>12214.6757</v>
      </c>
      <c r="J289">
        <f t="shared" si="41"/>
        <v>25</v>
      </c>
      <c r="K289">
        <f t="shared" si="42"/>
        <v>488.58702799999998</v>
      </c>
      <c r="L289">
        <f t="shared" si="43"/>
        <v>6626.9931251848384</v>
      </c>
      <c r="M289">
        <f t="shared" si="44"/>
        <v>7328.8054199999997</v>
      </c>
      <c r="N289">
        <f t="shared" si="45"/>
        <v>0</v>
      </c>
      <c r="O289">
        <f t="shared" si="46"/>
        <v>13955.798545184838</v>
      </c>
      <c r="P289">
        <f t="shared" si="47"/>
        <v>5800.2106886381825</v>
      </c>
      <c r="Q289">
        <f t="shared" si="48"/>
        <v>6414.4650113618172</v>
      </c>
      <c r="R289">
        <f t="shared" si="49"/>
        <v>0</v>
      </c>
      <c r="S289">
        <f t="shared" si="50"/>
        <v>12214.6757</v>
      </c>
    </row>
    <row r="290" spans="1:19" x14ac:dyDescent="0.3">
      <c r="A290" t="s">
        <v>13</v>
      </c>
      <c r="B290" t="s">
        <v>24</v>
      </c>
      <c r="C290" t="s">
        <v>15</v>
      </c>
      <c r="D290">
        <v>0</v>
      </c>
      <c r="E290">
        <v>21</v>
      </c>
      <c r="F290">
        <v>0</v>
      </c>
      <c r="G290">
        <v>20260303</v>
      </c>
      <c r="H290">
        <v>20260323</v>
      </c>
      <c r="I290">
        <v>9403.7893000000004</v>
      </c>
      <c r="J290">
        <f t="shared" si="41"/>
        <v>21</v>
      </c>
      <c r="K290">
        <f t="shared" si="42"/>
        <v>447.7994904761905</v>
      </c>
      <c r="L290">
        <f t="shared" si="43"/>
        <v>0</v>
      </c>
      <c r="M290">
        <f t="shared" si="44"/>
        <v>9403.7893000000004</v>
      </c>
      <c r="N290">
        <f t="shared" si="45"/>
        <v>0</v>
      </c>
      <c r="O290">
        <f t="shared" si="46"/>
        <v>9403.7893000000004</v>
      </c>
      <c r="P290">
        <f t="shared" si="47"/>
        <v>0</v>
      </c>
      <c r="Q290">
        <f t="shared" si="48"/>
        <v>9403.7893000000004</v>
      </c>
      <c r="R290">
        <f t="shared" si="49"/>
        <v>0</v>
      </c>
      <c r="S290">
        <f t="shared" si="50"/>
        <v>9403.7893000000004</v>
      </c>
    </row>
    <row r="291" spans="1:19" x14ac:dyDescent="0.3">
      <c r="A291" t="s">
        <v>13</v>
      </c>
      <c r="B291" t="s">
        <v>24</v>
      </c>
      <c r="C291" t="s">
        <v>15</v>
      </c>
      <c r="D291">
        <v>19</v>
      </c>
      <c r="E291">
        <v>5</v>
      </c>
      <c r="F291">
        <v>0</v>
      </c>
      <c r="G291">
        <v>20260210</v>
      </c>
      <c r="H291">
        <v>20260305</v>
      </c>
      <c r="I291">
        <v>37396.0573</v>
      </c>
      <c r="J291">
        <f t="shared" si="41"/>
        <v>24</v>
      </c>
      <c r="K291">
        <f t="shared" si="42"/>
        <v>1558.1690541666667</v>
      </c>
      <c r="L291">
        <f t="shared" si="43"/>
        <v>40155.289711647223</v>
      </c>
      <c r="M291">
        <f t="shared" si="44"/>
        <v>7790.8452708333334</v>
      </c>
      <c r="N291">
        <f t="shared" si="45"/>
        <v>0</v>
      </c>
      <c r="O291">
        <f t="shared" si="46"/>
        <v>47946.134982480558</v>
      </c>
      <c r="P291">
        <f t="shared" si="47"/>
        <v>31319.511270377901</v>
      </c>
      <c r="Q291">
        <f t="shared" si="48"/>
        <v>6076.5460296220972</v>
      </c>
      <c r="R291">
        <f t="shared" si="49"/>
        <v>0</v>
      </c>
      <c r="S291">
        <f t="shared" si="50"/>
        <v>37396.0573</v>
      </c>
    </row>
    <row r="292" spans="1:19" x14ac:dyDescent="0.3">
      <c r="A292" t="s">
        <v>13</v>
      </c>
      <c r="B292" t="s">
        <v>37</v>
      </c>
      <c r="C292" t="s">
        <v>15</v>
      </c>
      <c r="D292">
        <v>0</v>
      </c>
      <c r="E292">
        <v>28</v>
      </c>
      <c r="F292">
        <v>8</v>
      </c>
      <c r="G292">
        <v>20260304</v>
      </c>
      <c r="H292">
        <v>20260408</v>
      </c>
      <c r="I292">
        <v>26151.370999999999</v>
      </c>
      <c r="J292">
        <f t="shared" si="41"/>
        <v>36</v>
      </c>
      <c r="K292">
        <f t="shared" si="42"/>
        <v>726.42697222222216</v>
      </c>
      <c r="L292">
        <f t="shared" si="43"/>
        <v>0</v>
      </c>
      <c r="M292">
        <f t="shared" si="44"/>
        <v>20339.955222222219</v>
      </c>
      <c r="N292">
        <f t="shared" si="45"/>
        <v>3606.6660687908684</v>
      </c>
      <c r="O292">
        <f t="shared" si="46"/>
        <v>23946.621291013089</v>
      </c>
      <c r="P292">
        <f t="shared" si="47"/>
        <v>0</v>
      </c>
      <c r="Q292">
        <f t="shared" si="48"/>
        <v>22212.641552875091</v>
      </c>
      <c r="R292">
        <f t="shared" si="49"/>
        <v>3938.7294471249074</v>
      </c>
      <c r="S292">
        <f t="shared" si="50"/>
        <v>26151.370999999999</v>
      </c>
    </row>
    <row r="293" spans="1:19" x14ac:dyDescent="0.3">
      <c r="A293" t="s">
        <v>13</v>
      </c>
      <c r="B293" t="s">
        <v>24</v>
      </c>
      <c r="C293" t="s">
        <v>15</v>
      </c>
      <c r="D293">
        <v>0</v>
      </c>
      <c r="E293">
        <v>28</v>
      </c>
      <c r="F293">
        <v>8</v>
      </c>
      <c r="G293">
        <v>20260304</v>
      </c>
      <c r="H293">
        <v>20260408</v>
      </c>
      <c r="I293">
        <v>91529.797699999996</v>
      </c>
      <c r="J293">
        <f t="shared" si="41"/>
        <v>36</v>
      </c>
      <c r="K293">
        <f t="shared" si="42"/>
        <v>2542.4943805555554</v>
      </c>
      <c r="L293">
        <f t="shared" si="43"/>
        <v>0</v>
      </c>
      <c r="M293">
        <f t="shared" si="44"/>
        <v>71189.842655555549</v>
      </c>
      <c r="N293">
        <f t="shared" si="45"/>
        <v>12623.331130436047</v>
      </c>
      <c r="O293">
        <f t="shared" si="46"/>
        <v>83813.173785991588</v>
      </c>
      <c r="P293">
        <f t="shared" si="47"/>
        <v>0</v>
      </c>
      <c r="Q293">
        <f t="shared" si="48"/>
        <v>77744.244755553009</v>
      </c>
      <c r="R293">
        <f t="shared" si="49"/>
        <v>13785.55294444699</v>
      </c>
      <c r="S293">
        <f t="shared" si="50"/>
        <v>91529.797699999996</v>
      </c>
    </row>
    <row r="294" spans="1:19" x14ac:dyDescent="0.3">
      <c r="A294" t="s">
        <v>13</v>
      </c>
      <c r="B294" t="s">
        <v>24</v>
      </c>
      <c r="C294" t="s">
        <v>15</v>
      </c>
      <c r="D294">
        <v>0</v>
      </c>
      <c r="E294">
        <v>24</v>
      </c>
      <c r="F294">
        <v>14</v>
      </c>
      <c r="G294">
        <v>20260308</v>
      </c>
      <c r="H294">
        <v>20260414</v>
      </c>
      <c r="I294">
        <v>2793.683</v>
      </c>
      <c r="J294">
        <f t="shared" si="41"/>
        <v>38</v>
      </c>
      <c r="K294">
        <f t="shared" si="42"/>
        <v>73.517973684210531</v>
      </c>
      <c r="L294">
        <f t="shared" si="43"/>
        <v>0</v>
      </c>
      <c r="M294">
        <f t="shared" si="44"/>
        <v>1764.4313684210529</v>
      </c>
      <c r="N294">
        <f t="shared" si="45"/>
        <v>638.7715279396034</v>
      </c>
      <c r="O294">
        <f t="shared" si="46"/>
        <v>2403.2028963606563</v>
      </c>
      <c r="P294">
        <f t="shared" si="47"/>
        <v>0</v>
      </c>
      <c r="Q294">
        <f t="shared" si="48"/>
        <v>2051.1218283272583</v>
      </c>
      <c r="R294">
        <f t="shared" si="49"/>
        <v>742.56117167274147</v>
      </c>
      <c r="S294">
        <f t="shared" si="50"/>
        <v>2793.683</v>
      </c>
    </row>
    <row r="295" spans="1:19" x14ac:dyDescent="0.3">
      <c r="A295" t="s">
        <v>13</v>
      </c>
      <c r="B295" t="s">
        <v>37</v>
      </c>
      <c r="C295" t="s">
        <v>15</v>
      </c>
      <c r="D295">
        <v>0</v>
      </c>
      <c r="E295">
        <v>26</v>
      </c>
      <c r="F295">
        <v>8</v>
      </c>
      <c r="G295">
        <v>20260306</v>
      </c>
      <c r="H295">
        <v>20260408</v>
      </c>
      <c r="I295">
        <v>8339.3119000000006</v>
      </c>
      <c r="J295">
        <f t="shared" si="41"/>
        <v>34</v>
      </c>
      <c r="K295">
        <f t="shared" si="42"/>
        <v>245.27387941176471</v>
      </c>
      <c r="L295">
        <f t="shared" si="43"/>
        <v>0</v>
      </c>
      <c r="M295">
        <f t="shared" si="44"/>
        <v>6377.1208647058829</v>
      </c>
      <c r="N295">
        <f t="shared" si="45"/>
        <v>1217.7700061562409</v>
      </c>
      <c r="O295">
        <f t="shared" si="46"/>
        <v>7594.8908708621238</v>
      </c>
      <c r="P295">
        <f t="shared" si="47"/>
        <v>0</v>
      </c>
      <c r="Q295">
        <f t="shared" si="48"/>
        <v>7002.1809159640125</v>
      </c>
      <c r="R295">
        <f t="shared" si="49"/>
        <v>1337.1309840359879</v>
      </c>
      <c r="S295">
        <f t="shared" si="50"/>
        <v>8339.3119000000006</v>
      </c>
    </row>
    <row r="296" spans="1:19" x14ac:dyDescent="0.3">
      <c r="A296" t="s">
        <v>13</v>
      </c>
      <c r="B296" t="s">
        <v>37</v>
      </c>
      <c r="C296" t="s">
        <v>15</v>
      </c>
      <c r="D296">
        <v>0</v>
      </c>
      <c r="E296">
        <v>22</v>
      </c>
      <c r="F296">
        <v>4</v>
      </c>
      <c r="G296">
        <v>20260310</v>
      </c>
      <c r="H296">
        <v>20260404</v>
      </c>
      <c r="I296">
        <v>7345.57</v>
      </c>
      <c r="J296">
        <f t="shared" si="41"/>
        <v>26</v>
      </c>
      <c r="K296">
        <f t="shared" si="42"/>
        <v>282.52192307692309</v>
      </c>
      <c r="L296">
        <f t="shared" si="43"/>
        <v>0</v>
      </c>
      <c r="M296">
        <f t="shared" si="44"/>
        <v>6215.4823076923076</v>
      </c>
      <c r="N296">
        <f t="shared" si="45"/>
        <v>701.35214730116763</v>
      </c>
      <c r="O296">
        <f t="shared" si="46"/>
        <v>6916.8344549934754</v>
      </c>
      <c r="P296">
        <f t="shared" si="47"/>
        <v>0</v>
      </c>
      <c r="Q296">
        <f t="shared" si="48"/>
        <v>6600.7449899216135</v>
      </c>
      <c r="R296">
        <f t="shared" si="49"/>
        <v>744.82501007838528</v>
      </c>
      <c r="S296">
        <f t="shared" si="50"/>
        <v>7345.5699999999988</v>
      </c>
    </row>
    <row r="297" spans="1:19" x14ac:dyDescent="0.3">
      <c r="A297" t="s">
        <v>13</v>
      </c>
      <c r="B297" t="s">
        <v>37</v>
      </c>
      <c r="C297" t="s">
        <v>15</v>
      </c>
      <c r="D297">
        <v>4</v>
      </c>
      <c r="E297">
        <v>31</v>
      </c>
      <c r="F297">
        <v>2</v>
      </c>
      <c r="G297">
        <v>20260225</v>
      </c>
      <c r="H297">
        <v>20260402</v>
      </c>
      <c r="I297">
        <v>219.13810000000001</v>
      </c>
      <c r="J297">
        <f t="shared" si="41"/>
        <v>37</v>
      </c>
      <c r="K297">
        <f t="shared" si="42"/>
        <v>5.9226513513513517</v>
      </c>
      <c r="L297">
        <f t="shared" si="43"/>
        <v>32.13296099893352</v>
      </c>
      <c r="M297">
        <f t="shared" si="44"/>
        <v>183.60219189189189</v>
      </c>
      <c r="N297">
        <f t="shared" si="45"/>
        <v>7.3514016146907082</v>
      </c>
      <c r="O297">
        <f t="shared" si="46"/>
        <v>223.08655450551612</v>
      </c>
      <c r="P297">
        <f t="shared" si="47"/>
        <v>31.56423315734289</v>
      </c>
      <c r="Q297">
        <f t="shared" si="48"/>
        <v>180.35257918706054</v>
      </c>
      <c r="R297">
        <f t="shared" si="49"/>
        <v>7.2212876555965666</v>
      </c>
      <c r="S297">
        <f t="shared" si="50"/>
        <v>219.13810000000001</v>
      </c>
    </row>
    <row r="298" spans="1:19" x14ac:dyDescent="0.3">
      <c r="A298" t="s">
        <v>13</v>
      </c>
      <c r="B298" t="s">
        <v>24</v>
      </c>
      <c r="C298" t="s">
        <v>14</v>
      </c>
      <c r="D298">
        <v>20</v>
      </c>
      <c r="E298">
        <v>4</v>
      </c>
      <c r="F298">
        <v>0</v>
      </c>
      <c r="G298">
        <v>20260209</v>
      </c>
      <c r="H298">
        <v>20260304</v>
      </c>
      <c r="I298">
        <v>6167.7061000000003</v>
      </c>
      <c r="J298">
        <f t="shared" si="41"/>
        <v>24</v>
      </c>
      <c r="K298">
        <f t="shared" si="42"/>
        <v>256.98775416666666</v>
      </c>
      <c r="L298">
        <f t="shared" si="43"/>
        <v>6971.3520110861036</v>
      </c>
      <c r="M298">
        <f t="shared" si="44"/>
        <v>1027.9510166666666</v>
      </c>
      <c r="N298">
        <f t="shared" si="45"/>
        <v>0</v>
      </c>
      <c r="O298">
        <f t="shared" si="46"/>
        <v>7999.3030277527705</v>
      </c>
      <c r="P298">
        <f t="shared" si="47"/>
        <v>5375.12457958505</v>
      </c>
      <c r="Q298">
        <f t="shared" si="48"/>
        <v>792.58152041494975</v>
      </c>
      <c r="R298">
        <f t="shared" si="49"/>
        <v>0</v>
      </c>
      <c r="S298">
        <f t="shared" si="50"/>
        <v>6167.7060999999994</v>
      </c>
    </row>
    <row r="299" spans="1:19" x14ac:dyDescent="0.3">
      <c r="A299" t="s">
        <v>13</v>
      </c>
      <c r="B299" t="s">
        <v>24</v>
      </c>
      <c r="C299" t="s">
        <v>14</v>
      </c>
      <c r="D299">
        <v>0</v>
      </c>
      <c r="E299">
        <v>3</v>
      </c>
      <c r="F299">
        <v>0</v>
      </c>
      <c r="G299">
        <v>20260311</v>
      </c>
      <c r="H299">
        <v>20260313</v>
      </c>
      <c r="I299">
        <v>9491.1029999999992</v>
      </c>
      <c r="J299">
        <f t="shared" si="41"/>
        <v>3</v>
      </c>
      <c r="K299">
        <f t="shared" si="42"/>
        <v>3163.7009999999996</v>
      </c>
      <c r="L299">
        <f t="shared" si="43"/>
        <v>0</v>
      </c>
      <c r="M299">
        <f t="shared" si="44"/>
        <v>9491.1029999999992</v>
      </c>
      <c r="N299">
        <f t="shared" si="45"/>
        <v>0</v>
      </c>
      <c r="O299">
        <f t="shared" si="46"/>
        <v>9491.1029999999992</v>
      </c>
      <c r="P299">
        <f t="shared" si="47"/>
        <v>0</v>
      </c>
      <c r="Q299">
        <f t="shared" si="48"/>
        <v>9491.1029999999992</v>
      </c>
      <c r="R299">
        <f t="shared" si="49"/>
        <v>0</v>
      </c>
      <c r="S299">
        <f t="shared" si="50"/>
        <v>9491.1029999999992</v>
      </c>
    </row>
    <row r="300" spans="1:19" x14ac:dyDescent="0.3">
      <c r="A300" t="s">
        <v>13</v>
      </c>
      <c r="B300" t="s">
        <v>24</v>
      </c>
      <c r="C300" t="s">
        <v>14</v>
      </c>
      <c r="D300">
        <v>0</v>
      </c>
      <c r="E300">
        <v>24</v>
      </c>
      <c r="F300">
        <v>6</v>
      </c>
      <c r="G300">
        <v>20260308</v>
      </c>
      <c r="H300">
        <v>20260406</v>
      </c>
      <c r="I300">
        <v>7749.9070000000002</v>
      </c>
      <c r="J300">
        <f t="shared" si="41"/>
        <v>30</v>
      </c>
      <c r="K300">
        <f t="shared" si="42"/>
        <v>258.33023333333335</v>
      </c>
      <c r="L300">
        <f t="shared" si="43"/>
        <v>0</v>
      </c>
      <c r="M300">
        <f t="shared" si="44"/>
        <v>6199.9256000000005</v>
      </c>
      <c r="N300">
        <f t="shared" si="45"/>
        <v>961.94551145583739</v>
      </c>
      <c r="O300">
        <f t="shared" si="46"/>
        <v>7161.8711114558382</v>
      </c>
      <c r="P300">
        <f t="shared" si="47"/>
        <v>0</v>
      </c>
      <c r="Q300">
        <f t="shared" si="48"/>
        <v>6708.9795472669457</v>
      </c>
      <c r="R300">
        <f t="shared" si="49"/>
        <v>1040.9274527330545</v>
      </c>
      <c r="S300">
        <f t="shared" si="50"/>
        <v>7749.9070000000002</v>
      </c>
    </row>
    <row r="301" spans="1:19" x14ac:dyDescent="0.3">
      <c r="A301" t="s">
        <v>13</v>
      </c>
      <c r="B301" t="s">
        <v>37</v>
      </c>
      <c r="C301" t="s">
        <v>14</v>
      </c>
      <c r="D301">
        <v>0</v>
      </c>
      <c r="E301">
        <v>29</v>
      </c>
      <c r="F301">
        <v>5</v>
      </c>
      <c r="G301">
        <v>20260303</v>
      </c>
      <c r="H301">
        <v>20260405</v>
      </c>
      <c r="I301">
        <v>403.21319999999997</v>
      </c>
      <c r="J301">
        <f t="shared" si="41"/>
        <v>34</v>
      </c>
      <c r="K301">
        <f t="shared" si="42"/>
        <v>11.859211764705881</v>
      </c>
      <c r="L301">
        <f t="shared" si="43"/>
        <v>0</v>
      </c>
      <c r="M301">
        <f t="shared" si="44"/>
        <v>343.91714117647052</v>
      </c>
      <c r="N301">
        <f t="shared" si="45"/>
        <v>36.800169106748903</v>
      </c>
      <c r="O301">
        <f t="shared" si="46"/>
        <v>380.71731028321943</v>
      </c>
      <c r="P301">
        <f t="shared" si="47"/>
        <v>0</v>
      </c>
      <c r="Q301">
        <f t="shared" si="48"/>
        <v>364.23857619044691</v>
      </c>
      <c r="R301">
        <f t="shared" si="49"/>
        <v>38.974623809553066</v>
      </c>
      <c r="S301">
        <f t="shared" si="50"/>
        <v>403.21319999999997</v>
      </c>
    </row>
    <row r="302" spans="1:19" x14ac:dyDescent="0.3">
      <c r="A302" t="s">
        <v>13</v>
      </c>
      <c r="B302" t="s">
        <v>24</v>
      </c>
      <c r="C302" t="s">
        <v>15</v>
      </c>
      <c r="D302">
        <v>21</v>
      </c>
      <c r="E302">
        <v>9</v>
      </c>
      <c r="F302">
        <v>0</v>
      </c>
      <c r="G302">
        <v>20260208</v>
      </c>
      <c r="H302">
        <v>20260309</v>
      </c>
      <c r="I302">
        <v>56046.427000000003</v>
      </c>
      <c r="J302">
        <f t="shared" si="41"/>
        <v>30</v>
      </c>
      <c r="K302">
        <f t="shared" si="42"/>
        <v>1868.2142333333334</v>
      </c>
      <c r="L302">
        <f t="shared" si="43"/>
        <v>53213.344930255029</v>
      </c>
      <c r="M302">
        <f t="shared" si="44"/>
        <v>16813.928100000001</v>
      </c>
      <c r="N302">
        <f t="shared" si="45"/>
        <v>0</v>
      </c>
      <c r="O302">
        <f t="shared" si="46"/>
        <v>70027.273030255034</v>
      </c>
      <c r="P302">
        <f t="shared" si="47"/>
        <v>42589.375867468319</v>
      </c>
      <c r="Q302">
        <f t="shared" si="48"/>
        <v>13457.051132531682</v>
      </c>
      <c r="R302">
        <f t="shared" si="49"/>
        <v>0</v>
      </c>
      <c r="S302">
        <f t="shared" si="50"/>
        <v>56046.427000000003</v>
      </c>
    </row>
    <row r="303" spans="1:19" x14ac:dyDescent="0.3">
      <c r="A303" t="s">
        <v>13</v>
      </c>
      <c r="B303" t="s">
        <v>24</v>
      </c>
      <c r="C303" t="s">
        <v>15</v>
      </c>
      <c r="D303">
        <v>20</v>
      </c>
      <c r="E303">
        <v>8</v>
      </c>
      <c r="F303">
        <v>0</v>
      </c>
      <c r="G303">
        <v>20260209</v>
      </c>
      <c r="H303">
        <v>20260308</v>
      </c>
      <c r="I303">
        <v>6340.39</v>
      </c>
      <c r="J303">
        <f t="shared" si="41"/>
        <v>28</v>
      </c>
      <c r="K303">
        <f t="shared" si="42"/>
        <v>226.44250000000002</v>
      </c>
      <c r="L303">
        <f t="shared" si="43"/>
        <v>6142.7455284370253</v>
      </c>
      <c r="M303">
        <f t="shared" si="44"/>
        <v>1811.5400000000002</v>
      </c>
      <c r="N303">
        <f t="shared" si="45"/>
        <v>0</v>
      </c>
      <c r="O303">
        <f t="shared" si="46"/>
        <v>7954.2855284370253</v>
      </c>
      <c r="P303">
        <f t="shared" si="47"/>
        <v>4896.4048602237935</v>
      </c>
      <c r="Q303">
        <f t="shared" si="48"/>
        <v>1443.9851397762075</v>
      </c>
      <c r="R303">
        <f t="shared" si="49"/>
        <v>0</v>
      </c>
      <c r="S303">
        <f t="shared" si="50"/>
        <v>6340.3900000000012</v>
      </c>
    </row>
    <row r="304" spans="1:19" x14ac:dyDescent="0.3">
      <c r="A304" t="s">
        <v>13</v>
      </c>
      <c r="B304" t="s">
        <v>37</v>
      </c>
      <c r="C304" t="s">
        <v>15</v>
      </c>
      <c r="D304">
        <v>0</v>
      </c>
      <c r="E304">
        <v>29</v>
      </c>
      <c r="F304">
        <v>8</v>
      </c>
      <c r="G304">
        <v>20260303</v>
      </c>
      <c r="H304">
        <v>20260408</v>
      </c>
      <c r="I304">
        <v>5653.6493</v>
      </c>
      <c r="J304">
        <f t="shared" si="41"/>
        <v>37</v>
      </c>
      <c r="K304">
        <f t="shared" si="42"/>
        <v>152.80133243243245</v>
      </c>
      <c r="L304">
        <f t="shared" si="43"/>
        <v>0</v>
      </c>
      <c r="M304">
        <f t="shared" si="44"/>
        <v>4431.2386405405414</v>
      </c>
      <c r="N304">
        <f t="shared" si="45"/>
        <v>758.64939219451094</v>
      </c>
      <c r="O304">
        <f t="shared" si="46"/>
        <v>5189.8880327350525</v>
      </c>
      <c r="P304">
        <f t="shared" si="47"/>
        <v>0</v>
      </c>
      <c r="Q304">
        <f t="shared" si="48"/>
        <v>4827.2080399819952</v>
      </c>
      <c r="R304">
        <f t="shared" si="49"/>
        <v>826.4412600180051</v>
      </c>
      <c r="S304">
        <f t="shared" si="50"/>
        <v>5653.6493</v>
      </c>
    </row>
    <row r="305" spans="1:19" x14ac:dyDescent="0.3">
      <c r="A305" t="s">
        <v>13</v>
      </c>
      <c r="B305" t="s">
        <v>24</v>
      </c>
      <c r="C305" t="s">
        <v>15</v>
      </c>
      <c r="D305">
        <v>0</v>
      </c>
      <c r="E305">
        <v>16</v>
      </c>
      <c r="F305">
        <v>16</v>
      </c>
      <c r="G305">
        <v>20260316</v>
      </c>
      <c r="H305">
        <v>20260416</v>
      </c>
      <c r="I305">
        <v>6845.7925999999998</v>
      </c>
      <c r="J305">
        <f t="shared" si="41"/>
        <v>32</v>
      </c>
      <c r="K305">
        <f t="shared" si="42"/>
        <v>213.93101874999999</v>
      </c>
      <c r="L305">
        <f t="shared" si="43"/>
        <v>0</v>
      </c>
      <c r="M305">
        <f t="shared" si="44"/>
        <v>3422.8962999999999</v>
      </c>
      <c r="N305">
        <f t="shared" si="45"/>
        <v>2124.3091897514337</v>
      </c>
      <c r="O305">
        <f t="shared" si="46"/>
        <v>5547.2054897514336</v>
      </c>
      <c r="P305">
        <f t="shared" si="47"/>
        <v>0</v>
      </c>
      <c r="Q305">
        <f t="shared" si="48"/>
        <v>4224.1878734074753</v>
      </c>
      <c r="R305">
        <f t="shared" si="49"/>
        <v>2621.6047265925249</v>
      </c>
      <c r="S305">
        <f t="shared" si="50"/>
        <v>6845.7926000000007</v>
      </c>
    </row>
    <row r="306" spans="1:19" x14ac:dyDescent="0.3">
      <c r="A306" t="s">
        <v>13</v>
      </c>
      <c r="B306" t="s">
        <v>24</v>
      </c>
      <c r="C306" t="s">
        <v>15</v>
      </c>
      <c r="D306">
        <v>0</v>
      </c>
      <c r="E306">
        <v>14</v>
      </c>
      <c r="F306">
        <v>0</v>
      </c>
      <c r="G306">
        <v>20260318</v>
      </c>
      <c r="H306">
        <v>20260331</v>
      </c>
      <c r="I306">
        <v>759.05029999999999</v>
      </c>
      <c r="J306">
        <f t="shared" si="41"/>
        <v>14</v>
      </c>
      <c r="K306">
        <f t="shared" si="42"/>
        <v>54.217878571428571</v>
      </c>
      <c r="L306">
        <f t="shared" si="43"/>
        <v>0</v>
      </c>
      <c r="M306">
        <f t="shared" si="44"/>
        <v>759.05029999999999</v>
      </c>
      <c r="N306">
        <f t="shared" si="45"/>
        <v>0</v>
      </c>
      <c r="O306">
        <f t="shared" si="46"/>
        <v>759.05029999999999</v>
      </c>
      <c r="P306">
        <f t="shared" si="47"/>
        <v>0</v>
      </c>
      <c r="Q306">
        <f t="shared" si="48"/>
        <v>759.05029999999999</v>
      </c>
      <c r="R306">
        <f t="shared" si="49"/>
        <v>0</v>
      </c>
      <c r="S306">
        <f t="shared" si="50"/>
        <v>759.05029999999999</v>
      </c>
    </row>
    <row r="307" spans="1:19" x14ac:dyDescent="0.3">
      <c r="A307" t="s">
        <v>13</v>
      </c>
      <c r="B307" t="s">
        <v>24</v>
      </c>
      <c r="C307" t="s">
        <v>15</v>
      </c>
      <c r="D307">
        <v>0</v>
      </c>
      <c r="E307">
        <v>17</v>
      </c>
      <c r="F307">
        <v>0</v>
      </c>
      <c r="G307">
        <v>20260301</v>
      </c>
      <c r="H307">
        <v>20260317</v>
      </c>
      <c r="I307">
        <v>760.47329999999999</v>
      </c>
      <c r="J307">
        <f t="shared" si="41"/>
        <v>17</v>
      </c>
      <c r="K307">
        <f t="shared" si="42"/>
        <v>44.733723529411762</v>
      </c>
      <c r="L307">
        <f t="shared" si="43"/>
        <v>0</v>
      </c>
      <c r="M307">
        <f t="shared" si="44"/>
        <v>760.47329999999999</v>
      </c>
      <c r="N307">
        <f t="shared" si="45"/>
        <v>0</v>
      </c>
      <c r="O307">
        <f t="shared" si="46"/>
        <v>760.47329999999999</v>
      </c>
      <c r="P307">
        <f t="shared" si="47"/>
        <v>0</v>
      </c>
      <c r="Q307">
        <f t="shared" si="48"/>
        <v>760.47329999999999</v>
      </c>
      <c r="R307">
        <f t="shared" si="49"/>
        <v>0</v>
      </c>
      <c r="S307">
        <f t="shared" si="50"/>
        <v>760.47329999999999</v>
      </c>
    </row>
    <row r="308" spans="1:19" x14ac:dyDescent="0.3">
      <c r="A308" t="s">
        <v>13</v>
      </c>
      <c r="B308" t="s">
        <v>24</v>
      </c>
      <c r="C308" t="s">
        <v>15</v>
      </c>
      <c r="D308">
        <v>0</v>
      </c>
      <c r="E308">
        <v>12</v>
      </c>
      <c r="F308">
        <v>0</v>
      </c>
      <c r="G308">
        <v>20260303</v>
      </c>
      <c r="H308">
        <v>20260314</v>
      </c>
      <c r="I308">
        <v>1352.6797999999999</v>
      </c>
      <c r="J308">
        <f t="shared" si="41"/>
        <v>12</v>
      </c>
      <c r="K308">
        <f t="shared" si="42"/>
        <v>112.72331666666666</v>
      </c>
      <c r="L308">
        <f t="shared" si="43"/>
        <v>0</v>
      </c>
      <c r="M308">
        <f t="shared" si="44"/>
        <v>1352.6797999999999</v>
      </c>
      <c r="N308">
        <f t="shared" si="45"/>
        <v>0</v>
      </c>
      <c r="O308">
        <f t="shared" si="46"/>
        <v>1352.6797999999999</v>
      </c>
      <c r="P308">
        <f t="shared" si="47"/>
        <v>0</v>
      </c>
      <c r="Q308">
        <f t="shared" si="48"/>
        <v>1352.6797999999999</v>
      </c>
      <c r="R308">
        <f t="shared" si="49"/>
        <v>0</v>
      </c>
      <c r="S308">
        <f t="shared" si="50"/>
        <v>1352.6797999999999</v>
      </c>
    </row>
    <row r="309" spans="1:19" x14ac:dyDescent="0.3">
      <c r="A309" t="s">
        <v>13</v>
      </c>
      <c r="B309" t="s">
        <v>37</v>
      </c>
      <c r="C309" t="s">
        <v>15</v>
      </c>
      <c r="D309">
        <v>0</v>
      </c>
      <c r="E309">
        <v>21</v>
      </c>
      <c r="F309">
        <v>2</v>
      </c>
      <c r="G309">
        <v>20260311</v>
      </c>
      <c r="H309">
        <v>20260402</v>
      </c>
      <c r="I309">
        <v>952.03359999999998</v>
      </c>
      <c r="J309">
        <f t="shared" si="41"/>
        <v>23</v>
      </c>
      <c r="K309">
        <f t="shared" si="42"/>
        <v>41.3927652173913</v>
      </c>
      <c r="L309">
        <f t="shared" si="43"/>
        <v>0</v>
      </c>
      <c r="M309">
        <f t="shared" si="44"/>
        <v>869.24806956521729</v>
      </c>
      <c r="N309">
        <f t="shared" si="45"/>
        <v>51.378145192729235</v>
      </c>
      <c r="O309">
        <f t="shared" si="46"/>
        <v>920.62621475794651</v>
      </c>
      <c r="P309">
        <f t="shared" si="47"/>
        <v>0</v>
      </c>
      <c r="Q309">
        <f t="shared" si="48"/>
        <v>898.90267699883691</v>
      </c>
      <c r="R309">
        <f t="shared" si="49"/>
        <v>53.130923001163104</v>
      </c>
      <c r="S309">
        <f t="shared" si="50"/>
        <v>952.03359999999998</v>
      </c>
    </row>
    <row r="310" spans="1:19" x14ac:dyDescent="0.3">
      <c r="A310" t="s">
        <v>13</v>
      </c>
      <c r="B310" t="s">
        <v>24</v>
      </c>
      <c r="C310" t="s">
        <v>15</v>
      </c>
      <c r="D310">
        <v>0</v>
      </c>
      <c r="E310">
        <v>23</v>
      </c>
      <c r="F310">
        <v>6</v>
      </c>
      <c r="G310">
        <v>20260309</v>
      </c>
      <c r="H310">
        <v>20260406</v>
      </c>
      <c r="I310">
        <v>7213.5685999999996</v>
      </c>
      <c r="J310">
        <f t="shared" si="41"/>
        <v>29</v>
      </c>
      <c r="K310">
        <f t="shared" si="42"/>
        <v>248.7437448275862</v>
      </c>
      <c r="L310">
        <f t="shared" si="43"/>
        <v>0</v>
      </c>
      <c r="M310">
        <f t="shared" si="44"/>
        <v>5721.1061310344821</v>
      </c>
      <c r="N310">
        <f t="shared" si="45"/>
        <v>926.24825887438146</v>
      </c>
      <c r="O310">
        <f t="shared" si="46"/>
        <v>6647.3543899088636</v>
      </c>
      <c r="P310">
        <f t="shared" si="47"/>
        <v>0</v>
      </c>
      <c r="Q310">
        <f t="shared" si="48"/>
        <v>6208.4235506907635</v>
      </c>
      <c r="R310">
        <f t="shared" si="49"/>
        <v>1005.1450493092357</v>
      </c>
      <c r="S310">
        <f t="shared" si="50"/>
        <v>7213.5685999999987</v>
      </c>
    </row>
    <row r="311" spans="1:19" x14ac:dyDescent="0.3">
      <c r="A311" t="s">
        <v>13</v>
      </c>
      <c r="B311" t="s">
        <v>24</v>
      </c>
      <c r="C311" t="s">
        <v>15</v>
      </c>
      <c r="D311">
        <v>0</v>
      </c>
      <c r="E311">
        <v>30</v>
      </c>
      <c r="F311">
        <v>14</v>
      </c>
      <c r="G311">
        <v>20260302</v>
      </c>
      <c r="H311">
        <v>20260414</v>
      </c>
      <c r="I311">
        <v>28.7607</v>
      </c>
      <c r="J311">
        <f t="shared" si="41"/>
        <v>44</v>
      </c>
      <c r="K311">
        <f t="shared" si="42"/>
        <v>0.65365227272727278</v>
      </c>
      <c r="L311">
        <f t="shared" si="43"/>
        <v>0</v>
      </c>
      <c r="M311">
        <f t="shared" si="44"/>
        <v>19.609568181818183</v>
      </c>
      <c r="N311">
        <f t="shared" si="45"/>
        <v>5.6793521375422289</v>
      </c>
      <c r="O311">
        <f t="shared" si="46"/>
        <v>25.288920319360411</v>
      </c>
      <c r="P311">
        <f t="shared" si="47"/>
        <v>0</v>
      </c>
      <c r="Q311">
        <f t="shared" si="48"/>
        <v>22.301660192865132</v>
      </c>
      <c r="R311">
        <f t="shared" si="49"/>
        <v>6.4590398071348707</v>
      </c>
      <c r="S311">
        <f t="shared" si="50"/>
        <v>28.760700000000003</v>
      </c>
    </row>
    <row r="312" spans="1:19" x14ac:dyDescent="0.3">
      <c r="A312" t="s">
        <v>13</v>
      </c>
      <c r="B312" t="s">
        <v>24</v>
      </c>
      <c r="C312" t="s">
        <v>15</v>
      </c>
      <c r="D312">
        <v>0</v>
      </c>
      <c r="E312">
        <v>24</v>
      </c>
      <c r="F312">
        <v>0</v>
      </c>
      <c r="G312">
        <v>20260305</v>
      </c>
      <c r="H312">
        <v>20260328</v>
      </c>
      <c r="I312">
        <v>801.21969999999999</v>
      </c>
      <c r="J312">
        <f t="shared" si="41"/>
        <v>24</v>
      </c>
      <c r="K312">
        <f t="shared" si="42"/>
        <v>33.384154166666669</v>
      </c>
      <c r="L312">
        <f t="shared" si="43"/>
        <v>0</v>
      </c>
      <c r="M312">
        <f t="shared" si="44"/>
        <v>801.2197000000001</v>
      </c>
      <c r="N312">
        <f t="shared" si="45"/>
        <v>0</v>
      </c>
      <c r="O312">
        <f t="shared" si="46"/>
        <v>801.2197000000001</v>
      </c>
      <c r="P312">
        <f t="shared" si="47"/>
        <v>0</v>
      </c>
      <c r="Q312">
        <f t="shared" si="48"/>
        <v>801.21969999999999</v>
      </c>
      <c r="R312">
        <f t="shared" si="49"/>
        <v>0</v>
      </c>
      <c r="S312">
        <f t="shared" si="50"/>
        <v>801.21969999999999</v>
      </c>
    </row>
    <row r="313" spans="1:19" x14ac:dyDescent="0.3">
      <c r="A313" t="s">
        <v>13</v>
      </c>
      <c r="B313" t="s">
        <v>24</v>
      </c>
      <c r="C313" t="s">
        <v>15</v>
      </c>
      <c r="D313">
        <v>0</v>
      </c>
      <c r="E313">
        <v>19</v>
      </c>
      <c r="F313">
        <v>0</v>
      </c>
      <c r="G313">
        <v>20260306</v>
      </c>
      <c r="H313">
        <v>20260324</v>
      </c>
      <c r="I313">
        <v>84.255899999999997</v>
      </c>
      <c r="J313">
        <f t="shared" si="41"/>
        <v>19</v>
      </c>
      <c r="K313">
        <f t="shared" si="42"/>
        <v>4.4345210526315784</v>
      </c>
      <c r="L313">
        <f t="shared" si="43"/>
        <v>0</v>
      </c>
      <c r="M313">
        <f t="shared" si="44"/>
        <v>84.255899999999983</v>
      </c>
      <c r="N313">
        <f t="shared" si="45"/>
        <v>0</v>
      </c>
      <c r="O313">
        <f t="shared" si="46"/>
        <v>84.255899999999983</v>
      </c>
      <c r="P313">
        <f t="shared" si="47"/>
        <v>0</v>
      </c>
      <c r="Q313">
        <f t="shared" si="48"/>
        <v>84.255899999999997</v>
      </c>
      <c r="R313">
        <f t="shared" si="49"/>
        <v>0</v>
      </c>
      <c r="S313">
        <f t="shared" si="50"/>
        <v>84.255899999999997</v>
      </c>
    </row>
    <row r="314" spans="1:19" x14ac:dyDescent="0.3">
      <c r="A314" t="s">
        <v>13</v>
      </c>
      <c r="B314" t="s">
        <v>24</v>
      </c>
      <c r="C314" t="s">
        <v>14</v>
      </c>
      <c r="D314">
        <v>24</v>
      </c>
      <c r="E314">
        <v>9</v>
      </c>
      <c r="F314">
        <v>0</v>
      </c>
      <c r="G314">
        <v>20260205</v>
      </c>
      <c r="H314">
        <v>20260309</v>
      </c>
      <c r="I314">
        <v>380.19220000000001</v>
      </c>
      <c r="J314">
        <f t="shared" si="41"/>
        <v>33</v>
      </c>
      <c r="K314">
        <f t="shared" si="42"/>
        <v>11.520975757575759</v>
      </c>
      <c r="L314">
        <f t="shared" si="43"/>
        <v>375.03784308023376</v>
      </c>
      <c r="M314">
        <f t="shared" si="44"/>
        <v>103.68878181818182</v>
      </c>
      <c r="N314">
        <f t="shared" si="45"/>
        <v>0</v>
      </c>
      <c r="O314">
        <f t="shared" si="46"/>
        <v>478.72662489841559</v>
      </c>
      <c r="P314">
        <f t="shared" si="47"/>
        <v>297.84527374926199</v>
      </c>
      <c r="Q314">
        <f t="shared" si="48"/>
        <v>82.346926250738022</v>
      </c>
      <c r="R314">
        <f t="shared" si="49"/>
        <v>0</v>
      </c>
      <c r="S314">
        <f t="shared" si="50"/>
        <v>380.19220000000001</v>
      </c>
    </row>
    <row r="315" spans="1:19" x14ac:dyDescent="0.3">
      <c r="A315" t="s">
        <v>13</v>
      </c>
      <c r="B315" t="s">
        <v>24</v>
      </c>
      <c r="C315" t="s">
        <v>15</v>
      </c>
      <c r="D315">
        <v>17</v>
      </c>
      <c r="E315">
        <v>4</v>
      </c>
      <c r="F315">
        <v>0</v>
      </c>
      <c r="G315">
        <v>20260212</v>
      </c>
      <c r="H315">
        <v>20260304</v>
      </c>
      <c r="I315">
        <v>33595.4254</v>
      </c>
      <c r="J315">
        <f t="shared" si="41"/>
        <v>21</v>
      </c>
      <c r="K315">
        <f t="shared" si="42"/>
        <v>1599.782161904762</v>
      </c>
      <c r="L315">
        <f t="shared" si="43"/>
        <v>36887.936289727957</v>
      </c>
      <c r="M315">
        <f t="shared" si="44"/>
        <v>6399.128647619048</v>
      </c>
      <c r="N315">
        <f t="shared" si="45"/>
        <v>0</v>
      </c>
      <c r="O315">
        <f t="shared" si="46"/>
        <v>43287.064937347008</v>
      </c>
      <c r="P315">
        <f t="shared" si="47"/>
        <v>28629.012236685525</v>
      </c>
      <c r="Q315">
        <f t="shared" si="48"/>
        <v>4966.4131633144743</v>
      </c>
      <c r="R315">
        <f t="shared" si="49"/>
        <v>0</v>
      </c>
      <c r="S315">
        <f t="shared" si="50"/>
        <v>33595.4254</v>
      </c>
    </row>
    <row r="316" spans="1:19" x14ac:dyDescent="0.3">
      <c r="A316" t="s">
        <v>13</v>
      </c>
      <c r="B316" t="s">
        <v>24</v>
      </c>
      <c r="C316" t="s">
        <v>15</v>
      </c>
      <c r="D316">
        <v>28</v>
      </c>
      <c r="E316">
        <v>5</v>
      </c>
      <c r="F316">
        <v>0</v>
      </c>
      <c r="G316">
        <v>20260129</v>
      </c>
      <c r="H316">
        <v>20260305</v>
      </c>
      <c r="I316">
        <v>18780.800299999999</v>
      </c>
      <c r="J316">
        <f t="shared" si="41"/>
        <v>33</v>
      </c>
      <c r="K316">
        <f t="shared" si="42"/>
        <v>569.11516060606061</v>
      </c>
      <c r="L316">
        <f t="shared" si="43"/>
        <v>21613.881895713203</v>
      </c>
      <c r="M316">
        <f t="shared" si="44"/>
        <v>2845.5758030303032</v>
      </c>
      <c r="N316">
        <f t="shared" si="45"/>
        <v>0</v>
      </c>
      <c r="O316">
        <f t="shared" si="46"/>
        <v>24459.457698743507</v>
      </c>
      <c r="P316">
        <f t="shared" si="47"/>
        <v>16595.870791200236</v>
      </c>
      <c r="Q316">
        <f t="shared" si="48"/>
        <v>2184.9295087997639</v>
      </c>
      <c r="R316">
        <f t="shared" si="49"/>
        <v>0</v>
      </c>
      <c r="S316">
        <f t="shared" si="50"/>
        <v>18780.800299999999</v>
      </c>
    </row>
    <row r="317" spans="1:19" x14ac:dyDescent="0.3">
      <c r="A317" t="s">
        <v>13</v>
      </c>
      <c r="B317" t="s">
        <v>24</v>
      </c>
      <c r="C317" t="s">
        <v>15</v>
      </c>
      <c r="D317">
        <v>4</v>
      </c>
      <c r="E317">
        <v>2</v>
      </c>
      <c r="F317">
        <v>0</v>
      </c>
      <c r="G317">
        <v>20260225</v>
      </c>
      <c r="H317">
        <v>20260302</v>
      </c>
      <c r="I317">
        <v>1907.0975000000001</v>
      </c>
      <c r="J317">
        <f t="shared" si="41"/>
        <v>6</v>
      </c>
      <c r="K317">
        <f t="shared" si="42"/>
        <v>317.84958333333333</v>
      </c>
      <c r="L317">
        <f t="shared" si="43"/>
        <v>1724.4723112811462</v>
      </c>
      <c r="M317">
        <f t="shared" si="44"/>
        <v>635.69916666666666</v>
      </c>
      <c r="N317">
        <f t="shared" si="45"/>
        <v>0</v>
      </c>
      <c r="O317">
        <f t="shared" si="46"/>
        <v>2360.1714779478129</v>
      </c>
      <c r="P317">
        <f t="shared" si="47"/>
        <v>1393.431309712749</v>
      </c>
      <c r="Q317">
        <f t="shared" si="48"/>
        <v>513.66619028725086</v>
      </c>
      <c r="R317">
        <f t="shared" si="49"/>
        <v>0</v>
      </c>
      <c r="S317">
        <f t="shared" si="50"/>
        <v>1907.0974999999999</v>
      </c>
    </row>
    <row r="318" spans="1:19" x14ac:dyDescent="0.3">
      <c r="A318" t="s">
        <v>13</v>
      </c>
      <c r="B318" t="s">
        <v>24</v>
      </c>
      <c r="C318" t="s">
        <v>15</v>
      </c>
      <c r="D318">
        <v>16</v>
      </c>
      <c r="E318">
        <v>1</v>
      </c>
      <c r="F318">
        <v>0</v>
      </c>
      <c r="G318">
        <v>20260213</v>
      </c>
      <c r="H318">
        <v>20260301</v>
      </c>
      <c r="I318">
        <v>14185.8719</v>
      </c>
      <c r="J318">
        <f t="shared" si="41"/>
        <v>17</v>
      </c>
      <c r="K318">
        <f t="shared" si="42"/>
        <v>834.46305294117644</v>
      </c>
      <c r="L318">
        <f t="shared" si="43"/>
        <v>18109.300814468377</v>
      </c>
      <c r="M318">
        <f t="shared" si="44"/>
        <v>834.46305294117644</v>
      </c>
      <c r="N318">
        <f t="shared" si="45"/>
        <v>0</v>
      </c>
      <c r="O318">
        <f t="shared" si="46"/>
        <v>18943.763867409554</v>
      </c>
      <c r="P318">
        <f t="shared" si="47"/>
        <v>13560.9915405762</v>
      </c>
      <c r="Q318">
        <f t="shared" si="48"/>
        <v>624.88035942379838</v>
      </c>
      <c r="R318">
        <f t="shared" si="49"/>
        <v>0</v>
      </c>
      <c r="S318">
        <f t="shared" si="50"/>
        <v>14185.871899999998</v>
      </c>
    </row>
    <row r="319" spans="1:19" x14ac:dyDescent="0.3">
      <c r="A319" t="s">
        <v>13</v>
      </c>
      <c r="B319" t="s">
        <v>24</v>
      </c>
      <c r="C319" t="s">
        <v>15</v>
      </c>
      <c r="D319">
        <v>1</v>
      </c>
      <c r="E319">
        <v>31</v>
      </c>
      <c r="F319">
        <v>2</v>
      </c>
      <c r="G319">
        <v>20260228</v>
      </c>
      <c r="H319">
        <v>20260402</v>
      </c>
      <c r="I319">
        <v>13948.1068</v>
      </c>
      <c r="J319">
        <f t="shared" si="41"/>
        <v>34</v>
      </c>
      <c r="K319">
        <f t="shared" si="42"/>
        <v>410.23843529411761</v>
      </c>
      <c r="L319">
        <f t="shared" si="43"/>
        <v>556.43050973115533</v>
      </c>
      <c r="M319">
        <f t="shared" si="44"/>
        <v>12717.391494117646</v>
      </c>
      <c r="N319">
        <f t="shared" si="45"/>
        <v>509.20226714700237</v>
      </c>
      <c r="O319">
        <f t="shared" si="46"/>
        <v>13783.024270995804</v>
      </c>
      <c r="P319">
        <f t="shared" si="47"/>
        <v>563.09500904244294</v>
      </c>
      <c r="Q319">
        <f t="shared" si="48"/>
        <v>12869.710688287772</v>
      </c>
      <c r="R319">
        <f t="shared" si="49"/>
        <v>515.30110266978306</v>
      </c>
      <c r="S319">
        <f t="shared" si="50"/>
        <v>13948.106799999998</v>
      </c>
    </row>
    <row r="320" spans="1:19" x14ac:dyDescent="0.3">
      <c r="A320" t="s">
        <v>13</v>
      </c>
      <c r="B320" t="s">
        <v>24</v>
      </c>
      <c r="C320" t="s">
        <v>15</v>
      </c>
      <c r="D320">
        <v>28</v>
      </c>
      <c r="E320">
        <v>4</v>
      </c>
      <c r="F320">
        <v>0</v>
      </c>
      <c r="G320">
        <v>20260128</v>
      </c>
      <c r="H320">
        <v>20260304</v>
      </c>
      <c r="I320">
        <v>13922.7696</v>
      </c>
      <c r="J320">
        <f t="shared" si="41"/>
        <v>32</v>
      </c>
      <c r="K320">
        <f t="shared" si="42"/>
        <v>435.08654999999999</v>
      </c>
      <c r="L320">
        <f t="shared" si="43"/>
        <v>16523.737122200244</v>
      </c>
      <c r="M320">
        <f t="shared" si="44"/>
        <v>1740.3462</v>
      </c>
      <c r="N320">
        <f t="shared" si="45"/>
        <v>0</v>
      </c>
      <c r="O320">
        <f t="shared" si="46"/>
        <v>18264.083322200244</v>
      </c>
      <c r="P320">
        <f t="shared" si="47"/>
        <v>12596.098080856027</v>
      </c>
      <c r="Q320">
        <f t="shared" si="48"/>
        <v>1326.6715191439741</v>
      </c>
      <c r="R320">
        <f t="shared" si="49"/>
        <v>0</v>
      </c>
      <c r="S320">
        <f t="shared" si="50"/>
        <v>13922.769600000001</v>
      </c>
    </row>
    <row r="321" spans="1:19" x14ac:dyDescent="0.3">
      <c r="A321" t="s">
        <v>13</v>
      </c>
      <c r="B321" t="s">
        <v>24</v>
      </c>
      <c r="C321" t="s">
        <v>15</v>
      </c>
      <c r="D321">
        <v>9</v>
      </c>
      <c r="E321">
        <v>1</v>
      </c>
      <c r="F321">
        <v>0</v>
      </c>
      <c r="G321">
        <v>20260220</v>
      </c>
      <c r="H321">
        <v>20260301</v>
      </c>
      <c r="I321">
        <v>718.7287</v>
      </c>
      <c r="J321">
        <f t="shared" si="41"/>
        <v>10</v>
      </c>
      <c r="K321">
        <f t="shared" si="42"/>
        <v>71.872870000000006</v>
      </c>
      <c r="L321">
        <f t="shared" si="43"/>
        <v>877.36859407485804</v>
      </c>
      <c r="M321">
        <f t="shared" si="44"/>
        <v>71.872870000000006</v>
      </c>
      <c r="N321">
        <f t="shared" si="45"/>
        <v>0</v>
      </c>
      <c r="O321">
        <f t="shared" si="46"/>
        <v>949.24146407485807</v>
      </c>
      <c r="P321">
        <f t="shared" si="47"/>
        <v>664.30935953143478</v>
      </c>
      <c r="Q321">
        <f t="shared" si="48"/>
        <v>54.419340468565203</v>
      </c>
      <c r="R321">
        <f t="shared" si="49"/>
        <v>0</v>
      </c>
      <c r="S321">
        <f t="shared" si="50"/>
        <v>718.7287</v>
      </c>
    </row>
    <row r="322" spans="1:19" x14ac:dyDescent="0.3">
      <c r="A322" t="s">
        <v>13</v>
      </c>
      <c r="B322" t="s">
        <v>24</v>
      </c>
      <c r="C322" t="s">
        <v>15</v>
      </c>
      <c r="D322">
        <v>28</v>
      </c>
      <c r="E322">
        <v>4</v>
      </c>
      <c r="F322">
        <v>0</v>
      </c>
      <c r="G322">
        <v>20260130</v>
      </c>
      <c r="H322">
        <v>20260304</v>
      </c>
      <c r="I322">
        <v>9791.3385999999991</v>
      </c>
      <c r="J322">
        <f t="shared" si="41"/>
        <v>32</v>
      </c>
      <c r="K322">
        <f t="shared" si="42"/>
        <v>305.97933124999997</v>
      </c>
      <c r="L322">
        <f t="shared" si="43"/>
        <v>11620.49719625125</v>
      </c>
      <c r="M322">
        <f t="shared" si="44"/>
        <v>1223.9173249999999</v>
      </c>
      <c r="N322">
        <f t="shared" si="45"/>
        <v>0</v>
      </c>
      <c r="O322">
        <f t="shared" si="46"/>
        <v>12844.41452125125</v>
      </c>
      <c r="P322">
        <f t="shared" si="47"/>
        <v>8858.3424772375402</v>
      </c>
      <c r="Q322">
        <f t="shared" si="48"/>
        <v>932.99612276245898</v>
      </c>
      <c r="R322">
        <f t="shared" si="49"/>
        <v>0</v>
      </c>
      <c r="S322">
        <f t="shared" si="50"/>
        <v>9791.3385999999991</v>
      </c>
    </row>
    <row r="323" spans="1:19" x14ac:dyDescent="0.3">
      <c r="A323" t="s">
        <v>13</v>
      </c>
      <c r="B323" t="s">
        <v>24</v>
      </c>
      <c r="C323" t="s">
        <v>14</v>
      </c>
      <c r="D323">
        <v>0</v>
      </c>
      <c r="E323">
        <v>20</v>
      </c>
      <c r="F323">
        <v>0</v>
      </c>
      <c r="G323">
        <v>20260306</v>
      </c>
      <c r="H323">
        <v>20260325</v>
      </c>
      <c r="I323">
        <v>294.9579</v>
      </c>
      <c r="J323">
        <f t="shared" si="41"/>
        <v>20</v>
      </c>
      <c r="K323">
        <f t="shared" si="42"/>
        <v>14.747895</v>
      </c>
      <c r="L323">
        <f t="shared" si="43"/>
        <v>0</v>
      </c>
      <c r="M323">
        <f t="shared" si="44"/>
        <v>294.9579</v>
      </c>
      <c r="N323">
        <f t="shared" si="45"/>
        <v>0</v>
      </c>
      <c r="O323">
        <f t="shared" si="46"/>
        <v>294.9579</v>
      </c>
      <c r="P323">
        <f t="shared" si="47"/>
        <v>0</v>
      </c>
      <c r="Q323">
        <f t="shared" si="48"/>
        <v>294.9579</v>
      </c>
      <c r="R323">
        <f t="shared" si="49"/>
        <v>0</v>
      </c>
      <c r="S323">
        <f t="shared" si="50"/>
        <v>294.9579</v>
      </c>
    </row>
    <row r="324" spans="1:19" x14ac:dyDescent="0.3">
      <c r="A324" t="s">
        <v>13</v>
      </c>
      <c r="B324" t="s">
        <v>24</v>
      </c>
      <c r="C324" t="s">
        <v>15</v>
      </c>
      <c r="D324">
        <v>10</v>
      </c>
      <c r="E324">
        <v>6</v>
      </c>
      <c r="F324">
        <v>0</v>
      </c>
      <c r="G324">
        <v>20260219</v>
      </c>
      <c r="H324">
        <v>20260306</v>
      </c>
      <c r="I324">
        <v>3894.3182999999999</v>
      </c>
      <c r="J324">
        <f t="shared" si="41"/>
        <v>16</v>
      </c>
      <c r="K324">
        <f t="shared" si="42"/>
        <v>243.39489374999999</v>
      </c>
      <c r="L324">
        <f t="shared" si="43"/>
        <v>3301.3080477984854</v>
      </c>
      <c r="M324">
        <f t="shared" si="44"/>
        <v>1460.3693625000001</v>
      </c>
      <c r="N324">
        <f t="shared" si="45"/>
        <v>0</v>
      </c>
      <c r="O324">
        <f t="shared" si="46"/>
        <v>4761.6774102984855</v>
      </c>
      <c r="P324">
        <f t="shared" si="47"/>
        <v>2699.9612188497699</v>
      </c>
      <c r="Q324">
        <f t="shared" si="48"/>
        <v>1194.3570811502298</v>
      </c>
      <c r="R324">
        <f t="shared" si="49"/>
        <v>0</v>
      </c>
      <c r="S324">
        <f t="shared" si="50"/>
        <v>3894.3182999999999</v>
      </c>
    </row>
    <row r="325" spans="1:19" x14ac:dyDescent="0.3">
      <c r="A325" t="s">
        <v>13</v>
      </c>
      <c r="B325" t="s">
        <v>24</v>
      </c>
      <c r="C325" t="s">
        <v>15</v>
      </c>
      <c r="D325">
        <v>28</v>
      </c>
      <c r="E325">
        <v>4</v>
      </c>
      <c r="F325">
        <v>0</v>
      </c>
      <c r="G325">
        <v>20260126</v>
      </c>
      <c r="H325">
        <v>20260304</v>
      </c>
      <c r="I325">
        <v>6959.5911999999998</v>
      </c>
      <c r="J325">
        <f t="shared" si="41"/>
        <v>32</v>
      </c>
      <c r="K325">
        <f t="shared" si="42"/>
        <v>217.487225</v>
      </c>
      <c r="L325">
        <f t="shared" si="43"/>
        <v>8259.7398916073507</v>
      </c>
      <c r="M325">
        <f t="shared" si="44"/>
        <v>869.94889999999998</v>
      </c>
      <c r="N325">
        <f t="shared" si="45"/>
        <v>0</v>
      </c>
      <c r="O325">
        <f t="shared" si="46"/>
        <v>9129.6887916073501</v>
      </c>
      <c r="P325">
        <f t="shared" si="47"/>
        <v>6296.4263488108354</v>
      </c>
      <c r="Q325">
        <f t="shared" si="48"/>
        <v>663.16485118916535</v>
      </c>
      <c r="R325">
        <f t="shared" si="49"/>
        <v>0</v>
      </c>
      <c r="S325">
        <f t="shared" si="50"/>
        <v>6959.5912000000008</v>
      </c>
    </row>
    <row r="326" spans="1:19" x14ac:dyDescent="0.3">
      <c r="A326" t="s">
        <v>13</v>
      </c>
      <c r="B326" t="s">
        <v>24</v>
      </c>
      <c r="C326" t="s">
        <v>15</v>
      </c>
      <c r="D326">
        <v>0</v>
      </c>
      <c r="E326">
        <v>19</v>
      </c>
      <c r="F326">
        <v>2</v>
      </c>
      <c r="G326">
        <v>20260313</v>
      </c>
      <c r="H326">
        <v>20260402</v>
      </c>
      <c r="I326">
        <v>12499.6258</v>
      </c>
      <c r="J326">
        <f t="shared" si="41"/>
        <v>21</v>
      </c>
      <c r="K326">
        <f t="shared" si="42"/>
        <v>595.22027619047617</v>
      </c>
      <c r="L326">
        <f t="shared" si="43"/>
        <v>0</v>
      </c>
      <c r="M326">
        <f t="shared" si="44"/>
        <v>11309.185247619047</v>
      </c>
      <c r="N326">
        <f t="shared" si="45"/>
        <v>738.80818570975407</v>
      </c>
      <c r="O326">
        <f t="shared" si="46"/>
        <v>12047.9934333288</v>
      </c>
      <c r="P326">
        <f t="shared" si="47"/>
        <v>0</v>
      </c>
      <c r="Q326">
        <f t="shared" si="48"/>
        <v>11733.122571852298</v>
      </c>
      <c r="R326">
        <f t="shared" si="49"/>
        <v>766.50322814770141</v>
      </c>
      <c r="S326">
        <f t="shared" si="50"/>
        <v>12499.6258</v>
      </c>
    </row>
    <row r="327" spans="1:19" x14ac:dyDescent="0.3">
      <c r="A327" t="s">
        <v>13</v>
      </c>
      <c r="B327" t="s">
        <v>37</v>
      </c>
      <c r="C327" t="s">
        <v>15</v>
      </c>
      <c r="D327">
        <v>0</v>
      </c>
      <c r="E327">
        <v>19</v>
      </c>
      <c r="F327">
        <v>1</v>
      </c>
      <c r="G327">
        <v>20260313</v>
      </c>
      <c r="H327">
        <v>20260401</v>
      </c>
      <c r="I327">
        <v>1501.6502</v>
      </c>
      <c r="J327">
        <f t="shared" si="41"/>
        <v>20</v>
      </c>
      <c r="K327">
        <f t="shared" si="42"/>
        <v>75.082509999999999</v>
      </c>
      <c r="L327">
        <f t="shared" si="43"/>
        <v>0</v>
      </c>
      <c r="M327">
        <f t="shared" si="44"/>
        <v>1426.5676900000001</v>
      </c>
      <c r="N327">
        <f t="shared" si="45"/>
        <v>46.597516256219599</v>
      </c>
      <c r="O327">
        <f t="shared" si="46"/>
        <v>1473.1652062562198</v>
      </c>
      <c r="P327">
        <f t="shared" si="47"/>
        <v>0</v>
      </c>
      <c r="Q327">
        <f t="shared" si="48"/>
        <v>1454.151678239851</v>
      </c>
      <c r="R327">
        <f t="shared" si="49"/>
        <v>47.498521760148982</v>
      </c>
      <c r="S327">
        <f t="shared" si="50"/>
        <v>1501.6502</v>
      </c>
    </row>
    <row r="328" spans="1:19" x14ac:dyDescent="0.3">
      <c r="A328" t="s">
        <v>13</v>
      </c>
      <c r="B328" t="s">
        <v>37</v>
      </c>
      <c r="C328" t="s">
        <v>14</v>
      </c>
      <c r="D328">
        <v>0</v>
      </c>
      <c r="E328">
        <v>14</v>
      </c>
      <c r="F328">
        <v>4</v>
      </c>
      <c r="G328">
        <v>20260318</v>
      </c>
      <c r="H328">
        <v>20260404</v>
      </c>
      <c r="I328">
        <v>908.49620000000004</v>
      </c>
      <c r="J328">
        <f t="shared" si="41"/>
        <v>18</v>
      </c>
      <c r="K328">
        <f t="shared" si="42"/>
        <v>50.472011111111115</v>
      </c>
      <c r="L328">
        <f t="shared" si="43"/>
        <v>0</v>
      </c>
      <c r="M328">
        <f t="shared" si="44"/>
        <v>706.60815555555564</v>
      </c>
      <c r="N328">
        <f t="shared" si="45"/>
        <v>125.29524429772508</v>
      </c>
      <c r="O328">
        <f t="shared" si="46"/>
        <v>831.90339985328069</v>
      </c>
      <c r="P328">
        <f t="shared" si="47"/>
        <v>0</v>
      </c>
      <c r="Q328">
        <f t="shared" si="48"/>
        <v>771.66510477592635</v>
      </c>
      <c r="R328">
        <f t="shared" si="49"/>
        <v>136.83109522407369</v>
      </c>
      <c r="S328">
        <f t="shared" si="50"/>
        <v>908.49620000000004</v>
      </c>
    </row>
    <row r="329" spans="1:19" x14ac:dyDescent="0.3">
      <c r="A329" t="s">
        <v>13</v>
      </c>
      <c r="B329" t="s">
        <v>24</v>
      </c>
      <c r="C329" t="s">
        <v>15</v>
      </c>
      <c r="D329">
        <v>0</v>
      </c>
      <c r="E329">
        <v>14</v>
      </c>
      <c r="F329">
        <v>8</v>
      </c>
      <c r="G329">
        <v>20260318</v>
      </c>
      <c r="H329">
        <v>20260408</v>
      </c>
      <c r="I329">
        <v>1474.5821000000001</v>
      </c>
      <c r="J329">
        <f t="shared" si="41"/>
        <v>22</v>
      </c>
      <c r="K329">
        <f t="shared" si="42"/>
        <v>67.0264590909091</v>
      </c>
      <c r="L329">
        <f t="shared" si="43"/>
        <v>0</v>
      </c>
      <c r="M329">
        <f t="shared" si="44"/>
        <v>938.3704272727274</v>
      </c>
      <c r="N329">
        <f t="shared" si="45"/>
        <v>332.78232356222242</v>
      </c>
      <c r="O329">
        <f t="shared" si="46"/>
        <v>1271.1527508349498</v>
      </c>
      <c r="P329">
        <f t="shared" si="47"/>
        <v>0</v>
      </c>
      <c r="Q329">
        <f t="shared" si="48"/>
        <v>1088.5428476765182</v>
      </c>
      <c r="R329">
        <f t="shared" si="49"/>
        <v>386.039252323482</v>
      </c>
      <c r="S329">
        <f t="shared" si="50"/>
        <v>1474.5821000000003</v>
      </c>
    </row>
    <row r="330" spans="1:19" x14ac:dyDescent="0.3">
      <c r="A330" t="s">
        <v>13</v>
      </c>
      <c r="B330" t="s">
        <v>37</v>
      </c>
      <c r="C330" t="s">
        <v>15</v>
      </c>
      <c r="D330">
        <v>0</v>
      </c>
      <c r="E330">
        <v>9</v>
      </c>
      <c r="F330">
        <v>3</v>
      </c>
      <c r="G330">
        <v>20260323</v>
      </c>
      <c r="H330">
        <v>20260403</v>
      </c>
      <c r="I330">
        <v>2502.7559999999999</v>
      </c>
      <c r="J330">
        <f t="shared" si="41"/>
        <v>12</v>
      </c>
      <c r="K330">
        <f t="shared" si="42"/>
        <v>208.56299999999999</v>
      </c>
      <c r="L330">
        <f t="shared" si="43"/>
        <v>0</v>
      </c>
      <c r="M330">
        <f t="shared" si="44"/>
        <v>1877.067</v>
      </c>
      <c r="N330">
        <f t="shared" si="45"/>
        <v>388.31351467655765</v>
      </c>
      <c r="O330">
        <f t="shared" si="46"/>
        <v>2265.3805146765576</v>
      </c>
      <c r="P330">
        <f t="shared" si="47"/>
        <v>0</v>
      </c>
      <c r="Q330">
        <f t="shared" si="48"/>
        <v>2073.7534671179687</v>
      </c>
      <c r="R330">
        <f t="shared" si="49"/>
        <v>429.00253288203123</v>
      </c>
      <c r="S330">
        <f t="shared" si="50"/>
        <v>2502.7559999999999</v>
      </c>
    </row>
    <row r="331" spans="1:19" x14ac:dyDescent="0.3">
      <c r="A331" t="s">
        <v>13</v>
      </c>
      <c r="B331" t="s">
        <v>24</v>
      </c>
      <c r="C331" t="s">
        <v>15</v>
      </c>
      <c r="D331">
        <v>0</v>
      </c>
      <c r="E331">
        <v>12</v>
      </c>
      <c r="F331">
        <v>2</v>
      </c>
      <c r="G331">
        <v>20260320</v>
      </c>
      <c r="H331">
        <v>20260402</v>
      </c>
      <c r="I331">
        <v>5100.5409</v>
      </c>
      <c r="J331">
        <f t="shared" ref="J331:J394" si="51">IF(D331&lt;0,0,D331)+E331+F331</f>
        <v>14</v>
      </c>
      <c r="K331">
        <f t="shared" ref="K331:K394" si="52">I331/J331</f>
        <v>364.32434999999998</v>
      </c>
      <c r="L331">
        <f t="shared" ref="L331:L394" si="53">IF(D331&lt;0,0,D331)*$K331*$B$6</f>
        <v>0</v>
      </c>
      <c r="M331">
        <f t="shared" ref="M331:M394" si="54">IF(E331&lt;0,0,E331)*$K331*$C$6</f>
        <v>4371.8922000000002</v>
      </c>
      <c r="N331">
        <f t="shared" ref="N331:N394" si="55">IF(F331&lt;0,0,F331)*$K331*$D$6</f>
        <v>452.21210163756217</v>
      </c>
      <c r="O331">
        <f t="shared" ref="O331:O394" si="56">L331+M331+N331</f>
        <v>4824.1043016375625</v>
      </c>
      <c r="P331">
        <f t="shared" ref="P331:P394" si="57">L331/$O331*$I331</f>
        <v>0</v>
      </c>
      <c r="Q331">
        <f t="shared" ref="Q331:Q394" si="58">M331/$O331*$I331</f>
        <v>4622.4155992899005</v>
      </c>
      <c r="R331">
        <f t="shared" ref="R331:R394" si="59">N331/$O331*$I331</f>
        <v>478.12530071009922</v>
      </c>
      <c r="S331">
        <f t="shared" ref="S331:S394" si="60">P331+Q331+R331</f>
        <v>5100.5409</v>
      </c>
    </row>
    <row r="332" spans="1:19" x14ac:dyDescent="0.3">
      <c r="A332" t="s">
        <v>13</v>
      </c>
      <c r="B332" t="s">
        <v>24</v>
      </c>
      <c r="C332" t="s">
        <v>15</v>
      </c>
      <c r="D332">
        <v>0</v>
      </c>
      <c r="E332">
        <v>9</v>
      </c>
      <c r="F332">
        <v>1</v>
      </c>
      <c r="G332">
        <v>20260323</v>
      </c>
      <c r="H332">
        <v>20260401</v>
      </c>
      <c r="I332">
        <v>5746.2735000000002</v>
      </c>
      <c r="J332">
        <f t="shared" si="51"/>
        <v>10</v>
      </c>
      <c r="K332">
        <f t="shared" si="52"/>
        <v>574.62734999999998</v>
      </c>
      <c r="L332">
        <f t="shared" si="53"/>
        <v>0</v>
      </c>
      <c r="M332">
        <f t="shared" si="54"/>
        <v>5171.6461499999996</v>
      </c>
      <c r="N332">
        <f t="shared" si="55"/>
        <v>356.62376341565289</v>
      </c>
      <c r="O332">
        <f t="shared" si="56"/>
        <v>5528.2699134156528</v>
      </c>
      <c r="P332">
        <f t="shared" si="57"/>
        <v>0</v>
      </c>
      <c r="Q332">
        <f t="shared" si="58"/>
        <v>5375.586519573696</v>
      </c>
      <c r="R332">
        <f t="shared" si="59"/>
        <v>370.68698042630439</v>
      </c>
      <c r="S332">
        <f t="shared" si="60"/>
        <v>5746.2735000000002</v>
      </c>
    </row>
    <row r="333" spans="1:19" x14ac:dyDescent="0.3">
      <c r="A333" t="s">
        <v>13</v>
      </c>
      <c r="B333" t="s">
        <v>24</v>
      </c>
      <c r="C333" t="s">
        <v>15</v>
      </c>
      <c r="D333">
        <v>0</v>
      </c>
      <c r="E333">
        <v>20</v>
      </c>
      <c r="F333">
        <v>7</v>
      </c>
      <c r="G333">
        <v>20260312</v>
      </c>
      <c r="H333">
        <v>20260407</v>
      </c>
      <c r="I333">
        <v>10009.807199999999</v>
      </c>
      <c r="J333">
        <f t="shared" si="51"/>
        <v>27</v>
      </c>
      <c r="K333">
        <f t="shared" si="52"/>
        <v>370.73359999999997</v>
      </c>
      <c r="L333">
        <f t="shared" si="53"/>
        <v>0</v>
      </c>
      <c r="M333">
        <f t="shared" si="54"/>
        <v>7414.6719999999996</v>
      </c>
      <c r="N333">
        <f t="shared" si="55"/>
        <v>1610.5862026867203</v>
      </c>
      <c r="O333">
        <f t="shared" si="56"/>
        <v>9025.2582026867203</v>
      </c>
      <c r="P333">
        <f t="shared" si="57"/>
        <v>0</v>
      </c>
      <c r="Q333">
        <f t="shared" si="58"/>
        <v>8223.5250786669003</v>
      </c>
      <c r="R333">
        <f t="shared" si="59"/>
        <v>1786.2821213330994</v>
      </c>
      <c r="S333">
        <f t="shared" si="60"/>
        <v>10009.807199999999</v>
      </c>
    </row>
    <row r="334" spans="1:19" x14ac:dyDescent="0.3">
      <c r="A334" t="s">
        <v>13</v>
      </c>
      <c r="B334" t="s">
        <v>24</v>
      </c>
      <c r="C334" t="s">
        <v>15</v>
      </c>
      <c r="D334">
        <v>0</v>
      </c>
      <c r="E334">
        <v>18</v>
      </c>
      <c r="F334">
        <v>4</v>
      </c>
      <c r="G334">
        <v>20260314</v>
      </c>
      <c r="H334">
        <v>20260404</v>
      </c>
      <c r="I334">
        <v>4168.8086999999996</v>
      </c>
      <c r="J334">
        <f t="shared" si="51"/>
        <v>22</v>
      </c>
      <c r="K334">
        <f t="shared" si="52"/>
        <v>189.49130454545454</v>
      </c>
      <c r="L334">
        <f t="shared" si="53"/>
        <v>0</v>
      </c>
      <c r="M334">
        <f t="shared" si="54"/>
        <v>3410.8434818181818</v>
      </c>
      <c r="N334">
        <f t="shared" si="55"/>
        <v>470.4064445351695</v>
      </c>
      <c r="O334">
        <f t="shared" si="56"/>
        <v>3881.2499263533514</v>
      </c>
      <c r="P334">
        <f t="shared" si="57"/>
        <v>0</v>
      </c>
      <c r="Q334">
        <f t="shared" si="58"/>
        <v>3663.550209636102</v>
      </c>
      <c r="R334">
        <f t="shared" si="59"/>
        <v>505.25849036389729</v>
      </c>
      <c r="S334">
        <f t="shared" si="60"/>
        <v>4168.8086999999996</v>
      </c>
    </row>
    <row r="335" spans="1:19" x14ac:dyDescent="0.3">
      <c r="A335" t="s">
        <v>13</v>
      </c>
      <c r="B335" t="s">
        <v>37</v>
      </c>
      <c r="C335" t="s">
        <v>15</v>
      </c>
      <c r="D335">
        <v>0</v>
      </c>
      <c r="E335">
        <v>18</v>
      </c>
      <c r="F335">
        <v>8</v>
      </c>
      <c r="G335">
        <v>20260314</v>
      </c>
      <c r="H335">
        <v>20260408</v>
      </c>
      <c r="I335">
        <v>427.4898</v>
      </c>
      <c r="J335">
        <f t="shared" si="51"/>
        <v>26</v>
      </c>
      <c r="K335">
        <f t="shared" si="52"/>
        <v>16.441915384615385</v>
      </c>
      <c r="L335">
        <f t="shared" si="53"/>
        <v>0</v>
      </c>
      <c r="M335">
        <f t="shared" si="54"/>
        <v>295.95447692307692</v>
      </c>
      <c r="N335">
        <f t="shared" si="55"/>
        <v>81.63311742433784</v>
      </c>
      <c r="O335">
        <f t="shared" si="56"/>
        <v>377.58759434741478</v>
      </c>
      <c r="P335">
        <f t="shared" si="57"/>
        <v>0</v>
      </c>
      <c r="Q335">
        <f t="shared" si="58"/>
        <v>335.06800022816219</v>
      </c>
      <c r="R335">
        <f t="shared" si="59"/>
        <v>92.42179977183784</v>
      </c>
      <c r="S335">
        <f t="shared" si="60"/>
        <v>427.48980000000006</v>
      </c>
    </row>
    <row r="336" spans="1:19" x14ac:dyDescent="0.3">
      <c r="A336" t="s">
        <v>13</v>
      </c>
      <c r="B336" t="s">
        <v>24</v>
      </c>
      <c r="C336" t="s">
        <v>15</v>
      </c>
      <c r="D336">
        <v>0</v>
      </c>
      <c r="E336">
        <v>18</v>
      </c>
      <c r="F336">
        <v>8</v>
      </c>
      <c r="G336">
        <v>20260314</v>
      </c>
      <c r="H336">
        <v>20260408</v>
      </c>
      <c r="I336">
        <v>961.85220000000004</v>
      </c>
      <c r="J336">
        <f t="shared" si="51"/>
        <v>26</v>
      </c>
      <c r="K336">
        <f t="shared" si="52"/>
        <v>36.994315384615383</v>
      </c>
      <c r="L336">
        <f t="shared" si="53"/>
        <v>0</v>
      </c>
      <c r="M336">
        <f t="shared" si="54"/>
        <v>665.89767692307692</v>
      </c>
      <c r="N336">
        <f t="shared" si="55"/>
        <v>183.67454284864269</v>
      </c>
      <c r="O336">
        <f t="shared" si="56"/>
        <v>849.57221977171957</v>
      </c>
      <c r="P336">
        <f t="shared" si="57"/>
        <v>0</v>
      </c>
      <c r="Q336">
        <f t="shared" si="58"/>
        <v>753.90311808388947</v>
      </c>
      <c r="R336">
        <f t="shared" si="59"/>
        <v>207.94908191611063</v>
      </c>
      <c r="S336">
        <f t="shared" si="60"/>
        <v>961.85220000000004</v>
      </c>
    </row>
    <row r="337" spans="1:19" x14ac:dyDescent="0.3">
      <c r="A337" t="s">
        <v>13</v>
      </c>
      <c r="B337" t="s">
        <v>37</v>
      </c>
      <c r="C337" t="s">
        <v>15</v>
      </c>
      <c r="D337">
        <v>0</v>
      </c>
      <c r="E337">
        <v>12</v>
      </c>
      <c r="F337">
        <v>3</v>
      </c>
      <c r="G337">
        <v>20260320</v>
      </c>
      <c r="H337">
        <v>20260403</v>
      </c>
      <c r="I337">
        <v>236.25960000000001</v>
      </c>
      <c r="J337">
        <f t="shared" si="51"/>
        <v>15</v>
      </c>
      <c r="K337">
        <f t="shared" si="52"/>
        <v>15.750640000000001</v>
      </c>
      <c r="L337">
        <f t="shared" si="53"/>
        <v>0</v>
      </c>
      <c r="M337">
        <f t="shared" si="54"/>
        <v>189.00767999999999</v>
      </c>
      <c r="N337">
        <f t="shared" si="55"/>
        <v>29.325366324828355</v>
      </c>
      <c r="O337">
        <f t="shared" si="56"/>
        <v>218.33304632482836</v>
      </c>
      <c r="P337">
        <f t="shared" si="57"/>
        <v>0</v>
      </c>
      <c r="Q337">
        <f t="shared" si="58"/>
        <v>204.52643163917574</v>
      </c>
      <c r="R337">
        <f t="shared" si="59"/>
        <v>31.733168360824244</v>
      </c>
      <c r="S337">
        <f t="shared" si="60"/>
        <v>236.25959999999998</v>
      </c>
    </row>
    <row r="338" spans="1:19" x14ac:dyDescent="0.3">
      <c r="A338" t="s">
        <v>13</v>
      </c>
      <c r="B338" t="s">
        <v>24</v>
      </c>
      <c r="C338" t="s">
        <v>14</v>
      </c>
      <c r="D338">
        <v>0</v>
      </c>
      <c r="E338">
        <v>12</v>
      </c>
      <c r="F338">
        <v>2</v>
      </c>
      <c r="G338">
        <v>20260320</v>
      </c>
      <c r="H338">
        <v>20260402</v>
      </c>
      <c r="I338">
        <v>144.6962</v>
      </c>
      <c r="J338">
        <f t="shared" si="51"/>
        <v>14</v>
      </c>
      <c r="K338">
        <f t="shared" si="52"/>
        <v>10.335442857142857</v>
      </c>
      <c r="L338">
        <f t="shared" si="53"/>
        <v>0</v>
      </c>
      <c r="M338">
        <f t="shared" si="54"/>
        <v>124.02531428571427</v>
      </c>
      <c r="N338">
        <f t="shared" si="55"/>
        <v>12.828712480468303</v>
      </c>
      <c r="O338">
        <f t="shared" si="56"/>
        <v>136.85402676618259</v>
      </c>
      <c r="P338">
        <f t="shared" si="57"/>
        <v>0</v>
      </c>
      <c r="Q338">
        <f t="shared" si="58"/>
        <v>131.13236128308887</v>
      </c>
      <c r="R338">
        <f t="shared" si="59"/>
        <v>13.563838716911116</v>
      </c>
      <c r="S338">
        <f t="shared" si="60"/>
        <v>144.69619999999998</v>
      </c>
    </row>
    <row r="339" spans="1:19" x14ac:dyDescent="0.3">
      <c r="A339" t="s">
        <v>13</v>
      </c>
      <c r="B339" t="s">
        <v>24</v>
      </c>
      <c r="C339" t="s">
        <v>15</v>
      </c>
      <c r="D339">
        <v>0</v>
      </c>
      <c r="E339">
        <v>14</v>
      </c>
      <c r="F339">
        <v>6</v>
      </c>
      <c r="G339">
        <v>20260318</v>
      </c>
      <c r="H339">
        <v>20260406</v>
      </c>
      <c r="I339">
        <v>294.92340000000002</v>
      </c>
      <c r="J339">
        <f t="shared" si="51"/>
        <v>20</v>
      </c>
      <c r="K339">
        <f t="shared" si="52"/>
        <v>14.746170000000001</v>
      </c>
      <c r="L339">
        <f t="shared" si="53"/>
        <v>0</v>
      </c>
      <c r="M339">
        <f t="shared" si="54"/>
        <v>206.44638</v>
      </c>
      <c r="N339">
        <f t="shared" si="55"/>
        <v>54.910382960717051</v>
      </c>
      <c r="O339">
        <f t="shared" si="56"/>
        <v>261.35676296071705</v>
      </c>
      <c r="P339">
        <f t="shared" si="57"/>
        <v>0</v>
      </c>
      <c r="Q339">
        <f t="shared" si="58"/>
        <v>232.96075302418478</v>
      </c>
      <c r="R339">
        <f t="shared" si="59"/>
        <v>61.962646975815261</v>
      </c>
      <c r="S339">
        <f t="shared" si="60"/>
        <v>294.92340000000002</v>
      </c>
    </row>
    <row r="340" spans="1:19" x14ac:dyDescent="0.3">
      <c r="A340" t="s">
        <v>13</v>
      </c>
      <c r="B340" t="s">
        <v>37</v>
      </c>
      <c r="C340" t="s">
        <v>15</v>
      </c>
      <c r="D340">
        <v>0</v>
      </c>
      <c r="E340">
        <v>13</v>
      </c>
      <c r="F340">
        <v>15</v>
      </c>
      <c r="G340">
        <v>20260319</v>
      </c>
      <c r="H340">
        <v>20260415</v>
      </c>
      <c r="I340">
        <v>4628.8311000000003</v>
      </c>
      <c r="J340">
        <f t="shared" si="51"/>
        <v>28</v>
      </c>
      <c r="K340">
        <f t="shared" si="52"/>
        <v>165.31539642857143</v>
      </c>
      <c r="L340">
        <f t="shared" si="53"/>
        <v>0</v>
      </c>
      <c r="M340">
        <f t="shared" si="54"/>
        <v>2149.1001535714286</v>
      </c>
      <c r="N340">
        <f t="shared" si="55"/>
        <v>1538.9643085620896</v>
      </c>
      <c r="O340">
        <f t="shared" si="56"/>
        <v>3688.0644621335182</v>
      </c>
      <c r="P340">
        <f t="shared" si="57"/>
        <v>0</v>
      </c>
      <c r="Q340">
        <f t="shared" si="58"/>
        <v>2697.3014517515953</v>
      </c>
      <c r="R340">
        <f t="shared" si="59"/>
        <v>1931.5296482484048</v>
      </c>
      <c r="S340">
        <f t="shared" si="60"/>
        <v>4628.8311000000003</v>
      </c>
    </row>
    <row r="341" spans="1:19" x14ac:dyDescent="0.3">
      <c r="A341" t="s">
        <v>13</v>
      </c>
      <c r="B341" t="s">
        <v>24</v>
      </c>
      <c r="C341" t="s">
        <v>15</v>
      </c>
      <c r="D341">
        <v>0</v>
      </c>
      <c r="E341">
        <v>28</v>
      </c>
      <c r="F341">
        <v>3</v>
      </c>
      <c r="G341">
        <v>20260304</v>
      </c>
      <c r="H341">
        <v>20260403</v>
      </c>
      <c r="I341">
        <v>5962309.5562000005</v>
      </c>
      <c r="J341">
        <f t="shared" si="51"/>
        <v>31</v>
      </c>
      <c r="K341">
        <f t="shared" si="52"/>
        <v>192332.56632903227</v>
      </c>
      <c r="L341">
        <f t="shared" si="53"/>
        <v>0</v>
      </c>
      <c r="M341">
        <f t="shared" si="54"/>
        <v>5385311.8572129039</v>
      </c>
      <c r="N341">
        <f t="shared" si="55"/>
        <v>358094.84337101341</v>
      </c>
      <c r="O341">
        <f t="shared" si="56"/>
        <v>5743406.7005839171</v>
      </c>
      <c r="P341">
        <f t="shared" si="57"/>
        <v>0</v>
      </c>
      <c r="Q341">
        <f t="shared" si="58"/>
        <v>5590566.3699757224</v>
      </c>
      <c r="R341">
        <f t="shared" si="59"/>
        <v>371743.18622427841</v>
      </c>
      <c r="S341">
        <f t="shared" si="60"/>
        <v>5962309.5562000005</v>
      </c>
    </row>
    <row r="342" spans="1:19" x14ac:dyDescent="0.3">
      <c r="A342" t="s">
        <v>13</v>
      </c>
      <c r="B342" t="s">
        <v>37</v>
      </c>
      <c r="C342" t="s">
        <v>14</v>
      </c>
      <c r="D342">
        <v>0</v>
      </c>
      <c r="E342">
        <v>26</v>
      </c>
      <c r="F342">
        <v>3</v>
      </c>
      <c r="G342">
        <v>20260306</v>
      </c>
      <c r="H342">
        <v>20260403</v>
      </c>
      <c r="I342">
        <v>87166.659599999999</v>
      </c>
      <c r="J342">
        <f t="shared" si="51"/>
        <v>29</v>
      </c>
      <c r="K342">
        <f t="shared" si="52"/>
        <v>3005.7468827586208</v>
      </c>
      <c r="L342">
        <f t="shared" si="53"/>
        <v>0</v>
      </c>
      <c r="M342">
        <f t="shared" si="54"/>
        <v>78149.418951724147</v>
      </c>
      <c r="N342">
        <f t="shared" si="55"/>
        <v>5596.2569404549577</v>
      </c>
      <c r="O342">
        <f t="shared" si="56"/>
        <v>83745.675892179104</v>
      </c>
      <c r="P342">
        <f t="shared" si="57"/>
        <v>0</v>
      </c>
      <c r="Q342">
        <f t="shared" si="58"/>
        <v>81341.797377969371</v>
      </c>
      <c r="R342">
        <f t="shared" si="59"/>
        <v>5824.8622220306233</v>
      </c>
      <c r="S342">
        <f t="shared" si="60"/>
        <v>87166.659599999999</v>
      </c>
    </row>
    <row r="343" spans="1:19" x14ac:dyDescent="0.3">
      <c r="A343" t="s">
        <v>13</v>
      </c>
      <c r="B343" t="s">
        <v>24</v>
      </c>
      <c r="C343" t="s">
        <v>14</v>
      </c>
      <c r="D343">
        <v>0</v>
      </c>
      <c r="E343">
        <v>26</v>
      </c>
      <c r="F343">
        <v>3</v>
      </c>
      <c r="G343">
        <v>20260306</v>
      </c>
      <c r="H343">
        <v>20260403</v>
      </c>
      <c r="I343">
        <v>755444.38589999999</v>
      </c>
      <c r="J343">
        <f t="shared" si="51"/>
        <v>29</v>
      </c>
      <c r="K343">
        <f t="shared" si="52"/>
        <v>26049.806410344827</v>
      </c>
      <c r="L343">
        <f t="shared" si="53"/>
        <v>0</v>
      </c>
      <c r="M343">
        <f t="shared" si="54"/>
        <v>677294.96666896553</v>
      </c>
      <c r="N343">
        <f t="shared" si="55"/>
        <v>48500.89365728783</v>
      </c>
      <c r="O343">
        <f t="shared" si="56"/>
        <v>725795.86032625334</v>
      </c>
      <c r="P343">
        <f t="shared" si="57"/>
        <v>0</v>
      </c>
      <c r="Q343">
        <f t="shared" si="58"/>
        <v>704962.24646197527</v>
      </c>
      <c r="R343">
        <f t="shared" si="59"/>
        <v>50482.139438024693</v>
      </c>
      <c r="S343">
        <f t="shared" si="60"/>
        <v>755444.38589999999</v>
      </c>
    </row>
    <row r="344" spans="1:19" x14ac:dyDescent="0.3">
      <c r="A344" t="s">
        <v>13</v>
      </c>
      <c r="B344" t="s">
        <v>37</v>
      </c>
      <c r="C344" t="s">
        <v>15</v>
      </c>
      <c r="D344">
        <v>0</v>
      </c>
      <c r="E344">
        <v>15</v>
      </c>
      <c r="F344">
        <v>15</v>
      </c>
      <c r="G344">
        <v>20260317</v>
      </c>
      <c r="H344">
        <v>20260415</v>
      </c>
      <c r="I344">
        <v>3418850.8009000001</v>
      </c>
      <c r="J344">
        <f t="shared" si="51"/>
        <v>30</v>
      </c>
      <c r="K344">
        <f t="shared" si="52"/>
        <v>113961.69336333334</v>
      </c>
      <c r="L344">
        <f t="shared" si="53"/>
        <v>0</v>
      </c>
      <c r="M344">
        <f t="shared" si="54"/>
        <v>1709425.4004500001</v>
      </c>
      <c r="N344">
        <f t="shared" si="55"/>
        <v>1060899.2411982976</v>
      </c>
      <c r="O344">
        <f t="shared" si="56"/>
        <v>2770324.6416482977</v>
      </c>
      <c r="P344">
        <f t="shared" si="57"/>
        <v>0</v>
      </c>
      <c r="Q344">
        <f t="shared" si="58"/>
        <v>2109597.6664778325</v>
      </c>
      <c r="R344">
        <f t="shared" si="59"/>
        <v>1309253.1344221677</v>
      </c>
      <c r="S344">
        <f t="shared" si="60"/>
        <v>3418850.8009000001</v>
      </c>
    </row>
    <row r="345" spans="1:19" x14ac:dyDescent="0.3">
      <c r="A345" t="s">
        <v>13</v>
      </c>
      <c r="B345" t="s">
        <v>24</v>
      </c>
      <c r="C345" t="s">
        <v>15</v>
      </c>
      <c r="D345">
        <v>0</v>
      </c>
      <c r="E345">
        <v>15</v>
      </c>
      <c r="F345">
        <v>15</v>
      </c>
      <c r="G345">
        <v>20260317</v>
      </c>
      <c r="H345">
        <v>20260415</v>
      </c>
      <c r="I345">
        <v>3418850.8084</v>
      </c>
      <c r="J345">
        <f t="shared" si="51"/>
        <v>30</v>
      </c>
      <c r="K345">
        <f t="shared" si="52"/>
        <v>113961.69361333334</v>
      </c>
      <c r="L345">
        <f t="shared" si="53"/>
        <v>0</v>
      </c>
      <c r="M345">
        <f t="shared" si="54"/>
        <v>1709425.4042</v>
      </c>
      <c r="N345">
        <f t="shared" si="55"/>
        <v>1060899.2435256129</v>
      </c>
      <c r="O345">
        <f t="shared" si="56"/>
        <v>2770324.6477256129</v>
      </c>
      <c r="P345">
        <f t="shared" si="57"/>
        <v>0</v>
      </c>
      <c r="Q345">
        <f t="shared" si="58"/>
        <v>2109597.6711056982</v>
      </c>
      <c r="R345">
        <f t="shared" si="59"/>
        <v>1309253.1372943018</v>
      </c>
      <c r="S345">
        <f t="shared" si="60"/>
        <v>3418850.8084</v>
      </c>
    </row>
    <row r="346" spans="1:19" x14ac:dyDescent="0.3">
      <c r="A346" t="s">
        <v>13</v>
      </c>
      <c r="B346" t="s">
        <v>24</v>
      </c>
      <c r="C346" t="s">
        <v>14</v>
      </c>
      <c r="D346">
        <v>0</v>
      </c>
      <c r="E346">
        <v>15</v>
      </c>
      <c r="F346">
        <v>16</v>
      </c>
      <c r="G346">
        <v>20260317</v>
      </c>
      <c r="H346">
        <v>20260416</v>
      </c>
      <c r="I346">
        <v>3452355.0290000001</v>
      </c>
      <c r="J346">
        <f t="shared" si="51"/>
        <v>31</v>
      </c>
      <c r="K346">
        <f t="shared" si="52"/>
        <v>111366.29125806452</v>
      </c>
      <c r="L346">
        <f t="shared" si="53"/>
        <v>0</v>
      </c>
      <c r="M346">
        <f t="shared" si="54"/>
        <v>1670494.3688709678</v>
      </c>
      <c r="N346">
        <f t="shared" si="55"/>
        <v>1105853.8276980987</v>
      </c>
      <c r="O346">
        <f t="shared" si="56"/>
        <v>2776348.1965690665</v>
      </c>
      <c r="P346">
        <f t="shared" si="57"/>
        <v>0</v>
      </c>
      <c r="Q346">
        <f t="shared" si="58"/>
        <v>2077239.3183300053</v>
      </c>
      <c r="R346">
        <f t="shared" si="59"/>
        <v>1375115.7106699951</v>
      </c>
      <c r="S346">
        <f t="shared" si="60"/>
        <v>3452355.0290000001</v>
      </c>
    </row>
    <row r="347" spans="1:19" x14ac:dyDescent="0.3">
      <c r="A347" t="s">
        <v>13</v>
      </c>
      <c r="B347" t="s">
        <v>24</v>
      </c>
      <c r="C347" t="s">
        <v>15</v>
      </c>
      <c r="D347">
        <v>27</v>
      </c>
      <c r="E347">
        <v>12</v>
      </c>
      <c r="F347">
        <v>0</v>
      </c>
      <c r="G347">
        <v>20260202</v>
      </c>
      <c r="H347">
        <v>20260312</v>
      </c>
      <c r="I347">
        <v>39527.960400000004</v>
      </c>
      <c r="J347">
        <f t="shared" si="51"/>
        <v>39</v>
      </c>
      <c r="K347">
        <f t="shared" si="52"/>
        <v>1013.5374461538462</v>
      </c>
      <c r="L347">
        <f t="shared" si="53"/>
        <v>37117.451585315379</v>
      </c>
      <c r="M347">
        <f t="shared" si="54"/>
        <v>12162.449353846154</v>
      </c>
      <c r="N347">
        <f t="shared" si="55"/>
        <v>0</v>
      </c>
      <c r="O347">
        <f t="shared" si="56"/>
        <v>49279.900939161533</v>
      </c>
      <c r="P347">
        <f t="shared" si="57"/>
        <v>29772.323573145291</v>
      </c>
      <c r="Q347">
        <f t="shared" si="58"/>
        <v>9755.6368268547121</v>
      </c>
      <c r="R347">
        <f t="shared" si="59"/>
        <v>0</v>
      </c>
      <c r="S347">
        <f t="shared" si="60"/>
        <v>39527.960400000004</v>
      </c>
    </row>
    <row r="348" spans="1:19" x14ac:dyDescent="0.3">
      <c r="A348" t="s">
        <v>13</v>
      </c>
      <c r="B348" t="s">
        <v>37</v>
      </c>
      <c r="C348" t="s">
        <v>15</v>
      </c>
      <c r="D348">
        <v>0</v>
      </c>
      <c r="E348">
        <v>26</v>
      </c>
      <c r="F348">
        <v>3</v>
      </c>
      <c r="G348">
        <v>20260306</v>
      </c>
      <c r="H348">
        <v>20260403</v>
      </c>
      <c r="I348">
        <v>346577.71120000002</v>
      </c>
      <c r="J348">
        <f t="shared" si="51"/>
        <v>29</v>
      </c>
      <c r="K348">
        <f t="shared" si="52"/>
        <v>11950.95555862069</v>
      </c>
      <c r="L348">
        <f t="shared" si="53"/>
        <v>0</v>
      </c>
      <c r="M348">
        <f t="shared" si="54"/>
        <v>310724.84452413791</v>
      </c>
      <c r="N348">
        <f t="shared" si="55"/>
        <v>22250.914863668739</v>
      </c>
      <c r="O348">
        <f t="shared" si="56"/>
        <v>332975.75938780664</v>
      </c>
      <c r="P348">
        <f t="shared" si="57"/>
        <v>0</v>
      </c>
      <c r="Q348">
        <f t="shared" si="58"/>
        <v>323417.85367843544</v>
      </c>
      <c r="R348">
        <f t="shared" si="59"/>
        <v>23159.857521564583</v>
      </c>
      <c r="S348">
        <f t="shared" si="60"/>
        <v>346577.71120000002</v>
      </c>
    </row>
    <row r="349" spans="1:19" x14ac:dyDescent="0.3">
      <c r="A349" t="s">
        <v>13</v>
      </c>
      <c r="B349" t="s">
        <v>37</v>
      </c>
      <c r="C349" t="s">
        <v>15</v>
      </c>
      <c r="D349">
        <v>0</v>
      </c>
      <c r="E349">
        <v>27</v>
      </c>
      <c r="F349">
        <v>3</v>
      </c>
      <c r="G349">
        <v>20260305</v>
      </c>
      <c r="H349">
        <v>20260403</v>
      </c>
      <c r="I349">
        <v>717457.83680000005</v>
      </c>
      <c r="J349">
        <f t="shared" si="51"/>
        <v>30</v>
      </c>
      <c r="K349">
        <f t="shared" si="52"/>
        <v>23915.261226666669</v>
      </c>
      <c r="L349">
        <f t="shared" si="53"/>
        <v>0</v>
      </c>
      <c r="M349">
        <f t="shared" si="54"/>
        <v>645712.05312000006</v>
      </c>
      <c r="N349">
        <f t="shared" si="55"/>
        <v>44526.685660135969</v>
      </c>
      <c r="O349">
        <f t="shared" si="56"/>
        <v>690238.73878013599</v>
      </c>
      <c r="P349">
        <f t="shared" si="57"/>
        <v>0</v>
      </c>
      <c r="Q349">
        <f t="shared" si="58"/>
        <v>671175.27139364067</v>
      </c>
      <c r="R349">
        <f t="shared" si="59"/>
        <v>46282.565406359507</v>
      </c>
      <c r="S349">
        <f t="shared" si="60"/>
        <v>717457.83680000016</v>
      </c>
    </row>
    <row r="350" spans="1:19" x14ac:dyDescent="0.3">
      <c r="A350" t="s">
        <v>13</v>
      </c>
      <c r="B350" t="s">
        <v>24</v>
      </c>
      <c r="C350" t="s">
        <v>15</v>
      </c>
      <c r="D350">
        <v>24</v>
      </c>
      <c r="E350">
        <v>4</v>
      </c>
      <c r="F350">
        <v>0</v>
      </c>
      <c r="G350">
        <v>20260205</v>
      </c>
      <c r="H350">
        <v>20260304</v>
      </c>
      <c r="I350">
        <v>6477900.1799999997</v>
      </c>
      <c r="J350">
        <f t="shared" si="51"/>
        <v>28</v>
      </c>
      <c r="K350">
        <f t="shared" si="52"/>
        <v>231353.57785714284</v>
      </c>
      <c r="L350">
        <f t="shared" si="53"/>
        <v>7531163.0415838258</v>
      </c>
      <c r="M350">
        <f t="shared" si="54"/>
        <v>925414.31142857135</v>
      </c>
      <c r="N350">
        <f t="shared" si="55"/>
        <v>0</v>
      </c>
      <c r="O350">
        <f t="shared" si="56"/>
        <v>8456577.3530123979</v>
      </c>
      <c r="P350">
        <f t="shared" si="57"/>
        <v>5769015.0974976467</v>
      </c>
      <c r="Q350">
        <f t="shared" si="58"/>
        <v>708885.08250235231</v>
      </c>
      <c r="R350">
        <f t="shared" si="59"/>
        <v>0</v>
      </c>
      <c r="S350">
        <f t="shared" si="60"/>
        <v>6477900.1799999988</v>
      </c>
    </row>
    <row r="351" spans="1:19" x14ac:dyDescent="0.3">
      <c r="A351" t="s">
        <v>13</v>
      </c>
      <c r="B351" t="s">
        <v>24</v>
      </c>
      <c r="C351" t="s">
        <v>15</v>
      </c>
      <c r="D351">
        <v>26</v>
      </c>
      <c r="E351">
        <v>1</v>
      </c>
      <c r="F351">
        <v>0</v>
      </c>
      <c r="G351">
        <v>20260203</v>
      </c>
      <c r="H351">
        <v>20260301</v>
      </c>
      <c r="I351">
        <v>6656157.2966</v>
      </c>
      <c r="J351">
        <f t="shared" si="51"/>
        <v>27</v>
      </c>
      <c r="K351">
        <f t="shared" si="52"/>
        <v>246524.34431851853</v>
      </c>
      <c r="L351">
        <f t="shared" si="53"/>
        <v>8693762.0271260198</v>
      </c>
      <c r="M351">
        <f t="shared" si="54"/>
        <v>246524.34431851853</v>
      </c>
      <c r="N351">
        <f t="shared" si="55"/>
        <v>0</v>
      </c>
      <c r="O351">
        <f t="shared" si="56"/>
        <v>8940286.3714445382</v>
      </c>
      <c r="P351">
        <f t="shared" si="57"/>
        <v>6472616.7761904616</v>
      </c>
      <c r="Q351">
        <f t="shared" si="58"/>
        <v>183540.52040953882</v>
      </c>
      <c r="R351">
        <f t="shared" si="59"/>
        <v>0</v>
      </c>
      <c r="S351">
        <f t="shared" si="60"/>
        <v>6656157.2966</v>
      </c>
    </row>
    <row r="352" spans="1:19" x14ac:dyDescent="0.3">
      <c r="A352" t="s">
        <v>13</v>
      </c>
      <c r="B352" t="s">
        <v>24</v>
      </c>
      <c r="C352" t="s">
        <v>15</v>
      </c>
      <c r="D352">
        <v>0</v>
      </c>
      <c r="E352">
        <v>27</v>
      </c>
      <c r="F352">
        <v>2</v>
      </c>
      <c r="G352">
        <v>20260305</v>
      </c>
      <c r="H352">
        <v>20260402</v>
      </c>
      <c r="I352">
        <v>7012864.7753999997</v>
      </c>
      <c r="J352">
        <f t="shared" si="51"/>
        <v>29</v>
      </c>
      <c r="K352">
        <f t="shared" si="52"/>
        <v>241822.92328965515</v>
      </c>
      <c r="L352">
        <f t="shared" si="53"/>
        <v>0</v>
      </c>
      <c r="M352">
        <f t="shared" si="54"/>
        <v>6529218.9288206892</v>
      </c>
      <c r="N352">
        <f t="shared" si="55"/>
        <v>300159.05432879779</v>
      </c>
      <c r="O352">
        <f t="shared" si="56"/>
        <v>6829377.9831494866</v>
      </c>
      <c r="P352">
        <f t="shared" si="57"/>
        <v>0</v>
      </c>
      <c r="Q352">
        <f t="shared" si="58"/>
        <v>6704641.2645160621</v>
      </c>
      <c r="R352">
        <f t="shared" si="59"/>
        <v>308223.51088393776</v>
      </c>
      <c r="S352">
        <f t="shared" si="60"/>
        <v>7012864.7753999997</v>
      </c>
    </row>
    <row r="353" spans="1:19" x14ac:dyDescent="0.3">
      <c r="A353" t="s">
        <v>13</v>
      </c>
      <c r="B353" t="s">
        <v>24</v>
      </c>
      <c r="C353" t="s">
        <v>14</v>
      </c>
      <c r="D353">
        <v>26</v>
      </c>
      <c r="E353">
        <v>1</v>
      </c>
      <c r="F353">
        <v>0</v>
      </c>
      <c r="G353">
        <v>20260203</v>
      </c>
      <c r="H353">
        <v>20260301</v>
      </c>
      <c r="I353">
        <v>804767.14020000002</v>
      </c>
      <c r="J353">
        <f t="shared" si="51"/>
        <v>27</v>
      </c>
      <c r="K353">
        <f t="shared" si="52"/>
        <v>29806.190377777777</v>
      </c>
      <c r="L353">
        <f t="shared" si="53"/>
        <v>1051125.1000218079</v>
      </c>
      <c r="M353">
        <f t="shared" si="54"/>
        <v>29806.190377777777</v>
      </c>
      <c r="N353">
        <f t="shared" si="55"/>
        <v>0</v>
      </c>
      <c r="O353">
        <f t="shared" si="56"/>
        <v>1080931.2903995856</v>
      </c>
      <c r="P353">
        <f t="shared" si="57"/>
        <v>782576.05108672846</v>
      </c>
      <c r="Q353">
        <f t="shared" si="58"/>
        <v>22191.089113271704</v>
      </c>
      <c r="R353">
        <f t="shared" si="59"/>
        <v>0</v>
      </c>
      <c r="S353">
        <f t="shared" si="60"/>
        <v>804767.14020000014</v>
      </c>
    </row>
    <row r="354" spans="1:19" x14ac:dyDescent="0.3">
      <c r="A354" t="s">
        <v>13</v>
      </c>
      <c r="B354" t="s">
        <v>24</v>
      </c>
      <c r="C354" t="s">
        <v>15</v>
      </c>
      <c r="D354">
        <v>0</v>
      </c>
      <c r="E354">
        <v>25</v>
      </c>
      <c r="F354">
        <v>2</v>
      </c>
      <c r="G354">
        <v>20260307</v>
      </c>
      <c r="H354">
        <v>20260402</v>
      </c>
      <c r="I354">
        <v>618825.4656</v>
      </c>
      <c r="J354">
        <f t="shared" si="51"/>
        <v>27</v>
      </c>
      <c r="K354">
        <f t="shared" si="52"/>
        <v>22919.461688888889</v>
      </c>
      <c r="L354">
        <f t="shared" si="53"/>
        <v>0</v>
      </c>
      <c r="M354">
        <f t="shared" si="54"/>
        <v>572986.5422222222</v>
      </c>
      <c r="N354">
        <f t="shared" si="55"/>
        <v>28448.435957503349</v>
      </c>
      <c r="O354">
        <f t="shared" si="56"/>
        <v>601434.97817972559</v>
      </c>
      <c r="P354">
        <f t="shared" si="57"/>
        <v>0</v>
      </c>
      <c r="Q354">
        <f t="shared" si="58"/>
        <v>589554.44335205038</v>
      </c>
      <c r="R354">
        <f t="shared" si="59"/>
        <v>29271.022247949535</v>
      </c>
      <c r="S354">
        <f t="shared" si="60"/>
        <v>618825.46559999988</v>
      </c>
    </row>
    <row r="355" spans="1:19" x14ac:dyDescent="0.3">
      <c r="A355" t="s">
        <v>13</v>
      </c>
      <c r="B355" t="s">
        <v>37</v>
      </c>
      <c r="C355" t="s">
        <v>14</v>
      </c>
      <c r="D355">
        <v>0</v>
      </c>
      <c r="E355">
        <v>26</v>
      </c>
      <c r="F355">
        <v>2</v>
      </c>
      <c r="G355">
        <v>20260306</v>
      </c>
      <c r="H355">
        <v>20260402</v>
      </c>
      <c r="I355">
        <v>79992.5965</v>
      </c>
      <c r="J355">
        <f t="shared" si="51"/>
        <v>28</v>
      </c>
      <c r="K355">
        <f t="shared" si="52"/>
        <v>2856.8784464285714</v>
      </c>
      <c r="L355">
        <f t="shared" si="53"/>
        <v>0</v>
      </c>
      <c r="M355">
        <f t="shared" si="54"/>
        <v>74278.839607142858</v>
      </c>
      <c r="N355">
        <f t="shared" si="55"/>
        <v>3546.0572601927865</v>
      </c>
      <c r="O355">
        <f t="shared" si="56"/>
        <v>77824.896867335643</v>
      </c>
      <c r="P355">
        <f t="shared" si="57"/>
        <v>0</v>
      </c>
      <c r="Q355">
        <f t="shared" si="58"/>
        <v>76347.768957677181</v>
      </c>
      <c r="R355">
        <f t="shared" si="59"/>
        <v>3644.8275423228092</v>
      </c>
      <c r="S355">
        <f t="shared" si="60"/>
        <v>79992.596499999985</v>
      </c>
    </row>
    <row r="356" spans="1:19" x14ac:dyDescent="0.3">
      <c r="A356" t="s">
        <v>13</v>
      </c>
      <c r="B356" t="s">
        <v>24</v>
      </c>
      <c r="C356" t="s">
        <v>14</v>
      </c>
      <c r="D356">
        <v>8</v>
      </c>
      <c r="E356">
        <v>17</v>
      </c>
      <c r="F356">
        <v>0</v>
      </c>
      <c r="G356">
        <v>20260221</v>
      </c>
      <c r="H356">
        <v>20260317</v>
      </c>
      <c r="I356">
        <v>1036114.7496</v>
      </c>
      <c r="J356">
        <f t="shared" si="51"/>
        <v>25</v>
      </c>
      <c r="K356">
        <f t="shared" si="52"/>
        <v>41444.589983999998</v>
      </c>
      <c r="L356">
        <f t="shared" si="53"/>
        <v>449709.87301786878</v>
      </c>
      <c r="M356">
        <f t="shared" si="54"/>
        <v>704558.02972799994</v>
      </c>
      <c r="N356">
        <f t="shared" si="55"/>
        <v>0</v>
      </c>
      <c r="O356">
        <f t="shared" si="56"/>
        <v>1154267.9027458688</v>
      </c>
      <c r="P356">
        <f t="shared" si="57"/>
        <v>403676.67797580932</v>
      </c>
      <c r="Q356">
        <f t="shared" si="58"/>
        <v>632438.07162419055</v>
      </c>
      <c r="R356">
        <f t="shared" si="59"/>
        <v>0</v>
      </c>
      <c r="S356">
        <f t="shared" si="60"/>
        <v>1036114.7495999999</v>
      </c>
    </row>
    <row r="357" spans="1:19" x14ac:dyDescent="0.3">
      <c r="A357" t="s">
        <v>13</v>
      </c>
      <c r="B357" t="s">
        <v>24</v>
      </c>
      <c r="C357" t="s">
        <v>15</v>
      </c>
      <c r="D357">
        <v>0</v>
      </c>
      <c r="E357">
        <v>26</v>
      </c>
      <c r="F357">
        <v>4</v>
      </c>
      <c r="G357">
        <v>20260306</v>
      </c>
      <c r="H357">
        <v>20260404</v>
      </c>
      <c r="I357">
        <v>407554.39059999998</v>
      </c>
      <c r="J357">
        <f t="shared" si="51"/>
        <v>30</v>
      </c>
      <c r="K357">
        <f t="shared" si="52"/>
        <v>13585.146353333334</v>
      </c>
      <c r="L357">
        <f t="shared" si="53"/>
        <v>0</v>
      </c>
      <c r="M357">
        <f t="shared" si="54"/>
        <v>353213.80518666666</v>
      </c>
      <c r="N357">
        <f t="shared" si="55"/>
        <v>33724.715811582348</v>
      </c>
      <c r="O357">
        <f t="shared" si="56"/>
        <v>386938.52099824901</v>
      </c>
      <c r="P357">
        <f t="shared" si="57"/>
        <v>0</v>
      </c>
      <c r="Q357">
        <f t="shared" si="58"/>
        <v>372032.84065121674</v>
      </c>
      <c r="R357">
        <f t="shared" si="59"/>
        <v>35521.549948783271</v>
      </c>
      <c r="S357">
        <f t="shared" si="60"/>
        <v>407554.39060000004</v>
      </c>
    </row>
    <row r="358" spans="1:19" x14ac:dyDescent="0.3">
      <c r="A358" t="s">
        <v>13</v>
      </c>
      <c r="B358" t="s">
        <v>24</v>
      </c>
      <c r="C358" t="s">
        <v>15</v>
      </c>
      <c r="D358">
        <v>0</v>
      </c>
      <c r="E358">
        <v>24</v>
      </c>
      <c r="F358">
        <v>3</v>
      </c>
      <c r="G358">
        <v>20260308</v>
      </c>
      <c r="H358">
        <v>20260403</v>
      </c>
      <c r="I358">
        <v>264020.42479999998</v>
      </c>
      <c r="J358">
        <f t="shared" si="51"/>
        <v>27</v>
      </c>
      <c r="K358">
        <f t="shared" si="52"/>
        <v>9778.5342518518519</v>
      </c>
      <c r="L358">
        <f t="shared" si="53"/>
        <v>0</v>
      </c>
      <c r="M358">
        <f t="shared" si="54"/>
        <v>234684.82204444445</v>
      </c>
      <c r="N358">
        <f t="shared" si="55"/>
        <v>18206.187117186153</v>
      </c>
      <c r="O358">
        <f t="shared" si="56"/>
        <v>252891.00916163059</v>
      </c>
      <c r="P358">
        <f t="shared" si="57"/>
        <v>0</v>
      </c>
      <c r="Q358">
        <f t="shared" si="58"/>
        <v>245013.00625790545</v>
      </c>
      <c r="R358">
        <f t="shared" si="59"/>
        <v>19007.418542094532</v>
      </c>
      <c r="S358">
        <f t="shared" si="60"/>
        <v>264020.42479999998</v>
      </c>
    </row>
    <row r="359" spans="1:19" x14ac:dyDescent="0.3">
      <c r="A359" t="s">
        <v>13</v>
      </c>
      <c r="B359" t="s">
        <v>24</v>
      </c>
      <c r="C359" t="s">
        <v>15</v>
      </c>
      <c r="D359">
        <v>0</v>
      </c>
      <c r="E359">
        <v>30</v>
      </c>
      <c r="F359">
        <v>7</v>
      </c>
      <c r="G359">
        <v>20260302</v>
      </c>
      <c r="H359">
        <v>20260407</v>
      </c>
      <c r="I359">
        <v>610346.65209999995</v>
      </c>
      <c r="J359">
        <f t="shared" si="51"/>
        <v>37</v>
      </c>
      <c r="K359">
        <f t="shared" si="52"/>
        <v>16495.855462162162</v>
      </c>
      <c r="L359">
        <f t="shared" si="53"/>
        <v>0</v>
      </c>
      <c r="M359">
        <f t="shared" si="54"/>
        <v>494875.66386486485</v>
      </c>
      <c r="N359">
        <f t="shared" si="55"/>
        <v>71663.310821767314</v>
      </c>
      <c r="O359">
        <f t="shared" si="56"/>
        <v>566538.97468663217</v>
      </c>
      <c r="P359">
        <f t="shared" si="57"/>
        <v>0</v>
      </c>
      <c r="Q359">
        <f t="shared" si="58"/>
        <v>533141.9692930301</v>
      </c>
      <c r="R359">
        <f t="shared" si="59"/>
        <v>77204.682806969882</v>
      </c>
      <c r="S359">
        <f t="shared" si="60"/>
        <v>610346.65209999995</v>
      </c>
    </row>
    <row r="360" spans="1:19" x14ac:dyDescent="0.3">
      <c r="A360" t="s">
        <v>13</v>
      </c>
      <c r="B360" t="s">
        <v>37</v>
      </c>
      <c r="C360" t="s">
        <v>14</v>
      </c>
      <c r="D360">
        <v>0</v>
      </c>
      <c r="E360">
        <v>26</v>
      </c>
      <c r="F360">
        <v>7</v>
      </c>
      <c r="G360">
        <v>20260306</v>
      </c>
      <c r="H360">
        <v>20260407</v>
      </c>
      <c r="I360">
        <v>94205.749100000001</v>
      </c>
      <c r="J360">
        <f t="shared" si="51"/>
        <v>33</v>
      </c>
      <c r="K360">
        <f t="shared" si="52"/>
        <v>2854.7196696969695</v>
      </c>
      <c r="L360">
        <f t="shared" si="53"/>
        <v>0</v>
      </c>
      <c r="M360">
        <f t="shared" si="54"/>
        <v>74222.711412121207</v>
      </c>
      <c r="N360">
        <f t="shared" si="55"/>
        <v>12401.821989030212</v>
      </c>
      <c r="O360">
        <f t="shared" si="56"/>
        <v>86624.533401151421</v>
      </c>
      <c r="P360">
        <f t="shared" si="57"/>
        <v>0</v>
      </c>
      <c r="Q360">
        <f t="shared" si="58"/>
        <v>80718.543053289992</v>
      </c>
      <c r="R360">
        <f t="shared" si="59"/>
        <v>13487.206046710015</v>
      </c>
      <c r="S360">
        <f t="shared" si="60"/>
        <v>94205.749100000001</v>
      </c>
    </row>
    <row r="361" spans="1:19" x14ac:dyDescent="0.3">
      <c r="A361" t="s">
        <v>13</v>
      </c>
      <c r="B361" t="s">
        <v>24</v>
      </c>
      <c r="C361" t="s">
        <v>14</v>
      </c>
      <c r="D361">
        <v>0</v>
      </c>
      <c r="E361">
        <v>25</v>
      </c>
      <c r="F361">
        <v>7</v>
      </c>
      <c r="G361">
        <v>20260307</v>
      </c>
      <c r="H361">
        <v>20260407</v>
      </c>
      <c r="I361">
        <v>303844.7781</v>
      </c>
      <c r="J361">
        <f t="shared" si="51"/>
        <v>32</v>
      </c>
      <c r="K361">
        <f t="shared" si="52"/>
        <v>9495.1493156249999</v>
      </c>
      <c r="L361">
        <f t="shared" si="53"/>
        <v>0</v>
      </c>
      <c r="M361">
        <f t="shared" si="54"/>
        <v>237378.73289062499</v>
      </c>
      <c r="N361">
        <f t="shared" si="55"/>
        <v>41249.987808485341</v>
      </c>
      <c r="O361">
        <f t="shared" si="56"/>
        <v>278628.7206991103</v>
      </c>
      <c r="P361">
        <f t="shared" si="57"/>
        <v>0</v>
      </c>
      <c r="Q361">
        <f t="shared" si="58"/>
        <v>258861.64297721453</v>
      </c>
      <c r="R361">
        <f t="shared" si="59"/>
        <v>44983.135122785476</v>
      </c>
      <c r="S361">
        <f t="shared" si="60"/>
        <v>303844.7781</v>
      </c>
    </row>
    <row r="362" spans="1:19" x14ac:dyDescent="0.3">
      <c r="A362" t="s">
        <v>13</v>
      </c>
      <c r="B362" t="s">
        <v>37</v>
      </c>
      <c r="C362" t="s">
        <v>15</v>
      </c>
      <c r="D362">
        <v>0</v>
      </c>
      <c r="E362">
        <v>30</v>
      </c>
      <c r="F362">
        <v>4</v>
      </c>
      <c r="G362">
        <v>20260302</v>
      </c>
      <c r="H362">
        <v>20260404</v>
      </c>
      <c r="I362">
        <v>66210.088900000002</v>
      </c>
      <c r="J362">
        <f t="shared" si="51"/>
        <v>34</v>
      </c>
      <c r="K362">
        <f t="shared" si="52"/>
        <v>1947.355555882353</v>
      </c>
      <c r="L362">
        <f t="shared" si="53"/>
        <v>0</v>
      </c>
      <c r="M362">
        <f t="shared" si="54"/>
        <v>58420.666676470588</v>
      </c>
      <c r="N362">
        <f t="shared" si="55"/>
        <v>4834.2513947318757</v>
      </c>
      <c r="O362">
        <f t="shared" si="56"/>
        <v>63254.918071202461</v>
      </c>
      <c r="P362">
        <f t="shared" si="57"/>
        <v>0</v>
      </c>
      <c r="Q362">
        <f t="shared" si="58"/>
        <v>61149.988841853461</v>
      </c>
      <c r="R362">
        <f t="shared" si="59"/>
        <v>5060.1000581465441</v>
      </c>
      <c r="S362">
        <f t="shared" si="60"/>
        <v>66210.088900000002</v>
      </c>
    </row>
    <row r="363" spans="1:19" x14ac:dyDescent="0.3">
      <c r="A363" t="s">
        <v>13</v>
      </c>
      <c r="B363" t="s">
        <v>37</v>
      </c>
      <c r="C363" t="s">
        <v>14</v>
      </c>
      <c r="D363">
        <v>0</v>
      </c>
      <c r="E363">
        <v>26</v>
      </c>
      <c r="F363">
        <v>4</v>
      </c>
      <c r="G363">
        <v>20260306</v>
      </c>
      <c r="H363">
        <v>20260404</v>
      </c>
      <c r="I363">
        <v>33291.972900000001</v>
      </c>
      <c r="J363">
        <f t="shared" si="51"/>
        <v>30</v>
      </c>
      <c r="K363">
        <f t="shared" si="52"/>
        <v>1109.73243</v>
      </c>
      <c r="L363">
        <f t="shared" si="53"/>
        <v>0</v>
      </c>
      <c r="M363">
        <f t="shared" si="54"/>
        <v>28853.043180000001</v>
      </c>
      <c r="N363">
        <f t="shared" si="55"/>
        <v>2754.8772648638987</v>
      </c>
      <c r="O363">
        <f t="shared" si="56"/>
        <v>31607.920444863899</v>
      </c>
      <c r="P363">
        <f t="shared" si="57"/>
        <v>0</v>
      </c>
      <c r="Q363">
        <f t="shared" si="58"/>
        <v>30390.317303749656</v>
      </c>
      <c r="R363">
        <f t="shared" si="59"/>
        <v>2901.6555962503453</v>
      </c>
      <c r="S363">
        <f t="shared" si="60"/>
        <v>33291.972900000001</v>
      </c>
    </row>
    <row r="364" spans="1:19" x14ac:dyDescent="0.3">
      <c r="A364" t="s">
        <v>13</v>
      </c>
      <c r="B364" t="s">
        <v>37</v>
      </c>
      <c r="C364" t="s">
        <v>15</v>
      </c>
      <c r="D364">
        <v>0</v>
      </c>
      <c r="E364">
        <v>29</v>
      </c>
      <c r="F364">
        <v>4</v>
      </c>
      <c r="G364">
        <v>20260303</v>
      </c>
      <c r="H364">
        <v>20260404</v>
      </c>
      <c r="I364">
        <v>47743.498599999999</v>
      </c>
      <c r="J364">
        <f t="shared" si="51"/>
        <v>33</v>
      </c>
      <c r="K364">
        <f t="shared" si="52"/>
        <v>1446.7726848484849</v>
      </c>
      <c r="L364">
        <f t="shared" si="53"/>
        <v>0</v>
      </c>
      <c r="M364">
        <f t="shared" si="54"/>
        <v>41956.407860606065</v>
      </c>
      <c r="N364">
        <f t="shared" si="55"/>
        <v>3591.5695253811709</v>
      </c>
      <c r="O364">
        <f t="shared" si="56"/>
        <v>45547.977385987237</v>
      </c>
      <c r="P364">
        <f t="shared" si="57"/>
        <v>0</v>
      </c>
      <c r="Q364">
        <f t="shared" si="58"/>
        <v>43978.806851918285</v>
      </c>
      <c r="R364">
        <f t="shared" si="59"/>
        <v>3764.6917480817124</v>
      </c>
      <c r="S364">
        <f t="shared" si="60"/>
        <v>47743.498599999999</v>
      </c>
    </row>
    <row r="365" spans="1:19" x14ac:dyDescent="0.3">
      <c r="A365" t="s">
        <v>13</v>
      </c>
      <c r="B365" t="s">
        <v>37</v>
      </c>
      <c r="C365" t="s">
        <v>14</v>
      </c>
      <c r="D365">
        <v>0</v>
      </c>
      <c r="E365">
        <v>26</v>
      </c>
      <c r="F365">
        <v>6</v>
      </c>
      <c r="G365">
        <v>20260306</v>
      </c>
      <c r="H365">
        <v>20260406</v>
      </c>
      <c r="I365">
        <v>79344.018700000001</v>
      </c>
      <c r="J365">
        <f t="shared" si="51"/>
        <v>32</v>
      </c>
      <c r="K365">
        <f t="shared" si="52"/>
        <v>2479.500584375</v>
      </c>
      <c r="L365">
        <f t="shared" si="53"/>
        <v>0</v>
      </c>
      <c r="M365">
        <f t="shared" si="54"/>
        <v>64467.015193749998</v>
      </c>
      <c r="N365">
        <f t="shared" si="55"/>
        <v>9232.9280511043162</v>
      </c>
      <c r="O365">
        <f t="shared" si="56"/>
        <v>73699.943244854308</v>
      </c>
      <c r="P365">
        <f t="shared" si="57"/>
        <v>0</v>
      </c>
      <c r="Q365">
        <f t="shared" si="58"/>
        <v>69404.016256460483</v>
      </c>
      <c r="R365">
        <f t="shared" si="59"/>
        <v>9940.0024435395153</v>
      </c>
      <c r="S365">
        <f t="shared" si="60"/>
        <v>79344.018700000001</v>
      </c>
    </row>
    <row r="366" spans="1:19" x14ac:dyDescent="0.3">
      <c r="A366" t="s">
        <v>13</v>
      </c>
      <c r="B366" t="s">
        <v>24</v>
      </c>
      <c r="C366" t="s">
        <v>15</v>
      </c>
      <c r="D366">
        <v>0</v>
      </c>
      <c r="E366">
        <v>24</v>
      </c>
      <c r="F366">
        <v>7</v>
      </c>
      <c r="G366">
        <v>20260308</v>
      </c>
      <c r="H366">
        <v>20260407</v>
      </c>
      <c r="I366">
        <v>212470.72880000001</v>
      </c>
      <c r="J366">
        <f t="shared" si="51"/>
        <v>31</v>
      </c>
      <c r="K366">
        <f t="shared" si="52"/>
        <v>6853.8944774193551</v>
      </c>
      <c r="L366">
        <f t="shared" si="53"/>
        <v>0</v>
      </c>
      <c r="M366">
        <f t="shared" si="54"/>
        <v>164493.46745806452</v>
      </c>
      <c r="N366">
        <f t="shared" si="55"/>
        <v>29775.525822321808</v>
      </c>
      <c r="O366">
        <f t="shared" si="56"/>
        <v>194268.99328038632</v>
      </c>
      <c r="P366">
        <f t="shared" si="57"/>
        <v>0</v>
      </c>
      <c r="Q366">
        <f t="shared" si="58"/>
        <v>179905.43073032264</v>
      </c>
      <c r="R366">
        <f t="shared" si="59"/>
        <v>32565.298069677392</v>
      </c>
      <c r="S366">
        <f t="shared" si="60"/>
        <v>212470.72880000004</v>
      </c>
    </row>
    <row r="367" spans="1:19" x14ac:dyDescent="0.3">
      <c r="A367" t="s">
        <v>13</v>
      </c>
      <c r="B367" t="s">
        <v>37</v>
      </c>
      <c r="C367" t="s">
        <v>14</v>
      </c>
      <c r="D367">
        <v>0</v>
      </c>
      <c r="E367">
        <v>27</v>
      </c>
      <c r="F367">
        <v>6</v>
      </c>
      <c r="G367">
        <v>20260305</v>
      </c>
      <c r="H367">
        <v>20260406</v>
      </c>
      <c r="I367">
        <v>108610.97749999999</v>
      </c>
      <c r="J367">
        <f t="shared" si="51"/>
        <v>33</v>
      </c>
      <c r="K367">
        <f t="shared" si="52"/>
        <v>3291.2417424242421</v>
      </c>
      <c r="L367">
        <f t="shared" si="53"/>
        <v>0</v>
      </c>
      <c r="M367">
        <f t="shared" si="54"/>
        <v>88863.527045454539</v>
      </c>
      <c r="N367">
        <f t="shared" si="55"/>
        <v>12255.612439895431</v>
      </c>
      <c r="O367">
        <f t="shared" si="56"/>
        <v>101119.13948534997</v>
      </c>
      <c r="P367">
        <f t="shared" si="57"/>
        <v>0</v>
      </c>
      <c r="Q367">
        <f t="shared" si="58"/>
        <v>95447.356312825534</v>
      </c>
      <c r="R367">
        <f t="shared" si="59"/>
        <v>13163.621187174462</v>
      </c>
      <c r="S367">
        <f t="shared" si="60"/>
        <v>108610.97749999999</v>
      </c>
    </row>
    <row r="368" spans="1:19" x14ac:dyDescent="0.3">
      <c r="A368" t="s">
        <v>13</v>
      </c>
      <c r="B368" t="s">
        <v>37</v>
      </c>
      <c r="C368" t="s">
        <v>14</v>
      </c>
      <c r="D368">
        <v>0</v>
      </c>
      <c r="E368">
        <v>23</v>
      </c>
      <c r="F368">
        <v>6</v>
      </c>
      <c r="G368">
        <v>20260309</v>
      </c>
      <c r="H368">
        <v>20260406</v>
      </c>
      <c r="I368">
        <v>583.70659999999998</v>
      </c>
      <c r="J368">
        <f t="shared" si="51"/>
        <v>29</v>
      </c>
      <c r="K368">
        <f t="shared" si="52"/>
        <v>20.127813793103449</v>
      </c>
      <c r="L368">
        <f t="shared" si="53"/>
        <v>0</v>
      </c>
      <c r="M368">
        <f t="shared" si="54"/>
        <v>462.93971724137936</v>
      </c>
      <c r="N368">
        <f t="shared" si="55"/>
        <v>74.950035401823868</v>
      </c>
      <c r="O368">
        <f t="shared" si="56"/>
        <v>537.88975264320322</v>
      </c>
      <c r="P368">
        <f t="shared" si="57"/>
        <v>0</v>
      </c>
      <c r="Q368">
        <f t="shared" si="58"/>
        <v>502.37240443428146</v>
      </c>
      <c r="R368">
        <f t="shared" si="59"/>
        <v>81.334195565718503</v>
      </c>
      <c r="S368">
        <f t="shared" si="60"/>
        <v>583.70659999999998</v>
      </c>
    </row>
    <row r="369" spans="1:19" x14ac:dyDescent="0.3">
      <c r="A369" t="s">
        <v>13</v>
      </c>
      <c r="B369" t="s">
        <v>24</v>
      </c>
      <c r="C369" t="s">
        <v>14</v>
      </c>
      <c r="D369">
        <v>10</v>
      </c>
      <c r="E369">
        <v>16</v>
      </c>
      <c r="F369">
        <v>0</v>
      </c>
      <c r="G369">
        <v>20260219</v>
      </c>
      <c r="H369">
        <v>20260316</v>
      </c>
      <c r="I369">
        <v>338839.31300000002</v>
      </c>
      <c r="J369">
        <f t="shared" si="51"/>
        <v>26</v>
      </c>
      <c r="K369">
        <f t="shared" si="52"/>
        <v>13032.281269230771</v>
      </c>
      <c r="L369">
        <f t="shared" si="53"/>
        <v>176764.49317575301</v>
      </c>
      <c r="M369">
        <f t="shared" si="54"/>
        <v>208516.50030769233</v>
      </c>
      <c r="N369">
        <f t="shared" si="55"/>
        <v>0</v>
      </c>
      <c r="O369">
        <f t="shared" si="56"/>
        <v>385280.99348344537</v>
      </c>
      <c r="P369">
        <f t="shared" si="57"/>
        <v>155457.34267589528</v>
      </c>
      <c r="Q369">
        <f t="shared" si="58"/>
        <v>183381.97032410471</v>
      </c>
      <c r="R369">
        <f t="shared" si="59"/>
        <v>0</v>
      </c>
      <c r="S369">
        <f t="shared" si="60"/>
        <v>338839.31299999997</v>
      </c>
    </row>
    <row r="370" spans="1:19" x14ac:dyDescent="0.3">
      <c r="A370" t="s">
        <v>13</v>
      </c>
      <c r="B370" t="s">
        <v>37</v>
      </c>
      <c r="C370" t="s">
        <v>14</v>
      </c>
      <c r="D370">
        <v>0</v>
      </c>
      <c r="E370">
        <v>15</v>
      </c>
      <c r="F370">
        <v>17</v>
      </c>
      <c r="G370">
        <v>20260317</v>
      </c>
      <c r="H370">
        <v>20260417</v>
      </c>
      <c r="I370">
        <v>574144.39930000005</v>
      </c>
      <c r="J370">
        <f t="shared" si="51"/>
        <v>32</v>
      </c>
      <c r="K370">
        <f t="shared" si="52"/>
        <v>17942.012478125002</v>
      </c>
      <c r="L370">
        <f t="shared" si="53"/>
        <v>0</v>
      </c>
      <c r="M370">
        <f t="shared" si="54"/>
        <v>269130.18717187503</v>
      </c>
      <c r="N370">
        <f t="shared" si="55"/>
        <v>189297.14400888197</v>
      </c>
      <c r="O370">
        <f t="shared" si="56"/>
        <v>458427.33118075703</v>
      </c>
      <c r="P370">
        <f t="shared" si="57"/>
        <v>0</v>
      </c>
      <c r="Q370">
        <f t="shared" si="58"/>
        <v>337064.52285316732</v>
      </c>
      <c r="R370">
        <f t="shared" si="59"/>
        <v>237079.87644683273</v>
      </c>
      <c r="S370">
        <f t="shared" si="60"/>
        <v>574144.39930000005</v>
      </c>
    </row>
    <row r="371" spans="1:19" x14ac:dyDescent="0.3">
      <c r="A371" t="s">
        <v>13</v>
      </c>
      <c r="B371" t="s">
        <v>37</v>
      </c>
      <c r="C371" t="s">
        <v>15</v>
      </c>
      <c r="D371">
        <v>0</v>
      </c>
      <c r="E371">
        <v>25</v>
      </c>
      <c r="F371">
        <v>4</v>
      </c>
      <c r="G371">
        <v>20260307</v>
      </c>
      <c r="H371">
        <v>20260404</v>
      </c>
      <c r="I371">
        <v>26333.459599999998</v>
      </c>
      <c r="J371">
        <f t="shared" si="51"/>
        <v>29</v>
      </c>
      <c r="K371">
        <f t="shared" si="52"/>
        <v>908.05033103448272</v>
      </c>
      <c r="L371">
        <f t="shared" si="53"/>
        <v>0</v>
      </c>
      <c r="M371">
        <f t="shared" si="54"/>
        <v>22701.258275862067</v>
      </c>
      <c r="N371">
        <f t="shared" si="55"/>
        <v>2254.2075411088363</v>
      </c>
      <c r="O371">
        <f t="shared" si="56"/>
        <v>24955.465816970904</v>
      </c>
      <c r="P371">
        <f t="shared" si="57"/>
        <v>0</v>
      </c>
      <c r="Q371">
        <f t="shared" si="58"/>
        <v>23954.778967501585</v>
      </c>
      <c r="R371">
        <f t="shared" si="59"/>
        <v>2378.6806324984132</v>
      </c>
      <c r="S371">
        <f t="shared" si="60"/>
        <v>26333.459599999998</v>
      </c>
    </row>
    <row r="372" spans="1:19" x14ac:dyDescent="0.3">
      <c r="A372" t="s">
        <v>13</v>
      </c>
      <c r="B372" t="s">
        <v>24</v>
      </c>
      <c r="C372" t="s">
        <v>15</v>
      </c>
      <c r="D372">
        <v>0</v>
      </c>
      <c r="E372">
        <v>28</v>
      </c>
      <c r="F372">
        <v>5</v>
      </c>
      <c r="G372">
        <v>20260304</v>
      </c>
      <c r="H372">
        <v>20260405</v>
      </c>
      <c r="I372">
        <v>375467.47389999998</v>
      </c>
      <c r="J372">
        <f t="shared" si="51"/>
        <v>33</v>
      </c>
      <c r="K372">
        <f t="shared" si="52"/>
        <v>11377.802239393939</v>
      </c>
      <c r="L372">
        <f t="shared" si="53"/>
        <v>0</v>
      </c>
      <c r="M372">
        <f t="shared" si="54"/>
        <v>318578.46270303032</v>
      </c>
      <c r="N372">
        <f t="shared" si="55"/>
        <v>35306.313335170256</v>
      </c>
      <c r="O372">
        <f t="shared" si="56"/>
        <v>353884.77603820059</v>
      </c>
      <c r="P372">
        <f t="shared" si="57"/>
        <v>0</v>
      </c>
      <c r="Q372">
        <f t="shared" si="58"/>
        <v>338007.90180683008</v>
      </c>
      <c r="R372">
        <f t="shared" si="59"/>
        <v>37459.572093169903</v>
      </c>
      <c r="S372">
        <f t="shared" si="60"/>
        <v>375467.47389999998</v>
      </c>
    </row>
    <row r="373" spans="1:19" x14ac:dyDescent="0.3">
      <c r="A373" t="s">
        <v>13</v>
      </c>
      <c r="B373" t="s">
        <v>37</v>
      </c>
      <c r="C373" t="s">
        <v>15</v>
      </c>
      <c r="D373">
        <v>0</v>
      </c>
      <c r="E373">
        <v>29</v>
      </c>
      <c r="F373">
        <v>6</v>
      </c>
      <c r="G373">
        <v>20260303</v>
      </c>
      <c r="H373">
        <v>20260406</v>
      </c>
      <c r="I373">
        <v>50777.9467</v>
      </c>
      <c r="J373">
        <f t="shared" si="51"/>
        <v>35</v>
      </c>
      <c r="K373">
        <f t="shared" si="52"/>
        <v>1450.7984771428571</v>
      </c>
      <c r="L373">
        <f t="shared" si="53"/>
        <v>0</v>
      </c>
      <c r="M373">
        <f t="shared" si="54"/>
        <v>42073.155837142855</v>
      </c>
      <c r="N373">
        <f t="shared" si="55"/>
        <v>5402.3451498754839</v>
      </c>
      <c r="O373">
        <f t="shared" si="56"/>
        <v>47475.500987018342</v>
      </c>
      <c r="P373">
        <f t="shared" si="57"/>
        <v>0</v>
      </c>
      <c r="Q373">
        <f t="shared" si="58"/>
        <v>44999.80874732435</v>
      </c>
      <c r="R373">
        <f t="shared" si="59"/>
        <v>5778.1379526756473</v>
      </c>
      <c r="S373">
        <f t="shared" si="60"/>
        <v>50777.9467</v>
      </c>
    </row>
    <row r="374" spans="1:19" x14ac:dyDescent="0.3">
      <c r="A374" t="s">
        <v>13</v>
      </c>
      <c r="B374" t="s">
        <v>37</v>
      </c>
      <c r="C374" t="s">
        <v>15</v>
      </c>
      <c r="D374">
        <v>0</v>
      </c>
      <c r="E374">
        <v>28</v>
      </c>
      <c r="F374">
        <v>7</v>
      </c>
      <c r="G374">
        <v>20260304</v>
      </c>
      <c r="H374">
        <v>20260407</v>
      </c>
      <c r="I374">
        <v>110715.5901</v>
      </c>
      <c r="J374">
        <f t="shared" si="51"/>
        <v>35</v>
      </c>
      <c r="K374">
        <f t="shared" si="52"/>
        <v>3163.3025742857144</v>
      </c>
      <c r="L374">
        <f t="shared" si="53"/>
        <v>0</v>
      </c>
      <c r="M374">
        <f t="shared" si="54"/>
        <v>88572.472080000007</v>
      </c>
      <c r="N374">
        <f t="shared" si="55"/>
        <v>13742.40554691551</v>
      </c>
      <c r="O374">
        <f t="shared" si="56"/>
        <v>102314.87762691552</v>
      </c>
      <c r="P374">
        <f t="shared" si="57"/>
        <v>0</v>
      </c>
      <c r="Q374">
        <f t="shared" si="58"/>
        <v>95844.844272904273</v>
      </c>
      <c r="R374">
        <f t="shared" si="59"/>
        <v>14870.745827095725</v>
      </c>
      <c r="S374">
        <f t="shared" si="60"/>
        <v>110715.5901</v>
      </c>
    </row>
    <row r="375" spans="1:19" x14ac:dyDescent="0.3">
      <c r="A375" t="s">
        <v>13</v>
      </c>
      <c r="B375" t="s">
        <v>37</v>
      </c>
      <c r="C375" t="s">
        <v>15</v>
      </c>
      <c r="D375">
        <v>0</v>
      </c>
      <c r="E375">
        <v>25</v>
      </c>
      <c r="F375">
        <v>5</v>
      </c>
      <c r="G375">
        <v>20260307</v>
      </c>
      <c r="H375">
        <v>20260405</v>
      </c>
      <c r="I375">
        <v>33130.499499999998</v>
      </c>
      <c r="J375">
        <f t="shared" si="51"/>
        <v>30</v>
      </c>
      <c r="K375">
        <f t="shared" si="52"/>
        <v>1104.3499833333333</v>
      </c>
      <c r="L375">
        <f t="shared" si="53"/>
        <v>0</v>
      </c>
      <c r="M375">
        <f t="shared" si="54"/>
        <v>27608.749583333331</v>
      </c>
      <c r="N375">
        <f t="shared" si="55"/>
        <v>3426.894379325548</v>
      </c>
      <c r="O375">
        <f t="shared" si="56"/>
        <v>31035.64396265888</v>
      </c>
      <c r="P375">
        <f t="shared" si="57"/>
        <v>0</v>
      </c>
      <c r="Q375">
        <f t="shared" si="58"/>
        <v>29472.29531846604</v>
      </c>
      <c r="R375">
        <f t="shared" si="59"/>
        <v>3658.2041815339585</v>
      </c>
      <c r="S375">
        <f t="shared" si="60"/>
        <v>33130.499499999998</v>
      </c>
    </row>
    <row r="376" spans="1:19" x14ac:dyDescent="0.3">
      <c r="A376" t="s">
        <v>13</v>
      </c>
      <c r="B376" t="s">
        <v>24</v>
      </c>
      <c r="C376" t="s">
        <v>15</v>
      </c>
      <c r="D376">
        <v>21</v>
      </c>
      <c r="E376">
        <v>2</v>
      </c>
      <c r="F376">
        <v>0</v>
      </c>
      <c r="G376">
        <v>20260208</v>
      </c>
      <c r="H376">
        <v>20260302</v>
      </c>
      <c r="I376">
        <v>337.79039999999998</v>
      </c>
      <c r="J376">
        <f t="shared" si="51"/>
        <v>23</v>
      </c>
      <c r="K376">
        <f t="shared" si="52"/>
        <v>14.686539130434781</v>
      </c>
      <c r="L376">
        <f t="shared" si="53"/>
        <v>418.32454685087083</v>
      </c>
      <c r="M376">
        <f t="shared" si="54"/>
        <v>29.373078260869562</v>
      </c>
      <c r="N376">
        <f t="shared" si="55"/>
        <v>0</v>
      </c>
      <c r="O376">
        <f t="shared" si="56"/>
        <v>447.69762511174042</v>
      </c>
      <c r="P376">
        <f t="shared" si="57"/>
        <v>315.62824568324652</v>
      </c>
      <c r="Q376">
        <f t="shared" si="58"/>
        <v>22.162154316753465</v>
      </c>
      <c r="R376">
        <f t="shared" si="59"/>
        <v>0</v>
      </c>
      <c r="S376">
        <f t="shared" si="60"/>
        <v>337.79039999999998</v>
      </c>
    </row>
    <row r="377" spans="1:19" x14ac:dyDescent="0.3">
      <c r="A377" t="s">
        <v>13</v>
      </c>
      <c r="B377" t="s">
        <v>37</v>
      </c>
      <c r="C377" t="s">
        <v>15</v>
      </c>
      <c r="D377">
        <v>0</v>
      </c>
      <c r="E377">
        <v>30</v>
      </c>
      <c r="F377">
        <v>6</v>
      </c>
      <c r="G377">
        <v>20260302</v>
      </c>
      <c r="H377">
        <v>20260406</v>
      </c>
      <c r="I377">
        <v>105739.8548</v>
      </c>
      <c r="J377">
        <f t="shared" si="51"/>
        <v>36</v>
      </c>
      <c r="K377">
        <f t="shared" si="52"/>
        <v>2937.218188888889</v>
      </c>
      <c r="L377">
        <f t="shared" si="53"/>
        <v>0</v>
      </c>
      <c r="M377">
        <f t="shared" si="54"/>
        <v>88116.545666666672</v>
      </c>
      <c r="N377">
        <f t="shared" si="55"/>
        <v>10937.333259488574</v>
      </c>
      <c r="O377">
        <f t="shared" si="56"/>
        <v>99053.878926155245</v>
      </c>
      <c r="P377">
        <f t="shared" si="57"/>
        <v>0</v>
      </c>
      <c r="Q377">
        <f t="shared" si="58"/>
        <v>94064.269317681697</v>
      </c>
      <c r="R377">
        <f t="shared" si="59"/>
        <v>11675.585482318298</v>
      </c>
      <c r="S377">
        <f t="shared" si="60"/>
        <v>105739.8548</v>
      </c>
    </row>
    <row r="378" spans="1:19" x14ac:dyDescent="0.3">
      <c r="A378" t="s">
        <v>13</v>
      </c>
      <c r="B378" t="s">
        <v>24</v>
      </c>
      <c r="C378" t="s">
        <v>14</v>
      </c>
      <c r="D378">
        <v>0</v>
      </c>
      <c r="E378">
        <v>22</v>
      </c>
      <c r="F378">
        <v>3</v>
      </c>
      <c r="G378">
        <v>20260310</v>
      </c>
      <c r="H378">
        <v>20260403</v>
      </c>
      <c r="I378">
        <v>34683.674099999997</v>
      </c>
      <c r="J378">
        <f t="shared" si="51"/>
        <v>25</v>
      </c>
      <c r="K378">
        <f t="shared" si="52"/>
        <v>1387.3469639999998</v>
      </c>
      <c r="L378">
        <f t="shared" si="53"/>
        <v>0</v>
      </c>
      <c r="M378">
        <f t="shared" si="54"/>
        <v>30521.633207999996</v>
      </c>
      <c r="N378">
        <f t="shared" si="55"/>
        <v>2583.0352251678946</v>
      </c>
      <c r="O378">
        <f t="shared" si="56"/>
        <v>33104.668433167892</v>
      </c>
      <c r="P378">
        <f t="shared" si="57"/>
        <v>0</v>
      </c>
      <c r="Q378">
        <f t="shared" si="58"/>
        <v>31977.434884240833</v>
      </c>
      <c r="R378">
        <f t="shared" si="59"/>
        <v>2706.2392157591621</v>
      </c>
      <c r="S378">
        <f t="shared" si="60"/>
        <v>34683.674099999997</v>
      </c>
    </row>
    <row r="379" spans="1:19" x14ac:dyDescent="0.3">
      <c r="A379" t="s">
        <v>13</v>
      </c>
      <c r="B379" t="s">
        <v>24</v>
      </c>
      <c r="C379" t="s">
        <v>14</v>
      </c>
      <c r="D379">
        <v>25</v>
      </c>
      <c r="E379">
        <v>9</v>
      </c>
      <c r="F379">
        <v>0</v>
      </c>
      <c r="G379">
        <v>20260204</v>
      </c>
      <c r="H379">
        <v>20260309</v>
      </c>
      <c r="I379">
        <v>139358.2892</v>
      </c>
      <c r="J379">
        <f t="shared" si="51"/>
        <v>34</v>
      </c>
      <c r="K379">
        <f t="shared" si="52"/>
        <v>4098.7732117647056</v>
      </c>
      <c r="L379">
        <f t="shared" si="53"/>
        <v>138985.17735542747</v>
      </c>
      <c r="M379">
        <f t="shared" si="54"/>
        <v>36888.958905882348</v>
      </c>
      <c r="N379">
        <f t="shared" si="55"/>
        <v>0</v>
      </c>
      <c r="O379">
        <f t="shared" si="56"/>
        <v>175874.13626130982</v>
      </c>
      <c r="P379">
        <f t="shared" si="57"/>
        <v>110128.39609135776</v>
      </c>
      <c r="Q379">
        <f t="shared" si="58"/>
        <v>29229.893108642249</v>
      </c>
      <c r="R379">
        <f t="shared" si="59"/>
        <v>0</v>
      </c>
      <c r="S379">
        <f t="shared" si="60"/>
        <v>139358.2892</v>
      </c>
    </row>
    <row r="380" spans="1:19" x14ac:dyDescent="0.3">
      <c r="A380" t="s">
        <v>13</v>
      </c>
      <c r="B380" t="s">
        <v>24</v>
      </c>
      <c r="C380" t="s">
        <v>15</v>
      </c>
      <c r="D380">
        <v>0</v>
      </c>
      <c r="E380">
        <v>23</v>
      </c>
      <c r="F380">
        <v>8</v>
      </c>
      <c r="G380">
        <v>20260309</v>
      </c>
      <c r="H380">
        <v>20260408</v>
      </c>
      <c r="I380">
        <v>97536.151700000002</v>
      </c>
      <c r="J380">
        <f t="shared" si="51"/>
        <v>31</v>
      </c>
      <c r="K380">
        <f t="shared" si="52"/>
        <v>3146.3274741935484</v>
      </c>
      <c r="L380">
        <f t="shared" si="53"/>
        <v>0</v>
      </c>
      <c r="M380">
        <f t="shared" si="54"/>
        <v>72365.531906451608</v>
      </c>
      <c r="N380">
        <f t="shared" si="55"/>
        <v>15621.325992018565</v>
      </c>
      <c r="O380">
        <f t="shared" si="56"/>
        <v>87986.857898470174</v>
      </c>
      <c r="P380">
        <f t="shared" si="57"/>
        <v>0</v>
      </c>
      <c r="Q380">
        <f t="shared" si="58"/>
        <v>80219.428974535258</v>
      </c>
      <c r="R380">
        <f t="shared" si="59"/>
        <v>17316.722725464748</v>
      </c>
      <c r="S380">
        <f t="shared" si="60"/>
        <v>97536.151700000002</v>
      </c>
    </row>
    <row r="381" spans="1:19" x14ac:dyDescent="0.3">
      <c r="A381" t="s">
        <v>13</v>
      </c>
      <c r="B381" t="s">
        <v>24</v>
      </c>
      <c r="C381" t="s">
        <v>15</v>
      </c>
      <c r="D381">
        <v>21</v>
      </c>
      <c r="E381">
        <v>8</v>
      </c>
      <c r="F381">
        <v>0</v>
      </c>
      <c r="G381">
        <v>20260208</v>
      </c>
      <c r="H381">
        <v>20260308</v>
      </c>
      <c r="I381">
        <v>88628.291200000007</v>
      </c>
      <c r="J381">
        <f t="shared" si="51"/>
        <v>29</v>
      </c>
      <c r="K381">
        <f t="shared" si="52"/>
        <v>3056.1479724137935</v>
      </c>
      <c r="L381">
        <f t="shared" si="53"/>
        <v>87049.896801068899</v>
      </c>
      <c r="M381">
        <f t="shared" si="54"/>
        <v>24449.183779310348</v>
      </c>
      <c r="N381">
        <f t="shared" si="55"/>
        <v>0</v>
      </c>
      <c r="O381">
        <f t="shared" si="56"/>
        <v>111499.08058037925</v>
      </c>
      <c r="P381">
        <f t="shared" si="57"/>
        <v>69194.145480449151</v>
      </c>
      <c r="Q381">
        <f t="shared" si="58"/>
        <v>19434.145719550863</v>
      </c>
      <c r="R381">
        <f t="shared" si="59"/>
        <v>0</v>
      </c>
      <c r="S381">
        <f t="shared" si="60"/>
        <v>88628.291200000007</v>
      </c>
    </row>
    <row r="382" spans="1:19" x14ac:dyDescent="0.3">
      <c r="A382" t="s">
        <v>13</v>
      </c>
      <c r="B382" t="s">
        <v>37</v>
      </c>
      <c r="C382" t="s">
        <v>14</v>
      </c>
      <c r="D382">
        <v>0</v>
      </c>
      <c r="E382">
        <v>23</v>
      </c>
      <c r="F382">
        <v>8</v>
      </c>
      <c r="G382">
        <v>20260309</v>
      </c>
      <c r="H382">
        <v>20260408</v>
      </c>
      <c r="I382">
        <v>36109.8105</v>
      </c>
      <c r="J382">
        <f t="shared" si="51"/>
        <v>31</v>
      </c>
      <c r="K382">
        <f t="shared" si="52"/>
        <v>1164.8325967741935</v>
      </c>
      <c r="L382">
        <f t="shared" si="53"/>
        <v>0</v>
      </c>
      <c r="M382">
        <f t="shared" si="54"/>
        <v>26791.149725806448</v>
      </c>
      <c r="N382">
        <f t="shared" si="55"/>
        <v>5783.3235318275829</v>
      </c>
      <c r="O382">
        <f t="shared" si="56"/>
        <v>32574.473257634032</v>
      </c>
      <c r="P382">
        <f t="shared" si="57"/>
        <v>0</v>
      </c>
      <c r="Q382">
        <f t="shared" si="58"/>
        <v>29698.81759943044</v>
      </c>
      <c r="R382">
        <f t="shared" si="59"/>
        <v>6410.9929005695585</v>
      </c>
      <c r="S382">
        <f t="shared" si="60"/>
        <v>36109.8105</v>
      </c>
    </row>
    <row r="383" spans="1:19" x14ac:dyDescent="0.3">
      <c r="A383" t="s">
        <v>13</v>
      </c>
      <c r="B383" t="s">
        <v>24</v>
      </c>
      <c r="C383" t="s">
        <v>14</v>
      </c>
      <c r="D383">
        <v>19</v>
      </c>
      <c r="E383">
        <v>6</v>
      </c>
      <c r="F383">
        <v>0</v>
      </c>
      <c r="G383">
        <v>20260210</v>
      </c>
      <c r="H383">
        <v>20260306</v>
      </c>
      <c r="I383">
        <v>43111.628199999999</v>
      </c>
      <c r="J383">
        <f t="shared" si="51"/>
        <v>25</v>
      </c>
      <c r="K383">
        <f t="shared" si="52"/>
        <v>1724.465128</v>
      </c>
      <c r="L383">
        <f t="shared" si="53"/>
        <v>44440.875415477225</v>
      </c>
      <c r="M383">
        <f t="shared" si="54"/>
        <v>10346.790768000001</v>
      </c>
      <c r="N383">
        <f t="shared" si="55"/>
        <v>0</v>
      </c>
      <c r="O383">
        <f t="shared" si="56"/>
        <v>54787.666183477224</v>
      </c>
      <c r="P383">
        <f t="shared" si="57"/>
        <v>34969.88704316035</v>
      </c>
      <c r="Q383">
        <f t="shared" si="58"/>
        <v>8141.741156839651</v>
      </c>
      <c r="R383">
        <f t="shared" si="59"/>
        <v>0</v>
      </c>
      <c r="S383">
        <f t="shared" si="60"/>
        <v>43111.628199999999</v>
      </c>
    </row>
    <row r="384" spans="1:19" x14ac:dyDescent="0.3">
      <c r="A384" t="s">
        <v>13</v>
      </c>
      <c r="B384" t="s">
        <v>37</v>
      </c>
      <c r="C384" t="s">
        <v>14</v>
      </c>
      <c r="D384">
        <v>0</v>
      </c>
      <c r="E384">
        <v>30</v>
      </c>
      <c r="F384">
        <v>4</v>
      </c>
      <c r="G384">
        <v>20260302</v>
      </c>
      <c r="H384">
        <v>20260404</v>
      </c>
      <c r="I384">
        <v>2596.1821</v>
      </c>
      <c r="J384">
        <f t="shared" si="51"/>
        <v>34</v>
      </c>
      <c r="K384">
        <f t="shared" si="52"/>
        <v>76.358297058823524</v>
      </c>
      <c r="L384">
        <f t="shared" si="53"/>
        <v>0</v>
      </c>
      <c r="M384">
        <f t="shared" si="54"/>
        <v>2290.7489117647056</v>
      </c>
      <c r="N384">
        <f t="shared" si="55"/>
        <v>189.55716789413538</v>
      </c>
      <c r="O384">
        <f t="shared" si="56"/>
        <v>2480.3060796588411</v>
      </c>
      <c r="P384">
        <f t="shared" si="57"/>
        <v>0</v>
      </c>
      <c r="Q384">
        <f t="shared" si="58"/>
        <v>2397.7691177276106</v>
      </c>
      <c r="R384">
        <f t="shared" si="59"/>
        <v>198.41298227238926</v>
      </c>
      <c r="S384">
        <f t="shared" si="60"/>
        <v>2596.1821</v>
      </c>
    </row>
    <row r="385" spans="1:19" x14ac:dyDescent="0.3">
      <c r="A385" t="s">
        <v>13</v>
      </c>
      <c r="B385" t="s">
        <v>37</v>
      </c>
      <c r="C385" t="s">
        <v>14</v>
      </c>
      <c r="D385">
        <v>0</v>
      </c>
      <c r="E385">
        <v>23</v>
      </c>
      <c r="F385">
        <v>1</v>
      </c>
      <c r="G385">
        <v>20260309</v>
      </c>
      <c r="H385">
        <v>20260401</v>
      </c>
      <c r="I385">
        <v>80.739599999999996</v>
      </c>
      <c r="J385">
        <f t="shared" si="51"/>
        <v>24</v>
      </c>
      <c r="K385">
        <f t="shared" si="52"/>
        <v>3.36415</v>
      </c>
      <c r="L385">
        <f t="shared" si="53"/>
        <v>0</v>
      </c>
      <c r="M385">
        <f t="shared" si="54"/>
        <v>77.375450000000001</v>
      </c>
      <c r="N385">
        <f t="shared" si="55"/>
        <v>2.087850210566498</v>
      </c>
      <c r="O385">
        <f t="shared" si="56"/>
        <v>79.463300210566501</v>
      </c>
      <c r="P385">
        <f t="shared" si="57"/>
        <v>0</v>
      </c>
      <c r="Q385">
        <f t="shared" si="58"/>
        <v>78.618215783457742</v>
      </c>
      <c r="R385">
        <f t="shared" si="59"/>
        <v>2.1213842165422574</v>
      </c>
      <c r="S385">
        <f t="shared" si="60"/>
        <v>80.739599999999996</v>
      </c>
    </row>
    <row r="386" spans="1:19" x14ac:dyDescent="0.3">
      <c r="A386" t="s">
        <v>13</v>
      </c>
      <c r="B386" t="s">
        <v>24</v>
      </c>
      <c r="C386" t="s">
        <v>14</v>
      </c>
      <c r="D386">
        <v>0</v>
      </c>
      <c r="E386">
        <v>30</v>
      </c>
      <c r="F386">
        <v>8</v>
      </c>
      <c r="G386">
        <v>20260302</v>
      </c>
      <c r="H386">
        <v>20260408</v>
      </c>
      <c r="I386">
        <v>3796.4964</v>
      </c>
      <c r="J386">
        <f t="shared" si="51"/>
        <v>38</v>
      </c>
      <c r="K386">
        <f t="shared" si="52"/>
        <v>99.907799999999995</v>
      </c>
      <c r="L386">
        <f t="shared" si="53"/>
        <v>0</v>
      </c>
      <c r="M386">
        <f t="shared" si="54"/>
        <v>2997.2339999999999</v>
      </c>
      <c r="N386">
        <f t="shared" si="55"/>
        <v>496.03619640559555</v>
      </c>
      <c r="O386">
        <f t="shared" si="56"/>
        <v>3493.2701964055955</v>
      </c>
      <c r="P386">
        <f t="shared" si="57"/>
        <v>0</v>
      </c>
      <c r="Q386">
        <f t="shared" si="58"/>
        <v>3257.4027919930222</v>
      </c>
      <c r="R386">
        <f t="shared" si="59"/>
        <v>539.09360800697777</v>
      </c>
      <c r="S386">
        <f t="shared" si="60"/>
        <v>3796.4964</v>
      </c>
    </row>
    <row r="387" spans="1:19" x14ac:dyDescent="0.3">
      <c r="A387" t="s">
        <v>13</v>
      </c>
      <c r="B387" t="s">
        <v>24</v>
      </c>
      <c r="C387" t="s">
        <v>14</v>
      </c>
      <c r="D387">
        <v>0</v>
      </c>
      <c r="E387">
        <v>25</v>
      </c>
      <c r="F387">
        <v>5</v>
      </c>
      <c r="G387">
        <v>20260307</v>
      </c>
      <c r="H387">
        <v>20260405</v>
      </c>
      <c r="I387">
        <v>8040.3608999999997</v>
      </c>
      <c r="J387">
        <f t="shared" si="51"/>
        <v>30</v>
      </c>
      <c r="K387">
        <f t="shared" si="52"/>
        <v>268.01202999999998</v>
      </c>
      <c r="L387">
        <f t="shared" si="53"/>
        <v>0</v>
      </c>
      <c r="M387">
        <f t="shared" si="54"/>
        <v>6700.3007499999994</v>
      </c>
      <c r="N387">
        <f t="shared" si="55"/>
        <v>831.66471957233546</v>
      </c>
      <c r="O387">
        <f t="shared" si="56"/>
        <v>7531.9654695723348</v>
      </c>
      <c r="P387">
        <f t="shared" si="57"/>
        <v>0</v>
      </c>
      <c r="Q387">
        <f t="shared" si="58"/>
        <v>7152.5601632371227</v>
      </c>
      <c r="R387">
        <f t="shared" si="59"/>
        <v>887.80073676287748</v>
      </c>
      <c r="S387">
        <f t="shared" si="60"/>
        <v>8040.3608999999997</v>
      </c>
    </row>
    <row r="388" spans="1:19" x14ac:dyDescent="0.3">
      <c r="A388" t="s">
        <v>13</v>
      </c>
      <c r="B388" t="s">
        <v>24</v>
      </c>
      <c r="C388" t="s">
        <v>15</v>
      </c>
      <c r="D388">
        <v>0</v>
      </c>
      <c r="E388">
        <v>22</v>
      </c>
      <c r="F388">
        <v>8</v>
      </c>
      <c r="G388">
        <v>20260310</v>
      </c>
      <c r="H388">
        <v>20260408</v>
      </c>
      <c r="I388">
        <v>29451.9764</v>
      </c>
      <c r="J388">
        <f t="shared" si="51"/>
        <v>30</v>
      </c>
      <c r="K388">
        <f t="shared" si="52"/>
        <v>981.73254666666662</v>
      </c>
      <c r="L388">
        <f t="shared" si="53"/>
        <v>0</v>
      </c>
      <c r="M388">
        <f t="shared" si="54"/>
        <v>21598.116026666667</v>
      </c>
      <c r="N388">
        <f t="shared" si="55"/>
        <v>4874.242835255227</v>
      </c>
      <c r="O388">
        <f t="shared" si="56"/>
        <v>26472.358861921894</v>
      </c>
      <c r="P388">
        <f t="shared" si="57"/>
        <v>0</v>
      </c>
      <c r="Q388">
        <f t="shared" si="58"/>
        <v>24029.109261465605</v>
      </c>
      <c r="R388">
        <f t="shared" si="59"/>
        <v>5422.8671385343951</v>
      </c>
      <c r="S388">
        <f t="shared" si="60"/>
        <v>29451.9764</v>
      </c>
    </row>
    <row r="389" spans="1:19" x14ac:dyDescent="0.3">
      <c r="A389" t="s">
        <v>13</v>
      </c>
      <c r="B389" t="s">
        <v>24</v>
      </c>
      <c r="C389" t="s">
        <v>14</v>
      </c>
      <c r="D389">
        <v>22</v>
      </c>
      <c r="E389">
        <v>1</v>
      </c>
      <c r="F389">
        <v>0</v>
      </c>
      <c r="G389">
        <v>20260207</v>
      </c>
      <c r="H389">
        <v>20260301</v>
      </c>
      <c r="I389">
        <v>16038.2883</v>
      </c>
      <c r="J389">
        <f t="shared" si="51"/>
        <v>23</v>
      </c>
      <c r="K389">
        <f t="shared" si="52"/>
        <v>697.31688260869566</v>
      </c>
      <c r="L389">
        <f t="shared" si="53"/>
        <v>20807.861504810415</v>
      </c>
      <c r="M389">
        <f t="shared" si="54"/>
        <v>697.31688260869566</v>
      </c>
      <c r="N389">
        <f t="shared" si="55"/>
        <v>0</v>
      </c>
      <c r="O389">
        <f t="shared" si="56"/>
        <v>21505.17838741911</v>
      </c>
      <c r="P389">
        <f t="shared" si="57"/>
        <v>15518.238245159338</v>
      </c>
      <c r="Q389">
        <f t="shared" si="58"/>
        <v>520.05005484066157</v>
      </c>
      <c r="R389">
        <f t="shared" si="59"/>
        <v>0</v>
      </c>
      <c r="S389">
        <f t="shared" si="60"/>
        <v>16038.2883</v>
      </c>
    </row>
    <row r="390" spans="1:19" x14ac:dyDescent="0.3">
      <c r="A390" t="s">
        <v>13</v>
      </c>
      <c r="B390" t="s">
        <v>24</v>
      </c>
      <c r="C390" t="s">
        <v>14</v>
      </c>
      <c r="D390">
        <v>0</v>
      </c>
      <c r="E390">
        <v>24</v>
      </c>
      <c r="F390">
        <v>8</v>
      </c>
      <c r="G390">
        <v>20260308</v>
      </c>
      <c r="H390">
        <v>20260408</v>
      </c>
      <c r="I390">
        <v>11403.7356</v>
      </c>
      <c r="J390">
        <f t="shared" si="51"/>
        <v>32</v>
      </c>
      <c r="K390">
        <f t="shared" si="52"/>
        <v>356.3667375</v>
      </c>
      <c r="L390">
        <f t="shared" si="53"/>
        <v>0</v>
      </c>
      <c r="M390">
        <f t="shared" si="54"/>
        <v>8552.8017</v>
      </c>
      <c r="N390">
        <f t="shared" si="55"/>
        <v>1769.3393408219511</v>
      </c>
      <c r="O390">
        <f t="shared" si="56"/>
        <v>10322.141040821951</v>
      </c>
      <c r="P390">
        <f t="shared" si="57"/>
        <v>0</v>
      </c>
      <c r="Q390">
        <f t="shared" si="58"/>
        <v>9448.9979201314909</v>
      </c>
      <c r="R390">
        <f t="shared" si="59"/>
        <v>1954.7376798685091</v>
      </c>
      <c r="S390">
        <f t="shared" si="60"/>
        <v>11403.7356</v>
      </c>
    </row>
    <row r="391" spans="1:19" x14ac:dyDescent="0.3">
      <c r="A391" t="s">
        <v>13</v>
      </c>
      <c r="B391" t="s">
        <v>24</v>
      </c>
      <c r="C391" t="s">
        <v>15</v>
      </c>
      <c r="D391">
        <v>0</v>
      </c>
      <c r="E391">
        <v>15</v>
      </c>
      <c r="F391">
        <v>0</v>
      </c>
      <c r="G391">
        <v>20260302</v>
      </c>
      <c r="H391">
        <v>20260316</v>
      </c>
      <c r="I391">
        <v>7055.6669000000002</v>
      </c>
      <c r="J391">
        <f t="shared" si="51"/>
        <v>15</v>
      </c>
      <c r="K391">
        <f t="shared" si="52"/>
        <v>470.37779333333333</v>
      </c>
      <c r="L391">
        <f t="shared" si="53"/>
        <v>0</v>
      </c>
      <c r="M391">
        <f t="shared" si="54"/>
        <v>7055.6669000000002</v>
      </c>
      <c r="N391">
        <f t="shared" si="55"/>
        <v>0</v>
      </c>
      <c r="O391">
        <f t="shared" si="56"/>
        <v>7055.6669000000002</v>
      </c>
      <c r="P391">
        <f t="shared" si="57"/>
        <v>0</v>
      </c>
      <c r="Q391">
        <f t="shared" si="58"/>
        <v>7055.6669000000002</v>
      </c>
      <c r="R391">
        <f t="shared" si="59"/>
        <v>0</v>
      </c>
      <c r="S391">
        <f t="shared" si="60"/>
        <v>7055.6669000000002</v>
      </c>
    </row>
    <row r="392" spans="1:19" x14ac:dyDescent="0.3">
      <c r="A392" t="s">
        <v>13</v>
      </c>
      <c r="B392" t="s">
        <v>24</v>
      </c>
      <c r="C392" t="s">
        <v>15</v>
      </c>
      <c r="D392">
        <v>0</v>
      </c>
      <c r="E392">
        <v>26</v>
      </c>
      <c r="F392">
        <v>0</v>
      </c>
      <c r="G392">
        <v>20260306</v>
      </c>
      <c r="H392">
        <v>20260331</v>
      </c>
      <c r="I392">
        <v>5649.9129000000003</v>
      </c>
      <c r="J392">
        <f t="shared" si="51"/>
        <v>26</v>
      </c>
      <c r="K392">
        <f t="shared" si="52"/>
        <v>217.30434230769231</v>
      </c>
      <c r="L392">
        <f t="shared" si="53"/>
        <v>0</v>
      </c>
      <c r="M392">
        <f t="shared" si="54"/>
        <v>5649.9129000000003</v>
      </c>
      <c r="N392">
        <f t="shared" si="55"/>
        <v>0</v>
      </c>
      <c r="O392">
        <f t="shared" si="56"/>
        <v>5649.9129000000003</v>
      </c>
      <c r="P392">
        <f t="shared" si="57"/>
        <v>0</v>
      </c>
      <c r="Q392">
        <f t="shared" si="58"/>
        <v>5649.9129000000003</v>
      </c>
      <c r="R392">
        <f t="shared" si="59"/>
        <v>0</v>
      </c>
      <c r="S392">
        <f t="shared" si="60"/>
        <v>5649.9129000000003</v>
      </c>
    </row>
    <row r="393" spans="1:19" x14ac:dyDescent="0.3">
      <c r="A393" t="s">
        <v>13</v>
      </c>
      <c r="B393" t="s">
        <v>24</v>
      </c>
      <c r="C393" t="s">
        <v>15</v>
      </c>
      <c r="D393">
        <v>0</v>
      </c>
      <c r="E393">
        <v>30</v>
      </c>
      <c r="F393">
        <v>10</v>
      </c>
      <c r="G393">
        <v>20260302</v>
      </c>
      <c r="H393">
        <v>20260410</v>
      </c>
      <c r="I393">
        <v>10376.603999999999</v>
      </c>
      <c r="J393">
        <f t="shared" si="51"/>
        <v>40</v>
      </c>
      <c r="K393">
        <f t="shared" si="52"/>
        <v>259.4151</v>
      </c>
      <c r="L393">
        <f t="shared" si="53"/>
        <v>0</v>
      </c>
      <c r="M393">
        <f t="shared" si="54"/>
        <v>7782.4529999999995</v>
      </c>
      <c r="N393">
        <f t="shared" si="55"/>
        <v>1609.9753909877059</v>
      </c>
      <c r="O393">
        <f t="shared" si="56"/>
        <v>9392.4283909877049</v>
      </c>
      <c r="P393">
        <f t="shared" si="57"/>
        <v>0</v>
      </c>
      <c r="Q393">
        <f t="shared" si="58"/>
        <v>8597.9290517773934</v>
      </c>
      <c r="R393">
        <f t="shared" si="59"/>
        <v>1778.6749482226062</v>
      </c>
      <c r="S393">
        <f t="shared" si="60"/>
        <v>10376.603999999999</v>
      </c>
    </row>
    <row r="394" spans="1:19" x14ac:dyDescent="0.3">
      <c r="A394" t="s">
        <v>13</v>
      </c>
      <c r="B394" t="s">
        <v>24</v>
      </c>
      <c r="C394" t="s">
        <v>15</v>
      </c>
      <c r="D394">
        <v>0</v>
      </c>
      <c r="E394">
        <v>22</v>
      </c>
      <c r="F394">
        <v>1</v>
      </c>
      <c r="G394">
        <v>20260310</v>
      </c>
      <c r="H394">
        <v>20260401</v>
      </c>
      <c r="I394">
        <v>49949.835500000001</v>
      </c>
      <c r="J394">
        <f t="shared" si="51"/>
        <v>23</v>
      </c>
      <c r="K394">
        <f t="shared" si="52"/>
        <v>2171.7319782608697</v>
      </c>
      <c r="L394">
        <f t="shared" si="53"/>
        <v>0</v>
      </c>
      <c r="M394">
        <f t="shared" si="54"/>
        <v>47778.103521739133</v>
      </c>
      <c r="N394">
        <f t="shared" si="55"/>
        <v>1347.8147728567258</v>
      </c>
      <c r="O394">
        <f t="shared" si="56"/>
        <v>49125.91829459586</v>
      </c>
      <c r="P394">
        <f t="shared" si="57"/>
        <v>0</v>
      </c>
      <c r="Q394">
        <f t="shared" si="58"/>
        <v>48579.415800464951</v>
      </c>
      <c r="R394">
        <f t="shared" si="59"/>
        <v>1370.4196995350469</v>
      </c>
      <c r="S394">
        <f t="shared" si="60"/>
        <v>49949.835500000001</v>
      </c>
    </row>
    <row r="395" spans="1:19" x14ac:dyDescent="0.3">
      <c r="A395" t="s">
        <v>13</v>
      </c>
      <c r="B395" t="s">
        <v>24</v>
      </c>
      <c r="C395" t="s">
        <v>15</v>
      </c>
      <c r="D395">
        <v>0</v>
      </c>
      <c r="E395">
        <v>27</v>
      </c>
      <c r="F395">
        <v>0</v>
      </c>
      <c r="G395">
        <v>20260305</v>
      </c>
      <c r="H395">
        <v>20260331</v>
      </c>
      <c r="I395">
        <v>6664.0236000000004</v>
      </c>
      <c r="J395">
        <f t="shared" ref="J395:J458" si="61">IF(D395&lt;0,0,D395)+E395+F395</f>
        <v>27</v>
      </c>
      <c r="K395">
        <f t="shared" ref="K395:K458" si="62">I395/J395</f>
        <v>246.8156888888889</v>
      </c>
      <c r="L395">
        <f t="shared" ref="L395:L458" si="63">IF(D395&lt;0,0,D395)*$K395*$B$6</f>
        <v>0</v>
      </c>
      <c r="M395">
        <f t="shared" ref="M395:M458" si="64">IF(E395&lt;0,0,E395)*$K395*$C$6</f>
        <v>6664.0236000000004</v>
      </c>
      <c r="N395">
        <f t="shared" ref="N395:N458" si="65">IF(F395&lt;0,0,F395)*$K395*$D$6</f>
        <v>0</v>
      </c>
      <c r="O395">
        <f t="shared" ref="O395:O458" si="66">L395+M395+N395</f>
        <v>6664.0236000000004</v>
      </c>
      <c r="P395">
        <f t="shared" ref="P395:P458" si="67">L395/$O395*$I395</f>
        <v>0</v>
      </c>
      <c r="Q395">
        <f t="shared" ref="Q395:Q458" si="68">M395/$O395*$I395</f>
        <v>6664.0236000000004</v>
      </c>
      <c r="R395">
        <f t="shared" ref="R395:R458" si="69">N395/$O395*$I395</f>
        <v>0</v>
      </c>
      <c r="S395">
        <f t="shared" ref="S395:S458" si="70">P395+Q395+R395</f>
        <v>6664.0236000000004</v>
      </c>
    </row>
    <row r="396" spans="1:19" x14ac:dyDescent="0.3">
      <c r="A396" t="s">
        <v>13</v>
      </c>
      <c r="B396" t="s">
        <v>37</v>
      </c>
      <c r="C396" t="s">
        <v>15</v>
      </c>
      <c r="D396">
        <v>0</v>
      </c>
      <c r="E396">
        <v>28</v>
      </c>
      <c r="F396">
        <v>13</v>
      </c>
      <c r="G396">
        <v>20260304</v>
      </c>
      <c r="H396">
        <v>20260413</v>
      </c>
      <c r="I396">
        <v>7259.6660000000002</v>
      </c>
      <c r="J396">
        <f t="shared" si="61"/>
        <v>41</v>
      </c>
      <c r="K396">
        <f t="shared" si="62"/>
        <v>177.06502439024391</v>
      </c>
      <c r="L396">
        <f t="shared" si="63"/>
        <v>0</v>
      </c>
      <c r="M396">
        <f t="shared" si="64"/>
        <v>4957.8206829268292</v>
      </c>
      <c r="N396">
        <f t="shared" si="65"/>
        <v>1428.5653820259877</v>
      </c>
      <c r="O396">
        <f t="shared" si="66"/>
        <v>6386.3860649528169</v>
      </c>
      <c r="P396">
        <f t="shared" si="67"/>
        <v>0</v>
      </c>
      <c r="Q396">
        <f t="shared" si="68"/>
        <v>5635.7573563330443</v>
      </c>
      <c r="R396">
        <f t="shared" si="69"/>
        <v>1623.9086436669554</v>
      </c>
      <c r="S396">
        <f t="shared" si="70"/>
        <v>7259.6659999999993</v>
      </c>
    </row>
    <row r="397" spans="1:19" x14ac:dyDescent="0.3">
      <c r="A397" t="s">
        <v>13</v>
      </c>
      <c r="B397" t="s">
        <v>24</v>
      </c>
      <c r="C397" t="s">
        <v>14</v>
      </c>
      <c r="D397">
        <v>0</v>
      </c>
      <c r="E397">
        <v>24</v>
      </c>
      <c r="F397">
        <v>5</v>
      </c>
      <c r="G397">
        <v>20260308</v>
      </c>
      <c r="H397">
        <v>20260405</v>
      </c>
      <c r="I397">
        <v>4497.2057999999997</v>
      </c>
      <c r="J397">
        <f t="shared" si="61"/>
        <v>29</v>
      </c>
      <c r="K397">
        <f t="shared" si="62"/>
        <v>155.07606206896551</v>
      </c>
      <c r="L397">
        <f t="shared" si="63"/>
        <v>0</v>
      </c>
      <c r="M397">
        <f t="shared" si="64"/>
        <v>3721.8254896551725</v>
      </c>
      <c r="N397">
        <f t="shared" si="65"/>
        <v>481.2145547084894</v>
      </c>
      <c r="O397">
        <f t="shared" si="66"/>
        <v>4203.0400443636618</v>
      </c>
      <c r="P397">
        <f t="shared" si="67"/>
        <v>0</v>
      </c>
      <c r="Q397">
        <f t="shared" si="68"/>
        <v>3982.3116130218023</v>
      </c>
      <c r="R397">
        <f t="shared" si="69"/>
        <v>514.89418697819769</v>
      </c>
      <c r="S397">
        <f t="shared" si="70"/>
        <v>4497.2057999999997</v>
      </c>
    </row>
    <row r="398" spans="1:19" x14ac:dyDescent="0.3">
      <c r="A398" t="s">
        <v>13</v>
      </c>
      <c r="B398" t="s">
        <v>24</v>
      </c>
      <c r="C398" t="s">
        <v>14</v>
      </c>
      <c r="D398">
        <v>9</v>
      </c>
      <c r="E398">
        <v>3</v>
      </c>
      <c r="F398">
        <v>0</v>
      </c>
      <c r="G398">
        <v>20260220</v>
      </c>
      <c r="H398">
        <v>20260303</v>
      </c>
      <c r="I398">
        <v>211.5341</v>
      </c>
      <c r="J398">
        <f t="shared" si="61"/>
        <v>12</v>
      </c>
      <c r="K398">
        <f t="shared" si="62"/>
        <v>17.627841666666665</v>
      </c>
      <c r="L398">
        <f t="shared" si="63"/>
        <v>215.18710272259241</v>
      </c>
      <c r="M398">
        <f t="shared" si="64"/>
        <v>52.883524999999992</v>
      </c>
      <c r="N398">
        <f t="shared" si="65"/>
        <v>0</v>
      </c>
      <c r="O398">
        <f t="shared" si="66"/>
        <v>268.07062772259241</v>
      </c>
      <c r="P398">
        <f t="shared" si="67"/>
        <v>169.80379571138988</v>
      </c>
      <c r="Q398">
        <f t="shared" si="68"/>
        <v>41.730304288610093</v>
      </c>
      <c r="R398">
        <f t="shared" si="69"/>
        <v>0</v>
      </c>
      <c r="S398">
        <f t="shared" si="70"/>
        <v>211.53409999999997</v>
      </c>
    </row>
    <row r="399" spans="1:19" x14ac:dyDescent="0.3">
      <c r="A399" t="s">
        <v>13</v>
      </c>
      <c r="B399" t="s">
        <v>37</v>
      </c>
      <c r="C399" t="s">
        <v>15</v>
      </c>
      <c r="D399">
        <v>0</v>
      </c>
      <c r="E399">
        <v>27</v>
      </c>
      <c r="F399">
        <v>11</v>
      </c>
      <c r="G399">
        <v>20260305</v>
      </c>
      <c r="H399">
        <v>20260411</v>
      </c>
      <c r="I399">
        <v>268.45850000000002</v>
      </c>
      <c r="J399">
        <f t="shared" si="61"/>
        <v>38</v>
      </c>
      <c r="K399">
        <f t="shared" si="62"/>
        <v>7.0646973684210534</v>
      </c>
      <c r="L399">
        <f t="shared" si="63"/>
        <v>0</v>
      </c>
      <c r="M399">
        <f t="shared" si="64"/>
        <v>190.74682894736844</v>
      </c>
      <c r="N399">
        <f t="shared" si="65"/>
        <v>48.22921949696395</v>
      </c>
      <c r="O399">
        <f t="shared" si="66"/>
        <v>238.97604844433238</v>
      </c>
      <c r="P399">
        <f t="shared" si="67"/>
        <v>0</v>
      </c>
      <c r="Q399">
        <f t="shared" si="68"/>
        <v>214.27924644463076</v>
      </c>
      <c r="R399">
        <f t="shared" si="69"/>
        <v>54.179253555369286</v>
      </c>
      <c r="S399">
        <f t="shared" si="70"/>
        <v>268.45850000000007</v>
      </c>
    </row>
    <row r="400" spans="1:19" x14ac:dyDescent="0.3">
      <c r="A400" t="s">
        <v>13</v>
      </c>
      <c r="B400" t="s">
        <v>24</v>
      </c>
      <c r="C400" t="s">
        <v>14</v>
      </c>
      <c r="D400">
        <v>0</v>
      </c>
      <c r="E400">
        <v>28</v>
      </c>
      <c r="F400">
        <v>5</v>
      </c>
      <c r="G400">
        <v>20260304</v>
      </c>
      <c r="H400">
        <v>20260405</v>
      </c>
      <c r="I400">
        <v>8230.0121999999992</v>
      </c>
      <c r="J400">
        <f t="shared" si="61"/>
        <v>33</v>
      </c>
      <c r="K400">
        <f t="shared" si="62"/>
        <v>249.39430909090908</v>
      </c>
      <c r="L400">
        <f t="shared" si="63"/>
        <v>0</v>
      </c>
      <c r="M400">
        <f t="shared" si="64"/>
        <v>6983.0406545454543</v>
      </c>
      <c r="N400">
        <f t="shared" si="65"/>
        <v>773.8923067484219</v>
      </c>
      <c r="O400">
        <f t="shared" si="66"/>
        <v>7756.9329612938764</v>
      </c>
      <c r="P400">
        <f t="shared" si="67"/>
        <v>0</v>
      </c>
      <c r="Q400">
        <f t="shared" si="68"/>
        <v>7408.9218079846396</v>
      </c>
      <c r="R400">
        <f t="shared" si="69"/>
        <v>821.09039201535973</v>
      </c>
      <c r="S400">
        <f t="shared" si="70"/>
        <v>8230.0121999999992</v>
      </c>
    </row>
    <row r="401" spans="1:19" x14ac:dyDescent="0.3">
      <c r="A401" t="s">
        <v>13</v>
      </c>
      <c r="B401" t="s">
        <v>24</v>
      </c>
      <c r="C401" t="s">
        <v>14</v>
      </c>
      <c r="D401">
        <v>23</v>
      </c>
      <c r="E401">
        <v>9</v>
      </c>
      <c r="F401">
        <v>0</v>
      </c>
      <c r="G401">
        <v>20260206</v>
      </c>
      <c r="H401">
        <v>20260309</v>
      </c>
      <c r="I401">
        <v>844.99009999999998</v>
      </c>
      <c r="J401">
        <f t="shared" si="61"/>
        <v>32</v>
      </c>
      <c r="K401">
        <f t="shared" si="62"/>
        <v>26.405940624999999</v>
      </c>
      <c r="L401">
        <f t="shared" si="63"/>
        <v>823.76638552017039</v>
      </c>
      <c r="M401">
        <f t="shared" si="64"/>
        <v>237.653465625</v>
      </c>
      <c r="N401">
        <f t="shared" si="65"/>
        <v>0</v>
      </c>
      <c r="O401">
        <f t="shared" si="66"/>
        <v>1061.4198511451705</v>
      </c>
      <c r="P401">
        <f t="shared" si="67"/>
        <v>655.79557394402377</v>
      </c>
      <c r="Q401">
        <f t="shared" si="68"/>
        <v>189.19452605597618</v>
      </c>
      <c r="R401">
        <f t="shared" si="69"/>
        <v>0</v>
      </c>
      <c r="S401">
        <f t="shared" si="70"/>
        <v>844.99009999999998</v>
      </c>
    </row>
    <row r="402" spans="1:19" x14ac:dyDescent="0.3">
      <c r="A402" t="s">
        <v>13</v>
      </c>
      <c r="B402" t="s">
        <v>37</v>
      </c>
      <c r="C402" t="s">
        <v>14</v>
      </c>
      <c r="D402">
        <v>0</v>
      </c>
      <c r="E402">
        <v>22</v>
      </c>
      <c r="F402">
        <v>8</v>
      </c>
      <c r="G402">
        <v>20260310</v>
      </c>
      <c r="H402">
        <v>20260408</v>
      </c>
      <c r="I402">
        <v>527.63210000000004</v>
      </c>
      <c r="J402">
        <f t="shared" si="61"/>
        <v>30</v>
      </c>
      <c r="K402">
        <f t="shared" si="62"/>
        <v>17.587736666666668</v>
      </c>
      <c r="L402">
        <f t="shared" si="63"/>
        <v>0</v>
      </c>
      <c r="M402">
        <f t="shared" si="64"/>
        <v>386.93020666666672</v>
      </c>
      <c r="N402">
        <f t="shared" si="65"/>
        <v>87.322050926119502</v>
      </c>
      <c r="O402">
        <f t="shared" si="66"/>
        <v>474.25225759278624</v>
      </c>
      <c r="P402">
        <f t="shared" si="67"/>
        <v>0</v>
      </c>
      <c r="Q402">
        <f t="shared" si="68"/>
        <v>430.48144574625383</v>
      </c>
      <c r="R402">
        <f t="shared" si="69"/>
        <v>97.150654253746254</v>
      </c>
      <c r="S402">
        <f t="shared" si="70"/>
        <v>527.63210000000004</v>
      </c>
    </row>
    <row r="403" spans="1:19" x14ac:dyDescent="0.3">
      <c r="A403" t="s">
        <v>13</v>
      </c>
      <c r="B403" t="s">
        <v>37</v>
      </c>
      <c r="C403" t="s">
        <v>14</v>
      </c>
      <c r="D403">
        <v>0</v>
      </c>
      <c r="E403">
        <v>22</v>
      </c>
      <c r="F403">
        <v>7</v>
      </c>
      <c r="G403">
        <v>20260310</v>
      </c>
      <c r="H403">
        <v>20260407</v>
      </c>
      <c r="I403">
        <v>1392.0822000000001</v>
      </c>
      <c r="J403">
        <f t="shared" si="61"/>
        <v>29</v>
      </c>
      <c r="K403">
        <f t="shared" si="62"/>
        <v>48.002834482758622</v>
      </c>
      <c r="L403">
        <f t="shared" si="63"/>
        <v>0</v>
      </c>
      <c r="M403">
        <f t="shared" si="64"/>
        <v>1056.0623586206898</v>
      </c>
      <c r="N403">
        <f t="shared" si="65"/>
        <v>208.53977871923499</v>
      </c>
      <c r="O403">
        <f t="shared" si="66"/>
        <v>1264.6021373399249</v>
      </c>
      <c r="P403">
        <f t="shared" si="67"/>
        <v>0</v>
      </c>
      <c r="Q403">
        <f t="shared" si="68"/>
        <v>1162.5202647674391</v>
      </c>
      <c r="R403">
        <f t="shared" si="69"/>
        <v>229.56193523256084</v>
      </c>
      <c r="S403">
        <f t="shared" si="70"/>
        <v>1392.0822000000001</v>
      </c>
    </row>
    <row r="404" spans="1:19" x14ac:dyDescent="0.3">
      <c r="A404" t="s">
        <v>13</v>
      </c>
      <c r="B404" t="s">
        <v>37</v>
      </c>
      <c r="C404" t="s">
        <v>15</v>
      </c>
      <c r="D404">
        <v>0</v>
      </c>
      <c r="E404">
        <v>27</v>
      </c>
      <c r="F404">
        <v>9</v>
      </c>
      <c r="G404">
        <v>20260305</v>
      </c>
      <c r="H404">
        <v>20260409</v>
      </c>
      <c r="I404">
        <v>7355.9839000000002</v>
      </c>
      <c r="J404">
        <f t="shared" si="61"/>
        <v>36</v>
      </c>
      <c r="K404">
        <f t="shared" si="62"/>
        <v>204.33288611111112</v>
      </c>
      <c r="L404">
        <f t="shared" si="63"/>
        <v>0</v>
      </c>
      <c r="M404">
        <f t="shared" si="64"/>
        <v>5516.9879250000004</v>
      </c>
      <c r="N404">
        <f t="shared" si="65"/>
        <v>1141.3130013925336</v>
      </c>
      <c r="O404">
        <f t="shared" si="66"/>
        <v>6658.3009263925342</v>
      </c>
      <c r="P404">
        <f t="shared" si="67"/>
        <v>0</v>
      </c>
      <c r="Q404">
        <f t="shared" si="68"/>
        <v>6095.0796308904892</v>
      </c>
      <c r="R404">
        <f t="shared" si="69"/>
        <v>1260.9042691095106</v>
      </c>
      <c r="S404">
        <f t="shared" si="70"/>
        <v>7355.9838999999993</v>
      </c>
    </row>
    <row r="405" spans="1:19" x14ac:dyDescent="0.3">
      <c r="A405" t="s">
        <v>13</v>
      </c>
      <c r="B405" t="s">
        <v>37</v>
      </c>
      <c r="C405" t="s">
        <v>15</v>
      </c>
      <c r="D405">
        <v>0</v>
      </c>
      <c r="E405">
        <v>16</v>
      </c>
      <c r="F405">
        <v>16</v>
      </c>
      <c r="G405">
        <v>20260316</v>
      </c>
      <c r="H405">
        <v>20260416</v>
      </c>
      <c r="I405">
        <v>6845.7924999999996</v>
      </c>
      <c r="J405">
        <f t="shared" si="61"/>
        <v>32</v>
      </c>
      <c r="K405">
        <f t="shared" si="62"/>
        <v>213.93101562499999</v>
      </c>
      <c r="L405">
        <f t="shared" si="63"/>
        <v>0</v>
      </c>
      <c r="M405">
        <f t="shared" si="64"/>
        <v>3422.8962499999998</v>
      </c>
      <c r="N405">
        <f t="shared" si="65"/>
        <v>2124.3091587205608</v>
      </c>
      <c r="O405">
        <f t="shared" si="66"/>
        <v>5547.2054087205606</v>
      </c>
      <c r="P405">
        <f t="shared" si="67"/>
        <v>0</v>
      </c>
      <c r="Q405">
        <f t="shared" si="68"/>
        <v>4224.1878117025981</v>
      </c>
      <c r="R405">
        <f t="shared" si="69"/>
        <v>2621.6046882974015</v>
      </c>
      <c r="S405">
        <f t="shared" si="70"/>
        <v>6845.7924999999996</v>
      </c>
    </row>
    <row r="406" spans="1:19" x14ac:dyDescent="0.3">
      <c r="A406" t="s">
        <v>13</v>
      </c>
      <c r="B406" t="s">
        <v>37</v>
      </c>
      <c r="C406" t="s">
        <v>15</v>
      </c>
      <c r="D406">
        <v>0</v>
      </c>
      <c r="E406">
        <v>23</v>
      </c>
      <c r="F406">
        <v>7</v>
      </c>
      <c r="G406">
        <v>20260309</v>
      </c>
      <c r="H406">
        <v>20260407</v>
      </c>
      <c r="I406">
        <v>11062.9656</v>
      </c>
      <c r="J406">
        <f t="shared" si="61"/>
        <v>30</v>
      </c>
      <c r="K406">
        <f t="shared" si="62"/>
        <v>368.76551999999998</v>
      </c>
      <c r="L406">
        <f t="shared" si="63"/>
        <v>0</v>
      </c>
      <c r="M406">
        <f t="shared" si="64"/>
        <v>8481.6069599999992</v>
      </c>
      <c r="N406">
        <f t="shared" si="65"/>
        <v>1602.0362290836165</v>
      </c>
      <c r="O406">
        <f t="shared" si="66"/>
        <v>10083.643189083616</v>
      </c>
      <c r="P406">
        <f t="shared" si="67"/>
        <v>0</v>
      </c>
      <c r="Q406">
        <f t="shared" si="68"/>
        <v>9305.3397737021514</v>
      </c>
      <c r="R406">
        <f t="shared" si="69"/>
        <v>1757.625826297849</v>
      </c>
      <c r="S406">
        <f t="shared" si="70"/>
        <v>11062.9656</v>
      </c>
    </row>
    <row r="407" spans="1:19" x14ac:dyDescent="0.3">
      <c r="A407" t="s">
        <v>13</v>
      </c>
      <c r="B407" t="s">
        <v>24</v>
      </c>
      <c r="C407" t="s">
        <v>15</v>
      </c>
      <c r="D407">
        <v>0</v>
      </c>
      <c r="E407">
        <v>15</v>
      </c>
      <c r="F407">
        <v>7</v>
      </c>
      <c r="G407">
        <v>20260317</v>
      </c>
      <c r="H407">
        <v>20260407</v>
      </c>
      <c r="I407">
        <v>13123.608399999999</v>
      </c>
      <c r="J407">
        <f t="shared" si="61"/>
        <v>22</v>
      </c>
      <c r="K407">
        <f t="shared" si="62"/>
        <v>596.52765454545454</v>
      </c>
      <c r="L407">
        <f t="shared" si="63"/>
        <v>0</v>
      </c>
      <c r="M407">
        <f t="shared" si="64"/>
        <v>8947.9148181818182</v>
      </c>
      <c r="N407">
        <f t="shared" si="65"/>
        <v>2591.5083227740333</v>
      </c>
      <c r="O407">
        <f t="shared" si="66"/>
        <v>11539.423140955852</v>
      </c>
      <c r="P407">
        <f t="shared" si="67"/>
        <v>0</v>
      </c>
      <c r="Q407">
        <f t="shared" si="68"/>
        <v>10176.325855804289</v>
      </c>
      <c r="R407">
        <f t="shared" si="69"/>
        <v>2947.2825441957098</v>
      </c>
      <c r="S407">
        <f t="shared" si="70"/>
        <v>13123.608399999999</v>
      </c>
    </row>
    <row r="408" spans="1:19" x14ac:dyDescent="0.3">
      <c r="A408" t="s">
        <v>13</v>
      </c>
      <c r="B408" t="s">
        <v>37</v>
      </c>
      <c r="C408" t="s">
        <v>15</v>
      </c>
      <c r="D408">
        <v>0</v>
      </c>
      <c r="E408">
        <v>25</v>
      </c>
      <c r="F408">
        <v>11</v>
      </c>
      <c r="G408">
        <v>20260307</v>
      </c>
      <c r="H408">
        <v>20260411</v>
      </c>
      <c r="I408">
        <v>38.618200000000002</v>
      </c>
      <c r="J408">
        <f t="shared" si="61"/>
        <v>36</v>
      </c>
      <c r="K408">
        <f t="shared" si="62"/>
        <v>1.0727277777777777</v>
      </c>
      <c r="L408">
        <f t="shared" si="63"/>
        <v>0</v>
      </c>
      <c r="M408">
        <f t="shared" si="64"/>
        <v>26.818194444444444</v>
      </c>
      <c r="N408">
        <f t="shared" si="65"/>
        <v>7.3232894145185288</v>
      </c>
      <c r="O408">
        <f t="shared" si="66"/>
        <v>34.141483858962971</v>
      </c>
      <c r="P408">
        <f t="shared" si="67"/>
        <v>0</v>
      </c>
      <c r="Q408">
        <f t="shared" si="68"/>
        <v>30.33466269283301</v>
      </c>
      <c r="R408">
        <f t="shared" si="69"/>
        <v>8.2835373071669931</v>
      </c>
      <c r="S408">
        <f t="shared" si="70"/>
        <v>38.618200000000002</v>
      </c>
    </row>
    <row r="409" spans="1:19" x14ac:dyDescent="0.3">
      <c r="A409" t="s">
        <v>13</v>
      </c>
      <c r="B409" t="s">
        <v>24</v>
      </c>
      <c r="C409" t="s">
        <v>15</v>
      </c>
      <c r="D409">
        <v>0</v>
      </c>
      <c r="E409">
        <v>20</v>
      </c>
      <c r="F409">
        <v>0</v>
      </c>
      <c r="G409">
        <v>20260302</v>
      </c>
      <c r="H409">
        <v>20260321</v>
      </c>
      <c r="I409">
        <v>3417.0068000000001</v>
      </c>
      <c r="J409">
        <f t="shared" si="61"/>
        <v>20</v>
      </c>
      <c r="K409">
        <f t="shared" si="62"/>
        <v>170.85034000000002</v>
      </c>
      <c r="L409">
        <f t="shared" si="63"/>
        <v>0</v>
      </c>
      <c r="M409">
        <f t="shared" si="64"/>
        <v>3417.0068000000001</v>
      </c>
      <c r="N409">
        <f t="shared" si="65"/>
        <v>0</v>
      </c>
      <c r="O409">
        <f t="shared" si="66"/>
        <v>3417.0068000000001</v>
      </c>
      <c r="P409">
        <f t="shared" si="67"/>
        <v>0</v>
      </c>
      <c r="Q409">
        <f t="shared" si="68"/>
        <v>3417.0068000000001</v>
      </c>
      <c r="R409">
        <f t="shared" si="69"/>
        <v>0</v>
      </c>
      <c r="S409">
        <f t="shared" si="70"/>
        <v>3417.0068000000001</v>
      </c>
    </row>
    <row r="410" spans="1:19" x14ac:dyDescent="0.3">
      <c r="A410" t="s">
        <v>13</v>
      </c>
      <c r="B410" t="s">
        <v>24</v>
      </c>
      <c r="C410" t="s">
        <v>15</v>
      </c>
      <c r="D410">
        <v>0</v>
      </c>
      <c r="E410">
        <v>26</v>
      </c>
      <c r="F410">
        <v>0</v>
      </c>
      <c r="G410">
        <v>20260305</v>
      </c>
      <c r="H410">
        <v>20260330</v>
      </c>
      <c r="I410">
        <v>9362.4973000000009</v>
      </c>
      <c r="J410">
        <f t="shared" si="61"/>
        <v>26</v>
      </c>
      <c r="K410">
        <f t="shared" si="62"/>
        <v>360.09605000000005</v>
      </c>
      <c r="L410">
        <f t="shared" si="63"/>
        <v>0</v>
      </c>
      <c r="M410">
        <f t="shared" si="64"/>
        <v>9362.4973000000009</v>
      </c>
      <c r="N410">
        <f t="shared" si="65"/>
        <v>0</v>
      </c>
      <c r="O410">
        <f t="shared" si="66"/>
        <v>9362.4973000000009</v>
      </c>
      <c r="P410">
        <f t="shared" si="67"/>
        <v>0</v>
      </c>
      <c r="Q410">
        <f t="shared" si="68"/>
        <v>9362.4973000000009</v>
      </c>
      <c r="R410">
        <f t="shared" si="69"/>
        <v>0</v>
      </c>
      <c r="S410">
        <f t="shared" si="70"/>
        <v>9362.4973000000009</v>
      </c>
    </row>
    <row r="411" spans="1:19" x14ac:dyDescent="0.3">
      <c r="A411" t="s">
        <v>13</v>
      </c>
      <c r="B411" t="s">
        <v>24</v>
      </c>
      <c r="C411" t="s">
        <v>15</v>
      </c>
      <c r="D411">
        <v>0</v>
      </c>
      <c r="E411">
        <v>18</v>
      </c>
      <c r="F411">
        <v>0</v>
      </c>
      <c r="G411">
        <v>20260302</v>
      </c>
      <c r="H411">
        <v>20260319</v>
      </c>
      <c r="I411">
        <v>2869.9423000000002</v>
      </c>
      <c r="J411">
        <f t="shared" si="61"/>
        <v>18</v>
      </c>
      <c r="K411">
        <f t="shared" si="62"/>
        <v>159.4412388888889</v>
      </c>
      <c r="L411">
        <f t="shared" si="63"/>
        <v>0</v>
      </c>
      <c r="M411">
        <f t="shared" si="64"/>
        <v>2869.9423000000002</v>
      </c>
      <c r="N411">
        <f t="shared" si="65"/>
        <v>0</v>
      </c>
      <c r="O411">
        <f t="shared" si="66"/>
        <v>2869.9423000000002</v>
      </c>
      <c r="P411">
        <f t="shared" si="67"/>
        <v>0</v>
      </c>
      <c r="Q411">
        <f t="shared" si="68"/>
        <v>2869.9423000000002</v>
      </c>
      <c r="R411">
        <f t="shared" si="69"/>
        <v>0</v>
      </c>
      <c r="S411">
        <f t="shared" si="70"/>
        <v>2869.9423000000002</v>
      </c>
    </row>
    <row r="412" spans="1:19" x14ac:dyDescent="0.3">
      <c r="A412" t="s">
        <v>13</v>
      </c>
      <c r="B412" t="s">
        <v>24</v>
      </c>
      <c r="C412" t="s">
        <v>15</v>
      </c>
      <c r="D412">
        <v>0</v>
      </c>
      <c r="E412">
        <v>27</v>
      </c>
      <c r="F412">
        <v>10</v>
      </c>
      <c r="G412">
        <v>20260305</v>
      </c>
      <c r="H412">
        <v>20260410</v>
      </c>
      <c r="I412">
        <v>2522.3831</v>
      </c>
      <c r="J412">
        <f t="shared" si="61"/>
        <v>37</v>
      </c>
      <c r="K412">
        <f t="shared" si="62"/>
        <v>68.172516216216223</v>
      </c>
      <c r="L412">
        <f t="shared" si="63"/>
        <v>0</v>
      </c>
      <c r="M412">
        <f t="shared" si="64"/>
        <v>1840.6579378378381</v>
      </c>
      <c r="N412">
        <f t="shared" si="65"/>
        <v>423.09053501441679</v>
      </c>
      <c r="O412">
        <f t="shared" si="66"/>
        <v>2263.748472852255</v>
      </c>
      <c r="P412">
        <f t="shared" si="67"/>
        <v>0</v>
      </c>
      <c r="Q412">
        <f t="shared" si="68"/>
        <v>2050.9542164077834</v>
      </c>
      <c r="R412">
        <f t="shared" si="69"/>
        <v>471.42888359221632</v>
      </c>
      <c r="S412">
        <f t="shared" si="70"/>
        <v>2522.3830999999996</v>
      </c>
    </row>
    <row r="413" spans="1:19" x14ac:dyDescent="0.3">
      <c r="A413" t="s">
        <v>13</v>
      </c>
      <c r="B413" t="s">
        <v>37</v>
      </c>
      <c r="C413" t="s">
        <v>15</v>
      </c>
      <c r="D413">
        <v>0</v>
      </c>
      <c r="E413">
        <v>23</v>
      </c>
      <c r="F413">
        <v>6</v>
      </c>
      <c r="G413">
        <v>20260309</v>
      </c>
      <c r="H413">
        <v>20260406</v>
      </c>
      <c r="I413">
        <v>1881.8005000000001</v>
      </c>
      <c r="J413">
        <f t="shared" si="61"/>
        <v>29</v>
      </c>
      <c r="K413">
        <f t="shared" si="62"/>
        <v>64.889672413793107</v>
      </c>
      <c r="L413">
        <f t="shared" si="63"/>
        <v>0</v>
      </c>
      <c r="M413">
        <f t="shared" si="64"/>
        <v>1492.4624655172415</v>
      </c>
      <c r="N413">
        <f t="shared" si="65"/>
        <v>241.62998001764905</v>
      </c>
      <c r="O413">
        <f t="shared" si="66"/>
        <v>1734.0924455348907</v>
      </c>
      <c r="P413">
        <f t="shared" si="67"/>
        <v>0</v>
      </c>
      <c r="Q413">
        <f t="shared" si="68"/>
        <v>1619.5887486121162</v>
      </c>
      <c r="R413">
        <f t="shared" si="69"/>
        <v>262.21175138788368</v>
      </c>
      <c r="S413">
        <f t="shared" si="70"/>
        <v>1881.8004999999998</v>
      </c>
    </row>
    <row r="414" spans="1:19" x14ac:dyDescent="0.3">
      <c r="A414" t="s">
        <v>13</v>
      </c>
      <c r="B414" t="s">
        <v>37</v>
      </c>
      <c r="C414" t="s">
        <v>15</v>
      </c>
      <c r="D414">
        <v>0</v>
      </c>
      <c r="E414">
        <v>30</v>
      </c>
      <c r="F414">
        <v>14</v>
      </c>
      <c r="G414">
        <v>20260302</v>
      </c>
      <c r="H414">
        <v>20260414</v>
      </c>
      <c r="I414">
        <v>13.4216</v>
      </c>
      <c r="J414">
        <f t="shared" si="61"/>
        <v>44</v>
      </c>
      <c r="K414">
        <f t="shared" si="62"/>
        <v>0.30503636363636361</v>
      </c>
      <c r="L414">
        <f t="shared" si="63"/>
        <v>0</v>
      </c>
      <c r="M414">
        <f t="shared" si="64"/>
        <v>9.1510909090909074</v>
      </c>
      <c r="N414">
        <f t="shared" si="65"/>
        <v>2.6503524827016296</v>
      </c>
      <c r="O414">
        <f t="shared" si="66"/>
        <v>11.801443391792537</v>
      </c>
      <c r="P414">
        <f t="shared" si="67"/>
        <v>0</v>
      </c>
      <c r="Q414">
        <f t="shared" si="68"/>
        <v>10.407394898057371</v>
      </c>
      <c r="R414">
        <f t="shared" si="69"/>
        <v>3.014205101942629</v>
      </c>
      <c r="S414">
        <f t="shared" si="70"/>
        <v>13.4216</v>
      </c>
    </row>
    <row r="415" spans="1:19" x14ac:dyDescent="0.3">
      <c r="A415" t="s">
        <v>13</v>
      </c>
      <c r="B415" t="s">
        <v>24</v>
      </c>
      <c r="C415" t="s">
        <v>15</v>
      </c>
      <c r="D415">
        <v>26</v>
      </c>
      <c r="E415">
        <v>11</v>
      </c>
      <c r="F415">
        <v>0</v>
      </c>
      <c r="G415">
        <v>20260203</v>
      </c>
      <c r="H415">
        <v>20260311</v>
      </c>
      <c r="I415">
        <v>20905.6774</v>
      </c>
      <c r="J415">
        <f t="shared" si="61"/>
        <v>37</v>
      </c>
      <c r="K415">
        <f t="shared" si="62"/>
        <v>565.01830810810816</v>
      </c>
      <c r="L415">
        <f t="shared" si="63"/>
        <v>19925.556339030769</v>
      </c>
      <c r="M415">
        <f t="shared" si="64"/>
        <v>6215.2013891891893</v>
      </c>
      <c r="N415">
        <f t="shared" si="65"/>
        <v>0</v>
      </c>
      <c r="O415">
        <f t="shared" si="66"/>
        <v>26140.757728219956</v>
      </c>
      <c r="P415">
        <f t="shared" si="67"/>
        <v>15935.163669322892</v>
      </c>
      <c r="Q415">
        <f t="shared" si="68"/>
        <v>4970.5137306771085</v>
      </c>
      <c r="R415">
        <f t="shared" si="69"/>
        <v>0</v>
      </c>
      <c r="S415">
        <f t="shared" si="70"/>
        <v>20905.6774</v>
      </c>
    </row>
    <row r="416" spans="1:19" x14ac:dyDescent="0.3">
      <c r="A416" t="s">
        <v>13</v>
      </c>
      <c r="B416" t="s">
        <v>24</v>
      </c>
      <c r="C416" t="s">
        <v>15</v>
      </c>
      <c r="D416">
        <v>4</v>
      </c>
      <c r="E416">
        <v>17</v>
      </c>
      <c r="F416">
        <v>0</v>
      </c>
      <c r="G416">
        <v>20260225</v>
      </c>
      <c r="H416">
        <v>20260317</v>
      </c>
      <c r="I416">
        <v>56591.932200000003</v>
      </c>
      <c r="J416">
        <f t="shared" si="61"/>
        <v>21</v>
      </c>
      <c r="K416">
        <f t="shared" si="62"/>
        <v>2694.8539142857144</v>
      </c>
      <c r="L416">
        <f t="shared" si="63"/>
        <v>14620.755230815403</v>
      </c>
      <c r="M416">
        <f t="shared" si="64"/>
        <v>45812.516542857142</v>
      </c>
      <c r="N416">
        <f t="shared" si="65"/>
        <v>0</v>
      </c>
      <c r="O416">
        <f t="shared" si="66"/>
        <v>60433.271773672546</v>
      </c>
      <c r="P416">
        <f t="shared" si="67"/>
        <v>13691.411443580995</v>
      </c>
      <c r="Q416">
        <f t="shared" si="68"/>
        <v>42900.520756419006</v>
      </c>
      <c r="R416">
        <f t="shared" si="69"/>
        <v>0</v>
      </c>
      <c r="S416">
        <f t="shared" si="70"/>
        <v>56591.932200000003</v>
      </c>
    </row>
    <row r="417" spans="1:19" x14ac:dyDescent="0.3">
      <c r="A417" t="s">
        <v>13</v>
      </c>
      <c r="B417" t="s">
        <v>24</v>
      </c>
      <c r="C417" t="s">
        <v>15</v>
      </c>
      <c r="D417">
        <v>0</v>
      </c>
      <c r="E417">
        <v>22</v>
      </c>
      <c r="F417">
        <v>0</v>
      </c>
      <c r="G417">
        <v>20260306</v>
      </c>
      <c r="H417">
        <v>20260327</v>
      </c>
      <c r="I417">
        <v>2233.9339</v>
      </c>
      <c r="J417">
        <f t="shared" si="61"/>
        <v>22</v>
      </c>
      <c r="K417">
        <f t="shared" si="62"/>
        <v>101.54245</v>
      </c>
      <c r="L417">
        <f t="shared" si="63"/>
        <v>0</v>
      </c>
      <c r="M417">
        <f t="shared" si="64"/>
        <v>2233.9339</v>
      </c>
      <c r="N417">
        <f t="shared" si="65"/>
        <v>0</v>
      </c>
      <c r="O417">
        <f t="shared" si="66"/>
        <v>2233.9339</v>
      </c>
      <c r="P417">
        <f t="shared" si="67"/>
        <v>0</v>
      </c>
      <c r="Q417">
        <f t="shared" si="68"/>
        <v>2233.9339</v>
      </c>
      <c r="R417">
        <f t="shared" si="69"/>
        <v>0</v>
      </c>
      <c r="S417">
        <f t="shared" si="70"/>
        <v>2233.9339</v>
      </c>
    </row>
    <row r="418" spans="1:19" x14ac:dyDescent="0.3">
      <c r="A418" t="s">
        <v>13</v>
      </c>
      <c r="B418" t="s">
        <v>24</v>
      </c>
      <c r="C418" t="s">
        <v>15</v>
      </c>
      <c r="D418">
        <v>4</v>
      </c>
      <c r="E418">
        <v>1</v>
      </c>
      <c r="F418">
        <v>0</v>
      </c>
      <c r="G418">
        <v>20260225</v>
      </c>
      <c r="H418">
        <v>20260301</v>
      </c>
      <c r="I418">
        <v>5252.9075999999995</v>
      </c>
      <c r="J418">
        <f t="shared" si="61"/>
        <v>5</v>
      </c>
      <c r="K418">
        <f t="shared" si="62"/>
        <v>1050.58152</v>
      </c>
      <c r="L418">
        <f t="shared" si="63"/>
        <v>5699.8619377886853</v>
      </c>
      <c r="M418">
        <f t="shared" si="64"/>
        <v>1050.58152</v>
      </c>
      <c r="N418">
        <f t="shared" si="65"/>
        <v>0</v>
      </c>
      <c r="O418">
        <f t="shared" si="66"/>
        <v>6750.443457788685</v>
      </c>
      <c r="P418">
        <f t="shared" si="67"/>
        <v>4435.3898050082998</v>
      </c>
      <c r="Q418">
        <f t="shared" si="68"/>
        <v>817.51779499169982</v>
      </c>
      <c r="R418">
        <f t="shared" si="69"/>
        <v>0</v>
      </c>
      <c r="S418">
        <f t="shared" si="70"/>
        <v>5252.9075999999995</v>
      </c>
    </row>
    <row r="419" spans="1:19" x14ac:dyDescent="0.3">
      <c r="A419" t="s">
        <v>13</v>
      </c>
      <c r="B419" t="s">
        <v>24</v>
      </c>
      <c r="C419" t="s">
        <v>15</v>
      </c>
      <c r="D419">
        <v>0</v>
      </c>
      <c r="E419">
        <v>10</v>
      </c>
      <c r="F419">
        <v>0</v>
      </c>
      <c r="G419">
        <v>20260310</v>
      </c>
      <c r="H419">
        <v>20260319</v>
      </c>
      <c r="I419">
        <v>336.18560000000002</v>
      </c>
      <c r="J419">
        <f t="shared" si="61"/>
        <v>10</v>
      </c>
      <c r="K419">
        <f t="shared" si="62"/>
        <v>33.618560000000002</v>
      </c>
      <c r="L419">
        <f t="shared" si="63"/>
        <v>0</v>
      </c>
      <c r="M419">
        <f t="shared" si="64"/>
        <v>336.18560000000002</v>
      </c>
      <c r="N419">
        <f t="shared" si="65"/>
        <v>0</v>
      </c>
      <c r="O419">
        <f t="shared" si="66"/>
        <v>336.18560000000002</v>
      </c>
      <c r="P419">
        <f t="shared" si="67"/>
        <v>0</v>
      </c>
      <c r="Q419">
        <f t="shared" si="68"/>
        <v>336.18560000000002</v>
      </c>
      <c r="R419">
        <f t="shared" si="69"/>
        <v>0</v>
      </c>
      <c r="S419">
        <f t="shared" si="70"/>
        <v>336.18560000000002</v>
      </c>
    </row>
    <row r="420" spans="1:19" x14ac:dyDescent="0.3">
      <c r="A420" t="s">
        <v>13</v>
      </c>
      <c r="B420" t="s">
        <v>24</v>
      </c>
      <c r="C420" t="s">
        <v>15</v>
      </c>
      <c r="D420">
        <v>16</v>
      </c>
      <c r="E420">
        <v>5</v>
      </c>
      <c r="F420">
        <v>0</v>
      </c>
      <c r="G420">
        <v>20260213</v>
      </c>
      <c r="H420">
        <v>20260305</v>
      </c>
      <c r="I420">
        <v>13270.998299999999</v>
      </c>
      <c r="J420">
        <f t="shared" si="61"/>
        <v>21</v>
      </c>
      <c r="K420">
        <f t="shared" si="62"/>
        <v>631.95229999999992</v>
      </c>
      <c r="L420">
        <f t="shared" si="63"/>
        <v>13714.464961340711</v>
      </c>
      <c r="M420">
        <f t="shared" si="64"/>
        <v>3159.7614999999996</v>
      </c>
      <c r="N420">
        <f t="shared" si="65"/>
        <v>0</v>
      </c>
      <c r="O420">
        <f t="shared" si="66"/>
        <v>16874.22646134071</v>
      </c>
      <c r="P420">
        <f t="shared" si="67"/>
        <v>10785.954639422405</v>
      </c>
      <c r="Q420">
        <f t="shared" si="68"/>
        <v>2485.0436605775953</v>
      </c>
      <c r="R420">
        <f t="shared" si="69"/>
        <v>0</v>
      </c>
      <c r="S420">
        <f t="shared" si="70"/>
        <v>13270.998300000001</v>
      </c>
    </row>
    <row r="421" spans="1:19" x14ac:dyDescent="0.3">
      <c r="A421" t="s">
        <v>13</v>
      </c>
      <c r="B421" t="s">
        <v>24</v>
      </c>
      <c r="C421" t="s">
        <v>15</v>
      </c>
      <c r="D421">
        <v>3</v>
      </c>
      <c r="E421">
        <v>31</v>
      </c>
      <c r="F421">
        <v>5</v>
      </c>
      <c r="G421">
        <v>20260226</v>
      </c>
      <c r="H421">
        <v>20260405</v>
      </c>
      <c r="I421">
        <v>28558.931799999998</v>
      </c>
      <c r="J421">
        <f t="shared" si="61"/>
        <v>39</v>
      </c>
      <c r="K421">
        <f t="shared" si="62"/>
        <v>732.2803025641025</v>
      </c>
      <c r="L421">
        <f t="shared" si="63"/>
        <v>2979.7044862193397</v>
      </c>
      <c r="M421">
        <f t="shared" si="64"/>
        <v>22700.689379487176</v>
      </c>
      <c r="N421">
        <f t="shared" si="65"/>
        <v>2272.329687888709</v>
      </c>
      <c r="O421">
        <f t="shared" si="66"/>
        <v>27952.723553595224</v>
      </c>
      <c r="P421">
        <f t="shared" si="67"/>
        <v>3044.3250741893139</v>
      </c>
      <c r="Q421">
        <f t="shared" si="68"/>
        <v>23192.99722471496</v>
      </c>
      <c r="R421">
        <f t="shared" si="69"/>
        <v>2321.6095010957247</v>
      </c>
      <c r="S421">
        <f t="shared" si="70"/>
        <v>28558.931799999998</v>
      </c>
    </row>
    <row r="422" spans="1:19" x14ac:dyDescent="0.3">
      <c r="A422" t="s">
        <v>13</v>
      </c>
      <c r="B422" t="s">
        <v>24</v>
      </c>
      <c r="C422" t="s">
        <v>14</v>
      </c>
      <c r="D422">
        <v>8</v>
      </c>
      <c r="E422">
        <v>4</v>
      </c>
      <c r="F422">
        <v>0</v>
      </c>
      <c r="G422">
        <v>20260221</v>
      </c>
      <c r="H422">
        <v>20260304</v>
      </c>
      <c r="I422">
        <v>1397.1685</v>
      </c>
      <c r="J422">
        <f t="shared" si="61"/>
        <v>12</v>
      </c>
      <c r="K422">
        <f t="shared" si="62"/>
        <v>116.43070833333333</v>
      </c>
      <c r="L422">
        <f t="shared" si="63"/>
        <v>1263.374521986533</v>
      </c>
      <c r="M422">
        <f t="shared" si="64"/>
        <v>465.72283333333331</v>
      </c>
      <c r="N422">
        <f t="shared" si="65"/>
        <v>0</v>
      </c>
      <c r="O422">
        <f t="shared" si="66"/>
        <v>1729.0973553198662</v>
      </c>
      <c r="P422">
        <f t="shared" si="67"/>
        <v>1020.8488726163173</v>
      </c>
      <c r="Q422">
        <f t="shared" si="68"/>
        <v>376.31962738368276</v>
      </c>
      <c r="R422">
        <f t="shared" si="69"/>
        <v>0</v>
      </c>
      <c r="S422">
        <f t="shared" si="70"/>
        <v>1397.1685</v>
      </c>
    </row>
    <row r="423" spans="1:19" x14ac:dyDescent="0.3">
      <c r="A423" t="s">
        <v>13</v>
      </c>
      <c r="B423" t="s">
        <v>24</v>
      </c>
      <c r="C423" t="s">
        <v>15</v>
      </c>
      <c r="D423">
        <v>8</v>
      </c>
      <c r="E423">
        <v>2</v>
      </c>
      <c r="F423">
        <v>0</v>
      </c>
      <c r="G423">
        <v>20260221</v>
      </c>
      <c r="H423">
        <v>20260302</v>
      </c>
      <c r="I423">
        <v>8209.8233</v>
      </c>
      <c r="J423">
        <f t="shared" si="61"/>
        <v>10</v>
      </c>
      <c r="K423">
        <f t="shared" si="62"/>
        <v>820.98233000000005</v>
      </c>
      <c r="L423">
        <f t="shared" si="63"/>
        <v>8908.3728302475192</v>
      </c>
      <c r="M423">
        <f t="shared" si="64"/>
        <v>1641.9646600000001</v>
      </c>
      <c r="N423">
        <f t="shared" si="65"/>
        <v>0</v>
      </c>
      <c r="O423">
        <f t="shared" si="66"/>
        <v>10550.337490247519</v>
      </c>
      <c r="P423">
        <f t="shared" si="67"/>
        <v>6932.1163322460879</v>
      </c>
      <c r="Q423">
        <f t="shared" si="68"/>
        <v>1277.7069677539123</v>
      </c>
      <c r="R423">
        <f t="shared" si="69"/>
        <v>0</v>
      </c>
      <c r="S423">
        <f t="shared" si="70"/>
        <v>8209.8233</v>
      </c>
    </row>
    <row r="424" spans="1:19" x14ac:dyDescent="0.3">
      <c r="A424" t="s">
        <v>13</v>
      </c>
      <c r="B424" t="s">
        <v>24</v>
      </c>
      <c r="C424" t="s">
        <v>15</v>
      </c>
      <c r="D424">
        <v>8</v>
      </c>
      <c r="E424">
        <v>3</v>
      </c>
      <c r="F424">
        <v>0</v>
      </c>
      <c r="G424">
        <v>20260221</v>
      </c>
      <c r="H424">
        <v>20260303</v>
      </c>
      <c r="I424">
        <v>42.330500000000001</v>
      </c>
      <c r="J424">
        <f t="shared" si="61"/>
        <v>11</v>
      </c>
      <c r="K424">
        <f t="shared" si="62"/>
        <v>3.8482272727272728</v>
      </c>
      <c r="L424">
        <f t="shared" si="63"/>
        <v>41.756615250149352</v>
      </c>
      <c r="M424">
        <f t="shared" si="64"/>
        <v>11.544681818181818</v>
      </c>
      <c r="N424">
        <f t="shared" si="65"/>
        <v>0</v>
      </c>
      <c r="O424">
        <f t="shared" si="66"/>
        <v>53.301297068331166</v>
      </c>
      <c r="P424">
        <f t="shared" si="67"/>
        <v>33.16201479263156</v>
      </c>
      <c r="Q424">
        <f t="shared" si="68"/>
        <v>9.1684852073684464</v>
      </c>
      <c r="R424">
        <f t="shared" si="69"/>
        <v>0</v>
      </c>
      <c r="S424">
        <f t="shared" si="70"/>
        <v>42.330500000000008</v>
      </c>
    </row>
    <row r="425" spans="1:19" x14ac:dyDescent="0.3">
      <c r="A425" t="s">
        <v>13</v>
      </c>
      <c r="B425" t="s">
        <v>24</v>
      </c>
      <c r="C425" t="s">
        <v>15</v>
      </c>
      <c r="D425">
        <v>10</v>
      </c>
      <c r="E425">
        <v>1</v>
      </c>
      <c r="F425">
        <v>0</v>
      </c>
      <c r="G425">
        <v>20260219</v>
      </c>
      <c r="H425">
        <v>20260301</v>
      </c>
      <c r="I425">
        <v>126.79300000000001</v>
      </c>
      <c r="J425">
        <f t="shared" si="61"/>
        <v>11</v>
      </c>
      <c r="K425">
        <f t="shared" si="62"/>
        <v>11.526636363636364</v>
      </c>
      <c r="L425">
        <f t="shared" si="63"/>
        <v>156.34254607824695</v>
      </c>
      <c r="M425">
        <f t="shared" si="64"/>
        <v>11.526636363636364</v>
      </c>
      <c r="N425">
        <f t="shared" si="65"/>
        <v>0</v>
      </c>
      <c r="O425">
        <f t="shared" si="66"/>
        <v>167.86918244188331</v>
      </c>
      <c r="P425">
        <f t="shared" si="67"/>
        <v>118.08683497795661</v>
      </c>
      <c r="Q425">
        <f t="shared" si="68"/>
        <v>8.706165022043395</v>
      </c>
      <c r="R425">
        <f t="shared" si="69"/>
        <v>0</v>
      </c>
      <c r="S425">
        <f t="shared" si="70"/>
        <v>126.79300000000001</v>
      </c>
    </row>
    <row r="426" spans="1:19" x14ac:dyDescent="0.3">
      <c r="A426" t="s">
        <v>13</v>
      </c>
      <c r="B426" t="s">
        <v>24</v>
      </c>
      <c r="C426" t="s">
        <v>15</v>
      </c>
      <c r="D426">
        <v>0</v>
      </c>
      <c r="E426">
        <v>15</v>
      </c>
      <c r="F426">
        <v>1</v>
      </c>
      <c r="G426">
        <v>20260317</v>
      </c>
      <c r="H426">
        <v>20260401</v>
      </c>
      <c r="I426">
        <v>12724.8341</v>
      </c>
      <c r="J426">
        <f t="shared" si="61"/>
        <v>16</v>
      </c>
      <c r="K426">
        <f t="shared" si="62"/>
        <v>795.30213125</v>
      </c>
      <c r="L426">
        <f t="shared" si="63"/>
        <v>0</v>
      </c>
      <c r="M426">
        <f t="shared" si="64"/>
        <v>11929.53196875</v>
      </c>
      <c r="N426">
        <f t="shared" si="65"/>
        <v>493.57838449364533</v>
      </c>
      <c r="O426">
        <f t="shared" si="66"/>
        <v>12423.110353243645</v>
      </c>
      <c r="P426">
        <f t="shared" si="67"/>
        <v>0</v>
      </c>
      <c r="Q426">
        <f t="shared" si="68"/>
        <v>12219.268031645164</v>
      </c>
      <c r="R426">
        <f t="shared" si="69"/>
        <v>505.56606835483615</v>
      </c>
      <c r="S426">
        <f t="shared" si="70"/>
        <v>12724.8341</v>
      </c>
    </row>
    <row r="427" spans="1:19" x14ac:dyDescent="0.3">
      <c r="A427" t="s">
        <v>13</v>
      </c>
      <c r="B427" t="s">
        <v>24</v>
      </c>
      <c r="C427" t="s">
        <v>15</v>
      </c>
      <c r="D427">
        <v>0</v>
      </c>
      <c r="E427">
        <v>13</v>
      </c>
      <c r="F427">
        <v>7</v>
      </c>
      <c r="G427">
        <v>20260319</v>
      </c>
      <c r="H427">
        <v>20260407</v>
      </c>
      <c r="I427">
        <v>410.82459999999998</v>
      </c>
      <c r="J427">
        <f t="shared" si="61"/>
        <v>20</v>
      </c>
      <c r="K427">
        <f t="shared" si="62"/>
        <v>20.541229999999999</v>
      </c>
      <c r="L427">
        <f t="shared" si="63"/>
        <v>0</v>
      </c>
      <c r="M427">
        <f t="shared" si="64"/>
        <v>267.03598999999997</v>
      </c>
      <c r="N427">
        <f t="shared" si="65"/>
        <v>89.237721167475897</v>
      </c>
      <c r="O427">
        <f t="shared" si="66"/>
        <v>356.27371116747588</v>
      </c>
      <c r="P427">
        <f t="shared" si="67"/>
        <v>0</v>
      </c>
      <c r="Q427">
        <f t="shared" si="68"/>
        <v>307.92323525039507</v>
      </c>
      <c r="R427">
        <f t="shared" si="69"/>
        <v>102.90136474960488</v>
      </c>
      <c r="S427">
        <f t="shared" si="70"/>
        <v>410.82459999999992</v>
      </c>
    </row>
    <row r="428" spans="1:19" x14ac:dyDescent="0.3">
      <c r="A428" t="s">
        <v>13</v>
      </c>
      <c r="B428" t="s">
        <v>37</v>
      </c>
      <c r="C428" t="s">
        <v>15</v>
      </c>
      <c r="D428">
        <v>0</v>
      </c>
      <c r="E428">
        <v>16</v>
      </c>
      <c r="F428">
        <v>2</v>
      </c>
      <c r="G428">
        <v>20260316</v>
      </c>
      <c r="H428">
        <v>20260402</v>
      </c>
      <c r="I428">
        <v>589.91589999999997</v>
      </c>
      <c r="J428">
        <f t="shared" si="61"/>
        <v>18</v>
      </c>
      <c r="K428">
        <f t="shared" si="62"/>
        <v>32.773105555555553</v>
      </c>
      <c r="L428">
        <f t="shared" si="63"/>
        <v>0</v>
      </c>
      <c r="M428">
        <f t="shared" si="64"/>
        <v>524.36968888888885</v>
      </c>
      <c r="N428">
        <f t="shared" si="65"/>
        <v>40.679122711582252</v>
      </c>
      <c r="O428">
        <f t="shared" si="66"/>
        <v>565.04881160047114</v>
      </c>
      <c r="P428">
        <f t="shared" si="67"/>
        <v>0</v>
      </c>
      <c r="Q428">
        <f t="shared" si="68"/>
        <v>547.44654019789266</v>
      </c>
      <c r="R428">
        <f t="shared" si="69"/>
        <v>42.469359802107178</v>
      </c>
      <c r="S428">
        <f t="shared" si="70"/>
        <v>589.91589999999985</v>
      </c>
    </row>
    <row r="429" spans="1:19" x14ac:dyDescent="0.3">
      <c r="A429" t="s">
        <v>13</v>
      </c>
      <c r="B429" t="s">
        <v>24</v>
      </c>
      <c r="C429" t="s">
        <v>14</v>
      </c>
      <c r="D429">
        <v>0</v>
      </c>
      <c r="E429">
        <v>14</v>
      </c>
      <c r="F429">
        <v>6</v>
      </c>
      <c r="G429">
        <v>20260318</v>
      </c>
      <c r="H429">
        <v>20260406</v>
      </c>
      <c r="I429">
        <v>4630.2965999999997</v>
      </c>
      <c r="J429">
        <f t="shared" si="61"/>
        <v>20</v>
      </c>
      <c r="K429">
        <f t="shared" si="62"/>
        <v>231.51482999999999</v>
      </c>
      <c r="L429">
        <f t="shared" si="63"/>
        <v>0</v>
      </c>
      <c r="M429">
        <f t="shared" si="64"/>
        <v>3241.2076199999997</v>
      </c>
      <c r="N429">
        <f t="shared" si="65"/>
        <v>862.09286725877314</v>
      </c>
      <c r="O429">
        <f t="shared" si="66"/>
        <v>4103.3004872587726</v>
      </c>
      <c r="P429">
        <f t="shared" si="67"/>
        <v>0</v>
      </c>
      <c r="Q429">
        <f t="shared" si="68"/>
        <v>3657.4832063556923</v>
      </c>
      <c r="R429">
        <f t="shared" si="69"/>
        <v>972.81339364430778</v>
      </c>
      <c r="S429">
        <f t="shared" si="70"/>
        <v>4630.2965999999997</v>
      </c>
    </row>
    <row r="430" spans="1:19" x14ac:dyDescent="0.3">
      <c r="A430" t="s">
        <v>13</v>
      </c>
      <c r="B430" t="s">
        <v>37</v>
      </c>
      <c r="C430" t="s">
        <v>15</v>
      </c>
      <c r="D430">
        <v>0</v>
      </c>
      <c r="E430">
        <v>9</v>
      </c>
      <c r="F430">
        <v>1</v>
      </c>
      <c r="G430">
        <v>20260323</v>
      </c>
      <c r="H430">
        <v>20260401</v>
      </c>
      <c r="I430">
        <v>638.47479999999996</v>
      </c>
      <c r="J430">
        <f t="shared" si="61"/>
        <v>10</v>
      </c>
      <c r="K430">
        <f t="shared" si="62"/>
        <v>63.847479999999997</v>
      </c>
      <c r="L430">
        <f t="shared" si="63"/>
        <v>0</v>
      </c>
      <c r="M430">
        <f t="shared" si="64"/>
        <v>574.62731999999994</v>
      </c>
      <c r="N430">
        <f t="shared" si="65"/>
        <v>39.624860533014356</v>
      </c>
      <c r="O430">
        <f t="shared" si="66"/>
        <v>614.25218053301433</v>
      </c>
      <c r="P430">
        <f t="shared" si="67"/>
        <v>0</v>
      </c>
      <c r="Q430">
        <f t="shared" si="68"/>
        <v>597.28735988071423</v>
      </c>
      <c r="R430">
        <f t="shared" si="69"/>
        <v>41.18744011928576</v>
      </c>
      <c r="S430">
        <f t="shared" si="70"/>
        <v>638.47479999999996</v>
      </c>
    </row>
    <row r="431" spans="1:19" x14ac:dyDescent="0.3">
      <c r="A431" t="s">
        <v>13</v>
      </c>
      <c r="B431" t="s">
        <v>37</v>
      </c>
      <c r="C431" t="s">
        <v>15</v>
      </c>
      <c r="D431">
        <v>0</v>
      </c>
      <c r="E431">
        <v>7</v>
      </c>
      <c r="F431">
        <v>2</v>
      </c>
      <c r="G431">
        <v>20260325</v>
      </c>
      <c r="H431">
        <v>20260402</v>
      </c>
      <c r="I431">
        <v>225.39920000000001</v>
      </c>
      <c r="J431">
        <f t="shared" si="61"/>
        <v>9</v>
      </c>
      <c r="K431">
        <f t="shared" si="62"/>
        <v>25.044355555555555</v>
      </c>
      <c r="L431">
        <f t="shared" si="63"/>
        <v>0</v>
      </c>
      <c r="M431">
        <f t="shared" si="64"/>
        <v>175.31048888888887</v>
      </c>
      <c r="N431">
        <f t="shared" si="65"/>
        <v>31.085928404006303</v>
      </c>
      <c r="O431">
        <f t="shared" si="66"/>
        <v>206.39641729289517</v>
      </c>
      <c r="P431">
        <f t="shared" si="67"/>
        <v>0</v>
      </c>
      <c r="Q431">
        <f t="shared" si="68"/>
        <v>191.45121056577889</v>
      </c>
      <c r="R431">
        <f t="shared" si="69"/>
        <v>33.947989434221121</v>
      </c>
      <c r="S431">
        <f t="shared" si="70"/>
        <v>225.39920000000001</v>
      </c>
    </row>
    <row r="432" spans="1:19" x14ac:dyDescent="0.3">
      <c r="A432" t="s">
        <v>13</v>
      </c>
      <c r="B432" t="s">
        <v>24</v>
      </c>
      <c r="C432" t="s">
        <v>15</v>
      </c>
      <c r="D432">
        <v>0</v>
      </c>
      <c r="E432">
        <v>7</v>
      </c>
      <c r="F432">
        <v>1</v>
      </c>
      <c r="G432">
        <v>20260325</v>
      </c>
      <c r="H432">
        <v>20260401</v>
      </c>
      <c r="I432">
        <v>11544.365900000001</v>
      </c>
      <c r="J432">
        <f t="shared" si="61"/>
        <v>8</v>
      </c>
      <c r="K432">
        <f t="shared" si="62"/>
        <v>1443.0457375000001</v>
      </c>
      <c r="L432">
        <f t="shared" si="63"/>
        <v>0</v>
      </c>
      <c r="M432">
        <f t="shared" si="64"/>
        <v>10101.3201625</v>
      </c>
      <c r="N432">
        <f t="shared" si="65"/>
        <v>895.57937276770133</v>
      </c>
      <c r="O432">
        <f t="shared" si="66"/>
        <v>10996.899535267701</v>
      </c>
      <c r="P432">
        <f t="shared" si="67"/>
        <v>0</v>
      </c>
      <c r="Q432">
        <f t="shared" si="68"/>
        <v>10604.201271000218</v>
      </c>
      <c r="R432">
        <f t="shared" si="69"/>
        <v>940.16462899978262</v>
      </c>
      <c r="S432">
        <f t="shared" si="70"/>
        <v>11544.365900000001</v>
      </c>
    </row>
    <row r="433" spans="1:19" x14ac:dyDescent="0.3">
      <c r="A433" t="s">
        <v>13</v>
      </c>
      <c r="B433" t="s">
        <v>24</v>
      </c>
      <c r="C433" t="s">
        <v>15</v>
      </c>
      <c r="D433">
        <v>0</v>
      </c>
      <c r="E433">
        <v>8</v>
      </c>
      <c r="F433">
        <v>17</v>
      </c>
      <c r="G433">
        <v>20260324</v>
      </c>
      <c r="H433">
        <v>20260417</v>
      </c>
      <c r="I433">
        <v>917.97299999999996</v>
      </c>
      <c r="J433">
        <f t="shared" si="61"/>
        <v>25</v>
      </c>
      <c r="K433">
        <f t="shared" si="62"/>
        <v>36.718919999999997</v>
      </c>
      <c r="L433">
        <f t="shared" si="63"/>
        <v>0</v>
      </c>
      <c r="M433">
        <f t="shared" si="64"/>
        <v>293.75135999999998</v>
      </c>
      <c r="N433">
        <f t="shared" si="65"/>
        <v>387.40284544808185</v>
      </c>
      <c r="O433">
        <f t="shared" si="66"/>
        <v>681.15420544808183</v>
      </c>
      <c r="P433">
        <f t="shared" si="67"/>
        <v>0</v>
      </c>
      <c r="Q433">
        <f t="shared" si="68"/>
        <v>395.8807198670865</v>
      </c>
      <c r="R433">
        <f t="shared" si="69"/>
        <v>522.0922801329134</v>
      </c>
      <c r="S433">
        <f t="shared" si="70"/>
        <v>917.97299999999996</v>
      </c>
    </row>
    <row r="434" spans="1:19" x14ac:dyDescent="0.3">
      <c r="A434" t="s">
        <v>13</v>
      </c>
      <c r="B434" t="s">
        <v>37</v>
      </c>
      <c r="C434" t="s">
        <v>15</v>
      </c>
      <c r="D434">
        <v>0</v>
      </c>
      <c r="E434">
        <v>14</v>
      </c>
      <c r="F434">
        <v>2</v>
      </c>
      <c r="G434">
        <v>20260318</v>
      </c>
      <c r="H434">
        <v>20260402</v>
      </c>
      <c r="I434">
        <v>168.65809999999999</v>
      </c>
      <c r="J434">
        <f t="shared" si="61"/>
        <v>16</v>
      </c>
      <c r="K434">
        <f t="shared" si="62"/>
        <v>10.541131249999999</v>
      </c>
      <c r="L434">
        <f t="shared" si="63"/>
        <v>0</v>
      </c>
      <c r="M434">
        <f t="shared" si="64"/>
        <v>147.57583749999998</v>
      </c>
      <c r="N434">
        <f t="shared" si="65"/>
        <v>13.084020094182238</v>
      </c>
      <c r="O434">
        <f t="shared" si="66"/>
        <v>160.65985759418223</v>
      </c>
      <c r="P434">
        <f t="shared" si="67"/>
        <v>0</v>
      </c>
      <c r="Q434">
        <f t="shared" si="68"/>
        <v>154.92270895402592</v>
      </c>
      <c r="R434">
        <f t="shared" si="69"/>
        <v>13.735391045974053</v>
      </c>
      <c r="S434">
        <f t="shared" si="70"/>
        <v>168.65809999999996</v>
      </c>
    </row>
    <row r="435" spans="1:19" x14ac:dyDescent="0.3">
      <c r="A435" t="s">
        <v>13</v>
      </c>
      <c r="B435" t="s">
        <v>24</v>
      </c>
      <c r="C435" t="s">
        <v>15</v>
      </c>
      <c r="D435">
        <v>0</v>
      </c>
      <c r="E435">
        <v>9</v>
      </c>
      <c r="F435">
        <v>2</v>
      </c>
      <c r="G435">
        <v>20260323</v>
      </c>
      <c r="H435">
        <v>20260402</v>
      </c>
      <c r="I435">
        <v>484.11869999999999</v>
      </c>
      <c r="J435">
        <f t="shared" si="61"/>
        <v>11</v>
      </c>
      <c r="K435">
        <f t="shared" si="62"/>
        <v>44.010790909090908</v>
      </c>
      <c r="L435">
        <f t="shared" si="63"/>
        <v>0</v>
      </c>
      <c r="M435">
        <f t="shared" si="64"/>
        <v>396.09711818181819</v>
      </c>
      <c r="N435">
        <f t="shared" si="65"/>
        <v>54.627730075498157</v>
      </c>
      <c r="O435">
        <f t="shared" si="66"/>
        <v>450.72484825731635</v>
      </c>
      <c r="P435">
        <f t="shared" si="67"/>
        <v>0</v>
      </c>
      <c r="Q435">
        <f t="shared" si="68"/>
        <v>425.44364409759493</v>
      </c>
      <c r="R435">
        <f t="shared" si="69"/>
        <v>58.675055902405049</v>
      </c>
      <c r="S435">
        <f t="shared" si="70"/>
        <v>484.11869999999999</v>
      </c>
    </row>
    <row r="436" spans="1:19" x14ac:dyDescent="0.3">
      <c r="A436" t="s">
        <v>13</v>
      </c>
      <c r="B436" t="s">
        <v>24</v>
      </c>
      <c r="C436" t="s">
        <v>15</v>
      </c>
      <c r="D436">
        <v>0</v>
      </c>
      <c r="E436">
        <v>8</v>
      </c>
      <c r="F436">
        <v>1</v>
      </c>
      <c r="G436">
        <v>20260324</v>
      </c>
      <c r="H436">
        <v>20260401</v>
      </c>
      <c r="I436">
        <v>11917.5013</v>
      </c>
      <c r="J436">
        <f t="shared" si="61"/>
        <v>9</v>
      </c>
      <c r="K436">
        <f t="shared" si="62"/>
        <v>1324.1668111111112</v>
      </c>
      <c r="L436">
        <f t="shared" si="63"/>
        <v>0</v>
      </c>
      <c r="M436">
        <f t="shared" si="64"/>
        <v>10593.33448888889</v>
      </c>
      <c r="N436">
        <f t="shared" si="65"/>
        <v>821.80103604283443</v>
      </c>
      <c r="O436">
        <f t="shared" si="66"/>
        <v>11415.135524931724</v>
      </c>
      <c r="P436">
        <f t="shared" si="67"/>
        <v>0</v>
      </c>
      <c r="Q436">
        <f t="shared" si="68"/>
        <v>11059.533832685116</v>
      </c>
      <c r="R436">
        <f t="shared" si="69"/>
        <v>857.96746731488372</v>
      </c>
      <c r="S436">
        <f t="shared" si="70"/>
        <v>11917.5013</v>
      </c>
    </row>
    <row r="437" spans="1:19" x14ac:dyDescent="0.3">
      <c r="A437" t="s">
        <v>13</v>
      </c>
      <c r="B437" t="s">
        <v>37</v>
      </c>
      <c r="C437" t="s">
        <v>15</v>
      </c>
      <c r="D437">
        <v>0</v>
      </c>
      <c r="E437">
        <v>20</v>
      </c>
      <c r="F437">
        <v>5</v>
      </c>
      <c r="G437">
        <v>20260312</v>
      </c>
      <c r="H437">
        <v>20260405</v>
      </c>
      <c r="I437">
        <v>58.944499999999998</v>
      </c>
      <c r="J437">
        <f t="shared" si="61"/>
        <v>25</v>
      </c>
      <c r="K437">
        <f t="shared" si="62"/>
        <v>2.35778</v>
      </c>
      <c r="L437">
        <f t="shared" si="63"/>
        <v>0</v>
      </c>
      <c r="M437">
        <f t="shared" si="64"/>
        <v>47.1556</v>
      </c>
      <c r="N437">
        <f t="shared" si="65"/>
        <v>7.3163971128954968</v>
      </c>
      <c r="O437">
        <f t="shared" si="66"/>
        <v>54.471997112895494</v>
      </c>
      <c r="P437">
        <f t="shared" si="67"/>
        <v>0</v>
      </c>
      <c r="Q437">
        <f t="shared" si="68"/>
        <v>51.02737941550479</v>
      </c>
      <c r="R437">
        <f t="shared" si="69"/>
        <v>7.9171205844952102</v>
      </c>
      <c r="S437">
        <f t="shared" si="70"/>
        <v>58.944499999999998</v>
      </c>
    </row>
    <row r="438" spans="1:19" x14ac:dyDescent="0.3">
      <c r="A438" t="s">
        <v>13</v>
      </c>
      <c r="B438" t="s">
        <v>37</v>
      </c>
      <c r="C438" t="s">
        <v>15</v>
      </c>
      <c r="D438">
        <v>0</v>
      </c>
      <c r="E438">
        <v>7</v>
      </c>
      <c r="F438">
        <v>7</v>
      </c>
      <c r="G438">
        <v>20260325</v>
      </c>
      <c r="H438">
        <v>20260407</v>
      </c>
      <c r="I438">
        <v>5102.6239999999998</v>
      </c>
      <c r="J438">
        <f t="shared" si="61"/>
        <v>14</v>
      </c>
      <c r="K438">
        <f t="shared" si="62"/>
        <v>364.47314285714282</v>
      </c>
      <c r="L438">
        <f t="shared" si="63"/>
        <v>0</v>
      </c>
      <c r="M438">
        <f t="shared" si="64"/>
        <v>2551.3119999999999</v>
      </c>
      <c r="N438">
        <f t="shared" si="65"/>
        <v>1583.3887598415149</v>
      </c>
      <c r="O438">
        <f t="shared" si="66"/>
        <v>4134.7007598415148</v>
      </c>
      <c r="P438">
        <f t="shared" si="67"/>
        <v>0</v>
      </c>
      <c r="Q438">
        <f t="shared" si="68"/>
        <v>3148.5678405387189</v>
      </c>
      <c r="R438">
        <f t="shared" si="69"/>
        <v>1954.0561594612807</v>
      </c>
      <c r="S438">
        <f t="shared" si="70"/>
        <v>5102.6239999999998</v>
      </c>
    </row>
    <row r="439" spans="1:19" x14ac:dyDescent="0.3">
      <c r="A439" t="s">
        <v>13</v>
      </c>
      <c r="B439" t="s">
        <v>24</v>
      </c>
      <c r="C439" t="s">
        <v>15</v>
      </c>
      <c r="D439">
        <v>0</v>
      </c>
      <c r="E439">
        <v>26</v>
      </c>
      <c r="F439">
        <v>7</v>
      </c>
      <c r="G439">
        <v>20260306</v>
      </c>
      <c r="H439">
        <v>20260407</v>
      </c>
      <c r="I439">
        <v>1165544.8306</v>
      </c>
      <c r="J439">
        <f t="shared" si="61"/>
        <v>33</v>
      </c>
      <c r="K439">
        <f t="shared" si="62"/>
        <v>35319.540321212124</v>
      </c>
      <c r="L439">
        <f t="shared" si="63"/>
        <v>0</v>
      </c>
      <c r="M439">
        <f t="shared" si="64"/>
        <v>918308.0483515152</v>
      </c>
      <c r="N439">
        <f t="shared" si="65"/>
        <v>153439.4625320757</v>
      </c>
      <c r="O439">
        <f t="shared" si="66"/>
        <v>1071747.5108835909</v>
      </c>
      <c r="P439">
        <f t="shared" si="67"/>
        <v>0</v>
      </c>
      <c r="Q439">
        <f t="shared" si="68"/>
        <v>998676.63585433643</v>
      </c>
      <c r="R439">
        <f t="shared" si="69"/>
        <v>166868.19474566355</v>
      </c>
      <c r="S439">
        <f t="shared" si="70"/>
        <v>1165544.8306</v>
      </c>
    </row>
    <row r="440" spans="1:19" x14ac:dyDescent="0.3">
      <c r="A440" t="s">
        <v>13</v>
      </c>
      <c r="B440" t="s">
        <v>24</v>
      </c>
      <c r="C440" t="s">
        <v>14</v>
      </c>
      <c r="D440">
        <v>0</v>
      </c>
      <c r="E440">
        <v>27</v>
      </c>
      <c r="F440">
        <v>3</v>
      </c>
      <c r="G440">
        <v>20260305</v>
      </c>
      <c r="H440">
        <v>20260403</v>
      </c>
      <c r="I440">
        <v>1710807.0245000001</v>
      </c>
      <c r="J440">
        <f t="shared" si="61"/>
        <v>30</v>
      </c>
      <c r="K440">
        <f t="shared" si="62"/>
        <v>57026.900816666668</v>
      </c>
      <c r="L440">
        <f t="shared" si="63"/>
        <v>0</v>
      </c>
      <c r="M440">
        <f t="shared" si="64"/>
        <v>1539726.3220500001</v>
      </c>
      <c r="N440">
        <f t="shared" si="65"/>
        <v>106175.67011996995</v>
      </c>
      <c r="O440">
        <f t="shared" si="66"/>
        <v>1645901.9921699699</v>
      </c>
      <c r="P440">
        <f t="shared" si="67"/>
        <v>0</v>
      </c>
      <c r="Q440">
        <f t="shared" si="68"/>
        <v>1600444.3886101465</v>
      </c>
      <c r="R440">
        <f t="shared" si="69"/>
        <v>110362.63588985379</v>
      </c>
      <c r="S440">
        <f t="shared" si="70"/>
        <v>1710807.0245000003</v>
      </c>
    </row>
    <row r="441" spans="1:19" x14ac:dyDescent="0.3">
      <c r="A441" t="s">
        <v>13</v>
      </c>
      <c r="B441" t="s">
        <v>24</v>
      </c>
      <c r="C441" t="s">
        <v>15</v>
      </c>
      <c r="D441">
        <v>0</v>
      </c>
      <c r="E441">
        <v>26</v>
      </c>
      <c r="F441">
        <v>3</v>
      </c>
      <c r="G441">
        <v>20260306</v>
      </c>
      <c r="H441">
        <v>20260403</v>
      </c>
      <c r="I441">
        <v>3003673.4917000001</v>
      </c>
      <c r="J441">
        <f t="shared" si="61"/>
        <v>29</v>
      </c>
      <c r="K441">
        <f t="shared" si="62"/>
        <v>103574.94798965518</v>
      </c>
      <c r="L441">
        <f t="shared" si="63"/>
        <v>0</v>
      </c>
      <c r="M441">
        <f t="shared" si="64"/>
        <v>2692948.6477310346</v>
      </c>
      <c r="N441">
        <f t="shared" si="65"/>
        <v>192841.26180724608</v>
      </c>
      <c r="O441">
        <f t="shared" si="66"/>
        <v>2885789.9095382807</v>
      </c>
      <c r="P441">
        <f t="shared" si="67"/>
        <v>0</v>
      </c>
      <c r="Q441">
        <f t="shared" si="68"/>
        <v>2802954.7268717317</v>
      </c>
      <c r="R441">
        <f t="shared" si="69"/>
        <v>200718.76482826861</v>
      </c>
      <c r="S441">
        <f t="shared" si="70"/>
        <v>3003673.4917000001</v>
      </c>
    </row>
    <row r="442" spans="1:19" x14ac:dyDescent="0.3">
      <c r="A442" t="s">
        <v>13</v>
      </c>
      <c r="B442" t="s">
        <v>37</v>
      </c>
      <c r="C442" t="s">
        <v>15</v>
      </c>
      <c r="D442">
        <v>0</v>
      </c>
      <c r="E442">
        <v>25</v>
      </c>
      <c r="F442">
        <v>3</v>
      </c>
      <c r="G442">
        <v>20260307</v>
      </c>
      <c r="H442">
        <v>20260403</v>
      </c>
      <c r="I442">
        <v>110747.9418</v>
      </c>
      <c r="J442">
        <f t="shared" si="61"/>
        <v>28</v>
      </c>
      <c r="K442">
        <f t="shared" si="62"/>
        <v>3955.2836357142855</v>
      </c>
      <c r="L442">
        <f t="shared" si="63"/>
        <v>0</v>
      </c>
      <c r="M442">
        <f t="shared" si="64"/>
        <v>98882.090892857144</v>
      </c>
      <c r="N442">
        <f t="shared" si="65"/>
        <v>7364.1541890310718</v>
      </c>
      <c r="O442">
        <f t="shared" si="66"/>
        <v>106246.24508188822</v>
      </c>
      <c r="P442">
        <f t="shared" si="67"/>
        <v>0</v>
      </c>
      <c r="Q442">
        <f t="shared" si="68"/>
        <v>103071.76539579437</v>
      </c>
      <c r="R442">
        <f t="shared" si="69"/>
        <v>7676.1764042056348</v>
      </c>
      <c r="S442">
        <f t="shared" si="70"/>
        <v>110747.9418</v>
      </c>
    </row>
    <row r="443" spans="1:19" x14ac:dyDescent="0.3">
      <c r="A443" t="s">
        <v>13</v>
      </c>
      <c r="B443" t="s">
        <v>24</v>
      </c>
      <c r="C443" t="s">
        <v>15</v>
      </c>
      <c r="D443">
        <v>0</v>
      </c>
      <c r="E443">
        <v>30</v>
      </c>
      <c r="F443">
        <v>2</v>
      </c>
      <c r="G443">
        <v>20260302</v>
      </c>
      <c r="H443">
        <v>20260402</v>
      </c>
      <c r="I443">
        <v>5576623.3415999999</v>
      </c>
      <c r="J443">
        <f t="shared" si="61"/>
        <v>32</v>
      </c>
      <c r="K443">
        <f t="shared" si="62"/>
        <v>174269.479425</v>
      </c>
      <c r="L443">
        <f t="shared" si="63"/>
        <v>0</v>
      </c>
      <c r="M443">
        <f t="shared" si="64"/>
        <v>5228084.3827499999</v>
      </c>
      <c r="N443">
        <f t="shared" si="65"/>
        <v>216309.36154024058</v>
      </c>
      <c r="O443">
        <f t="shared" si="66"/>
        <v>5444393.7442902401</v>
      </c>
      <c r="P443">
        <f t="shared" si="67"/>
        <v>0</v>
      </c>
      <c r="Q443">
        <f t="shared" si="68"/>
        <v>5355060.4107710226</v>
      </c>
      <c r="R443">
        <f t="shared" si="69"/>
        <v>221562.93082897799</v>
      </c>
      <c r="S443">
        <f t="shared" si="70"/>
        <v>5576623.3416000009</v>
      </c>
    </row>
    <row r="444" spans="1:19" x14ac:dyDescent="0.3">
      <c r="A444" t="s">
        <v>13</v>
      </c>
      <c r="B444" t="s">
        <v>37</v>
      </c>
      <c r="C444" t="s">
        <v>14</v>
      </c>
      <c r="D444">
        <v>0</v>
      </c>
      <c r="E444">
        <v>28</v>
      </c>
      <c r="F444">
        <v>2</v>
      </c>
      <c r="G444">
        <v>20260304</v>
      </c>
      <c r="H444">
        <v>20260402</v>
      </c>
      <c r="I444">
        <v>198314.42379999999</v>
      </c>
      <c r="J444">
        <f t="shared" si="61"/>
        <v>30</v>
      </c>
      <c r="K444">
        <f t="shared" si="62"/>
        <v>6610.4807933333332</v>
      </c>
      <c r="L444">
        <f t="shared" si="63"/>
        <v>0</v>
      </c>
      <c r="M444">
        <f t="shared" si="64"/>
        <v>185093.46221333332</v>
      </c>
      <c r="N444">
        <f t="shared" si="65"/>
        <v>8205.1595299298715</v>
      </c>
      <c r="O444">
        <f t="shared" si="66"/>
        <v>193298.62174326318</v>
      </c>
      <c r="P444">
        <f t="shared" si="67"/>
        <v>0</v>
      </c>
      <c r="Q444">
        <f t="shared" si="68"/>
        <v>189896.3529948892</v>
      </c>
      <c r="R444">
        <f t="shared" si="69"/>
        <v>8418.0708051108086</v>
      </c>
      <c r="S444">
        <f t="shared" si="70"/>
        <v>198314.42379999999</v>
      </c>
    </row>
    <row r="445" spans="1:19" x14ac:dyDescent="0.3">
      <c r="A445" t="s">
        <v>13</v>
      </c>
      <c r="B445" t="s">
        <v>24</v>
      </c>
      <c r="C445" t="s">
        <v>15</v>
      </c>
      <c r="D445">
        <v>0</v>
      </c>
      <c r="E445">
        <v>16</v>
      </c>
      <c r="F445">
        <v>0</v>
      </c>
      <c r="G445">
        <v>20260301</v>
      </c>
      <c r="H445">
        <v>20260316</v>
      </c>
      <c r="I445">
        <v>13355.8392</v>
      </c>
      <c r="J445">
        <f t="shared" si="61"/>
        <v>16</v>
      </c>
      <c r="K445">
        <f t="shared" si="62"/>
        <v>834.73995000000002</v>
      </c>
      <c r="L445">
        <f t="shared" si="63"/>
        <v>0</v>
      </c>
      <c r="M445">
        <f t="shared" si="64"/>
        <v>13355.8392</v>
      </c>
      <c r="N445">
        <f t="shared" si="65"/>
        <v>0</v>
      </c>
      <c r="O445">
        <f t="shared" si="66"/>
        <v>13355.8392</v>
      </c>
      <c r="P445">
        <f t="shared" si="67"/>
        <v>0</v>
      </c>
      <c r="Q445">
        <f t="shared" si="68"/>
        <v>13355.8392</v>
      </c>
      <c r="R445">
        <f t="shared" si="69"/>
        <v>0</v>
      </c>
      <c r="S445">
        <f t="shared" si="70"/>
        <v>13355.8392</v>
      </c>
    </row>
    <row r="446" spans="1:19" x14ac:dyDescent="0.3">
      <c r="A446" t="s">
        <v>13</v>
      </c>
      <c r="B446" t="s">
        <v>24</v>
      </c>
      <c r="C446" t="s">
        <v>14</v>
      </c>
      <c r="D446">
        <v>0</v>
      </c>
      <c r="E446">
        <v>27</v>
      </c>
      <c r="F446">
        <v>2</v>
      </c>
      <c r="G446">
        <v>20260305</v>
      </c>
      <c r="H446">
        <v>20260402</v>
      </c>
      <c r="I446">
        <v>2103328.7223999999</v>
      </c>
      <c r="J446">
        <f t="shared" si="61"/>
        <v>29</v>
      </c>
      <c r="K446">
        <f t="shared" si="62"/>
        <v>72528.576634482757</v>
      </c>
      <c r="L446">
        <f t="shared" si="63"/>
        <v>0</v>
      </c>
      <c r="M446">
        <f t="shared" si="64"/>
        <v>1958271.5691310344</v>
      </c>
      <c r="N446">
        <f t="shared" si="65"/>
        <v>90025.001262365346</v>
      </c>
      <c r="O446">
        <f t="shared" si="66"/>
        <v>2048296.5703933998</v>
      </c>
      <c r="P446">
        <f t="shared" si="67"/>
        <v>0</v>
      </c>
      <c r="Q446">
        <f t="shared" si="68"/>
        <v>2010884.9944622717</v>
      </c>
      <c r="R446">
        <f t="shared" si="69"/>
        <v>92443.727937728254</v>
      </c>
      <c r="S446">
        <f t="shared" si="70"/>
        <v>2103328.7223999999</v>
      </c>
    </row>
    <row r="447" spans="1:19" x14ac:dyDescent="0.3">
      <c r="A447" t="s">
        <v>13</v>
      </c>
      <c r="B447" t="s">
        <v>24</v>
      </c>
      <c r="C447" t="s">
        <v>14</v>
      </c>
      <c r="D447">
        <v>25</v>
      </c>
      <c r="E447">
        <v>4</v>
      </c>
      <c r="F447">
        <v>0</v>
      </c>
      <c r="G447">
        <v>20260204</v>
      </c>
      <c r="H447">
        <v>20260304</v>
      </c>
      <c r="I447">
        <v>1463669.1706000001</v>
      </c>
      <c r="J447">
        <f t="shared" si="61"/>
        <v>29</v>
      </c>
      <c r="K447">
        <f t="shared" si="62"/>
        <v>50471.350710344828</v>
      </c>
      <c r="L447">
        <f t="shared" si="63"/>
        <v>1711431.5107044147</v>
      </c>
      <c r="M447">
        <f t="shared" si="64"/>
        <v>201885.40284137931</v>
      </c>
      <c r="N447">
        <f t="shared" si="65"/>
        <v>0</v>
      </c>
      <c r="O447">
        <f t="shared" si="66"/>
        <v>1913316.9135457941</v>
      </c>
      <c r="P447">
        <f t="shared" si="67"/>
        <v>1309228.7650189535</v>
      </c>
      <c r="Q447">
        <f t="shared" si="68"/>
        <v>154440.40558104654</v>
      </c>
      <c r="R447">
        <f t="shared" si="69"/>
        <v>0</v>
      </c>
      <c r="S447">
        <f t="shared" si="70"/>
        <v>1463669.1706000001</v>
      </c>
    </row>
    <row r="448" spans="1:19" x14ac:dyDescent="0.3">
      <c r="A448" t="s">
        <v>13</v>
      </c>
      <c r="B448" t="s">
        <v>24</v>
      </c>
      <c r="C448" t="s">
        <v>15</v>
      </c>
      <c r="D448">
        <v>27</v>
      </c>
      <c r="E448">
        <v>4</v>
      </c>
      <c r="F448">
        <v>0</v>
      </c>
      <c r="G448">
        <v>20260202</v>
      </c>
      <c r="H448">
        <v>20260304</v>
      </c>
      <c r="I448">
        <v>2942220.8095</v>
      </c>
      <c r="J448">
        <f t="shared" si="61"/>
        <v>31</v>
      </c>
      <c r="K448">
        <f t="shared" si="62"/>
        <v>94910.348693548382</v>
      </c>
      <c r="L448">
        <f t="shared" si="63"/>
        <v>3475777.1268802704</v>
      </c>
      <c r="M448">
        <f t="shared" si="64"/>
        <v>379641.39477419353</v>
      </c>
      <c r="N448">
        <f t="shared" si="65"/>
        <v>0</v>
      </c>
      <c r="O448">
        <f t="shared" si="66"/>
        <v>3855418.5216544638</v>
      </c>
      <c r="P448">
        <f t="shared" si="67"/>
        <v>2652501.5985820354</v>
      </c>
      <c r="Q448">
        <f t="shared" si="68"/>
        <v>289719.21091796458</v>
      </c>
      <c r="R448">
        <f t="shared" si="69"/>
        <v>0</v>
      </c>
      <c r="S448">
        <f t="shared" si="70"/>
        <v>2942220.8095</v>
      </c>
    </row>
    <row r="449" spans="1:19" x14ac:dyDescent="0.3">
      <c r="A449" t="s">
        <v>13</v>
      </c>
      <c r="B449" t="s">
        <v>24</v>
      </c>
      <c r="C449" t="s">
        <v>14</v>
      </c>
      <c r="D449">
        <v>0</v>
      </c>
      <c r="E449">
        <v>29</v>
      </c>
      <c r="F449">
        <v>6</v>
      </c>
      <c r="G449">
        <v>20260303</v>
      </c>
      <c r="H449">
        <v>20260406</v>
      </c>
      <c r="I449">
        <v>64370.790099999998</v>
      </c>
      <c r="J449">
        <f t="shared" si="61"/>
        <v>35</v>
      </c>
      <c r="K449">
        <f t="shared" si="62"/>
        <v>1839.1654314285713</v>
      </c>
      <c r="L449">
        <f t="shared" si="63"/>
        <v>0</v>
      </c>
      <c r="M449">
        <f t="shared" si="64"/>
        <v>53335.797511428565</v>
      </c>
      <c r="N449">
        <f t="shared" si="65"/>
        <v>6848.5090140595985</v>
      </c>
      <c r="O449">
        <f t="shared" si="66"/>
        <v>60184.306525488166</v>
      </c>
      <c r="P449">
        <f t="shared" si="67"/>
        <v>0</v>
      </c>
      <c r="Q449">
        <f t="shared" si="68"/>
        <v>57045.891605817131</v>
      </c>
      <c r="R449">
        <f t="shared" si="69"/>
        <v>7324.8984941828676</v>
      </c>
      <c r="S449">
        <f t="shared" si="70"/>
        <v>64370.790099999998</v>
      </c>
    </row>
    <row r="450" spans="1:19" x14ac:dyDescent="0.3">
      <c r="A450" t="s">
        <v>13</v>
      </c>
      <c r="B450" t="s">
        <v>24</v>
      </c>
      <c r="C450" t="s">
        <v>14</v>
      </c>
      <c r="D450">
        <v>27</v>
      </c>
      <c r="E450">
        <v>2</v>
      </c>
      <c r="F450">
        <v>0</v>
      </c>
      <c r="G450">
        <v>20260202</v>
      </c>
      <c r="H450">
        <v>20260302</v>
      </c>
      <c r="I450">
        <v>633132.53630000004</v>
      </c>
      <c r="J450">
        <f t="shared" si="61"/>
        <v>29</v>
      </c>
      <c r="K450">
        <f t="shared" si="62"/>
        <v>21832.156424137931</v>
      </c>
      <c r="L450">
        <f t="shared" si="63"/>
        <v>799530.40921288962</v>
      </c>
      <c r="M450">
        <f t="shared" si="64"/>
        <v>43664.312848275862</v>
      </c>
      <c r="N450">
        <f t="shared" si="65"/>
        <v>0</v>
      </c>
      <c r="O450">
        <f t="shared" si="66"/>
        <v>843194.72206116549</v>
      </c>
      <c r="P450">
        <f t="shared" si="67"/>
        <v>600346.16274224408</v>
      </c>
      <c r="Q450">
        <f t="shared" si="68"/>
        <v>32786.373557755949</v>
      </c>
      <c r="R450">
        <f t="shared" si="69"/>
        <v>0</v>
      </c>
      <c r="S450">
        <f t="shared" si="70"/>
        <v>633132.53630000004</v>
      </c>
    </row>
    <row r="451" spans="1:19" x14ac:dyDescent="0.3">
      <c r="A451" t="s">
        <v>13</v>
      </c>
      <c r="B451" t="s">
        <v>24</v>
      </c>
      <c r="C451" t="s">
        <v>14</v>
      </c>
      <c r="D451">
        <v>25</v>
      </c>
      <c r="E451">
        <v>6</v>
      </c>
      <c r="F451">
        <v>0</v>
      </c>
      <c r="G451">
        <v>20260204</v>
      </c>
      <c r="H451">
        <v>20260306</v>
      </c>
      <c r="I451">
        <v>550249.89260000002</v>
      </c>
      <c r="J451">
        <f t="shared" si="61"/>
        <v>31</v>
      </c>
      <c r="K451">
        <f t="shared" si="62"/>
        <v>17749.996535483871</v>
      </c>
      <c r="L451">
        <f t="shared" si="63"/>
        <v>601884.09777380701</v>
      </c>
      <c r="M451">
        <f t="shared" si="64"/>
        <v>106499.97921290323</v>
      </c>
      <c r="N451">
        <f t="shared" si="65"/>
        <v>0</v>
      </c>
      <c r="O451">
        <f t="shared" si="66"/>
        <v>708384.07698671019</v>
      </c>
      <c r="P451">
        <f t="shared" si="67"/>
        <v>467524.14532871905</v>
      </c>
      <c r="Q451">
        <f t="shared" si="68"/>
        <v>82725.747271280983</v>
      </c>
      <c r="R451">
        <f t="shared" si="69"/>
        <v>0</v>
      </c>
      <c r="S451">
        <f t="shared" si="70"/>
        <v>550249.89260000002</v>
      </c>
    </row>
    <row r="452" spans="1:19" x14ac:dyDescent="0.3">
      <c r="A452" t="s">
        <v>13</v>
      </c>
      <c r="B452" t="s">
        <v>37</v>
      </c>
      <c r="C452" t="s">
        <v>15</v>
      </c>
      <c r="D452">
        <v>0</v>
      </c>
      <c r="E452">
        <v>28</v>
      </c>
      <c r="F452">
        <v>4</v>
      </c>
      <c r="G452">
        <v>20260304</v>
      </c>
      <c r="H452">
        <v>20260404</v>
      </c>
      <c r="I452">
        <v>68846.0484</v>
      </c>
      <c r="J452">
        <f t="shared" si="61"/>
        <v>32</v>
      </c>
      <c r="K452">
        <f t="shared" si="62"/>
        <v>2151.4390125</v>
      </c>
      <c r="L452">
        <f t="shared" si="63"/>
        <v>0</v>
      </c>
      <c r="M452">
        <f t="shared" si="64"/>
        <v>60240.292350000003</v>
      </c>
      <c r="N452">
        <f t="shared" si="65"/>
        <v>5340.8824163834588</v>
      </c>
      <c r="O452">
        <f t="shared" si="66"/>
        <v>65581.174766383469</v>
      </c>
      <c r="P452">
        <f t="shared" si="67"/>
        <v>0</v>
      </c>
      <c r="Q452">
        <f t="shared" si="68"/>
        <v>63239.277087243259</v>
      </c>
      <c r="R452">
        <f t="shared" si="69"/>
        <v>5606.7713127567331</v>
      </c>
      <c r="S452">
        <f t="shared" si="70"/>
        <v>68846.0484</v>
      </c>
    </row>
    <row r="453" spans="1:19" x14ac:dyDescent="0.3">
      <c r="A453" t="s">
        <v>13</v>
      </c>
      <c r="B453" t="s">
        <v>37</v>
      </c>
      <c r="C453" t="s">
        <v>15</v>
      </c>
      <c r="D453">
        <v>0</v>
      </c>
      <c r="E453">
        <v>28</v>
      </c>
      <c r="F453">
        <v>6</v>
      </c>
      <c r="G453">
        <v>20260304</v>
      </c>
      <c r="H453">
        <v>20260406</v>
      </c>
      <c r="I453">
        <v>300040.766</v>
      </c>
      <c r="J453">
        <f t="shared" si="61"/>
        <v>34</v>
      </c>
      <c r="K453">
        <f t="shared" si="62"/>
        <v>8824.7284117647068</v>
      </c>
      <c r="L453">
        <f t="shared" si="63"/>
        <v>0</v>
      </c>
      <c r="M453">
        <f t="shared" si="64"/>
        <v>247092.39552941179</v>
      </c>
      <c r="N453">
        <f t="shared" si="65"/>
        <v>32860.682917280916</v>
      </c>
      <c r="O453">
        <f t="shared" si="66"/>
        <v>279953.07844669273</v>
      </c>
      <c r="P453">
        <f t="shared" si="67"/>
        <v>0</v>
      </c>
      <c r="Q453">
        <f t="shared" si="68"/>
        <v>264822.2053451598</v>
      </c>
      <c r="R453">
        <f t="shared" si="69"/>
        <v>35218.560654840185</v>
      </c>
      <c r="S453">
        <f t="shared" si="70"/>
        <v>300040.766</v>
      </c>
    </row>
    <row r="454" spans="1:19" x14ac:dyDescent="0.3">
      <c r="A454" t="s">
        <v>13</v>
      </c>
      <c r="B454" t="s">
        <v>37</v>
      </c>
      <c r="C454" t="s">
        <v>14</v>
      </c>
      <c r="D454">
        <v>0</v>
      </c>
      <c r="E454">
        <v>25</v>
      </c>
      <c r="F454">
        <v>1</v>
      </c>
      <c r="G454">
        <v>20260307</v>
      </c>
      <c r="H454">
        <v>20260401</v>
      </c>
      <c r="I454">
        <v>9612.7756000000008</v>
      </c>
      <c r="J454">
        <f t="shared" si="61"/>
        <v>26</v>
      </c>
      <c r="K454">
        <f t="shared" si="62"/>
        <v>369.72213846153852</v>
      </c>
      <c r="L454">
        <f t="shared" si="63"/>
        <v>0</v>
      </c>
      <c r="M454">
        <f t="shared" si="64"/>
        <v>9243.0534615384622</v>
      </c>
      <c r="N454">
        <f t="shared" si="65"/>
        <v>229.45601255533168</v>
      </c>
      <c r="O454">
        <f t="shared" si="66"/>
        <v>9472.5094740937948</v>
      </c>
      <c r="P454">
        <f t="shared" si="67"/>
        <v>0</v>
      </c>
      <c r="Q454">
        <f t="shared" si="68"/>
        <v>9379.9218705001731</v>
      </c>
      <c r="R454">
        <f t="shared" si="69"/>
        <v>232.85372949982715</v>
      </c>
      <c r="S454">
        <f t="shared" si="70"/>
        <v>9612.7756000000008</v>
      </c>
    </row>
    <row r="455" spans="1:19" x14ac:dyDescent="0.3">
      <c r="A455" t="s">
        <v>13</v>
      </c>
      <c r="B455" t="s">
        <v>24</v>
      </c>
      <c r="C455" t="s">
        <v>14</v>
      </c>
      <c r="D455">
        <v>0</v>
      </c>
      <c r="E455">
        <v>14</v>
      </c>
      <c r="F455">
        <v>16</v>
      </c>
      <c r="G455">
        <v>20260318</v>
      </c>
      <c r="H455">
        <v>20260416</v>
      </c>
      <c r="I455">
        <v>1859514.3728</v>
      </c>
      <c r="J455">
        <f t="shared" si="61"/>
        <v>30</v>
      </c>
      <c r="K455">
        <f t="shared" si="62"/>
        <v>61983.812426666664</v>
      </c>
      <c r="L455">
        <f t="shared" si="63"/>
        <v>0</v>
      </c>
      <c r="M455">
        <f t="shared" si="64"/>
        <v>867773.37397333328</v>
      </c>
      <c r="N455">
        <f t="shared" si="65"/>
        <v>615491.77451293333</v>
      </c>
      <c r="O455">
        <f t="shared" si="66"/>
        <v>1483265.1484862666</v>
      </c>
      <c r="P455">
        <f t="shared" si="67"/>
        <v>0</v>
      </c>
      <c r="Q455">
        <f t="shared" si="68"/>
        <v>1087895.2174419698</v>
      </c>
      <c r="R455">
        <f t="shared" si="69"/>
        <v>771619.15535803011</v>
      </c>
      <c r="S455">
        <f t="shared" si="70"/>
        <v>1859514.3728</v>
      </c>
    </row>
    <row r="456" spans="1:19" x14ac:dyDescent="0.3">
      <c r="A456" t="s">
        <v>13</v>
      </c>
      <c r="B456" t="s">
        <v>24</v>
      </c>
      <c r="C456" t="s">
        <v>14</v>
      </c>
      <c r="D456">
        <v>0</v>
      </c>
      <c r="E456">
        <v>28</v>
      </c>
      <c r="F456">
        <v>6</v>
      </c>
      <c r="G456">
        <v>20260304</v>
      </c>
      <c r="H456">
        <v>20260406</v>
      </c>
      <c r="I456">
        <v>317570.77840000001</v>
      </c>
      <c r="J456">
        <f t="shared" si="61"/>
        <v>34</v>
      </c>
      <c r="K456">
        <f t="shared" si="62"/>
        <v>9340.317011764706</v>
      </c>
      <c r="L456">
        <f t="shared" si="63"/>
        <v>0</v>
      </c>
      <c r="M456">
        <f t="shared" si="64"/>
        <v>261528.87632941175</v>
      </c>
      <c r="N456">
        <f t="shared" si="65"/>
        <v>34780.582625217277</v>
      </c>
      <c r="O456">
        <f t="shared" si="66"/>
        <v>296309.45895462902</v>
      </c>
      <c r="P456">
        <f t="shared" si="67"/>
        <v>0</v>
      </c>
      <c r="Q456">
        <f t="shared" si="68"/>
        <v>280294.55800371821</v>
      </c>
      <c r="R456">
        <f t="shared" si="69"/>
        <v>37276.220396281795</v>
      </c>
      <c r="S456">
        <f t="shared" si="70"/>
        <v>317570.77840000001</v>
      </c>
    </row>
    <row r="457" spans="1:19" x14ac:dyDescent="0.3">
      <c r="A457" t="s">
        <v>13</v>
      </c>
      <c r="B457" t="s">
        <v>24</v>
      </c>
      <c r="C457" t="s">
        <v>14</v>
      </c>
      <c r="D457">
        <v>11</v>
      </c>
      <c r="E457">
        <v>16</v>
      </c>
      <c r="F457">
        <v>0</v>
      </c>
      <c r="G457">
        <v>20260218</v>
      </c>
      <c r="H457">
        <v>20260316</v>
      </c>
      <c r="I457">
        <v>339261.88400000002</v>
      </c>
      <c r="J457">
        <f t="shared" si="61"/>
        <v>27</v>
      </c>
      <c r="K457">
        <f t="shared" si="62"/>
        <v>12565.254962962963</v>
      </c>
      <c r="L457">
        <f t="shared" si="63"/>
        <v>187472.93487563741</v>
      </c>
      <c r="M457">
        <f t="shared" si="64"/>
        <v>201044.07940740741</v>
      </c>
      <c r="N457">
        <f t="shared" si="65"/>
        <v>0</v>
      </c>
      <c r="O457">
        <f t="shared" si="66"/>
        <v>388517.01428304485</v>
      </c>
      <c r="P457">
        <f t="shared" si="67"/>
        <v>163705.62612885216</v>
      </c>
      <c r="Q457">
        <f t="shared" si="68"/>
        <v>175556.25787114783</v>
      </c>
      <c r="R457">
        <f t="shared" si="69"/>
        <v>0</v>
      </c>
      <c r="S457">
        <f t="shared" si="70"/>
        <v>339261.88399999996</v>
      </c>
    </row>
    <row r="458" spans="1:19" x14ac:dyDescent="0.3">
      <c r="A458" t="s">
        <v>13</v>
      </c>
      <c r="B458" t="s">
        <v>24</v>
      </c>
      <c r="C458" t="s">
        <v>14</v>
      </c>
      <c r="D458">
        <v>26</v>
      </c>
      <c r="E458">
        <v>4</v>
      </c>
      <c r="F458">
        <v>0</v>
      </c>
      <c r="G458">
        <v>20260203</v>
      </c>
      <c r="H458">
        <v>20260304</v>
      </c>
      <c r="I458">
        <v>713443.67339999997</v>
      </c>
      <c r="J458">
        <f t="shared" si="61"/>
        <v>30</v>
      </c>
      <c r="K458">
        <f t="shared" si="62"/>
        <v>23781.45578</v>
      </c>
      <c r="L458">
        <f t="shared" si="63"/>
        <v>838660.85429198667</v>
      </c>
      <c r="M458">
        <f t="shared" si="64"/>
        <v>95125.823120000001</v>
      </c>
      <c r="N458">
        <f t="shared" si="65"/>
        <v>0</v>
      </c>
      <c r="O458">
        <f t="shared" si="66"/>
        <v>933786.67741198663</v>
      </c>
      <c r="P458">
        <f t="shared" si="67"/>
        <v>640764.42199964123</v>
      </c>
      <c r="Q458">
        <f t="shared" si="68"/>
        <v>72679.251400358728</v>
      </c>
      <c r="R458">
        <f t="shared" si="69"/>
        <v>0</v>
      </c>
      <c r="S458">
        <f t="shared" si="70"/>
        <v>713443.67339999997</v>
      </c>
    </row>
    <row r="459" spans="1:19" x14ac:dyDescent="0.3">
      <c r="A459" t="s">
        <v>13</v>
      </c>
      <c r="B459" t="s">
        <v>24</v>
      </c>
      <c r="C459" t="s">
        <v>15</v>
      </c>
      <c r="D459">
        <v>23</v>
      </c>
      <c r="E459">
        <v>3</v>
      </c>
      <c r="F459">
        <v>0</v>
      </c>
      <c r="G459">
        <v>20260206</v>
      </c>
      <c r="H459">
        <v>20260303</v>
      </c>
      <c r="I459">
        <v>1965399.8348000001</v>
      </c>
      <c r="J459">
        <f t="shared" ref="J459:J522" si="71">IF(D459&lt;0,0,D459)+E459+F459</f>
        <v>26</v>
      </c>
      <c r="K459">
        <f t="shared" ref="K459:K522" si="72">I459/J459</f>
        <v>75592.301338461548</v>
      </c>
      <c r="L459">
        <f t="shared" ref="L459:L522" si="73">IF(D459&lt;0,0,D459)*$K459*$B$6</f>
        <v>2358196.503243709</v>
      </c>
      <c r="M459">
        <f t="shared" ref="M459:M522" si="74">IF(E459&lt;0,0,E459)*$K459*$C$6</f>
        <v>226776.90401538464</v>
      </c>
      <c r="N459">
        <f t="shared" ref="N459:N522" si="75">IF(F459&lt;0,0,F459)*$K459*$D$6</f>
        <v>0</v>
      </c>
      <c r="O459">
        <f t="shared" ref="O459:O522" si="76">L459+M459+N459</f>
        <v>2584973.4072590936</v>
      </c>
      <c r="P459">
        <f t="shared" ref="P459:P522" si="77">L459/$O459*$I459</f>
        <v>1792977.4460680068</v>
      </c>
      <c r="Q459">
        <f t="shared" ref="Q459:Q522" si="78">M459/$O459*$I459</f>
        <v>172422.38873199321</v>
      </c>
      <c r="R459">
        <f t="shared" ref="R459:R522" si="79">N459/$O459*$I459</f>
        <v>0</v>
      </c>
      <c r="S459">
        <f t="shared" ref="S459:S522" si="80">P459+Q459+R459</f>
        <v>1965399.8348000001</v>
      </c>
    </row>
    <row r="460" spans="1:19" x14ac:dyDescent="0.3">
      <c r="A460" t="s">
        <v>13</v>
      </c>
      <c r="B460" t="s">
        <v>37</v>
      </c>
      <c r="C460" t="s">
        <v>14</v>
      </c>
      <c r="D460">
        <v>0</v>
      </c>
      <c r="E460">
        <v>27</v>
      </c>
      <c r="F460">
        <v>4</v>
      </c>
      <c r="G460">
        <v>20260305</v>
      </c>
      <c r="H460">
        <v>20260404</v>
      </c>
      <c r="I460">
        <v>67209.095499999996</v>
      </c>
      <c r="J460">
        <f t="shared" si="71"/>
        <v>31</v>
      </c>
      <c r="K460">
        <f t="shared" si="72"/>
        <v>2168.0353387096775</v>
      </c>
      <c r="L460">
        <f t="shared" si="73"/>
        <v>0</v>
      </c>
      <c r="M460">
        <f t="shared" si="74"/>
        <v>58536.954145161289</v>
      </c>
      <c r="N460">
        <f t="shared" si="75"/>
        <v>5382.0822953086026</v>
      </c>
      <c r="O460">
        <f t="shared" si="76"/>
        <v>63919.036440469892</v>
      </c>
      <c r="P460">
        <f t="shared" si="77"/>
        <v>0</v>
      </c>
      <c r="Q460">
        <f t="shared" si="78"/>
        <v>61549.985114142684</v>
      </c>
      <c r="R460">
        <f t="shared" si="79"/>
        <v>5659.1103858573106</v>
      </c>
      <c r="S460">
        <f t="shared" si="80"/>
        <v>67209.095499999996</v>
      </c>
    </row>
    <row r="461" spans="1:19" x14ac:dyDescent="0.3">
      <c r="A461" t="s">
        <v>13</v>
      </c>
      <c r="B461" t="s">
        <v>24</v>
      </c>
      <c r="C461" t="s">
        <v>14</v>
      </c>
      <c r="D461">
        <v>22</v>
      </c>
      <c r="E461">
        <v>3</v>
      </c>
      <c r="F461">
        <v>0</v>
      </c>
      <c r="G461">
        <v>20260207</v>
      </c>
      <c r="H461">
        <v>20260303</v>
      </c>
      <c r="I461">
        <v>90310.191500000001</v>
      </c>
      <c r="J461">
        <f t="shared" si="71"/>
        <v>25</v>
      </c>
      <c r="K461">
        <f t="shared" si="72"/>
        <v>3612.4076599999999</v>
      </c>
      <c r="L461">
        <f t="shared" si="73"/>
        <v>107793.85981161805</v>
      </c>
      <c r="M461">
        <f t="shared" si="74"/>
        <v>10837.222979999999</v>
      </c>
      <c r="N461">
        <f t="shared" si="75"/>
        <v>0</v>
      </c>
      <c r="O461">
        <f t="shared" si="76"/>
        <v>118631.08279161804</v>
      </c>
      <c r="P461">
        <f t="shared" si="77"/>
        <v>82060.14724835004</v>
      </c>
      <c r="Q461">
        <f t="shared" si="78"/>
        <v>8250.0442516499734</v>
      </c>
      <c r="R461">
        <f t="shared" si="79"/>
        <v>0</v>
      </c>
      <c r="S461">
        <f t="shared" si="80"/>
        <v>90310.191500000015</v>
      </c>
    </row>
    <row r="462" spans="1:19" x14ac:dyDescent="0.3">
      <c r="A462" t="s">
        <v>13</v>
      </c>
      <c r="B462" t="s">
        <v>24</v>
      </c>
      <c r="C462" t="s">
        <v>14</v>
      </c>
      <c r="D462">
        <v>27</v>
      </c>
      <c r="E462">
        <v>5</v>
      </c>
      <c r="F462">
        <v>0</v>
      </c>
      <c r="G462">
        <v>20260202</v>
      </c>
      <c r="H462">
        <v>20260305</v>
      </c>
      <c r="I462">
        <v>67612.448199999999</v>
      </c>
      <c r="J462">
        <f t="shared" si="71"/>
        <v>32</v>
      </c>
      <c r="K462">
        <f t="shared" si="72"/>
        <v>2112.88900625</v>
      </c>
      <c r="L462">
        <f t="shared" si="73"/>
        <v>77377.56083135902</v>
      </c>
      <c r="M462">
        <f t="shared" si="74"/>
        <v>10564.445031249999</v>
      </c>
      <c r="N462">
        <f t="shared" si="75"/>
        <v>0</v>
      </c>
      <c r="O462">
        <f t="shared" si="76"/>
        <v>87942.005862609018</v>
      </c>
      <c r="P462">
        <f t="shared" si="77"/>
        <v>59490.186427246445</v>
      </c>
      <c r="Q462">
        <f t="shared" si="78"/>
        <v>8122.2617727535517</v>
      </c>
      <c r="R462">
        <f t="shared" si="79"/>
        <v>0</v>
      </c>
      <c r="S462">
        <f t="shared" si="80"/>
        <v>67612.448199999999</v>
      </c>
    </row>
    <row r="463" spans="1:19" x14ac:dyDescent="0.3">
      <c r="A463" t="s">
        <v>13</v>
      </c>
      <c r="B463" t="s">
        <v>24</v>
      </c>
      <c r="C463" t="s">
        <v>15</v>
      </c>
      <c r="D463">
        <v>0</v>
      </c>
      <c r="E463">
        <v>25</v>
      </c>
      <c r="F463">
        <v>1</v>
      </c>
      <c r="G463">
        <v>20260307</v>
      </c>
      <c r="H463">
        <v>20260401</v>
      </c>
      <c r="I463">
        <v>563834.0906</v>
      </c>
      <c r="J463">
        <f t="shared" si="71"/>
        <v>26</v>
      </c>
      <c r="K463">
        <f t="shared" si="72"/>
        <v>21685.926561538461</v>
      </c>
      <c r="L463">
        <f t="shared" si="73"/>
        <v>0</v>
      </c>
      <c r="M463">
        <f t="shared" si="74"/>
        <v>542148.16403846152</v>
      </c>
      <c r="N463">
        <f t="shared" si="75"/>
        <v>13458.664547608663</v>
      </c>
      <c r="O463">
        <f t="shared" si="76"/>
        <v>555606.82858607022</v>
      </c>
      <c r="P463">
        <f t="shared" si="77"/>
        <v>0</v>
      </c>
      <c r="Q463">
        <f t="shared" si="78"/>
        <v>550176.13411807048</v>
      </c>
      <c r="R463">
        <f t="shared" si="79"/>
        <v>13657.956481929465</v>
      </c>
      <c r="S463">
        <f t="shared" si="80"/>
        <v>563834.0906</v>
      </c>
    </row>
    <row r="464" spans="1:19" x14ac:dyDescent="0.3">
      <c r="A464" t="s">
        <v>13</v>
      </c>
      <c r="B464" t="s">
        <v>24</v>
      </c>
      <c r="C464" t="s">
        <v>15</v>
      </c>
      <c r="D464">
        <v>27</v>
      </c>
      <c r="E464">
        <v>6</v>
      </c>
      <c r="F464">
        <v>0</v>
      </c>
      <c r="G464">
        <v>20260202</v>
      </c>
      <c r="H464">
        <v>20260306</v>
      </c>
      <c r="I464">
        <v>234233.5344</v>
      </c>
      <c r="J464">
        <f t="shared" si="71"/>
        <v>33</v>
      </c>
      <c r="K464">
        <f t="shared" si="72"/>
        <v>7097.9858909090908</v>
      </c>
      <c r="L464">
        <f t="shared" si="73"/>
        <v>259940.22091521125</v>
      </c>
      <c r="M464">
        <f t="shared" si="74"/>
        <v>42587.915345454545</v>
      </c>
      <c r="N464">
        <f t="shared" si="75"/>
        <v>0</v>
      </c>
      <c r="O464">
        <f t="shared" si="76"/>
        <v>302528.13626066578</v>
      </c>
      <c r="P464">
        <f t="shared" si="77"/>
        <v>201259.68258775517</v>
      </c>
      <c r="Q464">
        <f t="shared" si="78"/>
        <v>32973.851812244859</v>
      </c>
      <c r="R464">
        <f t="shared" si="79"/>
        <v>0</v>
      </c>
      <c r="S464">
        <f t="shared" si="80"/>
        <v>234233.53440000003</v>
      </c>
    </row>
    <row r="465" spans="1:19" x14ac:dyDescent="0.3">
      <c r="A465" t="s">
        <v>13</v>
      </c>
      <c r="B465" t="s">
        <v>24</v>
      </c>
      <c r="C465" t="s">
        <v>14</v>
      </c>
      <c r="D465">
        <v>9</v>
      </c>
      <c r="E465">
        <v>18</v>
      </c>
      <c r="F465">
        <v>0</v>
      </c>
      <c r="G465">
        <v>20260220</v>
      </c>
      <c r="H465">
        <v>20260318</v>
      </c>
      <c r="I465">
        <v>52862.422200000001</v>
      </c>
      <c r="J465">
        <f t="shared" si="71"/>
        <v>27</v>
      </c>
      <c r="K465">
        <f t="shared" si="72"/>
        <v>1957.8674888888888</v>
      </c>
      <c r="L465">
        <f t="shared" si="73"/>
        <v>23900.137090828801</v>
      </c>
      <c r="M465">
        <f t="shared" si="74"/>
        <v>35241.614799999996</v>
      </c>
      <c r="N465">
        <f t="shared" si="75"/>
        <v>0</v>
      </c>
      <c r="O465">
        <f t="shared" si="76"/>
        <v>59141.751890828797</v>
      </c>
      <c r="P465">
        <f t="shared" si="77"/>
        <v>21362.558550268313</v>
      </c>
      <c r="Q465">
        <f t="shared" si="78"/>
        <v>31499.863649731691</v>
      </c>
      <c r="R465">
        <f t="shared" si="79"/>
        <v>0</v>
      </c>
      <c r="S465">
        <f t="shared" si="80"/>
        <v>52862.422200000001</v>
      </c>
    </row>
    <row r="466" spans="1:19" x14ac:dyDescent="0.3">
      <c r="A466" t="s">
        <v>13</v>
      </c>
      <c r="B466" t="s">
        <v>37</v>
      </c>
      <c r="C466" t="s">
        <v>14</v>
      </c>
      <c r="D466">
        <v>13</v>
      </c>
      <c r="E466">
        <v>31</v>
      </c>
      <c r="F466">
        <v>3</v>
      </c>
      <c r="G466">
        <v>20260216</v>
      </c>
      <c r="H466">
        <v>20260403</v>
      </c>
      <c r="I466">
        <v>1611.3145999999999</v>
      </c>
      <c r="J466">
        <f t="shared" si="71"/>
        <v>47</v>
      </c>
      <c r="K466">
        <f t="shared" si="72"/>
        <v>34.283289361702124</v>
      </c>
      <c r="L466">
        <f t="shared" si="73"/>
        <v>604.50573358517249</v>
      </c>
      <c r="M466">
        <f t="shared" si="74"/>
        <v>1062.7819702127658</v>
      </c>
      <c r="N466">
        <f t="shared" si="75"/>
        <v>63.830423357527422</v>
      </c>
      <c r="O466">
        <f t="shared" si="76"/>
        <v>1731.1181271554658</v>
      </c>
      <c r="P466">
        <f t="shared" si="77"/>
        <v>562.67039148277763</v>
      </c>
      <c r="Q466">
        <f t="shared" si="78"/>
        <v>989.23122481219502</v>
      </c>
      <c r="R466">
        <f t="shared" si="79"/>
        <v>59.412983705027237</v>
      </c>
      <c r="S466">
        <f t="shared" si="80"/>
        <v>1611.3145999999999</v>
      </c>
    </row>
    <row r="467" spans="1:19" x14ac:dyDescent="0.3">
      <c r="A467" t="s">
        <v>13</v>
      </c>
      <c r="B467" t="s">
        <v>24</v>
      </c>
      <c r="C467" t="s">
        <v>14</v>
      </c>
      <c r="D467">
        <v>0</v>
      </c>
      <c r="E467">
        <v>16</v>
      </c>
      <c r="F467">
        <v>17</v>
      </c>
      <c r="G467">
        <v>20260316</v>
      </c>
      <c r="H467">
        <v>20260417</v>
      </c>
      <c r="I467">
        <v>163706.7059</v>
      </c>
      <c r="J467">
        <f t="shared" si="71"/>
        <v>33</v>
      </c>
      <c r="K467">
        <f t="shared" si="72"/>
        <v>4960.8092696969697</v>
      </c>
      <c r="L467">
        <f t="shared" si="73"/>
        <v>0</v>
      </c>
      <c r="M467">
        <f t="shared" si="74"/>
        <v>79372.948315151516</v>
      </c>
      <c r="N467">
        <f t="shared" si="75"/>
        <v>52339.001986055882</v>
      </c>
      <c r="O467">
        <f t="shared" si="76"/>
        <v>131711.9503012074</v>
      </c>
      <c r="P467">
        <f t="shared" si="77"/>
        <v>0</v>
      </c>
      <c r="Q467">
        <f t="shared" si="78"/>
        <v>98653.796231315064</v>
      </c>
      <c r="R467">
        <f t="shared" si="79"/>
        <v>65052.909668684952</v>
      </c>
      <c r="S467">
        <f t="shared" si="80"/>
        <v>163706.7059</v>
      </c>
    </row>
    <row r="468" spans="1:19" x14ac:dyDescent="0.3">
      <c r="A468" t="s">
        <v>13</v>
      </c>
      <c r="B468" t="s">
        <v>37</v>
      </c>
      <c r="C468" t="s">
        <v>14</v>
      </c>
      <c r="D468">
        <v>0</v>
      </c>
      <c r="E468">
        <v>27</v>
      </c>
      <c r="F468">
        <v>7</v>
      </c>
      <c r="G468">
        <v>20260305</v>
      </c>
      <c r="H468">
        <v>20260407</v>
      </c>
      <c r="I468">
        <v>134004.3959</v>
      </c>
      <c r="J468">
        <f t="shared" si="71"/>
        <v>34</v>
      </c>
      <c r="K468">
        <f t="shared" si="72"/>
        <v>3941.3057617647059</v>
      </c>
      <c r="L468">
        <f t="shared" si="73"/>
        <v>0</v>
      </c>
      <c r="M468">
        <f t="shared" si="74"/>
        <v>106415.25556764707</v>
      </c>
      <c r="N468">
        <f t="shared" si="75"/>
        <v>17122.302053193747</v>
      </c>
      <c r="O468">
        <f t="shared" si="76"/>
        <v>123537.55762084082</v>
      </c>
      <c r="P468">
        <f t="shared" si="77"/>
        <v>0</v>
      </c>
      <c r="Q468">
        <f t="shared" si="78"/>
        <v>115431.39035218366</v>
      </c>
      <c r="R468">
        <f t="shared" si="79"/>
        <v>18573.005547816345</v>
      </c>
      <c r="S468">
        <f t="shared" si="80"/>
        <v>134004.3959</v>
      </c>
    </row>
    <row r="469" spans="1:19" x14ac:dyDescent="0.3">
      <c r="A469" t="s">
        <v>13</v>
      </c>
      <c r="B469" t="s">
        <v>24</v>
      </c>
      <c r="C469" t="s">
        <v>14</v>
      </c>
      <c r="D469">
        <v>0</v>
      </c>
      <c r="E469">
        <v>27</v>
      </c>
      <c r="F469">
        <v>7</v>
      </c>
      <c r="G469">
        <v>20260305</v>
      </c>
      <c r="H469">
        <v>20260407</v>
      </c>
      <c r="I469">
        <v>516874.098</v>
      </c>
      <c r="J469">
        <f t="shared" si="71"/>
        <v>34</v>
      </c>
      <c r="K469">
        <f t="shared" si="72"/>
        <v>15202.179352941177</v>
      </c>
      <c r="L469">
        <f t="shared" si="73"/>
        <v>0</v>
      </c>
      <c r="M469">
        <f t="shared" si="74"/>
        <v>410458.84252941178</v>
      </c>
      <c r="N469">
        <f t="shared" si="75"/>
        <v>66043.165002082344</v>
      </c>
      <c r="O469">
        <f t="shared" si="76"/>
        <v>476502.00753149414</v>
      </c>
      <c r="P469">
        <f t="shared" si="77"/>
        <v>0</v>
      </c>
      <c r="Q469">
        <f t="shared" si="78"/>
        <v>445235.36238090548</v>
      </c>
      <c r="R469">
        <f t="shared" si="79"/>
        <v>71638.735619094485</v>
      </c>
      <c r="S469">
        <f t="shared" si="80"/>
        <v>516874.098</v>
      </c>
    </row>
    <row r="470" spans="1:19" x14ac:dyDescent="0.3">
      <c r="A470" t="s">
        <v>13</v>
      </c>
      <c r="B470" t="s">
        <v>24</v>
      </c>
      <c r="C470" t="s">
        <v>15</v>
      </c>
      <c r="D470">
        <v>20</v>
      </c>
      <c r="E470">
        <v>4</v>
      </c>
      <c r="F470">
        <v>0</v>
      </c>
      <c r="G470">
        <v>20260209</v>
      </c>
      <c r="H470">
        <v>20260304</v>
      </c>
      <c r="I470">
        <v>75364.298299999995</v>
      </c>
      <c r="J470">
        <f t="shared" si="71"/>
        <v>24</v>
      </c>
      <c r="K470">
        <f t="shared" si="72"/>
        <v>3140.1790958333331</v>
      </c>
      <c r="L470">
        <f t="shared" si="73"/>
        <v>85184.19068603123</v>
      </c>
      <c r="M470">
        <f t="shared" si="74"/>
        <v>12560.716383333332</v>
      </c>
      <c r="N470">
        <f t="shared" si="75"/>
        <v>0</v>
      </c>
      <c r="O470">
        <f t="shared" si="76"/>
        <v>97744.907069364563</v>
      </c>
      <c r="P470">
        <f t="shared" si="77"/>
        <v>65679.603672345824</v>
      </c>
      <c r="Q470">
        <f t="shared" si="78"/>
        <v>9684.6946276541621</v>
      </c>
      <c r="R470">
        <f t="shared" si="79"/>
        <v>0</v>
      </c>
      <c r="S470">
        <f t="shared" si="80"/>
        <v>75364.29829999998</v>
      </c>
    </row>
    <row r="471" spans="1:19" x14ac:dyDescent="0.3">
      <c r="A471" t="s">
        <v>13</v>
      </c>
      <c r="B471" t="s">
        <v>24</v>
      </c>
      <c r="C471" t="s">
        <v>15</v>
      </c>
      <c r="D471">
        <v>21</v>
      </c>
      <c r="E471">
        <v>1</v>
      </c>
      <c r="F471">
        <v>0</v>
      </c>
      <c r="G471">
        <v>20260208</v>
      </c>
      <c r="H471">
        <v>20260301</v>
      </c>
      <c r="I471">
        <v>107859.1097</v>
      </c>
      <c r="J471">
        <f t="shared" si="71"/>
        <v>22</v>
      </c>
      <c r="K471">
        <f t="shared" si="72"/>
        <v>4902.6868045454548</v>
      </c>
      <c r="L471">
        <f t="shared" si="73"/>
        <v>139645.84968919808</v>
      </c>
      <c r="M471">
        <f t="shared" si="74"/>
        <v>4902.6868045454548</v>
      </c>
      <c r="N471">
        <f t="shared" si="75"/>
        <v>0</v>
      </c>
      <c r="O471">
        <f t="shared" si="76"/>
        <v>144548.53649374354</v>
      </c>
      <c r="P471">
        <f t="shared" si="77"/>
        <v>104200.82683734992</v>
      </c>
      <c r="Q471">
        <f t="shared" si="78"/>
        <v>3658.2828626500732</v>
      </c>
      <c r="R471">
        <f t="shared" si="79"/>
        <v>0</v>
      </c>
      <c r="S471">
        <f t="shared" si="80"/>
        <v>107859.10969999999</v>
      </c>
    </row>
    <row r="472" spans="1:19" x14ac:dyDescent="0.3">
      <c r="A472" t="s">
        <v>13</v>
      </c>
      <c r="B472" t="s">
        <v>24</v>
      </c>
      <c r="C472" t="s">
        <v>15</v>
      </c>
      <c r="D472">
        <v>0</v>
      </c>
      <c r="E472">
        <v>30</v>
      </c>
      <c r="F472">
        <v>6</v>
      </c>
      <c r="G472">
        <v>20260302</v>
      </c>
      <c r="H472">
        <v>20260406</v>
      </c>
      <c r="I472">
        <v>528699.27930000005</v>
      </c>
      <c r="J472">
        <f t="shared" si="71"/>
        <v>36</v>
      </c>
      <c r="K472">
        <f t="shared" si="72"/>
        <v>14686.091091666669</v>
      </c>
      <c r="L472">
        <f t="shared" si="73"/>
        <v>0</v>
      </c>
      <c r="M472">
        <f t="shared" si="74"/>
        <v>440582.73275000008</v>
      </c>
      <c r="N472">
        <f t="shared" si="75"/>
        <v>54686.66684565496</v>
      </c>
      <c r="O472">
        <f t="shared" si="76"/>
        <v>495269.39959565504</v>
      </c>
      <c r="P472">
        <f t="shared" si="77"/>
        <v>0</v>
      </c>
      <c r="Q472">
        <f t="shared" si="78"/>
        <v>470321.35130319302</v>
      </c>
      <c r="R472">
        <f t="shared" si="79"/>
        <v>58377.927996806997</v>
      </c>
      <c r="S472">
        <f t="shared" si="80"/>
        <v>528699.27930000005</v>
      </c>
    </row>
    <row r="473" spans="1:19" x14ac:dyDescent="0.3">
      <c r="A473" t="s">
        <v>13</v>
      </c>
      <c r="B473" t="s">
        <v>37</v>
      </c>
      <c r="C473" t="s">
        <v>15</v>
      </c>
      <c r="D473">
        <v>0</v>
      </c>
      <c r="E473">
        <v>13</v>
      </c>
      <c r="F473">
        <v>16</v>
      </c>
      <c r="G473">
        <v>20260319</v>
      </c>
      <c r="H473">
        <v>20260416</v>
      </c>
      <c r="I473">
        <v>28580.3999</v>
      </c>
      <c r="J473">
        <f t="shared" si="71"/>
        <v>29</v>
      </c>
      <c r="K473">
        <f t="shared" si="72"/>
        <v>985.53103103448279</v>
      </c>
      <c r="L473">
        <f t="shared" si="73"/>
        <v>0</v>
      </c>
      <c r="M473">
        <f t="shared" si="74"/>
        <v>12811.903403448276</v>
      </c>
      <c r="N473">
        <f t="shared" si="75"/>
        <v>9786.2041617177001</v>
      </c>
      <c r="O473">
        <f t="shared" si="76"/>
        <v>22598.107565165978</v>
      </c>
      <c r="P473">
        <f t="shared" si="77"/>
        <v>0</v>
      </c>
      <c r="Q473">
        <f t="shared" si="78"/>
        <v>16203.539243045167</v>
      </c>
      <c r="R473">
        <f t="shared" si="79"/>
        <v>12376.860656954832</v>
      </c>
      <c r="S473">
        <f t="shared" si="80"/>
        <v>28580.399899999997</v>
      </c>
    </row>
    <row r="474" spans="1:19" x14ac:dyDescent="0.3">
      <c r="A474" t="s">
        <v>13</v>
      </c>
      <c r="B474" t="s">
        <v>24</v>
      </c>
      <c r="C474" t="s">
        <v>15</v>
      </c>
      <c r="D474">
        <v>0</v>
      </c>
      <c r="E474">
        <v>13</v>
      </c>
      <c r="F474">
        <v>16</v>
      </c>
      <c r="G474">
        <v>20260319</v>
      </c>
      <c r="H474">
        <v>20260416</v>
      </c>
      <c r="I474">
        <v>23221.574799999999</v>
      </c>
      <c r="J474">
        <f t="shared" si="71"/>
        <v>29</v>
      </c>
      <c r="K474">
        <f t="shared" si="72"/>
        <v>800.74395862068957</v>
      </c>
      <c r="L474">
        <f t="shared" si="73"/>
        <v>0</v>
      </c>
      <c r="M474">
        <f t="shared" si="74"/>
        <v>10409.671462068964</v>
      </c>
      <c r="N474">
        <f t="shared" si="75"/>
        <v>7951.2908407344867</v>
      </c>
      <c r="O474">
        <f t="shared" si="76"/>
        <v>18360.962302803451</v>
      </c>
      <c r="P474">
        <f t="shared" si="77"/>
        <v>0</v>
      </c>
      <c r="Q474">
        <f t="shared" si="78"/>
        <v>13165.375567649377</v>
      </c>
      <c r="R474">
        <f t="shared" si="79"/>
        <v>10056.199232350622</v>
      </c>
      <c r="S474">
        <f t="shared" si="80"/>
        <v>23221.574799999999</v>
      </c>
    </row>
    <row r="475" spans="1:19" x14ac:dyDescent="0.3">
      <c r="A475" t="s">
        <v>13</v>
      </c>
      <c r="B475" t="s">
        <v>37</v>
      </c>
      <c r="C475" t="s">
        <v>15</v>
      </c>
      <c r="D475">
        <v>0</v>
      </c>
      <c r="E475">
        <v>13</v>
      </c>
      <c r="F475">
        <v>2</v>
      </c>
      <c r="G475">
        <v>20260319</v>
      </c>
      <c r="H475">
        <v>20260402</v>
      </c>
      <c r="I475">
        <v>151.83850000000001</v>
      </c>
      <c r="J475">
        <f t="shared" si="71"/>
        <v>15</v>
      </c>
      <c r="K475">
        <f t="shared" si="72"/>
        <v>10.122566666666668</v>
      </c>
      <c r="L475">
        <f t="shared" si="73"/>
        <v>0</v>
      </c>
      <c r="M475">
        <f t="shared" si="74"/>
        <v>131.59336666666667</v>
      </c>
      <c r="N475">
        <f t="shared" si="75"/>
        <v>12.564483121426461</v>
      </c>
      <c r="O475">
        <f t="shared" si="76"/>
        <v>144.15784978809313</v>
      </c>
      <c r="P475">
        <f t="shared" si="77"/>
        <v>0</v>
      </c>
      <c r="Q475">
        <f t="shared" si="78"/>
        <v>138.60458819265085</v>
      </c>
      <c r="R475">
        <f t="shared" si="79"/>
        <v>13.233911807349157</v>
      </c>
      <c r="S475">
        <f t="shared" si="80"/>
        <v>151.83850000000001</v>
      </c>
    </row>
    <row r="476" spans="1:19" x14ac:dyDescent="0.3">
      <c r="A476" t="s">
        <v>13</v>
      </c>
      <c r="B476" t="s">
        <v>24</v>
      </c>
      <c r="C476" t="s">
        <v>15</v>
      </c>
      <c r="D476">
        <v>0</v>
      </c>
      <c r="E476">
        <v>13</v>
      </c>
      <c r="F476">
        <v>2</v>
      </c>
      <c r="G476">
        <v>20260319</v>
      </c>
      <c r="H476">
        <v>20260402</v>
      </c>
      <c r="I476">
        <v>986.95029999999997</v>
      </c>
      <c r="J476">
        <f t="shared" si="71"/>
        <v>15</v>
      </c>
      <c r="K476">
        <f t="shared" si="72"/>
        <v>65.796686666666659</v>
      </c>
      <c r="L476">
        <f t="shared" si="73"/>
        <v>0</v>
      </c>
      <c r="M476">
        <f t="shared" si="74"/>
        <v>855.3569266666666</v>
      </c>
      <c r="N476">
        <f t="shared" si="75"/>
        <v>81.669144426721672</v>
      </c>
      <c r="O476">
        <f t="shared" si="76"/>
        <v>937.02607109338828</v>
      </c>
      <c r="P476">
        <f t="shared" si="77"/>
        <v>0</v>
      </c>
      <c r="Q476">
        <f t="shared" si="78"/>
        <v>900.92986889433973</v>
      </c>
      <c r="R476">
        <f t="shared" si="79"/>
        <v>86.020431105660222</v>
      </c>
      <c r="S476">
        <f t="shared" si="80"/>
        <v>986.95029999999997</v>
      </c>
    </row>
    <row r="477" spans="1:19" x14ac:dyDescent="0.3">
      <c r="A477" t="s">
        <v>13</v>
      </c>
      <c r="B477" t="s">
        <v>24</v>
      </c>
      <c r="C477" t="s">
        <v>15</v>
      </c>
      <c r="D477">
        <v>27</v>
      </c>
      <c r="E477">
        <v>7</v>
      </c>
      <c r="F477">
        <v>0</v>
      </c>
      <c r="G477">
        <v>20260202</v>
      </c>
      <c r="H477">
        <v>20260307</v>
      </c>
      <c r="I477">
        <v>305751.1544</v>
      </c>
      <c r="J477">
        <f t="shared" si="71"/>
        <v>34</v>
      </c>
      <c r="K477">
        <f t="shared" si="72"/>
        <v>8992.6810117647055</v>
      </c>
      <c r="L477">
        <f t="shared" si="73"/>
        <v>329327.15346927167</v>
      </c>
      <c r="M477">
        <f t="shared" si="74"/>
        <v>62948.767082352941</v>
      </c>
      <c r="N477">
        <f t="shared" si="75"/>
        <v>0</v>
      </c>
      <c r="O477">
        <f t="shared" si="76"/>
        <v>392275.92055162461</v>
      </c>
      <c r="P477">
        <f t="shared" si="77"/>
        <v>256687.07170937455</v>
      </c>
      <c r="Q477">
        <f t="shared" si="78"/>
        <v>49064.082690625459</v>
      </c>
      <c r="R477">
        <f t="shared" si="79"/>
        <v>0</v>
      </c>
      <c r="S477">
        <f t="shared" si="80"/>
        <v>305751.1544</v>
      </c>
    </row>
    <row r="478" spans="1:19" x14ac:dyDescent="0.3">
      <c r="A478" t="s">
        <v>13</v>
      </c>
      <c r="B478" t="s">
        <v>24</v>
      </c>
      <c r="C478" t="s">
        <v>14</v>
      </c>
      <c r="D478">
        <v>22</v>
      </c>
      <c r="E478">
        <v>2</v>
      </c>
      <c r="F478">
        <v>0</v>
      </c>
      <c r="G478">
        <v>20260207</v>
      </c>
      <c r="H478">
        <v>20260302</v>
      </c>
      <c r="I478">
        <v>49813.600599999998</v>
      </c>
      <c r="J478">
        <f t="shared" si="71"/>
        <v>24</v>
      </c>
      <c r="K478">
        <f t="shared" si="72"/>
        <v>2075.5666916666664</v>
      </c>
      <c r="L478">
        <f t="shared" si="73"/>
        <v>61934.689007713081</v>
      </c>
      <c r="M478">
        <f t="shared" si="74"/>
        <v>4151.1333833333329</v>
      </c>
      <c r="N478">
        <f t="shared" si="75"/>
        <v>0</v>
      </c>
      <c r="O478">
        <f t="shared" si="76"/>
        <v>66085.822391046415</v>
      </c>
      <c r="P478">
        <f t="shared" si="77"/>
        <v>46684.59512026023</v>
      </c>
      <c r="Q478">
        <f t="shared" si="78"/>
        <v>3129.0054797397688</v>
      </c>
      <c r="R478">
        <f t="shared" si="79"/>
        <v>0</v>
      </c>
      <c r="S478">
        <f t="shared" si="80"/>
        <v>49813.600599999998</v>
      </c>
    </row>
    <row r="479" spans="1:19" x14ac:dyDescent="0.3">
      <c r="A479" t="s">
        <v>13</v>
      </c>
      <c r="B479" t="s">
        <v>37</v>
      </c>
      <c r="C479" t="s">
        <v>15</v>
      </c>
      <c r="D479">
        <v>0</v>
      </c>
      <c r="E479">
        <v>14</v>
      </c>
      <c r="F479">
        <v>17</v>
      </c>
      <c r="G479">
        <v>20260318</v>
      </c>
      <c r="H479">
        <v>20260417</v>
      </c>
      <c r="I479">
        <v>97522.265499999994</v>
      </c>
      <c r="J479">
        <f t="shared" si="71"/>
        <v>31</v>
      </c>
      <c r="K479">
        <f t="shared" si="72"/>
        <v>3145.8795322580645</v>
      </c>
      <c r="L479">
        <f t="shared" si="73"/>
        <v>0</v>
      </c>
      <c r="M479">
        <f t="shared" si="74"/>
        <v>44042.313451612907</v>
      </c>
      <c r="N479">
        <f t="shared" si="75"/>
        <v>33190.591723113183</v>
      </c>
      <c r="O479">
        <f t="shared" si="76"/>
        <v>77232.905174726096</v>
      </c>
      <c r="P479">
        <f t="shared" si="77"/>
        <v>0</v>
      </c>
      <c r="Q479">
        <f t="shared" si="78"/>
        <v>55612.386662724653</v>
      </c>
      <c r="R479">
        <f t="shared" si="79"/>
        <v>41909.878837275333</v>
      </c>
      <c r="S479">
        <f t="shared" si="80"/>
        <v>97522.26549999998</v>
      </c>
    </row>
    <row r="480" spans="1:19" x14ac:dyDescent="0.3">
      <c r="A480" t="s">
        <v>13</v>
      </c>
      <c r="B480" t="s">
        <v>24</v>
      </c>
      <c r="C480" t="s">
        <v>14</v>
      </c>
      <c r="D480">
        <v>23</v>
      </c>
      <c r="E480">
        <v>7</v>
      </c>
      <c r="F480">
        <v>0</v>
      </c>
      <c r="G480">
        <v>20260206</v>
      </c>
      <c r="H480">
        <v>20260307</v>
      </c>
      <c r="I480">
        <v>6294.1453000000001</v>
      </c>
      <c r="J480">
        <f t="shared" si="71"/>
        <v>30</v>
      </c>
      <c r="K480">
        <f t="shared" si="72"/>
        <v>209.80484333333334</v>
      </c>
      <c r="L480">
        <f t="shared" si="73"/>
        <v>6545.1248229232733</v>
      </c>
      <c r="M480">
        <f t="shared" si="74"/>
        <v>1468.6339033333334</v>
      </c>
      <c r="N480">
        <f t="shared" si="75"/>
        <v>0</v>
      </c>
      <c r="O480">
        <f t="shared" si="76"/>
        <v>8013.7587262566067</v>
      </c>
      <c r="P480">
        <f t="shared" si="77"/>
        <v>5140.654722625939</v>
      </c>
      <c r="Q480">
        <f t="shared" si="78"/>
        <v>1153.4905773740613</v>
      </c>
      <c r="R480">
        <f t="shared" si="79"/>
        <v>0</v>
      </c>
      <c r="S480">
        <f t="shared" si="80"/>
        <v>6294.1453000000001</v>
      </c>
    </row>
    <row r="481" spans="1:19" x14ac:dyDescent="0.3">
      <c r="A481" t="s">
        <v>13</v>
      </c>
      <c r="B481" t="s">
        <v>37</v>
      </c>
      <c r="C481" t="s">
        <v>14</v>
      </c>
      <c r="D481">
        <v>0</v>
      </c>
      <c r="E481">
        <v>25</v>
      </c>
      <c r="F481">
        <v>5</v>
      </c>
      <c r="G481">
        <v>20260307</v>
      </c>
      <c r="H481">
        <v>20260405</v>
      </c>
      <c r="I481">
        <v>1608.0721000000001</v>
      </c>
      <c r="J481">
        <f t="shared" si="71"/>
        <v>30</v>
      </c>
      <c r="K481">
        <f t="shared" si="72"/>
        <v>53.602403333333335</v>
      </c>
      <c r="L481">
        <f t="shared" si="73"/>
        <v>0</v>
      </c>
      <c r="M481">
        <f t="shared" si="74"/>
        <v>1340.0600833333333</v>
      </c>
      <c r="N481">
        <f t="shared" si="75"/>
        <v>166.33293563956772</v>
      </c>
      <c r="O481">
        <f t="shared" si="76"/>
        <v>1506.393018972901</v>
      </c>
      <c r="P481">
        <f t="shared" si="77"/>
        <v>0</v>
      </c>
      <c r="Q481">
        <f t="shared" si="78"/>
        <v>1430.5119614808661</v>
      </c>
      <c r="R481">
        <f t="shared" si="79"/>
        <v>177.56013851913383</v>
      </c>
      <c r="S481">
        <f t="shared" si="80"/>
        <v>1608.0720999999999</v>
      </c>
    </row>
    <row r="482" spans="1:19" x14ac:dyDescent="0.3">
      <c r="A482" t="s">
        <v>13</v>
      </c>
      <c r="B482" t="s">
        <v>24</v>
      </c>
      <c r="C482" t="s">
        <v>14</v>
      </c>
      <c r="D482">
        <v>0</v>
      </c>
      <c r="E482">
        <v>24</v>
      </c>
      <c r="F482">
        <v>4</v>
      </c>
      <c r="G482">
        <v>20260308</v>
      </c>
      <c r="H482">
        <v>20260404</v>
      </c>
      <c r="I482">
        <v>2166.5295999999998</v>
      </c>
      <c r="J482">
        <f t="shared" si="71"/>
        <v>28</v>
      </c>
      <c r="K482">
        <f t="shared" si="72"/>
        <v>77.376057142857135</v>
      </c>
      <c r="L482">
        <f t="shared" si="73"/>
        <v>0</v>
      </c>
      <c r="M482">
        <f t="shared" si="74"/>
        <v>1857.0253714285714</v>
      </c>
      <c r="N482">
        <f t="shared" si="75"/>
        <v>192.08372658593657</v>
      </c>
      <c r="O482">
        <f t="shared" si="76"/>
        <v>2049.1090980145082</v>
      </c>
      <c r="P482">
        <f t="shared" si="77"/>
        <v>0</v>
      </c>
      <c r="Q482">
        <f t="shared" si="78"/>
        <v>1963.438861820186</v>
      </c>
      <c r="R482">
        <f t="shared" si="79"/>
        <v>203.09073817981363</v>
      </c>
      <c r="S482">
        <f t="shared" si="80"/>
        <v>2166.5295999999998</v>
      </c>
    </row>
    <row r="483" spans="1:19" x14ac:dyDescent="0.3">
      <c r="A483" t="s">
        <v>13</v>
      </c>
      <c r="B483" t="s">
        <v>37</v>
      </c>
      <c r="C483" t="s">
        <v>14</v>
      </c>
      <c r="D483">
        <v>0</v>
      </c>
      <c r="E483">
        <v>22</v>
      </c>
      <c r="F483">
        <v>2</v>
      </c>
      <c r="G483">
        <v>20260310</v>
      </c>
      <c r="H483">
        <v>20260402</v>
      </c>
      <c r="I483">
        <v>4561.6274999999996</v>
      </c>
      <c r="J483">
        <f t="shared" si="71"/>
        <v>24</v>
      </c>
      <c r="K483">
        <f t="shared" si="72"/>
        <v>190.06781249999997</v>
      </c>
      <c r="L483">
        <f t="shared" si="73"/>
        <v>0</v>
      </c>
      <c r="M483">
        <f t="shared" si="74"/>
        <v>4181.4918749999997</v>
      </c>
      <c r="N483">
        <f t="shared" si="75"/>
        <v>235.918804066429</v>
      </c>
      <c r="O483">
        <f t="shared" si="76"/>
        <v>4417.4106790664291</v>
      </c>
      <c r="P483">
        <f t="shared" si="77"/>
        <v>0</v>
      </c>
      <c r="Q483">
        <f t="shared" si="78"/>
        <v>4318.0065685126037</v>
      </c>
      <c r="R483">
        <f t="shared" si="79"/>
        <v>243.62093148739609</v>
      </c>
      <c r="S483">
        <f t="shared" si="80"/>
        <v>4561.6274999999996</v>
      </c>
    </row>
    <row r="484" spans="1:19" x14ac:dyDescent="0.3">
      <c r="A484" t="s">
        <v>13</v>
      </c>
      <c r="B484" t="s">
        <v>37</v>
      </c>
      <c r="C484" t="s">
        <v>14</v>
      </c>
      <c r="D484">
        <v>0</v>
      </c>
      <c r="E484">
        <v>24</v>
      </c>
      <c r="F484">
        <v>8</v>
      </c>
      <c r="G484">
        <v>20260308</v>
      </c>
      <c r="H484">
        <v>20260408</v>
      </c>
      <c r="I484">
        <v>3801.2451999999998</v>
      </c>
      <c r="J484">
        <f t="shared" si="71"/>
        <v>32</v>
      </c>
      <c r="K484">
        <f t="shared" si="72"/>
        <v>118.7889125</v>
      </c>
      <c r="L484">
        <f t="shared" si="73"/>
        <v>0</v>
      </c>
      <c r="M484">
        <f t="shared" si="74"/>
        <v>2850.9339</v>
      </c>
      <c r="N484">
        <f t="shared" si="75"/>
        <v>589.77978027398365</v>
      </c>
      <c r="O484">
        <f t="shared" si="76"/>
        <v>3440.7136802739838</v>
      </c>
      <c r="P484">
        <f t="shared" si="77"/>
        <v>0</v>
      </c>
      <c r="Q484">
        <f t="shared" si="78"/>
        <v>3149.6659733771635</v>
      </c>
      <c r="R484">
        <f t="shared" si="79"/>
        <v>651.57922662283625</v>
      </c>
      <c r="S484">
        <f t="shared" si="80"/>
        <v>3801.2451999999998</v>
      </c>
    </row>
    <row r="485" spans="1:19" x14ac:dyDescent="0.3">
      <c r="A485" t="s">
        <v>13</v>
      </c>
      <c r="B485" t="s">
        <v>24</v>
      </c>
      <c r="C485" t="s">
        <v>14</v>
      </c>
      <c r="D485">
        <v>0</v>
      </c>
      <c r="E485">
        <v>15</v>
      </c>
      <c r="F485">
        <v>13</v>
      </c>
      <c r="G485">
        <v>20260317</v>
      </c>
      <c r="H485">
        <v>20260413</v>
      </c>
      <c r="I485">
        <v>90.276300000000006</v>
      </c>
      <c r="J485">
        <f t="shared" si="71"/>
        <v>28</v>
      </c>
      <c r="K485">
        <f t="shared" si="72"/>
        <v>3.2241535714285718</v>
      </c>
      <c r="L485">
        <f t="shared" si="73"/>
        <v>0</v>
      </c>
      <c r="M485">
        <f t="shared" si="74"/>
        <v>48.362303571428576</v>
      </c>
      <c r="N485">
        <f t="shared" si="75"/>
        <v>26.012557784009722</v>
      </c>
      <c r="O485">
        <f t="shared" si="76"/>
        <v>74.374861355438298</v>
      </c>
      <c r="P485">
        <f t="shared" si="77"/>
        <v>0</v>
      </c>
      <c r="Q485">
        <f t="shared" si="78"/>
        <v>58.702224734784231</v>
      </c>
      <c r="R485">
        <f t="shared" si="79"/>
        <v>31.574075265215779</v>
      </c>
      <c r="S485">
        <f t="shared" si="80"/>
        <v>90.276300000000006</v>
      </c>
    </row>
    <row r="486" spans="1:19" x14ac:dyDescent="0.3">
      <c r="A486" t="s">
        <v>13</v>
      </c>
      <c r="B486" t="s">
        <v>24</v>
      </c>
      <c r="C486" t="s">
        <v>15</v>
      </c>
      <c r="D486">
        <v>0</v>
      </c>
      <c r="E486">
        <v>16</v>
      </c>
      <c r="F486">
        <v>0</v>
      </c>
      <c r="G486">
        <v>20260302</v>
      </c>
      <c r="H486">
        <v>20260317</v>
      </c>
      <c r="I486">
        <v>19130.966899999999</v>
      </c>
      <c r="J486">
        <f t="shared" si="71"/>
        <v>16</v>
      </c>
      <c r="K486">
        <f t="shared" si="72"/>
        <v>1195.68543125</v>
      </c>
      <c r="L486">
        <f t="shared" si="73"/>
        <v>0</v>
      </c>
      <c r="M486">
        <f t="shared" si="74"/>
        <v>19130.966899999999</v>
      </c>
      <c r="N486">
        <f t="shared" si="75"/>
        <v>0</v>
      </c>
      <c r="O486">
        <f t="shared" si="76"/>
        <v>19130.966899999999</v>
      </c>
      <c r="P486">
        <f t="shared" si="77"/>
        <v>0</v>
      </c>
      <c r="Q486">
        <f t="shared" si="78"/>
        <v>19130.966899999999</v>
      </c>
      <c r="R486">
        <f t="shared" si="79"/>
        <v>0</v>
      </c>
      <c r="S486">
        <f t="shared" si="80"/>
        <v>19130.966899999999</v>
      </c>
    </row>
    <row r="487" spans="1:19" x14ac:dyDescent="0.3">
      <c r="A487" t="s">
        <v>13</v>
      </c>
      <c r="B487" t="s">
        <v>37</v>
      </c>
      <c r="C487" t="s">
        <v>15</v>
      </c>
      <c r="D487">
        <v>0</v>
      </c>
      <c r="E487">
        <v>24</v>
      </c>
      <c r="F487">
        <v>2</v>
      </c>
      <c r="G487">
        <v>20260308</v>
      </c>
      <c r="H487">
        <v>20260402</v>
      </c>
      <c r="I487">
        <v>6317.1377000000002</v>
      </c>
      <c r="J487">
        <f t="shared" si="71"/>
        <v>26</v>
      </c>
      <c r="K487">
        <f t="shared" si="72"/>
        <v>242.96683461538461</v>
      </c>
      <c r="L487">
        <f t="shared" si="73"/>
        <v>0</v>
      </c>
      <c r="M487">
        <f t="shared" si="74"/>
        <v>5831.2040307692305</v>
      </c>
      <c r="N487">
        <f t="shared" si="75"/>
        <v>301.57891699978074</v>
      </c>
      <c r="O487">
        <f t="shared" si="76"/>
        <v>6132.7829477690111</v>
      </c>
      <c r="P487">
        <f t="shared" si="77"/>
        <v>0</v>
      </c>
      <c r="Q487">
        <f t="shared" si="78"/>
        <v>6006.4931586343992</v>
      </c>
      <c r="R487">
        <f t="shared" si="79"/>
        <v>310.64454136560147</v>
      </c>
      <c r="S487">
        <f t="shared" si="80"/>
        <v>6317.1377000000002</v>
      </c>
    </row>
    <row r="488" spans="1:19" x14ac:dyDescent="0.3">
      <c r="A488" t="s">
        <v>13</v>
      </c>
      <c r="B488" t="s">
        <v>24</v>
      </c>
      <c r="C488" t="s">
        <v>15</v>
      </c>
      <c r="D488">
        <v>27</v>
      </c>
      <c r="E488">
        <v>9</v>
      </c>
      <c r="F488">
        <v>0</v>
      </c>
      <c r="G488">
        <v>20260202</v>
      </c>
      <c r="H488">
        <v>20260309</v>
      </c>
      <c r="I488">
        <v>40849.535600000003</v>
      </c>
      <c r="J488">
        <f t="shared" si="71"/>
        <v>36</v>
      </c>
      <c r="K488">
        <f t="shared" si="72"/>
        <v>1134.7093222222222</v>
      </c>
      <c r="L488">
        <f t="shared" si="73"/>
        <v>41554.970160023353</v>
      </c>
      <c r="M488">
        <f t="shared" si="74"/>
        <v>10212.383900000001</v>
      </c>
      <c r="N488">
        <f t="shared" si="75"/>
        <v>0</v>
      </c>
      <c r="O488">
        <f t="shared" si="76"/>
        <v>51767.354060023354</v>
      </c>
      <c r="P488">
        <f t="shared" si="77"/>
        <v>32790.959934722341</v>
      </c>
      <c r="Q488">
        <f t="shared" si="78"/>
        <v>8058.5756652776608</v>
      </c>
      <c r="R488">
        <f t="shared" si="79"/>
        <v>0</v>
      </c>
      <c r="S488">
        <f t="shared" si="80"/>
        <v>40849.535600000003</v>
      </c>
    </row>
    <row r="489" spans="1:19" x14ac:dyDescent="0.3">
      <c r="A489" t="s">
        <v>13</v>
      </c>
      <c r="B489" t="s">
        <v>24</v>
      </c>
      <c r="C489" t="s">
        <v>14</v>
      </c>
      <c r="D489">
        <v>0</v>
      </c>
      <c r="E489">
        <v>30</v>
      </c>
      <c r="F489">
        <v>5</v>
      </c>
      <c r="G489">
        <v>20260302</v>
      </c>
      <c r="H489">
        <v>20260405</v>
      </c>
      <c r="I489">
        <v>12946.6708</v>
      </c>
      <c r="J489">
        <f t="shared" si="71"/>
        <v>35</v>
      </c>
      <c r="K489">
        <f t="shared" si="72"/>
        <v>369.90487999999999</v>
      </c>
      <c r="L489">
        <f t="shared" si="73"/>
        <v>0</v>
      </c>
      <c r="M489">
        <f t="shared" si="74"/>
        <v>11097.1464</v>
      </c>
      <c r="N489">
        <f t="shared" si="75"/>
        <v>1147.8471257190897</v>
      </c>
      <c r="O489">
        <f t="shared" si="76"/>
        <v>12244.99352571909</v>
      </c>
      <c r="P489">
        <f t="shared" si="77"/>
        <v>0</v>
      </c>
      <c r="Q489">
        <f t="shared" si="78"/>
        <v>11733.048364496215</v>
      </c>
      <c r="R489">
        <f t="shared" si="79"/>
        <v>1213.6224355037839</v>
      </c>
      <c r="S489">
        <f t="shared" si="80"/>
        <v>12946.6708</v>
      </c>
    </row>
    <row r="490" spans="1:19" x14ac:dyDescent="0.3">
      <c r="A490" t="s">
        <v>13</v>
      </c>
      <c r="B490" t="s">
        <v>24</v>
      </c>
      <c r="C490" t="s">
        <v>15</v>
      </c>
      <c r="D490">
        <v>0</v>
      </c>
      <c r="E490">
        <v>21</v>
      </c>
      <c r="F490">
        <v>0</v>
      </c>
      <c r="G490">
        <v>20260305</v>
      </c>
      <c r="H490">
        <v>20260325</v>
      </c>
      <c r="I490">
        <v>6281.0406999999996</v>
      </c>
      <c r="J490">
        <f t="shared" si="71"/>
        <v>21</v>
      </c>
      <c r="K490">
        <f t="shared" si="72"/>
        <v>299.09717619047615</v>
      </c>
      <c r="L490">
        <f t="shared" si="73"/>
        <v>0</v>
      </c>
      <c r="M490">
        <f t="shared" si="74"/>
        <v>6281.0406999999996</v>
      </c>
      <c r="N490">
        <f t="shared" si="75"/>
        <v>0</v>
      </c>
      <c r="O490">
        <f t="shared" si="76"/>
        <v>6281.0406999999996</v>
      </c>
      <c r="P490">
        <f t="shared" si="77"/>
        <v>0</v>
      </c>
      <c r="Q490">
        <f t="shared" si="78"/>
        <v>6281.0406999999996</v>
      </c>
      <c r="R490">
        <f t="shared" si="79"/>
        <v>0</v>
      </c>
      <c r="S490">
        <f t="shared" si="80"/>
        <v>6281.0406999999996</v>
      </c>
    </row>
    <row r="491" spans="1:19" x14ac:dyDescent="0.3">
      <c r="A491" t="s">
        <v>13</v>
      </c>
      <c r="B491" t="s">
        <v>24</v>
      </c>
      <c r="C491" t="s">
        <v>15</v>
      </c>
      <c r="D491">
        <v>1</v>
      </c>
      <c r="E491">
        <v>31</v>
      </c>
      <c r="F491">
        <v>1</v>
      </c>
      <c r="G491">
        <v>20260228</v>
      </c>
      <c r="H491">
        <v>20260401</v>
      </c>
      <c r="I491">
        <v>14781.238300000001</v>
      </c>
      <c r="J491">
        <f t="shared" si="71"/>
        <v>33</v>
      </c>
      <c r="K491">
        <f t="shared" si="72"/>
        <v>447.91631212121217</v>
      </c>
      <c r="L491">
        <f t="shared" si="73"/>
        <v>607.53522934002638</v>
      </c>
      <c r="M491">
        <f t="shared" si="74"/>
        <v>13885.405675757578</v>
      </c>
      <c r="N491">
        <f t="shared" si="75"/>
        <v>277.98468159221261</v>
      </c>
      <c r="O491">
        <f t="shared" si="76"/>
        <v>14770.925586689817</v>
      </c>
      <c r="P491">
        <f t="shared" si="77"/>
        <v>607.95939616757209</v>
      </c>
      <c r="Q491">
        <f t="shared" si="78"/>
        <v>13895.100139864739</v>
      </c>
      <c r="R491">
        <f t="shared" si="79"/>
        <v>278.17876396769128</v>
      </c>
      <c r="S491">
        <f t="shared" si="80"/>
        <v>14781.238300000003</v>
      </c>
    </row>
    <row r="492" spans="1:19" x14ac:dyDescent="0.3">
      <c r="A492" t="s">
        <v>13</v>
      </c>
      <c r="B492" t="s">
        <v>24</v>
      </c>
      <c r="C492" t="s">
        <v>14</v>
      </c>
      <c r="D492">
        <v>27</v>
      </c>
      <c r="E492">
        <v>7</v>
      </c>
      <c r="F492">
        <v>0</v>
      </c>
      <c r="G492">
        <v>20260202</v>
      </c>
      <c r="H492">
        <v>20260307</v>
      </c>
      <c r="I492">
        <v>3463.4058</v>
      </c>
      <c r="J492">
        <f t="shared" si="71"/>
        <v>34</v>
      </c>
      <c r="K492">
        <f t="shared" si="72"/>
        <v>101.86487647058823</v>
      </c>
      <c r="L492">
        <f t="shared" si="73"/>
        <v>3730.4636695852996</v>
      </c>
      <c r="M492">
        <f t="shared" si="74"/>
        <v>713.0541352941176</v>
      </c>
      <c r="N492">
        <f t="shared" si="75"/>
        <v>0</v>
      </c>
      <c r="O492">
        <f t="shared" si="76"/>
        <v>4443.5178048794169</v>
      </c>
      <c r="P492">
        <f t="shared" si="77"/>
        <v>2907.6308630390695</v>
      </c>
      <c r="Q492">
        <f t="shared" si="78"/>
        <v>555.77493696093075</v>
      </c>
      <c r="R492">
        <f t="shared" si="79"/>
        <v>0</v>
      </c>
      <c r="S492">
        <f t="shared" si="80"/>
        <v>3463.4058000000005</v>
      </c>
    </row>
    <row r="493" spans="1:19" x14ac:dyDescent="0.3">
      <c r="A493" t="s">
        <v>13</v>
      </c>
      <c r="B493" t="s">
        <v>24</v>
      </c>
      <c r="C493" t="s">
        <v>14</v>
      </c>
      <c r="D493">
        <v>0</v>
      </c>
      <c r="E493">
        <v>22</v>
      </c>
      <c r="F493">
        <v>8</v>
      </c>
      <c r="G493">
        <v>20260310</v>
      </c>
      <c r="H493">
        <v>20260408</v>
      </c>
      <c r="I493">
        <v>1450.9884</v>
      </c>
      <c r="J493">
        <f t="shared" si="71"/>
        <v>30</v>
      </c>
      <c r="K493">
        <f t="shared" si="72"/>
        <v>48.366279999999996</v>
      </c>
      <c r="L493">
        <f t="shared" si="73"/>
        <v>0</v>
      </c>
      <c r="M493">
        <f t="shared" si="74"/>
        <v>1064.0581599999998</v>
      </c>
      <c r="N493">
        <f t="shared" si="75"/>
        <v>240.13566073407711</v>
      </c>
      <c r="O493">
        <f t="shared" si="76"/>
        <v>1304.193820734077</v>
      </c>
      <c r="P493">
        <f t="shared" si="77"/>
        <v>0</v>
      </c>
      <c r="Q493">
        <f t="shared" si="78"/>
        <v>1183.8240777864794</v>
      </c>
      <c r="R493">
        <f t="shared" si="79"/>
        <v>267.16432221352051</v>
      </c>
      <c r="S493">
        <f t="shared" si="80"/>
        <v>1450.9884</v>
      </c>
    </row>
    <row r="494" spans="1:19" x14ac:dyDescent="0.3">
      <c r="A494" t="s">
        <v>13</v>
      </c>
      <c r="B494" t="s">
        <v>24</v>
      </c>
      <c r="C494" t="s">
        <v>15</v>
      </c>
      <c r="D494">
        <v>24</v>
      </c>
      <c r="E494">
        <v>8</v>
      </c>
      <c r="F494">
        <v>0</v>
      </c>
      <c r="G494">
        <v>20260205</v>
      </c>
      <c r="H494">
        <v>20260308</v>
      </c>
      <c r="I494">
        <v>29821.869900000002</v>
      </c>
      <c r="J494">
        <f t="shared" si="71"/>
        <v>32</v>
      </c>
      <c r="K494">
        <f t="shared" si="72"/>
        <v>931.93343437500005</v>
      </c>
      <c r="L494">
        <f t="shared" si="73"/>
        <v>30336.866640182776</v>
      </c>
      <c r="M494">
        <f t="shared" si="74"/>
        <v>7455.4674750000004</v>
      </c>
      <c r="N494">
        <f t="shared" si="75"/>
        <v>0</v>
      </c>
      <c r="O494">
        <f t="shared" si="76"/>
        <v>37792.334115182777</v>
      </c>
      <c r="P494">
        <f t="shared" si="77"/>
        <v>23938.77253942153</v>
      </c>
      <c r="Q494">
        <f t="shared" si="78"/>
        <v>5883.0973605784711</v>
      </c>
      <c r="R494">
        <f t="shared" si="79"/>
        <v>0</v>
      </c>
      <c r="S494">
        <f t="shared" si="80"/>
        <v>29821.869900000002</v>
      </c>
    </row>
    <row r="495" spans="1:19" x14ac:dyDescent="0.3">
      <c r="A495" t="s">
        <v>13</v>
      </c>
      <c r="B495" t="s">
        <v>24</v>
      </c>
      <c r="C495" t="s">
        <v>15</v>
      </c>
      <c r="D495">
        <v>0</v>
      </c>
      <c r="E495">
        <v>15</v>
      </c>
      <c r="F495">
        <v>0</v>
      </c>
      <c r="G495">
        <v>20260304</v>
      </c>
      <c r="H495">
        <v>20260318</v>
      </c>
      <c r="I495">
        <v>42.190199999999997</v>
      </c>
      <c r="J495">
        <f t="shared" si="71"/>
        <v>15</v>
      </c>
      <c r="K495">
        <f t="shared" si="72"/>
        <v>2.8126799999999998</v>
      </c>
      <c r="L495">
        <f t="shared" si="73"/>
        <v>0</v>
      </c>
      <c r="M495">
        <f t="shared" si="74"/>
        <v>42.190199999999997</v>
      </c>
      <c r="N495">
        <f t="shared" si="75"/>
        <v>0</v>
      </c>
      <c r="O495">
        <f t="shared" si="76"/>
        <v>42.190199999999997</v>
      </c>
      <c r="P495">
        <f t="shared" si="77"/>
        <v>0</v>
      </c>
      <c r="Q495">
        <f t="shared" si="78"/>
        <v>42.190199999999997</v>
      </c>
      <c r="R495">
        <f t="shared" si="79"/>
        <v>0</v>
      </c>
      <c r="S495">
        <f t="shared" si="80"/>
        <v>42.190199999999997</v>
      </c>
    </row>
    <row r="496" spans="1:19" x14ac:dyDescent="0.3">
      <c r="A496" t="s">
        <v>13</v>
      </c>
      <c r="B496" t="s">
        <v>24</v>
      </c>
      <c r="C496" t="s">
        <v>15</v>
      </c>
      <c r="D496">
        <v>0</v>
      </c>
      <c r="E496">
        <v>30</v>
      </c>
      <c r="F496">
        <v>11</v>
      </c>
      <c r="G496">
        <v>20260302</v>
      </c>
      <c r="H496">
        <v>20260411</v>
      </c>
      <c r="I496">
        <v>11944.5144</v>
      </c>
      <c r="J496">
        <f t="shared" si="71"/>
        <v>41</v>
      </c>
      <c r="K496">
        <f t="shared" si="72"/>
        <v>291.32961951219511</v>
      </c>
      <c r="L496">
        <f t="shared" si="73"/>
        <v>0</v>
      </c>
      <c r="M496">
        <f t="shared" si="74"/>
        <v>8739.8885853658539</v>
      </c>
      <c r="N496">
        <f t="shared" si="75"/>
        <v>1988.8467166656471</v>
      </c>
      <c r="O496">
        <f t="shared" si="76"/>
        <v>10728.7353020315</v>
      </c>
      <c r="P496">
        <f t="shared" si="77"/>
        <v>0</v>
      </c>
      <c r="Q496">
        <f t="shared" si="78"/>
        <v>9730.2917933422195</v>
      </c>
      <c r="R496">
        <f t="shared" si="79"/>
        <v>2214.2226066577805</v>
      </c>
      <c r="S496">
        <f t="shared" si="80"/>
        <v>11944.5144</v>
      </c>
    </row>
    <row r="497" spans="1:19" x14ac:dyDescent="0.3">
      <c r="A497" t="s">
        <v>13</v>
      </c>
      <c r="B497" t="s">
        <v>24</v>
      </c>
      <c r="C497" t="s">
        <v>15</v>
      </c>
      <c r="D497">
        <v>19</v>
      </c>
      <c r="E497">
        <v>9</v>
      </c>
      <c r="F497">
        <v>0</v>
      </c>
      <c r="G497">
        <v>20260210</v>
      </c>
      <c r="H497">
        <v>20260309</v>
      </c>
      <c r="I497">
        <v>5030.7483000000002</v>
      </c>
      <c r="J497">
        <f t="shared" si="71"/>
        <v>28</v>
      </c>
      <c r="K497">
        <f t="shared" si="72"/>
        <v>179.66958214285714</v>
      </c>
      <c r="L497">
        <f t="shared" si="73"/>
        <v>4630.2319405101744</v>
      </c>
      <c r="M497">
        <f t="shared" si="74"/>
        <v>1617.0262392857142</v>
      </c>
      <c r="N497">
        <f t="shared" si="75"/>
        <v>0</v>
      </c>
      <c r="O497">
        <f t="shared" si="76"/>
        <v>6247.2581797958883</v>
      </c>
      <c r="P497">
        <f t="shared" si="77"/>
        <v>3728.6007385864614</v>
      </c>
      <c r="Q497">
        <f t="shared" si="78"/>
        <v>1302.1475614135391</v>
      </c>
      <c r="R497">
        <f t="shared" si="79"/>
        <v>0</v>
      </c>
      <c r="S497">
        <f t="shared" si="80"/>
        <v>5030.7483000000002</v>
      </c>
    </row>
    <row r="498" spans="1:19" x14ac:dyDescent="0.3">
      <c r="A498" t="s">
        <v>13</v>
      </c>
      <c r="B498" t="s">
        <v>24</v>
      </c>
      <c r="C498" t="s">
        <v>15</v>
      </c>
      <c r="D498">
        <v>0</v>
      </c>
      <c r="E498">
        <v>16</v>
      </c>
      <c r="F498">
        <v>0</v>
      </c>
      <c r="G498">
        <v>20260304</v>
      </c>
      <c r="H498">
        <v>20260319</v>
      </c>
      <c r="I498">
        <v>716.94799999999998</v>
      </c>
      <c r="J498">
        <f t="shared" si="71"/>
        <v>16</v>
      </c>
      <c r="K498">
        <f t="shared" si="72"/>
        <v>44.809249999999999</v>
      </c>
      <c r="L498">
        <f t="shared" si="73"/>
        <v>0</v>
      </c>
      <c r="M498">
        <f t="shared" si="74"/>
        <v>716.94799999999998</v>
      </c>
      <c r="N498">
        <f t="shared" si="75"/>
        <v>0</v>
      </c>
      <c r="O498">
        <f t="shared" si="76"/>
        <v>716.94799999999998</v>
      </c>
      <c r="P498">
        <f t="shared" si="77"/>
        <v>0</v>
      </c>
      <c r="Q498">
        <f t="shared" si="78"/>
        <v>716.94799999999998</v>
      </c>
      <c r="R498">
        <f t="shared" si="79"/>
        <v>0</v>
      </c>
      <c r="S498">
        <f t="shared" si="80"/>
        <v>716.94799999999998</v>
      </c>
    </row>
    <row r="499" spans="1:19" x14ac:dyDescent="0.3">
      <c r="A499" t="s">
        <v>13</v>
      </c>
      <c r="B499" t="s">
        <v>24</v>
      </c>
      <c r="C499" t="s">
        <v>14</v>
      </c>
      <c r="D499">
        <v>15</v>
      </c>
      <c r="E499">
        <v>16</v>
      </c>
      <c r="F499">
        <v>0</v>
      </c>
      <c r="G499">
        <v>20260214</v>
      </c>
      <c r="H499">
        <v>20260316</v>
      </c>
      <c r="I499">
        <v>5574.7168000000001</v>
      </c>
      <c r="J499">
        <f t="shared" si="71"/>
        <v>31</v>
      </c>
      <c r="K499">
        <f t="shared" si="72"/>
        <v>179.82957419354838</v>
      </c>
      <c r="L499">
        <f t="shared" si="73"/>
        <v>3658.7013681999406</v>
      </c>
      <c r="M499">
        <f t="shared" si="74"/>
        <v>2877.2731870967741</v>
      </c>
      <c r="N499">
        <f t="shared" si="75"/>
        <v>0</v>
      </c>
      <c r="O499">
        <f t="shared" si="76"/>
        <v>6535.9745552967142</v>
      </c>
      <c r="P499">
        <f t="shared" si="77"/>
        <v>3120.609453254101</v>
      </c>
      <c r="Q499">
        <f t="shared" si="78"/>
        <v>2454.1073467458996</v>
      </c>
      <c r="R499">
        <f t="shared" si="79"/>
        <v>0</v>
      </c>
      <c r="S499">
        <f t="shared" si="80"/>
        <v>5574.7168000000001</v>
      </c>
    </row>
    <row r="500" spans="1:19" x14ac:dyDescent="0.3">
      <c r="A500" t="s">
        <v>13</v>
      </c>
      <c r="B500" t="s">
        <v>24</v>
      </c>
      <c r="C500" t="s">
        <v>15</v>
      </c>
      <c r="D500">
        <v>0</v>
      </c>
      <c r="E500">
        <v>23</v>
      </c>
      <c r="F500">
        <v>5</v>
      </c>
      <c r="G500">
        <v>20260309</v>
      </c>
      <c r="H500">
        <v>20260405</v>
      </c>
      <c r="I500">
        <v>10896.7727</v>
      </c>
      <c r="J500">
        <f t="shared" si="71"/>
        <v>28</v>
      </c>
      <c r="K500">
        <f t="shared" si="72"/>
        <v>389.17045357142854</v>
      </c>
      <c r="L500">
        <f t="shared" si="73"/>
        <v>0</v>
      </c>
      <c r="M500">
        <f t="shared" si="74"/>
        <v>8950.920432142857</v>
      </c>
      <c r="N500">
        <f t="shared" si="75"/>
        <v>1207.629881894931</v>
      </c>
      <c r="O500">
        <f t="shared" si="76"/>
        <v>10158.550314037788</v>
      </c>
      <c r="P500">
        <f t="shared" si="77"/>
        <v>0</v>
      </c>
      <c r="Q500">
        <f t="shared" si="78"/>
        <v>9601.3842910306103</v>
      </c>
      <c r="R500">
        <f t="shared" si="79"/>
        <v>1295.38840896939</v>
      </c>
      <c r="S500">
        <f t="shared" si="80"/>
        <v>10896.7727</v>
      </c>
    </row>
    <row r="501" spans="1:19" x14ac:dyDescent="0.3">
      <c r="A501" t="s">
        <v>13</v>
      </c>
      <c r="B501" t="s">
        <v>24</v>
      </c>
      <c r="C501" t="s">
        <v>15</v>
      </c>
      <c r="D501">
        <v>25</v>
      </c>
      <c r="E501">
        <v>11</v>
      </c>
      <c r="F501">
        <v>0</v>
      </c>
      <c r="G501">
        <v>20260204</v>
      </c>
      <c r="H501">
        <v>20260311</v>
      </c>
      <c r="I501">
        <v>12290.004199999999</v>
      </c>
      <c r="J501">
        <f t="shared" si="71"/>
        <v>36</v>
      </c>
      <c r="K501">
        <f t="shared" si="72"/>
        <v>341.38900555555551</v>
      </c>
      <c r="L501">
        <f t="shared" si="73"/>
        <v>11576.149504476583</v>
      </c>
      <c r="M501">
        <f t="shared" si="74"/>
        <v>3755.2790611111104</v>
      </c>
      <c r="N501">
        <f t="shared" si="75"/>
        <v>0</v>
      </c>
      <c r="O501">
        <f t="shared" si="76"/>
        <v>15331.428565587694</v>
      </c>
      <c r="P501">
        <f t="shared" si="77"/>
        <v>9279.6914143526519</v>
      </c>
      <c r="Q501">
        <f t="shared" si="78"/>
        <v>3010.312785647347</v>
      </c>
      <c r="R501">
        <f t="shared" si="79"/>
        <v>0</v>
      </c>
      <c r="S501">
        <f t="shared" si="80"/>
        <v>12290.004199999999</v>
      </c>
    </row>
    <row r="502" spans="1:19" x14ac:dyDescent="0.3">
      <c r="A502" t="s">
        <v>13</v>
      </c>
      <c r="B502" t="s">
        <v>24</v>
      </c>
      <c r="C502" t="s">
        <v>15</v>
      </c>
      <c r="D502">
        <v>0</v>
      </c>
      <c r="E502">
        <v>23</v>
      </c>
      <c r="F502">
        <v>0</v>
      </c>
      <c r="G502">
        <v>20260305</v>
      </c>
      <c r="H502">
        <v>20260327</v>
      </c>
      <c r="I502">
        <v>379.4896</v>
      </c>
      <c r="J502">
        <f t="shared" si="71"/>
        <v>23</v>
      </c>
      <c r="K502">
        <f t="shared" si="72"/>
        <v>16.499547826086957</v>
      </c>
      <c r="L502">
        <f t="shared" si="73"/>
        <v>0</v>
      </c>
      <c r="M502">
        <f t="shared" si="74"/>
        <v>379.4896</v>
      </c>
      <c r="N502">
        <f t="shared" si="75"/>
        <v>0</v>
      </c>
      <c r="O502">
        <f t="shared" si="76"/>
        <v>379.4896</v>
      </c>
      <c r="P502">
        <f t="shared" si="77"/>
        <v>0</v>
      </c>
      <c r="Q502">
        <f t="shared" si="78"/>
        <v>379.4896</v>
      </c>
      <c r="R502">
        <f t="shared" si="79"/>
        <v>0</v>
      </c>
      <c r="S502">
        <f t="shared" si="80"/>
        <v>379.4896</v>
      </c>
    </row>
    <row r="503" spans="1:19" x14ac:dyDescent="0.3">
      <c r="A503" t="s">
        <v>13</v>
      </c>
      <c r="B503" t="s">
        <v>24</v>
      </c>
      <c r="C503" t="s">
        <v>15</v>
      </c>
      <c r="D503">
        <v>0</v>
      </c>
      <c r="E503">
        <v>22</v>
      </c>
      <c r="F503">
        <v>14</v>
      </c>
      <c r="G503">
        <v>20260310</v>
      </c>
      <c r="H503">
        <v>20260414</v>
      </c>
      <c r="I503">
        <v>1080.8023000000001</v>
      </c>
      <c r="J503">
        <f t="shared" si="71"/>
        <v>36</v>
      </c>
      <c r="K503">
        <f t="shared" si="72"/>
        <v>30.022286111111114</v>
      </c>
      <c r="L503">
        <f t="shared" si="73"/>
        <v>0</v>
      </c>
      <c r="M503">
        <f t="shared" si="74"/>
        <v>660.49029444444454</v>
      </c>
      <c r="N503">
        <f t="shared" si="75"/>
        <v>260.85296710990707</v>
      </c>
      <c r="O503">
        <f t="shared" si="76"/>
        <v>921.34326155435156</v>
      </c>
      <c r="P503">
        <f t="shared" si="77"/>
        <v>0</v>
      </c>
      <c r="Q503">
        <f t="shared" si="78"/>
        <v>774.80289828018806</v>
      </c>
      <c r="R503">
        <f t="shared" si="79"/>
        <v>305.99940171981211</v>
      </c>
      <c r="S503">
        <f t="shared" si="80"/>
        <v>1080.8023000000003</v>
      </c>
    </row>
    <row r="504" spans="1:19" x14ac:dyDescent="0.3">
      <c r="A504" t="s">
        <v>13</v>
      </c>
      <c r="B504" t="s">
        <v>24</v>
      </c>
      <c r="C504" t="s">
        <v>15</v>
      </c>
      <c r="D504">
        <v>28</v>
      </c>
      <c r="E504">
        <v>3</v>
      </c>
      <c r="F504">
        <v>0</v>
      </c>
      <c r="G504">
        <v>20260128</v>
      </c>
      <c r="H504">
        <v>20260303</v>
      </c>
      <c r="I504">
        <v>48427.5553</v>
      </c>
      <c r="J504">
        <f t="shared" si="71"/>
        <v>31</v>
      </c>
      <c r="K504">
        <f t="shared" si="72"/>
        <v>1562.1792032258065</v>
      </c>
      <c r="L504">
        <f t="shared" si="73"/>
        <v>59328.514043634437</v>
      </c>
      <c r="M504">
        <f t="shared" si="74"/>
        <v>4686.5376096774198</v>
      </c>
      <c r="N504">
        <f t="shared" si="75"/>
        <v>0</v>
      </c>
      <c r="O504">
        <f t="shared" si="76"/>
        <v>64015.051653311857</v>
      </c>
      <c r="P504">
        <f t="shared" si="77"/>
        <v>44882.177245986648</v>
      </c>
      <c r="Q504">
        <f t="shared" si="78"/>
        <v>3545.378054013353</v>
      </c>
      <c r="R504">
        <f t="shared" si="79"/>
        <v>0</v>
      </c>
      <c r="S504">
        <f t="shared" si="80"/>
        <v>48427.5553</v>
      </c>
    </row>
    <row r="505" spans="1:19" x14ac:dyDescent="0.3">
      <c r="A505" t="s">
        <v>13</v>
      </c>
      <c r="B505" t="s">
        <v>24</v>
      </c>
      <c r="C505" t="s">
        <v>15</v>
      </c>
      <c r="D505">
        <v>6</v>
      </c>
      <c r="E505">
        <v>5</v>
      </c>
      <c r="F505">
        <v>0</v>
      </c>
      <c r="G505">
        <v>20260223</v>
      </c>
      <c r="H505">
        <v>20260305</v>
      </c>
      <c r="I505">
        <v>423.84890000000001</v>
      </c>
      <c r="J505">
        <f t="shared" si="71"/>
        <v>11</v>
      </c>
      <c r="K505">
        <f t="shared" si="72"/>
        <v>38.531718181818185</v>
      </c>
      <c r="L505">
        <f t="shared" si="73"/>
        <v>313.57700903897359</v>
      </c>
      <c r="M505">
        <f t="shared" si="74"/>
        <v>192.65859090909092</v>
      </c>
      <c r="N505">
        <f t="shared" si="75"/>
        <v>0</v>
      </c>
      <c r="O505">
        <f t="shared" si="76"/>
        <v>506.23559994806453</v>
      </c>
      <c r="P505">
        <f t="shared" si="77"/>
        <v>262.54429826763345</v>
      </c>
      <c r="Q505">
        <f t="shared" si="78"/>
        <v>161.30460173236654</v>
      </c>
      <c r="R505">
        <f t="shared" si="79"/>
        <v>0</v>
      </c>
      <c r="S505">
        <f t="shared" si="80"/>
        <v>423.84889999999996</v>
      </c>
    </row>
    <row r="506" spans="1:19" x14ac:dyDescent="0.3">
      <c r="A506" t="s">
        <v>13</v>
      </c>
      <c r="B506" t="s">
        <v>24</v>
      </c>
      <c r="C506" t="s">
        <v>15</v>
      </c>
      <c r="D506">
        <v>3</v>
      </c>
      <c r="E506">
        <v>31</v>
      </c>
      <c r="F506">
        <v>1</v>
      </c>
      <c r="G506">
        <v>20260226</v>
      </c>
      <c r="H506">
        <v>20260401</v>
      </c>
      <c r="I506">
        <v>15507.123</v>
      </c>
      <c r="J506">
        <f t="shared" si="71"/>
        <v>35</v>
      </c>
      <c r="K506">
        <f t="shared" si="72"/>
        <v>443.06065714285711</v>
      </c>
      <c r="L506">
        <f t="shared" si="73"/>
        <v>1802.847657014908</v>
      </c>
      <c r="M506">
        <f t="shared" si="74"/>
        <v>13734.88037142857</v>
      </c>
      <c r="N506">
        <f t="shared" si="75"/>
        <v>274.97117735815738</v>
      </c>
      <c r="O506">
        <f t="shared" si="76"/>
        <v>15812.699205801635</v>
      </c>
      <c r="P506">
        <f t="shared" si="77"/>
        <v>1768.008105620238</v>
      </c>
      <c r="Q506">
        <f t="shared" si="78"/>
        <v>13469.457461878719</v>
      </c>
      <c r="R506">
        <f t="shared" si="79"/>
        <v>269.65743250104367</v>
      </c>
      <c r="S506">
        <f t="shared" si="80"/>
        <v>15507.123000000001</v>
      </c>
    </row>
    <row r="507" spans="1:19" x14ac:dyDescent="0.3">
      <c r="A507" t="s">
        <v>13</v>
      </c>
      <c r="B507" t="s">
        <v>24</v>
      </c>
      <c r="C507" t="s">
        <v>15</v>
      </c>
      <c r="D507">
        <v>28</v>
      </c>
      <c r="E507">
        <v>2</v>
      </c>
      <c r="F507">
        <v>0</v>
      </c>
      <c r="G507">
        <v>20260131</v>
      </c>
      <c r="H507">
        <v>20260302</v>
      </c>
      <c r="I507">
        <v>11435.6895</v>
      </c>
      <c r="J507">
        <f t="shared" si="71"/>
        <v>30</v>
      </c>
      <c r="K507">
        <f t="shared" si="72"/>
        <v>381.18965000000003</v>
      </c>
      <c r="L507">
        <f t="shared" si="73"/>
        <v>14476.838160829191</v>
      </c>
      <c r="M507">
        <f t="shared" si="74"/>
        <v>762.37930000000006</v>
      </c>
      <c r="N507">
        <f t="shared" si="75"/>
        <v>0</v>
      </c>
      <c r="O507">
        <f t="shared" si="76"/>
        <v>15239.217460829192</v>
      </c>
      <c r="P507">
        <f t="shared" si="77"/>
        <v>10863.591032448308</v>
      </c>
      <c r="Q507">
        <f t="shared" si="78"/>
        <v>572.09846755169087</v>
      </c>
      <c r="R507">
        <f t="shared" si="79"/>
        <v>0</v>
      </c>
      <c r="S507">
        <f t="shared" si="80"/>
        <v>11435.689499999999</v>
      </c>
    </row>
    <row r="508" spans="1:19" x14ac:dyDescent="0.3">
      <c r="A508" t="s">
        <v>13</v>
      </c>
      <c r="B508" t="s">
        <v>24</v>
      </c>
      <c r="C508" t="s">
        <v>14</v>
      </c>
      <c r="D508">
        <v>5</v>
      </c>
      <c r="E508">
        <v>4</v>
      </c>
      <c r="F508">
        <v>0</v>
      </c>
      <c r="G508">
        <v>20260224</v>
      </c>
      <c r="H508">
        <v>20260304</v>
      </c>
      <c r="I508">
        <v>58696.224099999999</v>
      </c>
      <c r="J508">
        <f t="shared" si="71"/>
        <v>9</v>
      </c>
      <c r="K508">
        <f t="shared" si="72"/>
        <v>6521.8026777777777</v>
      </c>
      <c r="L508">
        <f t="shared" si="73"/>
        <v>44229.522104141288</v>
      </c>
      <c r="M508">
        <f t="shared" si="74"/>
        <v>26087.210711111111</v>
      </c>
      <c r="N508">
        <f t="shared" si="75"/>
        <v>0</v>
      </c>
      <c r="O508">
        <f t="shared" si="76"/>
        <v>70316.732815252399</v>
      </c>
      <c r="P508">
        <f t="shared" si="77"/>
        <v>36920.173013178726</v>
      </c>
      <c r="Q508">
        <f t="shared" si="78"/>
        <v>21776.051086821273</v>
      </c>
      <c r="R508">
        <f t="shared" si="79"/>
        <v>0</v>
      </c>
      <c r="S508">
        <f t="shared" si="80"/>
        <v>58696.224099999999</v>
      </c>
    </row>
    <row r="509" spans="1:19" x14ac:dyDescent="0.3">
      <c r="A509" t="s">
        <v>13</v>
      </c>
      <c r="B509" t="s">
        <v>24</v>
      </c>
      <c r="C509" t="s">
        <v>15</v>
      </c>
      <c r="D509">
        <v>2</v>
      </c>
      <c r="E509">
        <v>16</v>
      </c>
      <c r="F509">
        <v>0</v>
      </c>
      <c r="G509">
        <v>20260227</v>
      </c>
      <c r="H509">
        <v>20260316</v>
      </c>
      <c r="I509">
        <v>1902.4728</v>
      </c>
      <c r="J509">
        <f t="shared" si="71"/>
        <v>18</v>
      </c>
      <c r="K509">
        <f t="shared" si="72"/>
        <v>105.69293333333333</v>
      </c>
      <c r="L509">
        <f t="shared" si="73"/>
        <v>286.71507937808752</v>
      </c>
      <c r="M509">
        <f t="shared" si="74"/>
        <v>1691.0869333333333</v>
      </c>
      <c r="N509">
        <f t="shared" si="75"/>
        <v>0</v>
      </c>
      <c r="O509">
        <f t="shared" si="76"/>
        <v>1977.8020127114207</v>
      </c>
      <c r="P509">
        <f t="shared" si="77"/>
        <v>275.79486539143346</v>
      </c>
      <c r="Q509">
        <f t="shared" si="78"/>
        <v>1626.6779346085666</v>
      </c>
      <c r="R509">
        <f t="shared" si="79"/>
        <v>0</v>
      </c>
      <c r="S509">
        <f t="shared" si="80"/>
        <v>1902.4728</v>
      </c>
    </row>
    <row r="510" spans="1:19" x14ac:dyDescent="0.3">
      <c r="A510" t="s">
        <v>13</v>
      </c>
      <c r="B510" t="s">
        <v>37</v>
      </c>
      <c r="C510" t="s">
        <v>15</v>
      </c>
      <c r="D510">
        <v>2</v>
      </c>
      <c r="E510">
        <v>31</v>
      </c>
      <c r="F510">
        <v>1</v>
      </c>
      <c r="G510">
        <v>20260227</v>
      </c>
      <c r="H510">
        <v>20260401</v>
      </c>
      <c r="I510">
        <v>1055.694</v>
      </c>
      <c r="J510">
        <f t="shared" si="71"/>
        <v>34</v>
      </c>
      <c r="K510">
        <f t="shared" si="72"/>
        <v>31.049823529411764</v>
      </c>
      <c r="L510">
        <f t="shared" si="73"/>
        <v>84.229402450535048</v>
      </c>
      <c r="M510">
        <f t="shared" si="74"/>
        <v>962.54452941176464</v>
      </c>
      <c r="N510">
        <f t="shared" si="75"/>
        <v>19.270062450822628</v>
      </c>
      <c r="O510">
        <f t="shared" si="76"/>
        <v>1066.0439943131223</v>
      </c>
      <c r="P510">
        <f t="shared" si="77"/>
        <v>83.411637104065989</v>
      </c>
      <c r="Q510">
        <f t="shared" si="78"/>
        <v>953.19938938125608</v>
      </c>
      <c r="R510">
        <f t="shared" si="79"/>
        <v>19.082973514677896</v>
      </c>
      <c r="S510">
        <f t="shared" si="80"/>
        <v>1055.694</v>
      </c>
    </row>
    <row r="511" spans="1:19" x14ac:dyDescent="0.3">
      <c r="A511" t="s">
        <v>13</v>
      </c>
      <c r="B511" t="s">
        <v>24</v>
      </c>
      <c r="C511" t="s">
        <v>15</v>
      </c>
      <c r="D511">
        <v>2</v>
      </c>
      <c r="E511">
        <v>31</v>
      </c>
      <c r="F511">
        <v>1</v>
      </c>
      <c r="G511">
        <v>20260227</v>
      </c>
      <c r="H511">
        <v>20260401</v>
      </c>
      <c r="I511">
        <v>34837.9041</v>
      </c>
      <c r="J511">
        <f t="shared" si="71"/>
        <v>34</v>
      </c>
      <c r="K511">
        <f t="shared" si="72"/>
        <v>1024.6442382352941</v>
      </c>
      <c r="L511">
        <f t="shared" si="73"/>
        <v>2779.5704484178605</v>
      </c>
      <c r="M511">
        <f t="shared" si="74"/>
        <v>31763.971385294117</v>
      </c>
      <c r="N511">
        <f t="shared" si="75"/>
        <v>635.91209920940139</v>
      </c>
      <c r="O511">
        <f t="shared" si="76"/>
        <v>35179.45393292138</v>
      </c>
      <c r="P511">
        <f t="shared" si="77"/>
        <v>2752.584190357672</v>
      </c>
      <c r="Q511">
        <f t="shared" si="78"/>
        <v>31455.581745697862</v>
      </c>
      <c r="R511">
        <f t="shared" si="79"/>
        <v>629.73816394446544</v>
      </c>
      <c r="S511">
        <f t="shared" si="80"/>
        <v>34837.9041</v>
      </c>
    </row>
    <row r="512" spans="1:19" x14ac:dyDescent="0.3">
      <c r="A512" t="s">
        <v>13</v>
      </c>
      <c r="B512" t="s">
        <v>37</v>
      </c>
      <c r="C512" t="s">
        <v>15</v>
      </c>
      <c r="D512">
        <v>2</v>
      </c>
      <c r="E512">
        <v>31</v>
      </c>
      <c r="F512">
        <v>3</v>
      </c>
      <c r="G512">
        <v>20260227</v>
      </c>
      <c r="H512">
        <v>20260403</v>
      </c>
      <c r="I512">
        <v>3546.4679999999998</v>
      </c>
      <c r="J512">
        <f t="shared" si="71"/>
        <v>36</v>
      </c>
      <c r="K512">
        <f t="shared" si="72"/>
        <v>98.512999999999991</v>
      </c>
      <c r="L512">
        <f t="shared" si="73"/>
        <v>267.23794793067401</v>
      </c>
      <c r="M512">
        <f t="shared" si="74"/>
        <v>3053.9029999999998</v>
      </c>
      <c r="N512">
        <f t="shared" si="75"/>
        <v>183.41666197423189</v>
      </c>
      <c r="O512">
        <f t="shared" si="76"/>
        <v>3504.5576099049058</v>
      </c>
      <c r="P512">
        <f t="shared" si="77"/>
        <v>270.43379970218786</v>
      </c>
      <c r="Q512">
        <f t="shared" si="78"/>
        <v>3090.4240906166415</v>
      </c>
      <c r="R512">
        <f t="shared" si="79"/>
        <v>185.61010968117046</v>
      </c>
      <c r="S512">
        <f t="shared" si="80"/>
        <v>3546.4679999999998</v>
      </c>
    </row>
    <row r="513" spans="1:19" x14ac:dyDescent="0.3">
      <c r="A513" t="s">
        <v>13</v>
      </c>
      <c r="B513" t="s">
        <v>24</v>
      </c>
      <c r="C513" t="s">
        <v>15</v>
      </c>
      <c r="D513">
        <v>2</v>
      </c>
      <c r="E513">
        <v>31</v>
      </c>
      <c r="F513">
        <v>3</v>
      </c>
      <c r="G513">
        <v>20260227</v>
      </c>
      <c r="H513">
        <v>20260403</v>
      </c>
      <c r="I513">
        <v>39011.147700000001</v>
      </c>
      <c r="J513">
        <f t="shared" si="71"/>
        <v>36</v>
      </c>
      <c r="K513">
        <f t="shared" si="72"/>
        <v>1083.6429916666666</v>
      </c>
      <c r="L513">
        <f t="shared" si="73"/>
        <v>2939.6174046314345</v>
      </c>
      <c r="M513">
        <f t="shared" si="74"/>
        <v>33592.932741666664</v>
      </c>
      <c r="N513">
        <f t="shared" si="75"/>
        <v>2017.5832662011142</v>
      </c>
      <c r="O513">
        <f t="shared" si="76"/>
        <v>38550.133412499214</v>
      </c>
      <c r="P513">
        <f t="shared" si="77"/>
        <v>2974.7717738477463</v>
      </c>
      <c r="Q513">
        <f t="shared" si="78"/>
        <v>33994.664735360362</v>
      </c>
      <c r="R513">
        <f t="shared" si="79"/>
        <v>2041.7111907918925</v>
      </c>
      <c r="S513">
        <f t="shared" si="80"/>
        <v>39011.147700000001</v>
      </c>
    </row>
    <row r="514" spans="1:19" x14ac:dyDescent="0.3">
      <c r="A514" t="s">
        <v>13</v>
      </c>
      <c r="B514" t="s">
        <v>24</v>
      </c>
      <c r="C514" t="s">
        <v>15</v>
      </c>
      <c r="D514">
        <v>6</v>
      </c>
      <c r="E514">
        <v>2</v>
      </c>
      <c r="F514">
        <v>0</v>
      </c>
      <c r="G514">
        <v>20260223</v>
      </c>
      <c r="H514">
        <v>20260302</v>
      </c>
      <c r="I514">
        <v>296.5213</v>
      </c>
      <c r="J514">
        <f t="shared" si="71"/>
        <v>8</v>
      </c>
      <c r="K514">
        <f t="shared" si="72"/>
        <v>37.0651625</v>
      </c>
      <c r="L514">
        <f t="shared" si="73"/>
        <v>301.64195485520611</v>
      </c>
      <c r="M514">
        <f t="shared" si="74"/>
        <v>74.130324999999999</v>
      </c>
      <c r="N514">
        <f t="shared" si="75"/>
        <v>0</v>
      </c>
      <c r="O514">
        <f t="shared" si="76"/>
        <v>375.77227985520608</v>
      </c>
      <c r="P514">
        <f t="shared" si="77"/>
        <v>238.02518009756236</v>
      </c>
      <c r="Q514">
        <f t="shared" si="78"/>
        <v>58.49611990243767</v>
      </c>
      <c r="R514">
        <f t="shared" si="79"/>
        <v>0</v>
      </c>
      <c r="S514">
        <f t="shared" si="80"/>
        <v>296.5213</v>
      </c>
    </row>
    <row r="515" spans="1:19" x14ac:dyDescent="0.3">
      <c r="A515" t="s">
        <v>13</v>
      </c>
      <c r="B515" t="s">
        <v>24</v>
      </c>
      <c r="C515" t="s">
        <v>15</v>
      </c>
      <c r="D515">
        <v>0</v>
      </c>
      <c r="E515">
        <v>22</v>
      </c>
      <c r="F515">
        <v>6</v>
      </c>
      <c r="G515">
        <v>20260310</v>
      </c>
      <c r="H515">
        <v>20260406</v>
      </c>
      <c r="I515">
        <v>16141.3153</v>
      </c>
      <c r="J515">
        <f t="shared" si="71"/>
        <v>28</v>
      </c>
      <c r="K515">
        <f t="shared" si="72"/>
        <v>576.47554642857142</v>
      </c>
      <c r="L515">
        <f t="shared" si="73"/>
        <v>0</v>
      </c>
      <c r="M515">
        <f t="shared" si="74"/>
        <v>12682.462021428571</v>
      </c>
      <c r="N515">
        <f t="shared" si="75"/>
        <v>2146.6247182747438</v>
      </c>
      <c r="O515">
        <f t="shared" si="76"/>
        <v>14829.086739703314</v>
      </c>
      <c r="P515">
        <f t="shared" si="77"/>
        <v>0</v>
      </c>
      <c r="Q515">
        <f t="shared" si="78"/>
        <v>13804.735373221614</v>
      </c>
      <c r="R515">
        <f t="shared" si="79"/>
        <v>2336.5799267783864</v>
      </c>
      <c r="S515">
        <f t="shared" si="80"/>
        <v>16141.3153</v>
      </c>
    </row>
    <row r="516" spans="1:19" x14ac:dyDescent="0.3">
      <c r="A516" t="s">
        <v>13</v>
      </c>
      <c r="B516" t="s">
        <v>24</v>
      </c>
      <c r="C516" t="s">
        <v>15</v>
      </c>
      <c r="D516">
        <v>4</v>
      </c>
      <c r="E516">
        <v>7</v>
      </c>
      <c r="F516">
        <v>0</v>
      </c>
      <c r="G516">
        <v>20260225</v>
      </c>
      <c r="H516">
        <v>20260307</v>
      </c>
      <c r="I516">
        <v>2883.8521999999998</v>
      </c>
      <c r="J516">
        <f t="shared" si="71"/>
        <v>11</v>
      </c>
      <c r="K516">
        <f t="shared" si="72"/>
        <v>262.16838181818179</v>
      </c>
      <c r="L516">
        <f t="shared" si="73"/>
        <v>1422.3775617308647</v>
      </c>
      <c r="M516">
        <f t="shared" si="74"/>
        <v>1835.1786727272724</v>
      </c>
      <c r="N516">
        <f t="shared" si="75"/>
        <v>0</v>
      </c>
      <c r="O516">
        <f t="shared" si="76"/>
        <v>3257.5562344581372</v>
      </c>
      <c r="P516">
        <f t="shared" si="77"/>
        <v>1259.2036377571562</v>
      </c>
      <c r="Q516">
        <f t="shared" si="78"/>
        <v>1624.6485622428436</v>
      </c>
      <c r="R516">
        <f t="shared" si="79"/>
        <v>0</v>
      </c>
      <c r="S516">
        <f t="shared" si="80"/>
        <v>2883.8521999999998</v>
      </c>
    </row>
    <row r="517" spans="1:19" x14ac:dyDescent="0.3">
      <c r="A517" t="s">
        <v>13</v>
      </c>
      <c r="B517" t="s">
        <v>24</v>
      </c>
      <c r="C517" t="s">
        <v>15</v>
      </c>
      <c r="D517">
        <v>6</v>
      </c>
      <c r="E517">
        <v>7</v>
      </c>
      <c r="F517">
        <v>0</v>
      </c>
      <c r="G517">
        <v>20260223</v>
      </c>
      <c r="H517">
        <v>20260307</v>
      </c>
      <c r="I517">
        <v>127.1784</v>
      </c>
      <c r="J517">
        <f t="shared" si="71"/>
        <v>13</v>
      </c>
      <c r="K517">
        <f t="shared" si="72"/>
        <v>9.7829538461538466</v>
      </c>
      <c r="L517">
        <f t="shared" si="73"/>
        <v>79.615172937987353</v>
      </c>
      <c r="M517">
        <f t="shared" si="74"/>
        <v>68.480676923076928</v>
      </c>
      <c r="N517">
        <f t="shared" si="75"/>
        <v>0</v>
      </c>
      <c r="O517">
        <f t="shared" si="76"/>
        <v>148.09584986106427</v>
      </c>
      <c r="P517">
        <f t="shared" si="77"/>
        <v>68.37011516173871</v>
      </c>
      <c r="Q517">
        <f t="shared" si="78"/>
        <v>58.808284838261294</v>
      </c>
      <c r="R517">
        <f t="shared" si="79"/>
        <v>0</v>
      </c>
      <c r="S517">
        <f t="shared" si="80"/>
        <v>127.17840000000001</v>
      </c>
    </row>
    <row r="518" spans="1:19" x14ac:dyDescent="0.3">
      <c r="A518" t="s">
        <v>13</v>
      </c>
      <c r="B518" t="s">
        <v>37</v>
      </c>
      <c r="C518" t="s">
        <v>14</v>
      </c>
      <c r="D518">
        <v>3</v>
      </c>
      <c r="E518">
        <v>31</v>
      </c>
      <c r="F518">
        <v>3</v>
      </c>
      <c r="G518">
        <v>20260226</v>
      </c>
      <c r="H518">
        <v>20260403</v>
      </c>
      <c r="I518">
        <v>82.1614</v>
      </c>
      <c r="J518">
        <f t="shared" si="71"/>
        <v>37</v>
      </c>
      <c r="K518">
        <f t="shared" si="72"/>
        <v>2.2205783783783786</v>
      </c>
      <c r="L518">
        <f t="shared" si="73"/>
        <v>9.0357030400616427</v>
      </c>
      <c r="M518">
        <f t="shared" si="74"/>
        <v>68.837929729729737</v>
      </c>
      <c r="N518">
        <f t="shared" si="75"/>
        <v>4.1343891041214356</v>
      </c>
      <c r="O518">
        <f t="shared" si="76"/>
        <v>82.008021873912824</v>
      </c>
      <c r="P518">
        <f t="shared" si="77"/>
        <v>9.0526023526959065</v>
      </c>
      <c r="Q518">
        <f t="shared" si="78"/>
        <v>68.966676069714623</v>
      </c>
      <c r="R518">
        <f t="shared" si="79"/>
        <v>4.1421215775894629</v>
      </c>
      <c r="S518">
        <f t="shared" si="80"/>
        <v>82.1614</v>
      </c>
    </row>
    <row r="519" spans="1:19" x14ac:dyDescent="0.3">
      <c r="A519" t="s">
        <v>13</v>
      </c>
      <c r="B519" t="s">
        <v>24</v>
      </c>
      <c r="C519" t="s">
        <v>15</v>
      </c>
      <c r="D519">
        <v>17</v>
      </c>
      <c r="E519">
        <v>1</v>
      </c>
      <c r="F519">
        <v>0</v>
      </c>
      <c r="G519">
        <v>20260212</v>
      </c>
      <c r="H519">
        <v>20260301</v>
      </c>
      <c r="I519">
        <v>8023.4625999999998</v>
      </c>
      <c r="J519">
        <f t="shared" si="71"/>
        <v>18</v>
      </c>
      <c r="K519">
        <f t="shared" si="72"/>
        <v>445.7479222222222</v>
      </c>
      <c r="L519">
        <f t="shared" si="73"/>
        <v>10278.099948704648</v>
      </c>
      <c r="M519">
        <f t="shared" si="74"/>
        <v>445.7479222222222</v>
      </c>
      <c r="N519">
        <f t="shared" si="75"/>
        <v>0</v>
      </c>
      <c r="O519">
        <f t="shared" si="76"/>
        <v>10723.847870926871</v>
      </c>
      <c r="P519">
        <f t="shared" si="77"/>
        <v>7689.9590081900387</v>
      </c>
      <c r="Q519">
        <f t="shared" si="78"/>
        <v>333.50359180996043</v>
      </c>
      <c r="R519">
        <f t="shared" si="79"/>
        <v>0</v>
      </c>
      <c r="S519">
        <f t="shared" si="80"/>
        <v>8023.4625999999989</v>
      </c>
    </row>
    <row r="520" spans="1:19" x14ac:dyDescent="0.3">
      <c r="A520" t="s">
        <v>13</v>
      </c>
      <c r="B520" t="s">
        <v>24</v>
      </c>
      <c r="C520" t="s">
        <v>15</v>
      </c>
      <c r="D520">
        <v>28</v>
      </c>
      <c r="E520">
        <v>1</v>
      </c>
      <c r="F520">
        <v>0</v>
      </c>
      <c r="G520">
        <v>20260131</v>
      </c>
      <c r="H520">
        <v>20260301</v>
      </c>
      <c r="I520">
        <v>506.2944</v>
      </c>
      <c r="J520">
        <f t="shared" si="71"/>
        <v>29</v>
      </c>
      <c r="K520">
        <f t="shared" si="72"/>
        <v>17.458427586206895</v>
      </c>
      <c r="L520">
        <f t="shared" si="73"/>
        <v>663.03697046358172</v>
      </c>
      <c r="M520">
        <f t="shared" si="74"/>
        <v>17.458427586206895</v>
      </c>
      <c r="N520">
        <f t="shared" si="75"/>
        <v>0</v>
      </c>
      <c r="O520">
        <f t="shared" si="76"/>
        <v>680.49539804978861</v>
      </c>
      <c r="P520">
        <f t="shared" si="77"/>
        <v>493.30518046224296</v>
      </c>
      <c r="Q520">
        <f t="shared" si="78"/>
        <v>12.989219537757041</v>
      </c>
      <c r="R520">
        <f t="shared" si="79"/>
        <v>0</v>
      </c>
      <c r="S520">
        <f t="shared" si="80"/>
        <v>506.2944</v>
      </c>
    </row>
    <row r="521" spans="1:19" x14ac:dyDescent="0.3">
      <c r="A521" t="s">
        <v>13</v>
      </c>
      <c r="B521" t="s">
        <v>24</v>
      </c>
      <c r="C521" t="s">
        <v>15</v>
      </c>
      <c r="D521">
        <v>9</v>
      </c>
      <c r="E521">
        <v>4</v>
      </c>
      <c r="F521">
        <v>0</v>
      </c>
      <c r="G521">
        <v>20260220</v>
      </c>
      <c r="H521">
        <v>20260304</v>
      </c>
      <c r="I521">
        <v>1269.501</v>
      </c>
      <c r="J521">
        <f t="shared" si="71"/>
        <v>13</v>
      </c>
      <c r="K521">
        <f t="shared" si="72"/>
        <v>97.653923076923078</v>
      </c>
      <c r="L521">
        <f t="shared" si="73"/>
        <v>1192.083816826771</v>
      </c>
      <c r="M521">
        <f t="shared" si="74"/>
        <v>390.61569230769231</v>
      </c>
      <c r="N521">
        <f t="shared" si="75"/>
        <v>0</v>
      </c>
      <c r="O521">
        <f t="shared" si="76"/>
        <v>1582.6995091344634</v>
      </c>
      <c r="P521">
        <f t="shared" si="77"/>
        <v>956.18377892403259</v>
      </c>
      <c r="Q521">
        <f t="shared" si="78"/>
        <v>313.31722107596738</v>
      </c>
      <c r="R521">
        <f t="shared" si="79"/>
        <v>0</v>
      </c>
      <c r="S521">
        <f t="shared" si="80"/>
        <v>1269.501</v>
      </c>
    </row>
    <row r="522" spans="1:19" x14ac:dyDescent="0.3">
      <c r="A522" t="s">
        <v>13</v>
      </c>
      <c r="B522" t="s">
        <v>24</v>
      </c>
      <c r="C522" t="s">
        <v>15</v>
      </c>
      <c r="D522">
        <v>9</v>
      </c>
      <c r="E522">
        <v>5</v>
      </c>
      <c r="F522">
        <v>0</v>
      </c>
      <c r="G522">
        <v>20260220</v>
      </c>
      <c r="H522">
        <v>20260305</v>
      </c>
      <c r="I522">
        <v>3047.6561999999999</v>
      </c>
      <c r="J522">
        <f t="shared" si="71"/>
        <v>14</v>
      </c>
      <c r="K522">
        <f t="shared" si="72"/>
        <v>217.68972857142856</v>
      </c>
      <c r="L522">
        <f t="shared" si="73"/>
        <v>2657.3884012319486</v>
      </c>
      <c r="M522">
        <f t="shared" si="74"/>
        <v>1088.4486428571429</v>
      </c>
      <c r="N522">
        <f t="shared" si="75"/>
        <v>0</v>
      </c>
      <c r="O522">
        <f t="shared" si="76"/>
        <v>3745.8370440890913</v>
      </c>
      <c r="P522">
        <f t="shared" si="77"/>
        <v>2162.081836849391</v>
      </c>
      <c r="Q522">
        <f t="shared" si="78"/>
        <v>885.57436315060909</v>
      </c>
      <c r="R522">
        <f t="shared" si="79"/>
        <v>0</v>
      </c>
      <c r="S522">
        <f t="shared" si="80"/>
        <v>3047.6562000000004</v>
      </c>
    </row>
    <row r="523" spans="1:19" x14ac:dyDescent="0.3">
      <c r="A523" t="s">
        <v>13</v>
      </c>
      <c r="B523" t="s">
        <v>37</v>
      </c>
      <c r="C523" t="s">
        <v>15</v>
      </c>
      <c r="D523">
        <v>0</v>
      </c>
      <c r="E523">
        <v>14</v>
      </c>
      <c r="F523">
        <v>8</v>
      </c>
      <c r="G523">
        <v>20260318</v>
      </c>
      <c r="H523">
        <v>20260408</v>
      </c>
      <c r="I523">
        <v>842.61839999999995</v>
      </c>
      <c r="J523">
        <f t="shared" ref="J523:J586" si="81">IF(D523&lt;0,0,D523)+E523+F523</f>
        <v>22</v>
      </c>
      <c r="K523">
        <f t="shared" ref="K523:K586" si="82">I523/J523</f>
        <v>38.300836363636364</v>
      </c>
      <c r="L523">
        <f t="shared" ref="L523:L586" si="83">IF(D523&lt;0,0,D523)*$K523*$B$6</f>
        <v>0</v>
      </c>
      <c r="M523">
        <f t="shared" ref="M523:M586" si="84">IF(E523&lt;0,0,E523)*$K523*$C$6</f>
        <v>536.21170909090915</v>
      </c>
      <c r="N523">
        <f t="shared" ref="N523:N586" si="85">IF(F523&lt;0,0,F523)*$K523*$D$6</f>
        <v>190.16134064578847</v>
      </c>
      <c r="O523">
        <f t="shared" ref="O523:O586" si="86">L523+M523+N523</f>
        <v>726.37304973669757</v>
      </c>
      <c r="P523">
        <f t="shared" ref="P523:P586" si="87">L523/$O523*$I523</f>
        <v>0</v>
      </c>
      <c r="Q523">
        <f t="shared" ref="Q523:Q586" si="88">M523/$O523*$I523</f>
        <v>622.02452656968467</v>
      </c>
      <c r="R523">
        <f t="shared" ref="R523:R586" si="89">N523/$O523*$I523</f>
        <v>220.59387343031537</v>
      </c>
      <c r="S523">
        <f t="shared" ref="S523:S586" si="90">P523+Q523+R523</f>
        <v>842.61840000000007</v>
      </c>
    </row>
    <row r="524" spans="1:19" x14ac:dyDescent="0.3">
      <c r="A524" t="s">
        <v>13</v>
      </c>
      <c r="B524" t="s">
        <v>24</v>
      </c>
      <c r="C524" t="s">
        <v>15</v>
      </c>
      <c r="D524">
        <v>0</v>
      </c>
      <c r="E524">
        <v>16</v>
      </c>
      <c r="F524">
        <v>2</v>
      </c>
      <c r="G524">
        <v>20260316</v>
      </c>
      <c r="H524">
        <v>20260402</v>
      </c>
      <c r="I524">
        <v>4719.3269</v>
      </c>
      <c r="J524">
        <f t="shared" si="81"/>
        <v>18</v>
      </c>
      <c r="K524">
        <f t="shared" si="82"/>
        <v>262.1848277777778</v>
      </c>
      <c r="L524">
        <f t="shared" si="83"/>
        <v>0</v>
      </c>
      <c r="M524">
        <f t="shared" si="84"/>
        <v>4194.9572444444448</v>
      </c>
      <c r="N524">
        <f t="shared" si="85"/>
        <v>325.4329610054096</v>
      </c>
      <c r="O524">
        <f t="shared" si="86"/>
        <v>4520.390205449854</v>
      </c>
      <c r="P524">
        <f t="shared" si="87"/>
        <v>0</v>
      </c>
      <c r="Q524">
        <f t="shared" si="88"/>
        <v>4379.5720431808113</v>
      </c>
      <c r="R524">
        <f t="shared" si="89"/>
        <v>339.75485681918923</v>
      </c>
      <c r="S524">
        <f t="shared" si="90"/>
        <v>4719.3269000000009</v>
      </c>
    </row>
    <row r="525" spans="1:19" x14ac:dyDescent="0.3">
      <c r="A525" t="s">
        <v>13</v>
      </c>
      <c r="B525" t="s">
        <v>37</v>
      </c>
      <c r="C525" t="s">
        <v>15</v>
      </c>
      <c r="D525">
        <v>0</v>
      </c>
      <c r="E525">
        <v>14</v>
      </c>
      <c r="F525">
        <v>1</v>
      </c>
      <c r="G525">
        <v>20260318</v>
      </c>
      <c r="H525">
        <v>20260401</v>
      </c>
      <c r="I525">
        <v>61.85</v>
      </c>
      <c r="J525">
        <f t="shared" si="81"/>
        <v>15</v>
      </c>
      <c r="K525">
        <f t="shared" si="82"/>
        <v>4.1233333333333331</v>
      </c>
      <c r="L525">
        <f t="shared" si="83"/>
        <v>0</v>
      </c>
      <c r="M525">
        <f t="shared" si="84"/>
        <v>57.726666666666659</v>
      </c>
      <c r="N525">
        <f t="shared" si="85"/>
        <v>2.5590126386266543</v>
      </c>
      <c r="O525">
        <f t="shared" si="86"/>
        <v>60.285679305293314</v>
      </c>
      <c r="P525">
        <f t="shared" si="87"/>
        <v>0</v>
      </c>
      <c r="Q525">
        <f t="shared" si="88"/>
        <v>59.224584917629663</v>
      </c>
      <c r="R525">
        <f t="shared" si="89"/>
        <v>2.6254150823703402</v>
      </c>
      <c r="S525">
        <f t="shared" si="90"/>
        <v>61.85</v>
      </c>
    </row>
    <row r="526" spans="1:19" x14ac:dyDescent="0.3">
      <c r="A526" t="s">
        <v>13</v>
      </c>
      <c r="B526" t="s">
        <v>24</v>
      </c>
      <c r="C526" t="s">
        <v>15</v>
      </c>
      <c r="D526">
        <v>0</v>
      </c>
      <c r="E526">
        <v>8</v>
      </c>
      <c r="F526">
        <v>3</v>
      </c>
      <c r="G526">
        <v>20260324</v>
      </c>
      <c r="H526">
        <v>20260403</v>
      </c>
      <c r="I526">
        <v>5776.1189000000004</v>
      </c>
      <c r="J526">
        <f t="shared" si="81"/>
        <v>11</v>
      </c>
      <c r="K526">
        <f t="shared" si="82"/>
        <v>525.10171818181823</v>
      </c>
      <c r="L526">
        <f t="shared" si="83"/>
        <v>0</v>
      </c>
      <c r="M526">
        <f t="shared" si="84"/>
        <v>4200.8137454545458</v>
      </c>
      <c r="N526">
        <f t="shared" si="85"/>
        <v>977.66187554782539</v>
      </c>
      <c r="O526">
        <f t="shared" si="86"/>
        <v>5178.4756210023716</v>
      </c>
      <c r="P526">
        <f t="shared" si="87"/>
        <v>0</v>
      </c>
      <c r="Q526">
        <f t="shared" si="88"/>
        <v>4685.6259344140844</v>
      </c>
      <c r="R526">
        <f t="shared" si="89"/>
        <v>1090.4929655859157</v>
      </c>
      <c r="S526">
        <f t="shared" si="90"/>
        <v>5776.1189000000004</v>
      </c>
    </row>
    <row r="527" spans="1:19" x14ac:dyDescent="0.3">
      <c r="A527" t="s">
        <v>13</v>
      </c>
      <c r="B527" t="s">
        <v>24</v>
      </c>
      <c r="C527" t="s">
        <v>15</v>
      </c>
      <c r="D527">
        <v>0</v>
      </c>
      <c r="E527">
        <v>14</v>
      </c>
      <c r="F527">
        <v>2</v>
      </c>
      <c r="G527">
        <v>20260318</v>
      </c>
      <c r="H527">
        <v>20260402</v>
      </c>
      <c r="I527">
        <v>1180.6065000000001</v>
      </c>
      <c r="J527">
        <f t="shared" si="81"/>
        <v>16</v>
      </c>
      <c r="K527">
        <f t="shared" si="82"/>
        <v>73.787906250000006</v>
      </c>
      <c r="L527">
        <f t="shared" si="83"/>
        <v>0</v>
      </c>
      <c r="M527">
        <f t="shared" si="84"/>
        <v>1033.0306875000001</v>
      </c>
      <c r="N527">
        <f t="shared" si="85"/>
        <v>91.588125143839306</v>
      </c>
      <c r="O527">
        <f t="shared" si="86"/>
        <v>1124.6188126438394</v>
      </c>
      <c r="P527">
        <f t="shared" si="87"/>
        <v>0</v>
      </c>
      <c r="Q527">
        <f t="shared" si="88"/>
        <v>1084.4587789660338</v>
      </c>
      <c r="R527">
        <f t="shared" si="89"/>
        <v>96.147721033966164</v>
      </c>
      <c r="S527">
        <f t="shared" si="90"/>
        <v>1180.6065000000001</v>
      </c>
    </row>
    <row r="528" spans="1:19" x14ac:dyDescent="0.3">
      <c r="A528" t="s">
        <v>13</v>
      </c>
      <c r="B528" t="s">
        <v>37</v>
      </c>
      <c r="C528" t="s">
        <v>15</v>
      </c>
      <c r="D528">
        <v>0</v>
      </c>
      <c r="E528">
        <v>18</v>
      </c>
      <c r="F528">
        <v>4</v>
      </c>
      <c r="G528">
        <v>20260314</v>
      </c>
      <c r="H528">
        <v>20260404</v>
      </c>
      <c r="I528">
        <v>926.40189999999996</v>
      </c>
      <c r="J528">
        <f t="shared" si="81"/>
        <v>22</v>
      </c>
      <c r="K528">
        <f t="shared" si="82"/>
        <v>42.109177272727273</v>
      </c>
      <c r="L528">
        <f t="shared" si="83"/>
        <v>0</v>
      </c>
      <c r="M528">
        <f t="shared" si="84"/>
        <v>757.96519090909089</v>
      </c>
      <c r="N528">
        <f t="shared" si="85"/>
        <v>104.53476169094199</v>
      </c>
      <c r="O528">
        <f t="shared" si="86"/>
        <v>862.49995260003288</v>
      </c>
      <c r="P528">
        <f t="shared" si="87"/>
        <v>0</v>
      </c>
      <c r="Q528">
        <f t="shared" si="88"/>
        <v>814.12223951468036</v>
      </c>
      <c r="R528">
        <f t="shared" si="89"/>
        <v>112.27966048531951</v>
      </c>
      <c r="S528">
        <f t="shared" si="90"/>
        <v>926.40189999999984</v>
      </c>
    </row>
    <row r="529" spans="1:19" x14ac:dyDescent="0.3">
      <c r="A529" t="s">
        <v>13</v>
      </c>
      <c r="B529" t="s">
        <v>24</v>
      </c>
      <c r="C529" t="s">
        <v>15</v>
      </c>
      <c r="D529">
        <v>0</v>
      </c>
      <c r="E529">
        <v>13</v>
      </c>
      <c r="F529">
        <v>3</v>
      </c>
      <c r="G529">
        <v>20260319</v>
      </c>
      <c r="H529">
        <v>20260403</v>
      </c>
      <c r="I529">
        <v>445.3732</v>
      </c>
      <c r="J529">
        <f t="shared" si="81"/>
        <v>16</v>
      </c>
      <c r="K529">
        <f t="shared" si="82"/>
        <v>27.835825</v>
      </c>
      <c r="L529">
        <f t="shared" si="83"/>
        <v>0</v>
      </c>
      <c r="M529">
        <f t="shared" si="84"/>
        <v>361.865725</v>
      </c>
      <c r="N529">
        <f t="shared" si="85"/>
        <v>51.826196591301382</v>
      </c>
      <c r="O529">
        <f t="shared" si="86"/>
        <v>413.69192159130137</v>
      </c>
      <c r="P529">
        <f t="shared" si="87"/>
        <v>0</v>
      </c>
      <c r="Q529">
        <f t="shared" si="88"/>
        <v>389.57805918383394</v>
      </c>
      <c r="R529">
        <f t="shared" si="89"/>
        <v>55.795140816166068</v>
      </c>
      <c r="S529">
        <f t="shared" si="90"/>
        <v>445.3732</v>
      </c>
    </row>
    <row r="530" spans="1:19" x14ac:dyDescent="0.3">
      <c r="A530" t="s">
        <v>13</v>
      </c>
      <c r="B530" t="s">
        <v>37</v>
      </c>
      <c r="C530" t="s">
        <v>14</v>
      </c>
      <c r="D530">
        <v>0</v>
      </c>
      <c r="E530">
        <v>16</v>
      </c>
      <c r="F530">
        <v>6</v>
      </c>
      <c r="G530">
        <v>20260316</v>
      </c>
      <c r="H530">
        <v>20260406</v>
      </c>
      <c r="I530">
        <v>103.36620000000001</v>
      </c>
      <c r="J530">
        <f t="shared" si="81"/>
        <v>22</v>
      </c>
      <c r="K530">
        <f t="shared" si="82"/>
        <v>4.6984636363636367</v>
      </c>
      <c r="L530">
        <f t="shared" si="83"/>
        <v>0</v>
      </c>
      <c r="M530">
        <f t="shared" si="84"/>
        <v>75.175418181818188</v>
      </c>
      <c r="N530">
        <f t="shared" si="85"/>
        <v>17.495691260831148</v>
      </c>
      <c r="O530">
        <f t="shared" si="86"/>
        <v>92.671109442649339</v>
      </c>
      <c r="P530">
        <f t="shared" si="87"/>
        <v>0</v>
      </c>
      <c r="Q530">
        <f t="shared" si="88"/>
        <v>83.85134652644237</v>
      </c>
      <c r="R530">
        <f t="shared" si="89"/>
        <v>19.514853473557629</v>
      </c>
      <c r="S530">
        <f t="shared" si="90"/>
        <v>103.36619999999999</v>
      </c>
    </row>
    <row r="531" spans="1:19" x14ac:dyDescent="0.3">
      <c r="A531" t="s">
        <v>13</v>
      </c>
      <c r="B531" t="s">
        <v>24</v>
      </c>
      <c r="C531" t="s">
        <v>15</v>
      </c>
      <c r="D531">
        <v>0</v>
      </c>
      <c r="E531">
        <v>7</v>
      </c>
      <c r="F531">
        <v>7</v>
      </c>
      <c r="G531">
        <v>20260325</v>
      </c>
      <c r="H531">
        <v>20260407</v>
      </c>
      <c r="I531">
        <v>5102.6241</v>
      </c>
      <c r="J531">
        <f t="shared" si="81"/>
        <v>14</v>
      </c>
      <c r="K531">
        <f t="shared" si="82"/>
        <v>364.47314999999998</v>
      </c>
      <c r="L531">
        <f t="shared" si="83"/>
        <v>0</v>
      </c>
      <c r="M531">
        <f t="shared" si="84"/>
        <v>2551.31205</v>
      </c>
      <c r="N531">
        <f t="shared" si="85"/>
        <v>1583.3887908723877</v>
      </c>
      <c r="O531">
        <f t="shared" si="86"/>
        <v>4134.7008408723877</v>
      </c>
      <c r="P531">
        <f t="shared" si="87"/>
        <v>0</v>
      </c>
      <c r="Q531">
        <f t="shared" si="88"/>
        <v>3148.5679022435957</v>
      </c>
      <c r="R531">
        <f t="shared" si="89"/>
        <v>1954.0561977564041</v>
      </c>
      <c r="S531">
        <f t="shared" si="90"/>
        <v>5102.6241</v>
      </c>
    </row>
    <row r="532" spans="1:19" x14ac:dyDescent="0.3">
      <c r="A532" t="s">
        <v>13</v>
      </c>
      <c r="B532" t="s">
        <v>24</v>
      </c>
      <c r="C532" t="s">
        <v>15</v>
      </c>
      <c r="D532">
        <v>0</v>
      </c>
      <c r="E532">
        <v>13</v>
      </c>
      <c r="F532">
        <v>15</v>
      </c>
      <c r="G532">
        <v>20260319</v>
      </c>
      <c r="H532">
        <v>20260415</v>
      </c>
      <c r="I532">
        <v>4011.6536999999998</v>
      </c>
      <c r="J532">
        <f t="shared" si="81"/>
        <v>28</v>
      </c>
      <c r="K532">
        <f t="shared" si="82"/>
        <v>143.27334642857141</v>
      </c>
      <c r="L532">
        <f t="shared" si="83"/>
        <v>0</v>
      </c>
      <c r="M532">
        <f t="shared" si="84"/>
        <v>1862.5535035714283</v>
      </c>
      <c r="N532">
        <f t="shared" si="85"/>
        <v>1333.7690940183684</v>
      </c>
      <c r="O532">
        <f t="shared" si="86"/>
        <v>3196.3225975897967</v>
      </c>
      <c r="P532">
        <f t="shared" si="87"/>
        <v>0</v>
      </c>
      <c r="Q532">
        <f t="shared" si="88"/>
        <v>2337.6613048021254</v>
      </c>
      <c r="R532">
        <f t="shared" si="89"/>
        <v>1673.9923951978742</v>
      </c>
      <c r="S532">
        <f t="shared" si="90"/>
        <v>4011.6536999999998</v>
      </c>
    </row>
    <row r="533" spans="1:19" x14ac:dyDescent="0.3">
      <c r="A533" t="s">
        <v>13</v>
      </c>
      <c r="B533" t="s">
        <v>24</v>
      </c>
      <c r="C533" t="s">
        <v>15</v>
      </c>
      <c r="D533">
        <v>0</v>
      </c>
      <c r="E533">
        <v>28</v>
      </c>
      <c r="F533">
        <v>1</v>
      </c>
      <c r="G533">
        <v>20260304</v>
      </c>
      <c r="H533">
        <v>20260401</v>
      </c>
      <c r="I533">
        <v>11026419.1259</v>
      </c>
      <c r="J533">
        <f t="shared" si="81"/>
        <v>29</v>
      </c>
      <c r="K533">
        <f t="shared" si="82"/>
        <v>380221.34916896553</v>
      </c>
      <c r="L533">
        <f t="shared" si="83"/>
        <v>0</v>
      </c>
      <c r="M533">
        <f t="shared" si="84"/>
        <v>10646197.776731035</v>
      </c>
      <c r="N533">
        <f t="shared" si="85"/>
        <v>235972.00598198731</v>
      </c>
      <c r="O533">
        <f t="shared" si="86"/>
        <v>10882169.782713022</v>
      </c>
      <c r="P533">
        <f t="shared" si="87"/>
        <v>0</v>
      </c>
      <c r="Q533">
        <f t="shared" si="88"/>
        <v>10787319.176910957</v>
      </c>
      <c r="R533">
        <f t="shared" si="89"/>
        <v>239099.94898904167</v>
      </c>
      <c r="S533">
        <f t="shared" si="90"/>
        <v>11026419.125899998</v>
      </c>
    </row>
    <row r="534" spans="1:19" x14ac:dyDescent="0.3">
      <c r="A534" t="s">
        <v>13</v>
      </c>
      <c r="B534" t="s">
        <v>24</v>
      </c>
      <c r="C534" t="s">
        <v>14</v>
      </c>
      <c r="D534">
        <v>0</v>
      </c>
      <c r="E534">
        <v>27</v>
      </c>
      <c r="F534">
        <v>1</v>
      </c>
      <c r="G534">
        <v>20260305</v>
      </c>
      <c r="H534">
        <v>20260401</v>
      </c>
      <c r="I534">
        <v>1531103.3407000001</v>
      </c>
      <c r="J534">
        <f t="shared" si="81"/>
        <v>28</v>
      </c>
      <c r="K534">
        <f t="shared" si="82"/>
        <v>54682.262167857145</v>
      </c>
      <c r="L534">
        <f t="shared" si="83"/>
        <v>0</v>
      </c>
      <c r="M534">
        <f t="shared" si="84"/>
        <v>1476421.078532143</v>
      </c>
      <c r="N534">
        <f t="shared" si="85"/>
        <v>33936.766369339348</v>
      </c>
      <c r="O534">
        <f t="shared" si="86"/>
        <v>1510357.8449014823</v>
      </c>
      <c r="P534">
        <f t="shared" si="87"/>
        <v>0</v>
      </c>
      <c r="Q534">
        <f t="shared" si="88"/>
        <v>1496700.4364240004</v>
      </c>
      <c r="R534">
        <f t="shared" si="89"/>
        <v>34402.904275999696</v>
      </c>
      <c r="S534">
        <f t="shared" si="90"/>
        <v>1531103.3407000001</v>
      </c>
    </row>
    <row r="535" spans="1:19" x14ac:dyDescent="0.3">
      <c r="A535" t="s">
        <v>13</v>
      </c>
      <c r="B535" t="s">
        <v>24</v>
      </c>
      <c r="C535" t="s">
        <v>14</v>
      </c>
      <c r="D535">
        <v>24</v>
      </c>
      <c r="E535">
        <v>5</v>
      </c>
      <c r="F535">
        <v>0</v>
      </c>
      <c r="G535">
        <v>20260205</v>
      </c>
      <c r="H535">
        <v>20260305</v>
      </c>
      <c r="I535">
        <v>654607.78480000002</v>
      </c>
      <c r="J535">
        <f t="shared" si="81"/>
        <v>29</v>
      </c>
      <c r="K535">
        <f t="shared" si="82"/>
        <v>22572.68223448276</v>
      </c>
      <c r="L535">
        <f t="shared" si="83"/>
        <v>734799.74577580893</v>
      </c>
      <c r="M535">
        <f t="shared" si="84"/>
        <v>112863.41117241379</v>
      </c>
      <c r="N535">
        <f t="shared" si="85"/>
        <v>0</v>
      </c>
      <c r="O535">
        <f t="shared" si="86"/>
        <v>847663.15694822278</v>
      </c>
      <c r="P535">
        <f t="shared" si="87"/>
        <v>567449.02725940512</v>
      </c>
      <c r="Q535">
        <f t="shared" si="88"/>
        <v>87158.757540594874</v>
      </c>
      <c r="R535">
        <f t="shared" si="89"/>
        <v>0</v>
      </c>
      <c r="S535">
        <f t="shared" si="90"/>
        <v>654607.78480000002</v>
      </c>
    </row>
    <row r="536" spans="1:19" x14ac:dyDescent="0.3">
      <c r="A536" t="s">
        <v>13</v>
      </c>
      <c r="B536" t="s">
        <v>24</v>
      </c>
      <c r="C536" t="s">
        <v>15</v>
      </c>
      <c r="D536">
        <v>0</v>
      </c>
      <c r="E536">
        <v>30</v>
      </c>
      <c r="F536">
        <v>1</v>
      </c>
      <c r="G536">
        <v>20260302</v>
      </c>
      <c r="H536">
        <v>20260401</v>
      </c>
      <c r="I536">
        <v>23836591.8796</v>
      </c>
      <c r="J536">
        <f t="shared" si="81"/>
        <v>31</v>
      </c>
      <c r="K536">
        <f t="shared" si="82"/>
        <v>768922.31869677419</v>
      </c>
      <c r="L536">
        <f t="shared" si="83"/>
        <v>0</v>
      </c>
      <c r="M536">
        <f t="shared" si="84"/>
        <v>23067669.560903225</v>
      </c>
      <c r="N536">
        <f t="shared" si="85"/>
        <v>477206.61236875277</v>
      </c>
      <c r="O536">
        <f t="shared" si="86"/>
        <v>23544876.173271976</v>
      </c>
      <c r="P536">
        <f t="shared" si="87"/>
        <v>0</v>
      </c>
      <c r="Q536">
        <f t="shared" si="88"/>
        <v>23353472.784915898</v>
      </c>
      <c r="R536">
        <f t="shared" si="89"/>
        <v>483119.09468410182</v>
      </c>
      <c r="S536">
        <f t="shared" si="90"/>
        <v>23836591.8796</v>
      </c>
    </row>
    <row r="537" spans="1:19" x14ac:dyDescent="0.3">
      <c r="A537" t="s">
        <v>13</v>
      </c>
      <c r="B537" t="s">
        <v>24</v>
      </c>
      <c r="C537" t="s">
        <v>15</v>
      </c>
      <c r="D537">
        <v>27</v>
      </c>
      <c r="E537">
        <v>1</v>
      </c>
      <c r="F537">
        <v>0</v>
      </c>
      <c r="G537">
        <v>20260202</v>
      </c>
      <c r="H537">
        <v>20260301</v>
      </c>
      <c r="I537">
        <v>20407083.3957</v>
      </c>
      <c r="J537">
        <f t="shared" si="81"/>
        <v>28</v>
      </c>
      <c r="K537">
        <f t="shared" si="82"/>
        <v>728824.40698928572</v>
      </c>
      <c r="L537">
        <f t="shared" si="83"/>
        <v>26690779.648327596</v>
      </c>
      <c r="M537">
        <f t="shared" si="84"/>
        <v>728824.40698928572</v>
      </c>
      <c r="N537">
        <f t="shared" si="85"/>
        <v>0</v>
      </c>
      <c r="O537">
        <f t="shared" si="86"/>
        <v>27419604.05531688</v>
      </c>
      <c r="P537">
        <f t="shared" si="87"/>
        <v>19864654.685779665</v>
      </c>
      <c r="Q537">
        <f t="shared" si="88"/>
        <v>542428.70992033614</v>
      </c>
      <c r="R537">
        <f t="shared" si="89"/>
        <v>0</v>
      </c>
      <c r="S537">
        <f t="shared" si="90"/>
        <v>20407083.3957</v>
      </c>
    </row>
    <row r="538" spans="1:19" x14ac:dyDescent="0.3">
      <c r="A538" t="s">
        <v>13</v>
      </c>
      <c r="B538" t="s">
        <v>24</v>
      </c>
      <c r="C538" t="s">
        <v>15</v>
      </c>
      <c r="D538">
        <v>25</v>
      </c>
      <c r="E538">
        <v>1</v>
      </c>
      <c r="F538">
        <v>0</v>
      </c>
      <c r="G538">
        <v>20260204</v>
      </c>
      <c r="H538">
        <v>20260301</v>
      </c>
      <c r="I538">
        <v>3218596.7760999999</v>
      </c>
      <c r="J538">
        <f t="shared" si="81"/>
        <v>26</v>
      </c>
      <c r="K538">
        <f t="shared" si="82"/>
        <v>123792.18369615384</v>
      </c>
      <c r="L538">
        <f t="shared" si="83"/>
        <v>4197665.427509211</v>
      </c>
      <c r="M538">
        <f t="shared" si="84"/>
        <v>123792.18369615384</v>
      </c>
      <c r="N538">
        <f t="shared" si="85"/>
        <v>0</v>
      </c>
      <c r="O538">
        <f t="shared" si="86"/>
        <v>4321457.6112053646</v>
      </c>
      <c r="P538">
        <f t="shared" si="87"/>
        <v>3126397.0696126129</v>
      </c>
      <c r="Q538">
        <f t="shared" si="88"/>
        <v>92199.706487387128</v>
      </c>
      <c r="R538">
        <f t="shared" si="89"/>
        <v>0</v>
      </c>
      <c r="S538">
        <f t="shared" si="90"/>
        <v>3218596.7760999999</v>
      </c>
    </row>
    <row r="539" spans="1:19" x14ac:dyDescent="0.3">
      <c r="A539" t="s">
        <v>13</v>
      </c>
      <c r="B539" t="s">
        <v>24</v>
      </c>
      <c r="C539" t="s">
        <v>14</v>
      </c>
      <c r="D539">
        <v>26</v>
      </c>
      <c r="E539">
        <v>3</v>
      </c>
      <c r="F539">
        <v>0</v>
      </c>
      <c r="G539">
        <v>20260203</v>
      </c>
      <c r="H539">
        <v>20260303</v>
      </c>
      <c r="I539">
        <v>1814000.2779000001</v>
      </c>
      <c r="J539">
        <f t="shared" si="81"/>
        <v>29</v>
      </c>
      <c r="K539">
        <f t="shared" si="82"/>
        <v>62551.733720689655</v>
      </c>
      <c r="L539">
        <f t="shared" si="83"/>
        <v>2205907.4484311678</v>
      </c>
      <c r="M539">
        <f t="shared" si="84"/>
        <v>187655.20116206896</v>
      </c>
      <c r="N539">
        <f t="shared" si="85"/>
        <v>0</v>
      </c>
      <c r="O539">
        <f t="shared" si="86"/>
        <v>2393562.6495932369</v>
      </c>
      <c r="P539">
        <f t="shared" si="87"/>
        <v>1671782.7399069075</v>
      </c>
      <c r="Q539">
        <f t="shared" si="88"/>
        <v>142217.53799309258</v>
      </c>
      <c r="R539">
        <f t="shared" si="89"/>
        <v>0</v>
      </c>
      <c r="S539">
        <f t="shared" si="90"/>
        <v>1814000.2779000001</v>
      </c>
    </row>
    <row r="540" spans="1:19" x14ac:dyDescent="0.3">
      <c r="A540" t="s">
        <v>13</v>
      </c>
      <c r="B540" t="s">
        <v>24</v>
      </c>
      <c r="C540" t="s">
        <v>15</v>
      </c>
      <c r="D540">
        <v>26</v>
      </c>
      <c r="E540">
        <v>5</v>
      </c>
      <c r="F540">
        <v>0</v>
      </c>
      <c r="G540">
        <v>20260203</v>
      </c>
      <c r="H540">
        <v>20260305</v>
      </c>
      <c r="I540">
        <v>1570303.4782</v>
      </c>
      <c r="J540">
        <f t="shared" si="81"/>
        <v>31</v>
      </c>
      <c r="K540">
        <f t="shared" si="82"/>
        <v>50654.95090967742</v>
      </c>
      <c r="L540">
        <f t="shared" si="83"/>
        <v>1786363.4925056177</v>
      </c>
      <c r="M540">
        <f t="shared" si="84"/>
        <v>253274.75454838711</v>
      </c>
      <c r="N540">
        <f t="shared" si="85"/>
        <v>0</v>
      </c>
      <c r="O540">
        <f t="shared" si="86"/>
        <v>2039638.2470540048</v>
      </c>
      <c r="P540">
        <f t="shared" si="87"/>
        <v>1375308.9841606591</v>
      </c>
      <c r="Q540">
        <f t="shared" si="88"/>
        <v>194994.49403934076</v>
      </c>
      <c r="R540">
        <f t="shared" si="89"/>
        <v>0</v>
      </c>
      <c r="S540">
        <f t="shared" si="90"/>
        <v>1570303.4781999998</v>
      </c>
    </row>
    <row r="541" spans="1:19" x14ac:dyDescent="0.3">
      <c r="A541" t="s">
        <v>13</v>
      </c>
      <c r="B541" t="s">
        <v>37</v>
      </c>
      <c r="C541" t="s">
        <v>15</v>
      </c>
      <c r="D541">
        <v>0</v>
      </c>
      <c r="E541">
        <v>27</v>
      </c>
      <c r="F541">
        <v>6</v>
      </c>
      <c r="G541">
        <v>20260305</v>
      </c>
      <c r="H541">
        <v>20260406</v>
      </c>
      <c r="I541">
        <v>261731.24230000001</v>
      </c>
      <c r="J541">
        <f t="shared" si="81"/>
        <v>33</v>
      </c>
      <c r="K541">
        <f t="shared" si="82"/>
        <v>7931.2497666666668</v>
      </c>
      <c r="L541">
        <f t="shared" si="83"/>
        <v>0</v>
      </c>
      <c r="M541">
        <f t="shared" si="84"/>
        <v>214143.74369999999</v>
      </c>
      <c r="N541">
        <f t="shared" si="85"/>
        <v>29533.632261445808</v>
      </c>
      <c r="O541">
        <f t="shared" si="86"/>
        <v>243677.3759614458</v>
      </c>
      <c r="P541">
        <f t="shared" si="87"/>
        <v>0</v>
      </c>
      <c r="Q541">
        <f t="shared" si="88"/>
        <v>230009.48630635958</v>
      </c>
      <c r="R541">
        <f t="shared" si="89"/>
        <v>31721.755993640447</v>
      </c>
      <c r="S541">
        <f t="shared" si="90"/>
        <v>261731.24230000004</v>
      </c>
    </row>
    <row r="542" spans="1:19" x14ac:dyDescent="0.3">
      <c r="A542" t="s">
        <v>13</v>
      </c>
      <c r="B542" t="s">
        <v>24</v>
      </c>
      <c r="C542" t="s">
        <v>15</v>
      </c>
      <c r="D542">
        <v>0</v>
      </c>
      <c r="E542">
        <v>25</v>
      </c>
      <c r="F542">
        <v>6</v>
      </c>
      <c r="G542">
        <v>20260307</v>
      </c>
      <c r="H542">
        <v>20260406</v>
      </c>
      <c r="I542">
        <v>983891.57499999995</v>
      </c>
      <c r="J542">
        <f t="shared" si="81"/>
        <v>31</v>
      </c>
      <c r="K542">
        <f t="shared" si="82"/>
        <v>31738.437903225804</v>
      </c>
      <c r="L542">
        <f t="shared" si="83"/>
        <v>0</v>
      </c>
      <c r="M542">
        <f t="shared" si="84"/>
        <v>793460.94758064509</v>
      </c>
      <c r="N542">
        <f t="shared" si="85"/>
        <v>118184.57130502809</v>
      </c>
      <c r="O542">
        <f t="shared" si="86"/>
        <v>911645.51888567314</v>
      </c>
      <c r="P542">
        <f t="shared" si="87"/>
        <v>0</v>
      </c>
      <c r="Q542">
        <f t="shared" si="88"/>
        <v>856341.11641370994</v>
      </c>
      <c r="R542">
        <f t="shared" si="89"/>
        <v>127550.45858628997</v>
      </c>
      <c r="S542">
        <f t="shared" si="90"/>
        <v>983891.57499999995</v>
      </c>
    </row>
    <row r="543" spans="1:19" x14ac:dyDescent="0.3">
      <c r="A543" t="s">
        <v>13</v>
      </c>
      <c r="B543" t="s">
        <v>37</v>
      </c>
      <c r="C543" t="s">
        <v>14</v>
      </c>
      <c r="D543">
        <v>0</v>
      </c>
      <c r="E543">
        <v>28</v>
      </c>
      <c r="F543">
        <v>3</v>
      </c>
      <c r="G543">
        <v>20260304</v>
      </c>
      <c r="H543">
        <v>20260403</v>
      </c>
      <c r="I543">
        <v>140938.13699999999</v>
      </c>
      <c r="J543">
        <f t="shared" si="81"/>
        <v>31</v>
      </c>
      <c r="K543">
        <f t="shared" si="82"/>
        <v>4546.3915161290315</v>
      </c>
      <c r="L543">
        <f t="shared" si="83"/>
        <v>0</v>
      </c>
      <c r="M543">
        <f t="shared" si="84"/>
        <v>127298.96245161288</v>
      </c>
      <c r="N543">
        <f t="shared" si="85"/>
        <v>8464.7097937973085</v>
      </c>
      <c r="O543">
        <f t="shared" si="86"/>
        <v>135763.67224541018</v>
      </c>
      <c r="P543">
        <f t="shared" si="87"/>
        <v>0</v>
      </c>
      <c r="Q543">
        <f t="shared" si="88"/>
        <v>132150.80524289381</v>
      </c>
      <c r="R543">
        <f t="shared" si="89"/>
        <v>8787.3317571061725</v>
      </c>
      <c r="S543">
        <f t="shared" si="90"/>
        <v>140938.13699999999</v>
      </c>
    </row>
    <row r="544" spans="1:19" x14ac:dyDescent="0.3">
      <c r="A544" t="s">
        <v>13</v>
      </c>
      <c r="B544" t="s">
        <v>37</v>
      </c>
      <c r="C544" t="s">
        <v>15</v>
      </c>
      <c r="D544">
        <v>0</v>
      </c>
      <c r="E544">
        <v>29</v>
      </c>
      <c r="F544">
        <v>1</v>
      </c>
      <c r="G544">
        <v>20260303</v>
      </c>
      <c r="H544">
        <v>20260401</v>
      </c>
      <c r="I544">
        <v>203001.72159999999</v>
      </c>
      <c r="J544">
        <f t="shared" si="81"/>
        <v>30</v>
      </c>
      <c r="K544">
        <f t="shared" si="82"/>
        <v>6766.7240533333334</v>
      </c>
      <c r="L544">
        <f t="shared" si="83"/>
        <v>0</v>
      </c>
      <c r="M544">
        <f t="shared" si="84"/>
        <v>196234.99754666668</v>
      </c>
      <c r="N544">
        <f t="shared" si="85"/>
        <v>4199.5470593158407</v>
      </c>
      <c r="O544">
        <f t="shared" si="86"/>
        <v>200434.54460598252</v>
      </c>
      <c r="P544">
        <f t="shared" si="87"/>
        <v>0</v>
      </c>
      <c r="Q544">
        <f t="shared" si="88"/>
        <v>198748.38650420989</v>
      </c>
      <c r="R544">
        <f t="shared" si="89"/>
        <v>4253.3350957901066</v>
      </c>
      <c r="S544">
        <f t="shared" si="90"/>
        <v>203001.72159999999</v>
      </c>
    </row>
    <row r="545" spans="1:19" x14ac:dyDescent="0.3">
      <c r="A545" t="s">
        <v>13</v>
      </c>
      <c r="B545" t="s">
        <v>37</v>
      </c>
      <c r="C545" t="s">
        <v>15</v>
      </c>
      <c r="D545">
        <v>0</v>
      </c>
      <c r="E545">
        <v>27</v>
      </c>
      <c r="F545">
        <v>2</v>
      </c>
      <c r="G545">
        <v>20260305</v>
      </c>
      <c r="H545">
        <v>20260402</v>
      </c>
      <c r="I545">
        <v>519471.46659999999</v>
      </c>
      <c r="J545">
        <f t="shared" si="81"/>
        <v>29</v>
      </c>
      <c r="K545">
        <f t="shared" si="82"/>
        <v>17912.809193103447</v>
      </c>
      <c r="L545">
        <f t="shared" si="83"/>
        <v>0</v>
      </c>
      <c r="M545">
        <f t="shared" si="84"/>
        <v>483645.84821379307</v>
      </c>
      <c r="N545">
        <f t="shared" si="85"/>
        <v>22234.004099495283</v>
      </c>
      <c r="O545">
        <f t="shared" si="86"/>
        <v>505879.85231328837</v>
      </c>
      <c r="P545">
        <f t="shared" si="87"/>
        <v>0</v>
      </c>
      <c r="Q545">
        <f t="shared" si="88"/>
        <v>496640.09534625331</v>
      </c>
      <c r="R545">
        <f t="shared" si="89"/>
        <v>22831.371253746678</v>
      </c>
      <c r="S545">
        <f t="shared" si="90"/>
        <v>519471.46659999999</v>
      </c>
    </row>
    <row r="546" spans="1:19" x14ac:dyDescent="0.3">
      <c r="A546" t="s">
        <v>13</v>
      </c>
      <c r="B546" t="s">
        <v>24</v>
      </c>
      <c r="C546" t="s">
        <v>15</v>
      </c>
      <c r="D546">
        <v>25</v>
      </c>
      <c r="E546">
        <v>2</v>
      </c>
      <c r="F546">
        <v>0</v>
      </c>
      <c r="G546">
        <v>20260204</v>
      </c>
      <c r="H546">
        <v>20260302</v>
      </c>
      <c r="I546">
        <v>2448735.8661000002</v>
      </c>
      <c r="J546">
        <f t="shared" si="81"/>
        <v>27</v>
      </c>
      <c r="K546">
        <f t="shared" si="82"/>
        <v>90693.920966666672</v>
      </c>
      <c r="L546">
        <f t="shared" si="83"/>
        <v>3075337.4337547757</v>
      </c>
      <c r="M546">
        <f t="shared" si="84"/>
        <v>181387.84193333334</v>
      </c>
      <c r="N546">
        <f t="shared" si="85"/>
        <v>0</v>
      </c>
      <c r="O546">
        <f t="shared" si="86"/>
        <v>3256725.275688109</v>
      </c>
      <c r="P546">
        <f t="shared" si="87"/>
        <v>2312350.117651267</v>
      </c>
      <c r="Q546">
        <f t="shared" si="88"/>
        <v>136385.74844873359</v>
      </c>
      <c r="R546">
        <f t="shared" si="89"/>
        <v>0</v>
      </c>
      <c r="S546">
        <f t="shared" si="90"/>
        <v>2448735.8661000007</v>
      </c>
    </row>
    <row r="547" spans="1:19" x14ac:dyDescent="0.3">
      <c r="A547" t="s">
        <v>13</v>
      </c>
      <c r="B547" t="s">
        <v>24</v>
      </c>
      <c r="C547" t="s">
        <v>15</v>
      </c>
      <c r="D547">
        <v>9</v>
      </c>
      <c r="E547">
        <v>15</v>
      </c>
      <c r="F547">
        <v>0</v>
      </c>
      <c r="G547">
        <v>20260220</v>
      </c>
      <c r="H547">
        <v>20260315</v>
      </c>
      <c r="I547">
        <v>670406.47620000003</v>
      </c>
      <c r="J547">
        <f t="shared" si="81"/>
        <v>24</v>
      </c>
      <c r="K547">
        <f t="shared" si="82"/>
        <v>27933.603175</v>
      </c>
      <c r="L547">
        <f t="shared" si="83"/>
        <v>340991.89506547793</v>
      </c>
      <c r="M547">
        <f t="shared" si="84"/>
        <v>419004.04762500001</v>
      </c>
      <c r="N547">
        <f t="shared" si="85"/>
        <v>0</v>
      </c>
      <c r="O547">
        <f t="shared" si="86"/>
        <v>759995.94269047794</v>
      </c>
      <c r="P547">
        <f t="shared" si="87"/>
        <v>300795.25684614084</v>
      </c>
      <c r="Q547">
        <f t="shared" si="88"/>
        <v>369611.2193538592</v>
      </c>
      <c r="R547">
        <f t="shared" si="89"/>
        <v>0</v>
      </c>
      <c r="S547">
        <f t="shared" si="90"/>
        <v>670406.47620000003</v>
      </c>
    </row>
    <row r="548" spans="1:19" x14ac:dyDescent="0.3">
      <c r="A548" t="s">
        <v>13</v>
      </c>
      <c r="B548" t="s">
        <v>24</v>
      </c>
      <c r="C548" t="s">
        <v>15</v>
      </c>
      <c r="D548">
        <v>0</v>
      </c>
      <c r="E548">
        <v>27</v>
      </c>
      <c r="F548">
        <v>4</v>
      </c>
      <c r="G548">
        <v>20260305</v>
      </c>
      <c r="H548">
        <v>20260404</v>
      </c>
      <c r="I548">
        <v>1552052.7705999999</v>
      </c>
      <c r="J548">
        <f t="shared" si="81"/>
        <v>31</v>
      </c>
      <c r="K548">
        <f t="shared" si="82"/>
        <v>50066.218406451611</v>
      </c>
      <c r="L548">
        <f t="shared" si="83"/>
        <v>0</v>
      </c>
      <c r="M548">
        <f t="shared" si="84"/>
        <v>1351787.8969741934</v>
      </c>
      <c r="N548">
        <f t="shared" si="85"/>
        <v>124287.8761555558</v>
      </c>
      <c r="O548">
        <f t="shared" si="86"/>
        <v>1476075.7731297491</v>
      </c>
      <c r="P548">
        <f t="shared" si="87"/>
        <v>0</v>
      </c>
      <c r="Q548">
        <f t="shared" si="88"/>
        <v>1421367.5130740886</v>
      </c>
      <c r="R548">
        <f t="shared" si="89"/>
        <v>130685.25752591141</v>
      </c>
      <c r="S548">
        <f t="shared" si="90"/>
        <v>1552052.7705999999</v>
      </c>
    </row>
    <row r="549" spans="1:19" x14ac:dyDescent="0.3">
      <c r="A549" t="s">
        <v>13</v>
      </c>
      <c r="B549" t="s">
        <v>37</v>
      </c>
      <c r="C549" t="s">
        <v>14</v>
      </c>
      <c r="D549">
        <v>0</v>
      </c>
      <c r="E549">
        <v>28</v>
      </c>
      <c r="F549">
        <v>1</v>
      </c>
      <c r="G549">
        <v>20260304</v>
      </c>
      <c r="H549">
        <v>20260401</v>
      </c>
      <c r="I549">
        <v>107559.4531</v>
      </c>
      <c r="J549">
        <f t="shared" si="81"/>
        <v>29</v>
      </c>
      <c r="K549">
        <f t="shared" si="82"/>
        <v>3708.9466586206895</v>
      </c>
      <c r="L549">
        <f t="shared" si="83"/>
        <v>0</v>
      </c>
      <c r="M549">
        <f t="shared" si="84"/>
        <v>103850.5064413793</v>
      </c>
      <c r="N549">
        <f t="shared" si="85"/>
        <v>2301.8370352633251</v>
      </c>
      <c r="O549">
        <f t="shared" si="86"/>
        <v>106152.34347664262</v>
      </c>
      <c r="P549">
        <f t="shared" si="87"/>
        <v>0</v>
      </c>
      <c r="Q549">
        <f t="shared" si="88"/>
        <v>105227.10390704294</v>
      </c>
      <c r="R549">
        <f t="shared" si="89"/>
        <v>2332.349192957066</v>
      </c>
      <c r="S549">
        <f t="shared" si="90"/>
        <v>107559.4531</v>
      </c>
    </row>
    <row r="550" spans="1:19" x14ac:dyDescent="0.3">
      <c r="A550" t="s">
        <v>13</v>
      </c>
      <c r="B550" t="s">
        <v>37</v>
      </c>
      <c r="C550" t="s">
        <v>14</v>
      </c>
      <c r="D550">
        <v>0</v>
      </c>
      <c r="E550">
        <v>16</v>
      </c>
      <c r="F550">
        <v>15</v>
      </c>
      <c r="G550">
        <v>20260316</v>
      </c>
      <c r="H550">
        <v>20260415</v>
      </c>
      <c r="I550">
        <v>4830965.8070999999</v>
      </c>
      <c r="J550">
        <f t="shared" si="81"/>
        <v>31</v>
      </c>
      <c r="K550">
        <f t="shared" si="82"/>
        <v>155837.60668064517</v>
      </c>
      <c r="L550">
        <f t="shared" si="83"/>
        <v>0</v>
      </c>
      <c r="M550">
        <f t="shared" si="84"/>
        <v>2493401.7068903227</v>
      </c>
      <c r="N550">
        <f t="shared" si="85"/>
        <v>1450733.0823047312</v>
      </c>
      <c r="O550">
        <f t="shared" si="86"/>
        <v>3944134.7891950542</v>
      </c>
      <c r="P550">
        <f t="shared" si="87"/>
        <v>0</v>
      </c>
      <c r="Q550">
        <f t="shared" si="88"/>
        <v>3054038.2195736929</v>
      </c>
      <c r="R550">
        <f t="shared" si="89"/>
        <v>1776927.5875263067</v>
      </c>
      <c r="S550">
        <f t="shared" si="90"/>
        <v>4830965.8070999999</v>
      </c>
    </row>
    <row r="551" spans="1:19" x14ac:dyDescent="0.3">
      <c r="A551" t="s">
        <v>13</v>
      </c>
      <c r="B551" t="s">
        <v>24</v>
      </c>
      <c r="C551" t="s">
        <v>14</v>
      </c>
      <c r="D551">
        <v>0</v>
      </c>
      <c r="E551">
        <v>16</v>
      </c>
      <c r="F551">
        <v>15</v>
      </c>
      <c r="G551">
        <v>20260316</v>
      </c>
      <c r="H551">
        <v>20260415</v>
      </c>
      <c r="I551">
        <v>5178562.5158000002</v>
      </c>
      <c r="J551">
        <f t="shared" si="81"/>
        <v>31</v>
      </c>
      <c r="K551">
        <f t="shared" si="82"/>
        <v>167050.40373548388</v>
      </c>
      <c r="L551">
        <f t="shared" si="83"/>
        <v>0</v>
      </c>
      <c r="M551">
        <f t="shared" si="84"/>
        <v>2672806.4597677421</v>
      </c>
      <c r="N551">
        <f t="shared" si="85"/>
        <v>1555115.9458452291</v>
      </c>
      <c r="O551">
        <f t="shared" si="86"/>
        <v>4227922.4056129716</v>
      </c>
      <c r="P551">
        <f t="shared" si="87"/>
        <v>0</v>
      </c>
      <c r="Q551">
        <f t="shared" si="88"/>
        <v>3273781.7813698961</v>
      </c>
      <c r="R551">
        <f t="shared" si="89"/>
        <v>1904780.7344301038</v>
      </c>
      <c r="S551">
        <f t="shared" si="90"/>
        <v>5178562.5158000002</v>
      </c>
    </row>
    <row r="552" spans="1:19" x14ac:dyDescent="0.3">
      <c r="A552" t="s">
        <v>13</v>
      </c>
      <c r="B552" t="s">
        <v>24</v>
      </c>
      <c r="C552" t="s">
        <v>14</v>
      </c>
      <c r="D552">
        <v>24</v>
      </c>
      <c r="E552">
        <v>1</v>
      </c>
      <c r="F552">
        <v>0</v>
      </c>
      <c r="G552">
        <v>20260205</v>
      </c>
      <c r="H552">
        <v>20260301</v>
      </c>
      <c r="I552">
        <v>232582.36960000001</v>
      </c>
      <c r="J552">
        <f t="shared" si="81"/>
        <v>25</v>
      </c>
      <c r="K552">
        <f t="shared" si="82"/>
        <v>9303.2947839999997</v>
      </c>
      <c r="L552">
        <f t="shared" si="83"/>
        <v>302846.53685141698</v>
      </c>
      <c r="M552">
        <f t="shared" si="84"/>
        <v>9303.2947839999997</v>
      </c>
      <c r="N552">
        <f t="shared" si="85"/>
        <v>0</v>
      </c>
      <c r="O552">
        <f t="shared" si="86"/>
        <v>312149.83163541701</v>
      </c>
      <c r="P552">
        <f t="shared" si="87"/>
        <v>225650.49866284925</v>
      </c>
      <c r="Q552">
        <f t="shared" si="88"/>
        <v>6931.8709371507284</v>
      </c>
      <c r="R552">
        <f t="shared" si="89"/>
        <v>0</v>
      </c>
      <c r="S552">
        <f t="shared" si="90"/>
        <v>232582.36959999998</v>
      </c>
    </row>
    <row r="553" spans="1:19" x14ac:dyDescent="0.3">
      <c r="A553" t="s">
        <v>13</v>
      </c>
      <c r="B553" t="s">
        <v>24</v>
      </c>
      <c r="C553" t="s">
        <v>14</v>
      </c>
      <c r="D553">
        <v>0</v>
      </c>
      <c r="E553">
        <v>25</v>
      </c>
      <c r="F553">
        <v>6</v>
      </c>
      <c r="G553">
        <v>20260307</v>
      </c>
      <c r="H553">
        <v>20260406</v>
      </c>
      <c r="I553">
        <v>1025195.7749</v>
      </c>
      <c r="J553">
        <f t="shared" si="81"/>
        <v>31</v>
      </c>
      <c r="K553">
        <f t="shared" si="82"/>
        <v>33070.831448387093</v>
      </c>
      <c r="L553">
        <f t="shared" si="83"/>
        <v>0</v>
      </c>
      <c r="M553">
        <f t="shared" si="84"/>
        <v>826770.78620967735</v>
      </c>
      <c r="N553">
        <f t="shared" si="85"/>
        <v>123146.01144977035</v>
      </c>
      <c r="O553">
        <f t="shared" si="86"/>
        <v>949916.79765944765</v>
      </c>
      <c r="P553">
        <f t="shared" si="87"/>
        <v>0</v>
      </c>
      <c r="Q553">
        <f t="shared" si="88"/>
        <v>892290.69211257808</v>
      </c>
      <c r="R553">
        <f t="shared" si="89"/>
        <v>132905.08278742188</v>
      </c>
      <c r="S553">
        <f t="shared" si="90"/>
        <v>1025195.7749</v>
      </c>
    </row>
    <row r="554" spans="1:19" x14ac:dyDescent="0.3">
      <c r="A554" t="s">
        <v>13</v>
      </c>
      <c r="B554" t="s">
        <v>24</v>
      </c>
      <c r="C554" t="s">
        <v>14</v>
      </c>
      <c r="D554">
        <v>23</v>
      </c>
      <c r="E554">
        <v>6</v>
      </c>
      <c r="F554">
        <v>0</v>
      </c>
      <c r="G554">
        <v>20260206</v>
      </c>
      <c r="H554">
        <v>20260306</v>
      </c>
      <c r="I554">
        <v>415657.22730000003</v>
      </c>
      <c r="J554">
        <f t="shared" si="81"/>
        <v>29</v>
      </c>
      <c r="K554">
        <f t="shared" si="82"/>
        <v>14333.007837931036</v>
      </c>
      <c r="L554">
        <f t="shared" si="83"/>
        <v>447136.12849323446</v>
      </c>
      <c r="M554">
        <f t="shared" si="84"/>
        <v>85998.047027586217</v>
      </c>
      <c r="N554">
        <f t="shared" si="85"/>
        <v>0</v>
      </c>
      <c r="O554">
        <f t="shared" si="86"/>
        <v>533134.17552082066</v>
      </c>
      <c r="P554">
        <f t="shared" si="87"/>
        <v>348608.98424602329</v>
      </c>
      <c r="Q554">
        <f t="shared" si="88"/>
        <v>67048.243053976781</v>
      </c>
      <c r="R554">
        <f t="shared" si="89"/>
        <v>0</v>
      </c>
      <c r="S554">
        <f t="shared" si="90"/>
        <v>415657.22730000009</v>
      </c>
    </row>
    <row r="555" spans="1:19" x14ac:dyDescent="0.3">
      <c r="A555" t="s">
        <v>13</v>
      </c>
      <c r="B555" t="s">
        <v>37</v>
      </c>
      <c r="C555" t="s">
        <v>14</v>
      </c>
      <c r="D555">
        <v>0</v>
      </c>
      <c r="E555">
        <v>26</v>
      </c>
      <c r="F555">
        <v>1</v>
      </c>
      <c r="G555">
        <v>20260306</v>
      </c>
      <c r="H555">
        <v>20260401</v>
      </c>
      <c r="I555">
        <v>9539.3495999999996</v>
      </c>
      <c r="J555">
        <f t="shared" si="81"/>
        <v>27</v>
      </c>
      <c r="K555">
        <f t="shared" si="82"/>
        <v>353.3092444444444</v>
      </c>
      <c r="L555">
        <f t="shared" si="83"/>
        <v>0</v>
      </c>
      <c r="M555">
        <f t="shared" si="84"/>
        <v>9186.0403555555549</v>
      </c>
      <c r="N555">
        <f t="shared" si="85"/>
        <v>219.26988404453533</v>
      </c>
      <c r="O555">
        <f t="shared" si="86"/>
        <v>9405.3102396000904</v>
      </c>
      <c r="P555">
        <f t="shared" si="87"/>
        <v>0</v>
      </c>
      <c r="Q555">
        <f t="shared" si="88"/>
        <v>9316.9548009591945</v>
      </c>
      <c r="R555">
        <f t="shared" si="89"/>
        <v>222.39479904080466</v>
      </c>
      <c r="S555">
        <f t="shared" si="90"/>
        <v>9539.3495999999996</v>
      </c>
    </row>
    <row r="556" spans="1:19" x14ac:dyDescent="0.3">
      <c r="A556" t="s">
        <v>13</v>
      </c>
      <c r="B556" t="s">
        <v>24</v>
      </c>
      <c r="C556" t="s">
        <v>14</v>
      </c>
      <c r="D556">
        <v>23</v>
      </c>
      <c r="E556">
        <v>4</v>
      </c>
      <c r="F556">
        <v>0</v>
      </c>
      <c r="G556">
        <v>20260206</v>
      </c>
      <c r="H556">
        <v>20260304</v>
      </c>
      <c r="I556">
        <v>488073.3174</v>
      </c>
      <c r="J556">
        <f t="shared" si="81"/>
        <v>27</v>
      </c>
      <c r="K556">
        <f t="shared" si="82"/>
        <v>18076.789533333333</v>
      </c>
      <c r="L556">
        <f t="shared" si="83"/>
        <v>563928.08675728983</v>
      </c>
      <c r="M556">
        <f t="shared" si="84"/>
        <v>72307.158133333331</v>
      </c>
      <c r="N556">
        <f t="shared" si="85"/>
        <v>0</v>
      </c>
      <c r="O556">
        <f t="shared" si="86"/>
        <v>636235.24489062314</v>
      </c>
      <c r="P556">
        <f t="shared" si="87"/>
        <v>432604.53470474173</v>
      </c>
      <c r="Q556">
        <f t="shared" si="88"/>
        <v>55468.782695258247</v>
      </c>
      <c r="R556">
        <f t="shared" si="89"/>
        <v>0</v>
      </c>
      <c r="S556">
        <f t="shared" si="90"/>
        <v>488073.3174</v>
      </c>
    </row>
    <row r="557" spans="1:19" x14ac:dyDescent="0.3">
      <c r="A557" t="s">
        <v>13</v>
      </c>
      <c r="B557" t="s">
        <v>24</v>
      </c>
      <c r="C557" t="s">
        <v>14</v>
      </c>
      <c r="D557">
        <v>9</v>
      </c>
      <c r="E557">
        <v>15</v>
      </c>
      <c r="F557">
        <v>0</v>
      </c>
      <c r="G557">
        <v>20260220</v>
      </c>
      <c r="H557">
        <v>20260315</v>
      </c>
      <c r="I557">
        <v>1757933.4805999999</v>
      </c>
      <c r="J557">
        <f t="shared" si="81"/>
        <v>24</v>
      </c>
      <c r="K557">
        <f t="shared" si="82"/>
        <v>73247.228358333334</v>
      </c>
      <c r="L557">
        <f t="shared" si="83"/>
        <v>894145.70149530657</v>
      </c>
      <c r="M557">
        <f t="shared" si="84"/>
        <v>1098708.4253750001</v>
      </c>
      <c r="N557">
        <f t="shared" si="85"/>
        <v>0</v>
      </c>
      <c r="O557">
        <f t="shared" si="86"/>
        <v>1992854.1268703067</v>
      </c>
      <c r="P557">
        <f t="shared" si="87"/>
        <v>788742.45936991624</v>
      </c>
      <c r="Q557">
        <f t="shared" si="88"/>
        <v>969191.02123008354</v>
      </c>
      <c r="R557">
        <f t="shared" si="89"/>
        <v>0</v>
      </c>
      <c r="S557">
        <f t="shared" si="90"/>
        <v>1757933.4805999999</v>
      </c>
    </row>
    <row r="558" spans="1:19" x14ac:dyDescent="0.3">
      <c r="A558" t="s">
        <v>13</v>
      </c>
      <c r="B558" t="s">
        <v>24</v>
      </c>
      <c r="C558" t="s">
        <v>14</v>
      </c>
      <c r="D558">
        <v>26</v>
      </c>
      <c r="E558">
        <v>2</v>
      </c>
      <c r="F558">
        <v>0</v>
      </c>
      <c r="G558">
        <v>20260203</v>
      </c>
      <c r="H558">
        <v>20260302</v>
      </c>
      <c r="I558">
        <v>797872.61340000003</v>
      </c>
      <c r="J558">
        <f t="shared" si="81"/>
        <v>28</v>
      </c>
      <c r="K558">
        <f t="shared" si="82"/>
        <v>28495.450478571431</v>
      </c>
      <c r="L558">
        <f t="shared" si="83"/>
        <v>1004901.4266776614</v>
      </c>
      <c r="M558">
        <f t="shared" si="84"/>
        <v>56990.900957142861</v>
      </c>
      <c r="N558">
        <f t="shared" si="85"/>
        <v>0</v>
      </c>
      <c r="O558">
        <f t="shared" si="86"/>
        <v>1061892.3276348042</v>
      </c>
      <c r="P558">
        <f t="shared" si="87"/>
        <v>755051.43661649642</v>
      </c>
      <c r="Q558">
        <f t="shared" si="88"/>
        <v>42821.176783503659</v>
      </c>
      <c r="R558">
        <f t="shared" si="89"/>
        <v>0</v>
      </c>
      <c r="S558">
        <f t="shared" si="90"/>
        <v>797872.61340000003</v>
      </c>
    </row>
    <row r="559" spans="1:19" x14ac:dyDescent="0.3">
      <c r="A559" t="s">
        <v>13</v>
      </c>
      <c r="B559" t="s">
        <v>24</v>
      </c>
      <c r="C559" t="s">
        <v>14</v>
      </c>
      <c r="D559">
        <v>9</v>
      </c>
      <c r="E559">
        <v>17</v>
      </c>
      <c r="F559">
        <v>0</v>
      </c>
      <c r="G559">
        <v>20260220</v>
      </c>
      <c r="H559">
        <v>20260317</v>
      </c>
      <c r="I559">
        <v>2939234.4884000001</v>
      </c>
      <c r="J559">
        <f t="shared" si="81"/>
        <v>26</v>
      </c>
      <c r="K559">
        <f t="shared" si="82"/>
        <v>113047.48032307693</v>
      </c>
      <c r="L559">
        <f t="shared" si="83"/>
        <v>1379996.4976320434</v>
      </c>
      <c r="M559">
        <f t="shared" si="84"/>
        <v>1921807.1654923079</v>
      </c>
      <c r="N559">
        <f t="shared" si="85"/>
        <v>0</v>
      </c>
      <c r="O559">
        <f t="shared" si="86"/>
        <v>3301803.6631243513</v>
      </c>
      <c r="P559">
        <f t="shared" si="87"/>
        <v>1228459.8702859185</v>
      </c>
      <c r="Q559">
        <f t="shared" si="88"/>
        <v>1710774.6181140814</v>
      </c>
      <c r="R559">
        <f t="shared" si="89"/>
        <v>0</v>
      </c>
      <c r="S559">
        <f t="shared" si="90"/>
        <v>2939234.4884000001</v>
      </c>
    </row>
    <row r="560" spans="1:19" x14ac:dyDescent="0.3">
      <c r="A560" t="s">
        <v>13</v>
      </c>
      <c r="B560" t="s">
        <v>24</v>
      </c>
      <c r="C560" t="s">
        <v>14</v>
      </c>
      <c r="D560">
        <v>21</v>
      </c>
      <c r="E560">
        <v>6</v>
      </c>
      <c r="F560">
        <v>0</v>
      </c>
      <c r="G560">
        <v>20260208</v>
      </c>
      <c r="H560">
        <v>20260306</v>
      </c>
      <c r="I560">
        <v>38513.683400000002</v>
      </c>
      <c r="J560">
        <f t="shared" si="81"/>
        <v>27</v>
      </c>
      <c r="K560">
        <f t="shared" si="82"/>
        <v>1426.4327185185186</v>
      </c>
      <c r="L560">
        <f t="shared" si="83"/>
        <v>40629.845826029545</v>
      </c>
      <c r="M560">
        <f t="shared" si="84"/>
        <v>8558.5963111111123</v>
      </c>
      <c r="N560">
        <f t="shared" si="85"/>
        <v>0</v>
      </c>
      <c r="O560">
        <f t="shared" si="86"/>
        <v>49188.442137140657</v>
      </c>
      <c r="P560">
        <f t="shared" si="87"/>
        <v>31812.453307053973</v>
      </c>
      <c r="Q560">
        <f t="shared" si="88"/>
        <v>6701.2300929460262</v>
      </c>
      <c r="R560">
        <f t="shared" si="89"/>
        <v>0</v>
      </c>
      <c r="S560">
        <f t="shared" si="90"/>
        <v>38513.683400000002</v>
      </c>
    </row>
    <row r="561" spans="1:19" x14ac:dyDescent="0.3">
      <c r="A561" t="s">
        <v>13</v>
      </c>
      <c r="B561" t="s">
        <v>24</v>
      </c>
      <c r="C561" t="s">
        <v>14</v>
      </c>
      <c r="D561">
        <v>0</v>
      </c>
      <c r="E561">
        <v>30</v>
      </c>
      <c r="F561">
        <v>6</v>
      </c>
      <c r="G561">
        <v>20260302</v>
      </c>
      <c r="H561">
        <v>20260406</v>
      </c>
      <c r="I561">
        <v>315072.71970000002</v>
      </c>
      <c r="J561">
        <f t="shared" si="81"/>
        <v>36</v>
      </c>
      <c r="K561">
        <f t="shared" si="82"/>
        <v>8752.0199916666679</v>
      </c>
      <c r="L561">
        <f t="shared" si="83"/>
        <v>0</v>
      </c>
      <c r="M561">
        <f t="shared" si="84"/>
        <v>262560.59975000005</v>
      </c>
      <c r="N561">
        <f t="shared" si="85"/>
        <v>32589.938229538133</v>
      </c>
      <c r="O561">
        <f t="shared" si="86"/>
        <v>295150.5379795382</v>
      </c>
      <c r="P561">
        <f t="shared" si="87"/>
        <v>0</v>
      </c>
      <c r="Q561">
        <f t="shared" si="88"/>
        <v>280283.0135956952</v>
      </c>
      <c r="R561">
        <f t="shared" si="89"/>
        <v>34789.706104304787</v>
      </c>
      <c r="S561">
        <f t="shared" si="90"/>
        <v>315072.71970000002</v>
      </c>
    </row>
    <row r="562" spans="1:19" x14ac:dyDescent="0.3">
      <c r="A562" t="s">
        <v>13</v>
      </c>
      <c r="B562" t="s">
        <v>24</v>
      </c>
      <c r="C562" t="s">
        <v>15</v>
      </c>
      <c r="D562">
        <v>0</v>
      </c>
      <c r="E562">
        <v>27</v>
      </c>
      <c r="F562">
        <v>8</v>
      </c>
      <c r="G562">
        <v>20260305</v>
      </c>
      <c r="H562">
        <v>20260408</v>
      </c>
      <c r="I562">
        <v>251991.98069999999</v>
      </c>
      <c r="J562">
        <f t="shared" si="81"/>
        <v>35</v>
      </c>
      <c r="K562">
        <f t="shared" si="82"/>
        <v>7199.770877142857</v>
      </c>
      <c r="L562">
        <f t="shared" si="83"/>
        <v>0</v>
      </c>
      <c r="M562">
        <f t="shared" si="84"/>
        <v>194393.81368285714</v>
      </c>
      <c r="N562">
        <f t="shared" si="85"/>
        <v>35746.427815342962</v>
      </c>
      <c r="O562">
        <f t="shared" si="86"/>
        <v>230140.24149820011</v>
      </c>
      <c r="P562">
        <f t="shared" si="87"/>
        <v>0</v>
      </c>
      <c r="Q562">
        <f t="shared" si="88"/>
        <v>212851.44148140229</v>
      </c>
      <c r="R562">
        <f t="shared" si="89"/>
        <v>39140.539218597696</v>
      </c>
      <c r="S562">
        <f t="shared" si="90"/>
        <v>251991.98069999999</v>
      </c>
    </row>
    <row r="563" spans="1:19" x14ac:dyDescent="0.3">
      <c r="A563" t="s">
        <v>13</v>
      </c>
      <c r="B563" t="s">
        <v>37</v>
      </c>
      <c r="C563" t="s">
        <v>15</v>
      </c>
      <c r="D563">
        <v>0</v>
      </c>
      <c r="E563">
        <v>30</v>
      </c>
      <c r="F563">
        <v>5</v>
      </c>
      <c r="G563">
        <v>20260302</v>
      </c>
      <c r="H563">
        <v>20260405</v>
      </c>
      <c r="I563">
        <v>36145.8033</v>
      </c>
      <c r="J563">
        <f t="shared" si="81"/>
        <v>35</v>
      </c>
      <c r="K563">
        <f t="shared" si="82"/>
        <v>1032.7372371428571</v>
      </c>
      <c r="L563">
        <f t="shared" si="83"/>
        <v>0</v>
      </c>
      <c r="M563">
        <f t="shared" si="84"/>
        <v>30982.117114285713</v>
      </c>
      <c r="N563">
        <f t="shared" si="85"/>
        <v>3204.6737779655746</v>
      </c>
      <c r="O563">
        <f t="shared" si="86"/>
        <v>34186.790892251287</v>
      </c>
      <c r="P563">
        <f t="shared" si="87"/>
        <v>0</v>
      </c>
      <c r="Q563">
        <f t="shared" si="88"/>
        <v>32757.491469734978</v>
      </c>
      <c r="R563">
        <f t="shared" si="89"/>
        <v>3388.3118302650219</v>
      </c>
      <c r="S563">
        <f t="shared" si="90"/>
        <v>36145.8033</v>
      </c>
    </row>
    <row r="564" spans="1:19" x14ac:dyDescent="0.3">
      <c r="A564" t="s">
        <v>13</v>
      </c>
      <c r="B564" t="s">
        <v>24</v>
      </c>
      <c r="C564" t="s">
        <v>15</v>
      </c>
      <c r="D564">
        <v>0</v>
      </c>
      <c r="E564">
        <v>24</v>
      </c>
      <c r="F564">
        <v>5</v>
      </c>
      <c r="G564">
        <v>20260308</v>
      </c>
      <c r="H564">
        <v>20260405</v>
      </c>
      <c r="I564">
        <v>113824.62699999999</v>
      </c>
      <c r="J564">
        <f t="shared" si="81"/>
        <v>29</v>
      </c>
      <c r="K564">
        <f t="shared" si="82"/>
        <v>3924.9871379310343</v>
      </c>
      <c r="L564">
        <f t="shared" si="83"/>
        <v>0</v>
      </c>
      <c r="M564">
        <f t="shared" si="84"/>
        <v>94199.691310344817</v>
      </c>
      <c r="N564">
        <f t="shared" si="85"/>
        <v>12179.577638333763</v>
      </c>
      <c r="O564">
        <f t="shared" si="86"/>
        <v>106379.26894867858</v>
      </c>
      <c r="P564">
        <f t="shared" si="87"/>
        <v>0</v>
      </c>
      <c r="Q564">
        <f t="shared" si="88"/>
        <v>100792.61526123063</v>
      </c>
      <c r="R564">
        <f t="shared" si="89"/>
        <v>13032.011738769354</v>
      </c>
      <c r="S564">
        <f t="shared" si="90"/>
        <v>113824.62699999998</v>
      </c>
    </row>
    <row r="565" spans="1:19" x14ac:dyDescent="0.3">
      <c r="A565" t="s">
        <v>13</v>
      </c>
      <c r="B565" t="s">
        <v>37</v>
      </c>
      <c r="C565" t="s">
        <v>15</v>
      </c>
      <c r="D565">
        <v>0</v>
      </c>
      <c r="E565">
        <v>24</v>
      </c>
      <c r="F565">
        <v>7</v>
      </c>
      <c r="G565">
        <v>20260308</v>
      </c>
      <c r="H565">
        <v>20260407</v>
      </c>
      <c r="I565">
        <v>61970.629300000001</v>
      </c>
      <c r="J565">
        <f t="shared" si="81"/>
        <v>31</v>
      </c>
      <c r="K565">
        <f t="shared" si="82"/>
        <v>1999.0525580645162</v>
      </c>
      <c r="L565">
        <f t="shared" si="83"/>
        <v>0</v>
      </c>
      <c r="M565">
        <f t="shared" si="84"/>
        <v>47977.26139354839</v>
      </c>
      <c r="N565">
        <f t="shared" si="85"/>
        <v>8684.5283741864878</v>
      </c>
      <c r="O565">
        <f t="shared" si="86"/>
        <v>56661.789767734881</v>
      </c>
      <c r="P565">
        <f t="shared" si="87"/>
        <v>0</v>
      </c>
      <c r="Q565">
        <f t="shared" si="88"/>
        <v>52472.417352792792</v>
      </c>
      <c r="R565">
        <f t="shared" si="89"/>
        <v>9498.2119472072063</v>
      </c>
      <c r="S565">
        <f t="shared" si="90"/>
        <v>61970.629300000001</v>
      </c>
    </row>
    <row r="566" spans="1:19" x14ac:dyDescent="0.3">
      <c r="A566" t="s">
        <v>13</v>
      </c>
      <c r="B566" t="s">
        <v>24</v>
      </c>
      <c r="C566" t="s">
        <v>14</v>
      </c>
      <c r="D566">
        <v>27</v>
      </c>
      <c r="E566">
        <v>6</v>
      </c>
      <c r="F566">
        <v>0</v>
      </c>
      <c r="G566">
        <v>20260202</v>
      </c>
      <c r="H566">
        <v>20260306</v>
      </c>
      <c r="I566">
        <v>63056.376900000003</v>
      </c>
      <c r="J566">
        <f t="shared" si="81"/>
        <v>33</v>
      </c>
      <c r="K566">
        <f t="shared" si="82"/>
        <v>1910.7993000000001</v>
      </c>
      <c r="L566">
        <f t="shared" si="83"/>
        <v>69976.694769537775</v>
      </c>
      <c r="M566">
        <f t="shared" si="84"/>
        <v>11464.7958</v>
      </c>
      <c r="N566">
        <f t="shared" si="85"/>
        <v>0</v>
      </c>
      <c r="O566">
        <f t="shared" si="86"/>
        <v>81441.490569537767</v>
      </c>
      <c r="P566">
        <f t="shared" si="87"/>
        <v>54179.716121928002</v>
      </c>
      <c r="Q566">
        <f t="shared" si="88"/>
        <v>8876.660778072006</v>
      </c>
      <c r="R566">
        <f t="shared" si="89"/>
        <v>0</v>
      </c>
      <c r="S566">
        <f t="shared" si="90"/>
        <v>63056.37690000001</v>
      </c>
    </row>
    <row r="567" spans="1:19" x14ac:dyDescent="0.3">
      <c r="A567" t="s">
        <v>13</v>
      </c>
      <c r="B567" t="s">
        <v>37</v>
      </c>
      <c r="C567" t="s">
        <v>15</v>
      </c>
      <c r="D567">
        <v>0</v>
      </c>
      <c r="E567">
        <v>14</v>
      </c>
      <c r="F567">
        <v>15</v>
      </c>
      <c r="G567">
        <v>20260318</v>
      </c>
      <c r="H567">
        <v>20260415</v>
      </c>
      <c r="I567">
        <v>240728.89259999999</v>
      </c>
      <c r="J567">
        <f t="shared" si="81"/>
        <v>29</v>
      </c>
      <c r="K567">
        <f t="shared" si="82"/>
        <v>8300.9962965517243</v>
      </c>
      <c r="L567">
        <f t="shared" si="83"/>
        <v>0</v>
      </c>
      <c r="M567">
        <f t="shared" si="84"/>
        <v>116213.94815172414</v>
      </c>
      <c r="N567">
        <f t="shared" si="85"/>
        <v>77276.147908092258</v>
      </c>
      <c r="O567">
        <f t="shared" si="86"/>
        <v>193490.09605981639</v>
      </c>
      <c r="P567">
        <f t="shared" si="87"/>
        <v>0</v>
      </c>
      <c r="Q567">
        <f t="shared" si="88"/>
        <v>144586.49622350553</v>
      </c>
      <c r="R567">
        <f t="shared" si="89"/>
        <v>96142.396376494464</v>
      </c>
      <c r="S567">
        <f t="shared" si="90"/>
        <v>240728.89259999999</v>
      </c>
    </row>
    <row r="568" spans="1:19" x14ac:dyDescent="0.3">
      <c r="A568" t="s">
        <v>13</v>
      </c>
      <c r="B568" t="s">
        <v>24</v>
      </c>
      <c r="C568" t="s">
        <v>14</v>
      </c>
      <c r="D568">
        <v>13</v>
      </c>
      <c r="E568">
        <v>31</v>
      </c>
      <c r="F568">
        <v>3</v>
      </c>
      <c r="G568">
        <v>20260216</v>
      </c>
      <c r="H568">
        <v>20260403</v>
      </c>
      <c r="I568">
        <v>23632.614099999999</v>
      </c>
      <c r="J568">
        <f t="shared" si="81"/>
        <v>47</v>
      </c>
      <c r="K568">
        <f t="shared" si="82"/>
        <v>502.82157659574466</v>
      </c>
      <c r="L568">
        <f t="shared" si="83"/>
        <v>8866.0840800770948</v>
      </c>
      <c r="M568">
        <f t="shared" si="84"/>
        <v>15587.468874468084</v>
      </c>
      <c r="N568">
        <f t="shared" si="85"/>
        <v>936.17954125660606</v>
      </c>
      <c r="O568">
        <f t="shared" si="86"/>
        <v>25389.732495801785</v>
      </c>
      <c r="P568">
        <f t="shared" si="87"/>
        <v>8252.4990634407513</v>
      </c>
      <c r="Q568">
        <f t="shared" si="88"/>
        <v>14508.724610114592</v>
      </c>
      <c r="R568">
        <f t="shared" si="89"/>
        <v>871.39042644465371</v>
      </c>
      <c r="S568">
        <f t="shared" si="90"/>
        <v>23632.614099999999</v>
      </c>
    </row>
    <row r="569" spans="1:19" x14ac:dyDescent="0.3">
      <c r="A569" t="s">
        <v>13</v>
      </c>
      <c r="B569" t="s">
        <v>37</v>
      </c>
      <c r="C569" t="s">
        <v>14</v>
      </c>
      <c r="D569">
        <v>0</v>
      </c>
      <c r="E569">
        <v>16</v>
      </c>
      <c r="F569">
        <v>17</v>
      </c>
      <c r="G569">
        <v>20260316</v>
      </c>
      <c r="H569">
        <v>20260417</v>
      </c>
      <c r="I569">
        <v>171908.36610000001</v>
      </c>
      <c r="J569">
        <f t="shared" si="81"/>
        <v>33</v>
      </c>
      <c r="K569">
        <f t="shared" si="82"/>
        <v>5209.3444272727274</v>
      </c>
      <c r="L569">
        <f t="shared" si="83"/>
        <v>0</v>
      </c>
      <c r="M569">
        <f t="shared" si="84"/>
        <v>83349.510836363639</v>
      </c>
      <c r="N569">
        <f t="shared" si="85"/>
        <v>54961.171353747952</v>
      </c>
      <c r="O569">
        <f t="shared" si="86"/>
        <v>138310.68219011161</v>
      </c>
      <c r="P569">
        <f t="shared" si="87"/>
        <v>0</v>
      </c>
      <c r="Q569">
        <f t="shared" si="88"/>
        <v>103596.32384300335</v>
      </c>
      <c r="R569">
        <f t="shared" si="89"/>
        <v>68312.042256996632</v>
      </c>
      <c r="S569">
        <f t="shared" si="90"/>
        <v>171908.36609999998</v>
      </c>
    </row>
    <row r="570" spans="1:19" x14ac:dyDescent="0.3">
      <c r="A570" t="s">
        <v>13</v>
      </c>
      <c r="B570" t="s">
        <v>24</v>
      </c>
      <c r="C570" t="s">
        <v>14</v>
      </c>
      <c r="D570">
        <v>0</v>
      </c>
      <c r="E570">
        <v>29</v>
      </c>
      <c r="F570">
        <v>3</v>
      </c>
      <c r="G570">
        <v>20260303</v>
      </c>
      <c r="H570">
        <v>20260403</v>
      </c>
      <c r="I570">
        <v>329653.40110000002</v>
      </c>
      <c r="J570">
        <f t="shared" si="81"/>
        <v>32</v>
      </c>
      <c r="K570">
        <f t="shared" si="82"/>
        <v>10301.668784375001</v>
      </c>
      <c r="L570">
        <f t="shared" si="83"/>
        <v>0</v>
      </c>
      <c r="M570">
        <f t="shared" si="84"/>
        <v>298748.39474687504</v>
      </c>
      <c r="N570">
        <f t="shared" si="85"/>
        <v>19180.18638346417</v>
      </c>
      <c r="O570">
        <f t="shared" si="86"/>
        <v>317928.58113033918</v>
      </c>
      <c r="P570">
        <f t="shared" si="87"/>
        <v>0</v>
      </c>
      <c r="Q570">
        <f t="shared" si="88"/>
        <v>309765.87273573276</v>
      </c>
      <c r="R570">
        <f t="shared" si="89"/>
        <v>19887.528364267284</v>
      </c>
      <c r="S570">
        <f t="shared" si="90"/>
        <v>329653.40110000002</v>
      </c>
    </row>
    <row r="571" spans="1:19" x14ac:dyDescent="0.3">
      <c r="A571" t="s">
        <v>13</v>
      </c>
      <c r="B571" t="s">
        <v>24</v>
      </c>
      <c r="C571" t="s">
        <v>15</v>
      </c>
      <c r="D571">
        <v>0</v>
      </c>
      <c r="E571">
        <v>29</v>
      </c>
      <c r="F571">
        <v>5</v>
      </c>
      <c r="G571">
        <v>20260303</v>
      </c>
      <c r="H571">
        <v>20260405</v>
      </c>
      <c r="I571">
        <v>156005.0526</v>
      </c>
      <c r="J571">
        <f t="shared" si="81"/>
        <v>34</v>
      </c>
      <c r="K571">
        <f t="shared" si="82"/>
        <v>4588.3838999999998</v>
      </c>
      <c r="L571">
        <f t="shared" si="83"/>
        <v>0</v>
      </c>
      <c r="M571">
        <f t="shared" si="84"/>
        <v>133063.13310000001</v>
      </c>
      <c r="N571">
        <f t="shared" si="85"/>
        <v>14238.155688323839</v>
      </c>
      <c r="O571">
        <f t="shared" si="86"/>
        <v>147301.28878832384</v>
      </c>
      <c r="P571">
        <f t="shared" si="87"/>
        <v>0</v>
      </c>
      <c r="Q571">
        <f t="shared" si="88"/>
        <v>140925.59032675464</v>
      </c>
      <c r="R571">
        <f t="shared" si="89"/>
        <v>15079.462273245363</v>
      </c>
      <c r="S571">
        <f t="shared" si="90"/>
        <v>156005.0526</v>
      </c>
    </row>
    <row r="572" spans="1:19" x14ac:dyDescent="0.3">
      <c r="A572" t="s">
        <v>13</v>
      </c>
      <c r="B572" t="s">
        <v>24</v>
      </c>
      <c r="C572" t="s">
        <v>14</v>
      </c>
      <c r="D572">
        <v>0</v>
      </c>
      <c r="E572">
        <v>29</v>
      </c>
      <c r="F572">
        <v>2</v>
      </c>
      <c r="G572">
        <v>20260303</v>
      </c>
      <c r="H572">
        <v>20260402</v>
      </c>
      <c r="I572">
        <v>430363.01490000001</v>
      </c>
      <c r="J572">
        <f t="shared" si="81"/>
        <v>31</v>
      </c>
      <c r="K572">
        <f t="shared" si="82"/>
        <v>13882.677900000001</v>
      </c>
      <c r="L572">
        <f t="shared" si="83"/>
        <v>0</v>
      </c>
      <c r="M572">
        <f t="shared" si="84"/>
        <v>402597.65909999999</v>
      </c>
      <c r="N572">
        <f t="shared" si="85"/>
        <v>17231.664448221312</v>
      </c>
      <c r="O572">
        <f t="shared" si="86"/>
        <v>419829.32354822132</v>
      </c>
      <c r="P572">
        <f t="shared" si="87"/>
        <v>0</v>
      </c>
      <c r="Q572">
        <f t="shared" si="88"/>
        <v>412699.00086447276</v>
      </c>
      <c r="R572">
        <f t="shared" si="89"/>
        <v>17664.014035527194</v>
      </c>
      <c r="S572">
        <f t="shared" si="90"/>
        <v>430363.01489999995</v>
      </c>
    </row>
    <row r="573" spans="1:19" x14ac:dyDescent="0.3">
      <c r="A573" t="s">
        <v>13</v>
      </c>
      <c r="B573" t="s">
        <v>37</v>
      </c>
      <c r="C573" t="s">
        <v>15</v>
      </c>
      <c r="D573">
        <v>0</v>
      </c>
      <c r="E573">
        <v>28</v>
      </c>
      <c r="F573">
        <v>5</v>
      </c>
      <c r="G573">
        <v>20260304</v>
      </c>
      <c r="H573">
        <v>20260405</v>
      </c>
      <c r="I573">
        <v>67047.763000000006</v>
      </c>
      <c r="J573">
        <f t="shared" si="81"/>
        <v>33</v>
      </c>
      <c r="K573">
        <f t="shared" si="82"/>
        <v>2031.7503939393941</v>
      </c>
      <c r="L573">
        <f t="shared" si="83"/>
        <v>0</v>
      </c>
      <c r="M573">
        <f t="shared" si="84"/>
        <v>56889.011030303038</v>
      </c>
      <c r="N573">
        <f t="shared" si="85"/>
        <v>6304.6987913810754</v>
      </c>
      <c r="O573">
        <f t="shared" si="86"/>
        <v>63193.709821684111</v>
      </c>
      <c r="P573">
        <f t="shared" si="87"/>
        <v>0</v>
      </c>
      <c r="Q573">
        <f t="shared" si="88"/>
        <v>60358.553717245486</v>
      </c>
      <c r="R573">
        <f t="shared" si="89"/>
        <v>6689.2092827545202</v>
      </c>
      <c r="S573">
        <f t="shared" si="90"/>
        <v>67047.763000000006</v>
      </c>
    </row>
    <row r="574" spans="1:19" x14ac:dyDescent="0.3">
      <c r="A574" t="s">
        <v>13</v>
      </c>
      <c r="B574" t="s">
        <v>24</v>
      </c>
      <c r="C574" t="s">
        <v>15</v>
      </c>
      <c r="D574">
        <v>0</v>
      </c>
      <c r="E574">
        <v>28</v>
      </c>
      <c r="F574">
        <v>7</v>
      </c>
      <c r="G574">
        <v>20260304</v>
      </c>
      <c r="H574">
        <v>20260407</v>
      </c>
      <c r="I574">
        <v>442862.36129999999</v>
      </c>
      <c r="J574">
        <f t="shared" si="81"/>
        <v>35</v>
      </c>
      <c r="K574">
        <f t="shared" si="82"/>
        <v>12653.210322857143</v>
      </c>
      <c r="L574">
        <f t="shared" si="83"/>
        <v>0</v>
      </c>
      <c r="M574">
        <f t="shared" si="84"/>
        <v>354289.88904000004</v>
      </c>
      <c r="N574">
        <f t="shared" si="85"/>
        <v>54969.622299373186</v>
      </c>
      <c r="O574">
        <f t="shared" si="86"/>
        <v>409259.51133937325</v>
      </c>
      <c r="P574">
        <f t="shared" si="87"/>
        <v>0</v>
      </c>
      <c r="Q574">
        <f t="shared" si="88"/>
        <v>383379.37787073373</v>
      </c>
      <c r="R574">
        <f t="shared" si="89"/>
        <v>59482.983429266264</v>
      </c>
      <c r="S574">
        <f t="shared" si="90"/>
        <v>442862.36129999999</v>
      </c>
    </row>
    <row r="575" spans="1:19" x14ac:dyDescent="0.3">
      <c r="A575" t="s">
        <v>13</v>
      </c>
      <c r="B575" t="s">
        <v>24</v>
      </c>
      <c r="C575" t="s">
        <v>15</v>
      </c>
      <c r="D575">
        <v>0</v>
      </c>
      <c r="E575">
        <v>25</v>
      </c>
      <c r="F575">
        <v>5</v>
      </c>
      <c r="G575">
        <v>20260307</v>
      </c>
      <c r="H575">
        <v>20260405</v>
      </c>
      <c r="I575">
        <v>165652.5001</v>
      </c>
      <c r="J575">
        <f t="shared" si="81"/>
        <v>30</v>
      </c>
      <c r="K575">
        <f t="shared" si="82"/>
        <v>5521.7500033333336</v>
      </c>
      <c r="L575">
        <f t="shared" si="83"/>
        <v>0</v>
      </c>
      <c r="M575">
        <f t="shared" si="84"/>
        <v>138043.75008333335</v>
      </c>
      <c r="N575">
        <f t="shared" si="85"/>
        <v>17134.472165561972</v>
      </c>
      <c r="O575">
        <f t="shared" si="86"/>
        <v>155178.22224889533</v>
      </c>
      <c r="P575">
        <f t="shared" si="87"/>
        <v>0</v>
      </c>
      <c r="Q575">
        <f t="shared" si="88"/>
        <v>147361.47890524336</v>
      </c>
      <c r="R575">
        <f t="shared" si="89"/>
        <v>18291.021194756649</v>
      </c>
      <c r="S575">
        <f t="shared" si="90"/>
        <v>165652.5001</v>
      </c>
    </row>
    <row r="576" spans="1:19" x14ac:dyDescent="0.3">
      <c r="A576" t="s">
        <v>13</v>
      </c>
      <c r="B576" t="s">
        <v>24</v>
      </c>
      <c r="C576" t="s">
        <v>15</v>
      </c>
      <c r="D576">
        <v>0</v>
      </c>
      <c r="E576">
        <v>30</v>
      </c>
      <c r="F576">
        <v>8</v>
      </c>
      <c r="G576">
        <v>20260302</v>
      </c>
      <c r="H576">
        <v>20260408</v>
      </c>
      <c r="I576">
        <v>24743.8318</v>
      </c>
      <c r="J576">
        <f t="shared" si="81"/>
        <v>38</v>
      </c>
      <c r="K576">
        <f t="shared" si="82"/>
        <v>651.15346842105259</v>
      </c>
      <c r="L576">
        <f t="shared" si="83"/>
        <v>0</v>
      </c>
      <c r="M576">
        <f t="shared" si="84"/>
        <v>19534.604052631577</v>
      </c>
      <c r="N576">
        <f t="shared" si="85"/>
        <v>3232.9376660469957</v>
      </c>
      <c r="O576">
        <f t="shared" si="86"/>
        <v>22767.541718678574</v>
      </c>
      <c r="P576">
        <f t="shared" si="87"/>
        <v>0</v>
      </c>
      <c r="Q576">
        <f t="shared" si="88"/>
        <v>21230.26556535803</v>
      </c>
      <c r="R576">
        <f t="shared" si="89"/>
        <v>3513.566234641969</v>
      </c>
      <c r="S576">
        <f t="shared" si="90"/>
        <v>24743.8318</v>
      </c>
    </row>
    <row r="577" spans="1:19" x14ac:dyDescent="0.3">
      <c r="A577" t="s">
        <v>13</v>
      </c>
      <c r="B577" t="s">
        <v>24</v>
      </c>
      <c r="C577" t="s">
        <v>14</v>
      </c>
      <c r="D577">
        <v>0</v>
      </c>
      <c r="E577">
        <v>25</v>
      </c>
      <c r="F577">
        <v>4</v>
      </c>
      <c r="G577">
        <v>20260307</v>
      </c>
      <c r="H577">
        <v>20260404</v>
      </c>
      <c r="I577">
        <v>3559.7539000000002</v>
      </c>
      <c r="J577">
        <f t="shared" si="81"/>
        <v>29</v>
      </c>
      <c r="K577">
        <f t="shared" si="82"/>
        <v>122.75013448275863</v>
      </c>
      <c r="L577">
        <f t="shared" si="83"/>
        <v>0</v>
      </c>
      <c r="M577">
        <f t="shared" si="84"/>
        <v>3068.7533620689655</v>
      </c>
      <c r="N577">
        <f t="shared" si="85"/>
        <v>304.72350415634679</v>
      </c>
      <c r="O577">
        <f t="shared" si="86"/>
        <v>3373.4768662253123</v>
      </c>
      <c r="P577">
        <f t="shared" si="87"/>
        <v>0</v>
      </c>
      <c r="Q577">
        <f t="shared" si="88"/>
        <v>3238.2041383275655</v>
      </c>
      <c r="R577">
        <f t="shared" si="89"/>
        <v>321.5497616724349</v>
      </c>
      <c r="S577">
        <f t="shared" si="90"/>
        <v>3559.7539000000006</v>
      </c>
    </row>
    <row r="578" spans="1:19" x14ac:dyDescent="0.3">
      <c r="A578" t="s">
        <v>13</v>
      </c>
      <c r="B578" t="s">
        <v>37</v>
      </c>
      <c r="C578" t="s">
        <v>15</v>
      </c>
      <c r="D578">
        <v>0</v>
      </c>
      <c r="E578">
        <v>24</v>
      </c>
      <c r="F578">
        <v>4</v>
      </c>
      <c r="G578">
        <v>20260308</v>
      </c>
      <c r="H578">
        <v>20260404</v>
      </c>
      <c r="I578">
        <v>15472.632900000001</v>
      </c>
      <c r="J578">
        <f t="shared" si="81"/>
        <v>28</v>
      </c>
      <c r="K578">
        <f t="shared" si="82"/>
        <v>552.59403214285715</v>
      </c>
      <c r="L578">
        <f t="shared" si="83"/>
        <v>0</v>
      </c>
      <c r="M578">
        <f t="shared" si="84"/>
        <v>13262.256771428572</v>
      </c>
      <c r="N578">
        <f t="shared" si="85"/>
        <v>1371.7980070653857</v>
      </c>
      <c r="O578">
        <f t="shared" si="86"/>
        <v>14634.054778493959</v>
      </c>
      <c r="P578">
        <f t="shared" si="87"/>
        <v>0</v>
      </c>
      <c r="Q578">
        <f t="shared" si="88"/>
        <v>14022.226481714151</v>
      </c>
      <c r="R578">
        <f t="shared" si="89"/>
        <v>1450.4064182858478</v>
      </c>
      <c r="S578">
        <f t="shared" si="90"/>
        <v>15472.632899999999</v>
      </c>
    </row>
    <row r="579" spans="1:19" x14ac:dyDescent="0.3">
      <c r="A579" t="s">
        <v>13</v>
      </c>
      <c r="B579" t="s">
        <v>37</v>
      </c>
      <c r="C579" t="s">
        <v>14</v>
      </c>
      <c r="D579">
        <v>0</v>
      </c>
      <c r="E579">
        <v>24</v>
      </c>
      <c r="F579">
        <v>7</v>
      </c>
      <c r="G579">
        <v>20260308</v>
      </c>
      <c r="H579">
        <v>20260407</v>
      </c>
      <c r="I579">
        <v>2168.4014000000002</v>
      </c>
      <c r="J579">
        <f t="shared" si="81"/>
        <v>31</v>
      </c>
      <c r="K579">
        <f t="shared" si="82"/>
        <v>69.948432258064528</v>
      </c>
      <c r="L579">
        <f t="shared" si="83"/>
        <v>0</v>
      </c>
      <c r="M579">
        <f t="shared" si="84"/>
        <v>1678.7623741935486</v>
      </c>
      <c r="N579">
        <f t="shared" si="85"/>
        <v>303.87852596690846</v>
      </c>
      <c r="O579">
        <f t="shared" si="86"/>
        <v>1982.640900160457</v>
      </c>
      <c r="P579">
        <f t="shared" si="87"/>
        <v>0</v>
      </c>
      <c r="Q579">
        <f t="shared" si="88"/>
        <v>1836.05144137499</v>
      </c>
      <c r="R579">
        <f t="shared" si="89"/>
        <v>332.34995862501012</v>
      </c>
      <c r="S579">
        <f t="shared" si="90"/>
        <v>2168.4014000000002</v>
      </c>
    </row>
    <row r="580" spans="1:19" x14ac:dyDescent="0.3">
      <c r="A580" t="s">
        <v>13</v>
      </c>
      <c r="B580" t="s">
        <v>24</v>
      </c>
      <c r="C580" t="s">
        <v>15</v>
      </c>
      <c r="D580">
        <v>10</v>
      </c>
      <c r="E580">
        <v>16</v>
      </c>
      <c r="F580">
        <v>0</v>
      </c>
      <c r="G580">
        <v>20260219</v>
      </c>
      <c r="H580">
        <v>20260316</v>
      </c>
      <c r="I580">
        <v>229462.32089999999</v>
      </c>
      <c r="J580">
        <f t="shared" si="81"/>
        <v>26</v>
      </c>
      <c r="K580">
        <f t="shared" si="82"/>
        <v>8825.4738807692302</v>
      </c>
      <c r="L580">
        <f t="shared" si="83"/>
        <v>119705.09117641994</v>
      </c>
      <c r="M580">
        <f t="shared" si="84"/>
        <v>141207.58209230768</v>
      </c>
      <c r="N580">
        <f t="shared" si="85"/>
        <v>0</v>
      </c>
      <c r="O580">
        <f t="shared" si="86"/>
        <v>260912.67326872761</v>
      </c>
      <c r="P580">
        <f t="shared" si="87"/>
        <v>105275.86759496691</v>
      </c>
      <c r="Q580">
        <f t="shared" si="88"/>
        <v>124186.45330503309</v>
      </c>
      <c r="R580">
        <f t="shared" si="89"/>
        <v>0</v>
      </c>
      <c r="S580">
        <f t="shared" si="90"/>
        <v>229462.32089999999</v>
      </c>
    </row>
    <row r="581" spans="1:19" x14ac:dyDescent="0.3">
      <c r="A581" t="s">
        <v>13</v>
      </c>
      <c r="B581" t="s">
        <v>24</v>
      </c>
      <c r="C581" t="s">
        <v>14</v>
      </c>
      <c r="D581">
        <v>0</v>
      </c>
      <c r="E581">
        <v>23</v>
      </c>
      <c r="F581">
        <v>1</v>
      </c>
      <c r="G581">
        <v>20260309</v>
      </c>
      <c r="H581">
        <v>20260401</v>
      </c>
      <c r="I581">
        <v>1857.01</v>
      </c>
      <c r="J581">
        <f t="shared" si="81"/>
        <v>24</v>
      </c>
      <c r="K581">
        <f t="shared" si="82"/>
        <v>77.375416666666666</v>
      </c>
      <c r="L581">
        <f t="shared" si="83"/>
        <v>0</v>
      </c>
      <c r="M581">
        <f t="shared" si="84"/>
        <v>1779.6345833333332</v>
      </c>
      <c r="N581">
        <f t="shared" si="85"/>
        <v>48.020534155780958</v>
      </c>
      <c r="O581">
        <f t="shared" si="86"/>
        <v>1827.6551174891142</v>
      </c>
      <c r="P581">
        <f t="shared" si="87"/>
        <v>0</v>
      </c>
      <c r="Q581">
        <f t="shared" si="88"/>
        <v>1808.2181840390447</v>
      </c>
      <c r="R581">
        <f t="shared" si="89"/>
        <v>48.791815960955191</v>
      </c>
      <c r="S581">
        <f t="shared" si="90"/>
        <v>1857.0099999999998</v>
      </c>
    </row>
    <row r="582" spans="1:19" x14ac:dyDescent="0.3">
      <c r="A582" t="s">
        <v>13</v>
      </c>
      <c r="B582" t="s">
        <v>24</v>
      </c>
      <c r="C582" t="s">
        <v>14</v>
      </c>
      <c r="D582">
        <v>0</v>
      </c>
      <c r="E582">
        <v>29</v>
      </c>
      <c r="F582">
        <v>7</v>
      </c>
      <c r="G582">
        <v>20260303</v>
      </c>
      <c r="H582">
        <v>20260407</v>
      </c>
      <c r="I582">
        <v>5062.0995000000003</v>
      </c>
      <c r="J582">
        <f t="shared" si="81"/>
        <v>36</v>
      </c>
      <c r="K582">
        <f t="shared" si="82"/>
        <v>140.61387500000001</v>
      </c>
      <c r="L582">
        <f t="shared" si="83"/>
        <v>0</v>
      </c>
      <c r="M582">
        <f t="shared" si="84"/>
        <v>4077.8023750000002</v>
      </c>
      <c r="N582">
        <f t="shared" si="85"/>
        <v>610.87197648477286</v>
      </c>
      <c r="O582">
        <f t="shared" si="86"/>
        <v>4688.6743514847731</v>
      </c>
      <c r="P582">
        <f t="shared" si="87"/>
        <v>0</v>
      </c>
      <c r="Q582">
        <f t="shared" si="88"/>
        <v>4402.5751878139044</v>
      </c>
      <c r="R582">
        <f t="shared" si="89"/>
        <v>659.52431218609513</v>
      </c>
      <c r="S582">
        <f t="shared" si="90"/>
        <v>5062.0994999999994</v>
      </c>
    </row>
    <row r="583" spans="1:19" x14ac:dyDescent="0.3">
      <c r="A583" t="s">
        <v>13</v>
      </c>
      <c r="B583" t="s">
        <v>37</v>
      </c>
      <c r="C583" t="s">
        <v>14</v>
      </c>
      <c r="D583">
        <v>0</v>
      </c>
      <c r="E583">
        <v>26</v>
      </c>
      <c r="F583">
        <v>5</v>
      </c>
      <c r="G583">
        <v>20260306</v>
      </c>
      <c r="H583">
        <v>20260405</v>
      </c>
      <c r="I583">
        <v>11360.022499999999</v>
      </c>
      <c r="J583">
        <f t="shared" si="81"/>
        <v>31</v>
      </c>
      <c r="K583">
        <f t="shared" si="82"/>
        <v>366.45233870967741</v>
      </c>
      <c r="L583">
        <f t="shared" si="83"/>
        <v>0</v>
      </c>
      <c r="M583">
        <f t="shared" si="84"/>
        <v>9527.7608064516135</v>
      </c>
      <c r="N583">
        <f t="shared" si="85"/>
        <v>1137.1335887781245</v>
      </c>
      <c r="O583">
        <f t="shared" si="86"/>
        <v>10664.894395229738</v>
      </c>
      <c r="P583">
        <f t="shared" si="87"/>
        <v>0</v>
      </c>
      <c r="Q583">
        <f t="shared" si="88"/>
        <v>10148.771579427994</v>
      </c>
      <c r="R583">
        <f t="shared" si="89"/>
        <v>1211.2509205720055</v>
      </c>
      <c r="S583">
        <f t="shared" si="90"/>
        <v>11360.022499999999</v>
      </c>
    </row>
    <row r="584" spans="1:19" x14ac:dyDescent="0.3">
      <c r="A584" t="s">
        <v>13</v>
      </c>
      <c r="B584" t="s">
        <v>24</v>
      </c>
      <c r="C584" t="s">
        <v>15</v>
      </c>
      <c r="D584">
        <v>0</v>
      </c>
      <c r="E584">
        <v>22</v>
      </c>
      <c r="F584">
        <v>3</v>
      </c>
      <c r="G584">
        <v>20260310</v>
      </c>
      <c r="H584">
        <v>20260403</v>
      </c>
      <c r="I584">
        <v>63660.846400000002</v>
      </c>
      <c r="J584">
        <f t="shared" si="81"/>
        <v>25</v>
      </c>
      <c r="K584">
        <f t="shared" si="82"/>
        <v>2546.4338560000001</v>
      </c>
      <c r="L584">
        <f t="shared" si="83"/>
        <v>0</v>
      </c>
      <c r="M584">
        <f t="shared" si="84"/>
        <v>56021.544832</v>
      </c>
      <c r="N584">
        <f t="shared" si="85"/>
        <v>4741.0838955842573</v>
      </c>
      <c r="O584">
        <f t="shared" si="86"/>
        <v>60762.628727584255</v>
      </c>
      <c r="P584">
        <f t="shared" si="87"/>
        <v>0</v>
      </c>
      <c r="Q584">
        <f t="shared" si="88"/>
        <v>58693.625264794478</v>
      </c>
      <c r="R584">
        <f t="shared" si="89"/>
        <v>4967.2211352055274</v>
      </c>
      <c r="S584">
        <f t="shared" si="90"/>
        <v>63660.846400000009</v>
      </c>
    </row>
    <row r="585" spans="1:19" x14ac:dyDescent="0.3">
      <c r="A585" t="s">
        <v>13</v>
      </c>
      <c r="B585" t="s">
        <v>24</v>
      </c>
      <c r="C585" t="s">
        <v>15</v>
      </c>
      <c r="D585">
        <v>0</v>
      </c>
      <c r="E585">
        <v>15</v>
      </c>
      <c r="F585">
        <v>0</v>
      </c>
      <c r="G585">
        <v>20260305</v>
      </c>
      <c r="H585">
        <v>20260319</v>
      </c>
      <c r="I585">
        <v>14670.1571</v>
      </c>
      <c r="J585">
        <f t="shared" si="81"/>
        <v>15</v>
      </c>
      <c r="K585">
        <f t="shared" si="82"/>
        <v>978.01047333333338</v>
      </c>
      <c r="L585">
        <f t="shared" si="83"/>
        <v>0</v>
      </c>
      <c r="M585">
        <f t="shared" si="84"/>
        <v>14670.1571</v>
      </c>
      <c r="N585">
        <f t="shared" si="85"/>
        <v>0</v>
      </c>
      <c r="O585">
        <f t="shared" si="86"/>
        <v>14670.1571</v>
      </c>
      <c r="P585">
        <f t="shared" si="87"/>
        <v>0</v>
      </c>
      <c r="Q585">
        <f t="shared" si="88"/>
        <v>14670.1571</v>
      </c>
      <c r="R585">
        <f t="shared" si="89"/>
        <v>0</v>
      </c>
      <c r="S585">
        <f t="shared" si="90"/>
        <v>14670.1571</v>
      </c>
    </row>
    <row r="586" spans="1:19" x14ac:dyDescent="0.3">
      <c r="A586" t="s">
        <v>13</v>
      </c>
      <c r="B586" t="s">
        <v>24</v>
      </c>
      <c r="C586" t="s">
        <v>14</v>
      </c>
      <c r="D586">
        <v>0</v>
      </c>
      <c r="E586">
        <v>24</v>
      </c>
      <c r="F586">
        <v>1</v>
      </c>
      <c r="G586">
        <v>20260308</v>
      </c>
      <c r="H586">
        <v>20260401</v>
      </c>
      <c r="I586">
        <v>1334.9266</v>
      </c>
      <c r="J586">
        <f t="shared" si="81"/>
        <v>25</v>
      </c>
      <c r="K586">
        <f t="shared" si="82"/>
        <v>53.397064</v>
      </c>
      <c r="L586">
        <f t="shared" si="83"/>
        <v>0</v>
      </c>
      <c r="M586">
        <f t="shared" si="84"/>
        <v>1281.529536</v>
      </c>
      <c r="N586">
        <f t="shared" si="85"/>
        <v>33.139149953489813</v>
      </c>
      <c r="O586">
        <f t="shared" si="86"/>
        <v>1314.6686859534898</v>
      </c>
      <c r="P586">
        <f t="shared" si="87"/>
        <v>0</v>
      </c>
      <c r="Q586">
        <f t="shared" si="88"/>
        <v>1301.2768042400762</v>
      </c>
      <c r="R586">
        <f t="shared" si="89"/>
        <v>33.649795759923784</v>
      </c>
      <c r="S586">
        <f t="shared" si="90"/>
        <v>1334.9266</v>
      </c>
    </row>
    <row r="587" spans="1:19" x14ac:dyDescent="0.3">
      <c r="A587" t="s">
        <v>13</v>
      </c>
      <c r="B587" t="s">
        <v>24</v>
      </c>
      <c r="C587" t="s">
        <v>14</v>
      </c>
      <c r="D587">
        <v>0</v>
      </c>
      <c r="E587">
        <v>14</v>
      </c>
      <c r="F587">
        <v>17</v>
      </c>
      <c r="G587">
        <v>20260318</v>
      </c>
      <c r="H587">
        <v>20260417</v>
      </c>
      <c r="I587">
        <v>56136.2448</v>
      </c>
      <c r="J587">
        <f t="shared" ref="J587:J650" si="91">IF(D587&lt;0,0,D587)+E587+F587</f>
        <v>31</v>
      </c>
      <c r="K587">
        <f t="shared" ref="K587:K650" si="92">I587/J587</f>
        <v>1810.8466064516128</v>
      </c>
      <c r="L587">
        <f t="shared" ref="L587:L650" si="93">IF(D587&lt;0,0,D587)*$K587*$B$6</f>
        <v>0</v>
      </c>
      <c r="M587">
        <f t="shared" ref="M587:M650" si="94">IF(E587&lt;0,0,E587)*$K587*$C$6</f>
        <v>25351.852490322581</v>
      </c>
      <c r="N587">
        <f t="shared" ref="N587:N650" si="95">IF(F587&lt;0,0,F587)*$K587*$D$6</f>
        <v>19105.331202806556</v>
      </c>
      <c r="O587">
        <f t="shared" ref="O587:O650" si="96">L587+M587+N587</f>
        <v>44457.183693129133</v>
      </c>
      <c r="P587">
        <f t="shared" ref="P587:P650" si="97">L587/$O587*$I587</f>
        <v>0</v>
      </c>
      <c r="Q587">
        <f t="shared" ref="Q587:Q650" si="98">M587/$O587*$I587</f>
        <v>32011.874781671955</v>
      </c>
      <c r="R587">
        <f t="shared" ref="R587:R650" si="99">N587/$O587*$I587</f>
        <v>24124.370018328053</v>
      </c>
      <c r="S587">
        <f t="shared" ref="S587:S650" si="100">P587+Q587+R587</f>
        <v>56136.244800000008</v>
      </c>
    </row>
    <row r="588" spans="1:19" x14ac:dyDescent="0.3">
      <c r="A588" t="s">
        <v>13</v>
      </c>
      <c r="B588" t="s">
        <v>37</v>
      </c>
      <c r="C588" t="s">
        <v>15</v>
      </c>
      <c r="D588">
        <v>0</v>
      </c>
      <c r="E588">
        <v>24</v>
      </c>
      <c r="F588">
        <v>8</v>
      </c>
      <c r="G588">
        <v>20260308</v>
      </c>
      <c r="H588">
        <v>20260408</v>
      </c>
      <c r="I588">
        <v>49405.657599999999</v>
      </c>
      <c r="J588">
        <f t="shared" si="91"/>
        <v>32</v>
      </c>
      <c r="K588">
        <f t="shared" si="92"/>
        <v>1543.9268</v>
      </c>
      <c r="L588">
        <f t="shared" si="93"/>
        <v>0</v>
      </c>
      <c r="M588">
        <f t="shared" si="94"/>
        <v>37054.243199999997</v>
      </c>
      <c r="N588">
        <f t="shared" si="95"/>
        <v>7665.5033681120258</v>
      </c>
      <c r="O588">
        <f t="shared" si="96"/>
        <v>44719.746568112023</v>
      </c>
      <c r="P588">
        <f t="shared" si="97"/>
        <v>0</v>
      </c>
      <c r="Q588">
        <f t="shared" si="98"/>
        <v>40936.932622773944</v>
      </c>
      <c r="R588">
        <f t="shared" si="99"/>
        <v>8468.7249772260566</v>
      </c>
      <c r="S588">
        <f t="shared" si="100"/>
        <v>49405.657599999999</v>
      </c>
    </row>
    <row r="589" spans="1:19" x14ac:dyDescent="0.3">
      <c r="A589" t="s">
        <v>13</v>
      </c>
      <c r="B589" t="s">
        <v>37</v>
      </c>
      <c r="C589" t="s">
        <v>15</v>
      </c>
      <c r="D589">
        <v>0</v>
      </c>
      <c r="E589">
        <v>22</v>
      </c>
      <c r="F589">
        <v>7</v>
      </c>
      <c r="G589">
        <v>20260310</v>
      </c>
      <c r="H589">
        <v>20260407</v>
      </c>
      <c r="I589">
        <v>54637.054199999999</v>
      </c>
      <c r="J589">
        <f t="shared" si="91"/>
        <v>29</v>
      </c>
      <c r="K589">
        <f t="shared" si="92"/>
        <v>1884.0363517241378</v>
      </c>
      <c r="L589">
        <f t="shared" si="93"/>
        <v>0</v>
      </c>
      <c r="M589">
        <f t="shared" si="94"/>
        <v>41448.799737931033</v>
      </c>
      <c r="N589">
        <f t="shared" si="95"/>
        <v>8184.8609175082092</v>
      </c>
      <c r="O589">
        <f t="shared" si="96"/>
        <v>49633.660655439242</v>
      </c>
      <c r="P589">
        <f t="shared" si="97"/>
        <v>0</v>
      </c>
      <c r="Q589">
        <f t="shared" si="98"/>
        <v>45627.106441485223</v>
      </c>
      <c r="R589">
        <f t="shared" si="99"/>
        <v>9009.9477585147743</v>
      </c>
      <c r="S589">
        <f t="shared" si="100"/>
        <v>54637.054199999999</v>
      </c>
    </row>
    <row r="590" spans="1:19" x14ac:dyDescent="0.3">
      <c r="A590" t="s">
        <v>13</v>
      </c>
      <c r="B590" t="s">
        <v>37</v>
      </c>
      <c r="C590" t="s">
        <v>15</v>
      </c>
      <c r="D590">
        <v>0</v>
      </c>
      <c r="E590">
        <v>30</v>
      </c>
      <c r="F590">
        <v>10</v>
      </c>
      <c r="G590">
        <v>20260302</v>
      </c>
      <c r="H590">
        <v>20260410</v>
      </c>
      <c r="I590">
        <v>3458.8679999999999</v>
      </c>
      <c r="J590">
        <f t="shared" si="91"/>
        <v>40</v>
      </c>
      <c r="K590">
        <f t="shared" si="92"/>
        <v>86.471699999999998</v>
      </c>
      <c r="L590">
        <f t="shared" si="93"/>
        <v>0</v>
      </c>
      <c r="M590">
        <f t="shared" si="94"/>
        <v>2594.1509999999998</v>
      </c>
      <c r="N590">
        <f t="shared" si="95"/>
        <v>536.65846366256858</v>
      </c>
      <c r="O590">
        <f t="shared" si="96"/>
        <v>3130.8094636625683</v>
      </c>
      <c r="P590">
        <f t="shared" si="97"/>
        <v>0</v>
      </c>
      <c r="Q590">
        <f t="shared" si="98"/>
        <v>2865.9763505924648</v>
      </c>
      <c r="R590">
        <f t="shared" si="99"/>
        <v>592.8916494075354</v>
      </c>
      <c r="S590">
        <f t="shared" si="100"/>
        <v>3458.8680000000004</v>
      </c>
    </row>
    <row r="591" spans="1:19" x14ac:dyDescent="0.3">
      <c r="A591" t="s">
        <v>13</v>
      </c>
      <c r="B591" t="s">
        <v>24</v>
      </c>
      <c r="C591" t="s">
        <v>15</v>
      </c>
      <c r="D591">
        <v>18</v>
      </c>
      <c r="E591">
        <v>6</v>
      </c>
      <c r="F591">
        <v>0</v>
      </c>
      <c r="G591">
        <v>20260211</v>
      </c>
      <c r="H591">
        <v>20260306</v>
      </c>
      <c r="I591">
        <v>4481.0659999999998</v>
      </c>
      <c r="J591">
        <f t="shared" si="91"/>
        <v>24</v>
      </c>
      <c r="K591">
        <f t="shared" si="92"/>
        <v>186.71108333333333</v>
      </c>
      <c r="L591">
        <f t="shared" si="93"/>
        <v>4558.4499598349221</v>
      </c>
      <c r="M591">
        <f t="shared" si="94"/>
        <v>1120.2665</v>
      </c>
      <c r="N591">
        <f t="shared" si="95"/>
        <v>0</v>
      </c>
      <c r="O591">
        <f t="shared" si="96"/>
        <v>5678.7164598349218</v>
      </c>
      <c r="P591">
        <f t="shared" si="97"/>
        <v>3597.065511580663</v>
      </c>
      <c r="Q591">
        <f t="shared" si="98"/>
        <v>884.0004884193371</v>
      </c>
      <c r="R591">
        <f t="shared" si="99"/>
        <v>0</v>
      </c>
      <c r="S591">
        <f t="shared" si="100"/>
        <v>4481.0659999999998</v>
      </c>
    </row>
    <row r="592" spans="1:19" x14ac:dyDescent="0.3">
      <c r="A592" t="s">
        <v>13</v>
      </c>
      <c r="B592" t="s">
        <v>24</v>
      </c>
      <c r="C592" t="s">
        <v>15</v>
      </c>
      <c r="D592">
        <v>0</v>
      </c>
      <c r="E592">
        <v>22</v>
      </c>
      <c r="F592">
        <v>0</v>
      </c>
      <c r="G592">
        <v>20260303</v>
      </c>
      <c r="H592">
        <v>20260324</v>
      </c>
      <c r="I592">
        <v>1054.3847000000001</v>
      </c>
      <c r="J592">
        <f t="shared" si="91"/>
        <v>22</v>
      </c>
      <c r="K592">
        <f t="shared" si="92"/>
        <v>47.926577272727279</v>
      </c>
      <c r="L592">
        <f t="shared" si="93"/>
        <v>0</v>
      </c>
      <c r="M592">
        <f t="shared" si="94"/>
        <v>1054.3847000000001</v>
      </c>
      <c r="N592">
        <f t="shared" si="95"/>
        <v>0</v>
      </c>
      <c r="O592">
        <f t="shared" si="96"/>
        <v>1054.3847000000001</v>
      </c>
      <c r="P592">
        <f t="shared" si="97"/>
        <v>0</v>
      </c>
      <c r="Q592">
        <f t="shared" si="98"/>
        <v>1054.3847000000001</v>
      </c>
      <c r="R592">
        <f t="shared" si="99"/>
        <v>0</v>
      </c>
      <c r="S592">
        <f t="shared" si="100"/>
        <v>1054.3847000000001</v>
      </c>
    </row>
    <row r="593" spans="1:19" x14ac:dyDescent="0.3">
      <c r="A593" t="s">
        <v>13</v>
      </c>
      <c r="B593" t="s">
        <v>24</v>
      </c>
      <c r="C593" t="s">
        <v>15</v>
      </c>
      <c r="D593">
        <v>0</v>
      </c>
      <c r="E593">
        <v>23</v>
      </c>
      <c r="F593">
        <v>1</v>
      </c>
      <c r="G593">
        <v>20260309</v>
      </c>
      <c r="H593">
        <v>20260401</v>
      </c>
      <c r="I593">
        <v>85624.307000000001</v>
      </c>
      <c r="J593">
        <f t="shared" si="91"/>
        <v>24</v>
      </c>
      <c r="K593">
        <f t="shared" si="92"/>
        <v>3567.6794583333335</v>
      </c>
      <c r="L593">
        <f t="shared" si="93"/>
        <v>0</v>
      </c>
      <c r="M593">
        <f t="shared" si="94"/>
        <v>82056.627541666676</v>
      </c>
      <c r="N593">
        <f t="shared" si="95"/>
        <v>2214.1641449742192</v>
      </c>
      <c r="O593">
        <f t="shared" si="96"/>
        <v>84270.791686640892</v>
      </c>
      <c r="P593">
        <f t="shared" si="97"/>
        <v>0</v>
      </c>
      <c r="Q593">
        <f t="shared" si="98"/>
        <v>83374.580057803498</v>
      </c>
      <c r="R593">
        <f t="shared" si="99"/>
        <v>2249.7269421965025</v>
      </c>
      <c r="S593">
        <f t="shared" si="100"/>
        <v>85624.307000000001</v>
      </c>
    </row>
    <row r="594" spans="1:19" x14ac:dyDescent="0.3">
      <c r="A594" t="s">
        <v>13</v>
      </c>
      <c r="B594" t="s">
        <v>37</v>
      </c>
      <c r="C594" t="s">
        <v>15</v>
      </c>
      <c r="D594">
        <v>0</v>
      </c>
      <c r="E594">
        <v>23</v>
      </c>
      <c r="F594">
        <v>2</v>
      </c>
      <c r="G594">
        <v>20260309</v>
      </c>
      <c r="H594">
        <v>20260402</v>
      </c>
      <c r="I594">
        <v>946.94749999999999</v>
      </c>
      <c r="J594">
        <f t="shared" si="91"/>
        <v>25</v>
      </c>
      <c r="K594">
        <f t="shared" si="92"/>
        <v>37.877899999999997</v>
      </c>
      <c r="L594">
        <f t="shared" si="93"/>
        <v>0</v>
      </c>
      <c r="M594">
        <f t="shared" si="94"/>
        <v>871.19169999999997</v>
      </c>
      <c r="N594">
        <f t="shared" si="95"/>
        <v>47.015371782362109</v>
      </c>
      <c r="O594">
        <f t="shared" si="96"/>
        <v>918.20707178236205</v>
      </c>
      <c r="P594">
        <f t="shared" si="97"/>
        <v>0</v>
      </c>
      <c r="Q594">
        <f t="shared" si="98"/>
        <v>898.46051907917456</v>
      </c>
      <c r="R594">
        <f t="shared" si="99"/>
        <v>48.486980920825395</v>
      </c>
      <c r="S594">
        <f t="shared" si="100"/>
        <v>946.94749999999999</v>
      </c>
    </row>
    <row r="595" spans="1:19" x14ac:dyDescent="0.3">
      <c r="A595" t="s">
        <v>13</v>
      </c>
      <c r="B595" t="s">
        <v>37</v>
      </c>
      <c r="C595" t="s">
        <v>15</v>
      </c>
      <c r="D595">
        <v>1</v>
      </c>
      <c r="E595">
        <v>31</v>
      </c>
      <c r="F595">
        <v>1</v>
      </c>
      <c r="G595">
        <v>20260228</v>
      </c>
      <c r="H595">
        <v>20260401</v>
      </c>
      <c r="I595">
        <v>461.91370000000001</v>
      </c>
      <c r="J595">
        <f t="shared" si="91"/>
        <v>33</v>
      </c>
      <c r="K595">
        <f t="shared" si="92"/>
        <v>13.997384848484849</v>
      </c>
      <c r="L595">
        <f t="shared" si="93"/>
        <v>18.98547604531889</v>
      </c>
      <c r="M595">
        <f t="shared" si="94"/>
        <v>433.91893030303032</v>
      </c>
      <c r="N595">
        <f t="shared" si="95"/>
        <v>8.6870213585272342</v>
      </c>
      <c r="O595">
        <f t="shared" si="96"/>
        <v>461.59142770687646</v>
      </c>
      <c r="P595">
        <f t="shared" si="97"/>
        <v>18.998731258769372</v>
      </c>
      <c r="Q595">
        <f t="shared" si="98"/>
        <v>434.22188230842863</v>
      </c>
      <c r="R595">
        <f t="shared" si="99"/>
        <v>8.6930864328019748</v>
      </c>
      <c r="S595">
        <f t="shared" si="100"/>
        <v>461.91370000000001</v>
      </c>
    </row>
    <row r="596" spans="1:19" x14ac:dyDescent="0.3">
      <c r="A596" t="s">
        <v>13</v>
      </c>
      <c r="B596" t="s">
        <v>24</v>
      </c>
      <c r="C596" t="s">
        <v>15</v>
      </c>
      <c r="D596">
        <v>4</v>
      </c>
      <c r="E596">
        <v>31</v>
      </c>
      <c r="F596">
        <v>2</v>
      </c>
      <c r="G596">
        <v>20260225</v>
      </c>
      <c r="H596">
        <v>20260402</v>
      </c>
      <c r="I596">
        <v>3834.9168</v>
      </c>
      <c r="J596">
        <f t="shared" si="91"/>
        <v>37</v>
      </c>
      <c r="K596">
        <f t="shared" si="92"/>
        <v>103.6464</v>
      </c>
      <c r="L596">
        <f t="shared" si="93"/>
        <v>562.32682481300571</v>
      </c>
      <c r="M596">
        <f t="shared" si="94"/>
        <v>3213.0383999999999</v>
      </c>
      <c r="N596">
        <f t="shared" si="95"/>
        <v>128.64952993443185</v>
      </c>
      <c r="O596">
        <f t="shared" si="96"/>
        <v>3904.0147547474376</v>
      </c>
      <c r="P596">
        <f t="shared" si="97"/>
        <v>552.37408745540495</v>
      </c>
      <c r="Q596">
        <f t="shared" si="98"/>
        <v>3156.170176923998</v>
      </c>
      <c r="R596">
        <f t="shared" si="99"/>
        <v>126.37253562059669</v>
      </c>
      <c r="S596">
        <f t="shared" si="100"/>
        <v>3834.9168</v>
      </c>
    </row>
    <row r="597" spans="1:19" x14ac:dyDescent="0.3">
      <c r="A597" t="s">
        <v>13</v>
      </c>
      <c r="B597" t="s">
        <v>37</v>
      </c>
      <c r="C597" t="s">
        <v>15</v>
      </c>
      <c r="D597">
        <v>0</v>
      </c>
      <c r="E597">
        <v>19</v>
      </c>
      <c r="F597">
        <v>5</v>
      </c>
      <c r="G597">
        <v>20260313</v>
      </c>
      <c r="H597">
        <v>20260405</v>
      </c>
      <c r="I597">
        <v>4122.9967999999999</v>
      </c>
      <c r="J597">
        <f t="shared" si="91"/>
        <v>24</v>
      </c>
      <c r="K597">
        <f t="shared" si="92"/>
        <v>171.79153333333332</v>
      </c>
      <c r="L597">
        <f t="shared" si="93"/>
        <v>0</v>
      </c>
      <c r="M597">
        <f t="shared" si="94"/>
        <v>3264.0391333333332</v>
      </c>
      <c r="N597">
        <f t="shared" si="95"/>
        <v>533.0841208678886</v>
      </c>
      <c r="O597">
        <f t="shared" si="96"/>
        <v>3797.1232542012217</v>
      </c>
      <c r="P597">
        <f t="shared" si="97"/>
        <v>0</v>
      </c>
      <c r="Q597">
        <f t="shared" si="98"/>
        <v>3544.1627782080268</v>
      </c>
      <c r="R597">
        <f t="shared" si="99"/>
        <v>578.8340217919731</v>
      </c>
      <c r="S597">
        <f t="shared" si="100"/>
        <v>4122.9967999999999</v>
      </c>
    </row>
    <row r="598" spans="1:19" x14ac:dyDescent="0.3">
      <c r="A598" t="s">
        <v>13</v>
      </c>
      <c r="B598" t="s">
        <v>24</v>
      </c>
      <c r="C598" t="s">
        <v>15</v>
      </c>
      <c r="D598">
        <v>0</v>
      </c>
      <c r="E598">
        <v>28</v>
      </c>
      <c r="F598">
        <v>0</v>
      </c>
      <c r="G598">
        <v>20260304</v>
      </c>
      <c r="H598">
        <v>20260331</v>
      </c>
      <c r="I598">
        <v>18393.639299999999</v>
      </c>
      <c r="J598">
        <f t="shared" si="91"/>
        <v>28</v>
      </c>
      <c r="K598">
        <f t="shared" si="92"/>
        <v>656.91568928571428</v>
      </c>
      <c r="L598">
        <f t="shared" si="93"/>
        <v>0</v>
      </c>
      <c r="M598">
        <f t="shared" si="94"/>
        <v>18393.639299999999</v>
      </c>
      <c r="N598">
        <f t="shared" si="95"/>
        <v>0</v>
      </c>
      <c r="O598">
        <f t="shared" si="96"/>
        <v>18393.639299999999</v>
      </c>
      <c r="P598">
        <f t="shared" si="97"/>
        <v>0</v>
      </c>
      <c r="Q598">
        <f t="shared" si="98"/>
        <v>18393.639299999999</v>
      </c>
      <c r="R598">
        <f t="shared" si="99"/>
        <v>0</v>
      </c>
      <c r="S598">
        <f t="shared" si="100"/>
        <v>18393.639299999999</v>
      </c>
    </row>
    <row r="599" spans="1:19" x14ac:dyDescent="0.3">
      <c r="A599" t="s">
        <v>13</v>
      </c>
      <c r="B599" t="s">
        <v>24</v>
      </c>
      <c r="C599" t="s">
        <v>15</v>
      </c>
      <c r="D599">
        <v>20</v>
      </c>
      <c r="E599">
        <v>6</v>
      </c>
      <c r="F599">
        <v>0</v>
      </c>
      <c r="G599">
        <v>20260209</v>
      </c>
      <c r="H599">
        <v>20260306</v>
      </c>
      <c r="I599">
        <v>38121.530700000003</v>
      </c>
      <c r="J599">
        <f t="shared" si="91"/>
        <v>26</v>
      </c>
      <c r="K599">
        <f t="shared" si="92"/>
        <v>1466.2127192307694</v>
      </c>
      <c r="L599">
        <f t="shared" si="93"/>
        <v>39774.210339456149</v>
      </c>
      <c r="M599">
        <f t="shared" si="94"/>
        <v>8797.2763153846172</v>
      </c>
      <c r="N599">
        <f t="shared" si="95"/>
        <v>0</v>
      </c>
      <c r="O599">
        <f t="shared" si="96"/>
        <v>48571.486654840766</v>
      </c>
      <c r="P599">
        <f t="shared" si="97"/>
        <v>31216.952268697361</v>
      </c>
      <c r="Q599">
        <f t="shared" si="98"/>
        <v>6904.5784313026406</v>
      </c>
      <c r="R599">
        <f t="shared" si="99"/>
        <v>0</v>
      </c>
      <c r="S599">
        <f t="shared" si="100"/>
        <v>38121.530700000003</v>
      </c>
    </row>
    <row r="600" spans="1:19" x14ac:dyDescent="0.3">
      <c r="A600" t="s">
        <v>13</v>
      </c>
      <c r="B600" t="s">
        <v>24</v>
      </c>
      <c r="C600" t="s">
        <v>14</v>
      </c>
      <c r="D600">
        <v>0</v>
      </c>
      <c r="E600">
        <v>29</v>
      </c>
      <c r="F600">
        <v>5</v>
      </c>
      <c r="G600">
        <v>20260303</v>
      </c>
      <c r="H600">
        <v>20260405</v>
      </c>
      <c r="I600">
        <v>2338.6365999999998</v>
      </c>
      <c r="J600">
        <f t="shared" si="91"/>
        <v>34</v>
      </c>
      <c r="K600">
        <f t="shared" si="92"/>
        <v>68.7834294117647</v>
      </c>
      <c r="L600">
        <f t="shared" si="93"/>
        <v>0</v>
      </c>
      <c r="M600">
        <f t="shared" si="94"/>
        <v>1994.7194529411763</v>
      </c>
      <c r="N600">
        <f t="shared" si="95"/>
        <v>213.44098446983452</v>
      </c>
      <c r="O600">
        <f t="shared" si="96"/>
        <v>2208.1604374110107</v>
      </c>
      <c r="P600">
        <f t="shared" si="97"/>
        <v>0</v>
      </c>
      <c r="Q600">
        <f t="shared" si="98"/>
        <v>2112.5837780381885</v>
      </c>
      <c r="R600">
        <f t="shared" si="99"/>
        <v>226.0528219618113</v>
      </c>
      <c r="S600">
        <f t="shared" si="100"/>
        <v>2338.6365999999998</v>
      </c>
    </row>
    <row r="601" spans="1:19" x14ac:dyDescent="0.3">
      <c r="A601" t="s">
        <v>13</v>
      </c>
      <c r="B601" t="s">
        <v>37</v>
      </c>
      <c r="C601" t="s">
        <v>14</v>
      </c>
      <c r="D601">
        <v>0</v>
      </c>
      <c r="E601">
        <v>28</v>
      </c>
      <c r="F601">
        <v>5</v>
      </c>
      <c r="G601">
        <v>20260304</v>
      </c>
      <c r="H601">
        <v>20260405</v>
      </c>
      <c r="I601">
        <v>1469.6451</v>
      </c>
      <c r="J601">
        <f t="shared" si="91"/>
        <v>33</v>
      </c>
      <c r="K601">
        <f t="shared" si="92"/>
        <v>44.534700000000001</v>
      </c>
      <c r="L601">
        <f t="shared" si="93"/>
        <v>0</v>
      </c>
      <c r="M601">
        <f t="shared" si="94"/>
        <v>1246.9716000000001</v>
      </c>
      <c r="N601">
        <f t="shared" si="95"/>
        <v>138.19506082147913</v>
      </c>
      <c r="O601">
        <f t="shared" si="96"/>
        <v>1385.1666608214791</v>
      </c>
      <c r="P601">
        <f t="shared" si="97"/>
        <v>0</v>
      </c>
      <c r="Q601">
        <f t="shared" si="98"/>
        <v>1323.0218092978971</v>
      </c>
      <c r="R601">
        <f t="shared" si="99"/>
        <v>146.62329070210279</v>
      </c>
      <c r="S601">
        <f t="shared" si="100"/>
        <v>1469.6451</v>
      </c>
    </row>
    <row r="602" spans="1:19" x14ac:dyDescent="0.3">
      <c r="A602" t="s">
        <v>13</v>
      </c>
      <c r="B602" t="s">
        <v>24</v>
      </c>
      <c r="C602" t="s">
        <v>14</v>
      </c>
      <c r="D602">
        <v>20</v>
      </c>
      <c r="E602">
        <v>5</v>
      </c>
      <c r="F602">
        <v>0</v>
      </c>
      <c r="G602">
        <v>20260209</v>
      </c>
      <c r="H602">
        <v>20260305</v>
      </c>
      <c r="I602">
        <v>591.54840000000002</v>
      </c>
      <c r="J602">
        <f t="shared" si="91"/>
        <v>25</v>
      </c>
      <c r="K602">
        <f t="shared" si="92"/>
        <v>23.661936000000001</v>
      </c>
      <c r="L602">
        <f t="shared" si="93"/>
        <v>641.8814999753273</v>
      </c>
      <c r="M602">
        <f t="shared" si="94"/>
        <v>118.30968</v>
      </c>
      <c r="N602">
        <f t="shared" si="95"/>
        <v>0</v>
      </c>
      <c r="O602">
        <f t="shared" si="96"/>
        <v>760.19117997532726</v>
      </c>
      <c r="P602">
        <f t="shared" si="97"/>
        <v>499.48484578882983</v>
      </c>
      <c r="Q602">
        <f t="shared" si="98"/>
        <v>92.063554211170228</v>
      </c>
      <c r="R602">
        <f t="shared" si="99"/>
        <v>0</v>
      </c>
      <c r="S602">
        <f t="shared" si="100"/>
        <v>591.54840000000002</v>
      </c>
    </row>
    <row r="603" spans="1:19" x14ac:dyDescent="0.3">
      <c r="A603" t="s">
        <v>13</v>
      </c>
      <c r="B603" t="s">
        <v>24</v>
      </c>
      <c r="C603" t="s">
        <v>15</v>
      </c>
      <c r="D603">
        <v>0</v>
      </c>
      <c r="E603">
        <v>27</v>
      </c>
      <c r="F603">
        <v>0</v>
      </c>
      <c r="G603">
        <v>20260304</v>
      </c>
      <c r="H603">
        <v>20260330</v>
      </c>
      <c r="I603">
        <v>9449.5004000000008</v>
      </c>
      <c r="J603">
        <f t="shared" si="91"/>
        <v>27</v>
      </c>
      <c r="K603">
        <f t="shared" si="92"/>
        <v>349.98149629629631</v>
      </c>
      <c r="L603">
        <f t="shared" si="93"/>
        <v>0</v>
      </c>
      <c r="M603">
        <f t="shared" si="94"/>
        <v>9449.5004000000008</v>
      </c>
      <c r="N603">
        <f t="shared" si="95"/>
        <v>0</v>
      </c>
      <c r="O603">
        <f t="shared" si="96"/>
        <v>9449.5004000000008</v>
      </c>
      <c r="P603">
        <f t="shared" si="97"/>
        <v>0</v>
      </c>
      <c r="Q603">
        <f t="shared" si="98"/>
        <v>9449.5004000000008</v>
      </c>
      <c r="R603">
        <f t="shared" si="99"/>
        <v>0</v>
      </c>
      <c r="S603">
        <f t="shared" si="100"/>
        <v>9449.5004000000008</v>
      </c>
    </row>
    <row r="604" spans="1:19" x14ac:dyDescent="0.3">
      <c r="A604" t="s">
        <v>13</v>
      </c>
      <c r="B604" t="s">
        <v>24</v>
      </c>
      <c r="C604" t="s">
        <v>15</v>
      </c>
      <c r="D604">
        <v>20</v>
      </c>
      <c r="E604">
        <v>1</v>
      </c>
      <c r="F604">
        <v>0</v>
      </c>
      <c r="G604">
        <v>20260209</v>
      </c>
      <c r="H604">
        <v>20260301</v>
      </c>
      <c r="I604">
        <v>6459.4867999999997</v>
      </c>
      <c r="J604">
        <f t="shared" si="91"/>
        <v>21</v>
      </c>
      <c r="K604">
        <f t="shared" si="92"/>
        <v>307.59460952380948</v>
      </c>
      <c r="L604">
        <f t="shared" si="93"/>
        <v>8344.1730780384132</v>
      </c>
      <c r="M604">
        <f t="shared" si="94"/>
        <v>307.59460952380948</v>
      </c>
      <c r="N604">
        <f t="shared" si="95"/>
        <v>0</v>
      </c>
      <c r="O604">
        <f t="shared" si="96"/>
        <v>8651.7676875622219</v>
      </c>
      <c r="P604">
        <f t="shared" si="97"/>
        <v>6229.8339253826462</v>
      </c>
      <c r="Q604">
        <f t="shared" si="98"/>
        <v>229.65287461735397</v>
      </c>
      <c r="R604">
        <f t="shared" si="99"/>
        <v>0</v>
      </c>
      <c r="S604">
        <f t="shared" si="100"/>
        <v>6459.4868000000006</v>
      </c>
    </row>
    <row r="605" spans="1:19" x14ac:dyDescent="0.3">
      <c r="A605" t="s">
        <v>13</v>
      </c>
      <c r="B605" t="s">
        <v>24</v>
      </c>
      <c r="C605" t="s">
        <v>14</v>
      </c>
      <c r="D605">
        <v>0</v>
      </c>
      <c r="E605">
        <v>16</v>
      </c>
      <c r="F605">
        <v>0</v>
      </c>
      <c r="G605">
        <v>20260301</v>
      </c>
      <c r="H605">
        <v>20260316</v>
      </c>
      <c r="I605">
        <v>74574.943899999998</v>
      </c>
      <c r="J605">
        <f t="shared" si="91"/>
        <v>16</v>
      </c>
      <c r="K605">
        <f t="shared" si="92"/>
        <v>4660.9339937499999</v>
      </c>
      <c r="L605">
        <f t="shared" si="93"/>
        <v>0</v>
      </c>
      <c r="M605">
        <f t="shared" si="94"/>
        <v>74574.943899999998</v>
      </c>
      <c r="N605">
        <f t="shared" si="95"/>
        <v>0</v>
      </c>
      <c r="O605">
        <f t="shared" si="96"/>
        <v>74574.943899999998</v>
      </c>
      <c r="P605">
        <f t="shared" si="97"/>
        <v>0</v>
      </c>
      <c r="Q605">
        <f t="shared" si="98"/>
        <v>74574.943899999998</v>
      </c>
      <c r="R605">
        <f t="shared" si="99"/>
        <v>0</v>
      </c>
      <c r="S605">
        <f t="shared" si="100"/>
        <v>74574.943899999998</v>
      </c>
    </row>
    <row r="606" spans="1:19" x14ac:dyDescent="0.3">
      <c r="A606" t="s">
        <v>13</v>
      </c>
      <c r="B606" t="s">
        <v>24</v>
      </c>
      <c r="C606" t="s">
        <v>14</v>
      </c>
      <c r="D606">
        <v>0</v>
      </c>
      <c r="E606">
        <v>17</v>
      </c>
      <c r="F606">
        <v>0</v>
      </c>
      <c r="G606">
        <v>20260301</v>
      </c>
      <c r="H606">
        <v>20260317</v>
      </c>
      <c r="I606">
        <v>4132248.4619999998</v>
      </c>
      <c r="J606">
        <f t="shared" si="91"/>
        <v>17</v>
      </c>
      <c r="K606">
        <f t="shared" si="92"/>
        <v>243073.43894117646</v>
      </c>
      <c r="L606">
        <f t="shared" si="93"/>
        <v>0</v>
      </c>
      <c r="M606">
        <f t="shared" si="94"/>
        <v>4132248.4619999998</v>
      </c>
      <c r="N606">
        <f t="shared" si="95"/>
        <v>0</v>
      </c>
      <c r="O606">
        <f t="shared" si="96"/>
        <v>4132248.4619999998</v>
      </c>
      <c r="P606">
        <f t="shared" si="97"/>
        <v>0</v>
      </c>
      <c r="Q606">
        <f t="shared" si="98"/>
        <v>4132248.4619999998</v>
      </c>
      <c r="R606">
        <f t="shared" si="99"/>
        <v>0</v>
      </c>
      <c r="S606">
        <f t="shared" si="100"/>
        <v>4132248.4619999998</v>
      </c>
    </row>
    <row r="607" spans="1:19" x14ac:dyDescent="0.3">
      <c r="A607" t="s">
        <v>13</v>
      </c>
      <c r="B607" t="s">
        <v>24</v>
      </c>
      <c r="C607" t="s">
        <v>15</v>
      </c>
      <c r="D607">
        <v>5</v>
      </c>
      <c r="E607">
        <v>16</v>
      </c>
      <c r="F607">
        <v>0</v>
      </c>
      <c r="G607">
        <v>20260224</v>
      </c>
      <c r="H607">
        <v>20260316</v>
      </c>
      <c r="I607">
        <v>887.84140000000002</v>
      </c>
      <c r="J607">
        <f t="shared" si="91"/>
        <v>21</v>
      </c>
      <c r="K607">
        <f t="shared" si="92"/>
        <v>42.278161904761909</v>
      </c>
      <c r="L607">
        <f t="shared" si="93"/>
        <v>286.72178366584535</v>
      </c>
      <c r="M607">
        <f t="shared" si="94"/>
        <v>676.45059047619054</v>
      </c>
      <c r="N607">
        <f t="shared" si="95"/>
        <v>0</v>
      </c>
      <c r="O607">
        <f t="shared" si="96"/>
        <v>963.17237414203589</v>
      </c>
      <c r="P607">
        <f t="shared" si="97"/>
        <v>264.29689706075561</v>
      </c>
      <c r="Q607">
        <f t="shared" si="98"/>
        <v>623.54450293924435</v>
      </c>
      <c r="R607">
        <f t="shared" si="99"/>
        <v>0</v>
      </c>
      <c r="S607">
        <f t="shared" si="100"/>
        <v>887.84140000000002</v>
      </c>
    </row>
    <row r="608" spans="1:19" x14ac:dyDescent="0.3">
      <c r="A608" t="s">
        <v>13</v>
      </c>
      <c r="B608" t="s">
        <v>24</v>
      </c>
      <c r="C608" t="s">
        <v>15</v>
      </c>
      <c r="D608">
        <v>26</v>
      </c>
      <c r="E608">
        <v>12</v>
      </c>
      <c r="F608">
        <v>0</v>
      </c>
      <c r="G608">
        <v>20260203</v>
      </c>
      <c r="H608">
        <v>20260312</v>
      </c>
      <c r="I608">
        <v>506.75689999999997</v>
      </c>
      <c r="J608">
        <f t="shared" si="91"/>
        <v>38</v>
      </c>
      <c r="K608">
        <f t="shared" si="92"/>
        <v>13.335707894736842</v>
      </c>
      <c r="L608">
        <f t="shared" si="93"/>
        <v>470.28812193213815</v>
      </c>
      <c r="M608">
        <f t="shared" si="94"/>
        <v>160.02849473684211</v>
      </c>
      <c r="N608">
        <f t="shared" si="95"/>
        <v>0</v>
      </c>
      <c r="O608">
        <f t="shared" si="96"/>
        <v>630.31661666898026</v>
      </c>
      <c r="P608">
        <f t="shared" si="97"/>
        <v>378.09847380607835</v>
      </c>
      <c r="Q608">
        <f t="shared" si="98"/>
        <v>128.65842619392168</v>
      </c>
      <c r="R608">
        <f t="shared" si="99"/>
        <v>0</v>
      </c>
      <c r="S608">
        <f t="shared" si="100"/>
        <v>506.75690000000003</v>
      </c>
    </row>
    <row r="609" spans="1:19" x14ac:dyDescent="0.3">
      <c r="A609" t="s">
        <v>13</v>
      </c>
      <c r="B609" t="s">
        <v>24</v>
      </c>
      <c r="C609" t="s">
        <v>15</v>
      </c>
      <c r="D609">
        <v>0</v>
      </c>
      <c r="E609">
        <v>23</v>
      </c>
      <c r="F609">
        <v>0</v>
      </c>
      <c r="G609">
        <v>20260306</v>
      </c>
      <c r="H609">
        <v>20260328</v>
      </c>
      <c r="I609">
        <v>9189.4951000000001</v>
      </c>
      <c r="J609">
        <f t="shared" si="91"/>
        <v>23</v>
      </c>
      <c r="K609">
        <f t="shared" si="92"/>
        <v>399.54326521739131</v>
      </c>
      <c r="L609">
        <f t="shared" si="93"/>
        <v>0</v>
      </c>
      <c r="M609">
        <f t="shared" si="94"/>
        <v>9189.4951000000001</v>
      </c>
      <c r="N609">
        <f t="shared" si="95"/>
        <v>0</v>
      </c>
      <c r="O609">
        <f t="shared" si="96"/>
        <v>9189.4951000000001</v>
      </c>
      <c r="P609">
        <f t="shared" si="97"/>
        <v>0</v>
      </c>
      <c r="Q609">
        <f t="shared" si="98"/>
        <v>9189.4951000000001</v>
      </c>
      <c r="R609">
        <f t="shared" si="99"/>
        <v>0</v>
      </c>
      <c r="S609">
        <f t="shared" si="100"/>
        <v>9189.4951000000001</v>
      </c>
    </row>
    <row r="610" spans="1:19" x14ac:dyDescent="0.3">
      <c r="A610" t="s">
        <v>13</v>
      </c>
      <c r="B610" t="s">
        <v>24</v>
      </c>
      <c r="C610" t="s">
        <v>15</v>
      </c>
      <c r="D610">
        <v>0</v>
      </c>
      <c r="E610">
        <v>24</v>
      </c>
      <c r="F610">
        <v>0</v>
      </c>
      <c r="G610">
        <v>20260303</v>
      </c>
      <c r="H610">
        <v>20260326</v>
      </c>
      <c r="I610">
        <v>6201.3798999999999</v>
      </c>
      <c r="J610">
        <f t="shared" si="91"/>
        <v>24</v>
      </c>
      <c r="K610">
        <f t="shared" si="92"/>
        <v>258.39082916666666</v>
      </c>
      <c r="L610">
        <f t="shared" si="93"/>
        <v>0</v>
      </c>
      <c r="M610">
        <f t="shared" si="94"/>
        <v>6201.3798999999999</v>
      </c>
      <c r="N610">
        <f t="shared" si="95"/>
        <v>0</v>
      </c>
      <c r="O610">
        <f t="shared" si="96"/>
        <v>6201.3798999999999</v>
      </c>
      <c r="P610">
        <f t="shared" si="97"/>
        <v>0</v>
      </c>
      <c r="Q610">
        <f t="shared" si="98"/>
        <v>6201.3798999999999</v>
      </c>
      <c r="R610">
        <f t="shared" si="99"/>
        <v>0</v>
      </c>
      <c r="S610">
        <f t="shared" si="100"/>
        <v>6201.3798999999999</v>
      </c>
    </row>
    <row r="611" spans="1:19" x14ac:dyDescent="0.3">
      <c r="A611" t="s">
        <v>13</v>
      </c>
      <c r="B611" t="s">
        <v>24</v>
      </c>
      <c r="C611" t="s">
        <v>15</v>
      </c>
      <c r="D611">
        <v>0</v>
      </c>
      <c r="E611">
        <v>26</v>
      </c>
      <c r="F611">
        <v>13</v>
      </c>
      <c r="G611">
        <v>20260306</v>
      </c>
      <c r="H611">
        <v>20260413</v>
      </c>
      <c r="I611">
        <v>6602.8329000000003</v>
      </c>
      <c r="J611">
        <f t="shared" si="91"/>
        <v>39</v>
      </c>
      <c r="K611">
        <f t="shared" si="92"/>
        <v>169.3034076923077</v>
      </c>
      <c r="L611">
        <f t="shared" si="93"/>
        <v>0</v>
      </c>
      <c r="M611">
        <f t="shared" si="94"/>
        <v>4401.8886000000002</v>
      </c>
      <c r="N611">
        <f t="shared" si="95"/>
        <v>1365.9444496232729</v>
      </c>
      <c r="O611">
        <f t="shared" si="96"/>
        <v>5767.8330496232729</v>
      </c>
      <c r="P611">
        <f t="shared" si="97"/>
        <v>0</v>
      </c>
      <c r="Q611">
        <f t="shared" si="98"/>
        <v>5039.1428843650947</v>
      </c>
      <c r="R611">
        <f t="shared" si="99"/>
        <v>1563.6900156349054</v>
      </c>
      <c r="S611">
        <f t="shared" si="100"/>
        <v>6602.8329000000003</v>
      </c>
    </row>
    <row r="612" spans="1:19" x14ac:dyDescent="0.3">
      <c r="A612" t="s">
        <v>13</v>
      </c>
      <c r="B612" t="s">
        <v>37</v>
      </c>
      <c r="C612" t="s">
        <v>15</v>
      </c>
      <c r="D612">
        <v>0</v>
      </c>
      <c r="E612">
        <v>27</v>
      </c>
      <c r="F612">
        <v>10</v>
      </c>
      <c r="G612">
        <v>20260305</v>
      </c>
      <c r="H612">
        <v>20260410</v>
      </c>
      <c r="I612">
        <v>934.21600000000001</v>
      </c>
      <c r="J612">
        <f t="shared" si="91"/>
        <v>37</v>
      </c>
      <c r="K612">
        <f t="shared" si="92"/>
        <v>25.24908108108108</v>
      </c>
      <c r="L612">
        <f t="shared" si="93"/>
        <v>0</v>
      </c>
      <c r="M612">
        <f t="shared" si="94"/>
        <v>681.72518918918911</v>
      </c>
      <c r="N612">
        <f t="shared" si="95"/>
        <v>156.70020436587461</v>
      </c>
      <c r="O612">
        <f t="shared" si="96"/>
        <v>838.42539355506369</v>
      </c>
      <c r="P612">
        <f t="shared" si="97"/>
        <v>0</v>
      </c>
      <c r="Q612">
        <f t="shared" si="98"/>
        <v>759.61270285850469</v>
      </c>
      <c r="R612">
        <f t="shared" si="99"/>
        <v>174.60329714149529</v>
      </c>
      <c r="S612">
        <f t="shared" si="100"/>
        <v>934.21600000000001</v>
      </c>
    </row>
    <row r="613" spans="1:19" x14ac:dyDescent="0.3">
      <c r="A613" t="s">
        <v>13</v>
      </c>
      <c r="B613" t="s">
        <v>24</v>
      </c>
      <c r="C613" t="s">
        <v>15</v>
      </c>
      <c r="D613">
        <v>0</v>
      </c>
      <c r="E613">
        <v>23</v>
      </c>
      <c r="F613">
        <v>0</v>
      </c>
      <c r="G613">
        <v>20260304</v>
      </c>
      <c r="H613">
        <v>20260326</v>
      </c>
      <c r="I613">
        <v>3669.0868</v>
      </c>
      <c r="J613">
        <f t="shared" si="91"/>
        <v>23</v>
      </c>
      <c r="K613">
        <f t="shared" si="92"/>
        <v>159.52551304347827</v>
      </c>
      <c r="L613">
        <f t="shared" si="93"/>
        <v>0</v>
      </c>
      <c r="M613">
        <f t="shared" si="94"/>
        <v>3669.0868</v>
      </c>
      <c r="N613">
        <f t="shared" si="95"/>
        <v>0</v>
      </c>
      <c r="O613">
        <f t="shared" si="96"/>
        <v>3669.0868</v>
      </c>
      <c r="P613">
        <f t="shared" si="97"/>
        <v>0</v>
      </c>
      <c r="Q613">
        <f t="shared" si="98"/>
        <v>3669.0868</v>
      </c>
      <c r="R613">
        <f t="shared" si="99"/>
        <v>0</v>
      </c>
      <c r="S613">
        <f t="shared" si="100"/>
        <v>3669.0868</v>
      </c>
    </row>
    <row r="614" spans="1:19" x14ac:dyDescent="0.3">
      <c r="A614" t="s">
        <v>13</v>
      </c>
      <c r="B614" t="s">
        <v>24</v>
      </c>
      <c r="C614" t="s">
        <v>15</v>
      </c>
      <c r="D614">
        <v>0</v>
      </c>
      <c r="E614">
        <v>11</v>
      </c>
      <c r="F614">
        <v>0</v>
      </c>
      <c r="G614">
        <v>20260307</v>
      </c>
      <c r="H614">
        <v>20260317</v>
      </c>
      <c r="I614">
        <v>2021.9046000000001</v>
      </c>
      <c r="J614">
        <f t="shared" si="91"/>
        <v>11</v>
      </c>
      <c r="K614">
        <f t="shared" si="92"/>
        <v>183.8095090909091</v>
      </c>
      <c r="L614">
        <f t="shared" si="93"/>
        <v>0</v>
      </c>
      <c r="M614">
        <f t="shared" si="94"/>
        <v>2021.9046000000001</v>
      </c>
      <c r="N614">
        <f t="shared" si="95"/>
        <v>0</v>
      </c>
      <c r="O614">
        <f t="shared" si="96"/>
        <v>2021.9046000000001</v>
      </c>
      <c r="P614">
        <f t="shared" si="97"/>
        <v>0</v>
      </c>
      <c r="Q614">
        <f t="shared" si="98"/>
        <v>2021.9046000000001</v>
      </c>
      <c r="R614">
        <f t="shared" si="99"/>
        <v>0</v>
      </c>
      <c r="S614">
        <f t="shared" si="100"/>
        <v>2021.9046000000001</v>
      </c>
    </row>
    <row r="615" spans="1:19" x14ac:dyDescent="0.3">
      <c r="A615" t="s">
        <v>13</v>
      </c>
      <c r="B615" t="s">
        <v>24</v>
      </c>
      <c r="C615" t="s">
        <v>15</v>
      </c>
      <c r="D615">
        <v>0</v>
      </c>
      <c r="E615">
        <v>28</v>
      </c>
      <c r="F615">
        <v>11</v>
      </c>
      <c r="G615">
        <v>20260304</v>
      </c>
      <c r="H615">
        <v>20260411</v>
      </c>
      <c r="I615">
        <v>5176.3841000000002</v>
      </c>
      <c r="J615">
        <f t="shared" si="91"/>
        <v>39</v>
      </c>
      <c r="K615">
        <f t="shared" si="92"/>
        <v>132.72779743589743</v>
      </c>
      <c r="L615">
        <f t="shared" si="93"/>
        <v>0</v>
      </c>
      <c r="M615">
        <f t="shared" si="94"/>
        <v>3716.3783282051281</v>
      </c>
      <c r="N615">
        <f t="shared" si="95"/>
        <v>906.10506608511059</v>
      </c>
      <c r="O615">
        <f t="shared" si="96"/>
        <v>4622.4833942902387</v>
      </c>
      <c r="P615">
        <f t="shared" si="97"/>
        <v>0</v>
      </c>
      <c r="Q615">
        <f t="shared" si="98"/>
        <v>4161.7027140579748</v>
      </c>
      <c r="R615">
        <f t="shared" si="99"/>
        <v>1014.681385942025</v>
      </c>
      <c r="S615">
        <f t="shared" si="100"/>
        <v>5176.3841000000002</v>
      </c>
    </row>
    <row r="616" spans="1:19" x14ac:dyDescent="0.3">
      <c r="A616" t="s">
        <v>13</v>
      </c>
      <c r="B616" t="s">
        <v>37</v>
      </c>
      <c r="C616" t="s">
        <v>15</v>
      </c>
      <c r="D616">
        <v>0</v>
      </c>
      <c r="E616">
        <v>23</v>
      </c>
      <c r="F616">
        <v>5</v>
      </c>
      <c r="G616">
        <v>20260309</v>
      </c>
      <c r="H616">
        <v>20260405</v>
      </c>
      <c r="I616">
        <v>2368.8636000000001</v>
      </c>
      <c r="J616">
        <f t="shared" si="91"/>
        <v>28</v>
      </c>
      <c r="K616">
        <f t="shared" si="92"/>
        <v>84.602271428571427</v>
      </c>
      <c r="L616">
        <f t="shared" si="93"/>
        <v>0</v>
      </c>
      <c r="M616">
        <f t="shared" si="94"/>
        <v>1945.8522428571428</v>
      </c>
      <c r="N616">
        <f t="shared" si="95"/>
        <v>262.52823182162933</v>
      </c>
      <c r="O616">
        <f t="shared" si="96"/>
        <v>2208.3804746787719</v>
      </c>
      <c r="P616">
        <f t="shared" si="97"/>
        <v>0</v>
      </c>
      <c r="Q616">
        <f t="shared" si="98"/>
        <v>2087.2574277551207</v>
      </c>
      <c r="R616">
        <f t="shared" si="99"/>
        <v>281.6061722448797</v>
      </c>
      <c r="S616">
        <f t="shared" si="100"/>
        <v>2368.8636000000006</v>
      </c>
    </row>
    <row r="617" spans="1:19" x14ac:dyDescent="0.3">
      <c r="A617" t="s">
        <v>13</v>
      </c>
      <c r="B617" t="s">
        <v>37</v>
      </c>
      <c r="C617" t="s">
        <v>14</v>
      </c>
      <c r="D617">
        <v>0</v>
      </c>
      <c r="E617">
        <v>24</v>
      </c>
      <c r="F617">
        <v>2</v>
      </c>
      <c r="G617">
        <v>20260308</v>
      </c>
      <c r="H617">
        <v>20260402</v>
      </c>
      <c r="I617">
        <v>71.306799999999996</v>
      </c>
      <c r="J617">
        <f t="shared" si="91"/>
        <v>26</v>
      </c>
      <c r="K617">
        <f t="shared" si="92"/>
        <v>2.7425692307692304</v>
      </c>
      <c r="L617">
        <f t="shared" si="93"/>
        <v>0</v>
      </c>
      <c r="M617">
        <f t="shared" si="94"/>
        <v>65.821661538461527</v>
      </c>
      <c r="N617">
        <f t="shared" si="95"/>
        <v>3.4041726712273448</v>
      </c>
      <c r="O617">
        <f t="shared" si="96"/>
        <v>69.22583420968887</v>
      </c>
      <c r="P617">
        <f t="shared" si="97"/>
        <v>0</v>
      </c>
      <c r="Q617">
        <f t="shared" si="98"/>
        <v>67.800296068282847</v>
      </c>
      <c r="R617">
        <f t="shared" si="99"/>
        <v>3.5065039317171558</v>
      </c>
      <c r="S617">
        <f t="shared" si="100"/>
        <v>71.30680000000001</v>
      </c>
    </row>
    <row r="618" spans="1:19" x14ac:dyDescent="0.3">
      <c r="A618" t="s">
        <v>13</v>
      </c>
      <c r="B618" t="s">
        <v>24</v>
      </c>
      <c r="C618" t="s">
        <v>15</v>
      </c>
      <c r="D618">
        <v>0</v>
      </c>
      <c r="E618">
        <v>10</v>
      </c>
      <c r="F618">
        <v>0</v>
      </c>
      <c r="G618">
        <v>20260304</v>
      </c>
      <c r="H618">
        <v>20260313</v>
      </c>
      <c r="I618">
        <v>12050.120699999999</v>
      </c>
      <c r="J618">
        <f t="shared" si="91"/>
        <v>10</v>
      </c>
      <c r="K618">
        <f t="shared" si="92"/>
        <v>1205.01207</v>
      </c>
      <c r="L618">
        <f t="shared" si="93"/>
        <v>0</v>
      </c>
      <c r="M618">
        <f t="shared" si="94"/>
        <v>12050.120699999999</v>
      </c>
      <c r="N618">
        <f t="shared" si="95"/>
        <v>0</v>
      </c>
      <c r="O618">
        <f t="shared" si="96"/>
        <v>12050.120699999999</v>
      </c>
      <c r="P618">
        <f t="shared" si="97"/>
        <v>0</v>
      </c>
      <c r="Q618">
        <f t="shared" si="98"/>
        <v>12050.120699999999</v>
      </c>
      <c r="R618">
        <f t="shared" si="99"/>
        <v>0</v>
      </c>
      <c r="S618">
        <f t="shared" si="100"/>
        <v>12050.120699999999</v>
      </c>
    </row>
    <row r="619" spans="1:19" x14ac:dyDescent="0.3">
      <c r="A619" t="s">
        <v>13</v>
      </c>
      <c r="B619" t="s">
        <v>24</v>
      </c>
      <c r="C619" t="s">
        <v>14</v>
      </c>
      <c r="D619">
        <v>0</v>
      </c>
      <c r="E619">
        <v>30</v>
      </c>
      <c r="F619">
        <v>0</v>
      </c>
      <c r="G619">
        <v>20260302</v>
      </c>
      <c r="H619">
        <v>20260331</v>
      </c>
      <c r="I619">
        <v>42.207999999999998</v>
      </c>
      <c r="J619">
        <f t="shared" si="91"/>
        <v>30</v>
      </c>
      <c r="K619">
        <f t="shared" si="92"/>
        <v>1.4069333333333334</v>
      </c>
      <c r="L619">
        <f t="shared" si="93"/>
        <v>0</v>
      </c>
      <c r="M619">
        <f t="shared" si="94"/>
        <v>42.207999999999998</v>
      </c>
      <c r="N619">
        <f t="shared" si="95"/>
        <v>0</v>
      </c>
      <c r="O619">
        <f t="shared" si="96"/>
        <v>42.207999999999998</v>
      </c>
      <c r="P619">
        <f t="shared" si="97"/>
        <v>0</v>
      </c>
      <c r="Q619">
        <f t="shared" si="98"/>
        <v>42.207999999999998</v>
      </c>
      <c r="R619">
        <f t="shared" si="99"/>
        <v>0</v>
      </c>
      <c r="S619">
        <f t="shared" si="100"/>
        <v>42.207999999999998</v>
      </c>
    </row>
    <row r="620" spans="1:19" x14ac:dyDescent="0.3">
      <c r="A620" t="s">
        <v>13</v>
      </c>
      <c r="B620" t="s">
        <v>24</v>
      </c>
      <c r="C620" t="s">
        <v>15</v>
      </c>
      <c r="D620">
        <v>4</v>
      </c>
      <c r="E620">
        <v>3</v>
      </c>
      <c r="F620">
        <v>0</v>
      </c>
      <c r="G620">
        <v>20260225</v>
      </c>
      <c r="H620">
        <v>20260303</v>
      </c>
      <c r="I620">
        <v>2755.2745</v>
      </c>
      <c r="J620">
        <f t="shared" si="91"/>
        <v>7</v>
      </c>
      <c r="K620">
        <f t="shared" si="92"/>
        <v>393.61064285714286</v>
      </c>
      <c r="L620">
        <f t="shared" si="93"/>
        <v>2135.5090288757074</v>
      </c>
      <c r="M620">
        <f t="shared" si="94"/>
        <v>1180.8319285714285</v>
      </c>
      <c r="N620">
        <f t="shared" si="95"/>
        <v>0</v>
      </c>
      <c r="O620">
        <f t="shared" si="96"/>
        <v>3316.3409574471361</v>
      </c>
      <c r="P620">
        <f t="shared" si="97"/>
        <v>1774.218527973776</v>
      </c>
      <c r="Q620">
        <f t="shared" si="98"/>
        <v>981.05597202622391</v>
      </c>
      <c r="R620">
        <f t="shared" si="99"/>
        <v>0</v>
      </c>
      <c r="S620">
        <f t="shared" si="100"/>
        <v>2755.2745</v>
      </c>
    </row>
    <row r="621" spans="1:19" x14ac:dyDescent="0.3">
      <c r="A621" t="s">
        <v>13</v>
      </c>
      <c r="B621" t="s">
        <v>24</v>
      </c>
      <c r="C621" t="s">
        <v>15</v>
      </c>
      <c r="D621">
        <v>28</v>
      </c>
      <c r="E621">
        <v>5</v>
      </c>
      <c r="F621">
        <v>0</v>
      </c>
      <c r="G621">
        <v>20260128</v>
      </c>
      <c r="H621">
        <v>20260305</v>
      </c>
      <c r="I621">
        <v>24896.305700000001</v>
      </c>
      <c r="J621">
        <f t="shared" si="91"/>
        <v>33</v>
      </c>
      <c r="K621">
        <f t="shared" si="92"/>
        <v>754.43350606060608</v>
      </c>
      <c r="L621">
        <f t="shared" si="93"/>
        <v>28651.910591870328</v>
      </c>
      <c r="M621">
        <f t="shared" si="94"/>
        <v>3772.1675303030306</v>
      </c>
      <c r="N621">
        <f t="shared" si="95"/>
        <v>0</v>
      </c>
      <c r="O621">
        <f t="shared" si="96"/>
        <v>32424.07812217336</v>
      </c>
      <c r="P621">
        <f t="shared" si="97"/>
        <v>21999.907670357472</v>
      </c>
      <c r="Q621">
        <f t="shared" si="98"/>
        <v>2896.3980296425266</v>
      </c>
      <c r="R621">
        <f t="shared" si="99"/>
        <v>0</v>
      </c>
      <c r="S621">
        <f t="shared" si="100"/>
        <v>24896.305699999997</v>
      </c>
    </row>
    <row r="622" spans="1:19" x14ac:dyDescent="0.3">
      <c r="A622" t="s">
        <v>13</v>
      </c>
      <c r="B622" t="s">
        <v>24</v>
      </c>
      <c r="C622" t="s">
        <v>15</v>
      </c>
      <c r="D622">
        <v>28</v>
      </c>
      <c r="E622">
        <v>7</v>
      </c>
      <c r="F622">
        <v>0</v>
      </c>
      <c r="G622">
        <v>20260130</v>
      </c>
      <c r="H622">
        <v>20260307</v>
      </c>
      <c r="I622">
        <v>1899.9380000000001</v>
      </c>
      <c r="J622">
        <f t="shared" si="91"/>
        <v>35</v>
      </c>
      <c r="K622">
        <f t="shared" si="92"/>
        <v>54.283942857142861</v>
      </c>
      <c r="L622">
        <f t="shared" si="93"/>
        <v>2061.5980929035113</v>
      </c>
      <c r="M622">
        <f t="shared" si="94"/>
        <v>379.98760000000004</v>
      </c>
      <c r="N622">
        <f t="shared" si="95"/>
        <v>0</v>
      </c>
      <c r="O622">
        <f t="shared" si="96"/>
        <v>2441.5856929035112</v>
      </c>
      <c r="P622">
        <f t="shared" si="97"/>
        <v>1604.2478332091471</v>
      </c>
      <c r="Q622">
        <f t="shared" si="98"/>
        <v>295.6901667908532</v>
      </c>
      <c r="R622">
        <f t="shared" si="99"/>
        <v>0</v>
      </c>
      <c r="S622">
        <f t="shared" si="100"/>
        <v>1899.9380000000003</v>
      </c>
    </row>
    <row r="623" spans="1:19" x14ac:dyDescent="0.3">
      <c r="A623" t="s">
        <v>13</v>
      </c>
      <c r="B623" t="s">
        <v>37</v>
      </c>
      <c r="C623" t="s">
        <v>15</v>
      </c>
      <c r="D623">
        <v>0</v>
      </c>
      <c r="E623">
        <v>22</v>
      </c>
      <c r="F623">
        <v>6</v>
      </c>
      <c r="G623">
        <v>20260310</v>
      </c>
      <c r="H623">
        <v>20260406</v>
      </c>
      <c r="I623">
        <v>4402.1769000000004</v>
      </c>
      <c r="J623">
        <f t="shared" si="91"/>
        <v>28</v>
      </c>
      <c r="K623">
        <f t="shared" si="92"/>
        <v>157.2206035714286</v>
      </c>
      <c r="L623">
        <f t="shared" si="93"/>
        <v>0</v>
      </c>
      <c r="M623">
        <f t="shared" si="94"/>
        <v>3458.8532785714292</v>
      </c>
      <c r="N623">
        <f t="shared" si="95"/>
        <v>585.44310498402115</v>
      </c>
      <c r="O623">
        <f t="shared" si="96"/>
        <v>4044.2963835554501</v>
      </c>
      <c r="P623">
        <f t="shared" si="97"/>
        <v>0</v>
      </c>
      <c r="Q623">
        <f t="shared" si="98"/>
        <v>3764.9278290604407</v>
      </c>
      <c r="R623">
        <f t="shared" si="99"/>
        <v>637.24907093956006</v>
      </c>
      <c r="S623">
        <f t="shared" si="100"/>
        <v>4402.1769000000004</v>
      </c>
    </row>
    <row r="624" spans="1:19" x14ac:dyDescent="0.3">
      <c r="A624" t="s">
        <v>13</v>
      </c>
      <c r="B624" t="s">
        <v>37</v>
      </c>
      <c r="C624" t="s">
        <v>15</v>
      </c>
      <c r="D624">
        <v>1</v>
      </c>
      <c r="E624">
        <v>31</v>
      </c>
      <c r="F624">
        <v>2</v>
      </c>
      <c r="G624">
        <v>20260228</v>
      </c>
      <c r="H624">
        <v>20260402</v>
      </c>
      <c r="I624">
        <v>871.75670000000002</v>
      </c>
      <c r="J624">
        <f t="shared" si="91"/>
        <v>34</v>
      </c>
      <c r="K624">
        <f t="shared" si="92"/>
        <v>25.639902941176473</v>
      </c>
      <c r="L624">
        <f t="shared" si="93"/>
        <v>34.776907855519852</v>
      </c>
      <c r="M624">
        <f t="shared" si="94"/>
        <v>794.83699117647063</v>
      </c>
      <c r="N624">
        <f t="shared" si="95"/>
        <v>31.825142609360384</v>
      </c>
      <c r="O624">
        <f t="shared" si="96"/>
        <v>861.43904164135085</v>
      </c>
      <c r="P624">
        <f t="shared" si="97"/>
        <v>35.193439074420496</v>
      </c>
      <c r="Q624">
        <f t="shared" si="98"/>
        <v>804.35694108511404</v>
      </c>
      <c r="R624">
        <f t="shared" si="99"/>
        <v>32.206319840465468</v>
      </c>
      <c r="S624">
        <f t="shared" si="100"/>
        <v>871.75670000000002</v>
      </c>
    </row>
    <row r="625" spans="1:19" x14ac:dyDescent="0.3">
      <c r="A625" t="s">
        <v>13</v>
      </c>
      <c r="B625" t="s">
        <v>24</v>
      </c>
      <c r="C625" t="s">
        <v>15</v>
      </c>
      <c r="D625">
        <v>6</v>
      </c>
      <c r="E625">
        <v>3</v>
      </c>
      <c r="F625">
        <v>0</v>
      </c>
      <c r="G625">
        <v>20260223</v>
      </c>
      <c r="H625">
        <v>20260303</v>
      </c>
      <c r="I625">
        <v>83933.137700000007</v>
      </c>
      <c r="J625">
        <f t="shared" si="91"/>
        <v>9</v>
      </c>
      <c r="K625">
        <f t="shared" si="92"/>
        <v>9325.9041888888896</v>
      </c>
      <c r="L625">
        <f t="shared" si="93"/>
        <v>75895.633003869865</v>
      </c>
      <c r="M625">
        <f t="shared" si="94"/>
        <v>27977.712566666669</v>
      </c>
      <c r="N625">
        <f t="shared" si="95"/>
        <v>0</v>
      </c>
      <c r="O625">
        <f t="shared" si="96"/>
        <v>103873.34557053653</v>
      </c>
      <c r="P625">
        <f t="shared" si="97"/>
        <v>61326.210114381429</v>
      </c>
      <c r="Q625">
        <f t="shared" si="98"/>
        <v>22606.927585618581</v>
      </c>
      <c r="R625">
        <f t="shared" si="99"/>
        <v>0</v>
      </c>
      <c r="S625">
        <f t="shared" si="100"/>
        <v>83933.137700000007</v>
      </c>
    </row>
    <row r="626" spans="1:19" x14ac:dyDescent="0.3">
      <c r="A626" t="s">
        <v>13</v>
      </c>
      <c r="B626" t="s">
        <v>24</v>
      </c>
      <c r="C626" t="s">
        <v>14</v>
      </c>
      <c r="D626">
        <v>28</v>
      </c>
      <c r="E626">
        <v>5</v>
      </c>
      <c r="F626">
        <v>0</v>
      </c>
      <c r="G626">
        <v>20260126</v>
      </c>
      <c r="H626">
        <v>20260305</v>
      </c>
      <c r="I626">
        <v>10673.123299999999</v>
      </c>
      <c r="J626">
        <f t="shared" si="91"/>
        <v>33</v>
      </c>
      <c r="K626">
        <f t="shared" si="92"/>
        <v>323.42797878787877</v>
      </c>
      <c r="L626">
        <f t="shared" si="93"/>
        <v>12283.162739587022</v>
      </c>
      <c r="M626">
        <f t="shared" si="94"/>
        <v>1617.1398939393939</v>
      </c>
      <c r="N626">
        <f t="shared" si="95"/>
        <v>0</v>
      </c>
      <c r="O626">
        <f t="shared" si="96"/>
        <v>13900.302633526415</v>
      </c>
      <c r="P626">
        <f t="shared" si="97"/>
        <v>9431.428501231052</v>
      </c>
      <c r="Q626">
        <f t="shared" si="98"/>
        <v>1241.6947987689489</v>
      </c>
      <c r="R626">
        <f t="shared" si="99"/>
        <v>0</v>
      </c>
      <c r="S626">
        <f t="shared" si="100"/>
        <v>10673.123300000001</v>
      </c>
    </row>
    <row r="627" spans="1:19" x14ac:dyDescent="0.3">
      <c r="A627" t="s">
        <v>13</v>
      </c>
      <c r="B627" t="s">
        <v>24</v>
      </c>
      <c r="C627" t="s">
        <v>15</v>
      </c>
      <c r="D627">
        <v>28</v>
      </c>
      <c r="E627">
        <v>4</v>
      </c>
      <c r="F627">
        <v>0</v>
      </c>
      <c r="G627">
        <v>20260127</v>
      </c>
      <c r="H627">
        <v>20260304</v>
      </c>
      <c r="I627">
        <v>5483.8281999999999</v>
      </c>
      <c r="J627">
        <f t="shared" si="91"/>
        <v>32</v>
      </c>
      <c r="K627">
        <f t="shared" si="92"/>
        <v>171.36963125</v>
      </c>
      <c r="L627">
        <f t="shared" si="93"/>
        <v>6508.2837828551392</v>
      </c>
      <c r="M627">
        <f t="shared" si="94"/>
        <v>685.47852499999999</v>
      </c>
      <c r="N627">
        <f t="shared" si="95"/>
        <v>0</v>
      </c>
      <c r="O627">
        <f t="shared" si="96"/>
        <v>7193.7623078551387</v>
      </c>
      <c r="P627">
        <f t="shared" si="97"/>
        <v>4961.2857104066534</v>
      </c>
      <c r="Q627">
        <f t="shared" si="98"/>
        <v>522.54248959334689</v>
      </c>
      <c r="R627">
        <f t="shared" si="99"/>
        <v>0</v>
      </c>
      <c r="S627">
        <f t="shared" si="100"/>
        <v>5483.8281999999999</v>
      </c>
    </row>
    <row r="628" spans="1:19" x14ac:dyDescent="0.3">
      <c r="A628" t="s">
        <v>13</v>
      </c>
      <c r="B628" t="s">
        <v>24</v>
      </c>
      <c r="C628" t="s">
        <v>15</v>
      </c>
      <c r="D628">
        <v>0</v>
      </c>
      <c r="E628">
        <v>19</v>
      </c>
      <c r="F628">
        <v>1</v>
      </c>
      <c r="G628">
        <v>20260313</v>
      </c>
      <c r="H628">
        <v>20260401</v>
      </c>
      <c r="I628">
        <v>28531.353599999999</v>
      </c>
      <c r="J628">
        <f t="shared" si="91"/>
        <v>20</v>
      </c>
      <c r="K628">
        <f t="shared" si="92"/>
        <v>1426.5676799999999</v>
      </c>
      <c r="L628">
        <f t="shared" si="93"/>
        <v>0</v>
      </c>
      <c r="M628">
        <f t="shared" si="94"/>
        <v>27104.785919999998</v>
      </c>
      <c r="N628">
        <f t="shared" si="95"/>
        <v>885.35280266199788</v>
      </c>
      <c r="O628">
        <f t="shared" si="96"/>
        <v>27990.138722661995</v>
      </c>
      <c r="P628">
        <f t="shared" si="97"/>
        <v>0</v>
      </c>
      <c r="Q628">
        <f t="shared" si="98"/>
        <v>27628.881692883344</v>
      </c>
      <c r="R628">
        <f t="shared" si="99"/>
        <v>902.47190711665417</v>
      </c>
      <c r="S628">
        <f t="shared" si="100"/>
        <v>28531.353599999999</v>
      </c>
    </row>
    <row r="629" spans="1:19" x14ac:dyDescent="0.3">
      <c r="A629" t="s">
        <v>13</v>
      </c>
      <c r="B629" t="s">
        <v>37</v>
      </c>
      <c r="C629" t="s">
        <v>15</v>
      </c>
      <c r="D629">
        <v>0</v>
      </c>
      <c r="E629">
        <v>15</v>
      </c>
      <c r="F629">
        <v>1</v>
      </c>
      <c r="G629">
        <v>20260317</v>
      </c>
      <c r="H629">
        <v>20260401</v>
      </c>
      <c r="I629">
        <v>848.32219999999995</v>
      </c>
      <c r="J629">
        <f t="shared" si="91"/>
        <v>16</v>
      </c>
      <c r="K629">
        <f t="shared" si="92"/>
        <v>53.020137499999997</v>
      </c>
      <c r="L629">
        <f t="shared" si="93"/>
        <v>0</v>
      </c>
      <c r="M629">
        <f t="shared" si="94"/>
        <v>795.30206249999992</v>
      </c>
      <c r="N629">
        <f t="shared" si="95"/>
        <v>32.90522278841302</v>
      </c>
      <c r="O629">
        <f t="shared" si="96"/>
        <v>828.20728528841289</v>
      </c>
      <c r="P629">
        <f t="shared" si="97"/>
        <v>0</v>
      </c>
      <c r="Q629">
        <f t="shared" si="98"/>
        <v>814.61779835659274</v>
      </c>
      <c r="R629">
        <f t="shared" si="99"/>
        <v>33.70440164340728</v>
      </c>
      <c r="S629">
        <f t="shared" si="100"/>
        <v>848.32220000000007</v>
      </c>
    </row>
    <row r="630" spans="1:19" x14ac:dyDescent="0.3">
      <c r="A630" t="s">
        <v>13</v>
      </c>
      <c r="B630" t="s">
        <v>24</v>
      </c>
      <c r="C630" t="s">
        <v>15</v>
      </c>
      <c r="D630">
        <v>0</v>
      </c>
      <c r="E630">
        <v>14</v>
      </c>
      <c r="F630">
        <v>7</v>
      </c>
      <c r="G630">
        <v>20260318</v>
      </c>
      <c r="H630">
        <v>20260407</v>
      </c>
      <c r="I630">
        <v>5195.9027999999998</v>
      </c>
      <c r="J630">
        <f t="shared" si="91"/>
        <v>21</v>
      </c>
      <c r="K630">
        <f t="shared" si="92"/>
        <v>247.42394285714286</v>
      </c>
      <c r="L630">
        <f t="shared" si="93"/>
        <v>0</v>
      </c>
      <c r="M630">
        <f t="shared" si="94"/>
        <v>3463.9351999999999</v>
      </c>
      <c r="N630">
        <f t="shared" si="95"/>
        <v>1074.8893237086193</v>
      </c>
      <c r="O630">
        <f t="shared" si="96"/>
        <v>4538.8245237086194</v>
      </c>
      <c r="P630">
        <f t="shared" si="97"/>
        <v>0</v>
      </c>
      <c r="Q630">
        <f t="shared" si="98"/>
        <v>3965.4034895344198</v>
      </c>
      <c r="R630">
        <f t="shared" si="99"/>
        <v>1230.49931046558</v>
      </c>
      <c r="S630">
        <f t="shared" si="100"/>
        <v>5195.9027999999998</v>
      </c>
    </row>
    <row r="631" spans="1:19" x14ac:dyDescent="0.3">
      <c r="A631" t="s">
        <v>13</v>
      </c>
      <c r="B631" t="s">
        <v>37</v>
      </c>
      <c r="C631" t="s">
        <v>15</v>
      </c>
      <c r="D631">
        <v>0</v>
      </c>
      <c r="E631">
        <v>13</v>
      </c>
      <c r="F631">
        <v>7</v>
      </c>
      <c r="G631">
        <v>20260319</v>
      </c>
      <c r="H631">
        <v>20260407</v>
      </c>
      <c r="I631">
        <v>221.2133</v>
      </c>
      <c r="J631">
        <f t="shared" si="91"/>
        <v>20</v>
      </c>
      <c r="K631">
        <f t="shared" si="92"/>
        <v>11.060665</v>
      </c>
      <c r="L631">
        <f t="shared" si="93"/>
        <v>0</v>
      </c>
      <c r="M631">
        <f t="shared" si="94"/>
        <v>143.788645</v>
      </c>
      <c r="N631">
        <f t="shared" si="95"/>
        <v>48.051092324892899</v>
      </c>
      <c r="O631">
        <f t="shared" si="96"/>
        <v>191.83973732489289</v>
      </c>
      <c r="P631">
        <f t="shared" si="97"/>
        <v>0</v>
      </c>
      <c r="Q631">
        <f t="shared" si="98"/>
        <v>165.80485934001086</v>
      </c>
      <c r="R631">
        <f t="shared" si="99"/>
        <v>55.408440659989132</v>
      </c>
      <c r="S631">
        <f t="shared" si="100"/>
        <v>221.2133</v>
      </c>
    </row>
    <row r="632" spans="1:19" x14ac:dyDescent="0.3">
      <c r="A632" t="s">
        <v>13</v>
      </c>
      <c r="B632" t="s">
        <v>24</v>
      </c>
      <c r="C632" t="s">
        <v>14</v>
      </c>
      <c r="D632">
        <v>0</v>
      </c>
      <c r="E632">
        <v>11</v>
      </c>
      <c r="F632">
        <v>0</v>
      </c>
      <c r="G632">
        <v>20260306</v>
      </c>
      <c r="H632">
        <v>20260316</v>
      </c>
      <c r="I632">
        <v>2530.5232999999998</v>
      </c>
      <c r="J632">
        <f t="shared" si="91"/>
        <v>11</v>
      </c>
      <c r="K632">
        <f t="shared" si="92"/>
        <v>230.04757272727272</v>
      </c>
      <c r="L632">
        <f t="shared" si="93"/>
        <v>0</v>
      </c>
      <c r="M632">
        <f t="shared" si="94"/>
        <v>2530.5232999999998</v>
      </c>
      <c r="N632">
        <f t="shared" si="95"/>
        <v>0</v>
      </c>
      <c r="O632">
        <f t="shared" si="96"/>
        <v>2530.5232999999998</v>
      </c>
      <c r="P632">
        <f t="shared" si="97"/>
        <v>0</v>
      </c>
      <c r="Q632">
        <f t="shared" si="98"/>
        <v>2530.5232999999998</v>
      </c>
      <c r="R632">
        <f t="shared" si="99"/>
        <v>0</v>
      </c>
      <c r="S632">
        <f t="shared" si="100"/>
        <v>2530.5232999999998</v>
      </c>
    </row>
    <row r="633" spans="1:19" x14ac:dyDescent="0.3">
      <c r="A633" t="s">
        <v>13</v>
      </c>
      <c r="B633" t="s">
        <v>24</v>
      </c>
      <c r="C633" t="s">
        <v>15</v>
      </c>
      <c r="D633">
        <v>0</v>
      </c>
      <c r="E633">
        <v>9</v>
      </c>
      <c r="F633">
        <v>3</v>
      </c>
      <c r="G633">
        <v>20260323</v>
      </c>
      <c r="H633">
        <v>20260403</v>
      </c>
      <c r="I633">
        <v>7508.2682999999997</v>
      </c>
      <c r="J633">
        <f t="shared" si="91"/>
        <v>12</v>
      </c>
      <c r="K633">
        <f t="shared" si="92"/>
        <v>625.68902500000002</v>
      </c>
      <c r="L633">
        <f t="shared" si="93"/>
        <v>0</v>
      </c>
      <c r="M633">
        <f t="shared" si="94"/>
        <v>5631.2012249999998</v>
      </c>
      <c r="N633">
        <f t="shared" si="95"/>
        <v>1164.940590575982</v>
      </c>
      <c r="O633">
        <f t="shared" si="96"/>
        <v>6796.141815575982</v>
      </c>
      <c r="P633">
        <f t="shared" si="97"/>
        <v>0</v>
      </c>
      <c r="Q633">
        <f t="shared" si="98"/>
        <v>6221.260649930291</v>
      </c>
      <c r="R633">
        <f t="shared" si="99"/>
        <v>1287.007650069708</v>
      </c>
      <c r="S633">
        <f t="shared" si="100"/>
        <v>7508.2682999999988</v>
      </c>
    </row>
    <row r="634" spans="1:19" x14ac:dyDescent="0.3">
      <c r="A634" t="s">
        <v>13</v>
      </c>
      <c r="B634" t="s">
        <v>37</v>
      </c>
      <c r="C634" t="s">
        <v>15</v>
      </c>
      <c r="D634">
        <v>0</v>
      </c>
      <c r="E634">
        <v>12</v>
      </c>
      <c r="F634">
        <v>2</v>
      </c>
      <c r="G634">
        <v>20260320</v>
      </c>
      <c r="H634">
        <v>20260402</v>
      </c>
      <c r="I634">
        <v>850.09019999999998</v>
      </c>
      <c r="J634">
        <f t="shared" si="91"/>
        <v>14</v>
      </c>
      <c r="K634">
        <f t="shared" si="92"/>
        <v>60.720728571428573</v>
      </c>
      <c r="L634">
        <f t="shared" si="93"/>
        <v>0</v>
      </c>
      <c r="M634">
        <f t="shared" si="94"/>
        <v>728.64874285714291</v>
      </c>
      <c r="N634">
        <f t="shared" si="95"/>
        <v>75.368688039242187</v>
      </c>
      <c r="O634">
        <f t="shared" si="96"/>
        <v>804.01743089638512</v>
      </c>
      <c r="P634">
        <f t="shared" si="97"/>
        <v>0</v>
      </c>
      <c r="Q634">
        <f t="shared" si="98"/>
        <v>770.40264519464426</v>
      </c>
      <c r="R634">
        <f t="shared" si="99"/>
        <v>79.687554805355717</v>
      </c>
      <c r="S634">
        <f t="shared" si="100"/>
        <v>850.09019999999998</v>
      </c>
    </row>
    <row r="635" spans="1:19" x14ac:dyDescent="0.3">
      <c r="A635" t="s">
        <v>13</v>
      </c>
      <c r="B635" t="s">
        <v>24</v>
      </c>
      <c r="C635" t="s">
        <v>15</v>
      </c>
      <c r="D635">
        <v>0</v>
      </c>
      <c r="E635">
        <v>13</v>
      </c>
      <c r="F635">
        <v>1</v>
      </c>
      <c r="G635">
        <v>20260319</v>
      </c>
      <c r="H635">
        <v>20260401</v>
      </c>
      <c r="I635">
        <v>29143.312399999999</v>
      </c>
      <c r="J635">
        <f t="shared" si="91"/>
        <v>14</v>
      </c>
      <c r="K635">
        <f t="shared" si="92"/>
        <v>2081.6651714285713</v>
      </c>
      <c r="L635">
        <f t="shared" si="93"/>
        <v>0</v>
      </c>
      <c r="M635">
        <f t="shared" si="94"/>
        <v>27061.647228571426</v>
      </c>
      <c r="N635">
        <f t="shared" si="95"/>
        <v>1291.9177404384725</v>
      </c>
      <c r="O635">
        <f t="shared" si="96"/>
        <v>28353.564969009898</v>
      </c>
      <c r="P635">
        <f t="shared" si="97"/>
        <v>0</v>
      </c>
      <c r="Q635">
        <f t="shared" si="98"/>
        <v>27815.410164572026</v>
      </c>
      <c r="R635">
        <f t="shared" si="99"/>
        <v>1327.9022354279732</v>
      </c>
      <c r="S635">
        <f t="shared" si="100"/>
        <v>29143.312399999999</v>
      </c>
    </row>
    <row r="636" spans="1:19" x14ac:dyDescent="0.3">
      <c r="A636" t="s">
        <v>13</v>
      </c>
      <c r="B636" t="s">
        <v>37</v>
      </c>
      <c r="C636" t="s">
        <v>15</v>
      </c>
      <c r="D636">
        <v>0</v>
      </c>
      <c r="E636">
        <v>15</v>
      </c>
      <c r="F636">
        <v>2</v>
      </c>
      <c r="G636">
        <v>20260317</v>
      </c>
      <c r="H636">
        <v>20260402</v>
      </c>
      <c r="I636">
        <v>9059.4925000000003</v>
      </c>
      <c r="J636">
        <f t="shared" si="91"/>
        <v>17</v>
      </c>
      <c r="K636">
        <f t="shared" si="92"/>
        <v>532.91132352941179</v>
      </c>
      <c r="L636">
        <f t="shared" si="93"/>
        <v>0</v>
      </c>
      <c r="M636">
        <f t="shared" si="94"/>
        <v>7993.6698529411769</v>
      </c>
      <c r="N636">
        <f t="shared" si="95"/>
        <v>661.46813848618729</v>
      </c>
      <c r="O636">
        <f t="shared" si="96"/>
        <v>8655.1379914273639</v>
      </c>
      <c r="P636">
        <f t="shared" si="97"/>
        <v>0</v>
      </c>
      <c r="Q636">
        <f t="shared" si="98"/>
        <v>8367.1216047537291</v>
      </c>
      <c r="R636">
        <f t="shared" si="99"/>
        <v>692.37089524627083</v>
      </c>
      <c r="S636">
        <f t="shared" si="100"/>
        <v>9059.4925000000003</v>
      </c>
    </row>
    <row r="637" spans="1:19" x14ac:dyDescent="0.3">
      <c r="A637" t="s">
        <v>13</v>
      </c>
      <c r="B637" t="s">
        <v>37</v>
      </c>
      <c r="C637" t="s">
        <v>15</v>
      </c>
      <c r="D637">
        <v>0</v>
      </c>
      <c r="E637">
        <v>11</v>
      </c>
      <c r="F637">
        <v>4</v>
      </c>
      <c r="G637">
        <v>20260321</v>
      </c>
      <c r="H637">
        <v>20260404</v>
      </c>
      <c r="I637">
        <v>776.37260000000003</v>
      </c>
      <c r="J637">
        <f t="shared" si="91"/>
        <v>15</v>
      </c>
      <c r="K637">
        <f t="shared" si="92"/>
        <v>51.758173333333339</v>
      </c>
      <c r="L637">
        <f t="shared" si="93"/>
        <v>0</v>
      </c>
      <c r="M637">
        <f t="shared" si="94"/>
        <v>569.33990666666671</v>
      </c>
      <c r="N637">
        <f t="shared" si="95"/>
        <v>128.48810319698862</v>
      </c>
      <c r="O637">
        <f t="shared" si="96"/>
        <v>697.82800986365532</v>
      </c>
      <c r="P637">
        <f t="shared" si="97"/>
        <v>0</v>
      </c>
      <c r="Q637">
        <f t="shared" si="98"/>
        <v>633.4224155159967</v>
      </c>
      <c r="R637">
        <f t="shared" si="99"/>
        <v>142.95018448400324</v>
      </c>
      <c r="S637">
        <f t="shared" si="100"/>
        <v>776.37259999999992</v>
      </c>
    </row>
    <row r="638" spans="1:19" x14ac:dyDescent="0.3">
      <c r="A638" t="s">
        <v>13</v>
      </c>
      <c r="B638" t="s">
        <v>24</v>
      </c>
      <c r="C638" t="s">
        <v>15</v>
      </c>
      <c r="D638">
        <v>0</v>
      </c>
      <c r="E638">
        <v>21</v>
      </c>
      <c r="F638">
        <v>1</v>
      </c>
      <c r="G638">
        <v>20260311</v>
      </c>
      <c r="H638">
        <v>20260401</v>
      </c>
      <c r="I638">
        <v>86662.722599999994</v>
      </c>
      <c r="J638">
        <f t="shared" si="91"/>
        <v>22</v>
      </c>
      <c r="K638">
        <f t="shared" si="92"/>
        <v>3939.2146636363632</v>
      </c>
      <c r="L638">
        <f t="shared" si="93"/>
        <v>0</v>
      </c>
      <c r="M638">
        <f t="shared" si="94"/>
        <v>82723.507936363632</v>
      </c>
      <c r="N638">
        <f t="shared" si="95"/>
        <v>2444.7453784580998</v>
      </c>
      <c r="O638">
        <f t="shared" si="96"/>
        <v>85168.253314821734</v>
      </c>
      <c r="P638">
        <f t="shared" si="97"/>
        <v>0</v>
      </c>
      <c r="Q638">
        <f t="shared" si="98"/>
        <v>84175.078644478417</v>
      </c>
      <c r="R638">
        <f t="shared" si="99"/>
        <v>2487.6439555215711</v>
      </c>
      <c r="S638">
        <f t="shared" si="100"/>
        <v>86662.722599999994</v>
      </c>
    </row>
    <row r="639" spans="1:19" x14ac:dyDescent="0.3">
      <c r="A639" t="s">
        <v>13</v>
      </c>
      <c r="B639" t="s">
        <v>37</v>
      </c>
      <c r="C639" t="s">
        <v>15</v>
      </c>
      <c r="D639">
        <v>0</v>
      </c>
      <c r="E639">
        <v>20</v>
      </c>
      <c r="F639">
        <v>7</v>
      </c>
      <c r="G639">
        <v>20260312</v>
      </c>
      <c r="H639">
        <v>20260407</v>
      </c>
      <c r="I639">
        <v>3503.4324999999999</v>
      </c>
      <c r="J639">
        <f t="shared" si="91"/>
        <v>27</v>
      </c>
      <c r="K639">
        <f t="shared" si="92"/>
        <v>129.75675925925927</v>
      </c>
      <c r="L639">
        <f t="shared" si="93"/>
        <v>0</v>
      </c>
      <c r="M639">
        <f t="shared" si="94"/>
        <v>2595.1351851851855</v>
      </c>
      <c r="N639">
        <f t="shared" si="95"/>
        <v>563.70516772233577</v>
      </c>
      <c r="O639">
        <f t="shared" si="96"/>
        <v>3158.8403529075213</v>
      </c>
      <c r="P639">
        <f t="shared" si="97"/>
        <v>0</v>
      </c>
      <c r="Q639">
        <f t="shared" si="98"/>
        <v>2878.2337611024791</v>
      </c>
      <c r="R639">
        <f t="shared" si="99"/>
        <v>625.1987388975208</v>
      </c>
      <c r="S639">
        <f t="shared" si="100"/>
        <v>3503.4324999999999</v>
      </c>
    </row>
    <row r="640" spans="1:19" x14ac:dyDescent="0.3">
      <c r="A640" t="s">
        <v>13</v>
      </c>
      <c r="B640" t="s">
        <v>24</v>
      </c>
      <c r="C640" t="s">
        <v>15</v>
      </c>
      <c r="D640">
        <v>0</v>
      </c>
      <c r="E640">
        <v>6</v>
      </c>
      <c r="F640">
        <v>0</v>
      </c>
      <c r="G640">
        <v>20260310</v>
      </c>
      <c r="H640">
        <v>20260315</v>
      </c>
      <c r="I640">
        <v>799.13559999999995</v>
      </c>
      <c r="J640">
        <f t="shared" si="91"/>
        <v>6</v>
      </c>
      <c r="K640">
        <f t="shared" si="92"/>
        <v>133.18926666666667</v>
      </c>
      <c r="L640">
        <f t="shared" si="93"/>
        <v>0</v>
      </c>
      <c r="M640">
        <f t="shared" si="94"/>
        <v>799.13560000000007</v>
      </c>
      <c r="N640">
        <f t="shared" si="95"/>
        <v>0</v>
      </c>
      <c r="O640">
        <f t="shared" si="96"/>
        <v>799.13560000000007</v>
      </c>
      <c r="P640">
        <f t="shared" si="97"/>
        <v>0</v>
      </c>
      <c r="Q640">
        <f t="shared" si="98"/>
        <v>799.13559999999995</v>
      </c>
      <c r="R640">
        <f t="shared" si="99"/>
        <v>0</v>
      </c>
      <c r="S640">
        <f t="shared" si="100"/>
        <v>799.13559999999995</v>
      </c>
    </row>
    <row r="641" spans="1:19" x14ac:dyDescent="0.3">
      <c r="A641" t="s">
        <v>13</v>
      </c>
      <c r="B641" t="s">
        <v>24</v>
      </c>
      <c r="C641" t="s">
        <v>15</v>
      </c>
      <c r="D641">
        <v>0</v>
      </c>
      <c r="E641">
        <v>16</v>
      </c>
      <c r="F641">
        <v>8</v>
      </c>
      <c r="G641">
        <v>20260316</v>
      </c>
      <c r="H641">
        <v>20260408</v>
      </c>
      <c r="I641">
        <v>982.61670000000004</v>
      </c>
      <c r="J641">
        <f t="shared" si="91"/>
        <v>24</v>
      </c>
      <c r="K641">
        <f t="shared" si="92"/>
        <v>40.942362500000002</v>
      </c>
      <c r="L641">
        <f t="shared" si="93"/>
        <v>0</v>
      </c>
      <c r="M641">
        <f t="shared" si="94"/>
        <v>655.07780000000002</v>
      </c>
      <c r="N641">
        <f t="shared" si="95"/>
        <v>203.27635846609667</v>
      </c>
      <c r="O641">
        <f t="shared" si="96"/>
        <v>858.35415846609669</v>
      </c>
      <c r="P641">
        <f t="shared" si="97"/>
        <v>0</v>
      </c>
      <c r="Q641">
        <f t="shared" si="98"/>
        <v>749.91235229704375</v>
      </c>
      <c r="R641">
        <f t="shared" si="99"/>
        <v>232.70434770295626</v>
      </c>
      <c r="S641">
        <f t="shared" si="100"/>
        <v>982.61670000000004</v>
      </c>
    </row>
    <row r="642" spans="1:19" x14ac:dyDescent="0.3">
      <c r="A642" t="s">
        <v>13</v>
      </c>
      <c r="B642" t="s">
        <v>24</v>
      </c>
      <c r="C642" t="s">
        <v>15</v>
      </c>
      <c r="D642">
        <v>0</v>
      </c>
      <c r="E642">
        <v>12</v>
      </c>
      <c r="F642">
        <v>3</v>
      </c>
      <c r="G642">
        <v>20260320</v>
      </c>
      <c r="H642">
        <v>20260403</v>
      </c>
      <c r="I642">
        <v>945.03859999999997</v>
      </c>
      <c r="J642">
        <f t="shared" si="91"/>
        <v>15</v>
      </c>
      <c r="K642">
        <f t="shared" si="92"/>
        <v>63.002573333333331</v>
      </c>
      <c r="L642">
        <f t="shared" si="93"/>
        <v>0</v>
      </c>
      <c r="M642">
        <f t="shared" si="94"/>
        <v>756.03088000000002</v>
      </c>
      <c r="N642">
        <f t="shared" si="95"/>
        <v>117.30149012401161</v>
      </c>
      <c r="O642">
        <f t="shared" si="96"/>
        <v>873.33237012401162</v>
      </c>
      <c r="P642">
        <f t="shared" si="97"/>
        <v>0</v>
      </c>
      <c r="Q642">
        <f t="shared" si="98"/>
        <v>818.10589969373666</v>
      </c>
      <c r="R642">
        <f t="shared" si="99"/>
        <v>126.93270030626327</v>
      </c>
      <c r="S642">
        <f t="shared" si="100"/>
        <v>945.03859999999997</v>
      </c>
    </row>
    <row r="643" spans="1:19" x14ac:dyDescent="0.3">
      <c r="A643" t="s">
        <v>13</v>
      </c>
      <c r="B643" t="s">
        <v>37</v>
      </c>
      <c r="C643" t="s">
        <v>15</v>
      </c>
      <c r="D643">
        <v>0</v>
      </c>
      <c r="E643">
        <v>16</v>
      </c>
      <c r="F643">
        <v>1</v>
      </c>
      <c r="G643">
        <v>20260316</v>
      </c>
      <c r="H643">
        <v>20260401</v>
      </c>
      <c r="I643">
        <v>1802.0967000000001</v>
      </c>
      <c r="J643">
        <f t="shared" si="91"/>
        <v>17</v>
      </c>
      <c r="K643">
        <f t="shared" si="92"/>
        <v>106.00568823529412</v>
      </c>
      <c r="L643">
        <f t="shared" si="93"/>
        <v>0</v>
      </c>
      <c r="M643">
        <f t="shared" si="94"/>
        <v>1696.0910117647059</v>
      </c>
      <c r="N643">
        <f t="shared" si="95"/>
        <v>65.788980426944505</v>
      </c>
      <c r="O643">
        <f t="shared" si="96"/>
        <v>1761.8799921916504</v>
      </c>
      <c r="P643">
        <f t="shared" si="97"/>
        <v>0</v>
      </c>
      <c r="Q643">
        <f t="shared" si="98"/>
        <v>1734.8060189949426</v>
      </c>
      <c r="R643">
        <f t="shared" si="99"/>
        <v>67.290681005057351</v>
      </c>
      <c r="S643">
        <f t="shared" si="100"/>
        <v>1802.0967000000001</v>
      </c>
    </row>
    <row r="644" spans="1:19" x14ac:dyDescent="0.3">
      <c r="A644" t="s">
        <v>13</v>
      </c>
      <c r="B644" t="s">
        <v>37</v>
      </c>
      <c r="C644" t="s">
        <v>15</v>
      </c>
      <c r="D644">
        <v>0</v>
      </c>
      <c r="E644">
        <v>13</v>
      </c>
      <c r="F644">
        <v>3</v>
      </c>
      <c r="G644">
        <v>20260319</v>
      </c>
      <c r="H644">
        <v>20260403</v>
      </c>
      <c r="I644">
        <v>102.7784</v>
      </c>
      <c r="J644">
        <f t="shared" si="91"/>
        <v>16</v>
      </c>
      <c r="K644">
        <f t="shared" si="92"/>
        <v>6.4236500000000003</v>
      </c>
      <c r="L644">
        <f t="shared" si="93"/>
        <v>0</v>
      </c>
      <c r="M644">
        <f t="shared" si="94"/>
        <v>83.507450000000006</v>
      </c>
      <c r="N644">
        <f t="shared" si="95"/>
        <v>11.959887940584233</v>
      </c>
      <c r="O644">
        <f t="shared" si="96"/>
        <v>95.467337940584244</v>
      </c>
      <c r="P644">
        <f t="shared" si="97"/>
        <v>0</v>
      </c>
      <c r="Q644">
        <f t="shared" si="98"/>
        <v>89.902602127877827</v>
      </c>
      <c r="R644">
        <f t="shared" si="99"/>
        <v>12.875797872122169</v>
      </c>
      <c r="S644">
        <f t="shared" si="100"/>
        <v>102.77839999999999</v>
      </c>
    </row>
    <row r="645" spans="1:19" x14ac:dyDescent="0.3">
      <c r="A645" t="s">
        <v>13</v>
      </c>
      <c r="B645" t="s">
        <v>24</v>
      </c>
      <c r="C645" t="s">
        <v>15</v>
      </c>
      <c r="D645">
        <v>0</v>
      </c>
      <c r="E645">
        <v>11</v>
      </c>
      <c r="F645">
        <v>2</v>
      </c>
      <c r="G645">
        <v>20260321</v>
      </c>
      <c r="H645">
        <v>20260402</v>
      </c>
      <c r="I645">
        <v>2786.7714000000001</v>
      </c>
      <c r="J645">
        <f t="shared" si="91"/>
        <v>13</v>
      </c>
      <c r="K645">
        <f t="shared" si="92"/>
        <v>214.36703076923078</v>
      </c>
      <c r="L645">
        <f t="shared" si="93"/>
        <v>0</v>
      </c>
      <c r="M645">
        <f t="shared" si="94"/>
        <v>2358.0373384615386</v>
      </c>
      <c r="N645">
        <f t="shared" si="95"/>
        <v>266.07984205820395</v>
      </c>
      <c r="O645">
        <f t="shared" si="96"/>
        <v>2624.1171805197428</v>
      </c>
      <c r="P645">
        <f t="shared" si="97"/>
        <v>0</v>
      </c>
      <c r="Q645">
        <f t="shared" si="98"/>
        <v>2504.1987696811607</v>
      </c>
      <c r="R645">
        <f t="shared" si="99"/>
        <v>282.57263031883923</v>
      </c>
      <c r="S645">
        <f t="shared" si="100"/>
        <v>2786.7714000000001</v>
      </c>
    </row>
    <row r="646" spans="1:19" x14ac:dyDescent="0.3">
      <c r="A646" t="s">
        <v>13</v>
      </c>
      <c r="B646" t="s">
        <v>24</v>
      </c>
      <c r="C646" t="s">
        <v>15</v>
      </c>
      <c r="D646">
        <v>25</v>
      </c>
      <c r="E646">
        <v>5</v>
      </c>
      <c r="F646">
        <v>0</v>
      </c>
      <c r="G646">
        <v>20260204</v>
      </c>
      <c r="H646">
        <v>20260305</v>
      </c>
      <c r="I646">
        <v>2966813.7571</v>
      </c>
      <c r="J646">
        <f t="shared" si="91"/>
        <v>30</v>
      </c>
      <c r="K646">
        <f t="shared" si="92"/>
        <v>98893.791903333331</v>
      </c>
      <c r="L646">
        <f t="shared" si="93"/>
        <v>3353386.6103115715</v>
      </c>
      <c r="M646">
        <f t="shared" si="94"/>
        <v>494468.95951666665</v>
      </c>
      <c r="N646">
        <f t="shared" si="95"/>
        <v>0</v>
      </c>
      <c r="O646">
        <f t="shared" si="96"/>
        <v>3847855.5698282383</v>
      </c>
      <c r="P646">
        <f t="shared" si="97"/>
        <v>2585563.1397286067</v>
      </c>
      <c r="Q646">
        <f t="shared" si="98"/>
        <v>381250.61737139313</v>
      </c>
      <c r="R646">
        <f t="shared" si="99"/>
        <v>0</v>
      </c>
      <c r="S646">
        <f t="shared" si="100"/>
        <v>2966813.7571</v>
      </c>
    </row>
    <row r="647" spans="1:19" x14ac:dyDescent="0.3">
      <c r="A647" t="s">
        <v>13</v>
      </c>
      <c r="B647" t="s">
        <v>24</v>
      </c>
      <c r="C647" t="s">
        <v>14</v>
      </c>
      <c r="D647">
        <v>24</v>
      </c>
      <c r="E647">
        <v>4</v>
      </c>
      <c r="F647">
        <v>0</v>
      </c>
      <c r="G647">
        <v>20260205</v>
      </c>
      <c r="H647">
        <v>20260304</v>
      </c>
      <c r="I647">
        <v>1112281.4410000001</v>
      </c>
      <c r="J647">
        <f t="shared" si="91"/>
        <v>28</v>
      </c>
      <c r="K647">
        <f t="shared" si="92"/>
        <v>39724.337178571433</v>
      </c>
      <c r="L647">
        <f t="shared" si="93"/>
        <v>1293130.8985219346</v>
      </c>
      <c r="M647">
        <f t="shared" si="94"/>
        <v>158897.34871428573</v>
      </c>
      <c r="N647">
        <f t="shared" si="95"/>
        <v>0</v>
      </c>
      <c r="O647">
        <f t="shared" si="96"/>
        <v>1452028.2472362204</v>
      </c>
      <c r="P647">
        <f t="shared" si="97"/>
        <v>990563.02929870691</v>
      </c>
      <c r="Q647">
        <f t="shared" si="98"/>
        <v>121718.41170129308</v>
      </c>
      <c r="R647">
        <f t="shared" si="99"/>
        <v>0</v>
      </c>
      <c r="S647">
        <f t="shared" si="100"/>
        <v>1112281.4410000001</v>
      </c>
    </row>
    <row r="648" spans="1:19" x14ac:dyDescent="0.3">
      <c r="A648" t="s">
        <v>13</v>
      </c>
      <c r="B648" t="s">
        <v>37</v>
      </c>
      <c r="C648" t="s">
        <v>15</v>
      </c>
      <c r="D648">
        <v>0</v>
      </c>
      <c r="E648">
        <v>26</v>
      </c>
      <c r="F648">
        <v>6</v>
      </c>
      <c r="G648">
        <v>20260306</v>
      </c>
      <c r="H648">
        <v>20260406</v>
      </c>
      <c r="I648">
        <v>260804.05809999999</v>
      </c>
      <c r="J648">
        <f t="shared" si="91"/>
        <v>32</v>
      </c>
      <c r="K648">
        <f t="shared" si="92"/>
        <v>8150.1268156249998</v>
      </c>
      <c r="L648">
        <f t="shared" si="93"/>
        <v>0</v>
      </c>
      <c r="M648">
        <f t="shared" si="94"/>
        <v>211903.29720624999</v>
      </c>
      <c r="N648">
        <f t="shared" si="95"/>
        <v>30348.665763678164</v>
      </c>
      <c r="O648">
        <f t="shared" si="96"/>
        <v>242251.96296992816</v>
      </c>
      <c r="P648">
        <f t="shared" si="97"/>
        <v>0</v>
      </c>
      <c r="Q648">
        <f t="shared" si="98"/>
        <v>228131.23641446288</v>
      </c>
      <c r="R648">
        <f t="shared" si="99"/>
        <v>32672.821685537099</v>
      </c>
      <c r="S648">
        <f t="shared" si="100"/>
        <v>260804.05809999997</v>
      </c>
    </row>
    <row r="649" spans="1:19" x14ac:dyDescent="0.3">
      <c r="A649" t="s">
        <v>13</v>
      </c>
      <c r="B649" t="s">
        <v>37</v>
      </c>
      <c r="C649" t="s">
        <v>14</v>
      </c>
      <c r="D649">
        <v>0</v>
      </c>
      <c r="E649">
        <v>15</v>
      </c>
      <c r="F649">
        <v>16</v>
      </c>
      <c r="G649">
        <v>20260317</v>
      </c>
      <c r="H649">
        <v>20260416</v>
      </c>
      <c r="I649">
        <v>3681155.0447999998</v>
      </c>
      <c r="J649">
        <f t="shared" si="91"/>
        <v>31</v>
      </c>
      <c r="K649">
        <f t="shared" si="92"/>
        <v>118746.93692903225</v>
      </c>
      <c r="L649">
        <f t="shared" si="93"/>
        <v>0</v>
      </c>
      <c r="M649">
        <f t="shared" si="94"/>
        <v>1781204.0539354838</v>
      </c>
      <c r="N649">
        <f t="shared" si="95"/>
        <v>1179142.7481956827</v>
      </c>
      <c r="O649">
        <f t="shared" si="96"/>
        <v>2960346.8021311667</v>
      </c>
      <c r="P649">
        <f t="shared" si="97"/>
        <v>0</v>
      </c>
      <c r="Q649">
        <f t="shared" si="98"/>
        <v>2214905.4577803127</v>
      </c>
      <c r="R649">
        <f t="shared" si="99"/>
        <v>1466249.5870196866</v>
      </c>
      <c r="S649">
        <f t="shared" si="100"/>
        <v>3681155.0447999993</v>
      </c>
    </row>
    <row r="650" spans="1:19" x14ac:dyDescent="0.3">
      <c r="A650" t="s">
        <v>13</v>
      </c>
      <c r="B650" t="s">
        <v>37</v>
      </c>
      <c r="C650" t="s">
        <v>14</v>
      </c>
      <c r="D650">
        <v>0</v>
      </c>
      <c r="E650">
        <v>30</v>
      </c>
      <c r="F650">
        <v>1</v>
      </c>
      <c r="G650">
        <v>20260302</v>
      </c>
      <c r="H650">
        <v>20260401</v>
      </c>
      <c r="I650">
        <v>160966.00080000001</v>
      </c>
      <c r="J650">
        <f t="shared" si="91"/>
        <v>31</v>
      </c>
      <c r="K650">
        <f t="shared" si="92"/>
        <v>5192.4516387096774</v>
      </c>
      <c r="L650">
        <f t="shared" si="93"/>
        <v>0</v>
      </c>
      <c r="M650">
        <f t="shared" si="94"/>
        <v>155773.54916129031</v>
      </c>
      <c r="N650">
        <f t="shared" si="95"/>
        <v>3222.5261201897529</v>
      </c>
      <c r="O650">
        <f t="shared" si="96"/>
        <v>158996.07528148007</v>
      </c>
      <c r="P650">
        <f t="shared" si="97"/>
        <v>0</v>
      </c>
      <c r="Q650">
        <f t="shared" si="98"/>
        <v>157703.54830787296</v>
      </c>
      <c r="R650">
        <f t="shared" si="99"/>
        <v>3262.4524921270495</v>
      </c>
      <c r="S650">
        <f t="shared" si="100"/>
        <v>160966.00080000001</v>
      </c>
    </row>
    <row r="651" spans="1:19" x14ac:dyDescent="0.3">
      <c r="A651" t="s">
        <v>13</v>
      </c>
      <c r="B651" t="s">
        <v>37</v>
      </c>
      <c r="C651" t="s">
        <v>15</v>
      </c>
      <c r="D651">
        <v>0</v>
      </c>
      <c r="E651">
        <v>29</v>
      </c>
      <c r="F651">
        <v>2</v>
      </c>
      <c r="G651">
        <v>20260303</v>
      </c>
      <c r="H651">
        <v>20260402</v>
      </c>
      <c r="I651">
        <v>275707.554</v>
      </c>
      <c r="J651">
        <f t="shared" ref="J651:J714" si="101">IF(D651&lt;0,0,D651)+E651+F651</f>
        <v>31</v>
      </c>
      <c r="K651">
        <f t="shared" ref="K651:K714" si="102">I651/J651</f>
        <v>8893.7920645161284</v>
      </c>
      <c r="L651">
        <f t="shared" ref="L651:L714" si="103">IF(D651&lt;0,0,D651)*$K651*$B$6</f>
        <v>0</v>
      </c>
      <c r="M651">
        <f t="shared" ref="M651:M714" si="104">IF(E651&lt;0,0,E651)*$K651*$C$6</f>
        <v>257919.96987096773</v>
      </c>
      <c r="N651">
        <f t="shared" ref="N651:N714" si="105">IF(F651&lt;0,0,F651)*$K651*$D$6</f>
        <v>11039.285189206574</v>
      </c>
      <c r="O651">
        <f t="shared" ref="O651:O714" si="106">L651+M651+N651</f>
        <v>268959.25506017433</v>
      </c>
      <c r="P651">
        <f t="shared" ref="P651:P714" si="107">L651/$O651*$I651</f>
        <v>0</v>
      </c>
      <c r="Q651">
        <f t="shared" ref="Q651:Q714" si="108">M651/$O651*$I651</f>
        <v>264391.2885800068</v>
      </c>
      <c r="R651">
        <f t="shared" ref="R651:R714" si="109">N651/$O651*$I651</f>
        <v>11316.265419993162</v>
      </c>
      <c r="S651">
        <f t="shared" ref="S651:S714" si="110">P651+Q651+R651</f>
        <v>275707.55399999995</v>
      </c>
    </row>
    <row r="652" spans="1:19" x14ac:dyDescent="0.3">
      <c r="A652" t="s">
        <v>13</v>
      </c>
      <c r="B652" t="s">
        <v>37</v>
      </c>
      <c r="C652" t="s">
        <v>15</v>
      </c>
      <c r="D652">
        <v>0</v>
      </c>
      <c r="E652">
        <v>25</v>
      </c>
      <c r="F652">
        <v>6</v>
      </c>
      <c r="G652">
        <v>20260307</v>
      </c>
      <c r="H652">
        <v>20260406</v>
      </c>
      <c r="I652">
        <v>236133.9791</v>
      </c>
      <c r="J652">
        <f t="shared" si="101"/>
        <v>31</v>
      </c>
      <c r="K652">
        <f t="shared" si="102"/>
        <v>7617.2251322580641</v>
      </c>
      <c r="L652">
        <f t="shared" si="103"/>
        <v>0</v>
      </c>
      <c r="M652">
        <f t="shared" si="104"/>
        <v>190430.6283064516</v>
      </c>
      <c r="N652">
        <f t="shared" si="105"/>
        <v>28364.297245338203</v>
      </c>
      <c r="O652">
        <f t="shared" si="106"/>
        <v>218794.92555178981</v>
      </c>
      <c r="P652">
        <f t="shared" si="107"/>
        <v>0</v>
      </c>
      <c r="Q652">
        <f t="shared" si="108"/>
        <v>205521.86889668778</v>
      </c>
      <c r="R652">
        <f t="shared" si="109"/>
        <v>30612.110203312201</v>
      </c>
      <c r="S652">
        <f t="shared" si="110"/>
        <v>236133.9791</v>
      </c>
    </row>
    <row r="653" spans="1:19" x14ac:dyDescent="0.3">
      <c r="A653" t="s">
        <v>13</v>
      </c>
      <c r="B653" t="s">
        <v>24</v>
      </c>
      <c r="C653" t="s">
        <v>15</v>
      </c>
      <c r="D653">
        <v>23</v>
      </c>
      <c r="E653">
        <v>6</v>
      </c>
      <c r="F653">
        <v>0</v>
      </c>
      <c r="G653">
        <v>20260206</v>
      </c>
      <c r="H653">
        <v>20260306</v>
      </c>
      <c r="I653">
        <v>1675304.7938999999</v>
      </c>
      <c r="J653">
        <f t="shared" si="101"/>
        <v>29</v>
      </c>
      <c r="K653">
        <f t="shared" si="102"/>
        <v>57769.13082413793</v>
      </c>
      <c r="L653">
        <f t="shared" si="103"/>
        <v>1802180.3793873359</v>
      </c>
      <c r="M653">
        <f t="shared" si="104"/>
        <v>346614.78494482755</v>
      </c>
      <c r="N653">
        <f t="shared" si="105"/>
        <v>0</v>
      </c>
      <c r="O653">
        <f t="shared" si="106"/>
        <v>2148795.1643321635</v>
      </c>
      <c r="P653">
        <f t="shared" si="107"/>
        <v>1405067.1181580396</v>
      </c>
      <c r="Q653">
        <f t="shared" si="108"/>
        <v>270237.67574196012</v>
      </c>
      <c r="R653">
        <f t="shared" si="109"/>
        <v>0</v>
      </c>
      <c r="S653">
        <f t="shared" si="110"/>
        <v>1675304.7938999997</v>
      </c>
    </row>
    <row r="654" spans="1:19" x14ac:dyDescent="0.3">
      <c r="A654" t="s">
        <v>13</v>
      </c>
      <c r="B654" t="s">
        <v>37</v>
      </c>
      <c r="C654" t="s">
        <v>15</v>
      </c>
      <c r="D654">
        <v>0</v>
      </c>
      <c r="E654">
        <v>29</v>
      </c>
      <c r="F654">
        <v>3</v>
      </c>
      <c r="G654">
        <v>20260303</v>
      </c>
      <c r="H654">
        <v>20260403</v>
      </c>
      <c r="I654">
        <v>157193.08790000001</v>
      </c>
      <c r="J654">
        <f t="shared" si="101"/>
        <v>32</v>
      </c>
      <c r="K654">
        <f t="shared" si="102"/>
        <v>4912.2839968750004</v>
      </c>
      <c r="L654">
        <f t="shared" si="103"/>
        <v>0</v>
      </c>
      <c r="M654">
        <f t="shared" si="104"/>
        <v>142456.23590937501</v>
      </c>
      <c r="N654">
        <f t="shared" si="105"/>
        <v>9145.9475741907227</v>
      </c>
      <c r="O654">
        <f t="shared" si="106"/>
        <v>151602.18348356575</v>
      </c>
      <c r="P654">
        <f t="shared" si="107"/>
        <v>0</v>
      </c>
      <c r="Q654">
        <f t="shared" si="108"/>
        <v>147709.84888639831</v>
      </c>
      <c r="R654">
        <f t="shared" si="109"/>
        <v>9483.2390136017002</v>
      </c>
      <c r="S654">
        <f t="shared" si="110"/>
        <v>157193.08790000001</v>
      </c>
    </row>
    <row r="655" spans="1:19" x14ac:dyDescent="0.3">
      <c r="A655" t="s">
        <v>13</v>
      </c>
      <c r="B655" t="s">
        <v>24</v>
      </c>
      <c r="C655" t="s">
        <v>14</v>
      </c>
      <c r="D655">
        <v>0</v>
      </c>
      <c r="E655">
        <v>28</v>
      </c>
      <c r="F655">
        <v>3</v>
      </c>
      <c r="G655">
        <v>20260304</v>
      </c>
      <c r="H655">
        <v>20260403</v>
      </c>
      <c r="I655">
        <v>1315422.6143</v>
      </c>
      <c r="J655">
        <f t="shared" si="101"/>
        <v>31</v>
      </c>
      <c r="K655">
        <f t="shared" si="102"/>
        <v>42432.987558064517</v>
      </c>
      <c r="L655">
        <f t="shared" si="103"/>
        <v>0</v>
      </c>
      <c r="M655">
        <f t="shared" si="104"/>
        <v>1188123.6516258065</v>
      </c>
      <c r="N655">
        <f t="shared" si="105"/>
        <v>79003.958213578982</v>
      </c>
      <c r="O655">
        <f t="shared" si="106"/>
        <v>1267127.6098393854</v>
      </c>
      <c r="P655">
        <f t="shared" si="107"/>
        <v>0</v>
      </c>
      <c r="Q655">
        <f t="shared" si="108"/>
        <v>1233407.5177569401</v>
      </c>
      <c r="R655">
        <f t="shared" si="109"/>
        <v>82015.096543059975</v>
      </c>
      <c r="S655">
        <f t="shared" si="110"/>
        <v>1315422.6143</v>
      </c>
    </row>
    <row r="656" spans="1:19" x14ac:dyDescent="0.3">
      <c r="A656" t="s">
        <v>13</v>
      </c>
      <c r="B656" t="s">
        <v>24</v>
      </c>
      <c r="C656" t="s">
        <v>15</v>
      </c>
      <c r="D656">
        <v>0</v>
      </c>
      <c r="E656">
        <v>29</v>
      </c>
      <c r="F656">
        <v>1</v>
      </c>
      <c r="G656">
        <v>20260303</v>
      </c>
      <c r="H656">
        <v>20260401</v>
      </c>
      <c r="I656">
        <v>5887049.9649</v>
      </c>
      <c r="J656">
        <f t="shared" si="101"/>
        <v>30</v>
      </c>
      <c r="K656">
        <f t="shared" si="102"/>
        <v>196234.99883</v>
      </c>
      <c r="L656">
        <f t="shared" si="103"/>
        <v>0</v>
      </c>
      <c r="M656">
        <f t="shared" si="104"/>
        <v>5690814.9660700001</v>
      </c>
      <c r="N656">
        <f t="shared" si="105"/>
        <v>121786.86551661845</v>
      </c>
      <c r="O656">
        <f t="shared" si="106"/>
        <v>5812601.8315866189</v>
      </c>
      <c r="P656">
        <f t="shared" si="107"/>
        <v>0</v>
      </c>
      <c r="Q656">
        <f t="shared" si="108"/>
        <v>5763703.2463154262</v>
      </c>
      <c r="R656">
        <f t="shared" si="109"/>
        <v>123346.71858457325</v>
      </c>
      <c r="S656">
        <f t="shared" si="110"/>
        <v>5887049.9648999991</v>
      </c>
    </row>
    <row r="657" spans="1:19" x14ac:dyDescent="0.3">
      <c r="A657" t="s">
        <v>13</v>
      </c>
      <c r="B657" t="s">
        <v>24</v>
      </c>
      <c r="C657" t="s">
        <v>15</v>
      </c>
      <c r="D657">
        <v>27</v>
      </c>
      <c r="E657">
        <v>2</v>
      </c>
      <c r="F657">
        <v>0</v>
      </c>
      <c r="G657">
        <v>20260202</v>
      </c>
      <c r="H657">
        <v>20260302</v>
      </c>
      <c r="I657">
        <v>3705383.7483999999</v>
      </c>
      <c r="J657">
        <f t="shared" si="101"/>
        <v>29</v>
      </c>
      <c r="K657">
        <f t="shared" si="102"/>
        <v>127771.85339310345</v>
      </c>
      <c r="L657">
        <f t="shared" si="103"/>
        <v>4679220.8815584807</v>
      </c>
      <c r="M657">
        <f t="shared" si="104"/>
        <v>255543.70678620689</v>
      </c>
      <c r="N657">
        <f t="shared" si="105"/>
        <v>0</v>
      </c>
      <c r="O657">
        <f t="shared" si="106"/>
        <v>4934764.5883446876</v>
      </c>
      <c r="P657">
        <f t="shared" si="107"/>
        <v>3513502.7617430193</v>
      </c>
      <c r="Q657">
        <f t="shared" si="108"/>
        <v>191880.9866569803</v>
      </c>
      <c r="R657">
        <f t="shared" si="109"/>
        <v>0</v>
      </c>
      <c r="S657">
        <f t="shared" si="110"/>
        <v>3705383.7483999995</v>
      </c>
    </row>
    <row r="658" spans="1:19" x14ac:dyDescent="0.3">
      <c r="A658" t="s">
        <v>13</v>
      </c>
      <c r="B658" t="s">
        <v>24</v>
      </c>
      <c r="C658" t="s">
        <v>15</v>
      </c>
      <c r="D658">
        <v>0</v>
      </c>
      <c r="E658">
        <v>26</v>
      </c>
      <c r="F658">
        <v>1</v>
      </c>
      <c r="G658">
        <v>20260306</v>
      </c>
      <c r="H658">
        <v>20260401</v>
      </c>
      <c r="I658">
        <v>1076072.6122000001</v>
      </c>
      <c r="J658">
        <f t="shared" si="101"/>
        <v>27</v>
      </c>
      <c r="K658">
        <f t="shared" si="102"/>
        <v>39854.541192592595</v>
      </c>
      <c r="L658">
        <f t="shared" si="103"/>
        <v>0</v>
      </c>
      <c r="M658">
        <f t="shared" si="104"/>
        <v>1036218.0710074075</v>
      </c>
      <c r="N658">
        <f t="shared" si="105"/>
        <v>24734.423917181342</v>
      </c>
      <c r="O658">
        <f t="shared" si="106"/>
        <v>1060952.4949245888</v>
      </c>
      <c r="P658">
        <f t="shared" si="107"/>
        <v>0</v>
      </c>
      <c r="Q658">
        <f t="shared" si="108"/>
        <v>1050985.6867408962</v>
      </c>
      <c r="R658">
        <f t="shared" si="109"/>
        <v>25086.925459103917</v>
      </c>
      <c r="S658">
        <f t="shared" si="110"/>
        <v>1076072.6122000001</v>
      </c>
    </row>
    <row r="659" spans="1:19" x14ac:dyDescent="0.3">
      <c r="A659" t="s">
        <v>13</v>
      </c>
      <c r="B659" t="s">
        <v>37</v>
      </c>
      <c r="C659" t="s">
        <v>14</v>
      </c>
      <c r="D659">
        <v>0</v>
      </c>
      <c r="E659">
        <v>14</v>
      </c>
      <c r="F659">
        <v>15</v>
      </c>
      <c r="G659">
        <v>20260318</v>
      </c>
      <c r="H659">
        <v>20260415</v>
      </c>
      <c r="I659">
        <v>596265.86730000004</v>
      </c>
      <c r="J659">
        <f t="shared" si="101"/>
        <v>29</v>
      </c>
      <c r="K659">
        <f t="shared" si="102"/>
        <v>20560.891975862069</v>
      </c>
      <c r="L659">
        <f t="shared" si="103"/>
        <v>0</v>
      </c>
      <c r="M659">
        <f t="shared" si="104"/>
        <v>287852.48766206898</v>
      </c>
      <c r="N659">
        <f t="shared" si="105"/>
        <v>191406.72669725769</v>
      </c>
      <c r="O659">
        <f t="shared" si="106"/>
        <v>479259.21435932664</v>
      </c>
      <c r="P659">
        <f t="shared" si="107"/>
        <v>0</v>
      </c>
      <c r="Q659">
        <f t="shared" si="108"/>
        <v>358128.97919913719</v>
      </c>
      <c r="R659">
        <f t="shared" si="109"/>
        <v>238136.88810086291</v>
      </c>
      <c r="S659">
        <f t="shared" si="110"/>
        <v>596265.86730000004</v>
      </c>
    </row>
    <row r="660" spans="1:19" x14ac:dyDescent="0.3">
      <c r="A660" t="s">
        <v>13</v>
      </c>
      <c r="B660" t="s">
        <v>24</v>
      </c>
      <c r="C660" t="s">
        <v>14</v>
      </c>
      <c r="D660">
        <v>0</v>
      </c>
      <c r="E660">
        <v>28</v>
      </c>
      <c r="F660">
        <v>1</v>
      </c>
      <c r="G660">
        <v>20260304</v>
      </c>
      <c r="H660">
        <v>20260401</v>
      </c>
      <c r="I660">
        <v>3011664.6861</v>
      </c>
      <c r="J660">
        <f t="shared" si="101"/>
        <v>29</v>
      </c>
      <c r="K660">
        <f t="shared" si="102"/>
        <v>103850.50641724138</v>
      </c>
      <c r="L660">
        <f t="shared" si="103"/>
        <v>0</v>
      </c>
      <c r="M660">
        <f t="shared" si="104"/>
        <v>2907814.1796827586</v>
      </c>
      <c r="N660">
        <f t="shared" si="105"/>
        <v>64451.436972392687</v>
      </c>
      <c r="O660">
        <f t="shared" si="106"/>
        <v>2972265.6166551514</v>
      </c>
      <c r="P660">
        <f t="shared" si="107"/>
        <v>0</v>
      </c>
      <c r="Q660">
        <f t="shared" si="108"/>
        <v>2946358.908712381</v>
      </c>
      <c r="R660">
        <f t="shared" si="109"/>
        <v>65305.777387618844</v>
      </c>
      <c r="S660">
        <f t="shared" si="110"/>
        <v>3011664.6861</v>
      </c>
    </row>
    <row r="661" spans="1:19" x14ac:dyDescent="0.3">
      <c r="A661" t="s">
        <v>13</v>
      </c>
      <c r="B661" t="s">
        <v>37</v>
      </c>
      <c r="C661" t="s">
        <v>15</v>
      </c>
      <c r="D661">
        <v>0</v>
      </c>
      <c r="E661">
        <v>24</v>
      </c>
      <c r="F661">
        <v>3</v>
      </c>
      <c r="G661">
        <v>20260308</v>
      </c>
      <c r="H661">
        <v>20260403</v>
      </c>
      <c r="I661">
        <v>33002.553</v>
      </c>
      <c r="J661">
        <f t="shared" si="101"/>
        <v>27</v>
      </c>
      <c r="K661">
        <f t="shared" si="102"/>
        <v>1222.3167777777778</v>
      </c>
      <c r="L661">
        <f t="shared" si="103"/>
        <v>0</v>
      </c>
      <c r="M661">
        <f t="shared" si="104"/>
        <v>29335.602666666666</v>
      </c>
      <c r="N661">
        <f t="shared" si="105"/>
        <v>2275.7733827525199</v>
      </c>
      <c r="O661">
        <f t="shared" si="106"/>
        <v>31611.376049419185</v>
      </c>
      <c r="P661">
        <f t="shared" si="107"/>
        <v>0</v>
      </c>
      <c r="Q661">
        <f t="shared" si="108"/>
        <v>30626.625689437406</v>
      </c>
      <c r="R661">
        <f t="shared" si="109"/>
        <v>2375.9273105625939</v>
      </c>
      <c r="S661">
        <f t="shared" si="110"/>
        <v>33002.553</v>
      </c>
    </row>
    <row r="662" spans="1:19" x14ac:dyDescent="0.3">
      <c r="A662" t="s">
        <v>13</v>
      </c>
      <c r="B662" t="s">
        <v>24</v>
      </c>
      <c r="C662" t="s">
        <v>15</v>
      </c>
      <c r="D662">
        <v>23</v>
      </c>
      <c r="E662">
        <v>7</v>
      </c>
      <c r="F662">
        <v>0</v>
      </c>
      <c r="G662">
        <v>20260206</v>
      </c>
      <c r="H662">
        <v>20260307</v>
      </c>
      <c r="I662">
        <v>192499.46170000001</v>
      </c>
      <c r="J662">
        <f t="shared" si="101"/>
        <v>30</v>
      </c>
      <c r="K662">
        <f t="shared" si="102"/>
        <v>6416.6487233333337</v>
      </c>
      <c r="L662">
        <f t="shared" si="103"/>
        <v>200175.3923875952</v>
      </c>
      <c r="M662">
        <f t="shared" si="104"/>
        <v>44916.541063333338</v>
      </c>
      <c r="N662">
        <f t="shared" si="105"/>
        <v>0</v>
      </c>
      <c r="O662">
        <f t="shared" si="106"/>
        <v>245091.93345092854</v>
      </c>
      <c r="P662">
        <f t="shared" si="107"/>
        <v>157221.2301630622</v>
      </c>
      <c r="Q662">
        <f t="shared" si="108"/>
        <v>35278.231536937827</v>
      </c>
      <c r="R662">
        <f t="shared" si="109"/>
        <v>0</v>
      </c>
      <c r="S662">
        <f t="shared" si="110"/>
        <v>192499.46170000001</v>
      </c>
    </row>
    <row r="663" spans="1:19" x14ac:dyDescent="0.3">
      <c r="A663" t="s">
        <v>13</v>
      </c>
      <c r="B663" t="s">
        <v>24</v>
      </c>
      <c r="C663" t="s">
        <v>14</v>
      </c>
      <c r="D663">
        <v>0</v>
      </c>
      <c r="E663">
        <v>25</v>
      </c>
      <c r="F663">
        <v>1</v>
      </c>
      <c r="G663">
        <v>20260307</v>
      </c>
      <c r="H663">
        <v>20260401</v>
      </c>
      <c r="I663">
        <v>240319.3806</v>
      </c>
      <c r="J663">
        <f t="shared" si="101"/>
        <v>26</v>
      </c>
      <c r="K663">
        <f t="shared" si="102"/>
        <v>9243.053100000001</v>
      </c>
      <c r="L663">
        <f t="shared" si="103"/>
        <v>0</v>
      </c>
      <c r="M663">
        <f t="shared" si="104"/>
        <v>231076.32750000001</v>
      </c>
      <c r="N663">
        <f t="shared" si="105"/>
        <v>5736.4000895062118</v>
      </c>
      <c r="O663">
        <f t="shared" si="106"/>
        <v>236812.72758950622</v>
      </c>
      <c r="P663">
        <f t="shared" si="107"/>
        <v>0</v>
      </c>
      <c r="Q663">
        <f t="shared" si="108"/>
        <v>234498.03759020392</v>
      </c>
      <c r="R663">
        <f t="shared" si="109"/>
        <v>5821.3430097960891</v>
      </c>
      <c r="S663">
        <f t="shared" si="110"/>
        <v>240319.3806</v>
      </c>
    </row>
    <row r="664" spans="1:19" x14ac:dyDescent="0.3">
      <c r="A664" t="s">
        <v>13</v>
      </c>
      <c r="B664" t="s">
        <v>24</v>
      </c>
      <c r="C664" t="s">
        <v>14</v>
      </c>
      <c r="D664">
        <v>26</v>
      </c>
      <c r="E664">
        <v>6</v>
      </c>
      <c r="F664">
        <v>0</v>
      </c>
      <c r="G664">
        <v>20260203</v>
      </c>
      <c r="H664">
        <v>20260306</v>
      </c>
      <c r="I664">
        <v>182834.2108</v>
      </c>
      <c r="J664">
        <f t="shared" si="101"/>
        <v>32</v>
      </c>
      <c r="K664">
        <f t="shared" si="102"/>
        <v>5713.5690875</v>
      </c>
      <c r="L664">
        <f t="shared" si="103"/>
        <v>201490.89173964085</v>
      </c>
      <c r="M664">
        <f t="shared" si="104"/>
        <v>34281.414525</v>
      </c>
      <c r="N664">
        <f t="shared" si="105"/>
        <v>0</v>
      </c>
      <c r="O664">
        <f t="shared" si="106"/>
        <v>235772.30626464085</v>
      </c>
      <c r="P664">
        <f t="shared" si="107"/>
        <v>156250.02256734655</v>
      </c>
      <c r="Q664">
        <f t="shared" si="108"/>
        <v>26584.188232653458</v>
      </c>
      <c r="R664">
        <f t="shared" si="109"/>
        <v>0</v>
      </c>
      <c r="S664">
        <f t="shared" si="110"/>
        <v>182834.2108</v>
      </c>
    </row>
    <row r="665" spans="1:19" x14ac:dyDescent="0.3">
      <c r="A665" t="s">
        <v>13</v>
      </c>
      <c r="B665" t="s">
        <v>37</v>
      </c>
      <c r="C665" t="s">
        <v>15</v>
      </c>
      <c r="D665">
        <v>0</v>
      </c>
      <c r="E665">
        <v>26</v>
      </c>
      <c r="F665">
        <v>5</v>
      </c>
      <c r="G665">
        <v>20260306</v>
      </c>
      <c r="H665">
        <v>20260405</v>
      </c>
      <c r="I665">
        <v>140018.56640000001</v>
      </c>
      <c r="J665">
        <f t="shared" si="101"/>
        <v>31</v>
      </c>
      <c r="K665">
        <f t="shared" si="102"/>
        <v>4516.7279483870971</v>
      </c>
      <c r="L665">
        <f t="shared" si="103"/>
        <v>0</v>
      </c>
      <c r="M665">
        <f t="shared" si="104"/>
        <v>117434.92665806452</v>
      </c>
      <c r="N665">
        <f t="shared" si="105"/>
        <v>14015.801016767364</v>
      </c>
      <c r="O665">
        <f t="shared" si="106"/>
        <v>131450.72767483187</v>
      </c>
      <c r="P665">
        <f t="shared" si="107"/>
        <v>0</v>
      </c>
      <c r="Q665">
        <f t="shared" si="108"/>
        <v>125089.22823635004</v>
      </c>
      <c r="R665">
        <f t="shared" si="109"/>
        <v>14929.338163649985</v>
      </c>
      <c r="S665">
        <f t="shared" si="110"/>
        <v>140018.56640000004</v>
      </c>
    </row>
    <row r="666" spans="1:19" x14ac:dyDescent="0.3">
      <c r="A666" t="s">
        <v>13</v>
      </c>
      <c r="B666" t="s">
        <v>24</v>
      </c>
      <c r="C666" t="s">
        <v>15</v>
      </c>
      <c r="D666">
        <v>21</v>
      </c>
      <c r="E666">
        <v>5</v>
      </c>
      <c r="F666">
        <v>0</v>
      </c>
      <c r="G666">
        <v>20260208</v>
      </c>
      <c r="H666">
        <v>20260305</v>
      </c>
      <c r="I666">
        <v>255857.00440000001</v>
      </c>
      <c r="J666">
        <f t="shared" si="101"/>
        <v>26</v>
      </c>
      <c r="K666">
        <f t="shared" si="102"/>
        <v>9840.6540153846163</v>
      </c>
      <c r="L666">
        <f t="shared" si="103"/>
        <v>280296.61005506775</v>
      </c>
      <c r="M666">
        <f t="shared" si="104"/>
        <v>49203.27007692308</v>
      </c>
      <c r="N666">
        <f t="shared" si="105"/>
        <v>0</v>
      </c>
      <c r="O666">
        <f t="shared" si="106"/>
        <v>329499.88013199082</v>
      </c>
      <c r="P666">
        <f t="shared" si="107"/>
        <v>217650.61329745149</v>
      </c>
      <c r="Q666">
        <f t="shared" si="108"/>
        <v>38206.391102548514</v>
      </c>
      <c r="R666">
        <f t="shared" si="109"/>
        <v>0</v>
      </c>
      <c r="S666">
        <f t="shared" si="110"/>
        <v>255857.00440000001</v>
      </c>
    </row>
    <row r="667" spans="1:19" x14ac:dyDescent="0.3">
      <c r="A667" t="s">
        <v>13</v>
      </c>
      <c r="B667" t="s">
        <v>24</v>
      </c>
      <c r="C667" t="s">
        <v>14</v>
      </c>
      <c r="D667">
        <v>0</v>
      </c>
      <c r="E667">
        <v>26</v>
      </c>
      <c r="F667">
        <v>7</v>
      </c>
      <c r="G667">
        <v>20260306</v>
      </c>
      <c r="H667">
        <v>20260407</v>
      </c>
      <c r="I667">
        <v>349907.06819999998</v>
      </c>
      <c r="J667">
        <f t="shared" si="101"/>
        <v>33</v>
      </c>
      <c r="K667">
        <f t="shared" si="102"/>
        <v>10603.24449090909</v>
      </c>
      <c r="L667">
        <f t="shared" si="103"/>
        <v>0</v>
      </c>
      <c r="M667">
        <f t="shared" si="104"/>
        <v>275684.35676363634</v>
      </c>
      <c r="N667">
        <f t="shared" si="105"/>
        <v>46063.910260014629</v>
      </c>
      <c r="O667">
        <f t="shared" si="106"/>
        <v>321748.26702365099</v>
      </c>
      <c r="P667">
        <f t="shared" si="107"/>
        <v>0</v>
      </c>
      <c r="Q667">
        <f t="shared" si="108"/>
        <v>299811.73143871507</v>
      </c>
      <c r="R667">
        <f t="shared" si="109"/>
        <v>50095.336761284911</v>
      </c>
      <c r="S667">
        <f t="shared" si="110"/>
        <v>349907.06819999998</v>
      </c>
    </row>
    <row r="668" spans="1:19" x14ac:dyDescent="0.3">
      <c r="A668" t="s">
        <v>13</v>
      </c>
      <c r="B668" t="s">
        <v>24</v>
      </c>
      <c r="C668" t="s">
        <v>14</v>
      </c>
      <c r="D668">
        <v>8</v>
      </c>
      <c r="E668">
        <v>16</v>
      </c>
      <c r="F668">
        <v>0</v>
      </c>
      <c r="G668">
        <v>20260221</v>
      </c>
      <c r="H668">
        <v>20260316</v>
      </c>
      <c r="I668">
        <v>1115830.3012999999</v>
      </c>
      <c r="J668">
        <f t="shared" si="101"/>
        <v>24</v>
      </c>
      <c r="K668">
        <f t="shared" si="102"/>
        <v>46492.929220833328</v>
      </c>
      <c r="L668">
        <f t="shared" si="103"/>
        <v>504488.74760738463</v>
      </c>
      <c r="M668">
        <f t="shared" si="104"/>
        <v>743886.86753333325</v>
      </c>
      <c r="N668">
        <f t="shared" si="105"/>
        <v>0</v>
      </c>
      <c r="O668">
        <f t="shared" si="106"/>
        <v>1248375.6151407179</v>
      </c>
      <c r="P668">
        <f t="shared" si="107"/>
        <v>450925.04564962554</v>
      </c>
      <c r="Q668">
        <f t="shared" si="108"/>
        <v>664905.25565037434</v>
      </c>
      <c r="R668">
        <f t="shared" si="109"/>
        <v>0</v>
      </c>
      <c r="S668">
        <f t="shared" si="110"/>
        <v>1115830.3012999999</v>
      </c>
    </row>
    <row r="669" spans="1:19" x14ac:dyDescent="0.3">
      <c r="A669" t="s">
        <v>13</v>
      </c>
      <c r="B669" t="s">
        <v>24</v>
      </c>
      <c r="C669" t="s">
        <v>15</v>
      </c>
      <c r="D669">
        <v>0</v>
      </c>
      <c r="E669">
        <v>11</v>
      </c>
      <c r="F669">
        <v>0</v>
      </c>
      <c r="G669">
        <v>20260306</v>
      </c>
      <c r="H669">
        <v>20260316</v>
      </c>
      <c r="I669">
        <v>632.63080000000002</v>
      </c>
      <c r="J669">
        <f t="shared" si="101"/>
        <v>11</v>
      </c>
      <c r="K669">
        <f t="shared" si="102"/>
        <v>57.511890909090909</v>
      </c>
      <c r="L669">
        <f t="shared" si="103"/>
        <v>0</v>
      </c>
      <c r="M669">
        <f t="shared" si="104"/>
        <v>632.63080000000002</v>
      </c>
      <c r="N669">
        <f t="shared" si="105"/>
        <v>0</v>
      </c>
      <c r="O669">
        <f t="shared" si="106"/>
        <v>632.63080000000002</v>
      </c>
      <c r="P669">
        <f t="shared" si="107"/>
        <v>0</v>
      </c>
      <c r="Q669">
        <f t="shared" si="108"/>
        <v>632.63080000000002</v>
      </c>
      <c r="R669">
        <f t="shared" si="109"/>
        <v>0</v>
      </c>
      <c r="S669">
        <f t="shared" si="110"/>
        <v>632.63080000000002</v>
      </c>
    </row>
    <row r="670" spans="1:19" x14ac:dyDescent="0.3">
      <c r="A670" t="s">
        <v>13</v>
      </c>
      <c r="B670" t="s">
        <v>24</v>
      </c>
      <c r="C670" t="s">
        <v>15</v>
      </c>
      <c r="D670">
        <v>22</v>
      </c>
      <c r="E670">
        <v>3</v>
      </c>
      <c r="F670">
        <v>0</v>
      </c>
      <c r="G670">
        <v>20260207</v>
      </c>
      <c r="H670">
        <v>20260303</v>
      </c>
      <c r="I670">
        <v>438578.71029999998</v>
      </c>
      <c r="J670">
        <f t="shared" si="101"/>
        <v>25</v>
      </c>
      <c r="K670">
        <f t="shared" si="102"/>
        <v>17543.148411999999</v>
      </c>
      <c r="L670">
        <f t="shared" si="103"/>
        <v>523485.6800678852</v>
      </c>
      <c r="M670">
        <f t="shared" si="104"/>
        <v>52629.445236</v>
      </c>
      <c r="N670">
        <f t="shared" si="105"/>
        <v>0</v>
      </c>
      <c r="O670">
        <f t="shared" si="106"/>
        <v>576115.1253038852</v>
      </c>
      <c r="P670">
        <f t="shared" si="107"/>
        <v>398513.53373787767</v>
      </c>
      <c r="Q670">
        <f t="shared" si="108"/>
        <v>40065.176562122273</v>
      </c>
      <c r="R670">
        <f t="shared" si="109"/>
        <v>0</v>
      </c>
      <c r="S670">
        <f t="shared" si="110"/>
        <v>438578.71029999992</v>
      </c>
    </row>
    <row r="671" spans="1:19" x14ac:dyDescent="0.3">
      <c r="A671" t="s">
        <v>13</v>
      </c>
      <c r="B671" t="s">
        <v>24</v>
      </c>
      <c r="C671" t="s">
        <v>14</v>
      </c>
      <c r="D671">
        <v>27</v>
      </c>
      <c r="E671">
        <v>4</v>
      </c>
      <c r="F671">
        <v>0</v>
      </c>
      <c r="G671">
        <v>20260202</v>
      </c>
      <c r="H671">
        <v>20260304</v>
      </c>
      <c r="I671">
        <v>412436.12760000001</v>
      </c>
      <c r="J671">
        <f t="shared" si="101"/>
        <v>31</v>
      </c>
      <c r="K671">
        <f t="shared" si="102"/>
        <v>13304.391212903227</v>
      </c>
      <c r="L671">
        <f t="shared" si="103"/>
        <v>487229.25688733999</v>
      </c>
      <c r="M671">
        <f t="shared" si="104"/>
        <v>53217.564851612908</v>
      </c>
      <c r="N671">
        <f t="shared" si="105"/>
        <v>0</v>
      </c>
      <c r="O671">
        <f t="shared" si="106"/>
        <v>540446.82173895289</v>
      </c>
      <c r="P671">
        <f t="shared" si="107"/>
        <v>371823.72044941667</v>
      </c>
      <c r="Q671">
        <f t="shared" si="108"/>
        <v>40612.407150583356</v>
      </c>
      <c r="R671">
        <f t="shared" si="109"/>
        <v>0</v>
      </c>
      <c r="S671">
        <f t="shared" si="110"/>
        <v>412436.12760000001</v>
      </c>
    </row>
    <row r="672" spans="1:19" x14ac:dyDescent="0.3">
      <c r="A672" t="s">
        <v>13</v>
      </c>
      <c r="B672" t="s">
        <v>37</v>
      </c>
      <c r="C672" t="s">
        <v>15</v>
      </c>
      <c r="D672">
        <v>0</v>
      </c>
      <c r="E672">
        <v>15</v>
      </c>
      <c r="F672">
        <v>16</v>
      </c>
      <c r="G672">
        <v>20260317</v>
      </c>
      <c r="H672">
        <v>20260416</v>
      </c>
      <c r="I672">
        <v>863051.03899999999</v>
      </c>
      <c r="J672">
        <f t="shared" si="101"/>
        <v>31</v>
      </c>
      <c r="K672">
        <f t="shared" si="102"/>
        <v>27840.356096774194</v>
      </c>
      <c r="L672">
        <f t="shared" si="103"/>
        <v>0</v>
      </c>
      <c r="M672">
        <f t="shared" si="104"/>
        <v>417605.34145161288</v>
      </c>
      <c r="N672">
        <f t="shared" si="105"/>
        <v>276451.37506423332</v>
      </c>
      <c r="O672">
        <f t="shared" si="106"/>
        <v>694056.7165158462</v>
      </c>
      <c r="P672">
        <f t="shared" si="107"/>
        <v>0</v>
      </c>
      <c r="Q672">
        <f t="shared" si="108"/>
        <v>519287.13497801812</v>
      </c>
      <c r="R672">
        <f t="shared" si="109"/>
        <v>343763.90402198193</v>
      </c>
      <c r="S672">
        <f t="shared" si="110"/>
        <v>863051.03900000011</v>
      </c>
    </row>
    <row r="673" spans="1:19" x14ac:dyDescent="0.3">
      <c r="A673" t="s">
        <v>13</v>
      </c>
      <c r="B673" t="s">
        <v>24</v>
      </c>
      <c r="C673" t="s">
        <v>15</v>
      </c>
      <c r="D673">
        <v>0</v>
      </c>
      <c r="E673">
        <v>15</v>
      </c>
      <c r="F673">
        <v>16</v>
      </c>
      <c r="G673">
        <v>20260317</v>
      </c>
      <c r="H673">
        <v>20260416</v>
      </c>
      <c r="I673">
        <v>808922.4142</v>
      </c>
      <c r="J673">
        <f t="shared" si="101"/>
        <v>31</v>
      </c>
      <c r="K673">
        <f t="shared" si="102"/>
        <v>26094.271425806452</v>
      </c>
      <c r="L673">
        <f t="shared" si="103"/>
        <v>0</v>
      </c>
      <c r="M673">
        <f t="shared" si="104"/>
        <v>391414.07138709677</v>
      </c>
      <c r="N673">
        <f t="shared" si="105"/>
        <v>259112.96507444364</v>
      </c>
      <c r="O673">
        <f t="shared" si="106"/>
        <v>650527.03646154038</v>
      </c>
      <c r="P673">
        <f t="shared" si="107"/>
        <v>0</v>
      </c>
      <c r="Q673">
        <f t="shared" si="108"/>
        <v>486718.61095971602</v>
      </c>
      <c r="R673">
        <f t="shared" si="109"/>
        <v>322203.80324028403</v>
      </c>
      <c r="S673">
        <f t="shared" si="110"/>
        <v>808922.4142</v>
      </c>
    </row>
    <row r="674" spans="1:19" x14ac:dyDescent="0.3">
      <c r="A674" t="s">
        <v>13</v>
      </c>
      <c r="B674" t="s">
        <v>24</v>
      </c>
      <c r="C674" t="s">
        <v>14</v>
      </c>
      <c r="D674">
        <v>0</v>
      </c>
      <c r="E674">
        <v>26</v>
      </c>
      <c r="F674">
        <v>4</v>
      </c>
      <c r="G674">
        <v>20260306</v>
      </c>
      <c r="H674">
        <v>20260404</v>
      </c>
      <c r="I674">
        <v>216397.8236</v>
      </c>
      <c r="J674">
        <f t="shared" si="101"/>
        <v>30</v>
      </c>
      <c r="K674">
        <f t="shared" si="102"/>
        <v>7213.2607866666667</v>
      </c>
      <c r="L674">
        <f t="shared" si="103"/>
        <v>0</v>
      </c>
      <c r="M674">
        <f t="shared" si="104"/>
        <v>187544.78045333334</v>
      </c>
      <c r="N674">
        <f t="shared" si="105"/>
        <v>17906.702200928095</v>
      </c>
      <c r="O674">
        <f t="shared" si="106"/>
        <v>205451.48265426143</v>
      </c>
      <c r="P674">
        <f t="shared" si="107"/>
        <v>0</v>
      </c>
      <c r="Q674">
        <f t="shared" si="108"/>
        <v>197537.06224616221</v>
      </c>
      <c r="R674">
        <f t="shared" si="109"/>
        <v>18860.761353837795</v>
      </c>
      <c r="S674">
        <f t="shared" si="110"/>
        <v>216397.8236</v>
      </c>
    </row>
    <row r="675" spans="1:19" x14ac:dyDescent="0.3">
      <c r="A675" t="s">
        <v>13</v>
      </c>
      <c r="B675" t="s">
        <v>24</v>
      </c>
      <c r="C675" t="s">
        <v>15</v>
      </c>
      <c r="D675">
        <v>0</v>
      </c>
      <c r="E675">
        <v>30</v>
      </c>
      <c r="F675">
        <v>5</v>
      </c>
      <c r="G675">
        <v>20260302</v>
      </c>
      <c r="H675">
        <v>20260405</v>
      </c>
      <c r="I675">
        <v>216874.81719999999</v>
      </c>
      <c r="J675">
        <f t="shared" si="101"/>
        <v>35</v>
      </c>
      <c r="K675">
        <f t="shared" si="102"/>
        <v>6196.4233485714285</v>
      </c>
      <c r="L675">
        <f t="shared" si="103"/>
        <v>0</v>
      </c>
      <c r="M675">
        <f t="shared" si="104"/>
        <v>185892.70045714284</v>
      </c>
      <c r="N675">
        <f t="shared" si="105"/>
        <v>19228.042437278393</v>
      </c>
      <c r="O675">
        <f t="shared" si="106"/>
        <v>205120.74289442124</v>
      </c>
      <c r="P675">
        <f t="shared" si="107"/>
        <v>0</v>
      </c>
      <c r="Q675">
        <f t="shared" si="108"/>
        <v>196544.94646213416</v>
      </c>
      <c r="R675">
        <f t="shared" si="109"/>
        <v>20329.870737865822</v>
      </c>
      <c r="S675">
        <f t="shared" si="110"/>
        <v>216874.81719999999</v>
      </c>
    </row>
    <row r="676" spans="1:19" x14ac:dyDescent="0.3">
      <c r="A676" t="s">
        <v>13</v>
      </c>
      <c r="B676" t="s">
        <v>24</v>
      </c>
      <c r="C676" t="s">
        <v>14</v>
      </c>
      <c r="D676">
        <v>23</v>
      </c>
      <c r="E676">
        <v>2</v>
      </c>
      <c r="F676">
        <v>0</v>
      </c>
      <c r="G676">
        <v>20260206</v>
      </c>
      <c r="H676">
        <v>20260302</v>
      </c>
      <c r="I676">
        <v>21778.3073</v>
      </c>
      <c r="J676">
        <f t="shared" si="101"/>
        <v>25</v>
      </c>
      <c r="K676">
        <f t="shared" si="102"/>
        <v>871.13229200000001</v>
      </c>
      <c r="L676">
        <f t="shared" si="103"/>
        <v>27176.062753520699</v>
      </c>
      <c r="M676">
        <f t="shared" si="104"/>
        <v>1742.264584</v>
      </c>
      <c r="N676">
        <f t="shared" si="105"/>
        <v>0</v>
      </c>
      <c r="O676">
        <f t="shared" si="106"/>
        <v>28918.327337520699</v>
      </c>
      <c r="P676">
        <f t="shared" si="107"/>
        <v>20466.21296392725</v>
      </c>
      <c r="Q676">
        <f t="shared" si="108"/>
        <v>1312.0943360727497</v>
      </c>
      <c r="R676">
        <f t="shared" si="109"/>
        <v>0</v>
      </c>
      <c r="S676">
        <f t="shared" si="110"/>
        <v>21778.3073</v>
      </c>
    </row>
    <row r="677" spans="1:19" x14ac:dyDescent="0.3">
      <c r="A677" t="s">
        <v>13</v>
      </c>
      <c r="B677" t="s">
        <v>24</v>
      </c>
      <c r="C677" t="s">
        <v>14</v>
      </c>
      <c r="D677">
        <v>0</v>
      </c>
      <c r="E677">
        <v>27</v>
      </c>
      <c r="F677">
        <v>5</v>
      </c>
      <c r="G677">
        <v>20260305</v>
      </c>
      <c r="H677">
        <v>20260405</v>
      </c>
      <c r="I677">
        <v>184045.50380000001</v>
      </c>
      <c r="J677">
        <f t="shared" si="101"/>
        <v>32</v>
      </c>
      <c r="K677">
        <f t="shared" si="102"/>
        <v>5751.4219937500002</v>
      </c>
      <c r="L677">
        <f t="shared" si="103"/>
        <v>0</v>
      </c>
      <c r="M677">
        <f t="shared" si="104"/>
        <v>155288.39383125</v>
      </c>
      <c r="N677">
        <f t="shared" si="105"/>
        <v>17847.164396218548</v>
      </c>
      <c r="O677">
        <f t="shared" si="106"/>
        <v>173135.55822746854</v>
      </c>
      <c r="P677">
        <f t="shared" si="107"/>
        <v>0</v>
      </c>
      <c r="Q677">
        <f t="shared" si="108"/>
        <v>165073.7200928774</v>
      </c>
      <c r="R677">
        <f t="shared" si="109"/>
        <v>18971.783707122609</v>
      </c>
      <c r="S677">
        <f t="shared" si="110"/>
        <v>184045.50380000001</v>
      </c>
    </row>
    <row r="678" spans="1:19" x14ac:dyDescent="0.3">
      <c r="A678" t="s">
        <v>13</v>
      </c>
      <c r="B678" t="s">
        <v>24</v>
      </c>
      <c r="C678" t="s">
        <v>14</v>
      </c>
      <c r="D678">
        <v>0</v>
      </c>
      <c r="E678">
        <v>27</v>
      </c>
      <c r="F678">
        <v>6</v>
      </c>
      <c r="G678">
        <v>20260305</v>
      </c>
      <c r="H678">
        <v>20260406</v>
      </c>
      <c r="I678">
        <v>488749.40059999999</v>
      </c>
      <c r="J678">
        <f t="shared" si="101"/>
        <v>33</v>
      </c>
      <c r="K678">
        <f t="shared" si="102"/>
        <v>14810.587896969697</v>
      </c>
      <c r="L678">
        <f t="shared" si="103"/>
        <v>0</v>
      </c>
      <c r="M678">
        <f t="shared" si="104"/>
        <v>399885.87321818183</v>
      </c>
      <c r="N678">
        <f t="shared" si="105"/>
        <v>55150.256188282583</v>
      </c>
      <c r="O678">
        <f t="shared" si="106"/>
        <v>455036.1294064644</v>
      </c>
      <c r="P678">
        <f t="shared" si="107"/>
        <v>0</v>
      </c>
      <c r="Q678">
        <f t="shared" si="108"/>
        <v>429513.10503349546</v>
      </c>
      <c r="R678">
        <f t="shared" si="109"/>
        <v>59236.295566504588</v>
      </c>
      <c r="S678">
        <f t="shared" si="110"/>
        <v>488749.40060000005</v>
      </c>
    </row>
    <row r="679" spans="1:19" x14ac:dyDescent="0.3">
      <c r="A679" t="s">
        <v>13</v>
      </c>
      <c r="B679" t="s">
        <v>24</v>
      </c>
      <c r="C679" t="s">
        <v>15</v>
      </c>
      <c r="D679">
        <v>12</v>
      </c>
      <c r="E679">
        <v>16</v>
      </c>
      <c r="F679">
        <v>0</v>
      </c>
      <c r="G679">
        <v>20260217</v>
      </c>
      <c r="H679">
        <v>20260316</v>
      </c>
      <c r="I679">
        <v>193718.5012</v>
      </c>
      <c r="J679">
        <f t="shared" si="101"/>
        <v>28</v>
      </c>
      <c r="K679">
        <f t="shared" si="102"/>
        <v>6918.5178999999998</v>
      </c>
      <c r="L679">
        <f t="shared" si="103"/>
        <v>112607.91121888297</v>
      </c>
      <c r="M679">
        <f t="shared" si="104"/>
        <v>110696.2864</v>
      </c>
      <c r="N679">
        <f t="shared" si="105"/>
        <v>0</v>
      </c>
      <c r="O679">
        <f t="shared" si="106"/>
        <v>223304.19761888299</v>
      </c>
      <c r="P679">
        <f t="shared" si="107"/>
        <v>97688.426895652883</v>
      </c>
      <c r="Q679">
        <f t="shared" si="108"/>
        <v>96030.074304347101</v>
      </c>
      <c r="R679">
        <f t="shared" si="109"/>
        <v>0</v>
      </c>
      <c r="S679">
        <f t="shared" si="110"/>
        <v>193718.5012</v>
      </c>
    </row>
    <row r="680" spans="1:19" x14ac:dyDescent="0.3">
      <c r="A680" t="s">
        <v>13</v>
      </c>
      <c r="B680" t="s">
        <v>24</v>
      </c>
      <c r="C680" t="s">
        <v>15</v>
      </c>
      <c r="D680">
        <v>8</v>
      </c>
      <c r="E680">
        <v>17</v>
      </c>
      <c r="F680">
        <v>0</v>
      </c>
      <c r="G680">
        <v>20260221</v>
      </c>
      <c r="H680">
        <v>20260317</v>
      </c>
      <c r="I680">
        <v>502609.61540000001</v>
      </c>
      <c r="J680">
        <f t="shared" si="101"/>
        <v>25</v>
      </c>
      <c r="K680">
        <f t="shared" si="102"/>
        <v>20104.384615999999</v>
      </c>
      <c r="L680">
        <f t="shared" si="103"/>
        <v>218150.07112518561</v>
      </c>
      <c r="M680">
        <f t="shared" si="104"/>
        <v>341774.53847199999</v>
      </c>
      <c r="N680">
        <f t="shared" si="105"/>
        <v>0</v>
      </c>
      <c r="O680">
        <f t="shared" si="106"/>
        <v>559924.60959718563</v>
      </c>
      <c r="P680">
        <f t="shared" si="107"/>
        <v>195819.79693050322</v>
      </c>
      <c r="Q680">
        <f t="shared" si="108"/>
        <v>306789.81846949673</v>
      </c>
      <c r="R680">
        <f t="shared" si="109"/>
        <v>0</v>
      </c>
      <c r="S680">
        <f t="shared" si="110"/>
        <v>502609.61539999995</v>
      </c>
    </row>
    <row r="681" spans="1:19" x14ac:dyDescent="0.3">
      <c r="A681" t="s">
        <v>13</v>
      </c>
      <c r="B681" t="s">
        <v>37</v>
      </c>
      <c r="C681" t="s">
        <v>14</v>
      </c>
      <c r="D681">
        <v>0</v>
      </c>
      <c r="E681">
        <v>29</v>
      </c>
      <c r="F681">
        <v>2</v>
      </c>
      <c r="G681">
        <v>20260303</v>
      </c>
      <c r="H681">
        <v>20260402</v>
      </c>
      <c r="I681">
        <v>29680.2075</v>
      </c>
      <c r="J681">
        <f t="shared" si="101"/>
        <v>31</v>
      </c>
      <c r="K681">
        <f t="shared" si="102"/>
        <v>957.42604838709678</v>
      </c>
      <c r="L681">
        <f t="shared" si="103"/>
        <v>0</v>
      </c>
      <c r="M681">
        <f t="shared" si="104"/>
        <v>27765.355403225807</v>
      </c>
      <c r="N681">
        <f t="shared" si="105"/>
        <v>1188.3906346190568</v>
      </c>
      <c r="O681">
        <f t="shared" si="106"/>
        <v>28953.746037844863</v>
      </c>
      <c r="P681">
        <f t="shared" si="107"/>
        <v>0</v>
      </c>
      <c r="Q681">
        <f t="shared" si="108"/>
        <v>28461.999652889393</v>
      </c>
      <c r="R681">
        <f t="shared" si="109"/>
        <v>1218.2078471106081</v>
      </c>
      <c r="S681">
        <f t="shared" si="110"/>
        <v>29680.2075</v>
      </c>
    </row>
    <row r="682" spans="1:19" x14ac:dyDescent="0.3">
      <c r="A682" t="s">
        <v>13</v>
      </c>
      <c r="B682" t="s">
        <v>37</v>
      </c>
      <c r="C682" t="s">
        <v>14</v>
      </c>
      <c r="D682">
        <v>0</v>
      </c>
      <c r="E682">
        <v>22</v>
      </c>
      <c r="F682">
        <v>1</v>
      </c>
      <c r="G682">
        <v>20260310</v>
      </c>
      <c r="H682">
        <v>20260401</v>
      </c>
      <c r="I682">
        <v>6727.1148999999996</v>
      </c>
      <c r="J682">
        <f t="shared" si="101"/>
        <v>23</v>
      </c>
      <c r="K682">
        <f t="shared" si="102"/>
        <v>292.48325652173912</v>
      </c>
      <c r="L682">
        <f t="shared" si="103"/>
        <v>0</v>
      </c>
      <c r="M682">
        <f t="shared" si="104"/>
        <v>6434.6316434782602</v>
      </c>
      <c r="N682">
        <f t="shared" si="105"/>
        <v>181.52021423423093</v>
      </c>
      <c r="O682">
        <f t="shared" si="106"/>
        <v>6616.1518577124916</v>
      </c>
      <c r="P682">
        <f t="shared" si="107"/>
        <v>0</v>
      </c>
      <c r="Q682">
        <f t="shared" si="108"/>
        <v>6542.5503125951864</v>
      </c>
      <c r="R682">
        <f t="shared" si="109"/>
        <v>184.56458740481207</v>
      </c>
      <c r="S682">
        <f t="shared" si="110"/>
        <v>6727.1148999999987</v>
      </c>
    </row>
    <row r="683" spans="1:19" x14ac:dyDescent="0.3">
      <c r="A683" t="s">
        <v>13</v>
      </c>
      <c r="B683" t="s">
        <v>24</v>
      </c>
      <c r="C683" t="s">
        <v>14</v>
      </c>
      <c r="D683">
        <v>12</v>
      </c>
      <c r="E683">
        <v>15</v>
      </c>
      <c r="F683">
        <v>0</v>
      </c>
      <c r="G683">
        <v>20260217</v>
      </c>
      <c r="H683">
        <v>20260315</v>
      </c>
      <c r="I683">
        <v>206522.4976</v>
      </c>
      <c r="J683">
        <f t="shared" si="101"/>
        <v>27</v>
      </c>
      <c r="K683">
        <f t="shared" si="102"/>
        <v>7648.9813925925928</v>
      </c>
      <c r="L683">
        <f t="shared" si="103"/>
        <v>124497.15820955737</v>
      </c>
      <c r="M683">
        <f t="shared" si="104"/>
        <v>114734.72088888889</v>
      </c>
      <c r="N683">
        <f t="shared" si="105"/>
        <v>0</v>
      </c>
      <c r="O683">
        <f t="shared" si="106"/>
        <v>239231.87909844625</v>
      </c>
      <c r="P683">
        <f t="shared" si="107"/>
        <v>107475.07461979854</v>
      </c>
      <c r="Q683">
        <f t="shared" si="108"/>
        <v>99047.42298020146</v>
      </c>
      <c r="R683">
        <f t="shared" si="109"/>
        <v>0</v>
      </c>
      <c r="S683">
        <f t="shared" si="110"/>
        <v>206522.4976</v>
      </c>
    </row>
    <row r="684" spans="1:19" x14ac:dyDescent="0.3">
      <c r="A684" t="s">
        <v>13</v>
      </c>
      <c r="B684" t="s">
        <v>24</v>
      </c>
      <c r="C684" t="s">
        <v>15</v>
      </c>
      <c r="D684">
        <v>22</v>
      </c>
      <c r="E684">
        <v>1</v>
      </c>
      <c r="F684">
        <v>0</v>
      </c>
      <c r="G684">
        <v>20260207</v>
      </c>
      <c r="H684">
        <v>20260301</v>
      </c>
      <c r="I684">
        <v>166122.9026</v>
      </c>
      <c r="J684">
        <f t="shared" si="101"/>
        <v>23</v>
      </c>
      <c r="K684">
        <f t="shared" si="102"/>
        <v>7222.7348956521737</v>
      </c>
      <c r="L684">
        <f t="shared" si="103"/>
        <v>215525.63998228597</v>
      </c>
      <c r="M684">
        <f t="shared" si="104"/>
        <v>7222.7348956521737</v>
      </c>
      <c r="N684">
        <f t="shared" si="105"/>
        <v>0</v>
      </c>
      <c r="O684">
        <f t="shared" si="106"/>
        <v>222748.37487793813</v>
      </c>
      <c r="P684">
        <f t="shared" si="107"/>
        <v>160736.27885366045</v>
      </c>
      <c r="Q684">
        <f t="shared" si="108"/>
        <v>5386.6237463395573</v>
      </c>
      <c r="R684">
        <f t="shared" si="109"/>
        <v>0</v>
      </c>
      <c r="S684">
        <f t="shared" si="110"/>
        <v>166122.9026</v>
      </c>
    </row>
    <row r="685" spans="1:19" x14ac:dyDescent="0.3">
      <c r="A685" t="s">
        <v>13</v>
      </c>
      <c r="B685" t="s">
        <v>37</v>
      </c>
      <c r="C685" t="s">
        <v>14</v>
      </c>
      <c r="D685">
        <v>0</v>
      </c>
      <c r="E685">
        <v>22</v>
      </c>
      <c r="F685">
        <v>3</v>
      </c>
      <c r="G685">
        <v>20260310</v>
      </c>
      <c r="H685">
        <v>20260403</v>
      </c>
      <c r="I685">
        <v>4729.5919000000004</v>
      </c>
      <c r="J685">
        <f t="shared" si="101"/>
        <v>25</v>
      </c>
      <c r="K685">
        <f t="shared" si="102"/>
        <v>189.18367600000002</v>
      </c>
      <c r="L685">
        <f t="shared" si="103"/>
        <v>0</v>
      </c>
      <c r="M685">
        <f t="shared" si="104"/>
        <v>4162.0408720000005</v>
      </c>
      <c r="N685">
        <f t="shared" si="105"/>
        <v>352.23207446666544</v>
      </c>
      <c r="O685">
        <f t="shared" si="106"/>
        <v>4514.2729464666663</v>
      </c>
      <c r="P685">
        <f t="shared" si="107"/>
        <v>0</v>
      </c>
      <c r="Q685">
        <f t="shared" si="108"/>
        <v>4360.5592814425299</v>
      </c>
      <c r="R685">
        <f t="shared" si="109"/>
        <v>369.03261855746962</v>
      </c>
      <c r="S685">
        <f t="shared" si="110"/>
        <v>4729.5918999999994</v>
      </c>
    </row>
    <row r="686" spans="1:19" x14ac:dyDescent="0.3">
      <c r="A686" t="s">
        <v>13</v>
      </c>
      <c r="B686" t="s">
        <v>24</v>
      </c>
      <c r="C686" t="s">
        <v>14</v>
      </c>
      <c r="D686">
        <v>0</v>
      </c>
      <c r="E686">
        <v>30</v>
      </c>
      <c r="F686">
        <v>4</v>
      </c>
      <c r="G686">
        <v>20260302</v>
      </c>
      <c r="H686">
        <v>20260404</v>
      </c>
      <c r="I686">
        <v>19471.365399999999</v>
      </c>
      <c r="J686">
        <f t="shared" si="101"/>
        <v>34</v>
      </c>
      <c r="K686">
        <f t="shared" si="102"/>
        <v>572.68721764705879</v>
      </c>
      <c r="L686">
        <f t="shared" si="103"/>
        <v>0</v>
      </c>
      <c r="M686">
        <f t="shared" si="104"/>
        <v>17180.616529411764</v>
      </c>
      <c r="N686">
        <f t="shared" si="105"/>
        <v>1421.6787336511791</v>
      </c>
      <c r="O686">
        <f t="shared" si="106"/>
        <v>18602.295263062944</v>
      </c>
      <c r="P686">
        <f t="shared" si="107"/>
        <v>0</v>
      </c>
      <c r="Q686">
        <f t="shared" si="108"/>
        <v>17983.268059705795</v>
      </c>
      <c r="R686">
        <f t="shared" si="109"/>
        <v>1488.0973402942011</v>
      </c>
      <c r="S686">
        <f t="shared" si="110"/>
        <v>19471.365399999995</v>
      </c>
    </row>
    <row r="687" spans="1:19" x14ac:dyDescent="0.3">
      <c r="A687" t="s">
        <v>13</v>
      </c>
      <c r="B687" t="s">
        <v>37</v>
      </c>
      <c r="C687" t="s">
        <v>14</v>
      </c>
      <c r="D687">
        <v>0</v>
      </c>
      <c r="E687">
        <v>30</v>
      </c>
      <c r="F687">
        <v>8</v>
      </c>
      <c r="G687">
        <v>20260302</v>
      </c>
      <c r="H687">
        <v>20260408</v>
      </c>
      <c r="I687">
        <v>1012.3991</v>
      </c>
      <c r="J687">
        <f t="shared" si="101"/>
        <v>38</v>
      </c>
      <c r="K687">
        <f t="shared" si="102"/>
        <v>26.642081578947369</v>
      </c>
      <c r="L687">
        <f t="shared" si="103"/>
        <v>0</v>
      </c>
      <c r="M687">
        <f t="shared" si="104"/>
        <v>799.26244736842114</v>
      </c>
      <c r="N687">
        <f t="shared" si="105"/>
        <v>132.27632688087053</v>
      </c>
      <c r="O687">
        <f t="shared" si="106"/>
        <v>931.53877424929169</v>
      </c>
      <c r="P687">
        <f t="shared" si="107"/>
        <v>0</v>
      </c>
      <c r="Q687">
        <f t="shared" si="108"/>
        <v>868.64079601161291</v>
      </c>
      <c r="R687">
        <f t="shared" si="109"/>
        <v>143.75830398838704</v>
      </c>
      <c r="S687">
        <f t="shared" si="110"/>
        <v>1012.3991</v>
      </c>
    </row>
    <row r="688" spans="1:19" x14ac:dyDescent="0.3">
      <c r="A688" t="s">
        <v>13</v>
      </c>
      <c r="B688" t="s">
        <v>24</v>
      </c>
      <c r="C688" t="s">
        <v>14</v>
      </c>
      <c r="D688">
        <v>0</v>
      </c>
      <c r="E688">
        <v>26</v>
      </c>
      <c r="F688">
        <v>5</v>
      </c>
      <c r="G688">
        <v>20260306</v>
      </c>
      <c r="H688">
        <v>20260405</v>
      </c>
      <c r="I688">
        <v>59072.117200000001</v>
      </c>
      <c r="J688">
        <f t="shared" si="101"/>
        <v>31</v>
      </c>
      <c r="K688">
        <f t="shared" si="102"/>
        <v>1905.5521677419356</v>
      </c>
      <c r="L688">
        <f t="shared" si="103"/>
        <v>0</v>
      </c>
      <c r="M688">
        <f t="shared" si="104"/>
        <v>49544.356361290324</v>
      </c>
      <c r="N688">
        <f t="shared" si="105"/>
        <v>5913.0946816661653</v>
      </c>
      <c r="O688">
        <f t="shared" si="106"/>
        <v>55457.451042956491</v>
      </c>
      <c r="P688">
        <f t="shared" si="107"/>
        <v>0</v>
      </c>
      <c r="Q688">
        <f t="shared" si="108"/>
        <v>52773.612391700772</v>
      </c>
      <c r="R688">
        <f t="shared" si="109"/>
        <v>6298.5048082992271</v>
      </c>
      <c r="S688">
        <f t="shared" si="110"/>
        <v>59072.117200000001</v>
      </c>
    </row>
    <row r="689" spans="1:19" x14ac:dyDescent="0.3">
      <c r="A689" t="s">
        <v>13</v>
      </c>
      <c r="B689" t="s">
        <v>24</v>
      </c>
      <c r="C689" t="s">
        <v>14</v>
      </c>
      <c r="D689">
        <v>21</v>
      </c>
      <c r="E689">
        <v>4</v>
      </c>
      <c r="F689">
        <v>0</v>
      </c>
      <c r="G689">
        <v>20260208</v>
      </c>
      <c r="H689">
        <v>20260304</v>
      </c>
      <c r="I689">
        <v>3717.0866000000001</v>
      </c>
      <c r="J689">
        <f t="shared" si="101"/>
        <v>25</v>
      </c>
      <c r="K689">
        <f t="shared" si="102"/>
        <v>148.68346400000001</v>
      </c>
      <c r="L689">
        <f t="shared" si="103"/>
        <v>4235.0306052108317</v>
      </c>
      <c r="M689">
        <f t="shared" si="104"/>
        <v>594.73385600000006</v>
      </c>
      <c r="N689">
        <f t="shared" si="105"/>
        <v>0</v>
      </c>
      <c r="O689">
        <f t="shared" si="106"/>
        <v>4829.7644612108315</v>
      </c>
      <c r="P689">
        <f t="shared" si="107"/>
        <v>3259.3671264193554</v>
      </c>
      <c r="Q689">
        <f t="shared" si="108"/>
        <v>457.71947358064511</v>
      </c>
      <c r="R689">
        <f t="shared" si="109"/>
        <v>0</v>
      </c>
      <c r="S689">
        <f t="shared" si="110"/>
        <v>3717.0866000000005</v>
      </c>
    </row>
    <row r="690" spans="1:19" x14ac:dyDescent="0.3">
      <c r="A690" t="s">
        <v>13</v>
      </c>
      <c r="B690" t="s">
        <v>37</v>
      </c>
      <c r="C690" t="s">
        <v>15</v>
      </c>
      <c r="D690">
        <v>0</v>
      </c>
      <c r="E690">
        <v>22</v>
      </c>
      <c r="F690">
        <v>3</v>
      </c>
      <c r="G690">
        <v>20260310</v>
      </c>
      <c r="H690">
        <v>20260403</v>
      </c>
      <c r="I690">
        <v>8681.0244000000002</v>
      </c>
      <c r="J690">
        <f t="shared" si="101"/>
        <v>25</v>
      </c>
      <c r="K690">
        <f t="shared" si="102"/>
        <v>347.24097599999999</v>
      </c>
      <c r="L690">
        <f t="shared" si="103"/>
        <v>0</v>
      </c>
      <c r="M690">
        <f t="shared" si="104"/>
        <v>7639.3014720000001</v>
      </c>
      <c r="N690">
        <f t="shared" si="105"/>
        <v>646.5114321824974</v>
      </c>
      <c r="O690">
        <f t="shared" si="106"/>
        <v>8285.8129041824977</v>
      </c>
      <c r="P690">
        <f t="shared" si="107"/>
        <v>0</v>
      </c>
      <c r="Q690">
        <f t="shared" si="108"/>
        <v>8003.6760718930254</v>
      </c>
      <c r="R690">
        <f t="shared" si="109"/>
        <v>677.3483281069739</v>
      </c>
      <c r="S690">
        <f t="shared" si="110"/>
        <v>8681.0243999999984</v>
      </c>
    </row>
    <row r="691" spans="1:19" x14ac:dyDescent="0.3">
      <c r="A691" t="s">
        <v>13</v>
      </c>
      <c r="B691" t="s">
        <v>24</v>
      </c>
      <c r="C691" t="s">
        <v>15</v>
      </c>
      <c r="D691">
        <v>21</v>
      </c>
      <c r="E691">
        <v>6</v>
      </c>
      <c r="F691">
        <v>0</v>
      </c>
      <c r="G691">
        <v>20260208</v>
      </c>
      <c r="H691">
        <v>20260306</v>
      </c>
      <c r="I691">
        <v>354209.88030000002</v>
      </c>
      <c r="J691">
        <f t="shared" si="101"/>
        <v>27</v>
      </c>
      <c r="K691">
        <f t="shared" si="102"/>
        <v>13118.884455555557</v>
      </c>
      <c r="L691">
        <f t="shared" si="103"/>
        <v>373672.20053134096</v>
      </c>
      <c r="M691">
        <f t="shared" si="104"/>
        <v>78713.306733333346</v>
      </c>
      <c r="N691">
        <f t="shared" si="105"/>
        <v>0</v>
      </c>
      <c r="O691">
        <f t="shared" si="106"/>
        <v>452385.50726467429</v>
      </c>
      <c r="P691">
        <f t="shared" si="107"/>
        <v>292578.74820513604</v>
      </c>
      <c r="Q691">
        <f t="shared" si="108"/>
        <v>61631.132094863984</v>
      </c>
      <c r="R691">
        <f t="shared" si="109"/>
        <v>0</v>
      </c>
      <c r="S691">
        <f t="shared" si="110"/>
        <v>354209.88030000002</v>
      </c>
    </row>
    <row r="692" spans="1:19" x14ac:dyDescent="0.3">
      <c r="A692" t="s">
        <v>13</v>
      </c>
      <c r="B692" t="s">
        <v>24</v>
      </c>
      <c r="C692" t="s">
        <v>14</v>
      </c>
      <c r="D692">
        <v>0</v>
      </c>
      <c r="E692">
        <v>22</v>
      </c>
      <c r="F692">
        <v>2</v>
      </c>
      <c r="G692">
        <v>20260310</v>
      </c>
      <c r="H692">
        <v>20260402</v>
      </c>
      <c r="I692">
        <v>50177.902499999997</v>
      </c>
      <c r="J692">
        <f t="shared" si="101"/>
        <v>24</v>
      </c>
      <c r="K692">
        <f t="shared" si="102"/>
        <v>2090.7459374999999</v>
      </c>
      <c r="L692">
        <f t="shared" si="103"/>
        <v>0</v>
      </c>
      <c r="M692">
        <f t="shared" si="104"/>
        <v>45996.410624999997</v>
      </c>
      <c r="N692">
        <f t="shared" si="105"/>
        <v>2595.1068447307193</v>
      </c>
      <c r="O692">
        <f t="shared" si="106"/>
        <v>48591.517469730716</v>
      </c>
      <c r="P692">
        <f t="shared" si="107"/>
        <v>0</v>
      </c>
      <c r="Q692">
        <f t="shared" si="108"/>
        <v>47498.072253638638</v>
      </c>
      <c r="R692">
        <f t="shared" si="109"/>
        <v>2679.8302463613572</v>
      </c>
      <c r="S692">
        <f t="shared" si="110"/>
        <v>50177.902499999997</v>
      </c>
    </row>
    <row r="693" spans="1:19" x14ac:dyDescent="0.3">
      <c r="A693" t="s">
        <v>13</v>
      </c>
      <c r="B693" t="s">
        <v>24</v>
      </c>
      <c r="C693" t="s">
        <v>14</v>
      </c>
      <c r="D693">
        <v>22</v>
      </c>
      <c r="E693">
        <v>9</v>
      </c>
      <c r="F693">
        <v>0</v>
      </c>
      <c r="G693">
        <v>20260207</v>
      </c>
      <c r="H693">
        <v>20260309</v>
      </c>
      <c r="I693">
        <v>36202.967700000001</v>
      </c>
      <c r="J693">
        <f t="shared" si="101"/>
        <v>31</v>
      </c>
      <c r="K693">
        <f t="shared" si="102"/>
        <v>1167.8376677419355</v>
      </c>
      <c r="L693">
        <f t="shared" si="103"/>
        <v>34848.151617334675</v>
      </c>
      <c r="M693">
        <f t="shared" si="104"/>
        <v>10510.539009677421</v>
      </c>
      <c r="N693">
        <f t="shared" si="105"/>
        <v>0</v>
      </c>
      <c r="O693">
        <f t="shared" si="106"/>
        <v>45358.690627012096</v>
      </c>
      <c r="P693">
        <f t="shared" si="107"/>
        <v>27813.99749347605</v>
      </c>
      <c r="Q693">
        <f t="shared" si="108"/>
        <v>8388.9702065239508</v>
      </c>
      <c r="R693">
        <f t="shared" si="109"/>
        <v>0</v>
      </c>
      <c r="S693">
        <f t="shared" si="110"/>
        <v>36202.967700000001</v>
      </c>
    </row>
    <row r="694" spans="1:19" x14ac:dyDescent="0.3">
      <c r="A694" t="s">
        <v>13</v>
      </c>
      <c r="B694" t="s">
        <v>37</v>
      </c>
      <c r="C694" t="s">
        <v>14</v>
      </c>
      <c r="D694">
        <v>0</v>
      </c>
      <c r="E694">
        <v>13</v>
      </c>
      <c r="F694">
        <v>15</v>
      </c>
      <c r="G694">
        <v>20260319</v>
      </c>
      <c r="H694">
        <v>20260415</v>
      </c>
      <c r="I694">
        <v>4944.9463999999998</v>
      </c>
      <c r="J694">
        <f t="shared" si="101"/>
        <v>28</v>
      </c>
      <c r="K694">
        <f t="shared" si="102"/>
        <v>176.60522857142857</v>
      </c>
      <c r="L694">
        <f t="shared" si="103"/>
        <v>0</v>
      </c>
      <c r="M694">
        <f t="shared" si="104"/>
        <v>2295.8679714285713</v>
      </c>
      <c r="N694">
        <f t="shared" si="105"/>
        <v>1644.0643119064323</v>
      </c>
      <c r="O694">
        <f t="shared" si="106"/>
        <v>3939.9322833350034</v>
      </c>
      <c r="P694">
        <f t="shared" si="107"/>
        <v>0</v>
      </c>
      <c r="Q694">
        <f t="shared" si="108"/>
        <v>2881.5074076809206</v>
      </c>
      <c r="R694">
        <f t="shared" si="109"/>
        <v>2063.4389923190793</v>
      </c>
      <c r="S694">
        <f t="shared" si="110"/>
        <v>4944.9463999999998</v>
      </c>
    </row>
    <row r="695" spans="1:19" x14ac:dyDescent="0.3">
      <c r="A695" t="s">
        <v>13</v>
      </c>
      <c r="B695" t="s">
        <v>24</v>
      </c>
      <c r="C695" t="s">
        <v>14</v>
      </c>
      <c r="D695">
        <v>0</v>
      </c>
      <c r="E695">
        <v>13</v>
      </c>
      <c r="F695">
        <v>15</v>
      </c>
      <c r="G695">
        <v>20260319</v>
      </c>
      <c r="H695">
        <v>20260415</v>
      </c>
      <c r="I695">
        <v>4285.6202999999996</v>
      </c>
      <c r="J695">
        <f t="shared" si="101"/>
        <v>28</v>
      </c>
      <c r="K695">
        <f t="shared" si="102"/>
        <v>153.05786785714284</v>
      </c>
      <c r="L695">
        <f t="shared" si="103"/>
        <v>0</v>
      </c>
      <c r="M695">
        <f t="shared" si="104"/>
        <v>1989.752282142857</v>
      </c>
      <c r="N695">
        <f t="shared" si="105"/>
        <v>1424.8557657999563</v>
      </c>
      <c r="O695">
        <f t="shared" si="106"/>
        <v>3414.6080479428133</v>
      </c>
      <c r="P695">
        <f t="shared" si="107"/>
        <v>0</v>
      </c>
      <c r="Q695">
        <f t="shared" si="108"/>
        <v>2497.3064704923249</v>
      </c>
      <c r="R695">
        <f t="shared" si="109"/>
        <v>1788.3138295076747</v>
      </c>
      <c r="S695">
        <f t="shared" si="110"/>
        <v>4285.6202999999996</v>
      </c>
    </row>
    <row r="696" spans="1:19" x14ac:dyDescent="0.3">
      <c r="A696" t="s">
        <v>13</v>
      </c>
      <c r="B696" t="s">
        <v>24</v>
      </c>
      <c r="C696" t="s">
        <v>15</v>
      </c>
      <c r="D696">
        <v>0</v>
      </c>
      <c r="E696">
        <v>9</v>
      </c>
      <c r="F696">
        <v>0</v>
      </c>
      <c r="G696">
        <v>20260305</v>
      </c>
      <c r="H696">
        <v>20260313</v>
      </c>
      <c r="I696">
        <v>6382.0623999999998</v>
      </c>
      <c r="J696">
        <f t="shared" si="101"/>
        <v>9</v>
      </c>
      <c r="K696">
        <f t="shared" si="102"/>
        <v>709.11804444444442</v>
      </c>
      <c r="L696">
        <f t="shared" si="103"/>
        <v>0</v>
      </c>
      <c r="M696">
        <f t="shared" si="104"/>
        <v>6382.0623999999998</v>
      </c>
      <c r="N696">
        <f t="shared" si="105"/>
        <v>0</v>
      </c>
      <c r="O696">
        <f t="shared" si="106"/>
        <v>6382.0623999999998</v>
      </c>
      <c r="P696">
        <f t="shared" si="107"/>
        <v>0</v>
      </c>
      <c r="Q696">
        <f t="shared" si="108"/>
        <v>6382.0623999999998</v>
      </c>
      <c r="R696">
        <f t="shared" si="109"/>
        <v>0</v>
      </c>
      <c r="S696">
        <f t="shared" si="110"/>
        <v>6382.0623999999998</v>
      </c>
    </row>
    <row r="697" spans="1:19" x14ac:dyDescent="0.3">
      <c r="A697" t="s">
        <v>13</v>
      </c>
      <c r="B697" t="s">
        <v>24</v>
      </c>
      <c r="C697" t="s">
        <v>15</v>
      </c>
      <c r="D697">
        <v>0</v>
      </c>
      <c r="E697">
        <v>18</v>
      </c>
      <c r="F697">
        <v>0</v>
      </c>
      <c r="G697">
        <v>20260306</v>
      </c>
      <c r="H697">
        <v>20260323</v>
      </c>
      <c r="I697">
        <v>13183.2659</v>
      </c>
      <c r="J697">
        <f t="shared" si="101"/>
        <v>18</v>
      </c>
      <c r="K697">
        <f t="shared" si="102"/>
        <v>732.40366111111109</v>
      </c>
      <c r="L697">
        <f t="shared" si="103"/>
        <v>0</v>
      </c>
      <c r="M697">
        <f t="shared" si="104"/>
        <v>13183.2659</v>
      </c>
      <c r="N697">
        <f t="shared" si="105"/>
        <v>0</v>
      </c>
      <c r="O697">
        <f t="shared" si="106"/>
        <v>13183.2659</v>
      </c>
      <c r="P697">
        <f t="shared" si="107"/>
        <v>0</v>
      </c>
      <c r="Q697">
        <f t="shared" si="108"/>
        <v>13183.2659</v>
      </c>
      <c r="R697">
        <f t="shared" si="109"/>
        <v>0</v>
      </c>
      <c r="S697">
        <f t="shared" si="110"/>
        <v>13183.2659</v>
      </c>
    </row>
    <row r="698" spans="1:19" x14ac:dyDescent="0.3">
      <c r="A698" t="s">
        <v>13</v>
      </c>
      <c r="B698" t="s">
        <v>24</v>
      </c>
      <c r="C698" t="s">
        <v>15</v>
      </c>
      <c r="D698">
        <v>0</v>
      </c>
      <c r="E698">
        <v>24</v>
      </c>
      <c r="F698">
        <v>1</v>
      </c>
      <c r="G698">
        <v>20260308</v>
      </c>
      <c r="H698">
        <v>20260401</v>
      </c>
      <c r="I698">
        <v>251734.80470000001</v>
      </c>
      <c r="J698">
        <f t="shared" si="101"/>
        <v>25</v>
      </c>
      <c r="K698">
        <f t="shared" si="102"/>
        <v>10069.392188</v>
      </c>
      <c r="L698">
        <f t="shared" si="103"/>
        <v>0</v>
      </c>
      <c r="M698">
        <f t="shared" si="104"/>
        <v>241665.41251200001</v>
      </c>
      <c r="N698">
        <f t="shared" si="105"/>
        <v>6249.2405511027891</v>
      </c>
      <c r="O698">
        <f t="shared" si="106"/>
        <v>247914.6530631028</v>
      </c>
      <c r="P698">
        <f t="shared" si="107"/>
        <v>0</v>
      </c>
      <c r="Q698">
        <f t="shared" si="108"/>
        <v>245389.26872534843</v>
      </c>
      <c r="R698">
        <f t="shared" si="109"/>
        <v>6345.5359746515669</v>
      </c>
      <c r="S698">
        <f t="shared" si="110"/>
        <v>251734.80470000001</v>
      </c>
    </row>
    <row r="699" spans="1:19" x14ac:dyDescent="0.3">
      <c r="A699" t="s">
        <v>13</v>
      </c>
      <c r="B699" t="s">
        <v>24</v>
      </c>
      <c r="C699" t="s">
        <v>15</v>
      </c>
      <c r="D699">
        <v>24</v>
      </c>
      <c r="E699">
        <v>10</v>
      </c>
      <c r="F699">
        <v>0</v>
      </c>
      <c r="G699">
        <v>20260205</v>
      </c>
      <c r="H699">
        <v>20260310</v>
      </c>
      <c r="I699">
        <v>20360.4499</v>
      </c>
      <c r="J699">
        <f t="shared" si="101"/>
        <v>34</v>
      </c>
      <c r="K699">
        <f t="shared" si="102"/>
        <v>598.8367617647059</v>
      </c>
      <c r="L699">
        <f t="shared" si="103"/>
        <v>19493.700205185094</v>
      </c>
      <c r="M699">
        <f t="shared" si="104"/>
        <v>5988.367617647059</v>
      </c>
      <c r="N699">
        <f t="shared" si="105"/>
        <v>0</v>
      </c>
      <c r="O699">
        <f t="shared" si="106"/>
        <v>25482.067822832152</v>
      </c>
      <c r="P699">
        <f t="shared" si="107"/>
        <v>15575.67891086392</v>
      </c>
      <c r="Q699">
        <f t="shared" si="108"/>
        <v>4784.770989136081</v>
      </c>
      <c r="R699">
        <f t="shared" si="109"/>
        <v>0</v>
      </c>
      <c r="S699">
        <f t="shared" si="110"/>
        <v>20360.4499</v>
      </c>
    </row>
    <row r="700" spans="1:19" x14ac:dyDescent="0.3">
      <c r="A700" t="s">
        <v>13</v>
      </c>
      <c r="B700" t="s">
        <v>37</v>
      </c>
      <c r="C700" t="s">
        <v>14</v>
      </c>
      <c r="D700">
        <v>0</v>
      </c>
      <c r="E700">
        <v>30</v>
      </c>
      <c r="F700">
        <v>5</v>
      </c>
      <c r="G700">
        <v>20260302</v>
      </c>
      <c r="H700">
        <v>20260405</v>
      </c>
      <c r="I700">
        <v>2157.7784000000001</v>
      </c>
      <c r="J700">
        <f t="shared" si="101"/>
        <v>35</v>
      </c>
      <c r="K700">
        <f t="shared" si="102"/>
        <v>61.65081142857143</v>
      </c>
      <c r="L700">
        <f t="shared" si="103"/>
        <v>0</v>
      </c>
      <c r="M700">
        <f t="shared" si="104"/>
        <v>1849.524342857143</v>
      </c>
      <c r="N700">
        <f t="shared" si="105"/>
        <v>191.30784837587254</v>
      </c>
      <c r="O700">
        <f t="shared" si="106"/>
        <v>2040.8321912330155</v>
      </c>
      <c r="P700">
        <f t="shared" si="107"/>
        <v>0</v>
      </c>
      <c r="Q700">
        <f t="shared" si="108"/>
        <v>1955.508000332044</v>
      </c>
      <c r="R700">
        <f t="shared" si="109"/>
        <v>202.27039966795618</v>
      </c>
      <c r="S700">
        <f t="shared" si="110"/>
        <v>2157.7784000000001</v>
      </c>
    </row>
    <row r="701" spans="1:19" x14ac:dyDescent="0.3">
      <c r="A701" t="s">
        <v>13</v>
      </c>
      <c r="B701" t="s">
        <v>24</v>
      </c>
      <c r="C701" t="s">
        <v>14</v>
      </c>
      <c r="D701">
        <v>26</v>
      </c>
      <c r="E701">
        <v>11</v>
      </c>
      <c r="F701">
        <v>0</v>
      </c>
      <c r="G701">
        <v>20260203</v>
      </c>
      <c r="H701">
        <v>20260311</v>
      </c>
      <c r="I701">
        <v>253.40209999999999</v>
      </c>
      <c r="J701">
        <f t="shared" si="101"/>
        <v>37</v>
      </c>
      <c r="K701">
        <f t="shared" si="102"/>
        <v>6.8487054054054051</v>
      </c>
      <c r="L701">
        <f t="shared" si="103"/>
        <v>241.52184707388184</v>
      </c>
      <c r="M701">
        <f t="shared" si="104"/>
        <v>75.335759459459453</v>
      </c>
      <c r="N701">
        <f t="shared" si="105"/>
        <v>0</v>
      </c>
      <c r="O701">
        <f t="shared" si="106"/>
        <v>316.85760653334131</v>
      </c>
      <c r="P701">
        <f t="shared" si="107"/>
        <v>193.15346067906538</v>
      </c>
      <c r="Q701">
        <f t="shared" si="108"/>
        <v>60.248639320934593</v>
      </c>
      <c r="R701">
        <f t="shared" si="109"/>
        <v>0</v>
      </c>
      <c r="S701">
        <f t="shared" si="110"/>
        <v>253.40209999999996</v>
      </c>
    </row>
    <row r="702" spans="1:19" x14ac:dyDescent="0.3">
      <c r="A702" t="s">
        <v>13</v>
      </c>
      <c r="B702" t="s">
        <v>37</v>
      </c>
      <c r="C702" t="s">
        <v>15</v>
      </c>
      <c r="D702">
        <v>0</v>
      </c>
      <c r="E702">
        <v>24</v>
      </c>
      <c r="F702">
        <v>14</v>
      </c>
      <c r="G702">
        <v>20260308</v>
      </c>
      <c r="H702">
        <v>20260414</v>
      </c>
      <c r="I702">
        <v>1629.6484</v>
      </c>
      <c r="J702">
        <f t="shared" si="101"/>
        <v>38</v>
      </c>
      <c r="K702">
        <f t="shared" si="102"/>
        <v>42.885484210526315</v>
      </c>
      <c r="L702">
        <f t="shared" si="103"/>
        <v>0</v>
      </c>
      <c r="M702">
        <f t="shared" si="104"/>
        <v>1029.2516210526314</v>
      </c>
      <c r="N702">
        <f t="shared" si="105"/>
        <v>372.61672082062631</v>
      </c>
      <c r="O702">
        <f t="shared" si="106"/>
        <v>1401.8683418732578</v>
      </c>
      <c r="P702">
        <f t="shared" si="107"/>
        <v>0</v>
      </c>
      <c r="Q702">
        <f t="shared" si="108"/>
        <v>1196.4877209542353</v>
      </c>
      <c r="R702">
        <f t="shared" si="109"/>
        <v>433.1606790457646</v>
      </c>
      <c r="S702">
        <f t="shared" si="110"/>
        <v>1629.6484</v>
      </c>
    </row>
    <row r="703" spans="1:19" x14ac:dyDescent="0.3">
      <c r="A703" t="s">
        <v>13</v>
      </c>
      <c r="B703" t="s">
        <v>24</v>
      </c>
      <c r="C703" t="s">
        <v>15</v>
      </c>
      <c r="D703">
        <v>27</v>
      </c>
      <c r="E703">
        <v>11</v>
      </c>
      <c r="F703">
        <v>0</v>
      </c>
      <c r="G703">
        <v>20260202</v>
      </c>
      <c r="H703">
        <v>20260311</v>
      </c>
      <c r="I703">
        <v>48275.368499999997</v>
      </c>
      <c r="J703">
        <f t="shared" si="101"/>
        <v>38</v>
      </c>
      <c r="K703">
        <f t="shared" si="102"/>
        <v>1270.4044342105262</v>
      </c>
      <c r="L703">
        <f t="shared" si="103"/>
        <v>46524.35414154554</v>
      </c>
      <c r="M703">
        <f t="shared" si="104"/>
        <v>13974.448776315789</v>
      </c>
      <c r="N703">
        <f t="shared" si="105"/>
        <v>0</v>
      </c>
      <c r="O703">
        <f t="shared" si="106"/>
        <v>60498.802917861329</v>
      </c>
      <c r="P703">
        <f t="shared" si="107"/>
        <v>37124.376551003152</v>
      </c>
      <c r="Q703">
        <f t="shared" si="108"/>
        <v>11150.991948996849</v>
      </c>
      <c r="R703">
        <f t="shared" si="109"/>
        <v>0</v>
      </c>
      <c r="S703">
        <f t="shared" si="110"/>
        <v>48275.368499999997</v>
      </c>
    </row>
    <row r="704" spans="1:19" x14ac:dyDescent="0.3">
      <c r="A704" t="s">
        <v>13</v>
      </c>
      <c r="B704" t="s">
        <v>24</v>
      </c>
      <c r="C704" t="s">
        <v>15</v>
      </c>
      <c r="D704">
        <v>0</v>
      </c>
      <c r="E704">
        <v>28</v>
      </c>
      <c r="F704">
        <v>13</v>
      </c>
      <c r="G704">
        <v>20260304</v>
      </c>
      <c r="H704">
        <v>20260413</v>
      </c>
      <c r="I704">
        <v>15636.2037</v>
      </c>
      <c r="J704">
        <f t="shared" si="101"/>
        <v>41</v>
      </c>
      <c r="K704">
        <f t="shared" si="102"/>
        <v>381.37082195121951</v>
      </c>
      <c r="L704">
        <f t="shared" si="103"/>
        <v>0</v>
      </c>
      <c r="M704">
        <f t="shared" si="104"/>
        <v>10678.383014634146</v>
      </c>
      <c r="N704">
        <f t="shared" si="105"/>
        <v>3076.9100551081365</v>
      </c>
      <c r="O704">
        <f t="shared" si="106"/>
        <v>13755.293069742282</v>
      </c>
      <c r="P704">
        <f t="shared" si="107"/>
        <v>0</v>
      </c>
      <c r="Q704">
        <f t="shared" si="108"/>
        <v>12138.554311919717</v>
      </c>
      <c r="R704">
        <f t="shared" si="109"/>
        <v>3497.6493880802832</v>
      </c>
      <c r="S704">
        <f t="shared" si="110"/>
        <v>15636.2037</v>
      </c>
    </row>
    <row r="705" spans="1:19" x14ac:dyDescent="0.3">
      <c r="A705" t="s">
        <v>13</v>
      </c>
      <c r="B705" t="s">
        <v>24</v>
      </c>
      <c r="C705" t="s">
        <v>15</v>
      </c>
      <c r="D705">
        <v>0</v>
      </c>
      <c r="E705">
        <v>19</v>
      </c>
      <c r="F705">
        <v>5</v>
      </c>
      <c r="G705">
        <v>20260313</v>
      </c>
      <c r="H705">
        <v>20260405</v>
      </c>
      <c r="I705">
        <v>15667.3881</v>
      </c>
      <c r="J705">
        <f t="shared" si="101"/>
        <v>24</v>
      </c>
      <c r="K705">
        <f t="shared" si="102"/>
        <v>652.80783750000001</v>
      </c>
      <c r="L705">
        <f t="shared" si="103"/>
        <v>0</v>
      </c>
      <c r="M705">
        <f t="shared" si="104"/>
        <v>12403.3489125</v>
      </c>
      <c r="N705">
        <f t="shared" si="105"/>
        <v>2025.7196929147558</v>
      </c>
      <c r="O705">
        <f t="shared" si="106"/>
        <v>14429.068605414755</v>
      </c>
      <c r="P705">
        <f t="shared" si="107"/>
        <v>0</v>
      </c>
      <c r="Q705">
        <f t="shared" si="108"/>
        <v>13467.818780688693</v>
      </c>
      <c r="R705">
        <f t="shared" si="109"/>
        <v>2199.5693193113079</v>
      </c>
      <c r="S705">
        <f t="shared" si="110"/>
        <v>15667.3881</v>
      </c>
    </row>
    <row r="706" spans="1:19" x14ac:dyDescent="0.3">
      <c r="A706" t="s">
        <v>13</v>
      </c>
      <c r="B706" t="s">
        <v>24</v>
      </c>
      <c r="C706" t="s">
        <v>14</v>
      </c>
      <c r="D706">
        <v>19</v>
      </c>
      <c r="E706">
        <v>9</v>
      </c>
      <c r="F706">
        <v>0</v>
      </c>
      <c r="G706">
        <v>20260210</v>
      </c>
      <c r="H706">
        <v>20260309</v>
      </c>
      <c r="I706">
        <v>126.82559999999999</v>
      </c>
      <c r="J706">
        <f t="shared" si="101"/>
        <v>28</v>
      </c>
      <c r="K706">
        <f t="shared" si="102"/>
        <v>4.5294857142857143</v>
      </c>
      <c r="L706">
        <f t="shared" si="103"/>
        <v>116.72854791689085</v>
      </c>
      <c r="M706">
        <f t="shared" si="104"/>
        <v>40.765371428571427</v>
      </c>
      <c r="N706">
        <f t="shared" si="105"/>
        <v>0</v>
      </c>
      <c r="O706">
        <f t="shared" si="106"/>
        <v>157.49391934546227</v>
      </c>
      <c r="P706">
        <f t="shared" si="107"/>
        <v>93.998347289939176</v>
      </c>
      <c r="Q706">
        <f t="shared" si="108"/>
        <v>32.827252710060833</v>
      </c>
      <c r="R706">
        <f t="shared" si="109"/>
        <v>0</v>
      </c>
      <c r="S706">
        <f t="shared" si="110"/>
        <v>126.82560000000001</v>
      </c>
    </row>
    <row r="707" spans="1:19" x14ac:dyDescent="0.3">
      <c r="A707" t="s">
        <v>13</v>
      </c>
      <c r="B707" t="s">
        <v>24</v>
      </c>
      <c r="C707" t="s">
        <v>15</v>
      </c>
      <c r="D707">
        <v>0</v>
      </c>
      <c r="E707">
        <v>15</v>
      </c>
      <c r="F707">
        <v>20</v>
      </c>
      <c r="G707">
        <v>20260317</v>
      </c>
      <c r="H707">
        <v>20260420</v>
      </c>
      <c r="I707">
        <v>11940.126399999999</v>
      </c>
      <c r="J707">
        <f t="shared" si="101"/>
        <v>35</v>
      </c>
      <c r="K707">
        <f t="shared" si="102"/>
        <v>341.14646857142856</v>
      </c>
      <c r="L707">
        <f t="shared" si="103"/>
        <v>0</v>
      </c>
      <c r="M707">
        <f t="shared" si="104"/>
        <v>5117.1970285714287</v>
      </c>
      <c r="N707">
        <f t="shared" si="105"/>
        <v>4234.4290607783496</v>
      </c>
      <c r="O707">
        <f t="shared" si="106"/>
        <v>9351.6260893497783</v>
      </c>
      <c r="P707">
        <f t="shared" si="107"/>
        <v>0</v>
      </c>
      <c r="Q707">
        <f t="shared" si="108"/>
        <v>6533.6208645501529</v>
      </c>
      <c r="R707">
        <f t="shared" si="109"/>
        <v>5406.5055354498463</v>
      </c>
      <c r="S707">
        <f t="shared" si="110"/>
        <v>11940.126399999999</v>
      </c>
    </row>
    <row r="708" spans="1:19" x14ac:dyDescent="0.3">
      <c r="A708" t="s">
        <v>13</v>
      </c>
      <c r="B708" t="s">
        <v>24</v>
      </c>
      <c r="C708" t="s">
        <v>15</v>
      </c>
      <c r="D708">
        <v>0</v>
      </c>
      <c r="E708">
        <v>29</v>
      </c>
      <c r="F708">
        <v>8</v>
      </c>
      <c r="G708">
        <v>20260303</v>
      </c>
      <c r="H708">
        <v>20260408</v>
      </c>
      <c r="I708">
        <v>20494.478500000001</v>
      </c>
      <c r="J708">
        <f t="shared" si="101"/>
        <v>37</v>
      </c>
      <c r="K708">
        <f t="shared" si="102"/>
        <v>553.90482432432441</v>
      </c>
      <c r="L708">
        <f t="shared" si="103"/>
        <v>0</v>
      </c>
      <c r="M708">
        <f t="shared" si="104"/>
        <v>16063.239905405408</v>
      </c>
      <c r="N708">
        <f t="shared" si="105"/>
        <v>2750.1040181902463</v>
      </c>
      <c r="O708">
        <f t="shared" si="106"/>
        <v>18813.343923595654</v>
      </c>
      <c r="P708">
        <f t="shared" si="107"/>
        <v>0</v>
      </c>
      <c r="Q708">
        <f t="shared" si="108"/>
        <v>17498.628963497638</v>
      </c>
      <c r="R708">
        <f t="shared" si="109"/>
        <v>2995.8495365023641</v>
      </c>
      <c r="S708">
        <f t="shared" si="110"/>
        <v>20494.478500000001</v>
      </c>
    </row>
    <row r="709" spans="1:19" x14ac:dyDescent="0.3">
      <c r="A709" t="s">
        <v>13</v>
      </c>
      <c r="B709" t="s">
        <v>24</v>
      </c>
      <c r="C709" t="s">
        <v>15</v>
      </c>
      <c r="D709">
        <v>11</v>
      </c>
      <c r="E709">
        <v>16</v>
      </c>
      <c r="F709">
        <v>0</v>
      </c>
      <c r="G709">
        <v>20260218</v>
      </c>
      <c r="H709">
        <v>20260316</v>
      </c>
      <c r="I709">
        <v>338716.04</v>
      </c>
      <c r="J709">
        <f t="shared" si="101"/>
        <v>27</v>
      </c>
      <c r="K709">
        <f t="shared" si="102"/>
        <v>12545.038518518517</v>
      </c>
      <c r="L709">
        <f t="shared" si="103"/>
        <v>187171.30660116771</v>
      </c>
      <c r="M709">
        <f t="shared" si="104"/>
        <v>200720.61629629627</v>
      </c>
      <c r="N709">
        <f t="shared" si="105"/>
        <v>0</v>
      </c>
      <c r="O709">
        <f t="shared" si="106"/>
        <v>387891.92289746401</v>
      </c>
      <c r="P709">
        <f t="shared" si="107"/>
        <v>163442.23746657415</v>
      </c>
      <c r="Q709">
        <f t="shared" si="108"/>
        <v>175273.80253342583</v>
      </c>
      <c r="R709">
        <f t="shared" si="109"/>
        <v>0</v>
      </c>
      <c r="S709">
        <f t="shared" si="110"/>
        <v>338716.04</v>
      </c>
    </row>
    <row r="710" spans="1:19" x14ac:dyDescent="0.3">
      <c r="A710" t="s">
        <v>13</v>
      </c>
      <c r="B710" t="s">
        <v>37</v>
      </c>
      <c r="C710" t="s">
        <v>15</v>
      </c>
      <c r="D710">
        <v>0</v>
      </c>
      <c r="E710">
        <v>15</v>
      </c>
      <c r="F710">
        <v>7</v>
      </c>
      <c r="G710">
        <v>20260317</v>
      </c>
      <c r="H710">
        <v>20260407</v>
      </c>
      <c r="I710">
        <v>6124.3505999999998</v>
      </c>
      <c r="J710">
        <f t="shared" si="101"/>
        <v>22</v>
      </c>
      <c r="K710">
        <f t="shared" si="102"/>
        <v>278.37957272727272</v>
      </c>
      <c r="L710">
        <f t="shared" si="103"/>
        <v>0</v>
      </c>
      <c r="M710">
        <f t="shared" si="104"/>
        <v>4175.6935909090907</v>
      </c>
      <c r="N710">
        <f t="shared" si="105"/>
        <v>1209.3705532608046</v>
      </c>
      <c r="O710">
        <f t="shared" si="106"/>
        <v>5385.0641441698954</v>
      </c>
      <c r="P710">
        <f t="shared" si="107"/>
        <v>0</v>
      </c>
      <c r="Q710">
        <f t="shared" si="108"/>
        <v>4748.9520763809533</v>
      </c>
      <c r="R710">
        <f t="shared" si="109"/>
        <v>1375.398523619047</v>
      </c>
      <c r="S710">
        <f t="shared" si="110"/>
        <v>6124.3505999999998</v>
      </c>
    </row>
    <row r="711" spans="1:19" x14ac:dyDescent="0.3">
      <c r="A711" t="s">
        <v>13</v>
      </c>
      <c r="B711" t="s">
        <v>37</v>
      </c>
      <c r="C711" t="s">
        <v>15</v>
      </c>
      <c r="D711">
        <v>0</v>
      </c>
      <c r="E711">
        <v>23</v>
      </c>
      <c r="F711">
        <v>3</v>
      </c>
      <c r="G711">
        <v>20260309</v>
      </c>
      <c r="H711">
        <v>20260403</v>
      </c>
      <c r="I711">
        <v>3173.5092</v>
      </c>
      <c r="J711">
        <f t="shared" si="101"/>
        <v>26</v>
      </c>
      <c r="K711">
        <f t="shared" si="102"/>
        <v>122.05804615384615</v>
      </c>
      <c r="L711">
        <f t="shared" si="103"/>
        <v>0</v>
      </c>
      <c r="M711">
        <f t="shared" si="104"/>
        <v>2807.3350615384616</v>
      </c>
      <c r="N711">
        <f t="shared" si="105"/>
        <v>227.25406182570009</v>
      </c>
      <c r="O711">
        <f t="shared" si="106"/>
        <v>3034.5891233641614</v>
      </c>
      <c r="P711">
        <f t="shared" si="107"/>
        <v>0</v>
      </c>
      <c r="Q711">
        <f t="shared" si="108"/>
        <v>2935.8517028487186</v>
      </c>
      <c r="R711">
        <f t="shared" si="109"/>
        <v>237.65749715128149</v>
      </c>
      <c r="S711">
        <f t="shared" si="110"/>
        <v>3173.5092</v>
      </c>
    </row>
    <row r="712" spans="1:19" x14ac:dyDescent="0.3">
      <c r="A712" t="s">
        <v>13</v>
      </c>
      <c r="B712" t="s">
        <v>24</v>
      </c>
      <c r="C712" t="s">
        <v>15</v>
      </c>
      <c r="D712">
        <v>25</v>
      </c>
      <c r="E712">
        <v>8</v>
      </c>
      <c r="F712">
        <v>0</v>
      </c>
      <c r="G712">
        <v>20260204</v>
      </c>
      <c r="H712">
        <v>20260308</v>
      </c>
      <c r="I712">
        <v>130517.3746</v>
      </c>
      <c r="J712">
        <f t="shared" si="101"/>
        <v>33</v>
      </c>
      <c r="K712">
        <f t="shared" si="102"/>
        <v>3955.0719575757576</v>
      </c>
      <c r="L712">
        <f t="shared" si="103"/>
        <v>134112.41585637166</v>
      </c>
      <c r="M712">
        <f t="shared" si="104"/>
        <v>31640.57566060606</v>
      </c>
      <c r="N712">
        <f t="shared" si="105"/>
        <v>0</v>
      </c>
      <c r="O712">
        <f t="shared" si="106"/>
        <v>165752.99151697772</v>
      </c>
      <c r="P712">
        <f t="shared" si="107"/>
        <v>105602.92311251676</v>
      </c>
      <c r="Q712">
        <f t="shared" si="108"/>
        <v>24914.451487483246</v>
      </c>
      <c r="R712">
        <f t="shared" si="109"/>
        <v>0</v>
      </c>
      <c r="S712">
        <f t="shared" si="110"/>
        <v>130517.37460000001</v>
      </c>
    </row>
    <row r="713" spans="1:19" x14ac:dyDescent="0.3">
      <c r="A713" t="s">
        <v>13</v>
      </c>
      <c r="B713" t="s">
        <v>24</v>
      </c>
      <c r="C713" t="s">
        <v>15</v>
      </c>
      <c r="D713">
        <v>13</v>
      </c>
      <c r="E713">
        <v>9</v>
      </c>
      <c r="F713">
        <v>0</v>
      </c>
      <c r="G713">
        <v>20260216</v>
      </c>
      <c r="H713">
        <v>20260309</v>
      </c>
      <c r="I713">
        <v>16712.7546</v>
      </c>
      <c r="J713">
        <f t="shared" si="101"/>
        <v>22</v>
      </c>
      <c r="K713">
        <f t="shared" si="102"/>
        <v>759.67066363636366</v>
      </c>
      <c r="L713">
        <f t="shared" si="103"/>
        <v>13395.017816395282</v>
      </c>
      <c r="M713">
        <f t="shared" si="104"/>
        <v>6837.0359727272726</v>
      </c>
      <c r="N713">
        <f t="shared" si="105"/>
        <v>0</v>
      </c>
      <c r="O713">
        <f t="shared" si="106"/>
        <v>20232.053789122554</v>
      </c>
      <c r="P713">
        <f t="shared" si="107"/>
        <v>11064.998539515605</v>
      </c>
      <c r="Q713">
        <f t="shared" si="108"/>
        <v>5647.7560604843966</v>
      </c>
      <c r="R713">
        <f t="shared" si="109"/>
        <v>0</v>
      </c>
      <c r="S713">
        <f t="shared" si="110"/>
        <v>16712.7546</v>
      </c>
    </row>
    <row r="714" spans="1:19" x14ac:dyDescent="0.3">
      <c r="A714" t="s">
        <v>13</v>
      </c>
      <c r="B714" t="s">
        <v>24</v>
      </c>
      <c r="C714" t="s">
        <v>15</v>
      </c>
      <c r="D714">
        <v>20</v>
      </c>
      <c r="E714">
        <v>5</v>
      </c>
      <c r="F714">
        <v>0</v>
      </c>
      <c r="G714">
        <v>20260209</v>
      </c>
      <c r="H714">
        <v>20260305</v>
      </c>
      <c r="I714">
        <v>7056.3271000000004</v>
      </c>
      <c r="J714">
        <f t="shared" si="101"/>
        <v>25</v>
      </c>
      <c r="K714">
        <f t="shared" si="102"/>
        <v>282.253084</v>
      </c>
      <c r="L714">
        <f t="shared" si="103"/>
        <v>7656.7290576131236</v>
      </c>
      <c r="M714">
        <f t="shared" si="104"/>
        <v>1411.2654199999999</v>
      </c>
      <c r="N714">
        <f t="shared" si="105"/>
        <v>0</v>
      </c>
      <c r="O714">
        <f t="shared" si="106"/>
        <v>9067.9944776131233</v>
      </c>
      <c r="P714">
        <f t="shared" si="107"/>
        <v>5958.1404554201163</v>
      </c>
      <c r="Q714">
        <f t="shared" si="108"/>
        <v>1098.1866445798848</v>
      </c>
      <c r="R714">
        <f t="shared" si="109"/>
        <v>0</v>
      </c>
      <c r="S714">
        <f t="shared" si="110"/>
        <v>7056.3271000000013</v>
      </c>
    </row>
    <row r="715" spans="1:19" x14ac:dyDescent="0.3">
      <c r="A715" t="s">
        <v>13</v>
      </c>
      <c r="B715" t="s">
        <v>24</v>
      </c>
      <c r="C715" t="s">
        <v>14</v>
      </c>
      <c r="D715">
        <v>0</v>
      </c>
      <c r="E715">
        <v>15</v>
      </c>
      <c r="F715">
        <v>0</v>
      </c>
      <c r="G715">
        <v>20260317</v>
      </c>
      <c r="H715">
        <v>20260331</v>
      </c>
      <c r="I715">
        <v>70434.678100000005</v>
      </c>
      <c r="J715">
        <f t="shared" ref="J715:J778" si="111">IF(D715&lt;0,0,D715)+E715+F715</f>
        <v>15</v>
      </c>
      <c r="K715">
        <f t="shared" ref="K715:K778" si="112">I715/J715</f>
        <v>4695.645206666667</v>
      </c>
      <c r="L715">
        <f t="shared" ref="L715:L778" si="113">IF(D715&lt;0,0,D715)*$K715*$B$6</f>
        <v>0</v>
      </c>
      <c r="M715">
        <f t="shared" ref="M715:M778" si="114">IF(E715&lt;0,0,E715)*$K715*$C$6</f>
        <v>70434.678100000005</v>
      </c>
      <c r="N715">
        <f t="shared" ref="N715:N778" si="115">IF(F715&lt;0,0,F715)*$K715*$D$6</f>
        <v>0</v>
      </c>
      <c r="O715">
        <f t="shared" ref="O715:O778" si="116">L715+M715+N715</f>
        <v>70434.678100000005</v>
      </c>
      <c r="P715">
        <f t="shared" ref="P715:P778" si="117">L715/$O715*$I715</f>
        <v>0</v>
      </c>
      <c r="Q715">
        <f t="shared" ref="Q715:Q778" si="118">M715/$O715*$I715</f>
        <v>70434.678100000005</v>
      </c>
      <c r="R715">
        <f t="shared" ref="R715:R778" si="119">N715/$O715*$I715</f>
        <v>0</v>
      </c>
      <c r="S715">
        <f t="shared" ref="S715:S778" si="120">P715+Q715+R715</f>
        <v>70434.678100000005</v>
      </c>
    </row>
    <row r="716" spans="1:19" x14ac:dyDescent="0.3">
      <c r="A716" t="s">
        <v>13</v>
      </c>
      <c r="B716" t="s">
        <v>24</v>
      </c>
      <c r="C716" t="s">
        <v>14</v>
      </c>
      <c r="D716">
        <v>0</v>
      </c>
      <c r="E716">
        <v>14</v>
      </c>
      <c r="F716">
        <v>0</v>
      </c>
      <c r="G716">
        <v>20260318</v>
      </c>
      <c r="H716">
        <v>20260331</v>
      </c>
      <c r="I716">
        <v>4309375.5779999997</v>
      </c>
      <c r="J716">
        <f t="shared" si="111"/>
        <v>14</v>
      </c>
      <c r="K716">
        <f t="shared" si="112"/>
        <v>307812.54128571425</v>
      </c>
      <c r="L716">
        <f t="shared" si="113"/>
        <v>0</v>
      </c>
      <c r="M716">
        <f t="shared" si="114"/>
        <v>4309375.5779999997</v>
      </c>
      <c r="N716">
        <f t="shared" si="115"/>
        <v>0</v>
      </c>
      <c r="O716">
        <f t="shared" si="116"/>
        <v>4309375.5779999997</v>
      </c>
      <c r="P716">
        <f t="shared" si="117"/>
        <v>0</v>
      </c>
      <c r="Q716">
        <f t="shared" si="118"/>
        <v>4309375.5779999997</v>
      </c>
      <c r="R716">
        <f t="shared" si="119"/>
        <v>0</v>
      </c>
      <c r="S716">
        <f t="shared" si="120"/>
        <v>4309375.5779999997</v>
      </c>
    </row>
    <row r="717" spans="1:19" x14ac:dyDescent="0.3">
      <c r="A717" t="s">
        <v>13</v>
      </c>
      <c r="B717" t="s">
        <v>24</v>
      </c>
      <c r="C717" t="s">
        <v>15</v>
      </c>
      <c r="D717">
        <v>0</v>
      </c>
      <c r="E717">
        <v>12</v>
      </c>
      <c r="F717">
        <v>0</v>
      </c>
      <c r="G717">
        <v>20260310</v>
      </c>
      <c r="H717">
        <v>20260321</v>
      </c>
      <c r="I717">
        <v>126.0548</v>
      </c>
      <c r="J717">
        <f t="shared" si="111"/>
        <v>12</v>
      </c>
      <c r="K717">
        <f t="shared" si="112"/>
        <v>10.504566666666667</v>
      </c>
      <c r="L717">
        <f t="shared" si="113"/>
        <v>0</v>
      </c>
      <c r="M717">
        <f t="shared" si="114"/>
        <v>126.0548</v>
      </c>
      <c r="N717">
        <f t="shared" si="115"/>
        <v>0</v>
      </c>
      <c r="O717">
        <f t="shared" si="116"/>
        <v>126.0548</v>
      </c>
      <c r="P717">
        <f t="shared" si="117"/>
        <v>0</v>
      </c>
      <c r="Q717">
        <f t="shared" si="118"/>
        <v>126.0548</v>
      </c>
      <c r="R717">
        <f t="shared" si="119"/>
        <v>0</v>
      </c>
      <c r="S717">
        <f t="shared" si="120"/>
        <v>126.0548</v>
      </c>
    </row>
    <row r="718" spans="1:19" x14ac:dyDescent="0.3">
      <c r="A718" t="s">
        <v>13</v>
      </c>
      <c r="B718" t="s">
        <v>24</v>
      </c>
      <c r="C718" t="s">
        <v>15</v>
      </c>
      <c r="D718">
        <v>0</v>
      </c>
      <c r="E718">
        <v>11</v>
      </c>
      <c r="F718">
        <v>0</v>
      </c>
      <c r="G718">
        <v>20260304</v>
      </c>
      <c r="H718">
        <v>20260314</v>
      </c>
      <c r="I718">
        <v>3676.2224999999999</v>
      </c>
      <c r="J718">
        <f t="shared" si="111"/>
        <v>11</v>
      </c>
      <c r="K718">
        <f t="shared" si="112"/>
        <v>334.20204545454544</v>
      </c>
      <c r="L718">
        <f t="shared" si="113"/>
        <v>0</v>
      </c>
      <c r="M718">
        <f t="shared" si="114"/>
        <v>3676.2224999999999</v>
      </c>
      <c r="N718">
        <f t="shared" si="115"/>
        <v>0</v>
      </c>
      <c r="O718">
        <f t="shared" si="116"/>
        <v>3676.2224999999999</v>
      </c>
      <c r="P718">
        <f t="shared" si="117"/>
        <v>0</v>
      </c>
      <c r="Q718">
        <f t="shared" si="118"/>
        <v>3676.2224999999999</v>
      </c>
      <c r="R718">
        <f t="shared" si="119"/>
        <v>0</v>
      </c>
      <c r="S718">
        <f t="shared" si="120"/>
        <v>3676.2224999999999</v>
      </c>
    </row>
    <row r="719" spans="1:19" x14ac:dyDescent="0.3">
      <c r="A719" t="s">
        <v>13</v>
      </c>
      <c r="B719" t="s">
        <v>24</v>
      </c>
      <c r="C719" t="s">
        <v>15</v>
      </c>
      <c r="D719">
        <v>20</v>
      </c>
      <c r="E719">
        <v>9</v>
      </c>
      <c r="F719">
        <v>0</v>
      </c>
      <c r="G719">
        <v>20260209</v>
      </c>
      <c r="H719">
        <v>20260309</v>
      </c>
      <c r="I719">
        <v>9891.7021999999997</v>
      </c>
      <c r="J719">
        <f t="shared" si="111"/>
        <v>29</v>
      </c>
      <c r="K719">
        <f t="shared" si="112"/>
        <v>341.09317931034479</v>
      </c>
      <c r="L719">
        <f t="shared" si="113"/>
        <v>9252.8946729919899</v>
      </c>
      <c r="M719">
        <f t="shared" si="114"/>
        <v>3069.8386137931029</v>
      </c>
      <c r="N719">
        <f t="shared" si="115"/>
        <v>0</v>
      </c>
      <c r="O719">
        <f t="shared" si="116"/>
        <v>12322.733286785093</v>
      </c>
      <c r="P719">
        <f t="shared" si="117"/>
        <v>7427.4819119356125</v>
      </c>
      <c r="Q719">
        <f t="shared" si="118"/>
        <v>2464.2202880643881</v>
      </c>
      <c r="R719">
        <f t="shared" si="119"/>
        <v>0</v>
      </c>
      <c r="S719">
        <f t="shared" si="120"/>
        <v>9891.7021999999997</v>
      </c>
    </row>
    <row r="720" spans="1:19" x14ac:dyDescent="0.3">
      <c r="A720" t="s">
        <v>13</v>
      </c>
      <c r="B720" t="s">
        <v>24</v>
      </c>
      <c r="C720" t="s">
        <v>15</v>
      </c>
      <c r="D720">
        <v>0</v>
      </c>
      <c r="E720">
        <v>17</v>
      </c>
      <c r="F720">
        <v>0</v>
      </c>
      <c r="G720">
        <v>20260305</v>
      </c>
      <c r="H720">
        <v>20260321</v>
      </c>
      <c r="I720">
        <v>2233.3577</v>
      </c>
      <c r="J720">
        <f t="shared" si="111"/>
        <v>17</v>
      </c>
      <c r="K720">
        <f t="shared" si="112"/>
        <v>131.37398235294117</v>
      </c>
      <c r="L720">
        <f t="shared" si="113"/>
        <v>0</v>
      </c>
      <c r="M720">
        <f t="shared" si="114"/>
        <v>2233.3577</v>
      </c>
      <c r="N720">
        <f t="shared" si="115"/>
        <v>0</v>
      </c>
      <c r="O720">
        <f t="shared" si="116"/>
        <v>2233.3577</v>
      </c>
      <c r="P720">
        <f t="shared" si="117"/>
        <v>0</v>
      </c>
      <c r="Q720">
        <f t="shared" si="118"/>
        <v>2233.3577</v>
      </c>
      <c r="R720">
        <f t="shared" si="119"/>
        <v>0</v>
      </c>
      <c r="S720">
        <f t="shared" si="120"/>
        <v>2233.3577</v>
      </c>
    </row>
    <row r="721" spans="1:19" x14ac:dyDescent="0.3">
      <c r="A721" t="s">
        <v>13</v>
      </c>
      <c r="B721" t="s">
        <v>24</v>
      </c>
      <c r="C721" t="s">
        <v>15</v>
      </c>
      <c r="D721">
        <v>0</v>
      </c>
      <c r="E721">
        <v>21</v>
      </c>
      <c r="F721">
        <v>2</v>
      </c>
      <c r="G721">
        <v>20260311</v>
      </c>
      <c r="H721">
        <v>20260402</v>
      </c>
      <c r="I721">
        <v>9996.3528000000006</v>
      </c>
      <c r="J721">
        <f t="shared" si="111"/>
        <v>23</v>
      </c>
      <c r="K721">
        <f t="shared" si="112"/>
        <v>434.6240347826087</v>
      </c>
      <c r="L721">
        <f t="shared" si="113"/>
        <v>0</v>
      </c>
      <c r="M721">
        <f t="shared" si="114"/>
        <v>9127.1047304347831</v>
      </c>
      <c r="N721">
        <f t="shared" si="115"/>
        <v>539.4705245236571</v>
      </c>
      <c r="O721">
        <f t="shared" si="116"/>
        <v>9666.5752549584395</v>
      </c>
      <c r="P721">
        <f t="shared" si="117"/>
        <v>0</v>
      </c>
      <c r="Q721">
        <f t="shared" si="118"/>
        <v>9438.4781084877886</v>
      </c>
      <c r="R721">
        <f t="shared" si="119"/>
        <v>557.87469151221273</v>
      </c>
      <c r="S721">
        <f t="shared" si="120"/>
        <v>9996.3528000000006</v>
      </c>
    </row>
    <row r="722" spans="1:19" x14ac:dyDescent="0.3">
      <c r="A722" t="s">
        <v>13</v>
      </c>
      <c r="B722" t="s">
        <v>24</v>
      </c>
      <c r="C722" t="s">
        <v>15</v>
      </c>
      <c r="D722">
        <v>24</v>
      </c>
      <c r="E722">
        <v>12</v>
      </c>
      <c r="F722">
        <v>0</v>
      </c>
      <c r="G722">
        <v>20260205</v>
      </c>
      <c r="H722">
        <v>20260312</v>
      </c>
      <c r="I722">
        <v>1478.0409</v>
      </c>
      <c r="J722">
        <f t="shared" si="111"/>
        <v>36</v>
      </c>
      <c r="K722">
        <f t="shared" si="112"/>
        <v>41.056691666666666</v>
      </c>
      <c r="L722">
        <f t="shared" si="113"/>
        <v>1336.5025159914819</v>
      </c>
      <c r="M722">
        <f t="shared" si="114"/>
        <v>492.68029999999999</v>
      </c>
      <c r="N722">
        <f t="shared" si="115"/>
        <v>0</v>
      </c>
      <c r="O722">
        <f t="shared" si="116"/>
        <v>1829.1828159914819</v>
      </c>
      <c r="P722">
        <f t="shared" si="117"/>
        <v>1079.938737844295</v>
      </c>
      <c r="Q722">
        <f t="shared" si="118"/>
        <v>398.10216215570495</v>
      </c>
      <c r="R722">
        <f t="shared" si="119"/>
        <v>0</v>
      </c>
      <c r="S722">
        <f t="shared" si="120"/>
        <v>1478.0409</v>
      </c>
    </row>
    <row r="723" spans="1:19" x14ac:dyDescent="0.3">
      <c r="A723" t="s">
        <v>13</v>
      </c>
      <c r="B723" t="s">
        <v>24</v>
      </c>
      <c r="C723" t="s">
        <v>15</v>
      </c>
      <c r="D723">
        <v>25</v>
      </c>
      <c r="E723">
        <v>10</v>
      </c>
      <c r="F723">
        <v>0</v>
      </c>
      <c r="G723">
        <v>20260204</v>
      </c>
      <c r="H723">
        <v>20260310</v>
      </c>
      <c r="I723">
        <v>6082.5054</v>
      </c>
      <c r="J723">
        <f t="shared" si="111"/>
        <v>35</v>
      </c>
      <c r="K723">
        <f t="shared" si="112"/>
        <v>173.78586857142858</v>
      </c>
      <c r="L723">
        <f t="shared" si="113"/>
        <v>5892.8997818027055</v>
      </c>
      <c r="M723">
        <f t="shared" si="114"/>
        <v>1737.8586857142859</v>
      </c>
      <c r="N723">
        <f t="shared" si="115"/>
        <v>0</v>
      </c>
      <c r="O723">
        <f t="shared" si="116"/>
        <v>7630.758467516991</v>
      </c>
      <c r="P723">
        <f t="shared" si="117"/>
        <v>4697.2519045196696</v>
      </c>
      <c r="Q723">
        <f t="shared" si="118"/>
        <v>1385.2534954803311</v>
      </c>
      <c r="R723">
        <f t="shared" si="119"/>
        <v>0</v>
      </c>
      <c r="S723">
        <f t="shared" si="120"/>
        <v>6082.5054000000009</v>
      </c>
    </row>
    <row r="724" spans="1:19" x14ac:dyDescent="0.3">
      <c r="A724" t="s">
        <v>13</v>
      </c>
      <c r="B724" t="s">
        <v>37</v>
      </c>
      <c r="C724" t="s">
        <v>15</v>
      </c>
      <c r="D724">
        <v>0</v>
      </c>
      <c r="E724">
        <v>28</v>
      </c>
      <c r="F724">
        <v>10</v>
      </c>
      <c r="G724">
        <v>20260304</v>
      </c>
      <c r="H724">
        <v>20260410</v>
      </c>
      <c r="I724">
        <v>5869.6072000000004</v>
      </c>
      <c r="J724">
        <f t="shared" si="111"/>
        <v>38</v>
      </c>
      <c r="K724">
        <f t="shared" si="112"/>
        <v>154.46334736842107</v>
      </c>
      <c r="L724">
        <f t="shared" si="113"/>
        <v>0</v>
      </c>
      <c r="M724">
        <f t="shared" si="114"/>
        <v>4324.9737263157895</v>
      </c>
      <c r="N724">
        <f t="shared" si="115"/>
        <v>958.62649503727243</v>
      </c>
      <c r="O724">
        <f t="shared" si="116"/>
        <v>5283.6002213530619</v>
      </c>
      <c r="P724">
        <f t="shared" si="117"/>
        <v>0</v>
      </c>
      <c r="Q724">
        <f t="shared" si="118"/>
        <v>4804.6589182125872</v>
      </c>
      <c r="R724">
        <f t="shared" si="119"/>
        <v>1064.9482817874132</v>
      </c>
      <c r="S724">
        <f t="shared" si="120"/>
        <v>5869.6072000000004</v>
      </c>
    </row>
    <row r="725" spans="1:19" x14ac:dyDescent="0.3">
      <c r="A725" t="s">
        <v>13</v>
      </c>
      <c r="B725" t="s">
        <v>24</v>
      </c>
      <c r="C725" t="s">
        <v>15</v>
      </c>
      <c r="D725">
        <v>0</v>
      </c>
      <c r="E725">
        <v>23</v>
      </c>
      <c r="F725">
        <v>0</v>
      </c>
      <c r="G725">
        <v>20260302</v>
      </c>
      <c r="H725">
        <v>20260324</v>
      </c>
      <c r="I725">
        <v>18183.129000000001</v>
      </c>
      <c r="J725">
        <f t="shared" si="111"/>
        <v>23</v>
      </c>
      <c r="K725">
        <f t="shared" si="112"/>
        <v>790.57082608695657</v>
      </c>
      <c r="L725">
        <f t="shared" si="113"/>
        <v>0</v>
      </c>
      <c r="M725">
        <f t="shared" si="114"/>
        <v>18183.129000000001</v>
      </c>
      <c r="N725">
        <f t="shared" si="115"/>
        <v>0</v>
      </c>
      <c r="O725">
        <f t="shared" si="116"/>
        <v>18183.129000000001</v>
      </c>
      <c r="P725">
        <f t="shared" si="117"/>
        <v>0</v>
      </c>
      <c r="Q725">
        <f t="shared" si="118"/>
        <v>18183.129000000001</v>
      </c>
      <c r="R725">
        <f t="shared" si="119"/>
        <v>0</v>
      </c>
      <c r="S725">
        <f t="shared" si="120"/>
        <v>18183.129000000001</v>
      </c>
    </row>
    <row r="726" spans="1:19" x14ac:dyDescent="0.3">
      <c r="A726" t="s">
        <v>13</v>
      </c>
      <c r="B726" t="s">
        <v>24</v>
      </c>
      <c r="C726" t="s">
        <v>14</v>
      </c>
      <c r="D726">
        <v>19</v>
      </c>
      <c r="E726">
        <v>1</v>
      </c>
      <c r="F726">
        <v>0</v>
      </c>
      <c r="G726">
        <v>20260210</v>
      </c>
      <c r="H726">
        <v>20260301</v>
      </c>
      <c r="I726">
        <v>39689.601000000002</v>
      </c>
      <c r="J726">
        <f t="shared" si="111"/>
        <v>20</v>
      </c>
      <c r="K726">
        <f t="shared" si="112"/>
        <v>1984.4800500000001</v>
      </c>
      <c r="L726">
        <f t="shared" si="113"/>
        <v>51141.672414584209</v>
      </c>
      <c r="M726">
        <f t="shared" si="114"/>
        <v>1984.4800500000001</v>
      </c>
      <c r="N726">
        <f t="shared" si="115"/>
        <v>0</v>
      </c>
      <c r="O726">
        <f t="shared" si="116"/>
        <v>53126.152464584207</v>
      </c>
      <c r="P726">
        <f t="shared" si="117"/>
        <v>38207.031347897559</v>
      </c>
      <c r="Q726">
        <f t="shared" si="118"/>
        <v>1482.5696521024452</v>
      </c>
      <c r="R726">
        <f t="shared" si="119"/>
        <v>0</v>
      </c>
      <c r="S726">
        <f t="shared" si="120"/>
        <v>39689.601000000002</v>
      </c>
    </row>
    <row r="727" spans="1:19" x14ac:dyDescent="0.3">
      <c r="A727" t="s">
        <v>13</v>
      </c>
      <c r="B727" t="s">
        <v>24</v>
      </c>
      <c r="C727" t="s">
        <v>15</v>
      </c>
      <c r="D727">
        <v>22</v>
      </c>
      <c r="E727">
        <v>10</v>
      </c>
      <c r="F727">
        <v>0</v>
      </c>
      <c r="G727">
        <v>20260207</v>
      </c>
      <c r="H727">
        <v>20260310</v>
      </c>
      <c r="I727">
        <v>5704.4832999999999</v>
      </c>
      <c r="J727">
        <f t="shared" si="111"/>
        <v>32</v>
      </c>
      <c r="K727">
        <f t="shared" si="112"/>
        <v>178.265103125</v>
      </c>
      <c r="L727">
        <f t="shared" si="113"/>
        <v>5319.4116899751798</v>
      </c>
      <c r="M727">
        <f t="shared" si="114"/>
        <v>1782.65103125</v>
      </c>
      <c r="N727">
        <f t="shared" si="115"/>
        <v>0</v>
      </c>
      <c r="O727">
        <f t="shared" si="116"/>
        <v>7102.0627212251802</v>
      </c>
      <c r="P727">
        <f t="shared" si="117"/>
        <v>4272.6312541004208</v>
      </c>
      <c r="Q727">
        <f t="shared" si="118"/>
        <v>1431.8520458995786</v>
      </c>
      <c r="R727">
        <f t="shared" si="119"/>
        <v>0</v>
      </c>
      <c r="S727">
        <f t="shared" si="120"/>
        <v>5704.4832999999999</v>
      </c>
    </row>
    <row r="728" spans="1:19" x14ac:dyDescent="0.3">
      <c r="A728" t="s">
        <v>13</v>
      </c>
      <c r="B728" t="s">
        <v>24</v>
      </c>
      <c r="C728" t="s">
        <v>14</v>
      </c>
      <c r="D728">
        <v>0</v>
      </c>
      <c r="E728">
        <v>24</v>
      </c>
      <c r="F728">
        <v>2</v>
      </c>
      <c r="G728">
        <v>20260308</v>
      </c>
      <c r="H728">
        <v>20260402</v>
      </c>
      <c r="I728">
        <v>855.68219999999997</v>
      </c>
      <c r="J728">
        <f t="shared" si="111"/>
        <v>26</v>
      </c>
      <c r="K728">
        <f t="shared" si="112"/>
        <v>32.910853846153842</v>
      </c>
      <c r="L728">
        <f t="shared" si="113"/>
        <v>0</v>
      </c>
      <c r="M728">
        <f t="shared" si="114"/>
        <v>789.8604923076922</v>
      </c>
      <c r="N728">
        <f t="shared" si="115"/>
        <v>40.85010069861066</v>
      </c>
      <c r="O728">
        <f t="shared" si="116"/>
        <v>830.71059300630282</v>
      </c>
      <c r="P728">
        <f t="shared" si="117"/>
        <v>0</v>
      </c>
      <c r="Q728">
        <f t="shared" si="118"/>
        <v>813.60412331446116</v>
      </c>
      <c r="R728">
        <f t="shared" si="119"/>
        <v>42.078076685538896</v>
      </c>
      <c r="S728">
        <f t="shared" si="120"/>
        <v>855.68220000000008</v>
      </c>
    </row>
    <row r="729" spans="1:19" x14ac:dyDescent="0.3">
      <c r="A729" t="s">
        <v>13</v>
      </c>
      <c r="B729" t="s">
        <v>37</v>
      </c>
      <c r="C729" t="s">
        <v>15</v>
      </c>
      <c r="D729">
        <v>0</v>
      </c>
      <c r="E729">
        <v>22</v>
      </c>
      <c r="F729">
        <v>14</v>
      </c>
      <c r="G729">
        <v>20260310</v>
      </c>
      <c r="H729">
        <v>20260414</v>
      </c>
      <c r="I729">
        <v>687.78319999999997</v>
      </c>
      <c r="J729">
        <f t="shared" si="111"/>
        <v>36</v>
      </c>
      <c r="K729">
        <f t="shared" si="112"/>
        <v>19.105088888888886</v>
      </c>
      <c r="L729">
        <f t="shared" si="113"/>
        <v>0</v>
      </c>
      <c r="M729">
        <f t="shared" si="114"/>
        <v>420.31195555555553</v>
      </c>
      <c r="N729">
        <f t="shared" si="115"/>
        <v>165.99732295938543</v>
      </c>
      <c r="O729">
        <f t="shared" si="116"/>
        <v>586.30927851494096</v>
      </c>
      <c r="P729">
        <f t="shared" si="117"/>
        <v>0</v>
      </c>
      <c r="Q729">
        <f t="shared" si="118"/>
        <v>493.05633116104781</v>
      </c>
      <c r="R729">
        <f t="shared" si="119"/>
        <v>194.72686883895213</v>
      </c>
      <c r="S729">
        <f t="shared" si="120"/>
        <v>687.78319999999997</v>
      </c>
    </row>
    <row r="730" spans="1:19" x14ac:dyDescent="0.3">
      <c r="A730" t="s">
        <v>13</v>
      </c>
      <c r="B730" t="s">
        <v>24</v>
      </c>
      <c r="C730" t="s">
        <v>15</v>
      </c>
      <c r="D730">
        <v>1</v>
      </c>
      <c r="E730">
        <v>31</v>
      </c>
      <c r="F730">
        <v>3</v>
      </c>
      <c r="G730">
        <v>20260228</v>
      </c>
      <c r="H730">
        <v>20260403</v>
      </c>
      <c r="I730">
        <v>42380.9349</v>
      </c>
      <c r="J730">
        <f t="shared" si="111"/>
        <v>35</v>
      </c>
      <c r="K730">
        <f t="shared" si="112"/>
        <v>1210.8838542857143</v>
      </c>
      <c r="L730">
        <f t="shared" si="113"/>
        <v>1642.3929654040564</v>
      </c>
      <c r="M730">
        <f t="shared" si="114"/>
        <v>37537.399482857145</v>
      </c>
      <c r="N730">
        <f t="shared" si="115"/>
        <v>2254.4869671168062</v>
      </c>
      <c r="O730">
        <f t="shared" si="116"/>
        <v>41434.279415378005</v>
      </c>
      <c r="P730">
        <f t="shared" si="117"/>
        <v>1679.9169752466721</v>
      </c>
      <c r="Q730">
        <f t="shared" si="118"/>
        <v>38395.02234007293</v>
      </c>
      <c r="R730">
        <f t="shared" si="119"/>
        <v>2305.9955846804032</v>
      </c>
      <c r="S730">
        <f t="shared" si="120"/>
        <v>42380.9349</v>
      </c>
    </row>
    <row r="731" spans="1:19" x14ac:dyDescent="0.3">
      <c r="A731" t="s">
        <v>13</v>
      </c>
      <c r="B731" t="s">
        <v>37</v>
      </c>
      <c r="C731" t="s">
        <v>15</v>
      </c>
      <c r="D731">
        <v>3</v>
      </c>
      <c r="E731">
        <v>31</v>
      </c>
      <c r="F731">
        <v>3</v>
      </c>
      <c r="G731">
        <v>20260226</v>
      </c>
      <c r="H731">
        <v>20260403</v>
      </c>
      <c r="I731">
        <v>2434.0315999999998</v>
      </c>
      <c r="J731">
        <f t="shared" si="111"/>
        <v>37</v>
      </c>
      <c r="K731">
        <f t="shared" si="112"/>
        <v>65.784637837837835</v>
      </c>
      <c r="L731">
        <f t="shared" si="113"/>
        <v>267.68271630870584</v>
      </c>
      <c r="M731">
        <f t="shared" si="114"/>
        <v>2039.3237729729728</v>
      </c>
      <c r="N731">
        <f t="shared" si="115"/>
        <v>122.4812834996393</v>
      </c>
      <c r="O731">
        <f t="shared" si="116"/>
        <v>2429.4877727813177</v>
      </c>
      <c r="P731">
        <f t="shared" si="117"/>
        <v>268.18335847120653</v>
      </c>
      <c r="Q731">
        <f t="shared" si="118"/>
        <v>2043.1378834908996</v>
      </c>
      <c r="R731">
        <f t="shared" si="119"/>
        <v>122.71035803789377</v>
      </c>
      <c r="S731">
        <f t="shared" si="120"/>
        <v>2434.0316000000003</v>
      </c>
    </row>
    <row r="732" spans="1:19" x14ac:dyDescent="0.3">
      <c r="A732" t="s">
        <v>13</v>
      </c>
      <c r="B732" t="s">
        <v>24</v>
      </c>
      <c r="C732" t="s">
        <v>15</v>
      </c>
      <c r="D732">
        <v>3</v>
      </c>
      <c r="E732">
        <v>31</v>
      </c>
      <c r="F732">
        <v>3</v>
      </c>
      <c r="G732">
        <v>20260226</v>
      </c>
      <c r="H732">
        <v>20260403</v>
      </c>
      <c r="I732">
        <v>27585.691900000002</v>
      </c>
      <c r="J732">
        <f t="shared" si="111"/>
        <v>37</v>
      </c>
      <c r="K732">
        <f t="shared" si="112"/>
        <v>745.5592405405406</v>
      </c>
      <c r="L732">
        <f t="shared" si="113"/>
        <v>3033.7374991545162</v>
      </c>
      <c r="M732">
        <f t="shared" si="114"/>
        <v>23112.336456756759</v>
      </c>
      <c r="N732">
        <f t="shared" si="115"/>
        <v>1388.1212348013905</v>
      </c>
      <c r="O732">
        <f t="shared" si="116"/>
        <v>27534.195190712664</v>
      </c>
      <c r="P732">
        <f t="shared" si="117"/>
        <v>3039.4114437519875</v>
      </c>
      <c r="Q732">
        <f t="shared" si="118"/>
        <v>23155.563043305629</v>
      </c>
      <c r="R732">
        <f t="shared" si="119"/>
        <v>1390.7174129423902</v>
      </c>
      <c r="S732">
        <f t="shared" si="120"/>
        <v>27585.691900000009</v>
      </c>
    </row>
    <row r="733" spans="1:19" x14ac:dyDescent="0.3">
      <c r="A733" t="s">
        <v>13</v>
      </c>
      <c r="B733" t="s">
        <v>24</v>
      </c>
      <c r="C733" t="s">
        <v>15</v>
      </c>
      <c r="D733">
        <v>17</v>
      </c>
      <c r="E733">
        <v>5</v>
      </c>
      <c r="F733">
        <v>0</v>
      </c>
      <c r="G733">
        <v>20260212</v>
      </c>
      <c r="H733">
        <v>20260305</v>
      </c>
      <c r="I733">
        <v>17329.994200000001</v>
      </c>
      <c r="J733">
        <f t="shared" si="111"/>
        <v>22</v>
      </c>
      <c r="K733">
        <f t="shared" si="112"/>
        <v>787.72700909090918</v>
      </c>
      <c r="L733">
        <f t="shared" si="113"/>
        <v>18163.487765388192</v>
      </c>
      <c r="M733">
        <f t="shared" si="114"/>
        <v>3938.6350454545459</v>
      </c>
      <c r="N733">
        <f t="shared" si="115"/>
        <v>0</v>
      </c>
      <c r="O733">
        <f t="shared" si="116"/>
        <v>22102.122810842739</v>
      </c>
      <c r="P733">
        <f t="shared" si="117"/>
        <v>14241.760410069239</v>
      </c>
      <c r="Q733">
        <f t="shared" si="118"/>
        <v>3088.2337899307622</v>
      </c>
      <c r="R733">
        <f t="shared" si="119"/>
        <v>0</v>
      </c>
      <c r="S733">
        <f t="shared" si="120"/>
        <v>17329.994200000001</v>
      </c>
    </row>
    <row r="734" spans="1:19" x14ac:dyDescent="0.3">
      <c r="A734" t="s">
        <v>13</v>
      </c>
      <c r="B734" t="s">
        <v>24</v>
      </c>
      <c r="C734" t="s">
        <v>15</v>
      </c>
      <c r="D734">
        <v>28</v>
      </c>
      <c r="E734">
        <v>3</v>
      </c>
      <c r="F734">
        <v>0</v>
      </c>
      <c r="G734">
        <v>20260130</v>
      </c>
      <c r="H734">
        <v>20260303</v>
      </c>
      <c r="I734">
        <v>23799.7376</v>
      </c>
      <c r="J734">
        <f t="shared" si="111"/>
        <v>31</v>
      </c>
      <c r="K734">
        <f t="shared" si="112"/>
        <v>767.73347096774194</v>
      </c>
      <c r="L734">
        <f t="shared" si="113"/>
        <v>29157.017274345348</v>
      </c>
      <c r="M734">
        <f t="shared" si="114"/>
        <v>2303.2004129032257</v>
      </c>
      <c r="N734">
        <f t="shared" si="115"/>
        <v>0</v>
      </c>
      <c r="O734">
        <f t="shared" si="116"/>
        <v>31460.217687248572</v>
      </c>
      <c r="P734">
        <f t="shared" si="117"/>
        <v>22057.360417100652</v>
      </c>
      <c r="Q734">
        <f t="shared" si="118"/>
        <v>1742.3771828993486</v>
      </c>
      <c r="R734">
        <f t="shared" si="119"/>
        <v>0</v>
      </c>
      <c r="S734">
        <f t="shared" si="120"/>
        <v>23799.7376</v>
      </c>
    </row>
    <row r="735" spans="1:19" x14ac:dyDescent="0.3">
      <c r="A735" t="s">
        <v>13</v>
      </c>
      <c r="B735" t="s">
        <v>24</v>
      </c>
      <c r="C735" t="s">
        <v>14</v>
      </c>
      <c r="D735">
        <v>0</v>
      </c>
      <c r="E735">
        <v>14</v>
      </c>
      <c r="F735">
        <v>0</v>
      </c>
      <c r="G735">
        <v>20260303</v>
      </c>
      <c r="H735">
        <v>20260316</v>
      </c>
      <c r="I735">
        <v>84.469399999999993</v>
      </c>
      <c r="J735">
        <f t="shared" si="111"/>
        <v>14</v>
      </c>
      <c r="K735">
        <f t="shared" si="112"/>
        <v>6.0335285714285707</v>
      </c>
      <c r="L735">
        <f t="shared" si="113"/>
        <v>0</v>
      </c>
      <c r="M735">
        <f t="shared" si="114"/>
        <v>84.469399999999993</v>
      </c>
      <c r="N735">
        <f t="shared" si="115"/>
        <v>0</v>
      </c>
      <c r="O735">
        <f t="shared" si="116"/>
        <v>84.469399999999993</v>
      </c>
      <c r="P735">
        <f t="shared" si="117"/>
        <v>0</v>
      </c>
      <c r="Q735">
        <f t="shared" si="118"/>
        <v>84.469399999999993</v>
      </c>
      <c r="R735">
        <f t="shared" si="119"/>
        <v>0</v>
      </c>
      <c r="S735">
        <f t="shared" si="120"/>
        <v>84.469399999999993</v>
      </c>
    </row>
    <row r="736" spans="1:19" x14ac:dyDescent="0.3">
      <c r="A736" t="s">
        <v>13</v>
      </c>
      <c r="B736" t="s">
        <v>24</v>
      </c>
      <c r="C736" t="s">
        <v>15</v>
      </c>
      <c r="D736">
        <v>6</v>
      </c>
      <c r="E736">
        <v>1</v>
      </c>
      <c r="F736">
        <v>0</v>
      </c>
      <c r="G736">
        <v>20260223</v>
      </c>
      <c r="H736">
        <v>20260301</v>
      </c>
      <c r="I736">
        <v>1482.0530000000001</v>
      </c>
      <c r="J736">
        <f t="shared" si="111"/>
        <v>7</v>
      </c>
      <c r="K736">
        <f t="shared" si="112"/>
        <v>211.72185714285715</v>
      </c>
      <c r="L736">
        <f t="shared" si="113"/>
        <v>1723.0248180928954</v>
      </c>
      <c r="M736">
        <f t="shared" si="114"/>
        <v>211.72185714285715</v>
      </c>
      <c r="N736">
        <f t="shared" si="115"/>
        <v>0</v>
      </c>
      <c r="O736">
        <f t="shared" si="116"/>
        <v>1934.7466752357525</v>
      </c>
      <c r="P736">
        <f t="shared" si="117"/>
        <v>1319.8700033521791</v>
      </c>
      <c r="Q736">
        <f t="shared" si="118"/>
        <v>162.182996647821</v>
      </c>
      <c r="R736">
        <f t="shared" si="119"/>
        <v>0</v>
      </c>
      <c r="S736">
        <f t="shared" si="120"/>
        <v>1482.0530000000001</v>
      </c>
    </row>
    <row r="737" spans="1:19" x14ac:dyDescent="0.3">
      <c r="A737" t="s">
        <v>13</v>
      </c>
      <c r="B737" t="s">
        <v>24</v>
      </c>
      <c r="C737" t="s">
        <v>15</v>
      </c>
      <c r="D737">
        <v>16</v>
      </c>
      <c r="E737">
        <v>4</v>
      </c>
      <c r="F737">
        <v>0</v>
      </c>
      <c r="G737">
        <v>20260213</v>
      </c>
      <c r="H737">
        <v>20260304</v>
      </c>
      <c r="I737">
        <v>3929.5713999999998</v>
      </c>
      <c r="J737">
        <f t="shared" si="111"/>
        <v>20</v>
      </c>
      <c r="K737">
        <f t="shared" si="112"/>
        <v>196.47856999999999</v>
      </c>
      <c r="L737">
        <f t="shared" si="113"/>
        <v>4263.9269829690129</v>
      </c>
      <c r="M737">
        <f t="shared" si="114"/>
        <v>785.91427999999996</v>
      </c>
      <c r="N737">
        <f t="shared" si="115"/>
        <v>0</v>
      </c>
      <c r="O737">
        <f t="shared" si="116"/>
        <v>5049.8412629690129</v>
      </c>
      <c r="P737">
        <f t="shared" si="117"/>
        <v>3318.0063790979671</v>
      </c>
      <c r="Q737">
        <f t="shared" si="118"/>
        <v>611.56502090203264</v>
      </c>
      <c r="R737">
        <f t="shared" si="119"/>
        <v>0</v>
      </c>
      <c r="S737">
        <f t="shared" si="120"/>
        <v>3929.5713999999998</v>
      </c>
    </row>
    <row r="738" spans="1:19" x14ac:dyDescent="0.3">
      <c r="A738" t="s">
        <v>13</v>
      </c>
      <c r="B738" t="s">
        <v>24</v>
      </c>
      <c r="C738" t="s">
        <v>15</v>
      </c>
      <c r="D738">
        <v>28</v>
      </c>
      <c r="E738">
        <v>1</v>
      </c>
      <c r="F738">
        <v>0</v>
      </c>
      <c r="G738">
        <v>20260126</v>
      </c>
      <c r="H738">
        <v>20260301</v>
      </c>
      <c r="I738">
        <v>3457.2473</v>
      </c>
      <c r="J738">
        <f t="shared" si="111"/>
        <v>29</v>
      </c>
      <c r="K738">
        <f t="shared" si="112"/>
        <v>119.21542413793104</v>
      </c>
      <c r="L738">
        <f t="shared" si="113"/>
        <v>4527.5688925956874</v>
      </c>
      <c r="M738">
        <f t="shared" si="114"/>
        <v>119.21542413793104</v>
      </c>
      <c r="N738">
        <f t="shared" si="115"/>
        <v>0</v>
      </c>
      <c r="O738">
        <f t="shared" si="116"/>
        <v>4646.7843167336187</v>
      </c>
      <c r="P738">
        <f t="shared" si="117"/>
        <v>3368.5500041657624</v>
      </c>
      <c r="Q738">
        <f t="shared" si="118"/>
        <v>88.697295834237494</v>
      </c>
      <c r="R738">
        <f t="shared" si="119"/>
        <v>0</v>
      </c>
      <c r="S738">
        <f t="shared" si="120"/>
        <v>3457.2473</v>
      </c>
    </row>
    <row r="739" spans="1:19" x14ac:dyDescent="0.3">
      <c r="A739" t="s">
        <v>13</v>
      </c>
      <c r="B739" t="s">
        <v>24</v>
      </c>
      <c r="C739" t="s">
        <v>15</v>
      </c>
      <c r="D739">
        <v>9</v>
      </c>
      <c r="E739">
        <v>3</v>
      </c>
      <c r="F739">
        <v>0</v>
      </c>
      <c r="G739">
        <v>20260220</v>
      </c>
      <c r="H739">
        <v>20260303</v>
      </c>
      <c r="I739">
        <v>1184.5909999999999</v>
      </c>
      <c r="J739">
        <f t="shared" si="111"/>
        <v>12</v>
      </c>
      <c r="K739">
        <f t="shared" si="112"/>
        <v>98.715916666666658</v>
      </c>
      <c r="L739">
        <f t="shared" si="113"/>
        <v>1205.0478159372815</v>
      </c>
      <c r="M739">
        <f t="shared" si="114"/>
        <v>296.14774999999997</v>
      </c>
      <c r="N739">
        <f t="shared" si="115"/>
        <v>0</v>
      </c>
      <c r="O739">
        <f t="shared" si="116"/>
        <v>1501.1955659372816</v>
      </c>
      <c r="P739">
        <f t="shared" si="117"/>
        <v>950.90128809279952</v>
      </c>
      <c r="Q739">
        <f t="shared" si="118"/>
        <v>233.68971190720035</v>
      </c>
      <c r="R739">
        <f t="shared" si="119"/>
        <v>0</v>
      </c>
      <c r="S739">
        <f t="shared" si="120"/>
        <v>1184.5909999999999</v>
      </c>
    </row>
    <row r="740" spans="1:19" x14ac:dyDescent="0.3">
      <c r="A740" t="s">
        <v>13</v>
      </c>
      <c r="B740" t="s">
        <v>24</v>
      </c>
      <c r="C740" t="s">
        <v>15</v>
      </c>
      <c r="D740">
        <v>28</v>
      </c>
      <c r="E740">
        <v>5</v>
      </c>
      <c r="F740">
        <v>0</v>
      </c>
      <c r="G740">
        <v>20260130</v>
      </c>
      <c r="H740">
        <v>20260305</v>
      </c>
      <c r="I740">
        <v>6795.9650000000001</v>
      </c>
      <c r="J740">
        <f t="shared" si="111"/>
        <v>33</v>
      </c>
      <c r="K740">
        <f t="shared" si="112"/>
        <v>205.93833333333333</v>
      </c>
      <c r="L740">
        <f t="shared" si="113"/>
        <v>7821.1355496602873</v>
      </c>
      <c r="M740">
        <f t="shared" si="114"/>
        <v>1029.6916666666666</v>
      </c>
      <c r="N740">
        <f t="shared" si="115"/>
        <v>0</v>
      </c>
      <c r="O740">
        <f t="shared" si="116"/>
        <v>8850.8272163269539</v>
      </c>
      <c r="P740">
        <f t="shared" si="117"/>
        <v>6005.3328526963314</v>
      </c>
      <c r="Q740">
        <f t="shared" si="118"/>
        <v>790.63214730366883</v>
      </c>
      <c r="R740">
        <f t="shared" si="119"/>
        <v>0</v>
      </c>
      <c r="S740">
        <f t="shared" si="120"/>
        <v>6795.9650000000001</v>
      </c>
    </row>
    <row r="741" spans="1:19" x14ac:dyDescent="0.3">
      <c r="A741" t="s">
        <v>13</v>
      </c>
      <c r="B741" t="s">
        <v>24</v>
      </c>
      <c r="C741" t="s">
        <v>15</v>
      </c>
      <c r="D741">
        <v>0</v>
      </c>
      <c r="E741">
        <v>19</v>
      </c>
      <c r="F741">
        <v>6</v>
      </c>
      <c r="G741">
        <v>20260313</v>
      </c>
      <c r="H741">
        <v>20260406</v>
      </c>
      <c r="I741">
        <v>16606.425999999999</v>
      </c>
      <c r="J741">
        <f t="shared" si="111"/>
        <v>25</v>
      </c>
      <c r="K741">
        <f t="shared" si="112"/>
        <v>664.25703999999996</v>
      </c>
      <c r="L741">
        <f t="shared" si="113"/>
        <v>0</v>
      </c>
      <c r="M741">
        <f t="shared" si="114"/>
        <v>12620.883759999999</v>
      </c>
      <c r="N741">
        <f t="shared" si="115"/>
        <v>2473.4970809879674</v>
      </c>
      <c r="O741">
        <f t="shared" si="116"/>
        <v>15094.380840987966</v>
      </c>
      <c r="P741">
        <f t="shared" si="117"/>
        <v>0</v>
      </c>
      <c r="Q741">
        <f t="shared" si="118"/>
        <v>13885.151992847404</v>
      </c>
      <c r="R741">
        <f t="shared" si="119"/>
        <v>2721.2740071525955</v>
      </c>
      <c r="S741">
        <f t="shared" si="120"/>
        <v>16606.425999999999</v>
      </c>
    </row>
    <row r="742" spans="1:19" x14ac:dyDescent="0.3">
      <c r="A742" t="s">
        <v>13</v>
      </c>
      <c r="B742" t="s">
        <v>24</v>
      </c>
      <c r="C742" t="s">
        <v>14</v>
      </c>
      <c r="D742">
        <v>0</v>
      </c>
      <c r="E742">
        <v>13</v>
      </c>
      <c r="F742">
        <v>1</v>
      </c>
      <c r="G742">
        <v>20260319</v>
      </c>
      <c r="H742">
        <v>20260401</v>
      </c>
      <c r="I742">
        <v>2859.4917</v>
      </c>
      <c r="J742">
        <f t="shared" si="111"/>
        <v>14</v>
      </c>
      <c r="K742">
        <f t="shared" si="112"/>
        <v>204.24940714285714</v>
      </c>
      <c r="L742">
        <f t="shared" si="113"/>
        <v>0</v>
      </c>
      <c r="M742">
        <f t="shared" si="114"/>
        <v>2655.2422928571427</v>
      </c>
      <c r="N742">
        <f t="shared" si="115"/>
        <v>126.76074720547437</v>
      </c>
      <c r="O742">
        <f t="shared" si="116"/>
        <v>2782.0030400626169</v>
      </c>
      <c r="P742">
        <f t="shared" si="117"/>
        <v>0</v>
      </c>
      <c r="Q742">
        <f t="shared" si="118"/>
        <v>2729.2002160224365</v>
      </c>
      <c r="R742">
        <f t="shared" si="119"/>
        <v>130.29148397756379</v>
      </c>
      <c r="S742">
        <f t="shared" si="120"/>
        <v>2859.4917000000005</v>
      </c>
    </row>
    <row r="743" spans="1:19" x14ac:dyDescent="0.3">
      <c r="A743" t="s">
        <v>13</v>
      </c>
      <c r="B743" t="s">
        <v>37</v>
      </c>
      <c r="C743" t="s">
        <v>15</v>
      </c>
      <c r="D743">
        <v>0</v>
      </c>
      <c r="E743">
        <v>1</v>
      </c>
      <c r="F743">
        <v>15</v>
      </c>
      <c r="G743">
        <v>20260331</v>
      </c>
      <c r="H743">
        <v>20260415</v>
      </c>
      <c r="I743">
        <v>789.80650000000003</v>
      </c>
      <c r="J743">
        <f t="shared" si="111"/>
        <v>16</v>
      </c>
      <c r="K743">
        <f t="shared" si="112"/>
        <v>49.362906250000002</v>
      </c>
      <c r="L743">
        <f t="shared" si="113"/>
        <v>0</v>
      </c>
      <c r="M743">
        <f t="shared" si="114"/>
        <v>49.362906250000002</v>
      </c>
      <c r="N743">
        <f t="shared" si="115"/>
        <v>459.53221857632741</v>
      </c>
      <c r="O743">
        <f t="shared" si="116"/>
        <v>508.89512482632739</v>
      </c>
      <c r="P743">
        <f t="shared" si="117"/>
        <v>0</v>
      </c>
      <c r="Q743">
        <f t="shared" si="118"/>
        <v>76.611353328342304</v>
      </c>
      <c r="R743">
        <f t="shared" si="119"/>
        <v>713.19514667165777</v>
      </c>
      <c r="S743">
        <f t="shared" si="120"/>
        <v>789.80650000000003</v>
      </c>
    </row>
    <row r="744" spans="1:19" x14ac:dyDescent="0.3">
      <c r="A744" t="s">
        <v>13</v>
      </c>
      <c r="B744" t="s">
        <v>37</v>
      </c>
      <c r="C744" t="s">
        <v>14</v>
      </c>
      <c r="D744">
        <v>0</v>
      </c>
      <c r="E744">
        <v>8</v>
      </c>
      <c r="F744">
        <v>1</v>
      </c>
      <c r="G744">
        <v>20260324</v>
      </c>
      <c r="H744">
        <v>20260401</v>
      </c>
      <c r="I744">
        <v>775.3895</v>
      </c>
      <c r="J744">
        <f t="shared" si="111"/>
        <v>9</v>
      </c>
      <c r="K744">
        <f t="shared" si="112"/>
        <v>86.154388888888889</v>
      </c>
      <c r="L744">
        <f t="shared" si="113"/>
        <v>0</v>
      </c>
      <c r="M744">
        <f t="shared" si="114"/>
        <v>689.23511111111111</v>
      </c>
      <c r="N744">
        <f t="shared" si="115"/>
        <v>53.468917552099221</v>
      </c>
      <c r="O744">
        <f t="shared" si="116"/>
        <v>742.70402866321035</v>
      </c>
      <c r="P744">
        <f t="shared" si="117"/>
        <v>0</v>
      </c>
      <c r="Q744">
        <f t="shared" si="118"/>
        <v>719.56748255263847</v>
      </c>
      <c r="R744">
        <f t="shared" si="119"/>
        <v>55.822017447361546</v>
      </c>
      <c r="S744">
        <f t="shared" si="120"/>
        <v>775.3895</v>
      </c>
    </row>
    <row r="745" spans="1:19" x14ac:dyDescent="0.3">
      <c r="A745" t="s">
        <v>13</v>
      </c>
      <c r="B745" t="s">
        <v>24</v>
      </c>
      <c r="C745" t="s">
        <v>15</v>
      </c>
      <c r="D745">
        <v>0</v>
      </c>
      <c r="E745">
        <v>15</v>
      </c>
      <c r="F745">
        <v>2</v>
      </c>
      <c r="G745">
        <v>20260317</v>
      </c>
      <c r="H745">
        <v>20260402</v>
      </c>
      <c r="I745">
        <v>67946.194099999993</v>
      </c>
      <c r="J745">
        <f t="shared" si="111"/>
        <v>17</v>
      </c>
      <c r="K745">
        <f t="shared" si="112"/>
        <v>3996.8349470588232</v>
      </c>
      <c r="L745">
        <f t="shared" si="113"/>
        <v>0</v>
      </c>
      <c r="M745">
        <f t="shared" si="114"/>
        <v>59952.52420588235</v>
      </c>
      <c r="N745">
        <f t="shared" si="115"/>
        <v>4961.0110642012405</v>
      </c>
      <c r="O745">
        <f t="shared" si="116"/>
        <v>64913.535270083594</v>
      </c>
      <c r="P745">
        <f t="shared" si="117"/>
        <v>0</v>
      </c>
      <c r="Q745">
        <f t="shared" si="118"/>
        <v>62753.412358904236</v>
      </c>
      <c r="R745">
        <f t="shared" si="119"/>
        <v>5192.7817410957496</v>
      </c>
      <c r="S745">
        <f t="shared" si="120"/>
        <v>67946.194099999979</v>
      </c>
    </row>
    <row r="746" spans="1:19" x14ac:dyDescent="0.3">
      <c r="A746" t="s">
        <v>13</v>
      </c>
      <c r="B746" t="s">
        <v>37</v>
      </c>
      <c r="C746" t="s">
        <v>15</v>
      </c>
      <c r="D746">
        <v>0</v>
      </c>
      <c r="E746">
        <v>8</v>
      </c>
      <c r="F746">
        <v>2</v>
      </c>
      <c r="G746">
        <v>20260324</v>
      </c>
      <c r="H746">
        <v>20260402</v>
      </c>
      <c r="I746">
        <v>287.45119999999997</v>
      </c>
      <c r="J746">
        <f t="shared" si="111"/>
        <v>10</v>
      </c>
      <c r="K746">
        <f t="shared" si="112"/>
        <v>28.745119999999996</v>
      </c>
      <c r="L746">
        <f t="shared" si="113"/>
        <v>0</v>
      </c>
      <c r="M746">
        <f t="shared" si="114"/>
        <v>229.96095999999997</v>
      </c>
      <c r="N746">
        <f t="shared" si="115"/>
        <v>35.679446424659567</v>
      </c>
      <c r="O746">
        <f t="shared" si="116"/>
        <v>265.64040642465955</v>
      </c>
      <c r="P746">
        <f t="shared" si="117"/>
        <v>0</v>
      </c>
      <c r="Q746">
        <f t="shared" si="118"/>
        <v>248.8422405117042</v>
      </c>
      <c r="R746">
        <f t="shared" si="119"/>
        <v>38.60895948829576</v>
      </c>
      <c r="S746">
        <f t="shared" si="120"/>
        <v>287.45119999999997</v>
      </c>
    </row>
    <row r="747" spans="1:19" x14ac:dyDescent="0.3">
      <c r="A747" t="s">
        <v>13</v>
      </c>
      <c r="B747" t="s">
        <v>37</v>
      </c>
      <c r="C747" t="s">
        <v>15</v>
      </c>
      <c r="D747">
        <v>0</v>
      </c>
      <c r="E747">
        <v>8</v>
      </c>
      <c r="F747">
        <v>3</v>
      </c>
      <c r="G747">
        <v>20260324</v>
      </c>
      <c r="H747">
        <v>20260403</v>
      </c>
      <c r="I747">
        <v>2166.0446000000002</v>
      </c>
      <c r="J747">
        <f t="shared" si="111"/>
        <v>11</v>
      </c>
      <c r="K747">
        <f t="shared" si="112"/>
        <v>196.91314545454546</v>
      </c>
      <c r="L747">
        <f t="shared" si="113"/>
        <v>0</v>
      </c>
      <c r="M747">
        <f t="shared" si="114"/>
        <v>1575.3051636363637</v>
      </c>
      <c r="N747">
        <f t="shared" si="115"/>
        <v>366.62320544617586</v>
      </c>
      <c r="O747">
        <f t="shared" si="116"/>
        <v>1941.9283690825396</v>
      </c>
      <c r="P747">
        <f t="shared" si="117"/>
        <v>0</v>
      </c>
      <c r="Q747">
        <f t="shared" si="118"/>
        <v>1757.1097355453646</v>
      </c>
      <c r="R747">
        <f t="shared" si="119"/>
        <v>408.9348644546356</v>
      </c>
      <c r="S747">
        <f t="shared" si="120"/>
        <v>2166.0446000000002</v>
      </c>
    </row>
    <row r="748" spans="1:19" x14ac:dyDescent="0.3">
      <c r="A748" t="s">
        <v>13</v>
      </c>
      <c r="B748" t="s">
        <v>24</v>
      </c>
      <c r="C748" t="s">
        <v>15</v>
      </c>
      <c r="D748">
        <v>0</v>
      </c>
      <c r="E748">
        <v>12</v>
      </c>
      <c r="F748">
        <v>7</v>
      </c>
      <c r="G748">
        <v>20260320</v>
      </c>
      <c r="H748">
        <v>20260407</v>
      </c>
      <c r="I748">
        <v>1863.5912000000001</v>
      </c>
      <c r="J748">
        <f t="shared" si="111"/>
        <v>19</v>
      </c>
      <c r="K748">
        <f t="shared" si="112"/>
        <v>98.083747368421058</v>
      </c>
      <c r="L748">
        <f t="shared" si="113"/>
        <v>0</v>
      </c>
      <c r="M748">
        <f t="shared" si="114"/>
        <v>1177.0049684210526</v>
      </c>
      <c r="N748">
        <f t="shared" si="115"/>
        <v>426.10739954346968</v>
      </c>
      <c r="O748">
        <f t="shared" si="116"/>
        <v>1603.1123679645223</v>
      </c>
      <c r="P748">
        <f t="shared" si="117"/>
        <v>0</v>
      </c>
      <c r="Q748">
        <f t="shared" si="118"/>
        <v>1368.2485054312137</v>
      </c>
      <c r="R748">
        <f t="shared" si="119"/>
        <v>495.34269456878633</v>
      </c>
      <c r="S748">
        <f t="shared" si="120"/>
        <v>1863.5912000000001</v>
      </c>
    </row>
    <row r="749" spans="1:19" x14ac:dyDescent="0.3">
      <c r="A749" t="s">
        <v>13</v>
      </c>
      <c r="B749" t="s">
        <v>37</v>
      </c>
      <c r="C749" t="s">
        <v>15</v>
      </c>
      <c r="D749">
        <v>0</v>
      </c>
      <c r="E749">
        <v>9</v>
      </c>
      <c r="F749">
        <v>2</v>
      </c>
      <c r="G749">
        <v>20260323</v>
      </c>
      <c r="H749">
        <v>20260402</v>
      </c>
      <c r="I749">
        <v>107.5819</v>
      </c>
      <c r="J749">
        <f t="shared" si="111"/>
        <v>11</v>
      </c>
      <c r="K749">
        <f t="shared" si="112"/>
        <v>9.7801727272727277</v>
      </c>
      <c r="L749">
        <f t="shared" si="113"/>
        <v>0</v>
      </c>
      <c r="M749">
        <f t="shared" si="114"/>
        <v>88.021554545454549</v>
      </c>
      <c r="N749">
        <f t="shared" si="115"/>
        <v>12.139491811015017</v>
      </c>
      <c r="O749">
        <f t="shared" si="116"/>
        <v>100.16104635646957</v>
      </c>
      <c r="P749">
        <f t="shared" si="117"/>
        <v>0</v>
      </c>
      <c r="Q749">
        <f t="shared" si="118"/>
        <v>94.543002728345442</v>
      </c>
      <c r="R749">
        <f t="shared" si="119"/>
        <v>13.038897271654555</v>
      </c>
      <c r="S749">
        <f t="shared" si="120"/>
        <v>107.58189999999999</v>
      </c>
    </row>
    <row r="750" spans="1:19" x14ac:dyDescent="0.3">
      <c r="A750" t="s">
        <v>13</v>
      </c>
      <c r="B750" t="s">
        <v>37</v>
      </c>
      <c r="C750" t="s">
        <v>15</v>
      </c>
      <c r="D750">
        <v>0</v>
      </c>
      <c r="E750">
        <v>8</v>
      </c>
      <c r="F750">
        <v>10</v>
      </c>
      <c r="G750">
        <v>20260324</v>
      </c>
      <c r="H750">
        <v>20260410</v>
      </c>
      <c r="I750">
        <v>140.59119999999999</v>
      </c>
      <c r="J750">
        <f t="shared" si="111"/>
        <v>18</v>
      </c>
      <c r="K750">
        <f t="shared" si="112"/>
        <v>7.8106222222222215</v>
      </c>
      <c r="L750">
        <f t="shared" si="113"/>
        <v>0</v>
      </c>
      <c r="M750">
        <f t="shared" si="114"/>
        <v>62.484977777777772</v>
      </c>
      <c r="N750">
        <f t="shared" si="115"/>
        <v>48.474084839623771</v>
      </c>
      <c r="O750">
        <f t="shared" si="116"/>
        <v>110.95906261740154</v>
      </c>
      <c r="P750">
        <f t="shared" si="117"/>
        <v>0</v>
      </c>
      <c r="Q750">
        <f t="shared" si="118"/>
        <v>79.171883760789783</v>
      </c>
      <c r="R750">
        <f t="shared" si="119"/>
        <v>61.419316239210204</v>
      </c>
      <c r="S750">
        <f t="shared" si="120"/>
        <v>140.59119999999999</v>
      </c>
    </row>
    <row r="751" spans="1:19" x14ac:dyDescent="0.3">
      <c r="A751" t="s">
        <v>13</v>
      </c>
      <c r="B751" t="s">
        <v>37</v>
      </c>
      <c r="C751" t="s">
        <v>15</v>
      </c>
      <c r="D751">
        <v>0</v>
      </c>
      <c r="E751">
        <v>20</v>
      </c>
      <c r="F751">
        <v>1</v>
      </c>
      <c r="G751">
        <v>20260312</v>
      </c>
      <c r="H751">
        <v>20260401</v>
      </c>
      <c r="I751">
        <v>236.65790000000001</v>
      </c>
      <c r="J751">
        <f t="shared" si="111"/>
        <v>21</v>
      </c>
      <c r="K751">
        <f t="shared" si="112"/>
        <v>11.26942380952381</v>
      </c>
      <c r="L751">
        <f t="shared" si="113"/>
        <v>0</v>
      </c>
      <c r="M751">
        <f t="shared" si="114"/>
        <v>225.38847619047618</v>
      </c>
      <c r="N751">
        <f t="shared" si="115"/>
        <v>6.9940011217327971</v>
      </c>
      <c r="O751">
        <f t="shared" si="116"/>
        <v>232.38247731220898</v>
      </c>
      <c r="P751">
        <f t="shared" si="117"/>
        <v>0</v>
      </c>
      <c r="Q751">
        <f t="shared" si="118"/>
        <v>229.53522174468921</v>
      </c>
      <c r="R751">
        <f t="shared" si="119"/>
        <v>7.1226782553108086</v>
      </c>
      <c r="S751">
        <f t="shared" si="120"/>
        <v>236.65790000000001</v>
      </c>
    </row>
    <row r="752" spans="1:19" x14ac:dyDescent="0.3">
      <c r="A752" t="s">
        <v>13</v>
      </c>
      <c r="B752" t="s">
        <v>37</v>
      </c>
      <c r="C752" t="s">
        <v>15</v>
      </c>
      <c r="D752">
        <v>0</v>
      </c>
      <c r="E752">
        <v>15</v>
      </c>
      <c r="F752">
        <v>3</v>
      </c>
      <c r="G752">
        <v>20260317</v>
      </c>
      <c r="H752">
        <v>20260403</v>
      </c>
      <c r="I752">
        <v>3329.0450999999998</v>
      </c>
      <c r="J752">
        <f t="shared" si="111"/>
        <v>18</v>
      </c>
      <c r="K752">
        <f t="shared" si="112"/>
        <v>184.94694999999999</v>
      </c>
      <c r="L752">
        <f t="shared" si="113"/>
        <v>0</v>
      </c>
      <c r="M752">
        <f t="shared" si="114"/>
        <v>2774.2042499999998</v>
      </c>
      <c r="N752">
        <f t="shared" si="115"/>
        <v>344.34391614624627</v>
      </c>
      <c r="O752">
        <f t="shared" si="116"/>
        <v>3118.5481661462459</v>
      </c>
      <c r="P752">
        <f t="shared" si="117"/>
        <v>0</v>
      </c>
      <c r="Q752">
        <f t="shared" si="118"/>
        <v>2961.4585290418672</v>
      </c>
      <c r="R752">
        <f t="shared" si="119"/>
        <v>367.58657095813282</v>
      </c>
      <c r="S752">
        <f t="shared" si="120"/>
        <v>3329.0451000000003</v>
      </c>
    </row>
    <row r="753" spans="1:19" x14ac:dyDescent="0.3">
      <c r="A753" t="s">
        <v>13</v>
      </c>
      <c r="B753" t="s">
        <v>37</v>
      </c>
      <c r="C753" t="s">
        <v>15</v>
      </c>
      <c r="D753">
        <v>0</v>
      </c>
      <c r="E753">
        <v>2</v>
      </c>
      <c r="F753">
        <v>15</v>
      </c>
      <c r="G753">
        <v>20260330</v>
      </c>
      <c r="H753">
        <v>20260415</v>
      </c>
      <c r="I753">
        <v>37.174300000000002</v>
      </c>
      <c r="J753">
        <f t="shared" si="111"/>
        <v>17</v>
      </c>
      <c r="K753">
        <f t="shared" si="112"/>
        <v>2.1867235294117648</v>
      </c>
      <c r="L753">
        <f t="shared" si="113"/>
        <v>0</v>
      </c>
      <c r="M753">
        <f t="shared" si="114"/>
        <v>4.3734470588235297</v>
      </c>
      <c r="N753">
        <f t="shared" si="115"/>
        <v>20.356781867632545</v>
      </c>
      <c r="O753">
        <f t="shared" si="116"/>
        <v>24.730228926456075</v>
      </c>
      <c r="P753">
        <f t="shared" si="117"/>
        <v>0</v>
      </c>
      <c r="Q753">
        <f t="shared" si="118"/>
        <v>6.5741337648879492</v>
      </c>
      <c r="R753">
        <f t="shared" si="119"/>
        <v>30.600166235112052</v>
      </c>
      <c r="S753">
        <f t="shared" si="120"/>
        <v>37.174300000000002</v>
      </c>
    </row>
    <row r="754" spans="1:19" x14ac:dyDescent="0.3">
      <c r="A754" t="s">
        <v>13</v>
      </c>
      <c r="B754" t="s">
        <v>24</v>
      </c>
      <c r="C754" t="s">
        <v>14</v>
      </c>
      <c r="D754">
        <v>0</v>
      </c>
      <c r="E754">
        <v>16</v>
      </c>
      <c r="F754">
        <v>6</v>
      </c>
      <c r="G754">
        <v>20260316</v>
      </c>
      <c r="H754">
        <v>20260406</v>
      </c>
      <c r="I754">
        <v>275.6431</v>
      </c>
      <c r="J754">
        <f t="shared" si="111"/>
        <v>22</v>
      </c>
      <c r="K754">
        <f t="shared" si="112"/>
        <v>12.529231818181819</v>
      </c>
      <c r="L754">
        <f t="shared" si="113"/>
        <v>0</v>
      </c>
      <c r="M754">
        <f t="shared" si="114"/>
        <v>200.4677090909091</v>
      </c>
      <c r="N754">
        <f t="shared" si="115"/>
        <v>46.655159769619139</v>
      </c>
      <c r="O754">
        <f t="shared" si="116"/>
        <v>247.12286886052823</v>
      </c>
      <c r="P754">
        <f t="shared" si="117"/>
        <v>0</v>
      </c>
      <c r="Q754">
        <f t="shared" si="118"/>
        <v>223.60350961651687</v>
      </c>
      <c r="R754">
        <f t="shared" si="119"/>
        <v>52.039590383483123</v>
      </c>
      <c r="S754">
        <f t="shared" si="120"/>
        <v>275.6431</v>
      </c>
    </row>
    <row r="755" spans="1:19" x14ac:dyDescent="0.3">
      <c r="A755" t="s">
        <v>13</v>
      </c>
      <c r="B755" t="s">
        <v>37</v>
      </c>
      <c r="C755" t="s">
        <v>14</v>
      </c>
      <c r="D755">
        <v>0</v>
      </c>
      <c r="E755">
        <v>7</v>
      </c>
      <c r="F755">
        <v>3</v>
      </c>
      <c r="G755">
        <v>20260325</v>
      </c>
      <c r="H755">
        <v>20260403</v>
      </c>
      <c r="I755">
        <v>50.681600000000003</v>
      </c>
      <c r="J755">
        <f t="shared" si="111"/>
        <v>10</v>
      </c>
      <c r="K755">
        <f t="shared" si="112"/>
        <v>5.0681600000000007</v>
      </c>
      <c r="L755">
        <f t="shared" si="113"/>
        <v>0</v>
      </c>
      <c r="M755">
        <f t="shared" si="114"/>
        <v>35.477120000000006</v>
      </c>
      <c r="N755">
        <f t="shared" si="115"/>
        <v>9.4361656791623769</v>
      </c>
      <c r="O755">
        <f t="shared" si="116"/>
        <v>44.913285679162385</v>
      </c>
      <c r="P755">
        <f t="shared" si="117"/>
        <v>0</v>
      </c>
      <c r="Q755">
        <f t="shared" si="118"/>
        <v>40.033526334195663</v>
      </c>
      <c r="R755">
        <f t="shared" si="119"/>
        <v>10.648073665804334</v>
      </c>
      <c r="S755">
        <f t="shared" si="120"/>
        <v>50.681599999999996</v>
      </c>
    </row>
    <row r="756" spans="1:19" x14ac:dyDescent="0.3">
      <c r="A756" t="s">
        <v>13</v>
      </c>
      <c r="B756" t="s">
        <v>37</v>
      </c>
      <c r="C756" t="s">
        <v>15</v>
      </c>
      <c r="D756">
        <v>0</v>
      </c>
      <c r="E756">
        <v>19</v>
      </c>
      <c r="F756">
        <v>3</v>
      </c>
      <c r="G756">
        <v>20260313</v>
      </c>
      <c r="H756">
        <v>20260403</v>
      </c>
      <c r="I756">
        <v>643.21259999999995</v>
      </c>
      <c r="J756">
        <f t="shared" si="111"/>
        <v>22</v>
      </c>
      <c r="K756">
        <f t="shared" si="112"/>
        <v>29.23693636363636</v>
      </c>
      <c r="L756">
        <f t="shared" si="113"/>
        <v>0</v>
      </c>
      <c r="M756">
        <f t="shared" si="114"/>
        <v>555.5017909090908</v>
      </c>
      <c r="N756">
        <f t="shared" si="115"/>
        <v>54.434859096476799</v>
      </c>
      <c r="O756">
        <f t="shared" si="116"/>
        <v>609.93665000556757</v>
      </c>
      <c r="P756">
        <f t="shared" si="117"/>
        <v>0</v>
      </c>
      <c r="Q756">
        <f t="shared" si="118"/>
        <v>585.80797076553949</v>
      </c>
      <c r="R756">
        <f t="shared" si="119"/>
        <v>57.404629234460472</v>
      </c>
      <c r="S756">
        <f t="shared" si="120"/>
        <v>643.21259999999995</v>
      </c>
    </row>
    <row r="757" spans="1:19" x14ac:dyDescent="0.3">
      <c r="A757" t="s">
        <v>13</v>
      </c>
      <c r="B757" t="s">
        <v>37</v>
      </c>
      <c r="C757" t="s">
        <v>14</v>
      </c>
      <c r="D757">
        <v>0</v>
      </c>
      <c r="E757">
        <v>27</v>
      </c>
      <c r="F757">
        <v>3</v>
      </c>
      <c r="G757">
        <v>20260305</v>
      </c>
      <c r="H757">
        <v>20260403</v>
      </c>
      <c r="I757">
        <v>190089.66889999999</v>
      </c>
      <c r="J757">
        <f t="shared" si="111"/>
        <v>30</v>
      </c>
      <c r="K757">
        <f t="shared" si="112"/>
        <v>6336.3222966666663</v>
      </c>
      <c r="L757">
        <f t="shared" si="113"/>
        <v>0</v>
      </c>
      <c r="M757">
        <f t="shared" si="114"/>
        <v>171080.70200999998</v>
      </c>
      <c r="N757">
        <f t="shared" si="115"/>
        <v>11797.296649655362</v>
      </c>
      <c r="O757">
        <f t="shared" si="116"/>
        <v>182877.99865965534</v>
      </c>
      <c r="P757">
        <f t="shared" si="117"/>
        <v>0</v>
      </c>
      <c r="Q757">
        <f t="shared" si="118"/>
        <v>177827.15383266512</v>
      </c>
      <c r="R757">
        <f t="shared" si="119"/>
        <v>12262.515067334854</v>
      </c>
      <c r="S757">
        <f t="shared" si="120"/>
        <v>190089.66889999999</v>
      </c>
    </row>
    <row r="758" spans="1:19" x14ac:dyDescent="0.3">
      <c r="A758" t="s">
        <v>13</v>
      </c>
      <c r="B758" t="s">
        <v>24</v>
      </c>
      <c r="C758" t="s">
        <v>15</v>
      </c>
      <c r="D758">
        <v>0</v>
      </c>
      <c r="E758">
        <v>15</v>
      </c>
      <c r="F758">
        <v>0</v>
      </c>
      <c r="G758">
        <v>20260317</v>
      </c>
      <c r="H758">
        <v>20260331</v>
      </c>
      <c r="I758">
        <v>43963.162300000004</v>
      </c>
      <c r="J758">
        <f t="shared" si="111"/>
        <v>15</v>
      </c>
      <c r="K758">
        <f t="shared" si="112"/>
        <v>2930.8774866666668</v>
      </c>
      <c r="L758">
        <f t="shared" si="113"/>
        <v>0</v>
      </c>
      <c r="M758">
        <f t="shared" si="114"/>
        <v>43963.162300000004</v>
      </c>
      <c r="N758">
        <f t="shared" si="115"/>
        <v>0</v>
      </c>
      <c r="O758">
        <f t="shared" si="116"/>
        <v>43963.162300000004</v>
      </c>
      <c r="P758">
        <f t="shared" si="117"/>
        <v>0</v>
      </c>
      <c r="Q758">
        <f t="shared" si="118"/>
        <v>43963.162300000004</v>
      </c>
      <c r="R758">
        <f t="shared" si="119"/>
        <v>0</v>
      </c>
      <c r="S758">
        <f t="shared" si="120"/>
        <v>43963.162300000004</v>
      </c>
    </row>
    <row r="759" spans="1:19" x14ac:dyDescent="0.3">
      <c r="A759" t="s">
        <v>13</v>
      </c>
      <c r="B759" t="s">
        <v>37</v>
      </c>
      <c r="C759" t="s">
        <v>14</v>
      </c>
      <c r="D759">
        <v>0</v>
      </c>
      <c r="E759">
        <v>30</v>
      </c>
      <c r="F759">
        <v>3</v>
      </c>
      <c r="G759">
        <v>20260302</v>
      </c>
      <c r="H759">
        <v>20260403</v>
      </c>
      <c r="I759">
        <v>64339.962399999997</v>
      </c>
      <c r="J759">
        <f t="shared" si="111"/>
        <v>33</v>
      </c>
      <c r="K759">
        <f t="shared" si="112"/>
        <v>1949.6958303030301</v>
      </c>
      <c r="L759">
        <f t="shared" si="113"/>
        <v>0</v>
      </c>
      <c r="M759">
        <f t="shared" si="114"/>
        <v>58490.874909090904</v>
      </c>
      <c r="N759">
        <f t="shared" si="115"/>
        <v>3630.045791512392</v>
      </c>
      <c r="O759">
        <f t="shared" si="116"/>
        <v>62120.920700603296</v>
      </c>
      <c r="P759">
        <f t="shared" si="117"/>
        <v>0</v>
      </c>
      <c r="Q759">
        <f t="shared" si="118"/>
        <v>60580.246557058264</v>
      </c>
      <c r="R759">
        <f t="shared" si="119"/>
        <v>3759.7158429417373</v>
      </c>
      <c r="S759">
        <f t="shared" si="120"/>
        <v>64339.962400000004</v>
      </c>
    </row>
    <row r="760" spans="1:19" x14ac:dyDescent="0.3">
      <c r="A760" t="s">
        <v>13</v>
      </c>
      <c r="B760" t="s">
        <v>24</v>
      </c>
      <c r="C760" t="s">
        <v>14</v>
      </c>
      <c r="D760">
        <v>0</v>
      </c>
      <c r="E760">
        <v>30</v>
      </c>
      <c r="F760">
        <v>3</v>
      </c>
      <c r="G760">
        <v>20260302</v>
      </c>
      <c r="H760">
        <v>20260403</v>
      </c>
      <c r="I760">
        <v>643399.62580000004</v>
      </c>
      <c r="J760">
        <f t="shared" si="111"/>
        <v>33</v>
      </c>
      <c r="K760">
        <f t="shared" si="112"/>
        <v>19496.958357575757</v>
      </c>
      <c r="L760">
        <f t="shared" si="113"/>
        <v>0</v>
      </c>
      <c r="M760">
        <f t="shared" si="114"/>
        <v>584908.75072727271</v>
      </c>
      <c r="N760">
        <f t="shared" si="115"/>
        <v>36300.458016679506</v>
      </c>
      <c r="O760">
        <f t="shared" si="116"/>
        <v>621209.20874395221</v>
      </c>
      <c r="P760">
        <f t="shared" si="117"/>
        <v>0</v>
      </c>
      <c r="Q760">
        <f t="shared" si="118"/>
        <v>605802.46726539929</v>
      </c>
      <c r="R760">
        <f t="shared" si="119"/>
        <v>37597.158534600661</v>
      </c>
      <c r="S760">
        <f t="shared" si="120"/>
        <v>643399.62579999992</v>
      </c>
    </row>
    <row r="761" spans="1:19" x14ac:dyDescent="0.3">
      <c r="A761" t="s">
        <v>13</v>
      </c>
      <c r="B761" t="s">
        <v>24</v>
      </c>
      <c r="C761" t="s">
        <v>15</v>
      </c>
      <c r="D761">
        <v>27</v>
      </c>
      <c r="E761">
        <v>5</v>
      </c>
      <c r="F761">
        <v>0</v>
      </c>
      <c r="G761">
        <v>20260202</v>
      </c>
      <c r="H761">
        <v>20260305</v>
      </c>
      <c r="I761">
        <v>968057.96920000005</v>
      </c>
      <c r="J761">
        <f t="shared" si="111"/>
        <v>32</v>
      </c>
      <c r="K761">
        <f t="shared" si="112"/>
        <v>30251.811537500002</v>
      </c>
      <c r="L761">
        <f t="shared" si="113"/>
        <v>1107872.3873225297</v>
      </c>
      <c r="M761">
        <f t="shared" si="114"/>
        <v>151259.0576875</v>
      </c>
      <c r="N761">
        <f t="shared" si="115"/>
        <v>0</v>
      </c>
      <c r="O761">
        <f t="shared" si="116"/>
        <v>1259131.4450100297</v>
      </c>
      <c r="P761">
        <f t="shared" si="117"/>
        <v>851765.4750459044</v>
      </c>
      <c r="Q761">
        <f t="shared" si="118"/>
        <v>116292.49415409566</v>
      </c>
      <c r="R761">
        <f t="shared" si="119"/>
        <v>0</v>
      </c>
      <c r="S761">
        <f t="shared" si="120"/>
        <v>968057.96920000005</v>
      </c>
    </row>
    <row r="762" spans="1:19" x14ac:dyDescent="0.3">
      <c r="A762" t="s">
        <v>13</v>
      </c>
      <c r="B762" t="s">
        <v>24</v>
      </c>
      <c r="C762" t="s">
        <v>14</v>
      </c>
      <c r="D762">
        <v>13</v>
      </c>
      <c r="E762">
        <v>17</v>
      </c>
      <c r="F762">
        <v>0</v>
      </c>
      <c r="G762">
        <v>20260216</v>
      </c>
      <c r="H762">
        <v>20260317</v>
      </c>
      <c r="I762">
        <v>517920.1838</v>
      </c>
      <c r="J762">
        <f t="shared" si="111"/>
        <v>30</v>
      </c>
      <c r="K762">
        <f t="shared" si="112"/>
        <v>17264.006126666667</v>
      </c>
      <c r="L762">
        <f t="shared" si="113"/>
        <v>304410.4250940932</v>
      </c>
      <c r="M762">
        <f t="shared" si="114"/>
        <v>293488.10415333335</v>
      </c>
      <c r="N762">
        <f t="shared" si="115"/>
        <v>0</v>
      </c>
      <c r="O762">
        <f t="shared" si="116"/>
        <v>597898.52924742654</v>
      </c>
      <c r="P762">
        <f t="shared" si="117"/>
        <v>263690.73614182579</v>
      </c>
      <c r="Q762">
        <f t="shared" si="118"/>
        <v>254229.44765817418</v>
      </c>
      <c r="R762">
        <f t="shared" si="119"/>
        <v>0</v>
      </c>
      <c r="S762">
        <f t="shared" si="120"/>
        <v>517920.1838</v>
      </c>
    </row>
    <row r="763" spans="1:19" x14ac:dyDescent="0.3">
      <c r="A763" t="s">
        <v>13</v>
      </c>
      <c r="B763" t="s">
        <v>37</v>
      </c>
      <c r="C763" t="s">
        <v>15</v>
      </c>
      <c r="D763">
        <v>0</v>
      </c>
      <c r="E763">
        <v>16</v>
      </c>
      <c r="F763">
        <v>15</v>
      </c>
      <c r="G763">
        <v>20260316</v>
      </c>
      <c r="H763">
        <v>20260415</v>
      </c>
      <c r="I763">
        <v>2620521.6354</v>
      </c>
      <c r="J763">
        <f t="shared" si="111"/>
        <v>31</v>
      </c>
      <c r="K763">
        <f t="shared" si="112"/>
        <v>84532.955980645158</v>
      </c>
      <c r="L763">
        <f t="shared" si="113"/>
        <v>0</v>
      </c>
      <c r="M763">
        <f t="shared" si="114"/>
        <v>1352527.2956903225</v>
      </c>
      <c r="N763">
        <f t="shared" si="115"/>
        <v>786939.41981183272</v>
      </c>
      <c r="O763">
        <f t="shared" si="116"/>
        <v>2139466.715502155</v>
      </c>
      <c r="P763">
        <f t="shared" si="117"/>
        <v>0</v>
      </c>
      <c r="Q763">
        <f t="shared" si="118"/>
        <v>1656640.4212526639</v>
      </c>
      <c r="R763">
        <f t="shared" si="119"/>
        <v>963881.21414733643</v>
      </c>
      <c r="S763">
        <f t="shared" si="120"/>
        <v>2620521.6354000005</v>
      </c>
    </row>
    <row r="764" spans="1:19" x14ac:dyDescent="0.3">
      <c r="A764" t="s">
        <v>13</v>
      </c>
      <c r="B764" t="s">
        <v>24</v>
      </c>
      <c r="C764" t="s">
        <v>14</v>
      </c>
      <c r="D764">
        <v>27</v>
      </c>
      <c r="E764">
        <v>1</v>
      </c>
      <c r="F764">
        <v>0</v>
      </c>
      <c r="G764">
        <v>20260202</v>
      </c>
      <c r="H764">
        <v>20260301</v>
      </c>
      <c r="I764">
        <v>3355952.9297000002</v>
      </c>
      <c r="J764">
        <f t="shared" si="111"/>
        <v>28</v>
      </c>
      <c r="K764">
        <f t="shared" si="112"/>
        <v>119855.461775</v>
      </c>
      <c r="L764">
        <f t="shared" si="113"/>
        <v>4389309.2618838493</v>
      </c>
      <c r="M764">
        <f t="shared" si="114"/>
        <v>119855.461775</v>
      </c>
      <c r="N764">
        <f t="shared" si="115"/>
        <v>0</v>
      </c>
      <c r="O764">
        <f t="shared" si="116"/>
        <v>4509164.7236588495</v>
      </c>
      <c r="P764">
        <f t="shared" si="117"/>
        <v>3266750.3139752015</v>
      </c>
      <c r="Q764">
        <f t="shared" si="118"/>
        <v>89202.615724798525</v>
      </c>
      <c r="R764">
        <f t="shared" si="119"/>
        <v>0</v>
      </c>
      <c r="S764">
        <f t="shared" si="120"/>
        <v>3355952.9297000002</v>
      </c>
    </row>
    <row r="765" spans="1:19" x14ac:dyDescent="0.3">
      <c r="A765" t="s">
        <v>13</v>
      </c>
      <c r="B765" t="s">
        <v>37</v>
      </c>
      <c r="C765" t="s">
        <v>15</v>
      </c>
      <c r="D765">
        <v>0</v>
      </c>
      <c r="E765">
        <v>25</v>
      </c>
      <c r="F765">
        <v>2</v>
      </c>
      <c r="G765">
        <v>20260307</v>
      </c>
      <c r="H765">
        <v>20260402</v>
      </c>
      <c r="I765">
        <v>49506.036800000002</v>
      </c>
      <c r="J765">
        <f t="shared" si="111"/>
        <v>27</v>
      </c>
      <c r="K765">
        <f t="shared" si="112"/>
        <v>1833.5569185185186</v>
      </c>
      <c r="L765">
        <f t="shared" si="113"/>
        <v>0</v>
      </c>
      <c r="M765">
        <f t="shared" si="114"/>
        <v>45838.922962962963</v>
      </c>
      <c r="N765">
        <f t="shared" si="115"/>
        <v>2275.874856004963</v>
      </c>
      <c r="O765">
        <f t="shared" si="116"/>
        <v>48114.797818967927</v>
      </c>
      <c r="P765">
        <f t="shared" si="117"/>
        <v>0</v>
      </c>
      <c r="Q765">
        <f t="shared" si="118"/>
        <v>47164.355041354858</v>
      </c>
      <c r="R765">
        <f t="shared" si="119"/>
        <v>2341.6817586451452</v>
      </c>
      <c r="S765">
        <f t="shared" si="120"/>
        <v>49506.036800000002</v>
      </c>
    </row>
    <row r="766" spans="1:19" x14ac:dyDescent="0.3">
      <c r="A766" t="s">
        <v>13</v>
      </c>
      <c r="B766" t="s">
        <v>24</v>
      </c>
      <c r="C766" t="s">
        <v>15</v>
      </c>
      <c r="D766">
        <v>0</v>
      </c>
      <c r="E766">
        <v>27</v>
      </c>
      <c r="F766">
        <v>5</v>
      </c>
      <c r="G766">
        <v>20260305</v>
      </c>
      <c r="H766">
        <v>20260405</v>
      </c>
      <c r="I766">
        <v>458130.2671</v>
      </c>
      <c r="J766">
        <f t="shared" si="111"/>
        <v>32</v>
      </c>
      <c r="K766">
        <f t="shared" si="112"/>
        <v>14316.570846875</v>
      </c>
      <c r="L766">
        <f t="shared" si="113"/>
        <v>0</v>
      </c>
      <c r="M766">
        <f t="shared" si="114"/>
        <v>386547.412865625</v>
      </c>
      <c r="N766">
        <f t="shared" si="115"/>
        <v>44425.568802280148</v>
      </c>
      <c r="O766">
        <f t="shared" si="116"/>
        <v>430972.98166790511</v>
      </c>
      <c r="P766">
        <f t="shared" si="117"/>
        <v>0</v>
      </c>
      <c r="Q766">
        <f t="shared" si="118"/>
        <v>410905.27025056595</v>
      </c>
      <c r="R766">
        <f t="shared" si="119"/>
        <v>47224.996849434079</v>
      </c>
      <c r="S766">
        <f t="shared" si="120"/>
        <v>458130.26710000006</v>
      </c>
    </row>
    <row r="767" spans="1:19" x14ac:dyDescent="0.3">
      <c r="A767" t="s">
        <v>13</v>
      </c>
      <c r="B767" t="s">
        <v>24</v>
      </c>
      <c r="C767" t="s">
        <v>14</v>
      </c>
      <c r="D767">
        <v>23</v>
      </c>
      <c r="E767">
        <v>5</v>
      </c>
      <c r="F767">
        <v>0</v>
      </c>
      <c r="G767">
        <v>20260206</v>
      </c>
      <c r="H767">
        <v>20260305</v>
      </c>
      <c r="I767">
        <v>526051.86710000003</v>
      </c>
      <c r="J767">
        <f t="shared" si="111"/>
        <v>28</v>
      </c>
      <c r="K767">
        <f t="shared" si="112"/>
        <v>18787.566682142857</v>
      </c>
      <c r="L767">
        <f t="shared" si="113"/>
        <v>586101.67000888649</v>
      </c>
      <c r="M767">
        <f t="shared" si="114"/>
        <v>93937.833410714287</v>
      </c>
      <c r="N767">
        <f t="shared" si="115"/>
        <v>0</v>
      </c>
      <c r="O767">
        <f t="shared" si="116"/>
        <v>680039.50341960078</v>
      </c>
      <c r="P767">
        <f t="shared" si="117"/>
        <v>453385.2463984905</v>
      </c>
      <c r="Q767">
        <f t="shared" si="118"/>
        <v>72666.620701509528</v>
      </c>
      <c r="R767">
        <f t="shared" si="119"/>
        <v>0</v>
      </c>
      <c r="S767">
        <f t="shared" si="120"/>
        <v>526051.86710000003</v>
      </c>
    </row>
    <row r="768" spans="1:19" x14ac:dyDescent="0.3">
      <c r="A768" t="s">
        <v>13</v>
      </c>
      <c r="B768" t="s">
        <v>37</v>
      </c>
      <c r="C768" t="s">
        <v>15</v>
      </c>
      <c r="D768">
        <v>0</v>
      </c>
      <c r="E768">
        <v>30</v>
      </c>
      <c r="F768">
        <v>3</v>
      </c>
      <c r="G768">
        <v>20260302</v>
      </c>
      <c r="H768">
        <v>20260403</v>
      </c>
      <c r="I768">
        <v>292309.36090000003</v>
      </c>
      <c r="J768">
        <f t="shared" si="111"/>
        <v>33</v>
      </c>
      <c r="K768">
        <f t="shared" si="112"/>
        <v>8857.8594212121225</v>
      </c>
      <c r="L768">
        <f t="shared" si="113"/>
        <v>0</v>
      </c>
      <c r="M768">
        <f t="shared" si="114"/>
        <v>265735.7826363637</v>
      </c>
      <c r="N768">
        <f t="shared" si="115"/>
        <v>16492.026506915117</v>
      </c>
      <c r="O768">
        <f t="shared" si="116"/>
        <v>282227.80914327881</v>
      </c>
      <c r="P768">
        <f t="shared" si="117"/>
        <v>0</v>
      </c>
      <c r="Q768">
        <f t="shared" si="118"/>
        <v>275228.2173273096</v>
      </c>
      <c r="R768">
        <f t="shared" si="119"/>
        <v>17081.143572690427</v>
      </c>
      <c r="S768">
        <f t="shared" si="120"/>
        <v>292309.36090000003</v>
      </c>
    </row>
    <row r="769" spans="1:19" x14ac:dyDescent="0.3">
      <c r="A769" t="s">
        <v>13</v>
      </c>
      <c r="B769" t="s">
        <v>24</v>
      </c>
      <c r="C769" t="s">
        <v>15</v>
      </c>
      <c r="D769">
        <v>8</v>
      </c>
      <c r="E769">
        <v>16</v>
      </c>
      <c r="F769">
        <v>0</v>
      </c>
      <c r="G769">
        <v>20260221</v>
      </c>
      <c r="H769">
        <v>20260316</v>
      </c>
      <c r="I769">
        <v>385677.81910000002</v>
      </c>
      <c r="J769">
        <f t="shared" si="111"/>
        <v>24</v>
      </c>
      <c r="K769">
        <f t="shared" si="112"/>
        <v>16069.909129166668</v>
      </c>
      <c r="L769">
        <f t="shared" si="113"/>
        <v>174372.50064908818</v>
      </c>
      <c r="M769">
        <f t="shared" si="114"/>
        <v>257118.54606666669</v>
      </c>
      <c r="N769">
        <f t="shared" si="115"/>
        <v>0</v>
      </c>
      <c r="O769">
        <f t="shared" si="116"/>
        <v>431491.0467157549</v>
      </c>
      <c r="P769">
        <f t="shared" si="117"/>
        <v>155858.63547629002</v>
      </c>
      <c r="Q769">
        <f t="shared" si="118"/>
        <v>229819.18362370998</v>
      </c>
      <c r="R769">
        <f t="shared" si="119"/>
        <v>0</v>
      </c>
      <c r="S769">
        <f t="shared" si="120"/>
        <v>385677.81909999996</v>
      </c>
    </row>
    <row r="770" spans="1:19" x14ac:dyDescent="0.3">
      <c r="A770" t="s">
        <v>13</v>
      </c>
      <c r="B770" t="s">
        <v>37</v>
      </c>
      <c r="C770" t="s">
        <v>14</v>
      </c>
      <c r="D770">
        <v>0</v>
      </c>
      <c r="E770">
        <v>14</v>
      </c>
      <c r="F770">
        <v>16</v>
      </c>
      <c r="G770">
        <v>20260318</v>
      </c>
      <c r="H770">
        <v>20260416</v>
      </c>
      <c r="I770">
        <v>2119561.5142000001</v>
      </c>
      <c r="J770">
        <f t="shared" si="111"/>
        <v>30</v>
      </c>
      <c r="K770">
        <f t="shared" si="112"/>
        <v>70652.050473333336</v>
      </c>
      <c r="L770">
        <f t="shared" si="113"/>
        <v>0</v>
      </c>
      <c r="M770">
        <f t="shared" si="114"/>
        <v>989128.70662666671</v>
      </c>
      <c r="N770">
        <f t="shared" si="115"/>
        <v>701566.33185894252</v>
      </c>
      <c r="O770">
        <f t="shared" si="116"/>
        <v>1690695.0384856092</v>
      </c>
      <c r="P770">
        <f t="shared" si="117"/>
        <v>0</v>
      </c>
      <c r="Q770">
        <f t="shared" si="118"/>
        <v>1240033.8863206231</v>
      </c>
      <c r="R770">
        <f t="shared" si="119"/>
        <v>879527.62787937699</v>
      </c>
      <c r="S770">
        <f t="shared" si="120"/>
        <v>2119561.5142000001</v>
      </c>
    </row>
    <row r="771" spans="1:19" x14ac:dyDescent="0.3">
      <c r="A771" t="s">
        <v>13</v>
      </c>
      <c r="B771" t="s">
        <v>37</v>
      </c>
      <c r="C771" t="s">
        <v>14</v>
      </c>
      <c r="D771">
        <v>0</v>
      </c>
      <c r="E771">
        <v>28</v>
      </c>
      <c r="F771">
        <v>6</v>
      </c>
      <c r="G771">
        <v>20260304</v>
      </c>
      <c r="H771">
        <v>20260406</v>
      </c>
      <c r="I771">
        <v>68050.880900000004</v>
      </c>
      <c r="J771">
        <f t="shared" si="111"/>
        <v>34</v>
      </c>
      <c r="K771">
        <f t="shared" si="112"/>
        <v>2001.4964970588237</v>
      </c>
      <c r="L771">
        <f t="shared" si="113"/>
        <v>0</v>
      </c>
      <c r="M771">
        <f t="shared" si="114"/>
        <v>56041.901917647061</v>
      </c>
      <c r="N771">
        <f t="shared" si="115"/>
        <v>7452.9819707784245</v>
      </c>
      <c r="O771">
        <f t="shared" si="116"/>
        <v>63494.883888425487</v>
      </c>
      <c r="P771">
        <f t="shared" si="117"/>
        <v>0</v>
      </c>
      <c r="Q771">
        <f t="shared" si="118"/>
        <v>60063.119408310056</v>
      </c>
      <c r="R771">
        <f t="shared" si="119"/>
        <v>7987.761491689952</v>
      </c>
      <c r="S771">
        <f t="shared" si="120"/>
        <v>68050.880900000004</v>
      </c>
    </row>
    <row r="772" spans="1:19" x14ac:dyDescent="0.3">
      <c r="A772" t="s">
        <v>13</v>
      </c>
      <c r="B772" t="s">
        <v>37</v>
      </c>
      <c r="C772" t="s">
        <v>15</v>
      </c>
      <c r="D772">
        <v>0</v>
      </c>
      <c r="E772">
        <v>25</v>
      </c>
      <c r="F772">
        <v>7</v>
      </c>
      <c r="G772">
        <v>20260307</v>
      </c>
      <c r="H772">
        <v>20260407</v>
      </c>
      <c r="I772">
        <v>317587.74660000001</v>
      </c>
      <c r="J772">
        <f t="shared" si="111"/>
        <v>32</v>
      </c>
      <c r="K772">
        <f t="shared" si="112"/>
        <v>9924.6170812500004</v>
      </c>
      <c r="L772">
        <f t="shared" si="113"/>
        <v>0</v>
      </c>
      <c r="M772">
        <f t="shared" si="114"/>
        <v>248115.42703125</v>
      </c>
      <c r="N772">
        <f t="shared" si="115"/>
        <v>43115.734149832111</v>
      </c>
      <c r="O772">
        <f t="shared" si="116"/>
        <v>291231.16118108213</v>
      </c>
      <c r="P772">
        <f t="shared" si="117"/>
        <v>0</v>
      </c>
      <c r="Q772">
        <f t="shared" si="118"/>
        <v>270570.01403279102</v>
      </c>
      <c r="R772">
        <f t="shared" si="119"/>
        <v>47017.732567208965</v>
      </c>
      <c r="S772">
        <f t="shared" si="120"/>
        <v>317587.74659999995</v>
      </c>
    </row>
    <row r="773" spans="1:19" x14ac:dyDescent="0.3">
      <c r="A773" t="s">
        <v>13</v>
      </c>
      <c r="B773" t="s">
        <v>37</v>
      </c>
      <c r="C773" t="s">
        <v>15</v>
      </c>
      <c r="D773">
        <v>0</v>
      </c>
      <c r="E773">
        <v>27</v>
      </c>
      <c r="F773">
        <v>8</v>
      </c>
      <c r="G773">
        <v>20260305</v>
      </c>
      <c r="H773">
        <v>20260408</v>
      </c>
      <c r="I773">
        <v>74664.290599999993</v>
      </c>
      <c r="J773">
        <f t="shared" si="111"/>
        <v>35</v>
      </c>
      <c r="K773">
        <f t="shared" si="112"/>
        <v>2133.2654457142853</v>
      </c>
      <c r="L773">
        <f t="shared" si="113"/>
        <v>0</v>
      </c>
      <c r="M773">
        <f t="shared" si="114"/>
        <v>57598.167034285703</v>
      </c>
      <c r="N773">
        <f t="shared" si="115"/>
        <v>10591.534170661365</v>
      </c>
      <c r="O773">
        <f t="shared" si="116"/>
        <v>68189.701204947065</v>
      </c>
      <c r="P773">
        <f t="shared" si="117"/>
        <v>0</v>
      </c>
      <c r="Q773">
        <f t="shared" si="118"/>
        <v>63067.093791037914</v>
      </c>
      <c r="R773">
        <f t="shared" si="119"/>
        <v>11597.196808962086</v>
      </c>
      <c r="S773">
        <f t="shared" si="120"/>
        <v>74664.290600000008</v>
      </c>
    </row>
    <row r="774" spans="1:19" x14ac:dyDescent="0.3">
      <c r="A774" t="s">
        <v>13</v>
      </c>
      <c r="B774" t="s">
        <v>24</v>
      </c>
      <c r="C774" t="s">
        <v>15</v>
      </c>
      <c r="D774">
        <v>27</v>
      </c>
      <c r="E774">
        <v>8</v>
      </c>
      <c r="F774">
        <v>0</v>
      </c>
      <c r="G774">
        <v>20260202</v>
      </c>
      <c r="H774">
        <v>20260308</v>
      </c>
      <c r="I774">
        <v>230971.6501</v>
      </c>
      <c r="J774">
        <f t="shared" si="111"/>
        <v>35</v>
      </c>
      <c r="K774">
        <f t="shared" si="112"/>
        <v>6599.1900028571426</v>
      </c>
      <c r="L774">
        <f t="shared" si="113"/>
        <v>241673.47379503399</v>
      </c>
      <c r="M774">
        <f t="shared" si="114"/>
        <v>52793.520022857141</v>
      </c>
      <c r="N774">
        <f t="shared" si="115"/>
        <v>0</v>
      </c>
      <c r="O774">
        <f t="shared" si="116"/>
        <v>294466.99381789111</v>
      </c>
      <c r="P774">
        <f t="shared" si="117"/>
        <v>189561.89386155453</v>
      </c>
      <c r="Q774">
        <f t="shared" si="118"/>
        <v>41409.756238445487</v>
      </c>
      <c r="R774">
        <f t="shared" si="119"/>
        <v>0</v>
      </c>
      <c r="S774">
        <f t="shared" si="120"/>
        <v>230971.65010000003</v>
      </c>
    </row>
    <row r="775" spans="1:19" x14ac:dyDescent="0.3">
      <c r="A775" t="s">
        <v>13</v>
      </c>
      <c r="B775" t="s">
        <v>24</v>
      </c>
      <c r="C775" t="s">
        <v>14</v>
      </c>
      <c r="D775">
        <v>23</v>
      </c>
      <c r="E775">
        <v>1</v>
      </c>
      <c r="F775">
        <v>0</v>
      </c>
      <c r="G775">
        <v>20260206</v>
      </c>
      <c r="H775">
        <v>20260301</v>
      </c>
      <c r="I775">
        <v>87291.271599999993</v>
      </c>
      <c r="J775">
        <f t="shared" si="111"/>
        <v>24</v>
      </c>
      <c r="K775">
        <f t="shared" si="112"/>
        <v>3637.1363166666665</v>
      </c>
      <c r="L775">
        <f t="shared" si="113"/>
        <v>113465.02212415112</v>
      </c>
      <c r="M775">
        <f t="shared" si="114"/>
        <v>3637.1363166666665</v>
      </c>
      <c r="N775">
        <f t="shared" si="115"/>
        <v>0</v>
      </c>
      <c r="O775">
        <f t="shared" si="116"/>
        <v>117102.15844081779</v>
      </c>
      <c r="P775">
        <f t="shared" si="117"/>
        <v>84580.046988159636</v>
      </c>
      <c r="Q775">
        <f t="shared" si="118"/>
        <v>2711.2246118403518</v>
      </c>
      <c r="R775">
        <f t="shared" si="119"/>
        <v>0</v>
      </c>
      <c r="S775">
        <f t="shared" si="120"/>
        <v>87291.271599999993</v>
      </c>
    </row>
    <row r="776" spans="1:19" x14ac:dyDescent="0.3">
      <c r="A776" t="s">
        <v>13</v>
      </c>
      <c r="B776" t="s">
        <v>24</v>
      </c>
      <c r="C776" t="s">
        <v>14</v>
      </c>
      <c r="D776">
        <v>22</v>
      </c>
      <c r="E776">
        <v>5</v>
      </c>
      <c r="F776">
        <v>0</v>
      </c>
      <c r="G776">
        <v>20260207</v>
      </c>
      <c r="H776">
        <v>20260305</v>
      </c>
      <c r="I776">
        <v>106069.8944</v>
      </c>
      <c r="J776">
        <f t="shared" si="111"/>
        <v>27</v>
      </c>
      <c r="K776">
        <f t="shared" si="112"/>
        <v>3928.5146074074078</v>
      </c>
      <c r="L776">
        <f t="shared" si="113"/>
        <v>117226.45745324543</v>
      </c>
      <c r="M776">
        <f t="shared" si="114"/>
        <v>19642.57303703704</v>
      </c>
      <c r="N776">
        <f t="shared" si="115"/>
        <v>0</v>
      </c>
      <c r="O776">
        <f t="shared" si="116"/>
        <v>136869.03049028246</v>
      </c>
      <c r="P776">
        <f t="shared" si="117"/>
        <v>90847.417552465602</v>
      </c>
      <c r="Q776">
        <f t="shared" si="118"/>
        <v>15222.476847534412</v>
      </c>
      <c r="R776">
        <f t="shared" si="119"/>
        <v>0</v>
      </c>
      <c r="S776">
        <f t="shared" si="120"/>
        <v>106069.89440000002</v>
      </c>
    </row>
    <row r="777" spans="1:19" x14ac:dyDescent="0.3">
      <c r="A777" t="s">
        <v>13</v>
      </c>
      <c r="B777" t="s">
        <v>37</v>
      </c>
      <c r="C777" t="s">
        <v>14</v>
      </c>
      <c r="D777">
        <v>0</v>
      </c>
      <c r="E777">
        <v>29</v>
      </c>
      <c r="F777">
        <v>4</v>
      </c>
      <c r="G777">
        <v>20260303</v>
      </c>
      <c r="H777">
        <v>20260404</v>
      </c>
      <c r="I777">
        <v>14082.2102</v>
      </c>
      <c r="J777">
        <f t="shared" si="111"/>
        <v>33</v>
      </c>
      <c r="K777">
        <f t="shared" si="112"/>
        <v>426.73364242424242</v>
      </c>
      <c r="L777">
        <f t="shared" si="113"/>
        <v>0</v>
      </c>
      <c r="M777">
        <f t="shared" si="114"/>
        <v>12375.275630303031</v>
      </c>
      <c r="N777">
        <f t="shared" si="115"/>
        <v>1059.3533881560134</v>
      </c>
      <c r="O777">
        <f t="shared" si="116"/>
        <v>13434.629018459043</v>
      </c>
      <c r="P777">
        <f t="shared" si="117"/>
        <v>0</v>
      </c>
      <c r="Q777">
        <f t="shared" si="118"/>
        <v>12971.793450300553</v>
      </c>
      <c r="R777">
        <f t="shared" si="119"/>
        <v>1110.4167496994476</v>
      </c>
      <c r="S777">
        <f t="shared" si="120"/>
        <v>14082.2102</v>
      </c>
    </row>
    <row r="778" spans="1:19" x14ac:dyDescent="0.3">
      <c r="A778" t="s">
        <v>13</v>
      </c>
      <c r="B778" t="s">
        <v>24</v>
      </c>
      <c r="C778" t="s">
        <v>14</v>
      </c>
      <c r="D778">
        <v>0</v>
      </c>
      <c r="E778">
        <v>29</v>
      </c>
      <c r="F778">
        <v>4</v>
      </c>
      <c r="G778">
        <v>20260303</v>
      </c>
      <c r="H778">
        <v>20260404</v>
      </c>
      <c r="I778">
        <v>102096.02280000001</v>
      </c>
      <c r="J778">
        <f t="shared" si="111"/>
        <v>33</v>
      </c>
      <c r="K778">
        <f t="shared" si="112"/>
        <v>3093.8188727272727</v>
      </c>
      <c r="L778">
        <f t="shared" si="113"/>
        <v>0</v>
      </c>
      <c r="M778">
        <f t="shared" si="114"/>
        <v>89720.747309090904</v>
      </c>
      <c r="N778">
        <f t="shared" si="115"/>
        <v>7680.311977620785</v>
      </c>
      <c r="O778">
        <f t="shared" si="116"/>
        <v>97401.059286711694</v>
      </c>
      <c r="P778">
        <f t="shared" si="117"/>
        <v>0</v>
      </c>
      <c r="Q778">
        <f t="shared" si="118"/>
        <v>94045.501455359321</v>
      </c>
      <c r="R778">
        <f t="shared" si="119"/>
        <v>8050.5213446406806</v>
      </c>
      <c r="S778">
        <f t="shared" si="120"/>
        <v>102096.02280000001</v>
      </c>
    </row>
    <row r="779" spans="1:19" x14ac:dyDescent="0.3">
      <c r="A779" t="s">
        <v>13</v>
      </c>
      <c r="B779" t="s">
        <v>24</v>
      </c>
      <c r="C779" t="s">
        <v>14</v>
      </c>
      <c r="D779">
        <v>22</v>
      </c>
      <c r="E779">
        <v>6</v>
      </c>
      <c r="F779">
        <v>0</v>
      </c>
      <c r="G779">
        <v>20260207</v>
      </c>
      <c r="H779">
        <v>20260306</v>
      </c>
      <c r="I779">
        <v>209240.75760000001</v>
      </c>
      <c r="J779">
        <f t="shared" ref="J779:J842" si="121">IF(D779&lt;0,0,D779)+E779+F779</f>
        <v>28</v>
      </c>
      <c r="K779">
        <f t="shared" ref="K779:K842" si="122">I779/J779</f>
        <v>7472.8842000000004</v>
      </c>
      <c r="L779">
        <f t="shared" ref="L779:L842" si="123">IF(D779&lt;0,0,D779)*$K779*$B$6</f>
        <v>222990.06858025971</v>
      </c>
      <c r="M779">
        <f t="shared" ref="M779:M842" si="124">IF(E779&lt;0,0,E779)*$K779*$C$6</f>
        <v>44837.305200000003</v>
      </c>
      <c r="N779">
        <f t="shared" ref="N779:N842" si="125">IF(F779&lt;0,0,F779)*$K779*$D$6</f>
        <v>0</v>
      </c>
      <c r="O779">
        <f t="shared" ref="O779:O842" si="126">L779+M779+N779</f>
        <v>267827.37378025975</v>
      </c>
      <c r="P779">
        <f t="shared" ref="P779:P842" si="127">L779/$O779*$I779</f>
        <v>174211.50881048769</v>
      </c>
      <c r="Q779">
        <f t="shared" ref="Q779:Q842" si="128">M779/$O779*$I779</f>
        <v>35029.24878951229</v>
      </c>
      <c r="R779">
        <f t="shared" ref="R779:R842" si="129">N779/$O779*$I779</f>
        <v>0</v>
      </c>
      <c r="S779">
        <f t="shared" ref="S779:S842" si="130">P779+Q779+R779</f>
        <v>209240.75759999998</v>
      </c>
    </row>
    <row r="780" spans="1:19" x14ac:dyDescent="0.3">
      <c r="A780" t="s">
        <v>13</v>
      </c>
      <c r="B780" t="s">
        <v>24</v>
      </c>
      <c r="C780" t="s">
        <v>14</v>
      </c>
      <c r="D780">
        <v>0</v>
      </c>
      <c r="E780">
        <v>11</v>
      </c>
      <c r="F780">
        <v>0</v>
      </c>
      <c r="G780">
        <v>20260321</v>
      </c>
      <c r="H780">
        <v>20260331</v>
      </c>
      <c r="I780">
        <v>28400.701300000001</v>
      </c>
      <c r="J780">
        <f t="shared" si="121"/>
        <v>11</v>
      </c>
      <c r="K780">
        <f t="shared" si="122"/>
        <v>2581.8819363636362</v>
      </c>
      <c r="L780">
        <f t="shared" si="123"/>
        <v>0</v>
      </c>
      <c r="M780">
        <f t="shared" si="124"/>
        <v>28400.701299999997</v>
      </c>
      <c r="N780">
        <f t="shared" si="125"/>
        <v>0</v>
      </c>
      <c r="O780">
        <f t="shared" si="126"/>
        <v>28400.701299999997</v>
      </c>
      <c r="P780">
        <f t="shared" si="127"/>
        <v>0</v>
      </c>
      <c r="Q780">
        <f t="shared" si="128"/>
        <v>28400.701300000001</v>
      </c>
      <c r="R780">
        <f t="shared" si="129"/>
        <v>0</v>
      </c>
      <c r="S780">
        <f t="shared" si="130"/>
        <v>28400.701300000001</v>
      </c>
    </row>
    <row r="781" spans="1:19" x14ac:dyDescent="0.3">
      <c r="A781" t="s">
        <v>13</v>
      </c>
      <c r="B781" t="s">
        <v>24</v>
      </c>
      <c r="C781" t="s">
        <v>14</v>
      </c>
      <c r="D781">
        <v>0</v>
      </c>
      <c r="E781">
        <v>10</v>
      </c>
      <c r="F781">
        <v>0</v>
      </c>
      <c r="G781">
        <v>20260301</v>
      </c>
      <c r="H781">
        <v>20260310</v>
      </c>
      <c r="I781">
        <v>54193.784099999997</v>
      </c>
      <c r="J781">
        <f t="shared" si="121"/>
        <v>10</v>
      </c>
      <c r="K781">
        <f t="shared" si="122"/>
        <v>5419.3784099999993</v>
      </c>
      <c r="L781">
        <f t="shared" si="123"/>
        <v>0</v>
      </c>
      <c r="M781">
        <f t="shared" si="124"/>
        <v>54193.78409999999</v>
      </c>
      <c r="N781">
        <f t="shared" si="125"/>
        <v>0</v>
      </c>
      <c r="O781">
        <f t="shared" si="126"/>
        <v>54193.78409999999</v>
      </c>
      <c r="P781">
        <f t="shared" si="127"/>
        <v>0</v>
      </c>
      <c r="Q781">
        <f t="shared" si="128"/>
        <v>54193.784099999997</v>
      </c>
      <c r="R781">
        <f t="shared" si="129"/>
        <v>0</v>
      </c>
      <c r="S781">
        <f t="shared" si="130"/>
        <v>54193.784099999997</v>
      </c>
    </row>
    <row r="782" spans="1:19" x14ac:dyDescent="0.3">
      <c r="A782" t="s">
        <v>13</v>
      </c>
      <c r="B782" t="s">
        <v>37</v>
      </c>
      <c r="C782" t="s">
        <v>14</v>
      </c>
      <c r="D782">
        <v>0</v>
      </c>
      <c r="E782">
        <v>26</v>
      </c>
      <c r="F782">
        <v>8</v>
      </c>
      <c r="G782">
        <v>20260306</v>
      </c>
      <c r="H782">
        <v>20260408</v>
      </c>
      <c r="I782">
        <v>7625.3636999999999</v>
      </c>
      <c r="J782">
        <f t="shared" si="121"/>
        <v>34</v>
      </c>
      <c r="K782">
        <f t="shared" si="122"/>
        <v>224.27540294117648</v>
      </c>
      <c r="L782">
        <f t="shared" si="123"/>
        <v>0</v>
      </c>
      <c r="M782">
        <f t="shared" si="124"/>
        <v>5831.160476470588</v>
      </c>
      <c r="N782">
        <f t="shared" si="125"/>
        <v>1113.5138379813538</v>
      </c>
      <c r="O782">
        <f t="shared" si="126"/>
        <v>6944.6743144519423</v>
      </c>
      <c r="P782">
        <f t="shared" si="127"/>
        <v>0</v>
      </c>
      <c r="Q782">
        <f t="shared" si="128"/>
        <v>6402.7076595401986</v>
      </c>
      <c r="R782">
        <f t="shared" si="129"/>
        <v>1222.6560404598013</v>
      </c>
      <c r="S782">
        <f t="shared" si="130"/>
        <v>7625.3636999999999</v>
      </c>
    </row>
    <row r="783" spans="1:19" x14ac:dyDescent="0.3">
      <c r="A783" t="s">
        <v>13</v>
      </c>
      <c r="B783" t="s">
        <v>24</v>
      </c>
      <c r="C783" t="s">
        <v>14</v>
      </c>
      <c r="D783">
        <v>0</v>
      </c>
      <c r="E783">
        <v>26</v>
      </c>
      <c r="F783">
        <v>8</v>
      </c>
      <c r="G783">
        <v>20260306</v>
      </c>
      <c r="H783">
        <v>20260408</v>
      </c>
      <c r="I783">
        <v>24782.432000000001</v>
      </c>
      <c r="J783">
        <f t="shared" si="121"/>
        <v>34</v>
      </c>
      <c r="K783">
        <f t="shared" si="122"/>
        <v>728.89505882352944</v>
      </c>
      <c r="L783">
        <f t="shared" si="123"/>
        <v>0</v>
      </c>
      <c r="M783">
        <f t="shared" si="124"/>
        <v>18951.271529411766</v>
      </c>
      <c r="N783">
        <f t="shared" si="125"/>
        <v>3618.9199697887093</v>
      </c>
      <c r="O783">
        <f t="shared" si="126"/>
        <v>22570.191499200475</v>
      </c>
      <c r="P783">
        <f t="shared" si="127"/>
        <v>0</v>
      </c>
      <c r="Q783">
        <f t="shared" si="128"/>
        <v>20808.799872514166</v>
      </c>
      <c r="R783">
        <f t="shared" si="129"/>
        <v>3973.6321274858378</v>
      </c>
      <c r="S783">
        <f t="shared" si="130"/>
        <v>24782.432000000004</v>
      </c>
    </row>
    <row r="784" spans="1:19" x14ac:dyDescent="0.3">
      <c r="A784" t="s">
        <v>13</v>
      </c>
      <c r="B784" t="s">
        <v>24</v>
      </c>
      <c r="C784" t="s">
        <v>14</v>
      </c>
      <c r="D784">
        <v>0</v>
      </c>
      <c r="E784">
        <v>26</v>
      </c>
      <c r="F784">
        <v>6</v>
      </c>
      <c r="G784">
        <v>20260306</v>
      </c>
      <c r="H784">
        <v>20260406</v>
      </c>
      <c r="I784">
        <v>343824.08020000003</v>
      </c>
      <c r="J784">
        <f t="shared" si="121"/>
        <v>32</v>
      </c>
      <c r="K784">
        <f t="shared" si="122"/>
        <v>10744.502506250001</v>
      </c>
      <c r="L784">
        <f t="shared" si="123"/>
        <v>0</v>
      </c>
      <c r="M784">
        <f t="shared" si="124"/>
        <v>279357.06516250002</v>
      </c>
      <c r="N784">
        <f t="shared" si="125"/>
        <v>40009.354791147234</v>
      </c>
      <c r="O784">
        <f t="shared" si="126"/>
        <v>319366.41995364724</v>
      </c>
      <c r="P784">
        <f t="shared" si="127"/>
        <v>0</v>
      </c>
      <c r="Q784">
        <f t="shared" si="128"/>
        <v>300750.73638239322</v>
      </c>
      <c r="R784">
        <f t="shared" si="129"/>
        <v>43073.343817606845</v>
      </c>
      <c r="S784">
        <f t="shared" si="130"/>
        <v>343824.08020000008</v>
      </c>
    </row>
    <row r="785" spans="1:19" x14ac:dyDescent="0.3">
      <c r="A785" t="s">
        <v>13</v>
      </c>
      <c r="B785" t="s">
        <v>24</v>
      </c>
      <c r="C785" t="s">
        <v>14</v>
      </c>
      <c r="D785">
        <v>0</v>
      </c>
      <c r="E785">
        <v>15</v>
      </c>
      <c r="F785">
        <v>17</v>
      </c>
      <c r="G785">
        <v>20260317</v>
      </c>
      <c r="H785">
        <v>20260417</v>
      </c>
      <c r="I785">
        <v>508421.75459999999</v>
      </c>
      <c r="J785">
        <f t="shared" si="121"/>
        <v>32</v>
      </c>
      <c r="K785">
        <f t="shared" si="122"/>
        <v>15888.17983125</v>
      </c>
      <c r="L785">
        <f t="shared" si="123"/>
        <v>0</v>
      </c>
      <c r="M785">
        <f t="shared" si="124"/>
        <v>238322.69746875</v>
      </c>
      <c r="N785">
        <f t="shared" si="125"/>
        <v>167628.18938076269</v>
      </c>
      <c r="O785">
        <f t="shared" si="126"/>
        <v>405950.8868495127</v>
      </c>
      <c r="P785">
        <f t="shared" si="127"/>
        <v>0</v>
      </c>
      <c r="Q785">
        <f t="shared" si="128"/>
        <v>298480.55006955651</v>
      </c>
      <c r="R785">
        <f t="shared" si="129"/>
        <v>209941.20453044344</v>
      </c>
      <c r="S785">
        <f t="shared" si="130"/>
        <v>508421.75459999999</v>
      </c>
    </row>
    <row r="786" spans="1:19" x14ac:dyDescent="0.3">
      <c r="A786" t="s">
        <v>13</v>
      </c>
      <c r="B786" t="s">
        <v>37</v>
      </c>
      <c r="C786" t="s">
        <v>14</v>
      </c>
      <c r="D786">
        <v>0</v>
      </c>
      <c r="E786">
        <v>29</v>
      </c>
      <c r="F786">
        <v>3</v>
      </c>
      <c r="G786">
        <v>20260303</v>
      </c>
      <c r="H786">
        <v>20260403</v>
      </c>
      <c r="I786">
        <v>34102.076000000001</v>
      </c>
      <c r="J786">
        <f t="shared" si="121"/>
        <v>32</v>
      </c>
      <c r="K786">
        <f t="shared" si="122"/>
        <v>1065.689875</v>
      </c>
      <c r="L786">
        <f t="shared" si="123"/>
        <v>0</v>
      </c>
      <c r="M786">
        <f t="shared" si="124"/>
        <v>30905.006375000001</v>
      </c>
      <c r="N786">
        <f t="shared" si="125"/>
        <v>1984.1572134869148</v>
      </c>
      <c r="O786">
        <f t="shared" si="126"/>
        <v>32889.163588486917</v>
      </c>
      <c r="P786">
        <f t="shared" si="127"/>
        <v>0</v>
      </c>
      <c r="Q786">
        <f t="shared" si="128"/>
        <v>32044.745478102348</v>
      </c>
      <c r="R786">
        <f t="shared" si="129"/>
        <v>2057.3305218976507</v>
      </c>
      <c r="S786">
        <f t="shared" si="130"/>
        <v>34102.076000000001</v>
      </c>
    </row>
    <row r="787" spans="1:19" x14ac:dyDescent="0.3">
      <c r="A787" t="s">
        <v>13</v>
      </c>
      <c r="B787" t="s">
        <v>24</v>
      </c>
      <c r="C787" t="s">
        <v>15</v>
      </c>
      <c r="D787">
        <v>22</v>
      </c>
      <c r="E787">
        <v>5</v>
      </c>
      <c r="F787">
        <v>0</v>
      </c>
      <c r="G787">
        <v>20260207</v>
      </c>
      <c r="H787">
        <v>20260305</v>
      </c>
      <c r="I787">
        <v>507171.12709999998</v>
      </c>
      <c r="J787">
        <f t="shared" si="121"/>
        <v>27</v>
      </c>
      <c r="K787">
        <f t="shared" si="122"/>
        <v>18784.11581851852</v>
      </c>
      <c r="L787">
        <f t="shared" si="123"/>
        <v>560516.01530115854</v>
      </c>
      <c r="M787">
        <f t="shared" si="124"/>
        <v>93920.579092592598</v>
      </c>
      <c r="N787">
        <f t="shared" si="125"/>
        <v>0</v>
      </c>
      <c r="O787">
        <f t="shared" si="126"/>
        <v>654436.59439375112</v>
      </c>
      <c r="P787">
        <f t="shared" si="127"/>
        <v>434385.15155350522</v>
      </c>
      <c r="Q787">
        <f t="shared" si="128"/>
        <v>72785.975546494767</v>
      </c>
      <c r="R787">
        <f t="shared" si="129"/>
        <v>0</v>
      </c>
      <c r="S787">
        <f t="shared" si="130"/>
        <v>507171.12709999998</v>
      </c>
    </row>
    <row r="788" spans="1:19" x14ac:dyDescent="0.3">
      <c r="A788" t="s">
        <v>13</v>
      </c>
      <c r="B788" t="s">
        <v>24</v>
      </c>
      <c r="C788" t="s">
        <v>14</v>
      </c>
      <c r="D788">
        <v>0</v>
      </c>
      <c r="E788">
        <v>28</v>
      </c>
      <c r="F788">
        <v>7</v>
      </c>
      <c r="G788">
        <v>20260304</v>
      </c>
      <c r="H788">
        <v>20260407</v>
      </c>
      <c r="I788">
        <v>132329.56570000001</v>
      </c>
      <c r="J788">
        <f t="shared" si="121"/>
        <v>35</v>
      </c>
      <c r="K788">
        <f t="shared" si="122"/>
        <v>3780.8447342857144</v>
      </c>
      <c r="L788">
        <f t="shared" si="123"/>
        <v>0</v>
      </c>
      <c r="M788">
        <f t="shared" si="124"/>
        <v>105863.65256</v>
      </c>
      <c r="N788">
        <f t="shared" si="125"/>
        <v>16425.207651913155</v>
      </c>
      <c r="O788">
        <f t="shared" si="126"/>
        <v>122288.86021191315</v>
      </c>
      <c r="P788">
        <f t="shared" si="127"/>
        <v>0</v>
      </c>
      <c r="Q788">
        <f t="shared" si="128"/>
        <v>114555.74238245926</v>
      </c>
      <c r="R788">
        <f t="shared" si="129"/>
        <v>17773.823317540762</v>
      </c>
      <c r="S788">
        <f t="shared" si="130"/>
        <v>132329.56570000001</v>
      </c>
    </row>
    <row r="789" spans="1:19" x14ac:dyDescent="0.3">
      <c r="A789" t="s">
        <v>13</v>
      </c>
      <c r="B789" t="s">
        <v>24</v>
      </c>
      <c r="C789" t="s">
        <v>15</v>
      </c>
      <c r="D789">
        <v>0</v>
      </c>
      <c r="E789">
        <v>24</v>
      </c>
      <c r="F789">
        <v>6</v>
      </c>
      <c r="G789">
        <v>20260308</v>
      </c>
      <c r="H789">
        <v>20260406</v>
      </c>
      <c r="I789">
        <v>234822.18520000001</v>
      </c>
      <c r="J789">
        <f t="shared" si="121"/>
        <v>30</v>
      </c>
      <c r="K789">
        <f t="shared" si="122"/>
        <v>7827.4061733333338</v>
      </c>
      <c r="L789">
        <f t="shared" si="123"/>
        <v>0</v>
      </c>
      <c r="M789">
        <f t="shared" si="124"/>
        <v>187857.74816000002</v>
      </c>
      <c r="N789">
        <f t="shared" si="125"/>
        <v>29146.949381894694</v>
      </c>
      <c r="O789">
        <f t="shared" si="126"/>
        <v>217004.69754189471</v>
      </c>
      <c r="P789">
        <f t="shared" si="127"/>
        <v>0</v>
      </c>
      <c r="Q789">
        <f t="shared" si="128"/>
        <v>203282.08296581247</v>
      </c>
      <c r="R789">
        <f t="shared" si="129"/>
        <v>31540.102234187529</v>
      </c>
      <c r="S789">
        <f t="shared" si="130"/>
        <v>234822.18520000001</v>
      </c>
    </row>
    <row r="790" spans="1:19" x14ac:dyDescent="0.3">
      <c r="A790" t="s">
        <v>13</v>
      </c>
      <c r="B790" t="s">
        <v>24</v>
      </c>
      <c r="C790" t="s">
        <v>14</v>
      </c>
      <c r="D790">
        <v>19</v>
      </c>
      <c r="E790">
        <v>4</v>
      </c>
      <c r="F790">
        <v>0</v>
      </c>
      <c r="G790">
        <v>20260210</v>
      </c>
      <c r="H790">
        <v>20260304</v>
      </c>
      <c r="I790">
        <v>38892.402499999997</v>
      </c>
      <c r="J790">
        <f t="shared" si="121"/>
        <v>23</v>
      </c>
      <c r="K790">
        <f t="shared" si="122"/>
        <v>1690.9740217391302</v>
      </c>
      <c r="L790">
        <f t="shared" si="123"/>
        <v>43577.782241426205</v>
      </c>
      <c r="M790">
        <f t="shared" si="124"/>
        <v>6763.8960869565208</v>
      </c>
      <c r="N790">
        <f t="shared" si="125"/>
        <v>0</v>
      </c>
      <c r="O790">
        <f t="shared" si="126"/>
        <v>50341.678328382724</v>
      </c>
      <c r="P790">
        <f t="shared" si="127"/>
        <v>33666.828426642736</v>
      </c>
      <c r="Q790">
        <f t="shared" si="128"/>
        <v>5225.5740733572629</v>
      </c>
      <c r="R790">
        <f t="shared" si="129"/>
        <v>0</v>
      </c>
      <c r="S790">
        <f t="shared" si="130"/>
        <v>38892.402499999997</v>
      </c>
    </row>
    <row r="791" spans="1:19" x14ac:dyDescent="0.3">
      <c r="A791" t="s">
        <v>13</v>
      </c>
      <c r="B791" t="s">
        <v>24</v>
      </c>
      <c r="C791" t="s">
        <v>15</v>
      </c>
      <c r="D791">
        <v>9</v>
      </c>
      <c r="E791">
        <v>18</v>
      </c>
      <c r="F791">
        <v>0</v>
      </c>
      <c r="G791">
        <v>20260220</v>
      </c>
      <c r="H791">
        <v>20260318</v>
      </c>
      <c r="I791">
        <v>60321.000699999997</v>
      </c>
      <c r="J791">
        <f t="shared" si="121"/>
        <v>27</v>
      </c>
      <c r="K791">
        <f t="shared" si="122"/>
        <v>2234.1111370370368</v>
      </c>
      <c r="L791">
        <f t="shared" si="123"/>
        <v>27272.30660622245</v>
      </c>
      <c r="M791">
        <f t="shared" si="124"/>
        <v>40214.000466666665</v>
      </c>
      <c r="N791">
        <f t="shared" si="125"/>
        <v>0</v>
      </c>
      <c r="O791">
        <f t="shared" si="126"/>
        <v>67486.307072889118</v>
      </c>
      <c r="P791">
        <f t="shared" si="127"/>
        <v>24376.690579731432</v>
      </c>
      <c r="Q791">
        <f t="shared" si="128"/>
        <v>35944.310120268558</v>
      </c>
      <c r="R791">
        <f t="shared" si="129"/>
        <v>0</v>
      </c>
      <c r="S791">
        <f t="shared" si="130"/>
        <v>60321.00069999999</v>
      </c>
    </row>
    <row r="792" spans="1:19" x14ac:dyDescent="0.3">
      <c r="A792" t="s">
        <v>13</v>
      </c>
      <c r="B792" t="s">
        <v>37</v>
      </c>
      <c r="C792" t="s">
        <v>14</v>
      </c>
      <c r="D792">
        <v>0</v>
      </c>
      <c r="E792">
        <v>25</v>
      </c>
      <c r="F792">
        <v>4</v>
      </c>
      <c r="G792">
        <v>20260307</v>
      </c>
      <c r="H792">
        <v>20260404</v>
      </c>
      <c r="I792">
        <v>569.56050000000005</v>
      </c>
      <c r="J792">
        <f t="shared" si="121"/>
        <v>29</v>
      </c>
      <c r="K792">
        <f t="shared" si="122"/>
        <v>19.640017241379311</v>
      </c>
      <c r="L792">
        <f t="shared" si="123"/>
        <v>0</v>
      </c>
      <c r="M792">
        <f t="shared" si="124"/>
        <v>491.0004310344828</v>
      </c>
      <c r="N792">
        <f t="shared" si="125"/>
        <v>48.755750050316948</v>
      </c>
      <c r="O792">
        <f t="shared" si="126"/>
        <v>539.75618108479978</v>
      </c>
      <c r="P792">
        <f t="shared" si="127"/>
        <v>0</v>
      </c>
      <c r="Q792">
        <f t="shared" si="128"/>
        <v>518.11254933323255</v>
      </c>
      <c r="R792">
        <f t="shared" si="129"/>
        <v>51.447950666767397</v>
      </c>
      <c r="S792">
        <f t="shared" si="130"/>
        <v>569.56049999999993</v>
      </c>
    </row>
    <row r="793" spans="1:19" x14ac:dyDescent="0.3">
      <c r="A793" t="s">
        <v>13</v>
      </c>
      <c r="B793" t="s">
        <v>24</v>
      </c>
      <c r="C793" t="s">
        <v>14</v>
      </c>
      <c r="D793">
        <v>0</v>
      </c>
      <c r="E793">
        <v>28</v>
      </c>
      <c r="F793">
        <v>4</v>
      </c>
      <c r="G793">
        <v>20260304</v>
      </c>
      <c r="H793">
        <v>20260404</v>
      </c>
      <c r="I793">
        <v>29301.3508</v>
      </c>
      <c r="J793">
        <f t="shared" si="121"/>
        <v>32</v>
      </c>
      <c r="K793">
        <f t="shared" si="122"/>
        <v>915.66721250000001</v>
      </c>
      <c r="L793">
        <f t="shared" si="123"/>
        <v>0</v>
      </c>
      <c r="M793">
        <f t="shared" si="124"/>
        <v>25638.681949999998</v>
      </c>
      <c r="N793">
        <f t="shared" si="125"/>
        <v>2273.1162194634167</v>
      </c>
      <c r="O793">
        <f t="shared" si="126"/>
        <v>27911.798169463415</v>
      </c>
      <c r="P793">
        <f t="shared" si="127"/>
        <v>0</v>
      </c>
      <c r="Q793">
        <f t="shared" si="128"/>
        <v>26915.070441017746</v>
      </c>
      <c r="R793">
        <f t="shared" si="129"/>
        <v>2386.2803589822533</v>
      </c>
      <c r="S793">
        <f t="shared" si="130"/>
        <v>29301.3508</v>
      </c>
    </row>
    <row r="794" spans="1:19" x14ac:dyDescent="0.3">
      <c r="A794" t="s">
        <v>13</v>
      </c>
      <c r="B794" t="s">
        <v>24</v>
      </c>
      <c r="C794" t="s">
        <v>15</v>
      </c>
      <c r="D794">
        <v>0</v>
      </c>
      <c r="E794">
        <v>24</v>
      </c>
      <c r="F794">
        <v>4</v>
      </c>
      <c r="G794">
        <v>20260308</v>
      </c>
      <c r="H794">
        <v>20260404</v>
      </c>
      <c r="I794">
        <v>92835.796799999996</v>
      </c>
      <c r="J794">
        <f t="shared" si="121"/>
        <v>28</v>
      </c>
      <c r="K794">
        <f t="shared" si="122"/>
        <v>3315.5641714285712</v>
      </c>
      <c r="L794">
        <f t="shared" si="123"/>
        <v>0</v>
      </c>
      <c r="M794">
        <f t="shared" si="124"/>
        <v>79573.540114285715</v>
      </c>
      <c r="N794">
        <f t="shared" si="125"/>
        <v>8230.7879891965313</v>
      </c>
      <c r="O794">
        <f t="shared" si="126"/>
        <v>87804.328103482243</v>
      </c>
      <c r="P794">
        <f t="shared" si="127"/>
        <v>0</v>
      </c>
      <c r="Q794">
        <f t="shared" si="128"/>
        <v>84133.358346528985</v>
      </c>
      <c r="R794">
        <f t="shared" si="129"/>
        <v>8702.4384534710171</v>
      </c>
      <c r="S794">
        <f t="shared" si="130"/>
        <v>92835.796799999996</v>
      </c>
    </row>
    <row r="795" spans="1:19" x14ac:dyDescent="0.3">
      <c r="A795" t="s">
        <v>13</v>
      </c>
      <c r="B795" t="s">
        <v>24</v>
      </c>
      <c r="C795" t="s">
        <v>15</v>
      </c>
      <c r="D795">
        <v>12</v>
      </c>
      <c r="E795">
        <v>15</v>
      </c>
      <c r="F795">
        <v>0</v>
      </c>
      <c r="G795">
        <v>20260217</v>
      </c>
      <c r="H795">
        <v>20260315</v>
      </c>
      <c r="I795">
        <v>224693.149</v>
      </c>
      <c r="J795">
        <f t="shared" si="121"/>
        <v>27</v>
      </c>
      <c r="K795">
        <f t="shared" si="122"/>
        <v>8321.9684814814809</v>
      </c>
      <c r="L795">
        <f t="shared" si="123"/>
        <v>135450.90169225534</v>
      </c>
      <c r="M795">
        <f t="shared" si="124"/>
        <v>124829.52722222221</v>
      </c>
      <c r="N795">
        <f t="shared" si="125"/>
        <v>0</v>
      </c>
      <c r="O795">
        <f t="shared" si="126"/>
        <v>260280.42891447755</v>
      </c>
      <c r="P795">
        <f t="shared" si="127"/>
        <v>116931.14908045014</v>
      </c>
      <c r="Q795">
        <f t="shared" si="128"/>
        <v>107761.99991954985</v>
      </c>
      <c r="R795">
        <f t="shared" si="129"/>
        <v>0</v>
      </c>
      <c r="S795">
        <f t="shared" si="130"/>
        <v>224693.14899999998</v>
      </c>
    </row>
    <row r="796" spans="1:19" x14ac:dyDescent="0.3">
      <c r="A796" t="s">
        <v>13</v>
      </c>
      <c r="B796" t="s">
        <v>24</v>
      </c>
      <c r="C796" t="s">
        <v>14</v>
      </c>
      <c r="D796">
        <v>0</v>
      </c>
      <c r="E796">
        <v>23</v>
      </c>
      <c r="F796">
        <v>8</v>
      </c>
      <c r="G796">
        <v>20260309</v>
      </c>
      <c r="H796">
        <v>20260408</v>
      </c>
      <c r="I796">
        <v>103815.7055</v>
      </c>
      <c r="J796">
        <f t="shared" si="121"/>
        <v>31</v>
      </c>
      <c r="K796">
        <f t="shared" si="122"/>
        <v>3348.8937258064516</v>
      </c>
      <c r="L796">
        <f t="shared" si="123"/>
        <v>0</v>
      </c>
      <c r="M796">
        <f t="shared" si="124"/>
        <v>77024.555693548391</v>
      </c>
      <c r="N796">
        <f t="shared" si="125"/>
        <v>16627.055204054097</v>
      </c>
      <c r="O796">
        <f t="shared" si="126"/>
        <v>93651.610897602484</v>
      </c>
      <c r="P796">
        <f t="shared" si="127"/>
        <v>0</v>
      </c>
      <c r="Q796">
        <f t="shared" si="128"/>
        <v>85384.100855380777</v>
      </c>
      <c r="R796">
        <f t="shared" si="129"/>
        <v>18431.604644619227</v>
      </c>
      <c r="S796">
        <f t="shared" si="130"/>
        <v>103815.70550000001</v>
      </c>
    </row>
    <row r="797" spans="1:19" x14ac:dyDescent="0.3">
      <c r="A797" t="s">
        <v>13</v>
      </c>
      <c r="B797" t="s">
        <v>24</v>
      </c>
      <c r="C797" t="s">
        <v>14</v>
      </c>
      <c r="D797">
        <v>10</v>
      </c>
      <c r="E797">
        <v>15</v>
      </c>
      <c r="F797">
        <v>0</v>
      </c>
      <c r="G797">
        <v>20260219</v>
      </c>
      <c r="H797">
        <v>20260315</v>
      </c>
      <c r="I797">
        <v>46196.012900000002</v>
      </c>
      <c r="J797">
        <f t="shared" si="121"/>
        <v>25</v>
      </c>
      <c r="K797">
        <f t="shared" si="122"/>
        <v>1847.840516</v>
      </c>
      <c r="L797">
        <f t="shared" si="123"/>
        <v>25063.347355120535</v>
      </c>
      <c r="M797">
        <f t="shared" si="124"/>
        <v>27717.607739999999</v>
      </c>
      <c r="N797">
        <f t="shared" si="125"/>
        <v>0</v>
      </c>
      <c r="O797">
        <f t="shared" si="126"/>
        <v>52780.955095120531</v>
      </c>
      <c r="P797">
        <f t="shared" si="127"/>
        <v>21936.448774898494</v>
      </c>
      <c r="Q797">
        <f t="shared" si="128"/>
        <v>24259.564125101515</v>
      </c>
      <c r="R797">
        <f t="shared" si="129"/>
        <v>0</v>
      </c>
      <c r="S797">
        <f t="shared" si="130"/>
        <v>46196.012900000009</v>
      </c>
    </row>
    <row r="798" spans="1:19" x14ac:dyDescent="0.3">
      <c r="A798" t="s">
        <v>13</v>
      </c>
      <c r="B798" t="s">
        <v>24</v>
      </c>
      <c r="C798" t="s">
        <v>15</v>
      </c>
      <c r="D798">
        <v>26</v>
      </c>
      <c r="E798">
        <v>9</v>
      </c>
      <c r="F798">
        <v>0</v>
      </c>
      <c r="G798">
        <v>20260203</v>
      </c>
      <c r="H798">
        <v>20260309</v>
      </c>
      <c r="I798">
        <v>44819.383000000002</v>
      </c>
      <c r="J798">
        <f t="shared" si="121"/>
        <v>35</v>
      </c>
      <c r="K798">
        <f t="shared" si="122"/>
        <v>1280.5538000000001</v>
      </c>
      <c r="L798">
        <f t="shared" si="123"/>
        <v>45159.150634421334</v>
      </c>
      <c r="M798">
        <f t="shared" si="124"/>
        <v>11524.984200000001</v>
      </c>
      <c r="N798">
        <f t="shared" si="125"/>
        <v>0</v>
      </c>
      <c r="O798">
        <f t="shared" si="126"/>
        <v>56684.134834421333</v>
      </c>
      <c r="P798">
        <f t="shared" si="127"/>
        <v>35706.733006529888</v>
      </c>
      <c r="Q798">
        <f t="shared" si="128"/>
        <v>9112.6499934701151</v>
      </c>
      <c r="R798">
        <f t="shared" si="129"/>
        <v>0</v>
      </c>
      <c r="S798">
        <f t="shared" si="130"/>
        <v>44819.383000000002</v>
      </c>
    </row>
    <row r="799" spans="1:19" x14ac:dyDescent="0.3">
      <c r="A799" t="s">
        <v>13</v>
      </c>
      <c r="B799" t="s">
        <v>24</v>
      </c>
      <c r="C799" t="s">
        <v>14</v>
      </c>
      <c r="D799">
        <v>20</v>
      </c>
      <c r="E799">
        <v>8</v>
      </c>
      <c r="F799">
        <v>0</v>
      </c>
      <c r="G799">
        <v>20260209</v>
      </c>
      <c r="H799">
        <v>20260308</v>
      </c>
      <c r="I799">
        <v>1563.9629</v>
      </c>
      <c r="J799">
        <f t="shared" si="121"/>
        <v>28</v>
      </c>
      <c r="K799">
        <f t="shared" si="122"/>
        <v>55.85581785714286</v>
      </c>
      <c r="L799">
        <f t="shared" si="123"/>
        <v>1515.2105959753899</v>
      </c>
      <c r="M799">
        <f t="shared" si="124"/>
        <v>446.84654285714288</v>
      </c>
      <c r="N799">
        <f t="shared" si="125"/>
        <v>0</v>
      </c>
      <c r="O799">
        <f t="shared" si="126"/>
        <v>1962.0571388325327</v>
      </c>
      <c r="P799">
        <f t="shared" si="127"/>
        <v>1207.779891263739</v>
      </c>
      <c r="Q799">
        <f t="shared" si="128"/>
        <v>356.18300873626112</v>
      </c>
      <c r="R799">
        <f t="shared" si="129"/>
        <v>0</v>
      </c>
      <c r="S799">
        <f t="shared" si="130"/>
        <v>1563.9629000000002</v>
      </c>
    </row>
    <row r="800" spans="1:19" x14ac:dyDescent="0.3">
      <c r="A800" t="s">
        <v>13</v>
      </c>
      <c r="B800" t="s">
        <v>37</v>
      </c>
      <c r="C800" t="s">
        <v>14</v>
      </c>
      <c r="D800">
        <v>0</v>
      </c>
      <c r="E800">
        <v>24</v>
      </c>
      <c r="F800">
        <v>4</v>
      </c>
      <c r="G800">
        <v>20260308</v>
      </c>
      <c r="H800">
        <v>20260404</v>
      </c>
      <c r="I800">
        <v>361.0883</v>
      </c>
      <c r="J800">
        <f t="shared" si="121"/>
        <v>28</v>
      </c>
      <c r="K800">
        <f t="shared" si="122"/>
        <v>12.896010714285714</v>
      </c>
      <c r="L800">
        <f t="shared" si="123"/>
        <v>0</v>
      </c>
      <c r="M800">
        <f t="shared" si="124"/>
        <v>309.50425714285711</v>
      </c>
      <c r="N800">
        <f t="shared" si="125"/>
        <v>32.013957386310643</v>
      </c>
      <c r="O800">
        <f t="shared" si="126"/>
        <v>341.51821452916778</v>
      </c>
      <c r="P800">
        <f t="shared" si="127"/>
        <v>0</v>
      </c>
      <c r="Q800">
        <f t="shared" si="128"/>
        <v>327.23984051202711</v>
      </c>
      <c r="R800">
        <f t="shared" si="129"/>
        <v>33.848459487972846</v>
      </c>
      <c r="S800">
        <f t="shared" si="130"/>
        <v>361.08829999999995</v>
      </c>
    </row>
    <row r="801" spans="1:19" x14ac:dyDescent="0.3">
      <c r="A801" t="s">
        <v>13</v>
      </c>
      <c r="B801" t="s">
        <v>37</v>
      </c>
      <c r="C801" t="s">
        <v>14</v>
      </c>
      <c r="D801">
        <v>0</v>
      </c>
      <c r="E801">
        <v>14</v>
      </c>
      <c r="F801">
        <v>17</v>
      </c>
      <c r="G801">
        <v>20260318</v>
      </c>
      <c r="H801">
        <v>20260417</v>
      </c>
      <c r="I801">
        <v>68165.440100000007</v>
      </c>
      <c r="J801">
        <f t="shared" si="121"/>
        <v>31</v>
      </c>
      <c r="K801">
        <f t="shared" si="122"/>
        <v>2198.8851645161294</v>
      </c>
      <c r="L801">
        <f t="shared" si="123"/>
        <v>0</v>
      </c>
      <c r="M801">
        <f t="shared" si="124"/>
        <v>30784.39230322581</v>
      </c>
      <c r="N801">
        <f t="shared" si="125"/>
        <v>23199.330741403126</v>
      </c>
      <c r="O801">
        <f t="shared" si="126"/>
        <v>53983.723044628932</v>
      </c>
      <c r="P801">
        <f t="shared" si="127"/>
        <v>0</v>
      </c>
      <c r="Q801">
        <f t="shared" si="128"/>
        <v>38871.562226740898</v>
      </c>
      <c r="R801">
        <f t="shared" si="129"/>
        <v>29293.877873259113</v>
      </c>
      <c r="S801">
        <f t="shared" si="130"/>
        <v>68165.440100000007</v>
      </c>
    </row>
    <row r="802" spans="1:19" x14ac:dyDescent="0.3">
      <c r="A802" t="s">
        <v>13</v>
      </c>
      <c r="B802" t="s">
        <v>24</v>
      </c>
      <c r="C802" t="s">
        <v>15</v>
      </c>
      <c r="D802">
        <v>0</v>
      </c>
      <c r="E802">
        <v>17</v>
      </c>
      <c r="F802">
        <v>0</v>
      </c>
      <c r="G802">
        <v>20260302</v>
      </c>
      <c r="H802">
        <v>20260318</v>
      </c>
      <c r="I802">
        <v>8401.9482000000007</v>
      </c>
      <c r="J802">
        <f t="shared" si="121"/>
        <v>17</v>
      </c>
      <c r="K802">
        <f t="shared" si="122"/>
        <v>494.23224705882359</v>
      </c>
      <c r="L802">
        <f t="shared" si="123"/>
        <v>0</v>
      </c>
      <c r="M802">
        <f t="shared" si="124"/>
        <v>8401.9482000000007</v>
      </c>
      <c r="N802">
        <f t="shared" si="125"/>
        <v>0</v>
      </c>
      <c r="O802">
        <f t="shared" si="126"/>
        <v>8401.9482000000007</v>
      </c>
      <c r="P802">
        <f t="shared" si="127"/>
        <v>0</v>
      </c>
      <c r="Q802">
        <f t="shared" si="128"/>
        <v>8401.9482000000007</v>
      </c>
      <c r="R802">
        <f t="shared" si="129"/>
        <v>0</v>
      </c>
      <c r="S802">
        <f t="shared" si="130"/>
        <v>8401.9482000000007</v>
      </c>
    </row>
    <row r="803" spans="1:19" x14ac:dyDescent="0.3">
      <c r="A803" t="s">
        <v>13</v>
      </c>
      <c r="B803" t="s">
        <v>24</v>
      </c>
      <c r="C803" t="s">
        <v>14</v>
      </c>
      <c r="D803">
        <v>0</v>
      </c>
      <c r="E803">
        <v>23</v>
      </c>
      <c r="F803">
        <v>2</v>
      </c>
      <c r="G803">
        <v>20260309</v>
      </c>
      <c r="H803">
        <v>20260402</v>
      </c>
      <c r="I803">
        <v>852.58979999999997</v>
      </c>
      <c r="J803">
        <f t="shared" si="121"/>
        <v>25</v>
      </c>
      <c r="K803">
        <f t="shared" si="122"/>
        <v>34.103591999999999</v>
      </c>
      <c r="L803">
        <f t="shared" si="123"/>
        <v>0</v>
      </c>
      <c r="M803">
        <f t="shared" si="124"/>
        <v>784.38261599999998</v>
      </c>
      <c r="N803">
        <f t="shared" si="125"/>
        <v>42.330568933177133</v>
      </c>
      <c r="O803">
        <f t="shared" si="126"/>
        <v>826.7131849331771</v>
      </c>
      <c r="P803">
        <f t="shared" si="127"/>
        <v>0</v>
      </c>
      <c r="Q803">
        <f t="shared" si="128"/>
        <v>808.93425904773983</v>
      </c>
      <c r="R803">
        <f t="shared" si="129"/>
        <v>43.655540952260118</v>
      </c>
      <c r="S803">
        <f t="shared" si="130"/>
        <v>852.58979999999997</v>
      </c>
    </row>
    <row r="804" spans="1:19" x14ac:dyDescent="0.3">
      <c r="A804" t="s">
        <v>13</v>
      </c>
      <c r="B804" t="s">
        <v>24</v>
      </c>
      <c r="C804" t="s">
        <v>15</v>
      </c>
      <c r="D804">
        <v>24</v>
      </c>
      <c r="E804">
        <v>9</v>
      </c>
      <c r="F804">
        <v>0</v>
      </c>
      <c r="G804">
        <v>20260205</v>
      </c>
      <c r="H804">
        <v>20260309</v>
      </c>
      <c r="I804">
        <v>127074.5003</v>
      </c>
      <c r="J804">
        <f t="shared" si="121"/>
        <v>33</v>
      </c>
      <c r="K804">
        <f t="shared" si="122"/>
        <v>3850.7424333333333</v>
      </c>
      <c r="L804">
        <f t="shared" si="123"/>
        <v>125351.7207954569</v>
      </c>
      <c r="M804">
        <f t="shared" si="124"/>
        <v>34656.681900000003</v>
      </c>
      <c r="N804">
        <f t="shared" si="125"/>
        <v>0</v>
      </c>
      <c r="O804">
        <f t="shared" si="126"/>
        <v>160008.4026954569</v>
      </c>
      <c r="P804">
        <f t="shared" si="127"/>
        <v>99551.067403287539</v>
      </c>
      <c r="Q804">
        <f t="shared" si="128"/>
        <v>27523.432896712471</v>
      </c>
      <c r="R804">
        <f t="shared" si="129"/>
        <v>0</v>
      </c>
      <c r="S804">
        <f t="shared" si="130"/>
        <v>127074.50030000001</v>
      </c>
    </row>
    <row r="805" spans="1:19" x14ac:dyDescent="0.3">
      <c r="A805" t="s">
        <v>13</v>
      </c>
      <c r="B805" t="s">
        <v>24</v>
      </c>
      <c r="C805" t="s">
        <v>15</v>
      </c>
      <c r="D805">
        <v>0</v>
      </c>
      <c r="E805">
        <v>14</v>
      </c>
      <c r="F805">
        <v>0</v>
      </c>
      <c r="G805">
        <v>20260306</v>
      </c>
      <c r="H805">
        <v>20260319</v>
      </c>
      <c r="I805">
        <v>24647.1656</v>
      </c>
      <c r="J805">
        <f t="shared" si="121"/>
        <v>14</v>
      </c>
      <c r="K805">
        <f t="shared" si="122"/>
        <v>1760.5118285714286</v>
      </c>
      <c r="L805">
        <f t="shared" si="123"/>
        <v>0</v>
      </c>
      <c r="M805">
        <f t="shared" si="124"/>
        <v>24647.1656</v>
      </c>
      <c r="N805">
        <f t="shared" si="125"/>
        <v>0</v>
      </c>
      <c r="O805">
        <f t="shared" si="126"/>
        <v>24647.1656</v>
      </c>
      <c r="P805">
        <f t="shared" si="127"/>
        <v>0</v>
      </c>
      <c r="Q805">
        <f t="shared" si="128"/>
        <v>24647.1656</v>
      </c>
      <c r="R805">
        <f t="shared" si="129"/>
        <v>0</v>
      </c>
      <c r="S805">
        <f t="shared" si="130"/>
        <v>24647.1656</v>
      </c>
    </row>
    <row r="806" spans="1:19" x14ac:dyDescent="0.3">
      <c r="A806" t="s">
        <v>13</v>
      </c>
      <c r="B806" t="s">
        <v>24</v>
      </c>
      <c r="C806" t="s">
        <v>14</v>
      </c>
      <c r="D806">
        <v>21</v>
      </c>
      <c r="E806">
        <v>7</v>
      </c>
      <c r="F806">
        <v>0</v>
      </c>
      <c r="G806">
        <v>20260208</v>
      </c>
      <c r="H806">
        <v>20260307</v>
      </c>
      <c r="I806">
        <v>13438.7986</v>
      </c>
      <c r="J806">
        <f t="shared" si="121"/>
        <v>28</v>
      </c>
      <c r="K806">
        <f t="shared" si="122"/>
        <v>479.95709285714287</v>
      </c>
      <c r="L806">
        <f t="shared" si="123"/>
        <v>13670.874505842941</v>
      </c>
      <c r="M806">
        <f t="shared" si="124"/>
        <v>3359.69965</v>
      </c>
      <c r="N806">
        <f t="shared" si="125"/>
        <v>0</v>
      </c>
      <c r="O806">
        <f t="shared" si="126"/>
        <v>17030.57415584294</v>
      </c>
      <c r="P806">
        <f t="shared" si="127"/>
        <v>10787.665024603186</v>
      </c>
      <c r="Q806">
        <f t="shared" si="128"/>
        <v>2651.1335753968151</v>
      </c>
      <c r="R806">
        <f t="shared" si="129"/>
        <v>0</v>
      </c>
      <c r="S806">
        <f t="shared" si="130"/>
        <v>13438.798600000002</v>
      </c>
    </row>
    <row r="807" spans="1:19" x14ac:dyDescent="0.3">
      <c r="A807" t="s">
        <v>13</v>
      </c>
      <c r="B807" t="s">
        <v>24</v>
      </c>
      <c r="C807" t="s">
        <v>15</v>
      </c>
      <c r="D807">
        <v>0</v>
      </c>
      <c r="E807">
        <v>29</v>
      </c>
      <c r="F807">
        <v>0</v>
      </c>
      <c r="G807">
        <v>20260302</v>
      </c>
      <c r="H807">
        <v>20260330</v>
      </c>
      <c r="I807">
        <v>22706.839800000002</v>
      </c>
      <c r="J807">
        <f t="shared" si="121"/>
        <v>29</v>
      </c>
      <c r="K807">
        <f t="shared" si="122"/>
        <v>782.99447586206907</v>
      </c>
      <c r="L807">
        <f t="shared" si="123"/>
        <v>0</v>
      </c>
      <c r="M807">
        <f t="shared" si="124"/>
        <v>22706.839800000002</v>
      </c>
      <c r="N807">
        <f t="shared" si="125"/>
        <v>0</v>
      </c>
      <c r="O807">
        <f t="shared" si="126"/>
        <v>22706.839800000002</v>
      </c>
      <c r="P807">
        <f t="shared" si="127"/>
        <v>0</v>
      </c>
      <c r="Q807">
        <f t="shared" si="128"/>
        <v>22706.839800000002</v>
      </c>
      <c r="R807">
        <f t="shared" si="129"/>
        <v>0</v>
      </c>
      <c r="S807">
        <f t="shared" si="130"/>
        <v>22706.839800000002</v>
      </c>
    </row>
    <row r="808" spans="1:19" x14ac:dyDescent="0.3">
      <c r="A808" t="s">
        <v>13</v>
      </c>
      <c r="B808" t="s">
        <v>24</v>
      </c>
      <c r="C808" t="s">
        <v>15</v>
      </c>
      <c r="D808">
        <v>0</v>
      </c>
      <c r="E808">
        <v>13</v>
      </c>
      <c r="F808">
        <v>0</v>
      </c>
      <c r="G808">
        <v>20260304</v>
      </c>
      <c r="H808">
        <v>20260316</v>
      </c>
      <c r="I808">
        <v>759.93970000000002</v>
      </c>
      <c r="J808">
        <f t="shared" si="121"/>
        <v>13</v>
      </c>
      <c r="K808">
        <f t="shared" si="122"/>
        <v>58.456900000000005</v>
      </c>
      <c r="L808">
        <f t="shared" si="123"/>
        <v>0</v>
      </c>
      <c r="M808">
        <f t="shared" si="124"/>
        <v>759.93970000000002</v>
      </c>
      <c r="N808">
        <f t="shared" si="125"/>
        <v>0</v>
      </c>
      <c r="O808">
        <f t="shared" si="126"/>
        <v>759.93970000000002</v>
      </c>
      <c r="P808">
        <f t="shared" si="127"/>
        <v>0</v>
      </c>
      <c r="Q808">
        <f t="shared" si="128"/>
        <v>759.93970000000002</v>
      </c>
      <c r="R808">
        <f t="shared" si="129"/>
        <v>0</v>
      </c>
      <c r="S808">
        <f t="shared" si="130"/>
        <v>759.93970000000002</v>
      </c>
    </row>
    <row r="809" spans="1:19" x14ac:dyDescent="0.3">
      <c r="A809" t="s">
        <v>13</v>
      </c>
      <c r="B809" t="s">
        <v>37</v>
      </c>
      <c r="C809" t="s">
        <v>15</v>
      </c>
      <c r="D809">
        <v>0</v>
      </c>
      <c r="E809">
        <v>30</v>
      </c>
      <c r="F809">
        <v>13</v>
      </c>
      <c r="G809">
        <v>20260302</v>
      </c>
      <c r="H809">
        <v>20260413</v>
      </c>
      <c r="I809">
        <v>6401.9005999999999</v>
      </c>
      <c r="J809">
        <f t="shared" si="121"/>
        <v>43</v>
      </c>
      <c r="K809">
        <f t="shared" si="122"/>
        <v>148.88140930232558</v>
      </c>
      <c r="L809">
        <f t="shared" si="123"/>
        <v>0</v>
      </c>
      <c r="M809">
        <f t="shared" si="124"/>
        <v>4466.4422790697672</v>
      </c>
      <c r="N809">
        <f t="shared" si="125"/>
        <v>1201.1792170078224</v>
      </c>
      <c r="O809">
        <f t="shared" si="126"/>
        <v>5667.6214960775897</v>
      </c>
      <c r="P809">
        <f t="shared" si="127"/>
        <v>0</v>
      </c>
      <c r="Q809">
        <f t="shared" si="128"/>
        <v>5045.1004051754453</v>
      </c>
      <c r="R809">
        <f t="shared" si="129"/>
        <v>1356.8001948245549</v>
      </c>
      <c r="S809">
        <f t="shared" si="130"/>
        <v>6401.9005999999999</v>
      </c>
    </row>
    <row r="810" spans="1:19" x14ac:dyDescent="0.3">
      <c r="A810" t="s">
        <v>13</v>
      </c>
      <c r="B810" t="s">
        <v>24</v>
      </c>
      <c r="C810" t="s">
        <v>14</v>
      </c>
      <c r="D810">
        <v>21</v>
      </c>
      <c r="E810">
        <v>5</v>
      </c>
      <c r="F810">
        <v>0</v>
      </c>
      <c r="G810">
        <v>20260208</v>
      </c>
      <c r="H810">
        <v>20260305</v>
      </c>
      <c r="I810">
        <v>22011.4761</v>
      </c>
      <c r="J810">
        <f t="shared" si="121"/>
        <v>26</v>
      </c>
      <c r="K810">
        <f t="shared" si="122"/>
        <v>846.59523461538458</v>
      </c>
      <c r="L810">
        <f t="shared" si="123"/>
        <v>24114.024736616291</v>
      </c>
      <c r="M810">
        <f t="shared" si="124"/>
        <v>4232.9761730769233</v>
      </c>
      <c r="N810">
        <f t="shared" si="125"/>
        <v>0</v>
      </c>
      <c r="O810">
        <f t="shared" si="126"/>
        <v>28347.000909693215</v>
      </c>
      <c r="P810">
        <f t="shared" si="127"/>
        <v>18724.565637676929</v>
      </c>
      <c r="Q810">
        <f t="shared" si="128"/>
        <v>3286.9104623230683</v>
      </c>
      <c r="R810">
        <f t="shared" si="129"/>
        <v>0</v>
      </c>
      <c r="S810">
        <f t="shared" si="130"/>
        <v>22011.476099999996</v>
      </c>
    </row>
    <row r="811" spans="1:19" x14ac:dyDescent="0.3">
      <c r="A811" t="s">
        <v>13</v>
      </c>
      <c r="B811" t="s">
        <v>24</v>
      </c>
      <c r="C811" t="s">
        <v>15</v>
      </c>
      <c r="D811">
        <v>0</v>
      </c>
      <c r="E811">
        <v>23</v>
      </c>
      <c r="F811">
        <v>2</v>
      </c>
      <c r="G811">
        <v>20260309</v>
      </c>
      <c r="H811">
        <v>20260402</v>
      </c>
      <c r="I811">
        <v>10889.8969</v>
      </c>
      <c r="J811">
        <f t="shared" si="121"/>
        <v>25</v>
      </c>
      <c r="K811">
        <f t="shared" si="122"/>
        <v>435.59587599999998</v>
      </c>
      <c r="L811">
        <f t="shared" si="123"/>
        <v>0</v>
      </c>
      <c r="M811">
        <f t="shared" si="124"/>
        <v>10018.705147999999</v>
      </c>
      <c r="N811">
        <f t="shared" si="125"/>
        <v>540.67680776927193</v>
      </c>
      <c r="O811">
        <f t="shared" si="126"/>
        <v>10559.381955769271</v>
      </c>
      <c r="P811">
        <f t="shared" si="127"/>
        <v>0</v>
      </c>
      <c r="Q811">
        <f t="shared" si="128"/>
        <v>10332.296586128265</v>
      </c>
      <c r="R811">
        <f t="shared" si="129"/>
        <v>557.60031387173592</v>
      </c>
      <c r="S811">
        <f t="shared" si="130"/>
        <v>10889.8969</v>
      </c>
    </row>
    <row r="812" spans="1:19" x14ac:dyDescent="0.3">
      <c r="A812" t="s">
        <v>13</v>
      </c>
      <c r="B812" t="s">
        <v>24</v>
      </c>
      <c r="C812" t="s">
        <v>15</v>
      </c>
      <c r="D812">
        <v>19</v>
      </c>
      <c r="E812">
        <v>4</v>
      </c>
      <c r="F812">
        <v>0</v>
      </c>
      <c r="G812">
        <v>20260210</v>
      </c>
      <c r="H812">
        <v>20260304</v>
      </c>
      <c r="I812">
        <v>12631.419599999999</v>
      </c>
      <c r="J812">
        <f t="shared" si="121"/>
        <v>23</v>
      </c>
      <c r="K812">
        <f t="shared" si="122"/>
        <v>549.19215652173909</v>
      </c>
      <c r="L812">
        <f t="shared" si="123"/>
        <v>14153.130620533997</v>
      </c>
      <c r="M812">
        <f t="shared" si="124"/>
        <v>2196.7686260869564</v>
      </c>
      <c r="N812">
        <f t="shared" si="125"/>
        <v>0</v>
      </c>
      <c r="O812">
        <f t="shared" si="126"/>
        <v>16349.899246620953</v>
      </c>
      <c r="P812">
        <f t="shared" si="127"/>
        <v>10934.265026649671</v>
      </c>
      <c r="Q812">
        <f t="shared" si="128"/>
        <v>1697.154573350329</v>
      </c>
      <c r="R812">
        <f t="shared" si="129"/>
        <v>0</v>
      </c>
      <c r="S812">
        <f t="shared" si="130"/>
        <v>12631.419600000001</v>
      </c>
    </row>
    <row r="813" spans="1:19" x14ac:dyDescent="0.3">
      <c r="A813" t="s">
        <v>13</v>
      </c>
      <c r="B813" t="s">
        <v>37</v>
      </c>
      <c r="C813" t="s">
        <v>14</v>
      </c>
      <c r="D813">
        <v>0</v>
      </c>
      <c r="E813">
        <v>24</v>
      </c>
      <c r="F813">
        <v>6</v>
      </c>
      <c r="G813">
        <v>20260308</v>
      </c>
      <c r="H813">
        <v>20260406</v>
      </c>
      <c r="I813">
        <v>1937.4767999999999</v>
      </c>
      <c r="J813">
        <f t="shared" si="121"/>
        <v>30</v>
      </c>
      <c r="K813">
        <f t="shared" si="122"/>
        <v>64.582560000000001</v>
      </c>
      <c r="L813">
        <f t="shared" si="123"/>
        <v>0</v>
      </c>
      <c r="M813">
        <f t="shared" si="124"/>
        <v>1549.98144</v>
      </c>
      <c r="N813">
        <f t="shared" si="125"/>
        <v>240.48638407013388</v>
      </c>
      <c r="O813">
        <f t="shared" si="126"/>
        <v>1790.4678240701339</v>
      </c>
      <c r="P813">
        <f t="shared" si="127"/>
        <v>0</v>
      </c>
      <c r="Q813">
        <f t="shared" si="128"/>
        <v>1677.2449301009947</v>
      </c>
      <c r="R813">
        <f t="shared" si="129"/>
        <v>260.23186989900518</v>
      </c>
      <c r="S813">
        <f t="shared" si="130"/>
        <v>1937.4767999999999</v>
      </c>
    </row>
    <row r="814" spans="1:19" x14ac:dyDescent="0.3">
      <c r="A814" t="s">
        <v>13</v>
      </c>
      <c r="B814" t="s">
        <v>24</v>
      </c>
      <c r="C814" t="s">
        <v>15</v>
      </c>
      <c r="D814">
        <v>0</v>
      </c>
      <c r="E814">
        <v>27</v>
      </c>
      <c r="F814">
        <v>11</v>
      </c>
      <c r="G814">
        <v>20260305</v>
      </c>
      <c r="H814">
        <v>20260411</v>
      </c>
      <c r="I814">
        <v>658.94349999999997</v>
      </c>
      <c r="J814">
        <f t="shared" si="121"/>
        <v>38</v>
      </c>
      <c r="K814">
        <f t="shared" si="122"/>
        <v>17.340618421052632</v>
      </c>
      <c r="L814">
        <f t="shared" si="123"/>
        <v>0</v>
      </c>
      <c r="M814">
        <f t="shared" si="124"/>
        <v>468.19669736842104</v>
      </c>
      <c r="N814">
        <f t="shared" si="125"/>
        <v>118.38079516050959</v>
      </c>
      <c r="O814">
        <f t="shared" si="126"/>
        <v>586.57749252893063</v>
      </c>
      <c r="P814">
        <f t="shared" si="127"/>
        <v>0</v>
      </c>
      <c r="Q814">
        <f t="shared" si="128"/>
        <v>525.95807780192285</v>
      </c>
      <c r="R814">
        <f t="shared" si="129"/>
        <v>132.98542219807709</v>
      </c>
      <c r="S814">
        <f t="shared" si="130"/>
        <v>658.94349999999997</v>
      </c>
    </row>
    <row r="815" spans="1:19" x14ac:dyDescent="0.3">
      <c r="A815" t="s">
        <v>13</v>
      </c>
      <c r="B815" t="s">
        <v>24</v>
      </c>
      <c r="C815" t="s">
        <v>14</v>
      </c>
      <c r="D815">
        <v>0</v>
      </c>
      <c r="E815">
        <v>12</v>
      </c>
      <c r="F815">
        <v>0</v>
      </c>
      <c r="G815">
        <v>20260306</v>
      </c>
      <c r="H815">
        <v>20260317</v>
      </c>
      <c r="I815">
        <v>252.94560000000001</v>
      </c>
      <c r="J815">
        <f t="shared" si="121"/>
        <v>12</v>
      </c>
      <c r="K815">
        <f t="shared" si="122"/>
        <v>21.078800000000001</v>
      </c>
      <c r="L815">
        <f t="shared" si="123"/>
        <v>0</v>
      </c>
      <c r="M815">
        <f t="shared" si="124"/>
        <v>252.94560000000001</v>
      </c>
      <c r="N815">
        <f t="shared" si="125"/>
        <v>0</v>
      </c>
      <c r="O815">
        <f t="shared" si="126"/>
        <v>252.94560000000001</v>
      </c>
      <c r="P815">
        <f t="shared" si="127"/>
        <v>0</v>
      </c>
      <c r="Q815">
        <f t="shared" si="128"/>
        <v>252.94560000000001</v>
      </c>
      <c r="R815">
        <f t="shared" si="129"/>
        <v>0</v>
      </c>
      <c r="S815">
        <f t="shared" si="130"/>
        <v>252.94560000000001</v>
      </c>
    </row>
    <row r="816" spans="1:19" x14ac:dyDescent="0.3">
      <c r="A816" t="s">
        <v>13</v>
      </c>
      <c r="B816" t="s">
        <v>24</v>
      </c>
      <c r="C816" t="s">
        <v>15</v>
      </c>
      <c r="D816">
        <v>25</v>
      </c>
      <c r="E816">
        <v>12</v>
      </c>
      <c r="F816">
        <v>0</v>
      </c>
      <c r="G816">
        <v>20260204</v>
      </c>
      <c r="H816">
        <v>20260312</v>
      </c>
      <c r="I816">
        <v>8656.8938999999991</v>
      </c>
      <c r="J816">
        <f t="shared" si="121"/>
        <v>37</v>
      </c>
      <c r="K816">
        <f t="shared" si="122"/>
        <v>233.97010540540538</v>
      </c>
      <c r="L816">
        <f t="shared" si="123"/>
        <v>7933.6852554566458</v>
      </c>
      <c r="M816">
        <f t="shared" si="124"/>
        <v>2807.6412648648648</v>
      </c>
      <c r="N816">
        <f t="shared" si="125"/>
        <v>0</v>
      </c>
      <c r="O816">
        <f t="shared" si="126"/>
        <v>10741.326520321511</v>
      </c>
      <c r="P816">
        <f t="shared" si="127"/>
        <v>6394.0958653984571</v>
      </c>
      <c r="Q816">
        <f t="shared" si="128"/>
        <v>2262.7980346015415</v>
      </c>
      <c r="R816">
        <f t="shared" si="129"/>
        <v>0</v>
      </c>
      <c r="S816">
        <f t="shared" si="130"/>
        <v>8656.8938999999991</v>
      </c>
    </row>
    <row r="817" spans="1:19" x14ac:dyDescent="0.3">
      <c r="A817" t="s">
        <v>13</v>
      </c>
      <c r="B817" t="s">
        <v>24</v>
      </c>
      <c r="C817" t="s">
        <v>14</v>
      </c>
      <c r="D817">
        <v>27</v>
      </c>
      <c r="E817">
        <v>8</v>
      </c>
      <c r="F817">
        <v>0</v>
      </c>
      <c r="G817">
        <v>20260202</v>
      </c>
      <c r="H817">
        <v>20260308</v>
      </c>
      <c r="I817">
        <v>12672.182699999999</v>
      </c>
      <c r="J817">
        <f t="shared" si="121"/>
        <v>35</v>
      </c>
      <c r="K817">
        <f t="shared" si="122"/>
        <v>362.06236285714283</v>
      </c>
      <c r="L817">
        <f t="shared" si="123"/>
        <v>13259.334694748899</v>
      </c>
      <c r="M817">
        <f t="shared" si="124"/>
        <v>2896.4989028571426</v>
      </c>
      <c r="N817">
        <f t="shared" si="125"/>
        <v>0</v>
      </c>
      <c r="O817">
        <f t="shared" si="126"/>
        <v>16155.833597606041</v>
      </c>
      <c r="P817">
        <f t="shared" si="127"/>
        <v>10400.250207900417</v>
      </c>
      <c r="Q817">
        <f t="shared" si="128"/>
        <v>2271.9324920995828</v>
      </c>
      <c r="R817">
        <f t="shared" si="129"/>
        <v>0</v>
      </c>
      <c r="S817">
        <f t="shared" si="130"/>
        <v>12672.182699999999</v>
      </c>
    </row>
    <row r="818" spans="1:19" x14ac:dyDescent="0.3">
      <c r="A818" t="s">
        <v>13</v>
      </c>
      <c r="B818" t="s">
        <v>24</v>
      </c>
      <c r="C818" t="s">
        <v>15</v>
      </c>
      <c r="D818">
        <v>0</v>
      </c>
      <c r="E818">
        <v>30</v>
      </c>
      <c r="F818">
        <v>9</v>
      </c>
      <c r="G818">
        <v>20260302</v>
      </c>
      <c r="H818">
        <v>20260409</v>
      </c>
      <c r="I818">
        <v>2693.1149</v>
      </c>
      <c r="J818">
        <f t="shared" si="121"/>
        <v>39</v>
      </c>
      <c r="K818">
        <f t="shared" si="122"/>
        <v>69.054228205128211</v>
      </c>
      <c r="L818">
        <f t="shared" si="123"/>
        <v>0</v>
      </c>
      <c r="M818">
        <f t="shared" si="124"/>
        <v>2071.6268461538461</v>
      </c>
      <c r="N818">
        <f t="shared" si="125"/>
        <v>385.70633416680448</v>
      </c>
      <c r="O818">
        <f t="shared" si="126"/>
        <v>2457.3331803206506</v>
      </c>
      <c r="P818">
        <f t="shared" si="127"/>
        <v>0</v>
      </c>
      <c r="Q818">
        <f t="shared" si="128"/>
        <v>2270.3999487317897</v>
      </c>
      <c r="R818">
        <f t="shared" si="129"/>
        <v>422.71495126821031</v>
      </c>
      <c r="S818">
        <f t="shared" si="130"/>
        <v>2693.1149</v>
      </c>
    </row>
    <row r="819" spans="1:19" x14ac:dyDescent="0.3">
      <c r="A819" t="s">
        <v>13</v>
      </c>
      <c r="B819" t="s">
        <v>24</v>
      </c>
      <c r="C819" t="s">
        <v>15</v>
      </c>
      <c r="D819">
        <v>20</v>
      </c>
      <c r="E819">
        <v>7</v>
      </c>
      <c r="F819">
        <v>0</v>
      </c>
      <c r="G819">
        <v>20260209</v>
      </c>
      <c r="H819">
        <v>20260307</v>
      </c>
      <c r="I819">
        <v>12806.6895</v>
      </c>
      <c r="J819">
        <f t="shared" si="121"/>
        <v>27</v>
      </c>
      <c r="K819">
        <f t="shared" si="122"/>
        <v>474.32183333333336</v>
      </c>
      <c r="L819">
        <f t="shared" si="123"/>
        <v>12867.011805418086</v>
      </c>
      <c r="M819">
        <f t="shared" si="124"/>
        <v>3320.2528333333335</v>
      </c>
      <c r="N819">
        <f t="shared" si="125"/>
        <v>0</v>
      </c>
      <c r="O819">
        <f t="shared" si="126"/>
        <v>16187.26463875142</v>
      </c>
      <c r="P819">
        <f t="shared" si="127"/>
        <v>10179.843763741308</v>
      </c>
      <c r="Q819">
        <f t="shared" si="128"/>
        <v>2626.8457362586914</v>
      </c>
      <c r="R819">
        <f t="shared" si="129"/>
        <v>0</v>
      </c>
      <c r="S819">
        <f t="shared" si="130"/>
        <v>12806.6895</v>
      </c>
    </row>
    <row r="820" spans="1:19" x14ac:dyDescent="0.3">
      <c r="A820" t="s">
        <v>13</v>
      </c>
      <c r="B820" t="s">
        <v>24</v>
      </c>
      <c r="C820" t="s">
        <v>15</v>
      </c>
      <c r="D820">
        <v>0</v>
      </c>
      <c r="E820">
        <v>23</v>
      </c>
      <c r="F820">
        <v>7</v>
      </c>
      <c r="G820">
        <v>20260309</v>
      </c>
      <c r="H820">
        <v>20260407</v>
      </c>
      <c r="I820">
        <v>36349.743900000001</v>
      </c>
      <c r="J820">
        <f t="shared" si="121"/>
        <v>30</v>
      </c>
      <c r="K820">
        <f t="shared" si="122"/>
        <v>1211.65813</v>
      </c>
      <c r="L820">
        <f t="shared" si="123"/>
        <v>0</v>
      </c>
      <c r="M820">
        <f t="shared" si="124"/>
        <v>27868.136989999999</v>
      </c>
      <c r="N820">
        <f t="shared" si="125"/>
        <v>5263.83329310101</v>
      </c>
      <c r="O820">
        <f t="shared" si="126"/>
        <v>33131.970283101007</v>
      </c>
      <c r="P820">
        <f t="shared" si="127"/>
        <v>0</v>
      </c>
      <c r="Q820">
        <f t="shared" si="128"/>
        <v>30574.687647637369</v>
      </c>
      <c r="R820">
        <f t="shared" si="129"/>
        <v>5775.0562523626304</v>
      </c>
      <c r="S820">
        <f t="shared" si="130"/>
        <v>36349.743900000001</v>
      </c>
    </row>
    <row r="821" spans="1:19" x14ac:dyDescent="0.3">
      <c r="A821" t="s">
        <v>13</v>
      </c>
      <c r="B821" t="s">
        <v>24</v>
      </c>
      <c r="C821" t="s">
        <v>14</v>
      </c>
      <c r="D821">
        <v>19</v>
      </c>
      <c r="E821">
        <v>5</v>
      </c>
      <c r="F821">
        <v>0</v>
      </c>
      <c r="G821">
        <v>20260210</v>
      </c>
      <c r="H821">
        <v>20260305</v>
      </c>
      <c r="I821">
        <v>15085.189200000001</v>
      </c>
      <c r="J821">
        <f t="shared" si="121"/>
        <v>24</v>
      </c>
      <c r="K821">
        <f t="shared" si="122"/>
        <v>628.54955000000007</v>
      </c>
      <c r="L821">
        <f t="shared" si="123"/>
        <v>16198.235493692326</v>
      </c>
      <c r="M821">
        <f t="shared" si="124"/>
        <v>3142.7477500000005</v>
      </c>
      <c r="N821">
        <f t="shared" si="125"/>
        <v>0</v>
      </c>
      <c r="O821">
        <f t="shared" si="126"/>
        <v>19340.983243692324</v>
      </c>
      <c r="P821">
        <f t="shared" si="127"/>
        <v>12633.972329622649</v>
      </c>
      <c r="Q821">
        <f t="shared" si="128"/>
        <v>2451.2168703773518</v>
      </c>
      <c r="R821">
        <f t="shared" si="129"/>
        <v>0</v>
      </c>
      <c r="S821">
        <f t="shared" si="130"/>
        <v>15085.189200000001</v>
      </c>
    </row>
    <row r="822" spans="1:19" x14ac:dyDescent="0.3">
      <c r="A822" t="s">
        <v>13</v>
      </c>
      <c r="B822" t="s">
        <v>24</v>
      </c>
      <c r="C822" t="s">
        <v>15</v>
      </c>
      <c r="D822">
        <v>0</v>
      </c>
      <c r="E822">
        <v>24</v>
      </c>
      <c r="F822">
        <v>0</v>
      </c>
      <c r="G822">
        <v>20260302</v>
      </c>
      <c r="H822">
        <v>20260325</v>
      </c>
      <c r="I822">
        <v>8902.9685000000009</v>
      </c>
      <c r="J822">
        <f t="shared" si="121"/>
        <v>24</v>
      </c>
      <c r="K822">
        <f t="shared" si="122"/>
        <v>370.95702083333339</v>
      </c>
      <c r="L822">
        <f t="shared" si="123"/>
        <v>0</v>
      </c>
      <c r="M822">
        <f t="shared" si="124"/>
        <v>8902.9685000000009</v>
      </c>
      <c r="N822">
        <f t="shared" si="125"/>
        <v>0</v>
      </c>
      <c r="O822">
        <f t="shared" si="126"/>
        <v>8902.9685000000009</v>
      </c>
      <c r="P822">
        <f t="shared" si="127"/>
        <v>0</v>
      </c>
      <c r="Q822">
        <f t="shared" si="128"/>
        <v>8902.9685000000009</v>
      </c>
      <c r="R822">
        <f t="shared" si="129"/>
        <v>0</v>
      </c>
      <c r="S822">
        <f t="shared" si="130"/>
        <v>8902.9685000000009</v>
      </c>
    </row>
    <row r="823" spans="1:19" x14ac:dyDescent="0.3">
      <c r="A823" t="s">
        <v>13</v>
      </c>
      <c r="B823" t="s">
        <v>24</v>
      </c>
      <c r="C823" t="s">
        <v>15</v>
      </c>
      <c r="D823">
        <v>0</v>
      </c>
      <c r="E823">
        <v>23</v>
      </c>
      <c r="F823">
        <v>3</v>
      </c>
      <c r="G823">
        <v>20260309</v>
      </c>
      <c r="H823">
        <v>20260403</v>
      </c>
      <c r="I823">
        <v>24330.237300000001</v>
      </c>
      <c r="J823">
        <f t="shared" si="121"/>
        <v>26</v>
      </c>
      <c r="K823">
        <f t="shared" si="122"/>
        <v>935.77835769230774</v>
      </c>
      <c r="L823">
        <f t="shared" si="123"/>
        <v>0</v>
      </c>
      <c r="M823">
        <f t="shared" si="124"/>
        <v>21522.902226923077</v>
      </c>
      <c r="N823">
        <f t="shared" si="125"/>
        <v>1742.2811478246717</v>
      </c>
      <c r="O823">
        <f t="shared" si="126"/>
        <v>23265.18337474775</v>
      </c>
      <c r="P823">
        <f t="shared" si="127"/>
        <v>0</v>
      </c>
      <c r="Q823">
        <f t="shared" si="128"/>
        <v>22508.196481018047</v>
      </c>
      <c r="R823">
        <f t="shared" si="129"/>
        <v>1822.0408189819505</v>
      </c>
      <c r="S823">
        <f t="shared" si="130"/>
        <v>24330.237299999997</v>
      </c>
    </row>
    <row r="824" spans="1:19" x14ac:dyDescent="0.3">
      <c r="A824" t="s">
        <v>13</v>
      </c>
      <c r="B824" t="s">
        <v>24</v>
      </c>
      <c r="C824" t="s">
        <v>15</v>
      </c>
      <c r="D824">
        <v>0</v>
      </c>
      <c r="E824">
        <v>25</v>
      </c>
      <c r="F824">
        <v>11</v>
      </c>
      <c r="G824">
        <v>20260307</v>
      </c>
      <c r="H824">
        <v>20260411</v>
      </c>
      <c r="I824">
        <v>87.768600000000006</v>
      </c>
      <c r="J824">
        <f t="shared" si="121"/>
        <v>36</v>
      </c>
      <c r="K824">
        <f t="shared" si="122"/>
        <v>2.4380166666666669</v>
      </c>
      <c r="L824">
        <f t="shared" si="123"/>
        <v>0</v>
      </c>
      <c r="M824">
        <f t="shared" si="124"/>
        <v>60.950416666666676</v>
      </c>
      <c r="N824">
        <f t="shared" si="125"/>
        <v>16.643832682701706</v>
      </c>
      <c r="O824">
        <f t="shared" si="126"/>
        <v>77.594249349368383</v>
      </c>
      <c r="P824">
        <f t="shared" si="127"/>
        <v>0</v>
      </c>
      <c r="Q824">
        <f t="shared" si="128"/>
        <v>68.942386647285048</v>
      </c>
      <c r="R824">
        <f t="shared" si="129"/>
        <v>18.826213352714959</v>
      </c>
      <c r="S824">
        <f t="shared" si="130"/>
        <v>87.768600000000006</v>
      </c>
    </row>
    <row r="825" spans="1:19" x14ac:dyDescent="0.3">
      <c r="A825" t="s">
        <v>13</v>
      </c>
      <c r="B825" t="s">
        <v>24</v>
      </c>
      <c r="C825" t="s">
        <v>14</v>
      </c>
      <c r="D825">
        <v>19</v>
      </c>
      <c r="E825">
        <v>8</v>
      </c>
      <c r="F825">
        <v>0</v>
      </c>
      <c r="G825">
        <v>20260210</v>
      </c>
      <c r="H825">
        <v>20260308</v>
      </c>
      <c r="I825">
        <v>84.544499999999999</v>
      </c>
      <c r="J825">
        <f t="shared" si="121"/>
        <v>27</v>
      </c>
      <c r="K825">
        <f t="shared" si="122"/>
        <v>3.1312777777777776</v>
      </c>
      <c r="L825">
        <f t="shared" si="123"/>
        <v>80.695586912137671</v>
      </c>
      <c r="M825">
        <f t="shared" si="124"/>
        <v>25.050222222222221</v>
      </c>
      <c r="N825">
        <f t="shared" si="125"/>
        <v>0</v>
      </c>
      <c r="O825">
        <f t="shared" si="126"/>
        <v>105.74580913435989</v>
      </c>
      <c r="P825">
        <f t="shared" si="127"/>
        <v>64.51667544597224</v>
      </c>
      <c r="Q825">
        <f t="shared" si="128"/>
        <v>20.027824554027767</v>
      </c>
      <c r="R825">
        <f t="shared" si="129"/>
        <v>0</v>
      </c>
      <c r="S825">
        <f t="shared" si="130"/>
        <v>84.544499999999999</v>
      </c>
    </row>
    <row r="826" spans="1:19" x14ac:dyDescent="0.3">
      <c r="A826" t="s">
        <v>13</v>
      </c>
      <c r="B826" t="s">
        <v>24</v>
      </c>
      <c r="C826" t="s">
        <v>14</v>
      </c>
      <c r="D826">
        <v>21</v>
      </c>
      <c r="E826">
        <v>9</v>
      </c>
      <c r="F826">
        <v>0</v>
      </c>
      <c r="G826">
        <v>20260208</v>
      </c>
      <c r="H826">
        <v>20260309</v>
      </c>
      <c r="I826">
        <v>3592.7197000000001</v>
      </c>
      <c r="J826">
        <f t="shared" si="121"/>
        <v>30</v>
      </c>
      <c r="K826">
        <f t="shared" si="122"/>
        <v>119.75732333333333</v>
      </c>
      <c r="L826">
        <f t="shared" si="123"/>
        <v>3411.1118739794483</v>
      </c>
      <c r="M826">
        <f t="shared" si="124"/>
        <v>1077.81591</v>
      </c>
      <c r="N826">
        <f t="shared" si="125"/>
        <v>0</v>
      </c>
      <c r="O826">
        <f t="shared" si="126"/>
        <v>4488.9277839794486</v>
      </c>
      <c r="P826">
        <f t="shared" si="127"/>
        <v>2730.0882122201651</v>
      </c>
      <c r="Q826">
        <f t="shared" si="128"/>
        <v>862.63148777983452</v>
      </c>
      <c r="R826">
        <f t="shared" si="129"/>
        <v>0</v>
      </c>
      <c r="S826">
        <f t="shared" si="130"/>
        <v>3592.7196999999996</v>
      </c>
    </row>
    <row r="827" spans="1:19" x14ac:dyDescent="0.3">
      <c r="A827" t="s">
        <v>13</v>
      </c>
      <c r="B827" t="s">
        <v>24</v>
      </c>
      <c r="C827" t="s">
        <v>15</v>
      </c>
      <c r="D827">
        <v>0</v>
      </c>
      <c r="E827">
        <v>25</v>
      </c>
      <c r="F827">
        <v>0</v>
      </c>
      <c r="G827">
        <v>20260302</v>
      </c>
      <c r="H827">
        <v>20260326</v>
      </c>
      <c r="I827">
        <v>1772.2793999999999</v>
      </c>
      <c r="J827">
        <f t="shared" si="121"/>
        <v>25</v>
      </c>
      <c r="K827">
        <f t="shared" si="122"/>
        <v>70.891176000000002</v>
      </c>
      <c r="L827">
        <f t="shared" si="123"/>
        <v>0</v>
      </c>
      <c r="M827">
        <f t="shared" si="124"/>
        <v>1772.2794000000001</v>
      </c>
      <c r="N827">
        <f t="shared" si="125"/>
        <v>0</v>
      </c>
      <c r="O827">
        <f t="shared" si="126"/>
        <v>1772.2794000000001</v>
      </c>
      <c r="P827">
        <f t="shared" si="127"/>
        <v>0</v>
      </c>
      <c r="Q827">
        <f t="shared" si="128"/>
        <v>1772.2793999999999</v>
      </c>
      <c r="R827">
        <f t="shared" si="129"/>
        <v>0</v>
      </c>
      <c r="S827">
        <f t="shared" si="130"/>
        <v>1772.2793999999999</v>
      </c>
    </row>
    <row r="828" spans="1:19" x14ac:dyDescent="0.3">
      <c r="A828" t="s">
        <v>13</v>
      </c>
      <c r="B828" t="s">
        <v>24</v>
      </c>
      <c r="C828" t="s">
        <v>15</v>
      </c>
      <c r="D828">
        <v>26</v>
      </c>
      <c r="E828">
        <v>10</v>
      </c>
      <c r="F828">
        <v>0</v>
      </c>
      <c r="G828">
        <v>20260203</v>
      </c>
      <c r="H828">
        <v>20260310</v>
      </c>
      <c r="I828">
        <v>17698.401099999999</v>
      </c>
      <c r="J828">
        <f t="shared" si="121"/>
        <v>36</v>
      </c>
      <c r="K828">
        <f t="shared" si="122"/>
        <v>491.62225277777776</v>
      </c>
      <c r="L828">
        <f t="shared" si="123"/>
        <v>17337.220324851034</v>
      </c>
      <c r="M828">
        <f t="shared" si="124"/>
        <v>4916.2225277777779</v>
      </c>
      <c r="N828">
        <f t="shared" si="125"/>
        <v>0</v>
      </c>
      <c r="O828">
        <f t="shared" si="126"/>
        <v>22253.44285262881</v>
      </c>
      <c r="P828">
        <f t="shared" si="127"/>
        <v>13788.476744938305</v>
      </c>
      <c r="Q828">
        <f t="shared" si="128"/>
        <v>3909.9243550616952</v>
      </c>
      <c r="R828">
        <f t="shared" si="129"/>
        <v>0</v>
      </c>
      <c r="S828">
        <f t="shared" si="130"/>
        <v>17698.401099999999</v>
      </c>
    </row>
    <row r="829" spans="1:19" x14ac:dyDescent="0.3">
      <c r="A829" t="s">
        <v>13</v>
      </c>
      <c r="B829" t="s">
        <v>24</v>
      </c>
      <c r="C829" t="s">
        <v>15</v>
      </c>
      <c r="D829">
        <v>0</v>
      </c>
      <c r="E829">
        <v>19</v>
      </c>
      <c r="F829">
        <v>0</v>
      </c>
      <c r="G829">
        <v>20260302</v>
      </c>
      <c r="H829">
        <v>20260320</v>
      </c>
      <c r="I829">
        <v>506.33</v>
      </c>
      <c r="J829">
        <f t="shared" si="121"/>
        <v>19</v>
      </c>
      <c r="K829">
        <f t="shared" si="122"/>
        <v>26.648947368421052</v>
      </c>
      <c r="L829">
        <f t="shared" si="123"/>
        <v>0</v>
      </c>
      <c r="M829">
        <f t="shared" si="124"/>
        <v>506.33</v>
      </c>
      <c r="N829">
        <f t="shared" si="125"/>
        <v>0</v>
      </c>
      <c r="O829">
        <f t="shared" si="126"/>
        <v>506.33</v>
      </c>
      <c r="P829">
        <f t="shared" si="127"/>
        <v>0</v>
      </c>
      <c r="Q829">
        <f t="shared" si="128"/>
        <v>506.33</v>
      </c>
      <c r="R829">
        <f t="shared" si="129"/>
        <v>0</v>
      </c>
      <c r="S829">
        <f t="shared" si="130"/>
        <v>506.33</v>
      </c>
    </row>
    <row r="830" spans="1:19" x14ac:dyDescent="0.3">
      <c r="A830" t="s">
        <v>13</v>
      </c>
      <c r="B830" t="s">
        <v>24</v>
      </c>
      <c r="C830" t="s">
        <v>15</v>
      </c>
      <c r="D830">
        <v>27</v>
      </c>
      <c r="E830">
        <v>10</v>
      </c>
      <c r="F830">
        <v>0</v>
      </c>
      <c r="G830">
        <v>20260202</v>
      </c>
      <c r="H830">
        <v>20260310</v>
      </c>
      <c r="I830">
        <v>13010.411899999999</v>
      </c>
      <c r="J830">
        <f t="shared" si="121"/>
        <v>37</v>
      </c>
      <c r="K830">
        <f t="shared" si="122"/>
        <v>351.63275405405403</v>
      </c>
      <c r="L830">
        <f t="shared" si="123"/>
        <v>12877.384820798543</v>
      </c>
      <c r="M830">
        <f t="shared" si="124"/>
        <v>3516.3275405405402</v>
      </c>
      <c r="N830">
        <f t="shared" si="125"/>
        <v>0</v>
      </c>
      <c r="O830">
        <f t="shared" si="126"/>
        <v>16393.712361339083</v>
      </c>
      <c r="P830">
        <f t="shared" si="127"/>
        <v>10219.776766884275</v>
      </c>
      <c r="Q830">
        <f t="shared" si="128"/>
        <v>2790.6351331157234</v>
      </c>
      <c r="R830">
        <f t="shared" si="129"/>
        <v>0</v>
      </c>
      <c r="S830">
        <f t="shared" si="130"/>
        <v>13010.411899999999</v>
      </c>
    </row>
    <row r="831" spans="1:19" x14ac:dyDescent="0.3">
      <c r="A831" t="s">
        <v>13</v>
      </c>
      <c r="B831" t="s">
        <v>37</v>
      </c>
      <c r="C831" t="s">
        <v>15</v>
      </c>
      <c r="D831">
        <v>0</v>
      </c>
      <c r="E831">
        <v>29</v>
      </c>
      <c r="F831">
        <v>14</v>
      </c>
      <c r="G831">
        <v>20260303</v>
      </c>
      <c r="H831">
        <v>20260414</v>
      </c>
      <c r="I831">
        <v>3240.5632000000001</v>
      </c>
      <c r="J831">
        <f t="shared" si="121"/>
        <v>43</v>
      </c>
      <c r="K831">
        <f t="shared" si="122"/>
        <v>75.361934883720934</v>
      </c>
      <c r="L831">
        <f t="shared" si="123"/>
        <v>0</v>
      </c>
      <c r="M831">
        <f t="shared" si="124"/>
        <v>2185.4961116279069</v>
      </c>
      <c r="N831">
        <f t="shared" si="125"/>
        <v>654.79305102907313</v>
      </c>
      <c r="O831">
        <f t="shared" si="126"/>
        <v>2840.2891626569799</v>
      </c>
      <c r="P831">
        <f t="shared" si="127"/>
        <v>0</v>
      </c>
      <c r="Q831">
        <f t="shared" si="128"/>
        <v>2493.4919888436038</v>
      </c>
      <c r="R831">
        <f t="shared" si="129"/>
        <v>747.07121115639632</v>
      </c>
      <c r="S831">
        <f t="shared" si="130"/>
        <v>3240.5632000000001</v>
      </c>
    </row>
    <row r="832" spans="1:19" x14ac:dyDescent="0.3">
      <c r="A832" t="s">
        <v>13</v>
      </c>
      <c r="B832" t="s">
        <v>24</v>
      </c>
      <c r="C832" t="s">
        <v>14</v>
      </c>
      <c r="D832">
        <v>17</v>
      </c>
      <c r="E832">
        <v>1</v>
      </c>
      <c r="F832">
        <v>0</v>
      </c>
      <c r="G832">
        <v>20260212</v>
      </c>
      <c r="H832">
        <v>20260301</v>
      </c>
      <c r="I832">
        <v>4102.3680000000004</v>
      </c>
      <c r="J832">
        <f t="shared" si="121"/>
        <v>18</v>
      </c>
      <c r="K832">
        <f t="shared" si="122"/>
        <v>227.90933333333336</v>
      </c>
      <c r="L832">
        <f t="shared" si="123"/>
        <v>5255.1560881417463</v>
      </c>
      <c r="M832">
        <f t="shared" si="124"/>
        <v>227.90933333333336</v>
      </c>
      <c r="N832">
        <f t="shared" si="125"/>
        <v>0</v>
      </c>
      <c r="O832">
        <f t="shared" si="126"/>
        <v>5483.0654214750793</v>
      </c>
      <c r="P832">
        <f t="shared" si="127"/>
        <v>3931.8487951212687</v>
      </c>
      <c r="Q832">
        <f t="shared" si="128"/>
        <v>170.51920487873204</v>
      </c>
      <c r="R832">
        <f t="shared" si="129"/>
        <v>0</v>
      </c>
      <c r="S832">
        <f t="shared" si="130"/>
        <v>4102.3680000000004</v>
      </c>
    </row>
    <row r="833" spans="1:19" x14ac:dyDescent="0.3">
      <c r="A833" t="s">
        <v>13</v>
      </c>
      <c r="B833" t="s">
        <v>24</v>
      </c>
      <c r="C833" t="s">
        <v>15</v>
      </c>
      <c r="D833">
        <v>28</v>
      </c>
      <c r="E833">
        <v>3</v>
      </c>
      <c r="F833">
        <v>0</v>
      </c>
      <c r="G833">
        <v>20260131</v>
      </c>
      <c r="H833">
        <v>20260303</v>
      </c>
      <c r="I833">
        <v>6626.1903000000002</v>
      </c>
      <c r="J833">
        <f t="shared" si="121"/>
        <v>31</v>
      </c>
      <c r="K833">
        <f t="shared" si="122"/>
        <v>213.7480741935484</v>
      </c>
      <c r="L833">
        <f t="shared" si="123"/>
        <v>8117.7342493137239</v>
      </c>
      <c r="M833">
        <f t="shared" si="124"/>
        <v>641.24422258064521</v>
      </c>
      <c r="N833">
        <f t="shared" si="125"/>
        <v>0</v>
      </c>
      <c r="O833">
        <f t="shared" si="126"/>
        <v>8758.9784718943683</v>
      </c>
      <c r="P833">
        <f t="shared" si="127"/>
        <v>6141.0873554923692</v>
      </c>
      <c r="Q833">
        <f t="shared" si="128"/>
        <v>485.10294450763143</v>
      </c>
      <c r="R833">
        <f t="shared" si="129"/>
        <v>0</v>
      </c>
      <c r="S833">
        <f t="shared" si="130"/>
        <v>6626.1903000000002</v>
      </c>
    </row>
    <row r="834" spans="1:19" x14ac:dyDescent="0.3">
      <c r="A834" t="s">
        <v>13</v>
      </c>
      <c r="B834" t="s">
        <v>24</v>
      </c>
      <c r="C834" t="s">
        <v>15</v>
      </c>
      <c r="D834">
        <v>0</v>
      </c>
      <c r="E834">
        <v>26</v>
      </c>
      <c r="F834">
        <v>0</v>
      </c>
      <c r="G834">
        <v>20260302</v>
      </c>
      <c r="H834">
        <v>20260327</v>
      </c>
      <c r="I834">
        <v>1055.0023000000001</v>
      </c>
      <c r="J834">
        <f t="shared" si="121"/>
        <v>26</v>
      </c>
      <c r="K834">
        <f t="shared" si="122"/>
        <v>40.577011538461541</v>
      </c>
      <c r="L834">
        <f t="shared" si="123"/>
        <v>0</v>
      </c>
      <c r="M834">
        <f t="shared" si="124"/>
        <v>1055.0023000000001</v>
      </c>
      <c r="N834">
        <f t="shared" si="125"/>
        <v>0</v>
      </c>
      <c r="O834">
        <f t="shared" si="126"/>
        <v>1055.0023000000001</v>
      </c>
      <c r="P834">
        <f t="shared" si="127"/>
        <v>0</v>
      </c>
      <c r="Q834">
        <f t="shared" si="128"/>
        <v>1055.0023000000001</v>
      </c>
      <c r="R834">
        <f t="shared" si="129"/>
        <v>0</v>
      </c>
      <c r="S834">
        <f t="shared" si="130"/>
        <v>1055.0023000000001</v>
      </c>
    </row>
    <row r="835" spans="1:19" x14ac:dyDescent="0.3">
      <c r="A835" t="s">
        <v>13</v>
      </c>
      <c r="B835" t="s">
        <v>24</v>
      </c>
      <c r="C835" t="s">
        <v>14</v>
      </c>
      <c r="D835">
        <v>21</v>
      </c>
      <c r="E835">
        <v>1</v>
      </c>
      <c r="F835">
        <v>0</v>
      </c>
      <c r="G835">
        <v>20260208</v>
      </c>
      <c r="H835">
        <v>20260301</v>
      </c>
      <c r="I835">
        <v>4854.7152999999998</v>
      </c>
      <c r="J835">
        <f t="shared" si="121"/>
        <v>22</v>
      </c>
      <c r="K835">
        <f t="shared" si="122"/>
        <v>220.66887727272726</v>
      </c>
      <c r="L835">
        <f t="shared" si="123"/>
        <v>6285.4296215987597</v>
      </c>
      <c r="M835">
        <f t="shared" si="124"/>
        <v>220.66887727272726</v>
      </c>
      <c r="N835">
        <f t="shared" si="125"/>
        <v>0</v>
      </c>
      <c r="O835">
        <f t="shared" si="126"/>
        <v>6506.0984988714872</v>
      </c>
      <c r="P835">
        <f t="shared" si="127"/>
        <v>4690.0567761680059</v>
      </c>
      <c r="Q835">
        <f t="shared" si="128"/>
        <v>164.65852383199402</v>
      </c>
      <c r="R835">
        <f t="shared" si="129"/>
        <v>0</v>
      </c>
      <c r="S835">
        <f t="shared" si="130"/>
        <v>4854.7152999999998</v>
      </c>
    </row>
    <row r="836" spans="1:19" x14ac:dyDescent="0.3">
      <c r="A836" t="s">
        <v>13</v>
      </c>
      <c r="B836" t="s">
        <v>24</v>
      </c>
      <c r="C836" t="s">
        <v>15</v>
      </c>
      <c r="D836">
        <v>0</v>
      </c>
      <c r="E836">
        <v>22</v>
      </c>
      <c r="F836">
        <v>0</v>
      </c>
      <c r="G836">
        <v>20260304</v>
      </c>
      <c r="H836">
        <v>20260325</v>
      </c>
      <c r="I836">
        <v>84.3369</v>
      </c>
      <c r="J836">
        <f t="shared" si="121"/>
        <v>22</v>
      </c>
      <c r="K836">
        <f t="shared" si="122"/>
        <v>3.8334954545454547</v>
      </c>
      <c r="L836">
        <f t="shared" si="123"/>
        <v>0</v>
      </c>
      <c r="M836">
        <f t="shared" si="124"/>
        <v>84.3369</v>
      </c>
      <c r="N836">
        <f t="shared" si="125"/>
        <v>0</v>
      </c>
      <c r="O836">
        <f t="shared" si="126"/>
        <v>84.3369</v>
      </c>
      <c r="P836">
        <f t="shared" si="127"/>
        <v>0</v>
      </c>
      <c r="Q836">
        <f t="shared" si="128"/>
        <v>84.3369</v>
      </c>
      <c r="R836">
        <f t="shared" si="129"/>
        <v>0</v>
      </c>
      <c r="S836">
        <f t="shared" si="130"/>
        <v>84.3369</v>
      </c>
    </row>
    <row r="837" spans="1:19" x14ac:dyDescent="0.3">
      <c r="A837" t="s">
        <v>13</v>
      </c>
      <c r="B837" t="s">
        <v>37</v>
      </c>
      <c r="C837" t="s">
        <v>15</v>
      </c>
      <c r="D837">
        <v>3</v>
      </c>
      <c r="E837">
        <v>31</v>
      </c>
      <c r="F837">
        <v>1</v>
      </c>
      <c r="G837">
        <v>20260226</v>
      </c>
      <c r="H837">
        <v>20260401</v>
      </c>
      <c r="I837">
        <v>456.09190000000001</v>
      </c>
      <c r="J837">
        <f t="shared" si="121"/>
        <v>35</v>
      </c>
      <c r="K837">
        <f t="shared" si="122"/>
        <v>13.031197142857144</v>
      </c>
      <c r="L837">
        <f t="shared" si="123"/>
        <v>53.024936559700834</v>
      </c>
      <c r="M837">
        <f t="shared" si="124"/>
        <v>403.96711142857146</v>
      </c>
      <c r="N837">
        <f t="shared" si="125"/>
        <v>8.0873884038012065</v>
      </c>
      <c r="O837">
        <f t="shared" si="126"/>
        <v>465.07943639207349</v>
      </c>
      <c r="P837">
        <f t="shared" si="127"/>
        <v>52.000243765896158</v>
      </c>
      <c r="Q837">
        <f t="shared" si="128"/>
        <v>396.16055445987257</v>
      </c>
      <c r="R837">
        <f t="shared" si="129"/>
        <v>7.9311017742312835</v>
      </c>
      <c r="S837">
        <f t="shared" si="130"/>
        <v>456.09190000000007</v>
      </c>
    </row>
    <row r="838" spans="1:19" x14ac:dyDescent="0.3">
      <c r="A838" t="s">
        <v>13</v>
      </c>
      <c r="B838" t="s">
        <v>24</v>
      </c>
      <c r="C838" t="s">
        <v>15</v>
      </c>
      <c r="D838">
        <v>2</v>
      </c>
      <c r="E838">
        <v>31</v>
      </c>
      <c r="F838">
        <v>6</v>
      </c>
      <c r="G838">
        <v>20260227</v>
      </c>
      <c r="H838">
        <v>20260406</v>
      </c>
      <c r="I838">
        <v>13606.8907</v>
      </c>
      <c r="J838">
        <f t="shared" si="121"/>
        <v>39</v>
      </c>
      <c r="K838">
        <f t="shared" si="122"/>
        <v>348.89463333333333</v>
      </c>
      <c r="L838">
        <f t="shared" si="123"/>
        <v>946.45260885390712</v>
      </c>
      <c r="M838">
        <f t="shared" si="124"/>
        <v>10815.733633333333</v>
      </c>
      <c r="N838">
        <f t="shared" si="125"/>
        <v>1299.1805959969461</v>
      </c>
      <c r="O838">
        <f t="shared" si="126"/>
        <v>13061.366838184187</v>
      </c>
      <c r="P838">
        <f t="shared" si="127"/>
        <v>985.98235245610215</v>
      </c>
      <c r="Q838">
        <f t="shared" si="128"/>
        <v>11267.465894828214</v>
      </c>
      <c r="R838">
        <f t="shared" si="129"/>
        <v>1353.4424527156839</v>
      </c>
      <c r="S838">
        <f t="shared" si="130"/>
        <v>13606.8907</v>
      </c>
    </row>
    <row r="839" spans="1:19" x14ac:dyDescent="0.3">
      <c r="A839" t="s">
        <v>13</v>
      </c>
      <c r="B839" t="s">
        <v>24</v>
      </c>
      <c r="C839" t="s">
        <v>14</v>
      </c>
      <c r="D839">
        <v>2</v>
      </c>
      <c r="E839">
        <v>31</v>
      </c>
      <c r="F839">
        <v>1</v>
      </c>
      <c r="G839">
        <v>20260227</v>
      </c>
      <c r="H839">
        <v>20260401</v>
      </c>
      <c r="I839">
        <v>655.77229999999997</v>
      </c>
      <c r="J839">
        <f t="shared" si="121"/>
        <v>34</v>
      </c>
      <c r="K839">
        <f t="shared" si="122"/>
        <v>19.287420588235292</v>
      </c>
      <c r="L839">
        <f t="shared" si="123"/>
        <v>52.321325092889609</v>
      </c>
      <c r="M839">
        <f t="shared" si="124"/>
        <v>597.91003823529411</v>
      </c>
      <c r="N839">
        <f t="shared" si="125"/>
        <v>11.970109875133886</v>
      </c>
      <c r="O839">
        <f t="shared" si="126"/>
        <v>662.20147320331762</v>
      </c>
      <c r="P839">
        <f t="shared" si="127"/>
        <v>51.813348480240187</v>
      </c>
      <c r="Q839">
        <f t="shared" si="128"/>
        <v>592.10505689446177</v>
      </c>
      <c r="R839">
        <f t="shared" si="129"/>
        <v>11.853894625298057</v>
      </c>
      <c r="S839">
        <f t="shared" si="130"/>
        <v>655.77229999999997</v>
      </c>
    </row>
    <row r="840" spans="1:19" x14ac:dyDescent="0.3">
      <c r="A840" t="s">
        <v>13</v>
      </c>
      <c r="B840" t="s">
        <v>24</v>
      </c>
      <c r="C840" t="s">
        <v>15</v>
      </c>
      <c r="D840">
        <v>28</v>
      </c>
      <c r="E840">
        <v>3</v>
      </c>
      <c r="F840">
        <v>0</v>
      </c>
      <c r="G840">
        <v>20260127</v>
      </c>
      <c r="H840">
        <v>20260303</v>
      </c>
      <c r="I840">
        <v>187014.43280000001</v>
      </c>
      <c r="J840">
        <f t="shared" si="121"/>
        <v>31</v>
      </c>
      <c r="K840">
        <f t="shared" si="122"/>
        <v>6032.7236387096773</v>
      </c>
      <c r="L840">
        <f t="shared" si="123"/>
        <v>229111.05741356983</v>
      </c>
      <c r="M840">
        <f t="shared" si="124"/>
        <v>18098.170916129031</v>
      </c>
      <c r="N840">
        <f t="shared" si="125"/>
        <v>0</v>
      </c>
      <c r="O840">
        <f t="shared" si="126"/>
        <v>247209.22832969885</v>
      </c>
      <c r="P840">
        <f t="shared" si="127"/>
        <v>173323.11880065643</v>
      </c>
      <c r="Q840">
        <f t="shared" si="128"/>
        <v>13691.313999343571</v>
      </c>
      <c r="R840">
        <f t="shared" si="129"/>
        <v>0</v>
      </c>
      <c r="S840">
        <f t="shared" si="130"/>
        <v>187014.43280000001</v>
      </c>
    </row>
    <row r="841" spans="1:19" x14ac:dyDescent="0.3">
      <c r="A841" t="s">
        <v>13</v>
      </c>
      <c r="B841" t="s">
        <v>24</v>
      </c>
      <c r="C841" t="s">
        <v>15</v>
      </c>
      <c r="D841">
        <v>28</v>
      </c>
      <c r="E841">
        <v>1</v>
      </c>
      <c r="F841">
        <v>0</v>
      </c>
      <c r="G841">
        <v>20260127</v>
      </c>
      <c r="H841">
        <v>20260301</v>
      </c>
      <c r="I841">
        <v>24371.091199999999</v>
      </c>
      <c r="J841">
        <f t="shared" si="121"/>
        <v>29</v>
      </c>
      <c r="K841">
        <f t="shared" si="122"/>
        <v>840.38245517241376</v>
      </c>
      <c r="L841">
        <f t="shared" si="123"/>
        <v>31916.083757078206</v>
      </c>
      <c r="M841">
        <f t="shared" si="124"/>
        <v>840.38245517241376</v>
      </c>
      <c r="N841">
        <f t="shared" si="125"/>
        <v>0</v>
      </c>
      <c r="O841">
        <f t="shared" si="126"/>
        <v>32756.46621225062</v>
      </c>
      <c r="P841">
        <f t="shared" si="127"/>
        <v>23745.839461147072</v>
      </c>
      <c r="Q841">
        <f t="shared" si="128"/>
        <v>625.25173885292566</v>
      </c>
      <c r="R841">
        <f t="shared" si="129"/>
        <v>0</v>
      </c>
      <c r="S841">
        <f t="shared" si="130"/>
        <v>24371.091199999999</v>
      </c>
    </row>
    <row r="842" spans="1:19" x14ac:dyDescent="0.3">
      <c r="A842" t="s">
        <v>13</v>
      </c>
      <c r="B842" t="s">
        <v>24</v>
      </c>
      <c r="C842" t="s">
        <v>15</v>
      </c>
      <c r="D842">
        <v>16</v>
      </c>
      <c r="E842">
        <v>16</v>
      </c>
      <c r="F842">
        <v>0</v>
      </c>
      <c r="G842">
        <v>20260213</v>
      </c>
      <c r="H842">
        <v>20260316</v>
      </c>
      <c r="I842">
        <v>78765.834799999997</v>
      </c>
      <c r="J842">
        <f t="shared" si="121"/>
        <v>32</v>
      </c>
      <c r="K842">
        <f t="shared" si="122"/>
        <v>2461.4323374999999</v>
      </c>
      <c r="L842">
        <f t="shared" si="123"/>
        <v>53417.366385650814</v>
      </c>
      <c r="M842">
        <f t="shared" si="124"/>
        <v>39382.917399999998</v>
      </c>
      <c r="N842">
        <f t="shared" si="125"/>
        <v>0</v>
      </c>
      <c r="O842">
        <f t="shared" si="126"/>
        <v>92800.283785650812</v>
      </c>
      <c r="P842">
        <f t="shared" si="127"/>
        <v>45338.907216077088</v>
      </c>
      <c r="Q842">
        <f t="shared" si="128"/>
        <v>33426.927583922916</v>
      </c>
      <c r="R842">
        <f t="shared" si="129"/>
        <v>0</v>
      </c>
      <c r="S842">
        <f t="shared" si="130"/>
        <v>78765.834800000011</v>
      </c>
    </row>
    <row r="843" spans="1:19" x14ac:dyDescent="0.3">
      <c r="A843" t="s">
        <v>13</v>
      </c>
      <c r="B843" t="s">
        <v>24</v>
      </c>
      <c r="C843" t="s">
        <v>14</v>
      </c>
      <c r="D843">
        <v>28</v>
      </c>
      <c r="E843">
        <v>5</v>
      </c>
      <c r="F843">
        <v>0</v>
      </c>
      <c r="G843">
        <v>20260130</v>
      </c>
      <c r="H843">
        <v>20260305</v>
      </c>
      <c r="I843">
        <v>1519.5947000000001</v>
      </c>
      <c r="J843">
        <f t="shared" ref="J843:J874" si="131">IF(D843&lt;0,0,D843)+E843+F843</f>
        <v>33</v>
      </c>
      <c r="K843">
        <f t="shared" ref="K843:K874" si="132">I843/J843</f>
        <v>46.048324242424243</v>
      </c>
      <c r="L843">
        <f t="shared" ref="L843:L874" si="133">IF(D843&lt;0,0,D843)*$K843*$B$6</f>
        <v>1748.8253881892208</v>
      </c>
      <c r="M843">
        <f t="shared" ref="M843:M874" si="134">IF(E843&lt;0,0,E843)*$K843*$C$6</f>
        <v>230.24162121212123</v>
      </c>
      <c r="N843">
        <f t="shared" ref="N843:N874" si="135">IF(F843&lt;0,0,F843)*$K843*$D$6</f>
        <v>0</v>
      </c>
      <c r="O843">
        <f t="shared" ref="O843:O874" si="136">L843+M843+N843</f>
        <v>1979.0670094013421</v>
      </c>
      <c r="P843">
        <f t="shared" ref="P843:P874" si="137">L843/$O843*$I843</f>
        <v>1342.8073827180137</v>
      </c>
      <c r="Q843">
        <f t="shared" ref="Q843:Q874" si="138">M843/$O843*$I843</f>
        <v>176.78731728198639</v>
      </c>
      <c r="R843">
        <f t="shared" ref="R843:R874" si="139">N843/$O843*$I843</f>
        <v>0</v>
      </c>
      <c r="S843">
        <f t="shared" ref="S843:S874" si="140">P843+Q843+R843</f>
        <v>1519.5947000000001</v>
      </c>
    </row>
    <row r="844" spans="1:19" x14ac:dyDescent="0.3">
      <c r="A844" t="s">
        <v>13</v>
      </c>
      <c r="B844" t="s">
        <v>24</v>
      </c>
      <c r="C844" t="s">
        <v>15</v>
      </c>
      <c r="D844">
        <v>17</v>
      </c>
      <c r="E844">
        <v>3</v>
      </c>
      <c r="F844">
        <v>0</v>
      </c>
      <c r="G844">
        <v>20260212</v>
      </c>
      <c r="H844">
        <v>20260303</v>
      </c>
      <c r="I844">
        <v>9548.6108999999997</v>
      </c>
      <c r="J844">
        <f t="shared" si="131"/>
        <v>20</v>
      </c>
      <c r="K844">
        <f t="shared" si="132"/>
        <v>477.430545</v>
      </c>
      <c r="L844">
        <f t="shared" si="133"/>
        <v>11008.641017575328</v>
      </c>
      <c r="M844">
        <f t="shared" si="134"/>
        <v>1432.291635</v>
      </c>
      <c r="N844">
        <f t="shared" si="135"/>
        <v>0</v>
      </c>
      <c r="O844">
        <f t="shared" si="136"/>
        <v>12440.932652575328</v>
      </c>
      <c r="P844">
        <f t="shared" si="137"/>
        <v>8449.3046100404008</v>
      </c>
      <c r="Q844">
        <f t="shared" si="138"/>
        <v>1099.3062899595996</v>
      </c>
      <c r="R844">
        <f t="shared" si="139"/>
        <v>0</v>
      </c>
      <c r="S844">
        <f t="shared" si="140"/>
        <v>9548.6108999999997</v>
      </c>
    </row>
    <row r="845" spans="1:19" x14ac:dyDescent="0.3">
      <c r="A845" t="s">
        <v>13</v>
      </c>
      <c r="B845" t="s">
        <v>24</v>
      </c>
      <c r="C845" t="s">
        <v>15</v>
      </c>
      <c r="D845">
        <v>4</v>
      </c>
      <c r="E845">
        <v>5</v>
      </c>
      <c r="F845">
        <v>0</v>
      </c>
      <c r="G845">
        <v>20260225</v>
      </c>
      <c r="H845">
        <v>20260305</v>
      </c>
      <c r="I845">
        <v>42.403700000000001</v>
      </c>
      <c r="J845">
        <f t="shared" si="131"/>
        <v>9</v>
      </c>
      <c r="K845">
        <f t="shared" si="132"/>
        <v>4.7115222222222224</v>
      </c>
      <c r="L845">
        <f t="shared" si="133"/>
        <v>25.562058414553125</v>
      </c>
      <c r="M845">
        <f t="shared" si="134"/>
        <v>23.557611111111111</v>
      </c>
      <c r="N845">
        <f t="shared" si="135"/>
        <v>0</v>
      </c>
      <c r="O845">
        <f t="shared" si="136"/>
        <v>49.119669525664236</v>
      </c>
      <c r="P845">
        <f t="shared" si="137"/>
        <v>22.067042935353069</v>
      </c>
      <c r="Q845">
        <f t="shared" si="138"/>
        <v>20.336657064646932</v>
      </c>
      <c r="R845">
        <f t="shared" si="139"/>
        <v>0</v>
      </c>
      <c r="S845">
        <f t="shared" si="140"/>
        <v>42.403700000000001</v>
      </c>
    </row>
    <row r="846" spans="1:19" x14ac:dyDescent="0.3">
      <c r="A846" t="s">
        <v>13</v>
      </c>
      <c r="B846" t="s">
        <v>24</v>
      </c>
      <c r="C846" t="s">
        <v>15</v>
      </c>
      <c r="D846">
        <v>28</v>
      </c>
      <c r="E846">
        <v>1</v>
      </c>
      <c r="F846">
        <v>0</v>
      </c>
      <c r="G846">
        <v>20260128</v>
      </c>
      <c r="H846">
        <v>20260301</v>
      </c>
      <c r="I846">
        <v>8054.7440999999999</v>
      </c>
      <c r="J846">
        <f t="shared" si="131"/>
        <v>29</v>
      </c>
      <c r="K846">
        <f t="shared" si="132"/>
        <v>277.74979655172416</v>
      </c>
      <c r="L846">
        <f t="shared" si="133"/>
        <v>10548.394621633994</v>
      </c>
      <c r="M846">
        <f t="shared" si="134"/>
        <v>277.74979655172416</v>
      </c>
      <c r="N846">
        <f t="shared" si="135"/>
        <v>0</v>
      </c>
      <c r="O846">
        <f t="shared" si="136"/>
        <v>10826.144418185719</v>
      </c>
      <c r="P846">
        <f t="shared" si="137"/>
        <v>7848.0958743128231</v>
      </c>
      <c r="Q846">
        <f t="shared" si="138"/>
        <v>206.64822568717577</v>
      </c>
      <c r="R846">
        <f t="shared" si="139"/>
        <v>0</v>
      </c>
      <c r="S846">
        <f t="shared" si="140"/>
        <v>8054.744099999999</v>
      </c>
    </row>
    <row r="847" spans="1:19" x14ac:dyDescent="0.3">
      <c r="A847" t="s">
        <v>13</v>
      </c>
      <c r="B847" t="s">
        <v>24</v>
      </c>
      <c r="C847" t="s">
        <v>15</v>
      </c>
      <c r="D847">
        <v>28</v>
      </c>
      <c r="E847">
        <v>1</v>
      </c>
      <c r="F847">
        <v>0</v>
      </c>
      <c r="G847">
        <v>20260129</v>
      </c>
      <c r="H847">
        <v>20260301</v>
      </c>
      <c r="I847">
        <v>36484.274799999999</v>
      </c>
      <c r="J847">
        <f t="shared" si="131"/>
        <v>29</v>
      </c>
      <c r="K847">
        <f t="shared" si="132"/>
        <v>1258.0784413793103</v>
      </c>
      <c r="L847">
        <f t="shared" si="133"/>
        <v>47779.361243088606</v>
      </c>
      <c r="M847">
        <f t="shared" si="134"/>
        <v>1258.0784413793103</v>
      </c>
      <c r="N847">
        <f t="shared" si="135"/>
        <v>0</v>
      </c>
      <c r="O847">
        <f t="shared" si="136"/>
        <v>49037.439684467914</v>
      </c>
      <c r="P847">
        <f t="shared" si="137"/>
        <v>35548.253672661718</v>
      </c>
      <c r="Q847">
        <f t="shared" si="138"/>
        <v>936.02112733827755</v>
      </c>
      <c r="R847">
        <f t="shared" si="139"/>
        <v>0</v>
      </c>
      <c r="S847">
        <f t="shared" si="140"/>
        <v>36484.274799999999</v>
      </c>
    </row>
    <row r="848" spans="1:19" x14ac:dyDescent="0.3">
      <c r="A848" t="s">
        <v>13</v>
      </c>
      <c r="B848" t="s">
        <v>24</v>
      </c>
      <c r="C848" t="s">
        <v>14</v>
      </c>
      <c r="D848">
        <v>6</v>
      </c>
      <c r="E848">
        <v>3</v>
      </c>
      <c r="F848">
        <v>0</v>
      </c>
      <c r="G848">
        <v>20260223</v>
      </c>
      <c r="H848">
        <v>20260303</v>
      </c>
      <c r="I848">
        <v>84.738200000000006</v>
      </c>
      <c r="J848">
        <f t="shared" si="131"/>
        <v>9</v>
      </c>
      <c r="K848">
        <f t="shared" si="132"/>
        <v>9.415355555555557</v>
      </c>
      <c r="L848">
        <f t="shared" si="133"/>
        <v>76.623601891253088</v>
      </c>
      <c r="M848">
        <f t="shared" si="134"/>
        <v>28.246066666666671</v>
      </c>
      <c r="N848">
        <f t="shared" si="135"/>
        <v>0</v>
      </c>
      <c r="O848">
        <f t="shared" si="136"/>
        <v>104.86966855791977</v>
      </c>
      <c r="P848">
        <f t="shared" si="137"/>
        <v>61.914433325354828</v>
      </c>
      <c r="Q848">
        <f t="shared" si="138"/>
        <v>22.823766674645174</v>
      </c>
      <c r="R848">
        <f t="shared" si="139"/>
        <v>0</v>
      </c>
      <c r="S848">
        <f t="shared" si="140"/>
        <v>84.738200000000006</v>
      </c>
    </row>
    <row r="849" spans="1:19" x14ac:dyDescent="0.3">
      <c r="A849" t="s">
        <v>13</v>
      </c>
      <c r="B849" t="s">
        <v>24</v>
      </c>
      <c r="C849" t="s">
        <v>15</v>
      </c>
      <c r="D849">
        <v>18</v>
      </c>
      <c r="E849">
        <v>3</v>
      </c>
      <c r="F849">
        <v>0</v>
      </c>
      <c r="G849">
        <v>20260211</v>
      </c>
      <c r="H849">
        <v>20260303</v>
      </c>
      <c r="I849">
        <v>591.43780000000004</v>
      </c>
      <c r="J849">
        <f t="shared" si="131"/>
        <v>21</v>
      </c>
      <c r="K849">
        <f t="shared" si="132"/>
        <v>28.163704761904764</v>
      </c>
      <c r="L849">
        <f t="shared" si="133"/>
        <v>687.60159573123383</v>
      </c>
      <c r="M849">
        <f t="shared" si="134"/>
        <v>84.491114285714289</v>
      </c>
      <c r="N849">
        <f t="shared" si="135"/>
        <v>0</v>
      </c>
      <c r="O849">
        <f t="shared" si="136"/>
        <v>772.0927100169481</v>
      </c>
      <c r="P849">
        <f t="shared" si="137"/>
        <v>526.71598861080236</v>
      </c>
      <c r="Q849">
        <f t="shared" si="138"/>
        <v>64.721811389197711</v>
      </c>
      <c r="R849">
        <f t="shared" si="139"/>
        <v>0</v>
      </c>
      <c r="S849">
        <f t="shared" si="140"/>
        <v>591.43780000000004</v>
      </c>
    </row>
    <row r="850" spans="1:19" x14ac:dyDescent="0.3">
      <c r="A850" t="s">
        <v>13</v>
      </c>
      <c r="B850" t="s">
        <v>24</v>
      </c>
      <c r="C850" t="s">
        <v>15</v>
      </c>
      <c r="D850">
        <v>16</v>
      </c>
      <c r="E850">
        <v>3</v>
      </c>
      <c r="F850">
        <v>0</v>
      </c>
      <c r="G850">
        <v>20260213</v>
      </c>
      <c r="H850">
        <v>20260303</v>
      </c>
      <c r="I850">
        <v>1225.0923</v>
      </c>
      <c r="J850">
        <f t="shared" si="131"/>
        <v>19</v>
      </c>
      <c r="K850">
        <f t="shared" si="132"/>
        <v>64.478542105263159</v>
      </c>
      <c r="L850">
        <f t="shared" si="133"/>
        <v>1399.2966027039754</v>
      </c>
      <c r="M850">
        <f t="shared" si="134"/>
        <v>193.43562631578948</v>
      </c>
      <c r="N850">
        <f t="shared" si="135"/>
        <v>0</v>
      </c>
      <c r="O850">
        <f t="shared" si="136"/>
        <v>1592.7322290197649</v>
      </c>
      <c r="P850">
        <f t="shared" si="137"/>
        <v>1076.3061499947376</v>
      </c>
      <c r="Q850">
        <f t="shared" si="138"/>
        <v>148.78615000526264</v>
      </c>
      <c r="R850">
        <f t="shared" si="139"/>
        <v>0</v>
      </c>
      <c r="S850">
        <f t="shared" si="140"/>
        <v>1225.0923000000003</v>
      </c>
    </row>
    <row r="851" spans="1:19" x14ac:dyDescent="0.3">
      <c r="A851" t="s">
        <v>13</v>
      </c>
      <c r="B851" t="s">
        <v>24</v>
      </c>
      <c r="C851" t="s">
        <v>14</v>
      </c>
      <c r="D851">
        <v>28</v>
      </c>
      <c r="E851">
        <v>3</v>
      </c>
      <c r="F851">
        <v>0</v>
      </c>
      <c r="G851">
        <v>20260128</v>
      </c>
      <c r="H851">
        <v>20260303</v>
      </c>
      <c r="I851">
        <v>126.5528</v>
      </c>
      <c r="J851">
        <f t="shared" si="131"/>
        <v>31</v>
      </c>
      <c r="K851">
        <f t="shared" si="132"/>
        <v>4.0823483870967747</v>
      </c>
      <c r="L851">
        <f t="shared" si="133"/>
        <v>155.03961588705803</v>
      </c>
      <c r="M851">
        <f t="shared" si="134"/>
        <v>12.247045161290323</v>
      </c>
      <c r="N851">
        <f t="shared" si="135"/>
        <v>0</v>
      </c>
      <c r="O851">
        <f t="shared" si="136"/>
        <v>167.28666104834835</v>
      </c>
      <c r="P851">
        <f t="shared" si="137"/>
        <v>117.2878780559856</v>
      </c>
      <c r="Q851">
        <f t="shared" si="138"/>
        <v>9.2649219440144037</v>
      </c>
      <c r="R851">
        <f t="shared" si="139"/>
        <v>0</v>
      </c>
      <c r="S851">
        <f t="shared" si="140"/>
        <v>126.5528</v>
      </c>
    </row>
    <row r="852" spans="1:19" x14ac:dyDescent="0.3">
      <c r="A852" t="s">
        <v>13</v>
      </c>
      <c r="B852" t="s">
        <v>24</v>
      </c>
      <c r="C852" t="s">
        <v>14</v>
      </c>
      <c r="D852">
        <v>6</v>
      </c>
      <c r="E852">
        <v>5</v>
      </c>
      <c r="F852">
        <v>0</v>
      </c>
      <c r="G852">
        <v>20260223</v>
      </c>
      <c r="H852">
        <v>20260305</v>
      </c>
      <c r="I852">
        <v>42.384900000000002</v>
      </c>
      <c r="J852">
        <f t="shared" si="131"/>
        <v>11</v>
      </c>
      <c r="K852">
        <f t="shared" si="132"/>
        <v>3.8531727272727276</v>
      </c>
      <c r="L852">
        <f t="shared" si="133"/>
        <v>31.357708302218057</v>
      </c>
      <c r="M852">
        <f t="shared" si="134"/>
        <v>19.265863636363637</v>
      </c>
      <c r="N852">
        <f t="shared" si="135"/>
        <v>0</v>
      </c>
      <c r="O852">
        <f t="shared" si="136"/>
        <v>50.623571938581691</v>
      </c>
      <c r="P852">
        <f t="shared" si="137"/>
        <v>26.254436021053301</v>
      </c>
      <c r="Q852">
        <f t="shared" si="138"/>
        <v>16.130463978946704</v>
      </c>
      <c r="R852">
        <f t="shared" si="139"/>
        <v>0</v>
      </c>
      <c r="S852">
        <f t="shared" si="140"/>
        <v>42.384900000000002</v>
      </c>
    </row>
    <row r="853" spans="1:19" x14ac:dyDescent="0.3">
      <c r="A853" t="s">
        <v>13</v>
      </c>
      <c r="B853" t="s">
        <v>24</v>
      </c>
      <c r="C853" t="s">
        <v>15</v>
      </c>
      <c r="D853">
        <v>28</v>
      </c>
      <c r="E853">
        <v>6</v>
      </c>
      <c r="F853">
        <v>0</v>
      </c>
      <c r="G853">
        <v>20260126</v>
      </c>
      <c r="H853">
        <v>20260306</v>
      </c>
      <c r="I853">
        <v>7004.0671000000002</v>
      </c>
      <c r="J853">
        <f t="shared" si="131"/>
        <v>34</v>
      </c>
      <c r="K853">
        <f t="shared" si="132"/>
        <v>206.00197352941177</v>
      </c>
      <c r="L853">
        <f t="shared" si="133"/>
        <v>7823.5524799708319</v>
      </c>
      <c r="M853">
        <f t="shared" si="134"/>
        <v>1236.0118411764706</v>
      </c>
      <c r="N853">
        <f t="shared" si="135"/>
        <v>0</v>
      </c>
      <c r="O853">
        <f t="shared" si="136"/>
        <v>9059.5643211473034</v>
      </c>
      <c r="P853">
        <f t="shared" si="137"/>
        <v>6048.4902571062776</v>
      </c>
      <c r="Q853">
        <f t="shared" si="138"/>
        <v>955.57684289372173</v>
      </c>
      <c r="R853">
        <f t="shared" si="139"/>
        <v>0</v>
      </c>
      <c r="S853">
        <f t="shared" si="140"/>
        <v>7004.0670999999993</v>
      </c>
    </row>
    <row r="854" spans="1:19" x14ac:dyDescent="0.3">
      <c r="A854" t="s">
        <v>13</v>
      </c>
      <c r="B854" t="s">
        <v>24</v>
      </c>
      <c r="C854" t="s">
        <v>14</v>
      </c>
      <c r="D854">
        <v>9</v>
      </c>
      <c r="E854">
        <v>10</v>
      </c>
      <c r="F854">
        <v>0</v>
      </c>
      <c r="G854">
        <v>20260220</v>
      </c>
      <c r="H854">
        <v>20260310</v>
      </c>
      <c r="I854">
        <v>42.334499999999998</v>
      </c>
      <c r="J854">
        <f t="shared" si="131"/>
        <v>19</v>
      </c>
      <c r="K854">
        <f t="shared" si="132"/>
        <v>2.2281315789473681</v>
      </c>
      <c r="L854">
        <f t="shared" si="133"/>
        <v>27.19931277037978</v>
      </c>
      <c r="M854">
        <f t="shared" si="134"/>
        <v>22.28131578947368</v>
      </c>
      <c r="N854">
        <f t="shared" si="135"/>
        <v>0</v>
      </c>
      <c r="O854">
        <f t="shared" si="136"/>
        <v>49.480628559853457</v>
      </c>
      <c r="P854">
        <f t="shared" si="137"/>
        <v>23.271113160674311</v>
      </c>
      <c r="Q854">
        <f t="shared" si="138"/>
        <v>19.063386839325695</v>
      </c>
      <c r="R854">
        <f t="shared" si="139"/>
        <v>0</v>
      </c>
      <c r="S854">
        <f t="shared" si="140"/>
        <v>42.334500000000006</v>
      </c>
    </row>
    <row r="855" spans="1:19" x14ac:dyDescent="0.3">
      <c r="A855" t="s">
        <v>13</v>
      </c>
      <c r="B855" t="s">
        <v>24</v>
      </c>
      <c r="C855" t="s">
        <v>14</v>
      </c>
      <c r="D855">
        <v>0</v>
      </c>
      <c r="E855">
        <v>14</v>
      </c>
      <c r="F855">
        <v>4</v>
      </c>
      <c r="G855">
        <v>20260318</v>
      </c>
      <c r="H855">
        <v>20260404</v>
      </c>
      <c r="I855">
        <v>3179.7366000000002</v>
      </c>
      <c r="J855">
        <f t="shared" si="131"/>
        <v>18</v>
      </c>
      <c r="K855">
        <f t="shared" si="132"/>
        <v>176.65203333333335</v>
      </c>
      <c r="L855">
        <f t="shared" si="133"/>
        <v>0</v>
      </c>
      <c r="M855">
        <f t="shared" si="134"/>
        <v>2473.128466666667</v>
      </c>
      <c r="N855">
        <f t="shared" si="135"/>
        <v>438.5333412505388</v>
      </c>
      <c r="O855">
        <f t="shared" si="136"/>
        <v>2911.6618079172058</v>
      </c>
      <c r="P855">
        <f t="shared" si="137"/>
        <v>0</v>
      </c>
      <c r="Q855">
        <f t="shared" si="138"/>
        <v>2700.8277817770154</v>
      </c>
      <c r="R855">
        <f t="shared" si="139"/>
        <v>478.90881822298468</v>
      </c>
      <c r="S855">
        <f t="shared" si="140"/>
        <v>3179.7366000000002</v>
      </c>
    </row>
    <row r="856" spans="1:19" x14ac:dyDescent="0.3">
      <c r="A856" t="s">
        <v>13</v>
      </c>
      <c r="B856" t="s">
        <v>37</v>
      </c>
      <c r="C856" t="s">
        <v>14</v>
      </c>
      <c r="D856">
        <v>0</v>
      </c>
      <c r="E856">
        <v>13</v>
      </c>
      <c r="F856">
        <v>1</v>
      </c>
      <c r="G856">
        <v>20260319</v>
      </c>
      <c r="H856">
        <v>20260401</v>
      </c>
      <c r="I856">
        <v>219.96090000000001</v>
      </c>
      <c r="J856">
        <f t="shared" si="131"/>
        <v>14</v>
      </c>
      <c r="K856">
        <f t="shared" si="132"/>
        <v>15.711492857142858</v>
      </c>
      <c r="L856">
        <f t="shared" si="133"/>
        <v>0</v>
      </c>
      <c r="M856">
        <f t="shared" si="134"/>
        <v>204.24940714285714</v>
      </c>
      <c r="N856">
        <f t="shared" si="135"/>
        <v>9.7508267081134132</v>
      </c>
      <c r="O856">
        <f t="shared" si="136"/>
        <v>214.00023385097055</v>
      </c>
      <c r="P856">
        <f t="shared" si="137"/>
        <v>0</v>
      </c>
      <c r="Q856">
        <f t="shared" si="138"/>
        <v>209.93847815557203</v>
      </c>
      <c r="R856">
        <f t="shared" si="139"/>
        <v>10.022421844427983</v>
      </c>
      <c r="S856">
        <f t="shared" si="140"/>
        <v>219.96090000000001</v>
      </c>
    </row>
    <row r="857" spans="1:19" x14ac:dyDescent="0.3">
      <c r="A857" t="s">
        <v>13</v>
      </c>
      <c r="B857" t="s">
        <v>24</v>
      </c>
      <c r="C857" t="s">
        <v>15</v>
      </c>
      <c r="D857">
        <v>0</v>
      </c>
      <c r="E857">
        <v>8</v>
      </c>
      <c r="F857">
        <v>2</v>
      </c>
      <c r="G857">
        <v>20260324</v>
      </c>
      <c r="H857">
        <v>20260402</v>
      </c>
      <c r="I857">
        <v>1149.8046999999999</v>
      </c>
      <c r="J857">
        <f t="shared" si="131"/>
        <v>10</v>
      </c>
      <c r="K857">
        <f t="shared" si="132"/>
        <v>114.98047</v>
      </c>
      <c r="L857">
        <f t="shared" si="133"/>
        <v>0</v>
      </c>
      <c r="M857">
        <f t="shared" si="134"/>
        <v>919.84375999999997</v>
      </c>
      <c r="N857">
        <f t="shared" si="135"/>
        <v>142.71777328628917</v>
      </c>
      <c r="O857">
        <f t="shared" si="136"/>
        <v>1062.5615332862892</v>
      </c>
      <c r="P857">
        <f t="shared" si="137"/>
        <v>0</v>
      </c>
      <c r="Q857">
        <f t="shared" si="138"/>
        <v>995.36887547829997</v>
      </c>
      <c r="R857">
        <f t="shared" si="139"/>
        <v>154.43582452169986</v>
      </c>
      <c r="S857">
        <f t="shared" si="140"/>
        <v>1149.8046999999999</v>
      </c>
    </row>
    <row r="858" spans="1:19" x14ac:dyDescent="0.3">
      <c r="A858" t="s">
        <v>13</v>
      </c>
      <c r="B858" t="s">
        <v>24</v>
      </c>
      <c r="C858" t="s">
        <v>15</v>
      </c>
      <c r="D858">
        <v>0</v>
      </c>
      <c r="E858">
        <v>8</v>
      </c>
      <c r="F858">
        <v>5</v>
      </c>
      <c r="G858">
        <v>20260324</v>
      </c>
      <c r="H858">
        <v>20260405</v>
      </c>
      <c r="I858">
        <v>467.57850000000002</v>
      </c>
      <c r="J858">
        <f t="shared" si="131"/>
        <v>13</v>
      </c>
      <c r="K858">
        <f t="shared" si="132"/>
        <v>35.967576923076926</v>
      </c>
      <c r="L858">
        <f t="shared" si="133"/>
        <v>0</v>
      </c>
      <c r="M858">
        <f t="shared" si="134"/>
        <v>287.74061538461541</v>
      </c>
      <c r="N858">
        <f t="shared" si="135"/>
        <v>111.6105302266737</v>
      </c>
      <c r="O858">
        <f t="shared" si="136"/>
        <v>399.3511456112891</v>
      </c>
      <c r="P858">
        <f t="shared" si="137"/>
        <v>0</v>
      </c>
      <c r="Q858">
        <f t="shared" si="138"/>
        <v>336.89981062824353</v>
      </c>
      <c r="R858">
        <f t="shared" si="139"/>
        <v>130.67868937175649</v>
      </c>
      <c r="S858">
        <f t="shared" si="140"/>
        <v>467.57850000000002</v>
      </c>
    </row>
    <row r="859" spans="1:19" x14ac:dyDescent="0.3">
      <c r="A859" t="s">
        <v>13</v>
      </c>
      <c r="B859" t="s">
        <v>24</v>
      </c>
      <c r="C859" t="s">
        <v>15</v>
      </c>
      <c r="D859">
        <v>0</v>
      </c>
      <c r="E859">
        <v>11</v>
      </c>
      <c r="F859">
        <v>4</v>
      </c>
      <c r="G859">
        <v>20260321</v>
      </c>
      <c r="H859">
        <v>20260404</v>
      </c>
      <c r="I859">
        <v>2135.0246999999999</v>
      </c>
      <c r="J859">
        <f t="shared" si="131"/>
        <v>15</v>
      </c>
      <c r="K859">
        <f t="shared" si="132"/>
        <v>142.33498</v>
      </c>
      <c r="L859">
        <f t="shared" si="133"/>
        <v>0</v>
      </c>
      <c r="M859">
        <f t="shared" si="134"/>
        <v>1565.68478</v>
      </c>
      <c r="N859">
        <f t="shared" si="135"/>
        <v>353.34229206661803</v>
      </c>
      <c r="O859">
        <f t="shared" si="136"/>
        <v>1919.0270720666181</v>
      </c>
      <c r="P859">
        <f t="shared" si="137"/>
        <v>0</v>
      </c>
      <c r="Q859">
        <f t="shared" si="138"/>
        <v>1741.9116834627039</v>
      </c>
      <c r="R859">
        <f t="shared" si="139"/>
        <v>393.11301653729623</v>
      </c>
      <c r="S859">
        <f t="shared" si="140"/>
        <v>2135.0246999999999</v>
      </c>
    </row>
    <row r="860" spans="1:19" x14ac:dyDescent="0.3">
      <c r="A860" t="s">
        <v>13</v>
      </c>
      <c r="B860" t="s">
        <v>37</v>
      </c>
      <c r="C860" t="s">
        <v>15</v>
      </c>
      <c r="D860">
        <v>0</v>
      </c>
      <c r="E860">
        <v>12</v>
      </c>
      <c r="F860">
        <v>7</v>
      </c>
      <c r="G860">
        <v>20260320</v>
      </c>
      <c r="H860">
        <v>20260407</v>
      </c>
      <c r="I860">
        <v>1087.0949000000001</v>
      </c>
      <c r="J860">
        <f t="shared" si="131"/>
        <v>19</v>
      </c>
      <c r="K860">
        <f t="shared" si="132"/>
        <v>57.21552105263158</v>
      </c>
      <c r="L860">
        <f t="shared" si="133"/>
        <v>0</v>
      </c>
      <c r="M860">
        <f t="shared" si="134"/>
        <v>686.58625263157899</v>
      </c>
      <c r="N860">
        <f t="shared" si="135"/>
        <v>248.56265735530852</v>
      </c>
      <c r="O860">
        <f t="shared" si="136"/>
        <v>935.14890998688747</v>
      </c>
      <c r="P860">
        <f t="shared" si="137"/>
        <v>0</v>
      </c>
      <c r="Q860">
        <f t="shared" si="138"/>
        <v>798.14498597487193</v>
      </c>
      <c r="R860">
        <f t="shared" si="139"/>
        <v>288.94991402512812</v>
      </c>
      <c r="S860">
        <f t="shared" si="140"/>
        <v>1087.0949000000001</v>
      </c>
    </row>
    <row r="861" spans="1:19" x14ac:dyDescent="0.3">
      <c r="A861" t="s">
        <v>13</v>
      </c>
      <c r="B861" t="s">
        <v>24</v>
      </c>
      <c r="C861" t="s">
        <v>15</v>
      </c>
      <c r="D861">
        <v>0</v>
      </c>
      <c r="E861">
        <v>8</v>
      </c>
      <c r="F861">
        <v>10</v>
      </c>
      <c r="G861">
        <v>20260324</v>
      </c>
      <c r="H861">
        <v>20260410</v>
      </c>
      <c r="I861">
        <v>112.473</v>
      </c>
      <c r="J861">
        <f t="shared" si="131"/>
        <v>18</v>
      </c>
      <c r="K861">
        <f t="shared" si="132"/>
        <v>6.2484999999999999</v>
      </c>
      <c r="L861">
        <f t="shared" si="133"/>
        <v>0</v>
      </c>
      <c r="M861">
        <f t="shared" si="134"/>
        <v>49.988</v>
      </c>
      <c r="N861">
        <f t="shared" si="135"/>
        <v>38.77928166319802</v>
      </c>
      <c r="O861">
        <f t="shared" si="136"/>
        <v>88.76728166319802</v>
      </c>
      <c r="P861">
        <f t="shared" si="137"/>
        <v>0</v>
      </c>
      <c r="Q861">
        <f t="shared" si="138"/>
        <v>63.337529534048436</v>
      </c>
      <c r="R861">
        <f t="shared" si="139"/>
        <v>49.13547046595157</v>
      </c>
      <c r="S861">
        <f t="shared" si="140"/>
        <v>112.47300000000001</v>
      </c>
    </row>
    <row r="862" spans="1:19" x14ac:dyDescent="0.3">
      <c r="A862" t="s">
        <v>13</v>
      </c>
      <c r="B862" t="s">
        <v>24</v>
      </c>
      <c r="C862" t="s">
        <v>15</v>
      </c>
      <c r="D862">
        <v>0</v>
      </c>
      <c r="E862">
        <v>15</v>
      </c>
      <c r="F862">
        <v>3</v>
      </c>
      <c r="G862">
        <v>20260317</v>
      </c>
      <c r="H862">
        <v>20260403</v>
      </c>
      <c r="I862">
        <v>16645.225999999999</v>
      </c>
      <c r="J862">
        <f t="shared" si="131"/>
        <v>18</v>
      </c>
      <c r="K862">
        <f t="shared" si="132"/>
        <v>924.73477777777771</v>
      </c>
      <c r="L862">
        <f t="shared" si="133"/>
        <v>0</v>
      </c>
      <c r="M862">
        <f t="shared" si="134"/>
        <v>13871.021666666666</v>
      </c>
      <c r="N862">
        <f t="shared" si="135"/>
        <v>1721.7196324493527</v>
      </c>
      <c r="O862">
        <f t="shared" si="136"/>
        <v>15592.741299116018</v>
      </c>
      <c r="P862">
        <f t="shared" si="137"/>
        <v>0</v>
      </c>
      <c r="Q862">
        <f t="shared" si="138"/>
        <v>14807.293090000325</v>
      </c>
      <c r="R862">
        <f t="shared" si="139"/>
        <v>1837.9329099996744</v>
      </c>
      <c r="S862">
        <f t="shared" si="140"/>
        <v>16645.225999999999</v>
      </c>
    </row>
    <row r="863" spans="1:19" x14ac:dyDescent="0.3">
      <c r="A863" t="s">
        <v>13</v>
      </c>
      <c r="B863" t="s">
        <v>37</v>
      </c>
      <c r="C863" t="s">
        <v>15</v>
      </c>
      <c r="D863">
        <v>0</v>
      </c>
      <c r="E863">
        <v>16</v>
      </c>
      <c r="F863">
        <v>8</v>
      </c>
      <c r="G863">
        <v>20260316</v>
      </c>
      <c r="H863">
        <v>20260408</v>
      </c>
      <c r="I863">
        <v>491.30829999999997</v>
      </c>
      <c r="J863">
        <f t="shared" si="131"/>
        <v>24</v>
      </c>
      <c r="K863">
        <f t="shared" si="132"/>
        <v>20.471179166666666</v>
      </c>
      <c r="L863">
        <f t="shared" si="133"/>
        <v>0</v>
      </c>
      <c r="M863">
        <f t="shared" si="134"/>
        <v>327.53886666666665</v>
      </c>
      <c r="N863">
        <f t="shared" si="135"/>
        <v>101.63816888942408</v>
      </c>
      <c r="O863">
        <f t="shared" si="136"/>
        <v>429.17703555609074</v>
      </c>
      <c r="P863">
        <f t="shared" si="137"/>
        <v>0</v>
      </c>
      <c r="Q863">
        <f t="shared" si="138"/>
        <v>374.95613798957584</v>
      </c>
      <c r="R863">
        <f t="shared" si="139"/>
        <v>116.35216201042412</v>
      </c>
      <c r="S863">
        <f t="shared" si="140"/>
        <v>491.30829999999997</v>
      </c>
    </row>
    <row r="864" spans="1:19" x14ac:dyDescent="0.3">
      <c r="A864" t="s">
        <v>13</v>
      </c>
      <c r="B864" t="s">
        <v>37</v>
      </c>
      <c r="C864" t="s">
        <v>15</v>
      </c>
      <c r="D864">
        <v>0</v>
      </c>
      <c r="E864">
        <v>8</v>
      </c>
      <c r="F864">
        <v>1</v>
      </c>
      <c r="G864">
        <v>20260324</v>
      </c>
      <c r="H864">
        <v>20260401</v>
      </c>
      <c r="I864">
        <v>1489.6876999999999</v>
      </c>
      <c r="J864">
        <f t="shared" si="131"/>
        <v>9</v>
      </c>
      <c r="K864">
        <f t="shared" si="132"/>
        <v>165.52085555555556</v>
      </c>
      <c r="L864">
        <f t="shared" si="133"/>
        <v>0</v>
      </c>
      <c r="M864">
        <f t="shared" si="134"/>
        <v>1324.1668444444445</v>
      </c>
      <c r="N864">
        <f t="shared" si="135"/>
        <v>102.72513209126036</v>
      </c>
      <c r="O864">
        <f t="shared" si="136"/>
        <v>1426.8919765357048</v>
      </c>
      <c r="P864">
        <f t="shared" si="137"/>
        <v>0</v>
      </c>
      <c r="Q864">
        <f t="shared" si="138"/>
        <v>1382.4417638859309</v>
      </c>
      <c r="R864">
        <f t="shared" si="139"/>
        <v>107.245936114069</v>
      </c>
      <c r="S864">
        <f t="shared" si="140"/>
        <v>1489.6876999999999</v>
      </c>
    </row>
    <row r="865" spans="1:19" x14ac:dyDescent="0.3">
      <c r="A865" t="s">
        <v>13</v>
      </c>
      <c r="B865" t="s">
        <v>37</v>
      </c>
      <c r="C865" t="s">
        <v>15</v>
      </c>
      <c r="D865">
        <v>0</v>
      </c>
      <c r="E865">
        <v>8</v>
      </c>
      <c r="F865">
        <v>6</v>
      </c>
      <c r="G865">
        <v>20260324</v>
      </c>
      <c r="H865">
        <v>20260406</v>
      </c>
      <c r="I865">
        <v>795.6241</v>
      </c>
      <c r="J865">
        <f t="shared" si="131"/>
        <v>14</v>
      </c>
      <c r="K865">
        <f t="shared" si="132"/>
        <v>56.830292857142858</v>
      </c>
      <c r="L865">
        <f t="shared" si="133"/>
        <v>0</v>
      </c>
      <c r="M865">
        <f t="shared" si="134"/>
        <v>454.64234285714286</v>
      </c>
      <c r="N865">
        <f t="shared" si="135"/>
        <v>211.61923025134095</v>
      </c>
      <c r="O865">
        <f t="shared" si="136"/>
        <v>666.26157310848384</v>
      </c>
      <c r="P865">
        <f t="shared" si="137"/>
        <v>0</v>
      </c>
      <c r="Q865">
        <f t="shared" si="138"/>
        <v>542.91650525477326</v>
      </c>
      <c r="R865">
        <f t="shared" si="139"/>
        <v>252.70759474522663</v>
      </c>
      <c r="S865">
        <f t="shared" si="140"/>
        <v>795.62409999999988</v>
      </c>
    </row>
    <row r="866" spans="1:19" x14ac:dyDescent="0.3">
      <c r="A866" t="s">
        <v>13</v>
      </c>
      <c r="B866" t="s">
        <v>37</v>
      </c>
      <c r="C866" t="s">
        <v>15</v>
      </c>
      <c r="D866">
        <v>0</v>
      </c>
      <c r="E866">
        <v>21</v>
      </c>
      <c r="F866">
        <v>3</v>
      </c>
      <c r="G866">
        <v>20260311</v>
      </c>
      <c r="H866">
        <v>20260403</v>
      </c>
      <c r="I866">
        <v>31.578199999999999</v>
      </c>
      <c r="J866">
        <f t="shared" si="131"/>
        <v>24</v>
      </c>
      <c r="K866">
        <f t="shared" si="132"/>
        <v>1.3157583333333334</v>
      </c>
      <c r="L866">
        <f t="shared" si="133"/>
        <v>0</v>
      </c>
      <c r="M866">
        <f t="shared" si="134"/>
        <v>27.630925000000001</v>
      </c>
      <c r="N866">
        <f t="shared" si="135"/>
        <v>2.4497477638969349</v>
      </c>
      <c r="O866">
        <f t="shared" si="136"/>
        <v>30.080672763896935</v>
      </c>
      <c r="P866">
        <f t="shared" si="137"/>
        <v>0</v>
      </c>
      <c r="Q866">
        <f t="shared" si="138"/>
        <v>29.006494724487123</v>
      </c>
      <c r="R866">
        <f t="shared" si="139"/>
        <v>2.5717052755128744</v>
      </c>
      <c r="S866">
        <f t="shared" si="140"/>
        <v>31.578199999999995</v>
      </c>
    </row>
    <row r="867" spans="1:19" x14ac:dyDescent="0.3">
      <c r="A867" t="s">
        <v>13</v>
      </c>
      <c r="B867" t="s">
        <v>24</v>
      </c>
      <c r="C867" t="s">
        <v>15</v>
      </c>
      <c r="D867">
        <v>0</v>
      </c>
      <c r="E867">
        <v>21</v>
      </c>
      <c r="F867">
        <v>3</v>
      </c>
      <c r="G867">
        <v>20260311</v>
      </c>
      <c r="H867">
        <v>20260403</v>
      </c>
      <c r="I867">
        <v>221.0472</v>
      </c>
      <c r="J867">
        <f t="shared" si="131"/>
        <v>24</v>
      </c>
      <c r="K867">
        <f t="shared" si="132"/>
        <v>9.2103000000000002</v>
      </c>
      <c r="L867">
        <f t="shared" si="133"/>
        <v>0</v>
      </c>
      <c r="M867">
        <f t="shared" si="134"/>
        <v>193.41630000000001</v>
      </c>
      <c r="N867">
        <f t="shared" si="135"/>
        <v>17.148218831842172</v>
      </c>
      <c r="O867">
        <f t="shared" si="136"/>
        <v>210.56451883184218</v>
      </c>
      <c r="P867">
        <f t="shared" si="137"/>
        <v>0</v>
      </c>
      <c r="Q867">
        <f t="shared" si="138"/>
        <v>203.04527935926211</v>
      </c>
      <c r="R867">
        <f t="shared" si="139"/>
        <v>18.001920640737897</v>
      </c>
      <c r="S867">
        <f t="shared" si="140"/>
        <v>221.0472</v>
      </c>
    </row>
    <row r="868" spans="1:19" x14ac:dyDescent="0.3">
      <c r="A868" t="s">
        <v>13</v>
      </c>
      <c r="B868" t="s">
        <v>24</v>
      </c>
      <c r="C868" t="s">
        <v>15</v>
      </c>
      <c r="D868">
        <v>0</v>
      </c>
      <c r="E868">
        <v>2</v>
      </c>
      <c r="F868">
        <v>15</v>
      </c>
      <c r="G868">
        <v>20260330</v>
      </c>
      <c r="H868">
        <v>20260415</v>
      </c>
      <c r="I868">
        <v>4.9565999999999999</v>
      </c>
      <c r="J868">
        <f t="shared" si="131"/>
        <v>17</v>
      </c>
      <c r="K868">
        <f t="shared" si="132"/>
        <v>0.29156470588235295</v>
      </c>
      <c r="L868">
        <f t="shared" si="133"/>
        <v>0</v>
      </c>
      <c r="M868">
        <f t="shared" si="134"/>
        <v>0.5831294117647059</v>
      </c>
      <c r="N868">
        <f t="shared" si="135"/>
        <v>2.7142521851146486</v>
      </c>
      <c r="O868">
        <f t="shared" si="136"/>
        <v>3.2973815968793545</v>
      </c>
      <c r="P868">
        <f t="shared" si="137"/>
        <v>0</v>
      </c>
      <c r="Q868">
        <f t="shared" si="138"/>
        <v>0.87655588455044497</v>
      </c>
      <c r="R868">
        <f t="shared" si="139"/>
        <v>4.0800441154495548</v>
      </c>
      <c r="S868">
        <f t="shared" si="140"/>
        <v>4.9565999999999999</v>
      </c>
    </row>
    <row r="869" spans="1:19" x14ac:dyDescent="0.3">
      <c r="A869" t="s">
        <v>13</v>
      </c>
      <c r="B869" t="s">
        <v>37</v>
      </c>
      <c r="C869" t="s">
        <v>15</v>
      </c>
      <c r="D869">
        <v>0</v>
      </c>
      <c r="E869">
        <v>11</v>
      </c>
      <c r="F869">
        <v>2</v>
      </c>
      <c r="G869">
        <v>20260321</v>
      </c>
      <c r="H869">
        <v>20260402</v>
      </c>
      <c r="I869">
        <v>506.6857</v>
      </c>
      <c r="J869">
        <f t="shared" si="131"/>
        <v>13</v>
      </c>
      <c r="K869">
        <f t="shared" si="132"/>
        <v>38.975823076923078</v>
      </c>
      <c r="L869">
        <f t="shared" si="133"/>
        <v>0</v>
      </c>
      <c r="M869">
        <f t="shared" si="134"/>
        <v>428.73405384615387</v>
      </c>
      <c r="N869">
        <f t="shared" si="135"/>
        <v>48.378152233495186</v>
      </c>
      <c r="O869">
        <f t="shared" si="136"/>
        <v>477.11220607964907</v>
      </c>
      <c r="P869">
        <f t="shared" si="137"/>
        <v>0</v>
      </c>
      <c r="Q869">
        <f t="shared" si="138"/>
        <v>455.30885904564605</v>
      </c>
      <c r="R869">
        <f t="shared" si="139"/>
        <v>51.376840954353938</v>
      </c>
      <c r="S869">
        <f t="shared" si="140"/>
        <v>506.6857</v>
      </c>
    </row>
    <row r="870" spans="1:19" x14ac:dyDescent="0.3">
      <c r="A870" t="s">
        <v>13</v>
      </c>
      <c r="B870" t="s">
        <v>24</v>
      </c>
      <c r="C870" t="s">
        <v>14</v>
      </c>
      <c r="D870">
        <v>0</v>
      </c>
      <c r="E870">
        <v>7</v>
      </c>
      <c r="F870">
        <v>3</v>
      </c>
      <c r="G870">
        <v>20260325</v>
      </c>
      <c r="H870">
        <v>20260403</v>
      </c>
      <c r="I870">
        <v>118.25709999999999</v>
      </c>
      <c r="J870">
        <f t="shared" si="131"/>
        <v>10</v>
      </c>
      <c r="K870">
        <f t="shared" si="132"/>
        <v>11.825709999999999</v>
      </c>
      <c r="L870">
        <f t="shared" si="133"/>
        <v>0</v>
      </c>
      <c r="M870">
        <f t="shared" si="134"/>
        <v>82.779969999999992</v>
      </c>
      <c r="N870">
        <f t="shared" si="135"/>
        <v>22.017726124220086</v>
      </c>
      <c r="O870">
        <f t="shared" si="136"/>
        <v>104.79769612422008</v>
      </c>
      <c r="P870">
        <f t="shared" si="137"/>
        <v>0</v>
      </c>
      <c r="Q870">
        <f t="shared" si="138"/>
        <v>93.411587776542376</v>
      </c>
      <c r="R870">
        <f t="shared" si="139"/>
        <v>24.845512223457618</v>
      </c>
      <c r="S870">
        <f t="shared" si="140"/>
        <v>118.25709999999999</v>
      </c>
    </row>
    <row r="871" spans="1:19" x14ac:dyDescent="0.3">
      <c r="A871" t="s">
        <v>13</v>
      </c>
      <c r="B871" t="s">
        <v>37</v>
      </c>
      <c r="C871" t="s">
        <v>15</v>
      </c>
      <c r="D871">
        <v>0</v>
      </c>
      <c r="E871">
        <v>15</v>
      </c>
      <c r="F871">
        <v>6</v>
      </c>
      <c r="G871">
        <v>20260317</v>
      </c>
      <c r="H871">
        <v>20260406</v>
      </c>
      <c r="I871">
        <v>1095.1213</v>
      </c>
      <c r="J871">
        <f t="shared" si="131"/>
        <v>21</v>
      </c>
      <c r="K871">
        <f t="shared" si="132"/>
        <v>52.148633333333336</v>
      </c>
      <c r="L871">
        <f t="shared" si="133"/>
        <v>0</v>
      </c>
      <c r="M871">
        <f t="shared" si="134"/>
        <v>782.22950000000003</v>
      </c>
      <c r="N871">
        <f t="shared" si="135"/>
        <v>194.18611254389089</v>
      </c>
      <c r="O871">
        <f t="shared" si="136"/>
        <v>976.41561254389092</v>
      </c>
      <c r="P871">
        <f t="shared" si="137"/>
        <v>0</v>
      </c>
      <c r="Q871">
        <f t="shared" si="138"/>
        <v>877.32741665869594</v>
      </c>
      <c r="R871">
        <f t="shared" si="139"/>
        <v>217.79388334130402</v>
      </c>
      <c r="S871">
        <f t="shared" si="140"/>
        <v>1095.1213</v>
      </c>
    </row>
    <row r="872" spans="1:19" x14ac:dyDescent="0.3">
      <c r="A872" t="s">
        <v>13</v>
      </c>
      <c r="B872" t="s">
        <v>37</v>
      </c>
      <c r="C872" t="s">
        <v>15</v>
      </c>
      <c r="D872">
        <v>0</v>
      </c>
      <c r="E872">
        <v>14</v>
      </c>
      <c r="F872">
        <v>6</v>
      </c>
      <c r="G872">
        <v>20260318</v>
      </c>
      <c r="H872">
        <v>20260406</v>
      </c>
      <c r="I872">
        <v>126.39570000000001</v>
      </c>
      <c r="J872">
        <f t="shared" si="131"/>
        <v>20</v>
      </c>
      <c r="K872">
        <f t="shared" si="132"/>
        <v>6.3197850000000004</v>
      </c>
      <c r="L872">
        <f t="shared" si="133"/>
        <v>0</v>
      </c>
      <c r="M872">
        <f t="shared" si="134"/>
        <v>88.476990000000001</v>
      </c>
      <c r="N872">
        <f t="shared" si="135"/>
        <v>23.533013289511459</v>
      </c>
      <c r="O872">
        <f t="shared" si="136"/>
        <v>112.01000328951146</v>
      </c>
      <c r="P872">
        <f t="shared" si="137"/>
        <v>0</v>
      </c>
      <c r="Q872">
        <f t="shared" si="138"/>
        <v>99.840288871683128</v>
      </c>
      <c r="R872">
        <f t="shared" si="139"/>
        <v>26.555411128316887</v>
      </c>
      <c r="S872">
        <f t="shared" si="140"/>
        <v>126.39570000000002</v>
      </c>
    </row>
    <row r="873" spans="1:19" x14ac:dyDescent="0.3">
      <c r="A873" t="s">
        <v>13</v>
      </c>
      <c r="B873" t="s">
        <v>37</v>
      </c>
      <c r="C873" t="s">
        <v>15</v>
      </c>
      <c r="D873">
        <v>0</v>
      </c>
      <c r="E873">
        <v>16</v>
      </c>
      <c r="F873">
        <v>9</v>
      </c>
      <c r="G873">
        <v>20260316</v>
      </c>
      <c r="H873">
        <v>20260409</v>
      </c>
      <c r="I873">
        <v>6549.4341999999997</v>
      </c>
      <c r="J873">
        <f t="shared" si="131"/>
        <v>25</v>
      </c>
      <c r="K873">
        <f t="shared" si="132"/>
        <v>261.97736800000001</v>
      </c>
      <c r="L873">
        <f t="shared" si="133"/>
        <v>0</v>
      </c>
      <c r="M873">
        <f t="shared" si="134"/>
        <v>4191.6378880000002</v>
      </c>
      <c r="N873">
        <f t="shared" si="135"/>
        <v>1463.289546091022</v>
      </c>
      <c r="O873">
        <f t="shared" si="136"/>
        <v>5654.9274340910224</v>
      </c>
      <c r="P873">
        <f t="shared" si="137"/>
        <v>0</v>
      </c>
      <c r="Q873">
        <f t="shared" si="138"/>
        <v>4854.6788367578338</v>
      </c>
      <c r="R873">
        <f t="shared" si="139"/>
        <v>1694.7553632421652</v>
      </c>
      <c r="S873">
        <f t="shared" si="140"/>
        <v>6549.4341999999988</v>
      </c>
    </row>
    <row r="874" spans="1:19" x14ac:dyDescent="0.3">
      <c r="A874" t="s">
        <v>13</v>
      </c>
      <c r="B874" t="s">
        <v>24</v>
      </c>
      <c r="C874" t="s">
        <v>15</v>
      </c>
      <c r="D874">
        <v>0</v>
      </c>
      <c r="E874">
        <v>16</v>
      </c>
      <c r="F874">
        <v>9</v>
      </c>
      <c r="G874">
        <v>20260316</v>
      </c>
      <c r="H874">
        <v>20260409</v>
      </c>
      <c r="I874">
        <v>11643.4385</v>
      </c>
      <c r="J874">
        <f t="shared" si="131"/>
        <v>25</v>
      </c>
      <c r="K874">
        <f t="shared" si="132"/>
        <v>465.73754000000002</v>
      </c>
      <c r="L874">
        <f t="shared" si="133"/>
        <v>0</v>
      </c>
      <c r="M874">
        <f t="shared" si="134"/>
        <v>7451.8006400000004</v>
      </c>
      <c r="N874">
        <f t="shared" si="135"/>
        <v>2601.4036201178615</v>
      </c>
      <c r="O874">
        <f t="shared" si="136"/>
        <v>10053.204260117862</v>
      </c>
      <c r="P874">
        <f t="shared" si="137"/>
        <v>0</v>
      </c>
      <c r="Q874">
        <f t="shared" si="138"/>
        <v>8630.5400965844328</v>
      </c>
      <c r="R874">
        <f t="shared" si="139"/>
        <v>3012.8984034155674</v>
      </c>
      <c r="S874">
        <f t="shared" si="140"/>
        <v>11643.4385</v>
      </c>
    </row>
  </sheetData>
  <autoFilter ref="A9:S9" xr:uid="{919B7CE4-068E-4220-B194-7E4D930DC5D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3월검증</vt:lpstr>
      <vt:lpstr>3월계산내역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2024-10-08T06:13:20Z</dcterms:created>
  <dcterms:modified xsi:type="dcterms:W3CDTF">2026-05-14T05:14:54Z</dcterms:modified>
</cp:coreProperties>
</file>
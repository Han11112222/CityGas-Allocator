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수요개발팀\기획\000. 월별 실적_매월 확인_추정\1. 공급량 재산정_사업계획\2026년\2. 공급량_판매량_비율자료_격월\"/>
    </mc:Choice>
  </mc:AlternateContent>
  <xr:revisionPtr revIDLastSave="0" documentId="13_ncr:1_{9A7D8F6A-6A3A-412A-A92D-694E1B45ECC9}" xr6:coauthVersionLast="36" xr6:coauthVersionMax="47" xr10:uidLastSave="{00000000-0000-0000-0000-000000000000}"/>
  <bookViews>
    <workbookView xWindow="0" yWindow="0" windowWidth="28800" windowHeight="11400" xr2:uid="{58A216BF-962C-407C-A8DE-E93F3C3D5282}"/>
  </bookViews>
  <sheets>
    <sheet name="4월검증" sheetId="24" r:id="rId1"/>
    <sheet name="4월계산내역" sheetId="1" r:id="rId2"/>
  </sheets>
  <definedNames>
    <definedName name="_xlnm._FilterDatabase" localSheetId="1" hidden="1">'4월계산내역'!$A$9:$R$9</definedName>
  </definedName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24" l="1"/>
  <c r="D6" i="24" s="1"/>
  <c r="C5" i="24"/>
  <c r="B5" i="24"/>
  <c r="B6" i="24" s="1"/>
  <c r="I11" i="1"/>
  <c r="J11" i="1"/>
  <c r="K11" i="1" s="1"/>
  <c r="L11" i="1"/>
  <c r="M11" i="1"/>
  <c r="I12" i="1"/>
  <c r="J12" i="1"/>
  <c r="K12" i="1"/>
  <c r="L12" i="1"/>
  <c r="M12" i="1"/>
  <c r="N12" i="1"/>
  <c r="I13" i="1"/>
  <c r="J13" i="1" s="1"/>
  <c r="I14" i="1"/>
  <c r="J14" i="1"/>
  <c r="I15" i="1"/>
  <c r="J15" i="1" s="1"/>
  <c r="I16" i="1"/>
  <c r="J16" i="1"/>
  <c r="I17" i="1"/>
  <c r="J17" i="1"/>
  <c r="K17" i="1"/>
  <c r="I18" i="1"/>
  <c r="J18" i="1"/>
  <c r="K18" i="1"/>
  <c r="L18" i="1"/>
  <c r="M18" i="1"/>
  <c r="I19" i="1"/>
  <c r="J19" i="1"/>
  <c r="K19" i="1"/>
  <c r="L19" i="1"/>
  <c r="M19" i="1"/>
  <c r="I20" i="1"/>
  <c r="J20" i="1"/>
  <c r="I21" i="1"/>
  <c r="J21" i="1" s="1"/>
  <c r="K21" i="1" s="1"/>
  <c r="M21" i="1"/>
  <c r="I22" i="1"/>
  <c r="J22" i="1"/>
  <c r="I23" i="1"/>
  <c r="J23" i="1" s="1"/>
  <c r="I24" i="1"/>
  <c r="J24" i="1"/>
  <c r="K24" i="1"/>
  <c r="I25" i="1"/>
  <c r="J25" i="1" s="1"/>
  <c r="K25" i="1"/>
  <c r="I26" i="1"/>
  <c r="J26" i="1"/>
  <c r="I27" i="1"/>
  <c r="J27" i="1"/>
  <c r="K27" i="1"/>
  <c r="L27" i="1"/>
  <c r="M27" i="1"/>
  <c r="I28" i="1"/>
  <c r="J28" i="1" s="1"/>
  <c r="L28" i="1" s="1"/>
  <c r="K28" i="1"/>
  <c r="M28" i="1"/>
  <c r="I29" i="1"/>
  <c r="J29" i="1" s="1"/>
  <c r="K29" i="1" s="1"/>
  <c r="L29" i="1"/>
  <c r="M29" i="1"/>
  <c r="N29" i="1"/>
  <c r="I30" i="1"/>
  <c r="J30" i="1"/>
  <c r="I31" i="1"/>
  <c r="J31" i="1"/>
  <c r="M31" i="1" s="1"/>
  <c r="I32" i="1"/>
  <c r="J32" i="1"/>
  <c r="K32" i="1"/>
  <c r="I33" i="1"/>
  <c r="J33" i="1" s="1"/>
  <c r="I34" i="1"/>
  <c r="J34" i="1"/>
  <c r="L34" i="1" s="1"/>
  <c r="K34" i="1"/>
  <c r="I35" i="1"/>
  <c r="J35" i="1"/>
  <c r="K35" i="1"/>
  <c r="N35" i="1" s="1"/>
  <c r="O35" i="1" s="1"/>
  <c r="L35" i="1"/>
  <c r="M35" i="1"/>
  <c r="P35" i="1"/>
  <c r="I36" i="1"/>
  <c r="J36" i="1"/>
  <c r="M36" i="1" s="1"/>
  <c r="I37" i="1"/>
  <c r="J37" i="1" s="1"/>
  <c r="K37" i="1" s="1"/>
  <c r="L37" i="1"/>
  <c r="M37" i="1"/>
  <c r="I38" i="1"/>
  <c r="J38" i="1"/>
  <c r="I39" i="1"/>
  <c r="J39" i="1" s="1"/>
  <c r="L39" i="1" s="1"/>
  <c r="K39" i="1"/>
  <c r="M39" i="1"/>
  <c r="I40" i="1"/>
  <c r="J40" i="1"/>
  <c r="K40" i="1" s="1"/>
  <c r="I41" i="1"/>
  <c r="J41" i="1" s="1"/>
  <c r="K41" i="1"/>
  <c r="I42" i="1"/>
  <c r="J42" i="1"/>
  <c r="M42" i="1" s="1"/>
  <c r="K42" i="1"/>
  <c r="L42" i="1"/>
  <c r="I43" i="1"/>
  <c r="J43" i="1"/>
  <c r="K43" i="1"/>
  <c r="L43" i="1"/>
  <c r="M43" i="1"/>
  <c r="I44" i="1"/>
  <c r="J44" i="1" s="1"/>
  <c r="I45" i="1"/>
  <c r="J45" i="1" s="1"/>
  <c r="L45" i="1"/>
  <c r="I46" i="1"/>
  <c r="J46" i="1" s="1"/>
  <c r="I47" i="1"/>
  <c r="J47" i="1"/>
  <c r="K47" i="1" s="1"/>
  <c r="M47" i="1"/>
  <c r="I48" i="1"/>
  <c r="J48" i="1"/>
  <c r="K48" i="1"/>
  <c r="I49" i="1"/>
  <c r="J49" i="1" s="1"/>
  <c r="I50" i="1"/>
  <c r="J50" i="1"/>
  <c r="K50" i="1"/>
  <c r="L50" i="1"/>
  <c r="M50" i="1"/>
  <c r="N50" i="1"/>
  <c r="I51" i="1"/>
  <c r="J51" i="1"/>
  <c r="K51" i="1"/>
  <c r="N51" i="1" s="1"/>
  <c r="L51" i="1"/>
  <c r="M51" i="1"/>
  <c r="Q51" i="1" s="1"/>
  <c r="I52" i="1"/>
  <c r="J52" i="1"/>
  <c r="K52" i="1" s="1"/>
  <c r="L52" i="1"/>
  <c r="M52" i="1"/>
  <c r="I53" i="1"/>
  <c r="J53" i="1" s="1"/>
  <c r="K53" i="1" s="1"/>
  <c r="M53" i="1"/>
  <c r="I54" i="1"/>
  <c r="J54" i="1"/>
  <c r="I55" i="1"/>
  <c r="J55" i="1" s="1"/>
  <c r="M55" i="1" s="1"/>
  <c r="K55" i="1"/>
  <c r="N55" i="1" s="1"/>
  <c r="L55" i="1"/>
  <c r="I56" i="1"/>
  <c r="J56" i="1"/>
  <c r="K56" i="1"/>
  <c r="I57" i="1"/>
  <c r="J57" i="1"/>
  <c r="M57" i="1" s="1"/>
  <c r="K57" i="1"/>
  <c r="L57" i="1"/>
  <c r="I58" i="1"/>
  <c r="J58" i="1"/>
  <c r="K58" i="1"/>
  <c r="I59" i="1"/>
  <c r="J59" i="1"/>
  <c r="K59" i="1"/>
  <c r="L59" i="1"/>
  <c r="M59" i="1"/>
  <c r="I60" i="1"/>
  <c r="J60" i="1" s="1"/>
  <c r="K60" i="1"/>
  <c r="I61" i="1"/>
  <c r="J61" i="1" s="1"/>
  <c r="K61" i="1" s="1"/>
  <c r="L61" i="1"/>
  <c r="M61" i="1"/>
  <c r="I62" i="1"/>
  <c r="J62" i="1" s="1"/>
  <c r="I63" i="1"/>
  <c r="J63" i="1" s="1"/>
  <c r="I64" i="1"/>
  <c r="J64" i="1" s="1"/>
  <c r="I65" i="1"/>
  <c r="J65" i="1" s="1"/>
  <c r="I66" i="1"/>
  <c r="J66" i="1"/>
  <c r="K66" i="1" s="1"/>
  <c r="L66" i="1"/>
  <c r="I67" i="1"/>
  <c r="J67" i="1"/>
  <c r="K67" i="1"/>
  <c r="L67" i="1"/>
  <c r="M67" i="1"/>
  <c r="I68" i="1"/>
  <c r="J68" i="1" s="1"/>
  <c r="M68" i="1"/>
  <c r="I69" i="1"/>
  <c r="J69" i="1" s="1"/>
  <c r="I70" i="1"/>
  <c r="J70" i="1" s="1"/>
  <c r="M70" i="1"/>
  <c r="I71" i="1"/>
  <c r="J71" i="1"/>
  <c r="K71" i="1" s="1"/>
  <c r="L71" i="1"/>
  <c r="M71" i="1"/>
  <c r="I72" i="1"/>
  <c r="J72" i="1"/>
  <c r="I73" i="1"/>
  <c r="J73" i="1" s="1"/>
  <c r="I74" i="1"/>
  <c r="J74" i="1"/>
  <c r="K74" i="1"/>
  <c r="L74" i="1"/>
  <c r="M74" i="1"/>
  <c r="N74" i="1"/>
  <c r="I75" i="1"/>
  <c r="J75" i="1"/>
  <c r="K75" i="1"/>
  <c r="L75" i="1"/>
  <c r="M75" i="1"/>
  <c r="I76" i="1"/>
  <c r="J76" i="1"/>
  <c r="K76" i="1"/>
  <c r="I77" i="1"/>
  <c r="J77" i="1" s="1"/>
  <c r="I78" i="1"/>
  <c r="J78" i="1"/>
  <c r="M78" i="1" s="1"/>
  <c r="I79" i="1"/>
  <c r="J79" i="1"/>
  <c r="L79" i="1"/>
  <c r="I80" i="1"/>
  <c r="J80" i="1" s="1"/>
  <c r="K80" i="1"/>
  <c r="I81" i="1"/>
  <c r="J81" i="1"/>
  <c r="M81" i="1" s="1"/>
  <c r="K81" i="1"/>
  <c r="L81" i="1"/>
  <c r="I82" i="1"/>
  <c r="J82" i="1"/>
  <c r="K82" i="1"/>
  <c r="L82" i="1"/>
  <c r="M82" i="1"/>
  <c r="I83" i="1"/>
  <c r="J83" i="1"/>
  <c r="K83" i="1"/>
  <c r="L83" i="1"/>
  <c r="M83" i="1"/>
  <c r="I84" i="1"/>
  <c r="J84" i="1"/>
  <c r="L84" i="1"/>
  <c r="I85" i="1"/>
  <c r="J85" i="1" s="1"/>
  <c r="M85" i="1" s="1"/>
  <c r="K85" i="1"/>
  <c r="L85" i="1"/>
  <c r="I86" i="1"/>
  <c r="J86" i="1"/>
  <c r="M86" i="1"/>
  <c r="I87" i="1"/>
  <c r="J87" i="1"/>
  <c r="I88" i="1"/>
  <c r="J88" i="1"/>
  <c r="I89" i="1"/>
  <c r="J89" i="1"/>
  <c r="L89" i="1"/>
  <c r="I90" i="1"/>
  <c r="J90" i="1"/>
  <c r="M90" i="1"/>
  <c r="I91" i="1"/>
  <c r="J91" i="1"/>
  <c r="M91" i="1" s="1"/>
  <c r="I92" i="1"/>
  <c r="J92" i="1" s="1"/>
  <c r="M92" i="1" s="1"/>
  <c r="I93" i="1"/>
  <c r="J93" i="1" s="1"/>
  <c r="L93" i="1"/>
  <c r="I94" i="1"/>
  <c r="J94" i="1"/>
  <c r="L94" i="1"/>
  <c r="I95" i="1"/>
  <c r="J95" i="1"/>
  <c r="M95" i="1" s="1"/>
  <c r="I96" i="1"/>
  <c r="J96" i="1"/>
  <c r="L96" i="1" s="1"/>
  <c r="K96" i="1"/>
  <c r="M96" i="1"/>
  <c r="I97" i="1"/>
  <c r="J97" i="1" s="1"/>
  <c r="I98" i="1"/>
  <c r="J98" i="1"/>
  <c r="K98" i="1"/>
  <c r="L98" i="1"/>
  <c r="M98" i="1"/>
  <c r="I99" i="1"/>
  <c r="J99" i="1"/>
  <c r="K99" i="1"/>
  <c r="L99" i="1"/>
  <c r="M99" i="1"/>
  <c r="I100" i="1"/>
  <c r="J100" i="1" s="1"/>
  <c r="M100" i="1" s="1"/>
  <c r="K100" i="1"/>
  <c r="I101" i="1"/>
  <c r="J101" i="1" s="1"/>
  <c r="K101" i="1"/>
  <c r="L101" i="1"/>
  <c r="M101" i="1"/>
  <c r="I102" i="1"/>
  <c r="J102" i="1" s="1"/>
  <c r="I103" i="1"/>
  <c r="J103" i="1"/>
  <c r="L103" i="1" s="1"/>
  <c r="K103" i="1"/>
  <c r="M103" i="1"/>
  <c r="I104" i="1"/>
  <c r="J104" i="1"/>
  <c r="I105" i="1"/>
  <c r="J105" i="1"/>
  <c r="L105" i="1"/>
  <c r="I106" i="1"/>
  <c r="J106" i="1"/>
  <c r="M106" i="1" s="1"/>
  <c r="K106" i="1"/>
  <c r="L106" i="1"/>
  <c r="N106" i="1"/>
  <c r="P106" i="1"/>
  <c r="I107" i="1"/>
  <c r="J107" i="1"/>
  <c r="K107" i="1"/>
  <c r="L107" i="1"/>
  <c r="M107" i="1"/>
  <c r="I108" i="1"/>
  <c r="J108" i="1" s="1"/>
  <c r="L108" i="1" s="1"/>
  <c r="K108" i="1"/>
  <c r="M108" i="1"/>
  <c r="I109" i="1"/>
  <c r="J109" i="1" s="1"/>
  <c r="K109" i="1"/>
  <c r="L109" i="1"/>
  <c r="M109" i="1"/>
  <c r="N109" i="1"/>
  <c r="I110" i="1"/>
  <c r="J110" i="1"/>
  <c r="L110" i="1"/>
  <c r="I111" i="1"/>
  <c r="J111" i="1"/>
  <c r="L111" i="1"/>
  <c r="I112" i="1"/>
  <c r="J112" i="1"/>
  <c r="I113" i="1"/>
  <c r="J113" i="1" s="1"/>
  <c r="L113" i="1"/>
  <c r="I114" i="1"/>
  <c r="J114" i="1"/>
  <c r="M114" i="1" s="1"/>
  <c r="K114" i="1"/>
  <c r="L114" i="1"/>
  <c r="I115" i="1"/>
  <c r="J115" i="1"/>
  <c r="I116" i="1"/>
  <c r="J116" i="1"/>
  <c r="L116" i="1" s="1"/>
  <c r="K116" i="1"/>
  <c r="M116" i="1"/>
  <c r="N116" i="1"/>
  <c r="I117" i="1"/>
  <c r="J117" i="1" s="1"/>
  <c r="I118" i="1"/>
  <c r="J118" i="1" s="1"/>
  <c r="I119" i="1"/>
  <c r="J119" i="1"/>
  <c r="L119" i="1" s="1"/>
  <c r="K119" i="1"/>
  <c r="M119" i="1"/>
  <c r="N119" i="1" s="1"/>
  <c r="P119" i="1"/>
  <c r="I120" i="1"/>
  <c r="J120" i="1" s="1"/>
  <c r="K120" i="1"/>
  <c r="I121" i="1"/>
  <c r="J121" i="1" s="1"/>
  <c r="K121" i="1"/>
  <c r="I122" i="1"/>
  <c r="J122" i="1" s="1"/>
  <c r="L122" i="1"/>
  <c r="I123" i="1"/>
  <c r="J123" i="1"/>
  <c r="K123" i="1" s="1"/>
  <c r="I124" i="1"/>
  <c r="J124" i="1"/>
  <c r="M124" i="1"/>
  <c r="I125" i="1"/>
  <c r="J125" i="1" s="1"/>
  <c r="K125" i="1"/>
  <c r="I126" i="1"/>
  <c r="J126" i="1" s="1"/>
  <c r="I127" i="1"/>
  <c r="J127" i="1" s="1"/>
  <c r="K127" i="1" s="1"/>
  <c r="M127" i="1"/>
  <c r="I128" i="1"/>
  <c r="J128" i="1"/>
  <c r="L128" i="1" s="1"/>
  <c r="K128" i="1"/>
  <c r="M128" i="1"/>
  <c r="I129" i="1"/>
  <c r="J129" i="1" s="1"/>
  <c r="L129" i="1"/>
  <c r="I130" i="1"/>
  <c r="J130" i="1" s="1"/>
  <c r="M130" i="1" s="1"/>
  <c r="I131" i="1"/>
  <c r="J131" i="1"/>
  <c r="M131" i="1" s="1"/>
  <c r="K131" i="1"/>
  <c r="L131" i="1"/>
  <c r="I132" i="1"/>
  <c r="J132" i="1" s="1"/>
  <c r="K132" i="1"/>
  <c r="L132" i="1"/>
  <c r="M132" i="1"/>
  <c r="I133" i="1"/>
  <c r="J133" i="1" s="1"/>
  <c r="M133" i="1" s="1"/>
  <c r="K133" i="1"/>
  <c r="L133" i="1"/>
  <c r="I134" i="1"/>
  <c r="J134" i="1"/>
  <c r="M134" i="1"/>
  <c r="I135" i="1"/>
  <c r="J135" i="1" s="1"/>
  <c r="I136" i="1"/>
  <c r="J136" i="1"/>
  <c r="K136" i="1"/>
  <c r="I137" i="1"/>
  <c r="J137" i="1"/>
  <c r="L137" i="1"/>
  <c r="I138" i="1"/>
  <c r="J138" i="1"/>
  <c r="L138" i="1" s="1"/>
  <c r="K138" i="1"/>
  <c r="I139" i="1"/>
  <c r="J139" i="1"/>
  <c r="K139" i="1"/>
  <c r="N139" i="1" s="1"/>
  <c r="Q139" i="1" s="1"/>
  <c r="L139" i="1"/>
  <c r="M139" i="1"/>
  <c r="O139" i="1"/>
  <c r="I140" i="1"/>
  <c r="J140" i="1" s="1"/>
  <c r="M140" i="1"/>
  <c r="I141" i="1"/>
  <c r="J141" i="1" s="1"/>
  <c r="K141" i="1"/>
  <c r="L141" i="1"/>
  <c r="M141" i="1"/>
  <c r="I142" i="1"/>
  <c r="J142" i="1" s="1"/>
  <c r="I143" i="1"/>
  <c r="J143" i="1"/>
  <c r="L143" i="1" s="1"/>
  <c r="K143" i="1"/>
  <c r="M143" i="1"/>
  <c r="I144" i="1"/>
  <c r="J144" i="1"/>
  <c r="I145" i="1"/>
  <c r="J145" i="1"/>
  <c r="L145" i="1"/>
  <c r="I146" i="1"/>
  <c r="J146" i="1" s="1"/>
  <c r="I147" i="1"/>
  <c r="J147" i="1"/>
  <c r="K147" i="1"/>
  <c r="L147" i="1"/>
  <c r="M147" i="1"/>
  <c r="N147" i="1" s="1"/>
  <c r="O147" i="1"/>
  <c r="Q147" i="1"/>
  <c r="I148" i="1"/>
  <c r="J148" i="1" s="1"/>
  <c r="K148" i="1"/>
  <c r="L148" i="1"/>
  <c r="M148" i="1"/>
  <c r="I149" i="1"/>
  <c r="J149" i="1" s="1"/>
  <c r="K149" i="1"/>
  <c r="I150" i="1"/>
  <c r="J150" i="1" s="1"/>
  <c r="L150" i="1"/>
  <c r="I151" i="1"/>
  <c r="J151" i="1" s="1"/>
  <c r="K151" i="1"/>
  <c r="L151" i="1"/>
  <c r="M151" i="1"/>
  <c r="I152" i="1"/>
  <c r="J152" i="1" s="1"/>
  <c r="I153" i="1"/>
  <c r="J153" i="1"/>
  <c r="M153" i="1" s="1"/>
  <c r="K153" i="1"/>
  <c r="L153" i="1"/>
  <c r="N153" i="1"/>
  <c r="Q153" i="1"/>
  <c r="I154" i="1"/>
  <c r="J154" i="1"/>
  <c r="K154" i="1"/>
  <c r="I155" i="1"/>
  <c r="J155" i="1"/>
  <c r="K155" i="1"/>
  <c r="L155" i="1"/>
  <c r="M155" i="1"/>
  <c r="I156" i="1"/>
  <c r="J156" i="1" s="1"/>
  <c r="L156" i="1" s="1"/>
  <c r="K156" i="1"/>
  <c r="M156" i="1"/>
  <c r="N156" i="1" s="1"/>
  <c r="Q156" i="1"/>
  <c r="I157" i="1"/>
  <c r="J157" i="1" s="1"/>
  <c r="I158" i="1"/>
  <c r="J158" i="1" s="1"/>
  <c r="K158" i="1" s="1"/>
  <c r="L158" i="1"/>
  <c r="M158" i="1"/>
  <c r="N158" i="1"/>
  <c r="Q158" i="1"/>
  <c r="I159" i="1"/>
  <c r="J159" i="1" s="1"/>
  <c r="I160" i="1"/>
  <c r="J160" i="1"/>
  <c r="K160" i="1"/>
  <c r="L160" i="1"/>
  <c r="M160" i="1"/>
  <c r="I161" i="1"/>
  <c r="J161" i="1" s="1"/>
  <c r="L161" i="1"/>
  <c r="I162" i="1"/>
  <c r="J162" i="1"/>
  <c r="I163" i="1"/>
  <c r="J163" i="1"/>
  <c r="M163" i="1"/>
  <c r="I164" i="1"/>
  <c r="J164" i="1" s="1"/>
  <c r="K164" i="1"/>
  <c r="L164" i="1"/>
  <c r="M164" i="1"/>
  <c r="I165" i="1"/>
  <c r="J165" i="1" s="1"/>
  <c r="K165" i="1" s="1"/>
  <c r="I166" i="1"/>
  <c r="J166" i="1" s="1"/>
  <c r="I167" i="1"/>
  <c r="J167" i="1" s="1"/>
  <c r="K167" i="1"/>
  <c r="L167" i="1"/>
  <c r="M167" i="1"/>
  <c r="I168" i="1"/>
  <c r="J168" i="1"/>
  <c r="M168" i="1" s="1"/>
  <c r="I169" i="1"/>
  <c r="J169" i="1" s="1"/>
  <c r="M169" i="1" s="1"/>
  <c r="K169" i="1"/>
  <c r="L169" i="1"/>
  <c r="N169" i="1"/>
  <c r="Q169" i="1" s="1"/>
  <c r="I170" i="1"/>
  <c r="J170" i="1" s="1"/>
  <c r="I171" i="1"/>
  <c r="J171" i="1"/>
  <c r="L171" i="1" s="1"/>
  <c r="M171" i="1"/>
  <c r="I172" i="1"/>
  <c r="J172" i="1" s="1"/>
  <c r="I173" i="1"/>
  <c r="J173" i="1"/>
  <c r="L173" i="1" s="1"/>
  <c r="I174" i="1"/>
  <c r="J174" i="1"/>
  <c r="I175" i="1"/>
  <c r="J175" i="1"/>
  <c r="K175" i="1"/>
  <c r="I176" i="1"/>
  <c r="J176" i="1" s="1"/>
  <c r="K176" i="1"/>
  <c r="I177" i="1"/>
  <c r="J177" i="1" s="1"/>
  <c r="M177" i="1" s="1"/>
  <c r="K177" i="1"/>
  <c r="L177" i="1"/>
  <c r="I178" i="1"/>
  <c r="J178" i="1" s="1"/>
  <c r="K178" i="1"/>
  <c r="L178" i="1"/>
  <c r="M178" i="1"/>
  <c r="I179" i="1"/>
  <c r="J179" i="1"/>
  <c r="I180" i="1"/>
  <c r="J180" i="1"/>
  <c r="L180" i="1" s="1"/>
  <c r="K180" i="1"/>
  <c r="M180" i="1"/>
  <c r="N180" i="1"/>
  <c r="I181" i="1"/>
  <c r="J181" i="1"/>
  <c r="I182" i="1"/>
  <c r="J182" i="1" s="1"/>
  <c r="I183" i="1"/>
  <c r="J183" i="1"/>
  <c r="L183" i="1"/>
  <c r="I184" i="1"/>
  <c r="J184" i="1"/>
  <c r="L184" i="1" s="1"/>
  <c r="K184" i="1"/>
  <c r="M184" i="1"/>
  <c r="I185" i="1"/>
  <c r="J185" i="1"/>
  <c r="K185" i="1"/>
  <c r="I186" i="1"/>
  <c r="J186" i="1"/>
  <c r="I187" i="1"/>
  <c r="J187" i="1"/>
  <c r="L187" i="1"/>
  <c r="I188" i="1"/>
  <c r="J188" i="1"/>
  <c r="I189" i="1"/>
  <c r="J189" i="1" s="1"/>
  <c r="L189" i="1"/>
  <c r="I190" i="1"/>
  <c r="J190" i="1" s="1"/>
  <c r="I191" i="1"/>
  <c r="J191" i="1"/>
  <c r="K191" i="1" s="1"/>
  <c r="L191" i="1"/>
  <c r="N191" i="1" s="1"/>
  <c r="O191" i="1" s="1"/>
  <c r="M191" i="1"/>
  <c r="I192" i="1"/>
  <c r="J192" i="1"/>
  <c r="I193" i="1"/>
  <c r="J193" i="1" s="1"/>
  <c r="K193" i="1"/>
  <c r="L193" i="1"/>
  <c r="M193" i="1"/>
  <c r="N193" i="1"/>
  <c r="Q193" i="1" s="1"/>
  <c r="O193" i="1"/>
  <c r="I194" i="1"/>
  <c r="J194" i="1" s="1"/>
  <c r="I195" i="1"/>
  <c r="J195" i="1"/>
  <c r="K195" i="1" s="1"/>
  <c r="L195" i="1"/>
  <c r="M195" i="1"/>
  <c r="I196" i="1"/>
  <c r="J196" i="1"/>
  <c r="L196" i="1" s="1"/>
  <c r="K196" i="1"/>
  <c r="M196" i="1"/>
  <c r="N196" i="1" s="1"/>
  <c r="O196" i="1" s="1"/>
  <c r="I197" i="1"/>
  <c r="J197" i="1" s="1"/>
  <c r="K197" i="1" s="1"/>
  <c r="I198" i="1"/>
  <c r="J198" i="1"/>
  <c r="L198" i="1" s="1"/>
  <c r="K198" i="1"/>
  <c r="I199" i="1"/>
  <c r="J199" i="1"/>
  <c r="I200" i="1"/>
  <c r="J200" i="1"/>
  <c r="I201" i="1"/>
  <c r="J201" i="1" s="1"/>
  <c r="I202" i="1"/>
  <c r="J202" i="1" s="1"/>
  <c r="I203" i="1"/>
  <c r="J203" i="1" s="1"/>
  <c r="M203" i="1"/>
  <c r="I204" i="1"/>
  <c r="J204" i="1"/>
  <c r="M204" i="1" s="1"/>
  <c r="K204" i="1"/>
  <c r="L204" i="1"/>
  <c r="I205" i="1"/>
  <c r="J205" i="1" s="1"/>
  <c r="M205" i="1" s="1"/>
  <c r="K205" i="1"/>
  <c r="L205" i="1"/>
  <c r="I206" i="1"/>
  <c r="J206" i="1" s="1"/>
  <c r="I207" i="1"/>
  <c r="J207" i="1"/>
  <c r="K207" i="1" s="1"/>
  <c r="L207" i="1"/>
  <c r="I208" i="1"/>
  <c r="J208" i="1"/>
  <c r="M208" i="1"/>
  <c r="I209" i="1"/>
  <c r="J209" i="1"/>
  <c r="K209" i="1" s="1"/>
  <c r="L209" i="1"/>
  <c r="M209" i="1"/>
  <c r="N209" i="1" s="1"/>
  <c r="I210" i="1"/>
  <c r="J210" i="1"/>
  <c r="I211" i="1"/>
  <c r="J211" i="1"/>
  <c r="M211" i="1" s="1"/>
  <c r="K211" i="1"/>
  <c r="I212" i="1"/>
  <c r="J212" i="1"/>
  <c r="K212" i="1" s="1"/>
  <c r="L212" i="1"/>
  <c r="M212" i="1"/>
  <c r="N212" i="1"/>
  <c r="Q212" i="1" s="1"/>
  <c r="P212" i="1"/>
  <c r="I213" i="1"/>
  <c r="J213" i="1" s="1"/>
  <c r="M213" i="1" s="1"/>
  <c r="K213" i="1"/>
  <c r="L213" i="1"/>
  <c r="N213" i="1"/>
  <c r="Q213" i="1" s="1"/>
  <c r="I214" i="1"/>
  <c r="J214" i="1" s="1"/>
  <c r="K214" i="1"/>
  <c r="L214" i="1"/>
  <c r="M214" i="1"/>
  <c r="I215" i="1"/>
  <c r="J215" i="1"/>
  <c r="M215" i="1"/>
  <c r="I216" i="1"/>
  <c r="J216" i="1"/>
  <c r="L216" i="1" s="1"/>
  <c r="K216" i="1"/>
  <c r="M216" i="1"/>
  <c r="N216" i="1"/>
  <c r="I217" i="1"/>
  <c r="J217" i="1" s="1"/>
  <c r="M217" i="1" s="1"/>
  <c r="K217" i="1"/>
  <c r="L217" i="1"/>
  <c r="I218" i="1"/>
  <c r="J218" i="1" s="1"/>
  <c r="L218" i="1"/>
  <c r="I219" i="1"/>
  <c r="J219" i="1" s="1"/>
  <c r="I220" i="1"/>
  <c r="J220" i="1"/>
  <c r="L220" i="1"/>
  <c r="I221" i="1"/>
  <c r="J221" i="1" s="1"/>
  <c r="I222" i="1"/>
  <c r="J222" i="1" s="1"/>
  <c r="L222" i="1" s="1"/>
  <c r="I223" i="1"/>
  <c r="J223" i="1"/>
  <c r="I224" i="1"/>
  <c r="J224" i="1" s="1"/>
  <c r="K224" i="1" s="1"/>
  <c r="I225" i="1"/>
  <c r="J225" i="1" s="1"/>
  <c r="K225" i="1"/>
  <c r="L225" i="1"/>
  <c r="M225" i="1"/>
  <c r="I226" i="1"/>
  <c r="J226" i="1"/>
  <c r="I227" i="1"/>
  <c r="J227" i="1" s="1"/>
  <c r="I228" i="1"/>
  <c r="J228" i="1"/>
  <c r="L228" i="1" s="1"/>
  <c r="K228" i="1"/>
  <c r="M228" i="1"/>
  <c r="I229" i="1"/>
  <c r="J229" i="1" s="1"/>
  <c r="K229" i="1"/>
  <c r="I230" i="1"/>
  <c r="J230" i="1"/>
  <c r="I231" i="1"/>
  <c r="J231" i="1"/>
  <c r="M231" i="1"/>
  <c r="I232" i="1"/>
  <c r="J232" i="1"/>
  <c r="M232" i="1"/>
  <c r="I233" i="1"/>
  <c r="J233" i="1"/>
  <c r="K233" i="1" s="1"/>
  <c r="L233" i="1"/>
  <c r="M233" i="1"/>
  <c r="I234" i="1"/>
  <c r="J234" i="1" s="1"/>
  <c r="I235" i="1"/>
  <c r="J235" i="1" s="1"/>
  <c r="K235" i="1"/>
  <c r="N235" i="1" s="1"/>
  <c r="L235" i="1"/>
  <c r="M235" i="1"/>
  <c r="O235" i="1"/>
  <c r="P235" i="1"/>
  <c r="I236" i="1"/>
  <c r="J236" i="1"/>
  <c r="K236" i="1"/>
  <c r="I237" i="1"/>
  <c r="J237" i="1" s="1"/>
  <c r="K237" i="1"/>
  <c r="L237" i="1"/>
  <c r="M237" i="1"/>
  <c r="I238" i="1"/>
  <c r="J238" i="1"/>
  <c r="K238" i="1"/>
  <c r="I239" i="1"/>
  <c r="J239" i="1"/>
  <c r="K239" i="1" s="1"/>
  <c r="L239" i="1"/>
  <c r="M239" i="1"/>
  <c r="N239" i="1"/>
  <c r="I240" i="1"/>
  <c r="J240" i="1"/>
  <c r="I241" i="1"/>
  <c r="J241" i="1"/>
  <c r="M241" i="1" s="1"/>
  <c r="K241" i="1"/>
  <c r="L241" i="1"/>
  <c r="I242" i="1"/>
  <c r="J242" i="1"/>
  <c r="L242" i="1"/>
  <c r="I243" i="1"/>
  <c r="J243" i="1" s="1"/>
  <c r="I244" i="1"/>
  <c r="J244" i="1"/>
  <c r="K244" i="1" s="1"/>
  <c r="L244" i="1"/>
  <c r="M244" i="1"/>
  <c r="I245" i="1"/>
  <c r="J245" i="1" s="1"/>
  <c r="I246" i="1"/>
  <c r="J246" i="1"/>
  <c r="K246" i="1"/>
  <c r="L246" i="1"/>
  <c r="M246" i="1"/>
  <c r="I247" i="1"/>
  <c r="J247" i="1"/>
  <c r="L247" i="1"/>
  <c r="I248" i="1"/>
  <c r="J248" i="1"/>
  <c r="M248" i="1"/>
  <c r="I249" i="1"/>
  <c r="J249" i="1"/>
  <c r="L249" i="1" s="1"/>
  <c r="K249" i="1"/>
  <c r="I250" i="1"/>
  <c r="J250" i="1"/>
  <c r="M250" i="1" s="1"/>
  <c r="K250" i="1"/>
  <c r="L250" i="1"/>
  <c r="I251" i="1"/>
  <c r="J251" i="1"/>
  <c r="I252" i="1"/>
  <c r="J252" i="1"/>
  <c r="I253" i="1"/>
  <c r="J253" i="1" s="1"/>
  <c r="K253" i="1" s="1"/>
  <c r="L253" i="1"/>
  <c r="M253" i="1"/>
  <c r="N253" i="1"/>
  <c r="Q253" i="1"/>
  <c r="I254" i="1"/>
  <c r="J254" i="1"/>
  <c r="I255" i="1"/>
  <c r="J255" i="1"/>
  <c r="M255" i="1"/>
  <c r="I256" i="1"/>
  <c r="J256" i="1"/>
  <c r="L256" i="1" s="1"/>
  <c r="K256" i="1"/>
  <c r="I257" i="1"/>
  <c r="J257" i="1"/>
  <c r="K257" i="1"/>
  <c r="I258" i="1"/>
  <c r="J258" i="1"/>
  <c r="M258" i="1" s="1"/>
  <c r="K258" i="1"/>
  <c r="L258" i="1"/>
  <c r="I259" i="1"/>
  <c r="J259" i="1"/>
  <c r="I260" i="1"/>
  <c r="J260" i="1"/>
  <c r="M260" i="1" s="1"/>
  <c r="K260" i="1"/>
  <c r="L260" i="1"/>
  <c r="N260" i="1" s="1"/>
  <c r="Q260" i="1" s="1"/>
  <c r="I261" i="1"/>
  <c r="J261" i="1" s="1"/>
  <c r="K261" i="1" s="1"/>
  <c r="L261" i="1"/>
  <c r="M261" i="1"/>
  <c r="I262" i="1"/>
  <c r="J262" i="1"/>
  <c r="K262" i="1" s="1"/>
  <c r="L262" i="1"/>
  <c r="I263" i="1"/>
  <c r="J263" i="1" s="1"/>
  <c r="M263" i="1"/>
  <c r="I264" i="1"/>
  <c r="J264" i="1"/>
  <c r="I265" i="1"/>
  <c r="J265" i="1" s="1"/>
  <c r="I266" i="1"/>
  <c r="J266" i="1"/>
  <c r="K266" i="1"/>
  <c r="I267" i="1"/>
  <c r="J267" i="1"/>
  <c r="I268" i="1"/>
  <c r="J268" i="1"/>
  <c r="K268" i="1"/>
  <c r="L268" i="1"/>
  <c r="M268" i="1"/>
  <c r="I269" i="1"/>
  <c r="J269" i="1" s="1"/>
  <c r="K269" i="1" s="1"/>
  <c r="L269" i="1"/>
  <c r="N269" i="1" s="1"/>
  <c r="Q269" i="1" s="1"/>
  <c r="M269" i="1"/>
  <c r="O269" i="1"/>
  <c r="P269" i="1"/>
  <c r="R269" i="1" s="1"/>
  <c r="I270" i="1"/>
  <c r="J270" i="1"/>
  <c r="L270" i="1" s="1"/>
  <c r="K270" i="1"/>
  <c r="M270" i="1"/>
  <c r="N270" i="1"/>
  <c r="O270" i="1"/>
  <c r="Q270" i="1"/>
  <c r="I271" i="1"/>
  <c r="J271" i="1"/>
  <c r="L271" i="1" s="1"/>
  <c r="K271" i="1"/>
  <c r="N271" i="1" s="1"/>
  <c r="O271" i="1" s="1"/>
  <c r="M271" i="1"/>
  <c r="I272" i="1"/>
  <c r="J272" i="1" s="1"/>
  <c r="L272" i="1" s="1"/>
  <c r="K272" i="1"/>
  <c r="M272" i="1"/>
  <c r="I273" i="1"/>
  <c r="J273" i="1"/>
  <c r="I274" i="1"/>
  <c r="J274" i="1"/>
  <c r="L274" i="1" s="1"/>
  <c r="K274" i="1"/>
  <c r="M274" i="1"/>
  <c r="N274" i="1"/>
  <c r="I275" i="1"/>
  <c r="J275" i="1"/>
  <c r="I276" i="1"/>
  <c r="J276" i="1"/>
  <c r="L276" i="1" s="1"/>
  <c r="K276" i="1"/>
  <c r="M276" i="1"/>
  <c r="N276" i="1"/>
  <c r="Q276" i="1" s="1"/>
  <c r="I277" i="1"/>
  <c r="J277" i="1" s="1"/>
  <c r="I278" i="1"/>
  <c r="J278" i="1" s="1"/>
  <c r="M278" i="1" s="1"/>
  <c r="K278" i="1"/>
  <c r="L278" i="1"/>
  <c r="I279" i="1"/>
  <c r="J279" i="1"/>
  <c r="I280" i="1"/>
  <c r="J280" i="1"/>
  <c r="I281" i="1"/>
  <c r="J281" i="1" s="1"/>
  <c r="L281" i="1"/>
  <c r="I282" i="1"/>
  <c r="J282" i="1"/>
  <c r="M282" i="1" s="1"/>
  <c r="K282" i="1"/>
  <c r="L282" i="1"/>
  <c r="I283" i="1"/>
  <c r="J283" i="1"/>
  <c r="L283" i="1" s="1"/>
  <c r="M283" i="1"/>
  <c r="I284" i="1"/>
  <c r="J284" i="1"/>
  <c r="L284" i="1" s="1"/>
  <c r="K284" i="1"/>
  <c r="M284" i="1"/>
  <c r="I285" i="1"/>
  <c r="J285" i="1" s="1"/>
  <c r="I286" i="1"/>
  <c r="J286" i="1"/>
  <c r="K286" i="1" s="1"/>
  <c r="L286" i="1"/>
  <c r="M286" i="1"/>
  <c r="I287" i="1"/>
  <c r="J287" i="1"/>
  <c r="K287" i="1" s="1"/>
  <c r="L287" i="1"/>
  <c r="M287" i="1"/>
  <c r="I288" i="1"/>
  <c r="J288" i="1"/>
  <c r="L288" i="1" s="1"/>
  <c r="K288" i="1"/>
  <c r="I289" i="1"/>
  <c r="J289" i="1"/>
  <c r="M289" i="1" s="1"/>
  <c r="K289" i="1"/>
  <c r="L289" i="1"/>
  <c r="N289" i="1"/>
  <c r="Q289" i="1" s="1"/>
  <c r="I290" i="1"/>
  <c r="J290" i="1"/>
  <c r="L290" i="1" s="1"/>
  <c r="K290" i="1"/>
  <c r="M290" i="1"/>
  <c r="N290" i="1"/>
  <c r="P290" i="1" s="1"/>
  <c r="O290" i="1"/>
  <c r="I291" i="1"/>
  <c r="J291" i="1" s="1"/>
  <c r="I292" i="1"/>
  <c r="J292" i="1" s="1"/>
  <c r="K292" i="1"/>
  <c r="L292" i="1"/>
  <c r="M292" i="1"/>
  <c r="Q292" i="1" s="1"/>
  <c r="N292" i="1"/>
  <c r="P292" i="1"/>
  <c r="I293" i="1"/>
  <c r="J293" i="1" s="1"/>
  <c r="K293" i="1"/>
  <c r="L293" i="1"/>
  <c r="M293" i="1"/>
  <c r="I294" i="1"/>
  <c r="J294" i="1"/>
  <c r="L294" i="1" s="1"/>
  <c r="K294" i="1"/>
  <c r="M294" i="1"/>
  <c r="I295" i="1"/>
  <c r="J295" i="1"/>
  <c r="I296" i="1"/>
  <c r="J296" i="1" s="1"/>
  <c r="L296" i="1" s="1"/>
  <c r="K296" i="1"/>
  <c r="M296" i="1"/>
  <c r="I297" i="1"/>
  <c r="J297" i="1" s="1"/>
  <c r="I298" i="1"/>
  <c r="J298" i="1"/>
  <c r="K298" i="1" s="1"/>
  <c r="L298" i="1"/>
  <c r="M298" i="1"/>
  <c r="I299" i="1"/>
  <c r="J299" i="1" s="1"/>
  <c r="I300" i="1"/>
  <c r="J300" i="1" s="1"/>
  <c r="I301" i="1"/>
  <c r="J301" i="1" s="1"/>
  <c r="K301" i="1"/>
  <c r="L301" i="1"/>
  <c r="M301" i="1"/>
  <c r="I302" i="1"/>
  <c r="J302" i="1" s="1"/>
  <c r="K302" i="1"/>
  <c r="I303" i="1"/>
  <c r="J303" i="1"/>
  <c r="L303" i="1" s="1"/>
  <c r="K303" i="1"/>
  <c r="N303" i="1" s="1"/>
  <c r="M303" i="1"/>
  <c r="O303" i="1"/>
  <c r="Q303" i="1"/>
  <c r="I304" i="1"/>
  <c r="J304" i="1" s="1"/>
  <c r="L304" i="1" s="1"/>
  <c r="K304" i="1"/>
  <c r="M304" i="1"/>
  <c r="N304" i="1" s="1"/>
  <c r="I305" i="1"/>
  <c r="J305" i="1"/>
  <c r="K305" i="1" s="1"/>
  <c r="L305" i="1"/>
  <c r="M305" i="1"/>
  <c r="N305" i="1"/>
  <c r="P305" i="1" s="1"/>
  <c r="I306" i="1"/>
  <c r="J306" i="1" s="1"/>
  <c r="M306" i="1" s="1"/>
  <c r="L306" i="1"/>
  <c r="I307" i="1"/>
  <c r="J307" i="1"/>
  <c r="L307" i="1" s="1"/>
  <c r="K307" i="1"/>
  <c r="M307" i="1"/>
  <c r="I308" i="1"/>
  <c r="J308" i="1"/>
  <c r="I309" i="1"/>
  <c r="J309" i="1" s="1"/>
  <c r="K309" i="1"/>
  <c r="N309" i="1" s="1"/>
  <c r="P309" i="1" s="1"/>
  <c r="L309" i="1"/>
  <c r="M309" i="1"/>
  <c r="Q309" i="1"/>
  <c r="I310" i="1"/>
  <c r="J310" i="1" s="1"/>
  <c r="K310" i="1"/>
  <c r="L310" i="1"/>
  <c r="M310" i="1"/>
  <c r="N310" i="1" s="1"/>
  <c r="I311" i="1"/>
  <c r="J311" i="1" s="1"/>
  <c r="M311" i="1"/>
  <c r="I312" i="1"/>
  <c r="J312" i="1" s="1"/>
  <c r="I313" i="1"/>
  <c r="J313" i="1"/>
  <c r="K313" i="1"/>
  <c r="I314" i="1"/>
  <c r="J314" i="1" s="1"/>
  <c r="M314" i="1"/>
  <c r="I315" i="1"/>
  <c r="J315" i="1"/>
  <c r="K315" i="1" s="1"/>
  <c r="L315" i="1"/>
  <c r="M315" i="1"/>
  <c r="I316" i="1"/>
  <c r="J316" i="1" s="1"/>
  <c r="L316" i="1" s="1"/>
  <c r="K316" i="1"/>
  <c r="M316" i="1"/>
  <c r="N316" i="1"/>
  <c r="P316" i="1" s="1"/>
  <c r="O316" i="1"/>
  <c r="R316" i="1" s="1"/>
  <c r="Q316" i="1"/>
  <c r="I317" i="1"/>
  <c r="J317" i="1" s="1"/>
  <c r="M317" i="1" s="1"/>
  <c r="K317" i="1"/>
  <c r="L317" i="1"/>
  <c r="N317" i="1"/>
  <c r="O317" i="1"/>
  <c r="I318" i="1"/>
  <c r="J318" i="1"/>
  <c r="M318" i="1" s="1"/>
  <c r="K318" i="1"/>
  <c r="L318" i="1"/>
  <c r="I319" i="1"/>
  <c r="J319" i="1"/>
  <c r="K319" i="1" s="1"/>
  <c r="L319" i="1"/>
  <c r="I320" i="1"/>
  <c r="J320" i="1" s="1"/>
  <c r="I321" i="1"/>
  <c r="J321" i="1"/>
  <c r="K321" i="1"/>
  <c r="L321" i="1"/>
  <c r="M321" i="1"/>
  <c r="I322" i="1"/>
  <c r="J322" i="1" s="1"/>
  <c r="I323" i="1"/>
  <c r="J323" i="1"/>
  <c r="L323" i="1" s="1"/>
  <c r="M323" i="1"/>
  <c r="I324" i="1"/>
  <c r="J324" i="1"/>
  <c r="K324" i="1"/>
  <c r="I325" i="1"/>
  <c r="J325" i="1" s="1"/>
  <c r="K325" i="1" s="1"/>
  <c r="L325" i="1"/>
  <c r="M325" i="1"/>
  <c r="I326" i="1"/>
  <c r="J326" i="1"/>
  <c r="K326" i="1" s="1"/>
  <c r="I327" i="1"/>
  <c r="J327" i="1"/>
  <c r="I328" i="1"/>
  <c r="J328" i="1"/>
  <c r="I329" i="1"/>
  <c r="J329" i="1" s="1"/>
  <c r="K329" i="1" s="1"/>
  <c r="M329" i="1"/>
  <c r="I330" i="1"/>
  <c r="J330" i="1" s="1"/>
  <c r="K330" i="1"/>
  <c r="L330" i="1"/>
  <c r="M330" i="1"/>
  <c r="I331" i="1"/>
  <c r="J331" i="1" s="1"/>
  <c r="K331" i="1" s="1"/>
  <c r="L331" i="1"/>
  <c r="M331" i="1"/>
  <c r="I332" i="1"/>
  <c r="J332" i="1" s="1"/>
  <c r="L332" i="1" s="1"/>
  <c r="K332" i="1"/>
  <c r="M332" i="1"/>
  <c r="I333" i="1"/>
  <c r="J333" i="1" s="1"/>
  <c r="L333" i="1" s="1"/>
  <c r="K333" i="1"/>
  <c r="M333" i="1"/>
  <c r="I334" i="1"/>
  <c r="J334" i="1"/>
  <c r="K334" i="1" s="1"/>
  <c r="L334" i="1"/>
  <c r="M334" i="1"/>
  <c r="N334" i="1" s="1"/>
  <c r="O334" i="1"/>
  <c r="I335" i="1"/>
  <c r="J335" i="1"/>
  <c r="I336" i="1"/>
  <c r="J336" i="1"/>
  <c r="L336" i="1" s="1"/>
  <c r="K336" i="1"/>
  <c r="M336" i="1"/>
  <c r="N336" i="1"/>
  <c r="P336" i="1" s="1"/>
  <c r="I337" i="1"/>
  <c r="J337" i="1" s="1"/>
  <c r="I338" i="1"/>
  <c r="J338" i="1" s="1"/>
  <c r="K338" i="1" s="1"/>
  <c r="O338" i="1" s="1"/>
  <c r="L338" i="1"/>
  <c r="P338" i="1" s="1"/>
  <c r="M338" i="1"/>
  <c r="N338" i="1"/>
  <c r="I339" i="1"/>
  <c r="J339" i="1" s="1"/>
  <c r="K339" i="1"/>
  <c r="L339" i="1"/>
  <c r="M339" i="1"/>
  <c r="I340" i="1"/>
  <c r="J340" i="1"/>
  <c r="I341" i="1"/>
  <c r="J341" i="1"/>
  <c r="I342" i="1"/>
  <c r="J342" i="1" s="1"/>
  <c r="I343" i="1"/>
  <c r="J343" i="1"/>
  <c r="M343" i="1"/>
  <c r="I344" i="1"/>
  <c r="J344" i="1"/>
  <c r="K344" i="1" s="1"/>
  <c r="L344" i="1"/>
  <c r="M344" i="1"/>
  <c r="N344" i="1"/>
  <c r="I345" i="1"/>
  <c r="J345" i="1"/>
  <c r="M345" i="1"/>
  <c r="I346" i="1"/>
  <c r="J346" i="1"/>
  <c r="M346" i="1" s="1"/>
  <c r="L346" i="1"/>
  <c r="I347" i="1"/>
  <c r="J347" i="1" s="1"/>
  <c r="L347" i="1" s="1"/>
  <c r="K347" i="1"/>
  <c r="M347" i="1"/>
  <c r="I348" i="1"/>
  <c r="J348" i="1" s="1"/>
  <c r="L348" i="1" s="1"/>
  <c r="K348" i="1"/>
  <c r="M348" i="1"/>
  <c r="N348" i="1"/>
  <c r="O348" i="1"/>
  <c r="Q348" i="1"/>
  <c r="I349" i="1"/>
  <c r="J349" i="1"/>
  <c r="L349" i="1" s="1"/>
  <c r="K349" i="1"/>
  <c r="I350" i="1"/>
  <c r="J350" i="1" s="1"/>
  <c r="I351" i="1"/>
  <c r="J351" i="1"/>
  <c r="M351" i="1" s="1"/>
  <c r="K351" i="1"/>
  <c r="I352" i="1"/>
  <c r="J352" i="1"/>
  <c r="I353" i="1"/>
  <c r="J353" i="1"/>
  <c r="L353" i="1"/>
  <c r="I354" i="1"/>
  <c r="J354" i="1"/>
  <c r="M354" i="1" s="1"/>
  <c r="K354" i="1"/>
  <c r="I355" i="1"/>
  <c r="J355" i="1" s="1"/>
  <c r="M355" i="1" s="1"/>
  <c r="K355" i="1"/>
  <c r="L355" i="1"/>
  <c r="N355" i="1"/>
  <c r="I356" i="1"/>
  <c r="J356" i="1" s="1"/>
  <c r="M356" i="1"/>
  <c r="I357" i="1"/>
  <c r="J357" i="1" s="1"/>
  <c r="I358" i="1"/>
  <c r="J358" i="1" s="1"/>
  <c r="K358" i="1" s="1"/>
  <c r="I359" i="1"/>
  <c r="J359" i="1" s="1"/>
  <c r="I360" i="1"/>
  <c r="J360" i="1" s="1"/>
  <c r="K360" i="1"/>
  <c r="L360" i="1"/>
  <c r="M360" i="1"/>
  <c r="N360" i="1"/>
  <c r="I361" i="1"/>
  <c r="J361" i="1" s="1"/>
  <c r="I362" i="1"/>
  <c r="J362" i="1"/>
  <c r="M362" i="1" s="1"/>
  <c r="K362" i="1"/>
  <c r="L362" i="1"/>
  <c r="I363" i="1"/>
  <c r="J363" i="1" s="1"/>
  <c r="I364" i="1"/>
  <c r="J364" i="1"/>
  <c r="L364" i="1" s="1"/>
  <c r="K364" i="1"/>
  <c r="M364" i="1"/>
  <c r="N364" i="1" s="1"/>
  <c r="Q364" i="1" s="1"/>
  <c r="I365" i="1"/>
  <c r="J365" i="1" s="1"/>
  <c r="K365" i="1" s="1"/>
  <c r="L365" i="1"/>
  <c r="M365" i="1"/>
  <c r="I366" i="1"/>
  <c r="J366" i="1"/>
  <c r="I367" i="1"/>
  <c r="J367" i="1" s="1"/>
  <c r="K367" i="1"/>
  <c r="L367" i="1"/>
  <c r="M367" i="1"/>
  <c r="I368" i="1"/>
  <c r="J368" i="1" s="1"/>
  <c r="K368" i="1"/>
  <c r="L368" i="1"/>
  <c r="M368" i="1"/>
  <c r="N368" i="1"/>
  <c r="P368" i="1"/>
  <c r="I369" i="1"/>
  <c r="J369" i="1"/>
  <c r="K369" i="1" s="1"/>
  <c r="I370" i="1"/>
  <c r="J370" i="1"/>
  <c r="L370" i="1" s="1"/>
  <c r="K370" i="1"/>
  <c r="M370" i="1"/>
  <c r="Q370" i="1" s="1"/>
  <c r="N370" i="1"/>
  <c r="O370" i="1" s="1"/>
  <c r="I371" i="1"/>
  <c r="J371" i="1" s="1"/>
  <c r="I372" i="1"/>
  <c r="J372" i="1"/>
  <c r="K372" i="1"/>
  <c r="L372" i="1"/>
  <c r="M372" i="1"/>
  <c r="N372" i="1"/>
  <c r="O372" i="1"/>
  <c r="I373" i="1"/>
  <c r="J373" i="1"/>
  <c r="K373" i="1" s="1"/>
  <c r="L373" i="1"/>
  <c r="M373" i="1"/>
  <c r="I374" i="1"/>
  <c r="J374" i="1"/>
  <c r="L374" i="1" s="1"/>
  <c r="K374" i="1"/>
  <c r="M374" i="1"/>
  <c r="I375" i="1"/>
  <c r="J375" i="1"/>
  <c r="M375" i="1" s="1"/>
  <c r="L375" i="1"/>
  <c r="I376" i="1"/>
  <c r="J376" i="1" s="1"/>
  <c r="K376" i="1" s="1"/>
  <c r="L376" i="1"/>
  <c r="M376" i="1"/>
  <c r="I377" i="1"/>
  <c r="J377" i="1" s="1"/>
  <c r="L377" i="1" s="1"/>
  <c r="K377" i="1"/>
  <c r="M377" i="1"/>
  <c r="I378" i="1"/>
  <c r="J378" i="1" s="1"/>
  <c r="I379" i="1"/>
  <c r="J379" i="1" s="1"/>
  <c r="M379" i="1" s="1"/>
  <c r="L379" i="1"/>
  <c r="I380" i="1"/>
  <c r="J380" i="1"/>
  <c r="M380" i="1" s="1"/>
  <c r="K380" i="1"/>
  <c r="L380" i="1"/>
  <c r="I381" i="1"/>
  <c r="J381" i="1"/>
  <c r="M381" i="1" s="1"/>
  <c r="I382" i="1"/>
  <c r="J382" i="1" s="1"/>
  <c r="I383" i="1"/>
  <c r="J383" i="1"/>
  <c r="M383" i="1" s="1"/>
  <c r="K383" i="1"/>
  <c r="L383" i="1"/>
  <c r="N383" i="1"/>
  <c r="O383" i="1"/>
  <c r="I384" i="1"/>
  <c r="J384" i="1"/>
  <c r="I385" i="1"/>
  <c r="J385" i="1" s="1"/>
  <c r="M385" i="1" s="1"/>
  <c r="K385" i="1"/>
  <c r="L385" i="1"/>
  <c r="I386" i="1"/>
  <c r="J386" i="1"/>
  <c r="I387" i="1"/>
  <c r="J387" i="1" s="1"/>
  <c r="M387" i="1" s="1"/>
  <c r="K387" i="1"/>
  <c r="L387" i="1"/>
  <c r="I388" i="1"/>
  <c r="J388" i="1" s="1"/>
  <c r="L388" i="1" s="1"/>
  <c r="K388" i="1"/>
  <c r="M388" i="1"/>
  <c r="I389" i="1"/>
  <c r="J389" i="1" s="1"/>
  <c r="M389" i="1" s="1"/>
  <c r="K389" i="1"/>
  <c r="L389" i="1"/>
  <c r="N389" i="1" s="1"/>
  <c r="O389" i="1" s="1"/>
  <c r="I390" i="1"/>
  <c r="J390" i="1"/>
  <c r="I391" i="1"/>
  <c r="J391" i="1"/>
  <c r="K391" i="1"/>
  <c r="I392" i="1"/>
  <c r="J392" i="1"/>
  <c r="M392" i="1"/>
  <c r="I393" i="1"/>
  <c r="J393" i="1"/>
  <c r="K393" i="1" s="1"/>
  <c r="L393" i="1"/>
  <c r="I394" i="1"/>
  <c r="J394" i="1"/>
  <c r="I395" i="1"/>
  <c r="J395" i="1" s="1"/>
  <c r="I396" i="1"/>
  <c r="J396" i="1"/>
  <c r="L396" i="1" s="1"/>
  <c r="K396" i="1"/>
  <c r="M396" i="1"/>
  <c r="N396" i="1"/>
  <c r="O396" i="1"/>
  <c r="Q396" i="1"/>
  <c r="I397" i="1"/>
  <c r="J397" i="1" s="1"/>
  <c r="M397" i="1" s="1"/>
  <c r="I398" i="1"/>
  <c r="J398" i="1"/>
  <c r="L398" i="1" s="1"/>
  <c r="K398" i="1"/>
  <c r="I399" i="1"/>
  <c r="J399" i="1"/>
  <c r="L399" i="1" s="1"/>
  <c r="K399" i="1"/>
  <c r="M399" i="1"/>
  <c r="N399" i="1" s="1"/>
  <c r="I400" i="1"/>
  <c r="J400" i="1"/>
  <c r="M400" i="1" s="1"/>
  <c r="K400" i="1"/>
  <c r="I401" i="1"/>
  <c r="J401" i="1"/>
  <c r="L401" i="1" s="1"/>
  <c r="K401" i="1"/>
  <c r="M401" i="1"/>
  <c r="I402" i="1"/>
  <c r="J402" i="1"/>
  <c r="M402" i="1"/>
  <c r="I403" i="1"/>
  <c r="J403" i="1"/>
  <c r="M403" i="1"/>
  <c r="I404" i="1"/>
  <c r="J404" i="1" s="1"/>
  <c r="M404" i="1" s="1"/>
  <c r="I405" i="1"/>
  <c r="J405" i="1"/>
  <c r="K405" i="1" s="1"/>
  <c r="L405" i="1"/>
  <c r="M405" i="1"/>
  <c r="I406" i="1"/>
  <c r="J406" i="1"/>
  <c r="K406" i="1"/>
  <c r="L406" i="1"/>
  <c r="M406" i="1"/>
  <c r="I407" i="1"/>
  <c r="J407" i="1"/>
  <c r="L407" i="1" s="1"/>
  <c r="K407" i="1"/>
  <c r="M407" i="1"/>
  <c r="I408" i="1"/>
  <c r="J408" i="1"/>
  <c r="M408" i="1" s="1"/>
  <c r="K408" i="1"/>
  <c r="N408" i="1" s="1"/>
  <c r="Q408" i="1" s="1"/>
  <c r="L408" i="1"/>
  <c r="I409" i="1"/>
  <c r="J409" i="1" s="1"/>
  <c r="I410" i="1"/>
  <c r="J410" i="1"/>
  <c r="K410" i="1"/>
  <c r="I411" i="1"/>
  <c r="J411" i="1"/>
  <c r="I412" i="1"/>
  <c r="J412" i="1" s="1"/>
  <c r="L412" i="1" s="1"/>
  <c r="I413" i="1"/>
  <c r="J413" i="1" s="1"/>
  <c r="I414" i="1"/>
  <c r="J414" i="1" s="1"/>
  <c r="K414" i="1" s="1"/>
  <c r="L414" i="1"/>
  <c r="M414" i="1"/>
  <c r="N414" i="1"/>
  <c r="O414" i="1"/>
  <c r="P414" i="1"/>
  <c r="I415" i="1"/>
  <c r="J415" i="1" s="1"/>
  <c r="I416" i="1"/>
  <c r="J416" i="1" s="1"/>
  <c r="I417" i="1"/>
  <c r="J417" i="1" s="1"/>
  <c r="I418" i="1"/>
  <c r="J418" i="1"/>
  <c r="K418" i="1" s="1"/>
  <c r="I419" i="1"/>
  <c r="J419" i="1"/>
  <c r="M419" i="1" s="1"/>
  <c r="K419" i="1"/>
  <c r="I420" i="1"/>
  <c r="J420" i="1" s="1"/>
  <c r="L420" i="1" s="1"/>
  <c r="K420" i="1"/>
  <c r="M420" i="1"/>
  <c r="N420" i="1"/>
  <c r="O420" i="1"/>
  <c r="P420" i="1"/>
  <c r="I421" i="1"/>
  <c r="J421" i="1"/>
  <c r="I422" i="1"/>
  <c r="J422" i="1"/>
  <c r="I423" i="1"/>
  <c r="J423" i="1" s="1"/>
  <c r="L423" i="1" s="1"/>
  <c r="K423" i="1"/>
  <c r="I424" i="1"/>
  <c r="J424" i="1"/>
  <c r="K424" i="1"/>
  <c r="I425" i="1"/>
  <c r="J425" i="1"/>
  <c r="I426" i="1"/>
  <c r="J426" i="1"/>
  <c r="M426" i="1" s="1"/>
  <c r="L426" i="1"/>
  <c r="I427" i="1"/>
  <c r="J427" i="1"/>
  <c r="K427" i="1"/>
  <c r="L427" i="1"/>
  <c r="M427" i="1"/>
  <c r="N427" i="1" s="1"/>
  <c r="I428" i="1"/>
  <c r="J428" i="1" s="1"/>
  <c r="K428" i="1"/>
  <c r="I429" i="1"/>
  <c r="J429" i="1"/>
  <c r="L429" i="1"/>
  <c r="I430" i="1"/>
  <c r="J430" i="1" s="1"/>
  <c r="I431" i="1"/>
  <c r="J431" i="1"/>
  <c r="I432" i="1"/>
  <c r="J432" i="1" s="1"/>
  <c r="K432" i="1"/>
  <c r="I433" i="1"/>
  <c r="J433" i="1"/>
  <c r="M433" i="1" s="1"/>
  <c r="I434" i="1"/>
  <c r="J434" i="1"/>
  <c r="K434" i="1"/>
  <c r="L434" i="1"/>
  <c r="M434" i="1"/>
  <c r="I435" i="1"/>
  <c r="J435" i="1"/>
  <c r="M435" i="1" s="1"/>
  <c r="Q435" i="1" s="1"/>
  <c r="K435" i="1"/>
  <c r="L435" i="1"/>
  <c r="N435" i="1"/>
  <c r="I436" i="1"/>
  <c r="J436" i="1"/>
  <c r="L436" i="1" s="1"/>
  <c r="K436" i="1"/>
  <c r="M436" i="1"/>
  <c r="I437" i="1"/>
  <c r="J437" i="1" s="1"/>
  <c r="K437" i="1" s="1"/>
  <c r="L437" i="1"/>
  <c r="M437" i="1"/>
  <c r="N437" i="1"/>
  <c r="O437" i="1" s="1"/>
  <c r="I438" i="1"/>
  <c r="J438" i="1" s="1"/>
  <c r="K438" i="1"/>
  <c r="L438" i="1"/>
  <c r="M438" i="1"/>
  <c r="N438" i="1"/>
  <c r="P438" i="1" s="1"/>
  <c r="I439" i="1"/>
  <c r="J439" i="1" s="1"/>
  <c r="L439" i="1"/>
  <c r="D5" i="1"/>
  <c r="C5" i="1"/>
  <c r="B5" i="1"/>
  <c r="I10" i="1"/>
  <c r="J10" i="1" s="1"/>
  <c r="L10" i="1" s="1"/>
  <c r="O399" i="1" l="1"/>
  <c r="Q399" i="1"/>
  <c r="K157" i="1"/>
  <c r="L157" i="1"/>
  <c r="M157" i="1"/>
  <c r="R437" i="1"/>
  <c r="M265" i="1"/>
  <c r="K265" i="1"/>
  <c r="L265" i="1"/>
  <c r="R338" i="1"/>
  <c r="L291" i="1"/>
  <c r="K291" i="1"/>
  <c r="M291" i="1"/>
  <c r="R290" i="1"/>
  <c r="M63" i="1"/>
  <c r="L63" i="1"/>
  <c r="K63" i="1"/>
  <c r="L430" i="1"/>
  <c r="M430" i="1"/>
  <c r="K430" i="1"/>
  <c r="N358" i="1"/>
  <c r="O358" i="1" s="1"/>
  <c r="O377" i="1"/>
  <c r="K275" i="1"/>
  <c r="M275" i="1"/>
  <c r="L275" i="1"/>
  <c r="K417" i="1"/>
  <c r="L417" i="1"/>
  <c r="M417" i="1"/>
  <c r="N362" i="1"/>
  <c r="Q362" i="1" s="1"/>
  <c r="O362" i="1"/>
  <c r="L433" i="1"/>
  <c r="M412" i="1"/>
  <c r="L397" i="1"/>
  <c r="P389" i="1"/>
  <c r="R389" i="1" s="1"/>
  <c r="L381" i="1"/>
  <c r="L378" i="1"/>
  <c r="K378" i="1"/>
  <c r="P370" i="1"/>
  <c r="R370" i="1" s="1"/>
  <c r="N354" i="1"/>
  <c r="O354" i="1" s="1"/>
  <c r="P260" i="1"/>
  <c r="O239" i="1"/>
  <c r="R239" i="1" s="1"/>
  <c r="P239" i="1"/>
  <c r="R235" i="1"/>
  <c r="K199" i="1"/>
  <c r="L199" i="1"/>
  <c r="K126" i="1"/>
  <c r="L126" i="1"/>
  <c r="N120" i="1"/>
  <c r="O120" i="1"/>
  <c r="L15" i="1"/>
  <c r="M15" i="1"/>
  <c r="K15" i="1"/>
  <c r="K439" i="1"/>
  <c r="M439" i="1"/>
  <c r="K433" i="1"/>
  <c r="K412" i="1"/>
  <c r="K397" i="1"/>
  <c r="M393" i="1"/>
  <c r="K381" i="1"/>
  <c r="L354" i="1"/>
  <c r="Q331" i="1"/>
  <c r="K327" i="1"/>
  <c r="L327" i="1"/>
  <c r="M327" i="1"/>
  <c r="L322" i="1"/>
  <c r="M322" i="1"/>
  <c r="K322" i="1"/>
  <c r="O260" i="1"/>
  <c r="R260" i="1" s="1"/>
  <c r="Q239" i="1"/>
  <c r="K194" i="1"/>
  <c r="M194" i="1"/>
  <c r="L194" i="1"/>
  <c r="Q148" i="1"/>
  <c r="K134" i="1"/>
  <c r="L134" i="1"/>
  <c r="L87" i="1"/>
  <c r="K87" i="1"/>
  <c r="M87" i="1"/>
  <c r="L264" i="1"/>
  <c r="K264" i="1"/>
  <c r="M264" i="1"/>
  <c r="R193" i="1"/>
  <c r="Q143" i="1"/>
  <c r="K425" i="1"/>
  <c r="L425" i="1"/>
  <c r="M425" i="1"/>
  <c r="P317" i="1"/>
  <c r="P164" i="1"/>
  <c r="K142" i="1"/>
  <c r="M142" i="1"/>
  <c r="L142" i="1"/>
  <c r="N133" i="1"/>
  <c r="P133" i="1" s="1"/>
  <c r="O133" i="1"/>
  <c r="N96" i="1"/>
  <c r="O96" i="1" s="1"/>
  <c r="R96" i="1" s="1"/>
  <c r="N82" i="1"/>
  <c r="P82" i="1" s="1"/>
  <c r="K77" i="1"/>
  <c r="L77" i="1"/>
  <c r="M77" i="1"/>
  <c r="M424" i="1"/>
  <c r="L424" i="1"/>
  <c r="L415" i="1"/>
  <c r="K415" i="1"/>
  <c r="M415" i="1"/>
  <c r="N388" i="1"/>
  <c r="K361" i="1"/>
  <c r="L361" i="1"/>
  <c r="M361" i="1"/>
  <c r="L341" i="1"/>
  <c r="K341" i="1"/>
  <c r="M341" i="1"/>
  <c r="Q325" i="1"/>
  <c r="M308" i="1"/>
  <c r="K308" i="1"/>
  <c r="L308" i="1"/>
  <c r="O301" i="1"/>
  <c r="R301" i="1" s="1"/>
  <c r="N301" i="1"/>
  <c r="Q301" i="1" s="1"/>
  <c r="P274" i="1"/>
  <c r="K174" i="1"/>
  <c r="L174" i="1"/>
  <c r="M174" i="1"/>
  <c r="L100" i="1"/>
  <c r="L72" i="1"/>
  <c r="M72" i="1"/>
  <c r="K72" i="1"/>
  <c r="N24" i="1"/>
  <c r="O24" i="1"/>
  <c r="P18" i="1"/>
  <c r="Q12" i="1"/>
  <c r="L342" i="1"/>
  <c r="K342" i="1"/>
  <c r="M342" i="1"/>
  <c r="P435" i="1"/>
  <c r="Q407" i="1"/>
  <c r="P362" i="1"/>
  <c r="R334" i="1"/>
  <c r="K243" i="1"/>
  <c r="L243" i="1"/>
  <c r="M243" i="1"/>
  <c r="L165" i="1"/>
  <c r="M165" i="1"/>
  <c r="M170" i="1"/>
  <c r="K170" i="1"/>
  <c r="L170" i="1"/>
  <c r="N313" i="1"/>
  <c r="O313" i="1"/>
  <c r="K403" i="1"/>
  <c r="L403" i="1"/>
  <c r="N225" i="1"/>
  <c r="Q427" i="1"/>
  <c r="N282" i="1"/>
  <c r="P282" i="1" s="1"/>
  <c r="L112" i="1"/>
  <c r="M112" i="1"/>
  <c r="K112" i="1"/>
  <c r="N100" i="1"/>
  <c r="Q100" i="1" s="1"/>
  <c r="L312" i="1"/>
  <c r="K312" i="1"/>
  <c r="M312" i="1"/>
  <c r="P270" i="1"/>
  <c r="R270" i="1" s="1"/>
  <c r="L358" i="1"/>
  <c r="M358" i="1"/>
  <c r="Q438" i="1"/>
  <c r="N393" i="1"/>
  <c r="O393" i="1" s="1"/>
  <c r="Q338" i="1"/>
  <c r="M251" i="1"/>
  <c r="K251" i="1"/>
  <c r="L251" i="1"/>
  <c r="L230" i="1"/>
  <c r="K230" i="1"/>
  <c r="M230" i="1"/>
  <c r="N204" i="1"/>
  <c r="O204" i="1" s="1"/>
  <c r="N184" i="1"/>
  <c r="P184" i="1" s="1"/>
  <c r="N407" i="1"/>
  <c r="O407" i="1"/>
  <c r="Q389" i="1"/>
  <c r="N373" i="1"/>
  <c r="Q373" i="1" s="1"/>
  <c r="O373" i="1"/>
  <c r="L314" i="1"/>
  <c r="K314" i="1"/>
  <c r="N268" i="1"/>
  <c r="Q268" i="1" s="1"/>
  <c r="Q82" i="1"/>
  <c r="Q67" i="1"/>
  <c r="K411" i="1"/>
  <c r="L411" i="1"/>
  <c r="M411" i="1"/>
  <c r="L384" i="1"/>
  <c r="K384" i="1"/>
  <c r="M384" i="1"/>
  <c r="N321" i="1"/>
  <c r="P388" i="1"/>
  <c r="Q196" i="1"/>
  <c r="N18" i="1"/>
  <c r="O18" i="1"/>
  <c r="N365" i="1"/>
  <c r="Q365" i="1" s="1"/>
  <c r="O365" i="1"/>
  <c r="M352" i="1"/>
  <c r="K352" i="1"/>
  <c r="L352" i="1"/>
  <c r="N325" i="1"/>
  <c r="K295" i="1"/>
  <c r="L295" i="1"/>
  <c r="M295" i="1"/>
  <c r="N286" i="1"/>
  <c r="Q286" i="1" s="1"/>
  <c r="N214" i="1"/>
  <c r="Q214" i="1" s="1"/>
  <c r="M182" i="1"/>
  <c r="K182" i="1"/>
  <c r="L182" i="1"/>
  <c r="K117" i="1"/>
  <c r="M117" i="1"/>
  <c r="L117" i="1"/>
  <c r="P437" i="1"/>
  <c r="N406" i="1"/>
  <c r="P406" i="1" s="1"/>
  <c r="K402" i="1"/>
  <c r="L402" i="1"/>
  <c r="P399" i="1"/>
  <c r="L391" i="1"/>
  <c r="M391" i="1"/>
  <c r="Q360" i="1"/>
  <c r="P344" i="1"/>
  <c r="K340" i="1"/>
  <c r="L340" i="1"/>
  <c r="M340" i="1"/>
  <c r="N333" i="1"/>
  <c r="Q333" i="1" s="1"/>
  <c r="L273" i="1"/>
  <c r="K273" i="1"/>
  <c r="M273" i="1"/>
  <c r="N237" i="1"/>
  <c r="Q237" i="1" s="1"/>
  <c r="L200" i="1"/>
  <c r="K200" i="1"/>
  <c r="M200" i="1"/>
  <c r="N108" i="1"/>
  <c r="Q108" i="1" s="1"/>
  <c r="K90" i="1"/>
  <c r="L90" i="1"/>
  <c r="Q39" i="1"/>
  <c r="Q368" i="1"/>
  <c r="O344" i="1"/>
  <c r="O39" i="1"/>
  <c r="N39" i="1"/>
  <c r="P39" i="1" s="1"/>
  <c r="Q414" i="1"/>
  <c r="R414" i="1" s="1"/>
  <c r="M409" i="1"/>
  <c r="K409" i="1"/>
  <c r="L409" i="1"/>
  <c r="P348" i="1"/>
  <c r="R348" i="1" s="1"/>
  <c r="L324" i="1"/>
  <c r="M324" i="1"/>
  <c r="R303" i="1"/>
  <c r="K299" i="1"/>
  <c r="M299" i="1"/>
  <c r="L299" i="1"/>
  <c r="N294" i="1"/>
  <c r="Q294" i="1" s="1"/>
  <c r="O294" i="1"/>
  <c r="N217" i="1"/>
  <c r="L146" i="1"/>
  <c r="K146" i="1"/>
  <c r="M146" i="1"/>
  <c r="O116" i="1"/>
  <c r="M65" i="1"/>
  <c r="K65" i="1"/>
  <c r="L65" i="1"/>
  <c r="L259" i="1"/>
  <c r="M259" i="1"/>
  <c r="K259" i="1"/>
  <c r="P427" i="1"/>
  <c r="L192" i="1"/>
  <c r="K192" i="1"/>
  <c r="M192" i="1"/>
  <c r="N387" i="1"/>
  <c r="P387" i="1" s="1"/>
  <c r="O387" i="1"/>
  <c r="P304" i="1"/>
  <c r="N151" i="1"/>
  <c r="O151" i="1" s="1"/>
  <c r="Q228" i="1"/>
  <c r="L104" i="1"/>
  <c r="K104" i="1"/>
  <c r="M104" i="1"/>
  <c r="M418" i="1"/>
  <c r="Q310" i="1"/>
  <c r="N307" i="1"/>
  <c r="O307" i="1"/>
  <c r="O276" i="1"/>
  <c r="P276" i="1"/>
  <c r="Q261" i="1"/>
  <c r="Q244" i="1"/>
  <c r="K222" i="1"/>
  <c r="M222" i="1"/>
  <c r="Q217" i="1"/>
  <c r="M181" i="1"/>
  <c r="K181" i="1"/>
  <c r="L181" i="1"/>
  <c r="N167" i="1"/>
  <c r="O167" i="1" s="1"/>
  <c r="P167" i="1"/>
  <c r="N154" i="1"/>
  <c r="O154" i="1"/>
  <c r="N127" i="1"/>
  <c r="Q127" i="1" s="1"/>
  <c r="O127" i="1"/>
  <c r="N121" i="1"/>
  <c r="O121" i="1" s="1"/>
  <c r="P116" i="1"/>
  <c r="O29" i="1"/>
  <c r="Q29" i="1"/>
  <c r="Q304" i="1"/>
  <c r="K23" i="1"/>
  <c r="L23" i="1"/>
  <c r="M23" i="1"/>
  <c r="N324" i="1"/>
  <c r="O324" i="1" s="1"/>
  <c r="Q116" i="1"/>
  <c r="N298" i="1"/>
  <c r="P298" i="1" s="1"/>
  <c r="M285" i="1"/>
  <c r="K285" i="1"/>
  <c r="L285" i="1"/>
  <c r="N244" i="1"/>
  <c r="O244" i="1" s="1"/>
  <c r="L240" i="1"/>
  <c r="K240" i="1"/>
  <c r="M240" i="1"/>
  <c r="L232" i="1"/>
  <c r="K232" i="1"/>
  <c r="P205" i="1"/>
  <c r="K162" i="1"/>
  <c r="L162" i="1"/>
  <c r="M162" i="1"/>
  <c r="L154" i="1"/>
  <c r="M154" i="1"/>
  <c r="M121" i="1"/>
  <c r="L121" i="1"/>
  <c r="N103" i="1"/>
  <c r="P103" i="1" s="1"/>
  <c r="O103" i="1"/>
  <c r="L64" i="1"/>
  <c r="M64" i="1"/>
  <c r="K64" i="1"/>
  <c r="P393" i="1"/>
  <c r="Q377" i="1"/>
  <c r="P331" i="1"/>
  <c r="R317" i="1"/>
  <c r="N377" i="1"/>
  <c r="M297" i="1"/>
  <c r="K297" i="1"/>
  <c r="L297" i="1"/>
  <c r="K247" i="1"/>
  <c r="M247" i="1"/>
  <c r="M189" i="1"/>
  <c r="K189" i="1"/>
  <c r="O435" i="1"/>
  <c r="R435" i="1" s="1"/>
  <c r="P377" i="1"/>
  <c r="L357" i="1"/>
  <c r="M357" i="1"/>
  <c r="K357" i="1"/>
  <c r="K13" i="1"/>
  <c r="M13" i="1"/>
  <c r="L13" i="1"/>
  <c r="O438" i="1"/>
  <c r="R438" i="1" s="1"/>
  <c r="P330" i="1"/>
  <c r="Q274" i="1"/>
  <c r="M188" i="1"/>
  <c r="K188" i="1"/>
  <c r="L188" i="1"/>
  <c r="Q96" i="1"/>
  <c r="P301" i="1"/>
  <c r="O274" i="1"/>
  <c r="R274" i="1" s="1"/>
  <c r="K219" i="1"/>
  <c r="L219" i="1"/>
  <c r="M219" i="1"/>
  <c r="K254" i="1"/>
  <c r="L254" i="1"/>
  <c r="M254" i="1"/>
  <c r="P12" i="1"/>
  <c r="Q437" i="1"/>
  <c r="N391" i="1"/>
  <c r="O391" i="1" s="1"/>
  <c r="K356" i="1"/>
  <c r="L356" i="1"/>
  <c r="Q344" i="1"/>
  <c r="O304" i="1"/>
  <c r="N258" i="1"/>
  <c r="Q258" i="1" s="1"/>
  <c r="O258" i="1"/>
  <c r="P237" i="1"/>
  <c r="K201" i="1"/>
  <c r="L201" i="1"/>
  <c r="M201" i="1"/>
  <c r="Q178" i="1"/>
  <c r="L159" i="1"/>
  <c r="K159" i="1"/>
  <c r="M159" i="1"/>
  <c r="P81" i="1"/>
  <c r="O427" i="1"/>
  <c r="P383" i="1"/>
  <c r="R383" i="1" s="1"/>
  <c r="O336" i="1"/>
  <c r="K277" i="1"/>
  <c r="L277" i="1"/>
  <c r="M277" i="1"/>
  <c r="P196" i="1"/>
  <c r="R196" i="1" s="1"/>
  <c r="N34" i="1"/>
  <c r="O34" i="1" s="1"/>
  <c r="Q387" i="1"/>
  <c r="P360" i="1"/>
  <c r="L328" i="1"/>
  <c r="K328" i="1"/>
  <c r="M328" i="1"/>
  <c r="N436" i="1"/>
  <c r="Q436" i="1" s="1"/>
  <c r="O436" i="1"/>
  <c r="R436" i="1" s="1"/>
  <c r="K422" i="1"/>
  <c r="L422" i="1"/>
  <c r="M422" i="1"/>
  <c r="L418" i="1"/>
  <c r="O408" i="1"/>
  <c r="R408" i="1" s="1"/>
  <c r="L390" i="1"/>
  <c r="K390" i="1"/>
  <c r="M390" i="1"/>
  <c r="K386" i="1"/>
  <c r="L386" i="1"/>
  <c r="M386" i="1"/>
  <c r="K371" i="1"/>
  <c r="L371" i="1"/>
  <c r="M371" i="1"/>
  <c r="O364" i="1"/>
  <c r="N347" i="1"/>
  <c r="Q347" i="1" s="1"/>
  <c r="N339" i="1"/>
  <c r="N332" i="1"/>
  <c r="P332" i="1" s="1"/>
  <c r="O332" i="1"/>
  <c r="N318" i="1"/>
  <c r="Q318" i="1" s="1"/>
  <c r="P315" i="1"/>
  <c r="P310" i="1"/>
  <c r="P436" i="1"/>
  <c r="P408" i="1"/>
  <c r="N401" i="1"/>
  <c r="O401" i="1" s="1"/>
  <c r="K394" i="1"/>
  <c r="L394" i="1"/>
  <c r="M394" i="1"/>
  <c r="M378" i="1"/>
  <c r="N374" i="1"/>
  <c r="P364" i="1"/>
  <c r="P347" i="1"/>
  <c r="N315" i="1"/>
  <c r="Q315" i="1" s="1"/>
  <c r="O315" i="1"/>
  <c r="O310" i="1"/>
  <c r="R310" i="1" s="1"/>
  <c r="M288" i="1"/>
  <c r="Q284" i="1"/>
  <c r="N261" i="1"/>
  <c r="P261" i="1" s="1"/>
  <c r="M227" i="1"/>
  <c r="L227" i="1"/>
  <c r="K227" i="1"/>
  <c r="Q216" i="1"/>
  <c r="O209" i="1"/>
  <c r="P209" i="1"/>
  <c r="N205" i="1"/>
  <c r="Q205" i="1" s="1"/>
  <c r="M199" i="1"/>
  <c r="M190" i="1"/>
  <c r="K190" i="1"/>
  <c r="L190" i="1"/>
  <c r="M126" i="1"/>
  <c r="L115" i="1"/>
  <c r="K115" i="1"/>
  <c r="M115" i="1"/>
  <c r="K429" i="1"/>
  <c r="M429" i="1"/>
  <c r="Q420" i="1"/>
  <c r="R420" i="1" s="1"/>
  <c r="P407" i="1"/>
  <c r="Q401" i="1"/>
  <c r="N367" i="1"/>
  <c r="P367" i="1" s="1"/>
  <c r="O367" i="1"/>
  <c r="O360" i="1"/>
  <c r="N331" i="1"/>
  <c r="O331" i="1" s="1"/>
  <c r="L320" i="1"/>
  <c r="M320" i="1"/>
  <c r="K320" i="1"/>
  <c r="L313" i="1"/>
  <c r="M313" i="1"/>
  <c r="N293" i="1"/>
  <c r="P293" i="1" s="1"/>
  <c r="O293" i="1"/>
  <c r="Q290" i="1"/>
  <c r="N284" i="1"/>
  <c r="P284" i="1" s="1"/>
  <c r="O284" i="1"/>
  <c r="L280" i="1"/>
  <c r="K280" i="1"/>
  <c r="M280" i="1"/>
  <c r="N246" i="1"/>
  <c r="Q246" i="1" s="1"/>
  <c r="Q235" i="1"/>
  <c r="N228" i="1"/>
  <c r="O228" i="1"/>
  <c r="K210" i="1"/>
  <c r="M210" i="1"/>
  <c r="L210" i="1"/>
  <c r="M187" i="1"/>
  <c r="K187" i="1"/>
  <c r="O180" i="1"/>
  <c r="M145" i="1"/>
  <c r="K145" i="1"/>
  <c r="Q133" i="1"/>
  <c r="N85" i="1"/>
  <c r="Q85" i="1" s="1"/>
  <c r="O85" i="1"/>
  <c r="N81" i="1"/>
  <c r="Q81" i="1" s="1"/>
  <c r="O81" i="1"/>
  <c r="Q71" i="1"/>
  <c r="O28" i="1"/>
  <c r="N28" i="1"/>
  <c r="O12" i="1"/>
  <c r="M432" i="1"/>
  <c r="L432" i="1"/>
  <c r="N432" i="1" s="1"/>
  <c r="O432" i="1" s="1"/>
  <c r="M410" i="1"/>
  <c r="L410" i="1"/>
  <c r="K392" i="1"/>
  <c r="L392" i="1"/>
  <c r="Q383" i="1"/>
  <c r="N376" i="1"/>
  <c r="Q376" i="1" s="1"/>
  <c r="K363" i="1"/>
  <c r="M363" i="1"/>
  <c r="L363" i="1"/>
  <c r="L350" i="1"/>
  <c r="K350" i="1"/>
  <c r="M350" i="1"/>
  <c r="Q330" i="1"/>
  <c r="M319" i="1"/>
  <c r="M256" i="1"/>
  <c r="P253" i="1"/>
  <c r="M249" i="1"/>
  <c r="M207" i="1"/>
  <c r="K203" i="1"/>
  <c r="L203" i="1"/>
  <c r="Q164" i="1"/>
  <c r="Q160" i="1"/>
  <c r="K22" i="1"/>
  <c r="L22" i="1"/>
  <c r="M22" i="1"/>
  <c r="L172" i="1"/>
  <c r="K172" i="1"/>
  <c r="M172" i="1"/>
  <c r="P98" i="1"/>
  <c r="N398" i="1"/>
  <c r="P398" i="1" s="1"/>
  <c r="K359" i="1"/>
  <c r="L359" i="1"/>
  <c r="M359" i="1"/>
  <c r="L245" i="1"/>
  <c r="M245" i="1"/>
  <c r="K245" i="1"/>
  <c r="Q191" i="1"/>
  <c r="N176" i="1"/>
  <c r="O176" i="1" s="1"/>
  <c r="P109" i="1"/>
  <c r="Q109" i="1"/>
  <c r="O164" i="1"/>
  <c r="R164" i="1" s="1"/>
  <c r="N164" i="1"/>
  <c r="N160" i="1"/>
  <c r="P160" i="1" s="1"/>
  <c r="O160" i="1"/>
  <c r="L140" i="1"/>
  <c r="K140" i="1"/>
  <c r="K102" i="1"/>
  <c r="L102" i="1"/>
  <c r="M102" i="1"/>
  <c r="N98" i="1"/>
  <c r="Q98" i="1" s="1"/>
  <c r="O98" i="1"/>
  <c r="K84" i="1"/>
  <c r="M84" i="1"/>
  <c r="K379" i="1"/>
  <c r="K375" i="1"/>
  <c r="Q372" i="1"/>
  <c r="L366" i="1"/>
  <c r="M366" i="1"/>
  <c r="K366" i="1"/>
  <c r="P355" i="1"/>
  <c r="Q355" i="1"/>
  <c r="K346" i="1"/>
  <c r="K343" i="1"/>
  <c r="L343" i="1"/>
  <c r="K283" i="1"/>
  <c r="N272" i="1"/>
  <c r="P272" i="1" s="1"/>
  <c r="N262" i="1"/>
  <c r="O262" i="1" s="1"/>
  <c r="L252" i="1"/>
  <c r="K252" i="1"/>
  <c r="M252" i="1"/>
  <c r="K215" i="1"/>
  <c r="L215" i="1"/>
  <c r="K171" i="1"/>
  <c r="N128" i="1"/>
  <c r="O128" i="1"/>
  <c r="P55" i="1"/>
  <c r="N238" i="1"/>
  <c r="O238" i="1"/>
  <c r="K223" i="1"/>
  <c r="L223" i="1"/>
  <c r="M223" i="1"/>
  <c r="L168" i="1"/>
  <c r="K168" i="1"/>
  <c r="Q336" i="1"/>
  <c r="M176" i="1"/>
  <c r="L176" i="1"/>
  <c r="L431" i="1"/>
  <c r="K431" i="1"/>
  <c r="M431" i="1"/>
  <c r="Q406" i="1"/>
  <c r="K404" i="1"/>
  <c r="L404" i="1"/>
  <c r="P372" i="1"/>
  <c r="R372" i="1" s="1"/>
  <c r="M369" i="1"/>
  <c r="L369" i="1"/>
  <c r="N369" i="1" s="1"/>
  <c r="O369" i="1" s="1"/>
  <c r="M326" i="1"/>
  <c r="L326" i="1"/>
  <c r="N326" i="1" s="1"/>
  <c r="O326" i="1" s="1"/>
  <c r="N302" i="1"/>
  <c r="O302" i="1" s="1"/>
  <c r="M279" i="1"/>
  <c r="L279" i="1"/>
  <c r="K279" i="1"/>
  <c r="N241" i="1"/>
  <c r="Q209" i="1"/>
  <c r="K202" i="1"/>
  <c r="M202" i="1"/>
  <c r="L202" i="1"/>
  <c r="M197" i="1"/>
  <c r="N197" i="1" s="1"/>
  <c r="O197" i="1" s="1"/>
  <c r="L197" i="1"/>
  <c r="K152" i="1"/>
  <c r="L152" i="1"/>
  <c r="M152" i="1"/>
  <c r="N148" i="1"/>
  <c r="P148" i="1" s="1"/>
  <c r="L144" i="1"/>
  <c r="K144" i="1"/>
  <c r="M144" i="1"/>
  <c r="L123" i="1"/>
  <c r="M123" i="1"/>
  <c r="K118" i="1"/>
  <c r="L118" i="1"/>
  <c r="M118" i="1"/>
  <c r="O109" i="1"/>
  <c r="O106" i="1"/>
  <c r="K36" i="1"/>
  <c r="L36" i="1"/>
  <c r="M428" i="1"/>
  <c r="L428" i="1"/>
  <c r="N428" i="1" s="1"/>
  <c r="O428" i="1" s="1"/>
  <c r="M395" i="1"/>
  <c r="K395" i="1"/>
  <c r="L395" i="1"/>
  <c r="O330" i="1"/>
  <c r="R330" i="1" s="1"/>
  <c r="N330" i="1"/>
  <c r="L266" i="1"/>
  <c r="M266" i="1"/>
  <c r="L238" i="1"/>
  <c r="M238" i="1"/>
  <c r="P191" i="1"/>
  <c r="R191" i="1" s="1"/>
  <c r="M416" i="1"/>
  <c r="K416" i="1"/>
  <c r="L416" i="1"/>
  <c r="N385" i="1"/>
  <c r="O385" i="1" s="1"/>
  <c r="Q305" i="1"/>
  <c r="L302" i="1"/>
  <c r="M302" i="1"/>
  <c r="Q271" i="1"/>
  <c r="R271" i="1" s="1"/>
  <c r="K234" i="1"/>
  <c r="M234" i="1"/>
  <c r="L234" i="1"/>
  <c r="O212" i="1"/>
  <c r="R212" i="1" s="1"/>
  <c r="K186" i="1"/>
  <c r="L186" i="1"/>
  <c r="M186" i="1"/>
  <c r="N155" i="1"/>
  <c r="Q155" i="1" s="1"/>
  <c r="L136" i="1"/>
  <c r="M136" i="1"/>
  <c r="M113" i="1"/>
  <c r="K113" i="1"/>
  <c r="N101" i="1"/>
  <c r="M93" i="1"/>
  <c r="K93" i="1"/>
  <c r="K69" i="1"/>
  <c r="M69" i="1"/>
  <c r="L69" i="1"/>
  <c r="Q50" i="1"/>
  <c r="O50" i="1"/>
  <c r="P50" i="1"/>
  <c r="N434" i="1"/>
  <c r="P396" i="1"/>
  <c r="R396" i="1" s="1"/>
  <c r="M335" i="1"/>
  <c r="K335" i="1"/>
  <c r="L335" i="1"/>
  <c r="N278" i="1"/>
  <c r="P228" i="1"/>
  <c r="M221" i="1"/>
  <c r="K221" i="1"/>
  <c r="L221" i="1"/>
  <c r="M206" i="1"/>
  <c r="K206" i="1"/>
  <c r="L206" i="1"/>
  <c r="P180" i="1"/>
  <c r="N143" i="1"/>
  <c r="P143" i="1" s="1"/>
  <c r="O143" i="1"/>
  <c r="R143" i="1" s="1"/>
  <c r="L120" i="1"/>
  <c r="M120" i="1"/>
  <c r="M97" i="1"/>
  <c r="L97" i="1"/>
  <c r="K97" i="1"/>
  <c r="N76" i="1"/>
  <c r="O76" i="1" s="1"/>
  <c r="K44" i="1"/>
  <c r="L44" i="1"/>
  <c r="M44" i="1"/>
  <c r="K426" i="1"/>
  <c r="Q405" i="1"/>
  <c r="O355" i="1"/>
  <c r="R355" i="1" s="1"/>
  <c r="K345" i="1"/>
  <c r="L345" i="1"/>
  <c r="L329" i="1"/>
  <c r="K323" i="1"/>
  <c r="K311" i="1"/>
  <c r="L311" i="1"/>
  <c r="K306" i="1"/>
  <c r="K300" i="1"/>
  <c r="L300" i="1"/>
  <c r="M300" i="1"/>
  <c r="P289" i="1"/>
  <c r="K281" i="1"/>
  <c r="M281" i="1"/>
  <c r="O237" i="1"/>
  <c r="Q233" i="1"/>
  <c r="K220" i="1"/>
  <c r="M220" i="1"/>
  <c r="P156" i="1"/>
  <c r="P153" i="1"/>
  <c r="P96" i="1"/>
  <c r="K62" i="1"/>
  <c r="L62" i="1"/>
  <c r="M62" i="1"/>
  <c r="N53" i="1"/>
  <c r="Q53" i="1" s="1"/>
  <c r="R35" i="1"/>
  <c r="K421" i="1"/>
  <c r="L421" i="1"/>
  <c r="M421" i="1"/>
  <c r="K413" i="1"/>
  <c r="L413" i="1"/>
  <c r="M413" i="1"/>
  <c r="Q334" i="1"/>
  <c r="P233" i="1"/>
  <c r="L224" i="1"/>
  <c r="M224" i="1"/>
  <c r="O153" i="1"/>
  <c r="R153" i="1" s="1"/>
  <c r="Q119" i="1"/>
  <c r="P57" i="1"/>
  <c r="Q52" i="1"/>
  <c r="M20" i="1"/>
  <c r="L20" i="1"/>
  <c r="K20" i="1"/>
  <c r="K173" i="1"/>
  <c r="M173" i="1"/>
  <c r="N405" i="1"/>
  <c r="P405" i="1" s="1"/>
  <c r="O405" i="1"/>
  <c r="L382" i="1"/>
  <c r="K382" i="1"/>
  <c r="M382" i="1"/>
  <c r="M337" i="1"/>
  <c r="K337" i="1"/>
  <c r="L337" i="1"/>
  <c r="P334" i="1"/>
  <c r="Q317" i="1"/>
  <c r="P303" i="1"/>
  <c r="O292" i="1"/>
  <c r="R292" i="1" s="1"/>
  <c r="K263" i="1"/>
  <c r="L263" i="1"/>
  <c r="M242" i="1"/>
  <c r="K242" i="1"/>
  <c r="N233" i="1"/>
  <c r="O233" i="1" s="1"/>
  <c r="R233" i="1" s="1"/>
  <c r="O169" i="1"/>
  <c r="R169" i="1" s="1"/>
  <c r="N131" i="1"/>
  <c r="Q131" i="1" s="1"/>
  <c r="O131" i="1"/>
  <c r="O119" i="1"/>
  <c r="R119" i="1" s="1"/>
  <c r="K110" i="1"/>
  <c r="M110" i="1"/>
  <c r="N61" i="1"/>
  <c r="P61" i="1"/>
  <c r="N52" i="1"/>
  <c r="O52" i="1" s="1"/>
  <c r="N48" i="1"/>
  <c r="O48" i="1" s="1"/>
  <c r="O368" i="1"/>
  <c r="P294" i="1"/>
  <c r="M267" i="1"/>
  <c r="K267" i="1"/>
  <c r="L267" i="1"/>
  <c r="L248" i="1"/>
  <c r="K248" i="1"/>
  <c r="O216" i="1"/>
  <c r="Q180" i="1"/>
  <c r="N178" i="1"/>
  <c r="L175" i="1"/>
  <c r="M175" i="1"/>
  <c r="K150" i="1"/>
  <c r="M150" i="1"/>
  <c r="M129" i="1"/>
  <c r="K129" i="1"/>
  <c r="M79" i="1"/>
  <c r="K79" i="1"/>
  <c r="L58" i="1"/>
  <c r="M58" i="1"/>
  <c r="N21" i="1"/>
  <c r="O21" i="1" s="1"/>
  <c r="N380" i="1"/>
  <c r="P380" i="1" s="1"/>
  <c r="Q106" i="1"/>
  <c r="M89" i="1"/>
  <c r="K89" i="1"/>
  <c r="M423" i="1"/>
  <c r="N423" i="1" s="1"/>
  <c r="L419" i="1"/>
  <c r="L400" i="1"/>
  <c r="M398" i="1"/>
  <c r="L351" i="1"/>
  <c r="M349" i="1"/>
  <c r="N349" i="1" s="1"/>
  <c r="O305" i="1"/>
  <c r="R305" i="1" s="1"/>
  <c r="N296" i="1"/>
  <c r="M262" i="1"/>
  <c r="K255" i="1"/>
  <c r="L255" i="1"/>
  <c r="P216" i="1"/>
  <c r="L211" i="1"/>
  <c r="N211" i="1" s="1"/>
  <c r="M198" i="1"/>
  <c r="P193" i="1"/>
  <c r="M183" i="1"/>
  <c r="K183" i="1"/>
  <c r="P158" i="1"/>
  <c r="M138" i="1"/>
  <c r="N138" i="1" s="1"/>
  <c r="N132" i="1"/>
  <c r="Q132" i="1" s="1"/>
  <c r="P132" i="1"/>
  <c r="K111" i="1"/>
  <c r="M111" i="1"/>
  <c r="P85" i="1"/>
  <c r="N71" i="1"/>
  <c r="M34" i="1"/>
  <c r="L26" i="1"/>
  <c r="K26" i="1"/>
  <c r="M26" i="1"/>
  <c r="M17" i="1"/>
  <c r="L17" i="1"/>
  <c r="N250" i="1"/>
  <c r="Q250" i="1" s="1"/>
  <c r="O250" i="1"/>
  <c r="K226" i="1"/>
  <c r="M226" i="1"/>
  <c r="L226" i="1"/>
  <c r="P169" i="1"/>
  <c r="K166" i="1"/>
  <c r="L166" i="1"/>
  <c r="M166" i="1"/>
  <c r="L163" i="1"/>
  <c r="K163" i="1"/>
  <c r="N141" i="1"/>
  <c r="Q141" i="1" s="1"/>
  <c r="K135" i="1"/>
  <c r="M135" i="1"/>
  <c r="L135" i="1"/>
  <c r="N114" i="1"/>
  <c r="O114" i="1" s="1"/>
  <c r="Q74" i="1"/>
  <c r="N57" i="1"/>
  <c r="O57" i="1"/>
  <c r="L53" i="1"/>
  <c r="P213" i="1"/>
  <c r="O309" i="1"/>
  <c r="R309" i="1" s="1"/>
  <c r="O289" i="1"/>
  <c r="R289" i="1" s="1"/>
  <c r="P195" i="1"/>
  <c r="M122" i="1"/>
  <c r="K122" i="1"/>
  <c r="L95" i="1"/>
  <c r="K95" i="1"/>
  <c r="K92" i="1"/>
  <c r="L92" i="1"/>
  <c r="K78" i="1"/>
  <c r="L78" i="1"/>
  <c r="P74" i="1"/>
  <c r="N37" i="1"/>
  <c r="O37" i="1" s="1"/>
  <c r="P37" i="1"/>
  <c r="L16" i="1"/>
  <c r="M16" i="1"/>
  <c r="K16" i="1"/>
  <c r="K353" i="1"/>
  <c r="M353" i="1"/>
  <c r="N287" i="1"/>
  <c r="P271" i="1"/>
  <c r="M257" i="1"/>
  <c r="L257" i="1"/>
  <c r="K231" i="1"/>
  <c r="L231" i="1"/>
  <c r="O213" i="1"/>
  <c r="L208" i="1"/>
  <c r="K208" i="1"/>
  <c r="L185" i="1"/>
  <c r="M185" i="1"/>
  <c r="P177" i="1"/>
  <c r="N149" i="1"/>
  <c r="O149" i="1" s="1"/>
  <c r="L125" i="1"/>
  <c r="M125" i="1"/>
  <c r="P29" i="1"/>
  <c r="Q293" i="1"/>
  <c r="M236" i="1"/>
  <c r="L236" i="1"/>
  <c r="N195" i="1"/>
  <c r="O195" i="1" s="1"/>
  <c r="N177" i="1"/>
  <c r="M149" i="1"/>
  <c r="L149" i="1"/>
  <c r="M105" i="1"/>
  <c r="K105" i="1"/>
  <c r="M33" i="1"/>
  <c r="K33" i="1"/>
  <c r="L33" i="1"/>
  <c r="O253" i="1"/>
  <c r="R253" i="1" s="1"/>
  <c r="K218" i="1"/>
  <c r="M218" i="1"/>
  <c r="M161" i="1"/>
  <c r="K161" i="1"/>
  <c r="L127" i="1"/>
  <c r="L124" i="1"/>
  <c r="K124" i="1"/>
  <c r="L91" i="1"/>
  <c r="K86" i="1"/>
  <c r="L86" i="1"/>
  <c r="O74" i="1"/>
  <c r="R74" i="1" s="1"/>
  <c r="M49" i="1"/>
  <c r="K49" i="1"/>
  <c r="L49" i="1"/>
  <c r="N42" i="1"/>
  <c r="Q42" i="1" s="1"/>
  <c r="O42" i="1"/>
  <c r="Q27" i="1"/>
  <c r="N19" i="1"/>
  <c r="P19" i="1"/>
  <c r="L130" i="1"/>
  <c r="K130" i="1"/>
  <c r="K91" i="1"/>
  <c r="K31" i="1"/>
  <c r="L31" i="1"/>
  <c r="N27" i="1"/>
  <c r="O27" i="1" s="1"/>
  <c r="P99" i="1"/>
  <c r="N66" i="1"/>
  <c r="P66" i="1" s="1"/>
  <c r="O66" i="1"/>
  <c r="O55" i="1"/>
  <c r="R55" i="1" s="1"/>
  <c r="M229" i="1"/>
  <c r="L229" i="1"/>
  <c r="O158" i="1"/>
  <c r="M137" i="1"/>
  <c r="K137" i="1"/>
  <c r="N99" i="1"/>
  <c r="M76" i="1"/>
  <c r="L76" i="1"/>
  <c r="M73" i="1"/>
  <c r="K73" i="1"/>
  <c r="L73" i="1"/>
  <c r="Q55" i="1"/>
  <c r="Q18" i="1"/>
  <c r="O156" i="1"/>
  <c r="R156" i="1" s="1"/>
  <c r="K94" i="1"/>
  <c r="M94" i="1"/>
  <c r="L60" i="1"/>
  <c r="M60" i="1"/>
  <c r="Q57" i="1"/>
  <c r="L48" i="1"/>
  <c r="M48" i="1"/>
  <c r="P139" i="1"/>
  <c r="R139" i="1" s="1"/>
  <c r="L88" i="1"/>
  <c r="M88" i="1"/>
  <c r="K88" i="1"/>
  <c r="N83" i="1"/>
  <c r="Q83" i="1" s="1"/>
  <c r="O83" i="1"/>
  <c r="L68" i="1"/>
  <c r="K68" i="1"/>
  <c r="K46" i="1"/>
  <c r="L46" i="1"/>
  <c r="M46" i="1"/>
  <c r="K179" i="1"/>
  <c r="M179" i="1"/>
  <c r="L179" i="1"/>
  <c r="L80" i="1"/>
  <c r="M80" i="1"/>
  <c r="L32" i="1"/>
  <c r="M32" i="1"/>
  <c r="M25" i="1"/>
  <c r="L25" i="1"/>
  <c r="N25" i="1" s="1"/>
  <c r="O25" i="1" s="1"/>
  <c r="K70" i="1"/>
  <c r="L70" i="1"/>
  <c r="N67" i="1"/>
  <c r="P67" i="1" s="1"/>
  <c r="O67" i="1"/>
  <c r="M41" i="1"/>
  <c r="N41" i="1" s="1"/>
  <c r="O41" i="1" s="1"/>
  <c r="L41" i="1"/>
  <c r="N107" i="1"/>
  <c r="N43" i="1"/>
  <c r="K14" i="1"/>
  <c r="L14" i="1"/>
  <c r="M14" i="1"/>
  <c r="K38" i="1"/>
  <c r="L38" i="1"/>
  <c r="M38" i="1"/>
  <c r="P147" i="1"/>
  <c r="R147" i="1" s="1"/>
  <c r="M66" i="1"/>
  <c r="N59" i="1"/>
  <c r="K45" i="1"/>
  <c r="M45" i="1"/>
  <c r="Q35" i="1"/>
  <c r="Q28" i="1"/>
  <c r="L47" i="1"/>
  <c r="P28" i="1"/>
  <c r="L21" i="1"/>
  <c r="N75" i="1"/>
  <c r="P75" i="1" s="1"/>
  <c r="O75" i="1"/>
  <c r="K54" i="1"/>
  <c r="L54" i="1"/>
  <c r="M54" i="1"/>
  <c r="L40" i="1"/>
  <c r="M40" i="1"/>
  <c r="K30" i="1"/>
  <c r="L30" i="1"/>
  <c r="M30" i="1"/>
  <c r="P51" i="1"/>
  <c r="N11" i="1"/>
  <c r="O11" i="1"/>
  <c r="L56" i="1"/>
  <c r="N56" i="1" s="1"/>
  <c r="O56" i="1" s="1"/>
  <c r="M56" i="1"/>
  <c r="L24" i="1"/>
  <c r="M24" i="1"/>
  <c r="O59" i="1"/>
  <c r="O51" i="1"/>
  <c r="R51" i="1" s="1"/>
  <c r="B6" i="1"/>
  <c r="D6" i="1"/>
  <c r="O423" i="1" l="1"/>
  <c r="P423" i="1"/>
  <c r="O211" i="1"/>
  <c r="Q211" i="1"/>
  <c r="R25" i="1"/>
  <c r="R34" i="1"/>
  <c r="R354" i="1"/>
  <c r="R393" i="1"/>
  <c r="O138" i="1"/>
  <c r="R138" i="1" s="1"/>
  <c r="P138" i="1"/>
  <c r="R48" i="1"/>
  <c r="P349" i="1"/>
  <c r="O349" i="1"/>
  <c r="R349" i="1" s="1"/>
  <c r="R176" i="1"/>
  <c r="P40" i="1"/>
  <c r="P287" i="1"/>
  <c r="Q287" i="1"/>
  <c r="O296" i="1"/>
  <c r="P296" i="1"/>
  <c r="Q296" i="1"/>
  <c r="N118" i="1"/>
  <c r="Q118" i="1" s="1"/>
  <c r="N168" i="1"/>
  <c r="Q168" i="1" s="1"/>
  <c r="P366" i="1"/>
  <c r="N203" i="1"/>
  <c r="Q203" i="1" s="1"/>
  <c r="O203" i="1"/>
  <c r="P115" i="1"/>
  <c r="P356" i="1"/>
  <c r="Q299" i="1"/>
  <c r="Q353" i="1"/>
  <c r="O434" i="1"/>
  <c r="P434" i="1"/>
  <c r="P202" i="1"/>
  <c r="P168" i="1"/>
  <c r="N299" i="1"/>
  <c r="O299" i="1"/>
  <c r="N87" i="1"/>
  <c r="Q87" i="1" s="1"/>
  <c r="P95" i="1"/>
  <c r="N248" i="1"/>
  <c r="Q248" i="1" s="1"/>
  <c r="O248" i="1"/>
  <c r="O220" i="1"/>
  <c r="N220" i="1"/>
  <c r="P220" i="1" s="1"/>
  <c r="Q369" i="1"/>
  <c r="R85" i="1"/>
  <c r="Q328" i="1"/>
  <c r="Q63" i="1"/>
  <c r="N70" i="1"/>
  <c r="Q70" i="1" s="1"/>
  <c r="O70" i="1"/>
  <c r="N218" i="1"/>
  <c r="P218" i="1" s="1"/>
  <c r="O218" i="1"/>
  <c r="R218" i="1" s="1"/>
  <c r="P248" i="1"/>
  <c r="O376" i="1"/>
  <c r="N356" i="1"/>
  <c r="Q356" i="1" s="1"/>
  <c r="N58" i="1"/>
  <c r="O58" i="1" s="1"/>
  <c r="Q340" i="1"/>
  <c r="Q165" i="1"/>
  <c r="N415" i="1"/>
  <c r="P415" i="1" s="1"/>
  <c r="R66" i="1"/>
  <c r="Q125" i="1"/>
  <c r="N122" i="1"/>
  <c r="P122" i="1" s="1"/>
  <c r="N111" i="1"/>
  <c r="P111" i="1" s="1"/>
  <c r="N426" i="1"/>
  <c r="O426" i="1" s="1"/>
  <c r="Q223" i="1"/>
  <c r="P328" i="1"/>
  <c r="P340" i="1"/>
  <c r="N230" i="1"/>
  <c r="P230" i="1" s="1"/>
  <c r="O230" i="1"/>
  <c r="P225" i="1"/>
  <c r="O225" i="1"/>
  <c r="R225" i="1" s="1"/>
  <c r="P165" i="1"/>
  <c r="N308" i="1"/>
  <c r="O308" i="1"/>
  <c r="Q25" i="1"/>
  <c r="N16" i="1"/>
  <c r="O16" i="1"/>
  <c r="P395" i="1"/>
  <c r="P385" i="1"/>
  <c r="R385" i="1" s="1"/>
  <c r="N379" i="1"/>
  <c r="O379" i="1"/>
  <c r="Q249" i="1"/>
  <c r="Q23" i="1"/>
  <c r="N65" i="1"/>
  <c r="O65" i="1"/>
  <c r="O90" i="1"/>
  <c r="N90" i="1"/>
  <c r="Q90" i="1" s="1"/>
  <c r="Q308" i="1"/>
  <c r="Q14" i="1"/>
  <c r="P73" i="1"/>
  <c r="N33" i="1"/>
  <c r="Q33" i="1" s="1"/>
  <c r="O33" i="1"/>
  <c r="Q226" i="1"/>
  <c r="Q79" i="1"/>
  <c r="R405" i="1"/>
  <c r="N281" i="1"/>
  <c r="P281" i="1" s="1"/>
  <c r="R50" i="1"/>
  <c r="N395" i="1"/>
  <c r="O395" i="1"/>
  <c r="O272" i="1"/>
  <c r="R272" i="1" s="1"/>
  <c r="P418" i="1"/>
  <c r="P324" i="1"/>
  <c r="R324" i="1" s="1"/>
  <c r="N182" i="1"/>
  <c r="P182" i="1" s="1"/>
  <c r="O182" i="1"/>
  <c r="P251" i="1"/>
  <c r="P403" i="1"/>
  <c r="N72" i="1"/>
  <c r="Q72" i="1" s="1"/>
  <c r="P400" i="1"/>
  <c r="Q144" i="1"/>
  <c r="N404" i="1"/>
  <c r="Q404" i="1" s="1"/>
  <c r="O404" i="1"/>
  <c r="N283" i="1"/>
  <c r="O283" i="1"/>
  <c r="P159" i="1"/>
  <c r="N64" i="1"/>
  <c r="P64" i="1" s="1"/>
  <c r="N403" i="1"/>
  <c r="Q403" i="1" s="1"/>
  <c r="N14" i="1"/>
  <c r="P14" i="1" s="1"/>
  <c r="O14" i="1"/>
  <c r="P88" i="1"/>
  <c r="R250" i="1"/>
  <c r="P419" i="1"/>
  <c r="N129" i="1"/>
  <c r="P129" i="1" s="1"/>
  <c r="Q173" i="1"/>
  <c r="N144" i="1"/>
  <c r="O144" i="1" s="1"/>
  <c r="R144" i="1" s="1"/>
  <c r="O287" i="1"/>
  <c r="N187" i="1"/>
  <c r="P187" i="1" s="1"/>
  <c r="N192" i="1"/>
  <c r="Q192" i="1" s="1"/>
  <c r="Q391" i="1"/>
  <c r="N314" i="1"/>
  <c r="Q314" i="1" s="1"/>
  <c r="O314" i="1"/>
  <c r="O100" i="1"/>
  <c r="R100" i="1" s="1"/>
  <c r="P77" i="1"/>
  <c r="O268" i="1"/>
  <c r="P76" i="1"/>
  <c r="P83" i="1"/>
  <c r="N105" i="1"/>
  <c r="P105" i="1" s="1"/>
  <c r="O105" i="1"/>
  <c r="R105" i="1" s="1"/>
  <c r="N185" i="1"/>
  <c r="O185" i="1" s="1"/>
  <c r="O141" i="1"/>
  <c r="R141" i="1" s="1"/>
  <c r="Q242" i="1"/>
  <c r="N186" i="1"/>
  <c r="P186" i="1" s="1"/>
  <c r="O186" i="1"/>
  <c r="N279" i="1"/>
  <c r="P279" i="1" s="1"/>
  <c r="Q21" i="1"/>
  <c r="R293" i="1"/>
  <c r="O374" i="1"/>
  <c r="Q374" i="1"/>
  <c r="N409" i="1"/>
  <c r="Q409" i="1" s="1"/>
  <c r="O409" i="1"/>
  <c r="N112" i="1"/>
  <c r="P112" i="1" s="1"/>
  <c r="Q412" i="1"/>
  <c r="R11" i="1"/>
  <c r="N163" i="1"/>
  <c r="Q163" i="1" s="1"/>
  <c r="O163" i="1"/>
  <c r="R163" i="1" s="1"/>
  <c r="O20" i="1"/>
  <c r="N20" i="1"/>
  <c r="N400" i="1"/>
  <c r="P114" i="1"/>
  <c r="R114" i="1" s="1"/>
  <c r="N300" i="1"/>
  <c r="O300" i="1" s="1"/>
  <c r="N97" i="1"/>
  <c r="P97" i="1" s="1"/>
  <c r="O97" i="1"/>
  <c r="P246" i="1"/>
  <c r="N69" i="1"/>
  <c r="Q69" i="1" s="1"/>
  <c r="O69" i="1"/>
  <c r="P238" i="1"/>
  <c r="R238" i="1" s="1"/>
  <c r="N431" i="1"/>
  <c r="O431" i="1" s="1"/>
  <c r="R431" i="1" s="1"/>
  <c r="O343" i="1"/>
  <c r="N343" i="1"/>
  <c r="Q343" i="1" s="1"/>
  <c r="N245" i="1"/>
  <c r="O245" i="1" s="1"/>
  <c r="R245" i="1" s="1"/>
  <c r="Q75" i="1"/>
  <c r="Q432" i="1"/>
  <c r="Q378" i="1"/>
  <c r="O347" i="1"/>
  <c r="R347" i="1" s="1"/>
  <c r="P201" i="1"/>
  <c r="P254" i="1"/>
  <c r="Q247" i="1"/>
  <c r="P244" i="1"/>
  <c r="N146" i="1"/>
  <c r="P146" i="1" s="1"/>
  <c r="N200" i="1"/>
  <c r="P200" i="1" s="1"/>
  <c r="O286" i="1"/>
  <c r="R286" i="1" s="1"/>
  <c r="Q434" i="1"/>
  <c r="R373" i="1"/>
  <c r="Q354" i="1"/>
  <c r="Q112" i="1"/>
  <c r="Q174" i="1"/>
  <c r="Q361" i="1"/>
  <c r="N425" i="1"/>
  <c r="O425" i="1" s="1"/>
  <c r="N194" i="1"/>
  <c r="P194" i="1" s="1"/>
  <c r="N381" i="1"/>
  <c r="Q381" i="1" s="1"/>
  <c r="N199" i="1"/>
  <c r="O199" i="1"/>
  <c r="P433" i="1"/>
  <c r="P268" i="1"/>
  <c r="P11" i="1"/>
  <c r="Q11" i="1"/>
  <c r="O107" i="1"/>
  <c r="P107" i="1"/>
  <c r="Q107" i="1"/>
  <c r="Q99" i="1"/>
  <c r="O99" i="1"/>
  <c r="N86" i="1"/>
  <c r="Q86" i="1" s="1"/>
  <c r="P131" i="1"/>
  <c r="P208" i="1"/>
  <c r="P163" i="1"/>
  <c r="N89" i="1"/>
  <c r="P89" i="1" s="1"/>
  <c r="N150" i="1"/>
  <c r="P150" i="1" s="1"/>
  <c r="O150" i="1"/>
  <c r="N263" i="1"/>
  <c r="Q263" i="1" s="1"/>
  <c r="O263" i="1"/>
  <c r="P20" i="1"/>
  <c r="N306" i="1"/>
  <c r="O278" i="1"/>
  <c r="R278" i="1" s="1"/>
  <c r="Q278" i="1"/>
  <c r="N36" i="1"/>
  <c r="Q36" i="1" s="1"/>
  <c r="O148" i="1"/>
  <c r="R148" i="1" s="1"/>
  <c r="P431" i="1"/>
  <c r="N346" i="1"/>
  <c r="O346" i="1" s="1"/>
  <c r="P102" i="1"/>
  <c r="Q245" i="1"/>
  <c r="R12" i="1"/>
  <c r="Q313" i="1"/>
  <c r="R209" i="1"/>
  <c r="Q394" i="1"/>
  <c r="R364" i="1"/>
  <c r="N201" i="1"/>
  <c r="Q201" i="1" s="1"/>
  <c r="O201" i="1"/>
  <c r="N254" i="1"/>
  <c r="Q254" i="1" s="1"/>
  <c r="O254" i="1"/>
  <c r="N247" i="1"/>
  <c r="P247" i="1" s="1"/>
  <c r="O247" i="1"/>
  <c r="P285" i="1"/>
  <c r="P181" i="1"/>
  <c r="Q332" i="1"/>
  <c r="R332" i="1" s="1"/>
  <c r="P214" i="1"/>
  <c r="Q295" i="1"/>
  <c r="O321" i="1"/>
  <c r="P321" i="1"/>
  <c r="P373" i="1"/>
  <c r="P174" i="1"/>
  <c r="P361" i="1"/>
  <c r="Q393" i="1"/>
  <c r="N430" i="1"/>
  <c r="P430" i="1" s="1"/>
  <c r="O430" i="1"/>
  <c r="P41" i="1"/>
  <c r="R41" i="1" s="1"/>
  <c r="Q48" i="1"/>
  <c r="O132" i="1"/>
  <c r="R132" i="1" s="1"/>
  <c r="N91" i="1"/>
  <c r="Q91" i="1" s="1"/>
  <c r="P91" i="1"/>
  <c r="P149" i="1"/>
  <c r="R213" i="1"/>
  <c r="P34" i="1"/>
  <c r="Q198" i="1"/>
  <c r="Q89" i="1"/>
  <c r="Q175" i="1"/>
  <c r="P52" i="1"/>
  <c r="R52" i="1" s="1"/>
  <c r="Q20" i="1"/>
  <c r="P278" i="1"/>
  <c r="N93" i="1"/>
  <c r="P93" i="1" s="1"/>
  <c r="P176" i="1"/>
  <c r="Q128" i="1"/>
  <c r="P128" i="1"/>
  <c r="R128" i="1" s="1"/>
  <c r="N102" i="1"/>
  <c r="Q102" i="1" s="1"/>
  <c r="P245" i="1"/>
  <c r="N350" i="1"/>
  <c r="O350" i="1" s="1"/>
  <c r="P313" i="1"/>
  <c r="P394" i="1"/>
  <c r="Q371" i="1"/>
  <c r="P286" i="1"/>
  <c r="P13" i="1"/>
  <c r="P121" i="1"/>
  <c r="R121" i="1" s="1"/>
  <c r="N285" i="1"/>
  <c r="O285" i="1"/>
  <c r="N181" i="1"/>
  <c r="O181" i="1"/>
  <c r="R181" i="1" s="1"/>
  <c r="N259" i="1"/>
  <c r="O259" i="1" s="1"/>
  <c r="Q167" i="1"/>
  <c r="R167" i="1" s="1"/>
  <c r="N402" i="1"/>
  <c r="Q402" i="1" s="1"/>
  <c r="P295" i="1"/>
  <c r="N174" i="1"/>
  <c r="O174" i="1" s="1"/>
  <c r="R174" i="1" s="1"/>
  <c r="N361" i="1"/>
  <c r="O361" i="1"/>
  <c r="N256" i="1"/>
  <c r="N397" i="1"/>
  <c r="Q397" i="1" s="1"/>
  <c r="Q430" i="1"/>
  <c r="Q367" i="1"/>
  <c r="R367" i="1" s="1"/>
  <c r="N165" i="1"/>
  <c r="O165" i="1" s="1"/>
  <c r="O94" i="1"/>
  <c r="N94" i="1"/>
  <c r="P94" i="1" s="1"/>
  <c r="Q322" i="1"/>
  <c r="P25" i="1"/>
  <c r="P58" i="1"/>
  <c r="P123" i="1"/>
  <c r="P376" i="1"/>
  <c r="P33" i="1"/>
  <c r="N172" i="1"/>
  <c r="P172" i="1" s="1"/>
  <c r="R377" i="1"/>
  <c r="N49" i="1"/>
  <c r="O49" i="1" s="1"/>
  <c r="N392" i="1"/>
  <c r="Q392" i="1" s="1"/>
  <c r="O392" i="1"/>
  <c r="N327" i="1"/>
  <c r="Q327" i="1" s="1"/>
  <c r="O108" i="1"/>
  <c r="R108" i="1" s="1"/>
  <c r="Q114" i="1"/>
  <c r="N390" i="1"/>
  <c r="P390" i="1" s="1"/>
  <c r="O390" i="1"/>
  <c r="P322" i="1"/>
  <c r="P54" i="1"/>
  <c r="N275" i="1"/>
  <c r="O275" i="1"/>
  <c r="N145" i="1"/>
  <c r="P145" i="1" s="1"/>
  <c r="P232" i="1"/>
  <c r="P378" i="1"/>
  <c r="N88" i="1"/>
  <c r="Q88" i="1" s="1"/>
  <c r="O88" i="1"/>
  <c r="Q267" i="1"/>
  <c r="N136" i="1"/>
  <c r="O136" i="1" s="1"/>
  <c r="P381" i="1"/>
  <c r="P16" i="1"/>
  <c r="N221" i="1"/>
  <c r="P221" i="1" s="1"/>
  <c r="N189" i="1"/>
  <c r="P189" i="1" s="1"/>
  <c r="N418" i="1"/>
  <c r="O418" i="1" s="1"/>
  <c r="Q189" i="1"/>
  <c r="P144" i="1"/>
  <c r="Q187" i="1"/>
  <c r="Q200" i="1"/>
  <c r="P199" i="1"/>
  <c r="N80" i="1"/>
  <c r="O80" i="1" s="1"/>
  <c r="P80" i="1"/>
  <c r="Q218" i="1"/>
  <c r="Q390" i="1"/>
  <c r="Q275" i="1"/>
  <c r="P267" i="1"/>
  <c r="N378" i="1"/>
  <c r="O378" i="1" s="1"/>
  <c r="R378" i="1" s="1"/>
  <c r="P382" i="1"/>
  <c r="P223" i="1"/>
  <c r="N190" i="1"/>
  <c r="P190" i="1" s="1"/>
  <c r="O190" i="1"/>
  <c r="R387" i="1"/>
  <c r="R149" i="1"/>
  <c r="N44" i="1"/>
  <c r="Q44" i="1" s="1"/>
  <c r="N242" i="1"/>
  <c r="P242" i="1" s="1"/>
  <c r="O242" i="1"/>
  <c r="O205" i="1"/>
  <c r="R205" i="1" s="1"/>
  <c r="P391" i="1"/>
  <c r="R391" i="1" s="1"/>
  <c r="N208" i="1"/>
  <c r="Q208" i="1" s="1"/>
  <c r="O318" i="1"/>
  <c r="Q37" i="1"/>
  <c r="R37" i="1" s="1"/>
  <c r="P335" i="1"/>
  <c r="P365" i="1"/>
  <c r="R365" i="1" s="1"/>
  <c r="P374" i="1"/>
  <c r="P101" i="1"/>
  <c r="Q101" i="1"/>
  <c r="R195" i="1"/>
  <c r="P120" i="1"/>
  <c r="O101" i="1"/>
  <c r="Q302" i="1"/>
  <c r="R302" i="1" s="1"/>
  <c r="R109" i="1"/>
  <c r="Q326" i="1"/>
  <c r="N215" i="1"/>
  <c r="Q215" i="1" s="1"/>
  <c r="O215" i="1"/>
  <c r="R160" i="1"/>
  <c r="P359" i="1"/>
  <c r="R336" i="1"/>
  <c r="Q282" i="1"/>
  <c r="Q225" i="1"/>
  <c r="P154" i="1"/>
  <c r="R154" i="1" s="1"/>
  <c r="Q222" i="1"/>
  <c r="Q104" i="1"/>
  <c r="R294" i="1"/>
  <c r="N273" i="1"/>
  <c r="P273" i="1" s="1"/>
  <c r="O273" i="1"/>
  <c r="P352" i="1"/>
  <c r="Q358" i="1"/>
  <c r="Q385" i="1"/>
  <c r="N264" i="1"/>
  <c r="O264" i="1" s="1"/>
  <c r="R264" i="1" s="1"/>
  <c r="N288" i="1"/>
  <c r="P401" i="1"/>
  <c r="P265" i="1"/>
  <c r="Q184" i="1"/>
  <c r="Q15" i="1"/>
  <c r="R42" i="1"/>
  <c r="P416" i="1"/>
  <c r="N224" i="1"/>
  <c r="O224" i="1" s="1"/>
  <c r="P224" i="1"/>
  <c r="P318" i="1"/>
  <c r="N54" i="1"/>
  <c r="Q54" i="1" s="1"/>
  <c r="O54" i="1"/>
  <c r="N79" i="1"/>
  <c r="P79" i="1" s="1"/>
  <c r="N202" i="1"/>
  <c r="O202" i="1"/>
  <c r="R315" i="1"/>
  <c r="P327" i="1"/>
  <c r="R75" i="1"/>
  <c r="R284" i="1"/>
  <c r="P23" i="1"/>
  <c r="P126" i="1"/>
  <c r="P24" i="1"/>
  <c r="R24" i="1" s="1"/>
  <c r="Q138" i="1"/>
  <c r="R180" i="1"/>
  <c r="N240" i="1"/>
  <c r="O240" i="1" s="1"/>
  <c r="R240" i="1" s="1"/>
  <c r="N126" i="1"/>
  <c r="O126" i="1" s="1"/>
  <c r="Q56" i="1"/>
  <c r="P56" i="1"/>
  <c r="R56" i="1" s="1"/>
  <c r="Q423" i="1"/>
  <c r="Q238" i="1"/>
  <c r="N22" i="1"/>
  <c r="Q22" i="1" s="1"/>
  <c r="N422" i="1"/>
  <c r="P422" i="1" s="1"/>
  <c r="O422" i="1"/>
  <c r="P314" i="1"/>
  <c r="O43" i="1"/>
  <c r="R43" i="1" s="1"/>
  <c r="P43" i="1"/>
  <c r="Q43" i="1"/>
  <c r="Q105" i="1"/>
  <c r="P42" i="1"/>
  <c r="Q41" i="1"/>
  <c r="N234" i="1"/>
  <c r="P234" i="1" s="1"/>
  <c r="O234" i="1"/>
  <c r="N297" i="1"/>
  <c r="Q297" i="1" s="1"/>
  <c r="P53" i="1"/>
  <c r="Q120" i="1"/>
  <c r="R120" i="1" s="1"/>
  <c r="P215" i="1"/>
  <c r="Q320" i="1"/>
  <c r="P325" i="1"/>
  <c r="O325" i="1"/>
  <c r="P59" i="1"/>
  <c r="Q59" i="1"/>
  <c r="N60" i="1"/>
  <c r="O60" i="1" s="1"/>
  <c r="N366" i="1"/>
  <c r="O366" i="1"/>
  <c r="P386" i="1"/>
  <c r="N266" i="1"/>
  <c r="O266" i="1" s="1"/>
  <c r="R304" i="1"/>
  <c r="N219" i="1"/>
  <c r="Q219" i="1" s="1"/>
  <c r="O219" i="1"/>
  <c r="Q162" i="1"/>
  <c r="O298" i="1"/>
  <c r="Q298" i="1"/>
  <c r="N222" i="1"/>
  <c r="P222" i="1" s="1"/>
  <c r="O104" i="1"/>
  <c r="N104" i="1"/>
  <c r="P333" i="1"/>
  <c r="N352" i="1"/>
  <c r="Q352" i="1" s="1"/>
  <c r="O352" i="1"/>
  <c r="O184" i="1"/>
  <c r="P358" i="1"/>
  <c r="R358" i="1" s="1"/>
  <c r="P258" i="1"/>
  <c r="R258" i="1" s="1"/>
  <c r="Q204" i="1"/>
  <c r="P264" i="1"/>
  <c r="N439" i="1"/>
  <c r="P439" i="1" s="1"/>
  <c r="O439" i="1"/>
  <c r="P417" i="1"/>
  <c r="N63" i="1"/>
  <c r="O63" i="1" s="1"/>
  <c r="R63" i="1" s="1"/>
  <c r="N265" i="1"/>
  <c r="O265" i="1" s="1"/>
  <c r="R265" i="1" s="1"/>
  <c r="O68" i="1"/>
  <c r="N68" i="1"/>
  <c r="Q68" i="1" s="1"/>
  <c r="R21" i="1"/>
  <c r="Q197" i="1"/>
  <c r="N162" i="1"/>
  <c r="O162" i="1"/>
  <c r="Q411" i="1"/>
  <c r="P275" i="1"/>
  <c r="P68" i="1"/>
  <c r="R131" i="1"/>
  <c r="N328" i="1"/>
  <c r="O328" i="1"/>
  <c r="N117" i="1"/>
  <c r="Q117" i="1" s="1"/>
  <c r="O117" i="1"/>
  <c r="P308" i="1"/>
  <c r="N142" i="1"/>
  <c r="O142" i="1" s="1"/>
  <c r="R83" i="1"/>
  <c r="N353" i="1"/>
  <c r="P353" i="1" s="1"/>
  <c r="O353" i="1"/>
  <c r="R353" i="1" s="1"/>
  <c r="Q349" i="1"/>
  <c r="N382" i="1"/>
  <c r="Q382" i="1" s="1"/>
  <c r="R237" i="1"/>
  <c r="N206" i="1"/>
  <c r="P206" i="1" s="1"/>
  <c r="O206" i="1"/>
  <c r="N416" i="1"/>
  <c r="Q416" i="1" s="1"/>
  <c r="O416" i="1"/>
  <c r="Q202" i="1"/>
  <c r="P262" i="1"/>
  <c r="R262" i="1" s="1"/>
  <c r="N375" i="1"/>
  <c r="N280" i="1"/>
  <c r="O280" i="1" s="1"/>
  <c r="O232" i="1"/>
  <c r="N232" i="1"/>
  <c r="Q232" i="1" s="1"/>
  <c r="P65" i="1"/>
  <c r="P90" i="1"/>
  <c r="P151" i="1"/>
  <c r="N411" i="1"/>
  <c r="O411" i="1" s="1"/>
  <c r="N312" i="1"/>
  <c r="Q312" i="1" s="1"/>
  <c r="O312" i="1"/>
  <c r="R59" i="1"/>
  <c r="N38" i="1"/>
  <c r="Q38" i="1" s="1"/>
  <c r="O38" i="1"/>
  <c r="P49" i="1"/>
  <c r="N125" i="1"/>
  <c r="O125" i="1" s="1"/>
  <c r="Q122" i="1"/>
  <c r="N267" i="1"/>
  <c r="O267" i="1"/>
  <c r="Q281" i="1"/>
  <c r="Q206" i="1"/>
  <c r="O155" i="1"/>
  <c r="P392" i="1"/>
  <c r="Q159" i="1"/>
  <c r="P188" i="1"/>
  <c r="R276" i="1"/>
  <c r="Q324" i="1"/>
  <c r="O340" i="1"/>
  <c r="R340" i="1" s="1"/>
  <c r="N340" i="1"/>
  <c r="R18" i="1"/>
  <c r="N424" i="1"/>
  <c r="O424" i="1" s="1"/>
  <c r="Q24" i="1"/>
  <c r="Q32" i="1"/>
  <c r="Q16" i="1"/>
  <c r="N135" i="1"/>
  <c r="P135" i="1" s="1"/>
  <c r="Q398" i="1"/>
  <c r="P62" i="1"/>
  <c r="O223" i="1"/>
  <c r="R223" i="1" s="1"/>
  <c r="N223" i="1"/>
  <c r="N159" i="1"/>
  <c r="O159" i="1" s="1"/>
  <c r="R159" i="1" s="1"/>
  <c r="N188" i="1"/>
  <c r="O188" i="1"/>
  <c r="Q240" i="1"/>
  <c r="Q65" i="1"/>
  <c r="N40" i="1"/>
  <c r="O40" i="1" s="1"/>
  <c r="P243" i="1"/>
  <c r="Q424" i="1"/>
  <c r="N134" i="1"/>
  <c r="Q134" i="1" s="1"/>
  <c r="N291" i="1"/>
  <c r="O291" i="1" s="1"/>
  <c r="N32" i="1"/>
  <c r="O32" i="1" s="1"/>
  <c r="N73" i="1"/>
  <c r="Q73" i="1" s="1"/>
  <c r="O73" i="1"/>
  <c r="N226" i="1"/>
  <c r="P226" i="1" s="1"/>
  <c r="N62" i="1"/>
  <c r="Q62" i="1" s="1"/>
  <c r="Q395" i="1"/>
  <c r="P241" i="1"/>
  <c r="O241" i="1"/>
  <c r="R241" i="1" s="1"/>
  <c r="N84" i="1"/>
  <c r="P84" i="1" s="1"/>
  <c r="Q199" i="1"/>
  <c r="P339" i="1"/>
  <c r="Q339" i="1"/>
  <c r="Q188" i="1"/>
  <c r="N23" i="1"/>
  <c r="O23" i="1"/>
  <c r="R116" i="1"/>
  <c r="N251" i="1"/>
  <c r="O251" i="1"/>
  <c r="N243" i="1"/>
  <c r="Q243" i="1" s="1"/>
  <c r="O243" i="1"/>
  <c r="N157" i="1"/>
  <c r="P157" i="1" s="1"/>
  <c r="O157" i="1"/>
  <c r="P21" i="1"/>
  <c r="R368" i="1"/>
  <c r="P428" i="1"/>
  <c r="R428" i="1" s="1"/>
  <c r="R98" i="1"/>
  <c r="Q410" i="1"/>
  <c r="O339" i="1"/>
  <c r="R339" i="1" s="1"/>
  <c r="P240" i="1"/>
  <c r="P307" i="1"/>
  <c r="R307" i="1" s="1"/>
  <c r="Q307" i="1"/>
  <c r="P409" i="1"/>
  <c r="Q251" i="1"/>
  <c r="R313" i="1"/>
  <c r="N341" i="1"/>
  <c r="P341" i="1" s="1"/>
  <c r="O341" i="1"/>
  <c r="P354" i="1"/>
  <c r="P27" i="1"/>
  <c r="R27" i="1" s="1"/>
  <c r="N31" i="1"/>
  <c r="Q31" i="1" s="1"/>
  <c r="O31" i="1"/>
  <c r="N183" i="1"/>
  <c r="P183" i="1" s="1"/>
  <c r="N173" i="1"/>
  <c r="P173" i="1" s="1"/>
  <c r="O173" i="1"/>
  <c r="P300" i="1"/>
  <c r="Q428" i="1"/>
  <c r="Q431" i="1"/>
  <c r="P343" i="1"/>
  <c r="P432" i="1"/>
  <c r="R432" i="1" s="1"/>
  <c r="N410" i="1"/>
  <c r="O410" i="1" s="1"/>
  <c r="P141" i="1"/>
  <c r="R244" i="1"/>
  <c r="Q146" i="1"/>
  <c r="P100" i="1"/>
  <c r="N77" i="1"/>
  <c r="Q77" i="1" s="1"/>
  <c r="O77" i="1"/>
  <c r="Q194" i="1"/>
  <c r="P47" i="1"/>
  <c r="Q76" i="1"/>
  <c r="R76" i="1" s="1"/>
  <c r="P86" i="1"/>
  <c r="O53" i="1"/>
  <c r="R53" i="1" s="1"/>
  <c r="Q183" i="1"/>
  <c r="Q45" i="1"/>
  <c r="N179" i="1"/>
  <c r="O179" i="1" s="1"/>
  <c r="P48" i="1"/>
  <c r="O137" i="1"/>
  <c r="N137" i="1"/>
  <c r="P137" i="1" s="1"/>
  <c r="O124" i="1"/>
  <c r="R124" i="1" s="1"/>
  <c r="N124" i="1"/>
  <c r="Q124" i="1" s="1"/>
  <c r="Q149" i="1"/>
  <c r="N78" i="1"/>
  <c r="Q78" i="1" s="1"/>
  <c r="P211" i="1"/>
  <c r="N175" i="1"/>
  <c r="O175" i="1" s="1"/>
  <c r="P175" i="1"/>
  <c r="P413" i="1"/>
  <c r="N311" i="1"/>
  <c r="Q311" i="1" s="1"/>
  <c r="P108" i="1"/>
  <c r="Q272" i="1"/>
  <c r="Q176" i="1"/>
  <c r="N171" i="1"/>
  <c r="O171" i="1"/>
  <c r="N140" i="1"/>
  <c r="Q140" i="1" s="1"/>
  <c r="R28" i="1"/>
  <c r="N210" i="1"/>
  <c r="P210" i="1" s="1"/>
  <c r="N320" i="1"/>
  <c r="P320" i="1" s="1"/>
  <c r="O320" i="1"/>
  <c r="N429" i="1"/>
  <c r="P429" i="1" s="1"/>
  <c r="N227" i="1"/>
  <c r="P227" i="1" s="1"/>
  <c r="O227" i="1"/>
  <c r="N394" i="1"/>
  <c r="O394" i="1"/>
  <c r="R394" i="1" s="1"/>
  <c r="P371" i="1"/>
  <c r="N249" i="1"/>
  <c r="N277" i="1"/>
  <c r="Q277" i="1" s="1"/>
  <c r="O277" i="1"/>
  <c r="Q13" i="1"/>
  <c r="Q121" i="1"/>
  <c r="Q285" i="1"/>
  <c r="Q181" i="1"/>
  <c r="N351" i="1"/>
  <c r="Q259" i="1"/>
  <c r="R39" i="1"/>
  <c r="Q241" i="1"/>
  <c r="N295" i="1"/>
  <c r="O295" i="1" s="1"/>
  <c r="R295" i="1" s="1"/>
  <c r="O384" i="1"/>
  <c r="N384" i="1"/>
  <c r="Q384" i="1" s="1"/>
  <c r="R407" i="1"/>
  <c r="N123" i="1"/>
  <c r="O123" i="1" s="1"/>
  <c r="P170" i="1"/>
  <c r="N342" i="1"/>
  <c r="P342" i="1" s="1"/>
  <c r="O342" i="1"/>
  <c r="R133" i="1"/>
  <c r="N412" i="1"/>
  <c r="P412" i="1" s="1"/>
  <c r="O412" i="1"/>
  <c r="R362" i="1"/>
  <c r="Q30" i="1"/>
  <c r="N45" i="1"/>
  <c r="P45" i="1" s="1"/>
  <c r="Q137" i="1"/>
  <c r="N130" i="1"/>
  <c r="Q130" i="1" s="1"/>
  <c r="O130" i="1"/>
  <c r="P124" i="1"/>
  <c r="Q177" i="1"/>
  <c r="O177" i="1"/>
  <c r="R177" i="1" s="1"/>
  <c r="N231" i="1"/>
  <c r="Q231" i="1" s="1"/>
  <c r="O231" i="1"/>
  <c r="O82" i="1"/>
  <c r="R82" i="1" s="1"/>
  <c r="N166" i="1"/>
  <c r="P166" i="1" s="1"/>
  <c r="N26" i="1"/>
  <c r="P26" i="1" s="1"/>
  <c r="O26" i="1"/>
  <c r="O178" i="1"/>
  <c r="R178" i="1" s="1"/>
  <c r="P178" i="1"/>
  <c r="Q61" i="1"/>
  <c r="O61" i="1"/>
  <c r="R61" i="1" s="1"/>
  <c r="N413" i="1"/>
  <c r="Q413" i="1" s="1"/>
  <c r="N323" i="1"/>
  <c r="O323" i="1"/>
  <c r="N335" i="1"/>
  <c r="O335" i="1" s="1"/>
  <c r="R106" i="1"/>
  <c r="N152" i="1"/>
  <c r="P152" i="1" s="1"/>
  <c r="O152" i="1"/>
  <c r="P326" i="1"/>
  <c r="R326" i="1" s="1"/>
  <c r="Q359" i="1"/>
  <c r="R228" i="1"/>
  <c r="R401" i="1"/>
  <c r="N371" i="1"/>
  <c r="O371" i="1"/>
  <c r="R371" i="1" s="1"/>
  <c r="N13" i="1"/>
  <c r="O13" i="1" s="1"/>
  <c r="R13" i="1" s="1"/>
  <c r="Q154" i="1"/>
  <c r="R29" i="1"/>
  <c r="Q418" i="1"/>
  <c r="P217" i="1"/>
  <c r="O217" i="1"/>
  <c r="R217" i="1" s="1"/>
  <c r="N207" i="1"/>
  <c r="Q207" i="1" s="1"/>
  <c r="Q273" i="1"/>
  <c r="O406" i="1"/>
  <c r="R406" i="1" s="1"/>
  <c r="P384" i="1"/>
  <c r="Q151" i="1"/>
  <c r="R151" i="1" s="1"/>
  <c r="N170" i="1"/>
  <c r="Q170" i="1" s="1"/>
  <c r="Q264" i="1"/>
  <c r="O433" i="1"/>
  <c r="R433" i="1" s="1"/>
  <c r="N433" i="1"/>
  <c r="Q433" i="1" s="1"/>
  <c r="P204" i="1"/>
  <c r="R204" i="1" s="1"/>
  <c r="N47" i="1"/>
  <c r="P155" i="1"/>
  <c r="P130" i="1"/>
  <c r="P127" i="1"/>
  <c r="R127" i="1" s="1"/>
  <c r="N257" i="1"/>
  <c r="O257" i="1" s="1"/>
  <c r="P92" i="1"/>
  <c r="R57" i="1"/>
  <c r="O380" i="1"/>
  <c r="Q380" i="1"/>
  <c r="Q103" i="1"/>
  <c r="R103" i="1" s="1"/>
  <c r="N329" i="1"/>
  <c r="N30" i="1"/>
  <c r="P30" i="1" s="1"/>
  <c r="O30" i="1"/>
  <c r="Q66" i="1"/>
  <c r="R67" i="1"/>
  <c r="N46" i="1"/>
  <c r="P46" i="1" s="1"/>
  <c r="O46" i="1"/>
  <c r="R158" i="1"/>
  <c r="O161" i="1"/>
  <c r="R161" i="1" s="1"/>
  <c r="N161" i="1"/>
  <c r="P161" i="1" s="1"/>
  <c r="N236" i="1"/>
  <c r="O236" i="1" s="1"/>
  <c r="P236" i="1"/>
  <c r="O92" i="1"/>
  <c r="N92" i="1"/>
  <c r="Q92" i="1" s="1"/>
  <c r="Q34" i="1"/>
  <c r="N255" i="1"/>
  <c r="Q255" i="1" s="1"/>
  <c r="O255" i="1"/>
  <c r="R216" i="1"/>
  <c r="O214" i="1"/>
  <c r="R214" i="1" s="1"/>
  <c r="N113" i="1"/>
  <c r="P113" i="1" s="1"/>
  <c r="P302" i="1"/>
  <c r="N319" i="1"/>
  <c r="N359" i="1"/>
  <c r="O359" i="1" s="1"/>
  <c r="R359" i="1" s="1"/>
  <c r="N198" i="1"/>
  <c r="R81" i="1"/>
  <c r="R331" i="1"/>
  <c r="Q115" i="1"/>
  <c r="Q321" i="1"/>
  <c r="Q40" i="1"/>
  <c r="Q94" i="1"/>
  <c r="N229" i="1"/>
  <c r="O229" i="1" s="1"/>
  <c r="O19" i="1"/>
  <c r="Q19" i="1"/>
  <c r="Q161" i="1"/>
  <c r="Q236" i="1"/>
  <c r="N95" i="1"/>
  <c r="Q95" i="1" s="1"/>
  <c r="Q195" i="1"/>
  <c r="O71" i="1"/>
  <c r="P71" i="1"/>
  <c r="Q262" i="1"/>
  <c r="N17" i="1"/>
  <c r="O17" i="1" s="1"/>
  <c r="N110" i="1"/>
  <c r="P110" i="1" s="1"/>
  <c r="N337" i="1"/>
  <c r="Q337" i="1" s="1"/>
  <c r="O337" i="1"/>
  <c r="N421" i="1"/>
  <c r="O421" i="1" s="1"/>
  <c r="Q220" i="1"/>
  <c r="N345" i="1"/>
  <c r="Q345" i="1" s="1"/>
  <c r="O345" i="1"/>
  <c r="N419" i="1"/>
  <c r="P197" i="1"/>
  <c r="R197" i="1" s="1"/>
  <c r="P369" i="1"/>
  <c r="R369" i="1" s="1"/>
  <c r="N252" i="1"/>
  <c r="Q252" i="1" s="1"/>
  <c r="Q366" i="1"/>
  <c r="O398" i="1"/>
  <c r="R398" i="1" s="1"/>
  <c r="P203" i="1"/>
  <c r="N363" i="1"/>
  <c r="P363" i="1" s="1"/>
  <c r="O363" i="1"/>
  <c r="O246" i="1"/>
  <c r="R360" i="1"/>
  <c r="N115" i="1"/>
  <c r="O115" i="1"/>
  <c r="O261" i="1"/>
  <c r="R261" i="1" s="1"/>
  <c r="N386" i="1"/>
  <c r="Q386" i="1" s="1"/>
  <c r="O386" i="1"/>
  <c r="R427" i="1"/>
  <c r="P250" i="1"/>
  <c r="N357" i="1"/>
  <c r="O357" i="1" s="1"/>
  <c r="P162" i="1"/>
  <c r="P104" i="1"/>
  <c r="P299" i="1"/>
  <c r="R344" i="1"/>
  <c r="O333" i="1"/>
  <c r="R333" i="1" s="1"/>
  <c r="O282" i="1"/>
  <c r="R282" i="1" s="1"/>
  <c r="Q388" i="1"/>
  <c r="O388" i="1"/>
  <c r="R388" i="1" s="1"/>
  <c r="N322" i="1"/>
  <c r="O322" i="1"/>
  <c r="N15" i="1"/>
  <c r="P15" i="1" s="1"/>
  <c r="O15" i="1"/>
  <c r="N417" i="1"/>
  <c r="Q417" i="1" s="1"/>
  <c r="O417" i="1"/>
  <c r="P63" i="1"/>
  <c r="Q265" i="1"/>
  <c r="R399" i="1"/>
  <c r="M10" i="1"/>
  <c r="K10" i="1"/>
  <c r="R259" i="1" l="1"/>
  <c r="R280" i="1"/>
  <c r="R49" i="1"/>
  <c r="R346" i="1"/>
  <c r="R421" i="1"/>
  <c r="R411" i="1"/>
  <c r="R350" i="1"/>
  <c r="R142" i="1"/>
  <c r="O135" i="1"/>
  <c r="O192" i="1"/>
  <c r="P229" i="1"/>
  <c r="R26" i="1"/>
  <c r="R320" i="1"/>
  <c r="O84" i="1"/>
  <c r="R84" i="1" s="1"/>
  <c r="Q375" i="1"/>
  <c r="P375" i="1"/>
  <c r="R439" i="1"/>
  <c r="O172" i="1"/>
  <c r="R172" i="1" s="1"/>
  <c r="P179" i="1"/>
  <c r="R179" i="1" s="1"/>
  <c r="O279" i="1"/>
  <c r="R279" i="1" s="1"/>
  <c r="P257" i="1"/>
  <c r="R257" i="1" s="1"/>
  <c r="Q341" i="1"/>
  <c r="Q142" i="1"/>
  <c r="R273" i="1"/>
  <c r="P44" i="1"/>
  <c r="R186" i="1"/>
  <c r="O102" i="1"/>
  <c r="R102" i="1" s="1"/>
  <c r="R247" i="1"/>
  <c r="R314" i="1"/>
  <c r="R33" i="1"/>
  <c r="R203" i="1"/>
  <c r="R417" i="1"/>
  <c r="O210" i="1"/>
  <c r="R210" i="1" s="1"/>
  <c r="Q230" i="1"/>
  <c r="R230" i="1" s="1"/>
  <c r="O256" i="1"/>
  <c r="P256" i="1"/>
  <c r="R251" i="1"/>
  <c r="Q17" i="1"/>
  <c r="Q129" i="1"/>
  <c r="Q379" i="1"/>
  <c r="P379" i="1"/>
  <c r="R379" i="1" s="1"/>
  <c r="R15" i="1"/>
  <c r="R231" i="1"/>
  <c r="O297" i="1"/>
  <c r="Q166" i="1"/>
  <c r="R211" i="1"/>
  <c r="P259" i="1"/>
  <c r="O140" i="1"/>
  <c r="O78" i="1"/>
  <c r="Q350" i="1"/>
  <c r="O113" i="1"/>
  <c r="Q351" i="1"/>
  <c r="O351" i="1"/>
  <c r="R351" i="1" s="1"/>
  <c r="R38" i="1"/>
  <c r="O221" i="1"/>
  <c r="R221" i="1" s="1"/>
  <c r="R69" i="1"/>
  <c r="P72" i="1"/>
  <c r="O64" i="1"/>
  <c r="R64" i="1" s="1"/>
  <c r="O72" i="1"/>
  <c r="R72" i="1" s="1"/>
  <c r="O375" i="1"/>
  <c r="R375" i="1" s="1"/>
  <c r="R224" i="1"/>
  <c r="R390" i="1"/>
  <c r="R430" i="1"/>
  <c r="P425" i="1"/>
  <c r="O129" i="1"/>
  <c r="P38" i="1"/>
  <c r="R175" i="1"/>
  <c r="R243" i="1"/>
  <c r="Q46" i="1"/>
  <c r="R285" i="1"/>
  <c r="R263" i="1"/>
  <c r="Q422" i="1"/>
  <c r="R422" i="1" s="1"/>
  <c r="O110" i="1"/>
  <c r="P337" i="1"/>
  <c r="R337" i="1" s="1"/>
  <c r="O207" i="1"/>
  <c r="P207" i="1"/>
  <c r="O166" i="1"/>
  <c r="R162" i="1"/>
  <c r="R107" i="1"/>
  <c r="Q256" i="1"/>
  <c r="O22" i="1"/>
  <c r="R361" i="1"/>
  <c r="R254" i="1"/>
  <c r="O112" i="1"/>
  <c r="R112" i="1" s="1"/>
  <c r="O252" i="1"/>
  <c r="R173" i="1"/>
  <c r="R155" i="1"/>
  <c r="P70" i="1"/>
  <c r="R70" i="1" s="1"/>
  <c r="R14" i="1"/>
  <c r="Q47" i="1"/>
  <c r="O47" i="1"/>
  <c r="R277" i="1"/>
  <c r="O62" i="1"/>
  <c r="R62" i="1" s="1"/>
  <c r="P350" i="1"/>
  <c r="Q279" i="1"/>
  <c r="P411" i="1"/>
  <c r="Q329" i="1"/>
  <c r="O329" i="1"/>
  <c r="P231" i="1"/>
  <c r="R77" i="1"/>
  <c r="R188" i="1"/>
  <c r="P357" i="1"/>
  <c r="R357" i="1" s="1"/>
  <c r="R352" i="1"/>
  <c r="R234" i="1"/>
  <c r="Q335" i="1"/>
  <c r="R335" i="1" s="1"/>
  <c r="R318" i="1"/>
  <c r="P266" i="1"/>
  <c r="P78" i="1"/>
  <c r="O89" i="1"/>
  <c r="R89" i="1" s="1"/>
  <c r="P192" i="1"/>
  <c r="P185" i="1"/>
  <c r="R185" i="1" s="1"/>
  <c r="Q64" i="1"/>
  <c r="P291" i="1"/>
  <c r="R291" i="1" s="1"/>
  <c r="Q190" i="1"/>
  <c r="R190" i="1" s="1"/>
  <c r="Q172" i="1"/>
  <c r="Q357" i="1"/>
  <c r="R386" i="1"/>
  <c r="P118" i="1"/>
  <c r="O198" i="1"/>
  <c r="P198" i="1"/>
  <c r="P329" i="1"/>
  <c r="P249" i="1"/>
  <c r="O249" i="1"/>
  <c r="R249" i="1" s="1"/>
  <c r="P171" i="1"/>
  <c r="Q171" i="1"/>
  <c r="O183" i="1"/>
  <c r="R183" i="1" s="1"/>
  <c r="R23" i="1"/>
  <c r="O226" i="1"/>
  <c r="R226" i="1" s="1"/>
  <c r="Q291" i="1"/>
  <c r="R267" i="1"/>
  <c r="R328" i="1"/>
  <c r="P397" i="1"/>
  <c r="R202" i="1"/>
  <c r="P219" i="1"/>
  <c r="R219" i="1" s="1"/>
  <c r="P22" i="1"/>
  <c r="Q342" i="1"/>
  <c r="R342" i="1" s="1"/>
  <c r="P277" i="1"/>
  <c r="Q234" i="1"/>
  <c r="P17" i="1"/>
  <c r="R199" i="1"/>
  <c r="O200" i="1"/>
  <c r="R200" i="1" s="1"/>
  <c r="Q400" i="1"/>
  <c r="O400" i="1"/>
  <c r="R400" i="1" s="1"/>
  <c r="R16" i="1"/>
  <c r="R434" i="1"/>
  <c r="O118" i="1"/>
  <c r="P142" i="1"/>
  <c r="Q113" i="1"/>
  <c r="O95" i="1"/>
  <c r="R95" i="1" s="1"/>
  <c r="Q323" i="1"/>
  <c r="P323" i="1"/>
  <c r="R323" i="1" s="1"/>
  <c r="Q49" i="1"/>
  <c r="P134" i="1"/>
  <c r="O382" i="1"/>
  <c r="R382" i="1" s="1"/>
  <c r="P345" i="1"/>
  <c r="Q26" i="1"/>
  <c r="P69" i="1"/>
  <c r="O288" i="1"/>
  <c r="P288" i="1"/>
  <c r="Q421" i="1"/>
  <c r="O208" i="1"/>
  <c r="R208" i="1" s="1"/>
  <c r="Q300" i="1"/>
  <c r="R300" i="1" s="1"/>
  <c r="O145" i="1"/>
  <c r="R145" i="1" s="1"/>
  <c r="O327" i="1"/>
  <c r="R327" i="1" s="1"/>
  <c r="Q126" i="1"/>
  <c r="R126" i="1" s="1"/>
  <c r="O93" i="1"/>
  <c r="R93" i="1" s="1"/>
  <c r="R321" i="1"/>
  <c r="O36" i="1"/>
  <c r="O187" i="1"/>
  <c r="R187" i="1" s="1"/>
  <c r="Q186" i="1"/>
  <c r="P404" i="1"/>
  <c r="P312" i="1"/>
  <c r="R312" i="1" s="1"/>
  <c r="R40" i="1"/>
  <c r="R299" i="1"/>
  <c r="R416" i="1"/>
  <c r="R30" i="1"/>
  <c r="P252" i="1"/>
  <c r="Q415" i="1"/>
  <c r="R255" i="1"/>
  <c r="R322" i="1"/>
  <c r="Q363" i="1"/>
  <c r="R363" i="1" s="1"/>
  <c r="R384" i="1"/>
  <c r="P351" i="1"/>
  <c r="R380" i="1"/>
  <c r="O413" i="1"/>
  <c r="R413" i="1" s="1"/>
  <c r="Q221" i="1"/>
  <c r="Q145" i="1"/>
  <c r="P424" i="1"/>
  <c r="R424" i="1" s="1"/>
  <c r="Q135" i="1"/>
  <c r="P60" i="1"/>
  <c r="R60" i="1" s="1"/>
  <c r="O79" i="1"/>
  <c r="R79" i="1" s="1"/>
  <c r="Q60" i="1"/>
  <c r="R418" i="1"/>
  <c r="Q136" i="1"/>
  <c r="O402" i="1"/>
  <c r="Q429" i="1"/>
  <c r="O91" i="1"/>
  <c r="R91" i="1" s="1"/>
  <c r="P402" i="1"/>
  <c r="O381" i="1"/>
  <c r="R381" i="1" s="1"/>
  <c r="O146" i="1"/>
  <c r="R146" i="1" s="1"/>
  <c r="P263" i="1"/>
  <c r="R374" i="1"/>
  <c r="R287" i="1"/>
  <c r="O403" i="1"/>
  <c r="R403" i="1" s="1"/>
  <c r="P87" i="1"/>
  <c r="O111" i="1"/>
  <c r="O356" i="1"/>
  <c r="R356" i="1" s="1"/>
  <c r="Q58" i="1"/>
  <c r="R58" i="1" s="1"/>
  <c r="R412" i="1"/>
  <c r="O415" i="1"/>
  <c r="R415" i="1" s="1"/>
  <c r="R266" i="1"/>
  <c r="Q152" i="1"/>
  <c r="R152" i="1" s="1"/>
  <c r="O168" i="1"/>
  <c r="R168" i="1" s="1"/>
  <c r="R71" i="1"/>
  <c r="R137" i="1"/>
  <c r="R232" i="1"/>
  <c r="Q123" i="1"/>
  <c r="R104" i="1"/>
  <c r="R54" i="1"/>
  <c r="Q227" i="1"/>
  <c r="R227" i="1" s="1"/>
  <c r="R242" i="1"/>
  <c r="Q97" i="1"/>
  <c r="R97" i="1" s="1"/>
  <c r="O86" i="1"/>
  <c r="R86" i="1" s="1"/>
  <c r="O194" i="1"/>
  <c r="R194" i="1" s="1"/>
  <c r="Q150" i="1"/>
  <c r="R150" i="1" s="1"/>
  <c r="Q80" i="1"/>
  <c r="R80" i="1" s="1"/>
  <c r="Q182" i="1"/>
  <c r="R182" i="1" s="1"/>
  <c r="R90" i="1"/>
  <c r="Q288" i="1"/>
  <c r="R220" i="1"/>
  <c r="R296" i="1"/>
  <c r="O87" i="1"/>
  <c r="R341" i="1"/>
  <c r="Q179" i="1"/>
  <c r="Q306" i="1"/>
  <c r="P306" i="1"/>
  <c r="Q229" i="1"/>
  <c r="R229" i="1" s="1"/>
  <c r="R298" i="1"/>
  <c r="O44" i="1"/>
  <c r="R44" i="1" s="1"/>
  <c r="O306" i="1"/>
  <c r="R306" i="1" s="1"/>
  <c r="R46" i="1"/>
  <c r="O134" i="1"/>
  <c r="R215" i="1"/>
  <c r="P280" i="1"/>
  <c r="P421" i="1"/>
  <c r="O397" i="1"/>
  <c r="P346" i="1"/>
  <c r="Q346" i="1"/>
  <c r="R17" i="1"/>
  <c r="Q110" i="1"/>
  <c r="R88" i="1"/>
  <c r="P297" i="1"/>
  <c r="R409" i="1"/>
  <c r="Q283" i="1"/>
  <c r="R283" i="1" s="1"/>
  <c r="P283" i="1"/>
  <c r="R206" i="1"/>
  <c r="R184" i="1"/>
  <c r="R101" i="1"/>
  <c r="R201" i="1"/>
  <c r="R404" i="1"/>
  <c r="Q157" i="1"/>
  <c r="R157" i="1" s="1"/>
  <c r="R123" i="1"/>
  <c r="R171" i="1"/>
  <c r="R366" i="1"/>
  <c r="Q419" i="1"/>
  <c r="O419" i="1"/>
  <c r="R419" i="1" s="1"/>
  <c r="R92" i="1"/>
  <c r="R130" i="1"/>
  <c r="R31" i="1"/>
  <c r="R73" i="1"/>
  <c r="Q280" i="1"/>
  <c r="R68" i="1"/>
  <c r="Q439" i="1"/>
  <c r="Q185" i="1"/>
  <c r="R392" i="1"/>
  <c r="Q266" i="1"/>
  <c r="R343" i="1"/>
  <c r="R20" i="1"/>
  <c r="R395" i="1"/>
  <c r="Q426" i="1"/>
  <c r="P426" i="1"/>
  <c r="R426" i="1" s="1"/>
  <c r="Q224" i="1"/>
  <c r="R115" i="1"/>
  <c r="R345" i="1"/>
  <c r="Q257" i="1"/>
  <c r="P255" i="1"/>
  <c r="Q93" i="1"/>
  <c r="P319" i="1"/>
  <c r="O319" i="1"/>
  <c r="R236" i="1"/>
  <c r="P32" i="1"/>
  <c r="R32" i="1" s="1"/>
  <c r="Q84" i="1"/>
  <c r="O189" i="1"/>
  <c r="R189" i="1" s="1"/>
  <c r="R275" i="1"/>
  <c r="R94" i="1"/>
  <c r="Q210" i="1"/>
  <c r="P311" i="1"/>
  <c r="Q319" i="1"/>
  <c r="R268" i="1"/>
  <c r="R65" i="1"/>
  <c r="R308" i="1"/>
  <c r="R376" i="1"/>
  <c r="R248" i="1"/>
  <c r="P117" i="1"/>
  <c r="R117" i="1" s="1"/>
  <c r="R246" i="1"/>
  <c r="R19" i="1"/>
  <c r="O170" i="1"/>
  <c r="R170" i="1" s="1"/>
  <c r="O45" i="1"/>
  <c r="R45" i="1" s="1"/>
  <c r="O429" i="1"/>
  <c r="O311" i="1"/>
  <c r="Q425" i="1"/>
  <c r="R425" i="1" s="1"/>
  <c r="P410" i="1"/>
  <c r="R410" i="1" s="1"/>
  <c r="P125" i="1"/>
  <c r="R125" i="1" s="1"/>
  <c r="Q111" i="1"/>
  <c r="O222" i="1"/>
  <c r="R222" i="1" s="1"/>
  <c r="R325" i="1"/>
  <c r="P140" i="1"/>
  <c r="P31" i="1"/>
  <c r="R165" i="1"/>
  <c r="R99" i="1"/>
  <c r="P36" i="1"/>
  <c r="O281" i="1"/>
  <c r="R281" i="1" s="1"/>
  <c r="O122" i="1"/>
  <c r="R122" i="1" s="1"/>
  <c r="P136" i="1"/>
  <c r="R136" i="1" s="1"/>
  <c r="R423" i="1"/>
  <c r="N10" i="1"/>
  <c r="P10" i="1" s="1"/>
  <c r="R198" i="1" l="1"/>
  <c r="R207" i="1"/>
  <c r="R252" i="1"/>
  <c r="R329" i="1"/>
  <c r="R288" i="1"/>
  <c r="R397" i="1"/>
  <c r="R87" i="1"/>
  <c r="R402" i="1"/>
  <c r="R319" i="1"/>
  <c r="R118" i="1"/>
  <c r="R111" i="1"/>
  <c r="R297" i="1"/>
  <c r="R429" i="1"/>
  <c r="R166" i="1"/>
  <c r="R311" i="1"/>
  <c r="R110" i="1"/>
  <c r="R22" i="1"/>
  <c r="R113" i="1"/>
  <c r="R129" i="1"/>
  <c r="R78" i="1"/>
  <c r="R140" i="1"/>
  <c r="R256" i="1"/>
  <c r="R192" i="1"/>
  <c r="R134" i="1"/>
  <c r="R36" i="1"/>
  <c r="R47" i="1"/>
  <c r="R135" i="1"/>
  <c r="Q10" i="1"/>
  <c r="O10" i="1"/>
  <c r="R10" i="1" l="1"/>
</calcChain>
</file>

<file path=xl/sharedStrings.xml><?xml version="1.0" encoding="utf-8"?>
<sst xmlns="http://schemas.openxmlformats.org/spreadsheetml/2006/main" count="902" uniqueCount="33">
  <si>
    <t>취사용</t>
  </si>
  <si>
    <t>상품</t>
  </si>
  <si>
    <t>상품</t>
    <phoneticPr fontId="1" type="noConversion"/>
  </si>
  <si>
    <t>서비스</t>
    <phoneticPr fontId="1" type="noConversion"/>
  </si>
  <si>
    <t>이전일수</t>
    <phoneticPr fontId="1" type="noConversion"/>
  </si>
  <si>
    <t>당월일수</t>
    <phoneticPr fontId="1" type="noConversion"/>
  </si>
  <si>
    <t>이후일수</t>
    <phoneticPr fontId="1" type="noConversion"/>
  </si>
  <si>
    <t>사용기간시작일</t>
    <phoneticPr fontId="1" type="noConversion"/>
  </si>
  <si>
    <t>사용기간종료일</t>
    <phoneticPr fontId="1" type="noConversion"/>
  </si>
  <si>
    <t>사용열량</t>
    <phoneticPr fontId="1" type="noConversion"/>
  </si>
  <si>
    <t>총일수</t>
    <phoneticPr fontId="1" type="noConversion"/>
  </si>
  <si>
    <t>일평균</t>
    <phoneticPr fontId="1" type="noConversion"/>
  </si>
  <si>
    <t>공급량 합계</t>
    <phoneticPr fontId="1" type="noConversion"/>
  </si>
  <si>
    <t>보정공급량합계</t>
    <phoneticPr fontId="1" type="noConversion"/>
  </si>
  <si>
    <t>공급량</t>
    <phoneticPr fontId="1" type="noConversion"/>
  </si>
  <si>
    <t>일수</t>
    <phoneticPr fontId="1" type="noConversion"/>
  </si>
  <si>
    <t>요율</t>
    <phoneticPr fontId="1" type="noConversion"/>
  </si>
  <si>
    <t>총합계</t>
  </si>
  <si>
    <t>합계 : 보정공급량합계</t>
  </si>
  <si>
    <t>공급월</t>
    <phoneticPr fontId="1" type="noConversion"/>
  </si>
  <si>
    <t>서비스</t>
  </si>
  <si>
    <t>2026년 3월</t>
    <phoneticPr fontId="1" type="noConversion"/>
  </si>
  <si>
    <t>3월 공급량</t>
    <phoneticPr fontId="1" type="noConversion"/>
  </si>
  <si>
    <t>3월보정공급량</t>
    <phoneticPr fontId="1" type="noConversion"/>
  </si>
  <si>
    <t>합계 : 3월보정공급량</t>
  </si>
  <si>
    <t>2026년 4월</t>
    <phoneticPr fontId="1" type="noConversion"/>
  </si>
  <si>
    <t>4월 공급량</t>
    <phoneticPr fontId="1" type="noConversion"/>
  </si>
  <si>
    <t>4월보정공급량</t>
    <phoneticPr fontId="1" type="noConversion"/>
  </si>
  <si>
    <t>합계 : 4월보정공급량</t>
  </si>
  <si>
    <t>2026년 5월</t>
    <phoneticPr fontId="1" type="noConversion"/>
  </si>
  <si>
    <t>5월 공급량</t>
    <phoneticPr fontId="1" type="noConversion"/>
  </si>
  <si>
    <t>5월보정공급량</t>
    <phoneticPr fontId="1" type="noConversion"/>
  </si>
  <si>
    <t>합계 : 5월보정공급량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</si>
</sst>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pivotButton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NumberFormat="1">
      <alignment vertical="center"/>
    </xf>
    <xf numFmtId="0" fontId="0" fillId="0" borderId="2" xfId="0" applyBorder="1">
      <alignment vertical="center"/>
    </xf>
    <xf numFmtId="0" fontId="0" fillId="0" borderId="3" xfId="0" applyNumberFormat="1" applyBorder="1">
      <alignment vertical="center"/>
    </xf>
    <xf numFmtId="0" fontId="0" fillId="0" borderId="4" xfId="0" applyNumberFormat="1" applyBorder="1">
      <alignment vertical="center"/>
    </xf>
  </cellXfs>
  <cellStyles count="1">
    <cellStyle name="표준" xfId="0" builtinId="0"/>
  </cellStyles>
  <dxfs count="2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전상우" refreshedDate="46183.351044212963" createdVersion="8" refreshedVersion="8" minRefreshableVersion="3" recordCount="430" xr:uid="{2B6DED38-3683-4E78-A014-F23622872571}">
  <cacheSource type="worksheet">
    <worksheetSource ref="A9:R439" sheet="4월계산내역"/>
  </cacheSource>
  <cacheFields count="18">
    <cacheField name="상품" numFmtId="0">
      <sharedItems count="1">
        <s v="취사용"/>
      </sharedItems>
    </cacheField>
    <cacheField name="서비스" numFmtId="0">
      <sharedItems count="1">
        <s v="취사용"/>
      </sharedItems>
    </cacheField>
    <cacheField name="이전일수" numFmtId="0">
      <sharedItems containsSemiMixedTypes="0" containsString="0" containsNumber="1" containsInteger="1" minValue="0" maxValue="31"/>
    </cacheField>
    <cacheField name="당월일수" numFmtId="0">
      <sharedItems containsSemiMixedTypes="0" containsString="0" containsNumber="1" containsInteger="1" minValue="1" maxValue="30"/>
    </cacheField>
    <cacheField name="이후일수" numFmtId="0">
      <sharedItems containsSemiMixedTypes="0" containsString="0" containsNumber="1" containsInteger="1" minValue="0" maxValue="14"/>
    </cacheField>
    <cacheField name="사용기간시작일" numFmtId="0">
      <sharedItems containsSemiMixedTypes="0" containsString="0" containsNumber="1" containsInteger="1" minValue="20260226" maxValue="20260425"/>
    </cacheField>
    <cacheField name="사용기간종료일" numFmtId="0">
      <sharedItems containsSemiMixedTypes="0" containsString="0" containsNumber="1" containsInteger="1" minValue="20260401" maxValue="20260514"/>
    </cacheField>
    <cacheField name="사용열량" numFmtId="0">
      <sharedItems containsSemiMixedTypes="0" containsString="0" containsNumber="1" minValue="42.119100000000003" maxValue="6650176.9435999999"/>
    </cacheField>
    <cacheField name="총일수" numFmtId="0">
      <sharedItems containsSemiMixedTypes="0" containsString="0" containsNumber="1" containsInteger="1" minValue="7" maxValue="74"/>
    </cacheField>
    <cacheField name="일평균" numFmtId="0">
      <sharedItems containsSemiMixedTypes="0" containsString="0" containsNumber="1" minValue="0.57785342465753431" maxValue="109019.29415737705"/>
    </cacheField>
    <cacheField name="3월 공급량" numFmtId="0">
      <sharedItems containsSemiMixedTypes="0" containsString="0" containsNumber="1" minValue="0" maxValue="5269878.8914559269"/>
    </cacheField>
    <cacheField name="4월 공급량" numFmtId="0">
      <sharedItems containsSemiMixedTypes="0" containsString="0" containsNumber="1" minValue="1.4065699999999999" maxValue="3270578.8247213117"/>
    </cacheField>
    <cacheField name="5월 공급량" numFmtId="0">
      <sharedItems containsSemiMixedTypes="0" containsString="0" containsNumber="1" minValue="0" maxValue="81927.500712150068"/>
    </cacheField>
    <cacheField name="공급량 합계" numFmtId="0">
      <sharedItems containsSemiMixedTypes="0" containsString="0" containsNumber="1" minValue="36.595106088123487" maxValue="8622385.2168893889"/>
    </cacheField>
    <cacheField name="3월보정공급량" numFmtId="0">
      <sharedItems containsSemiMixedTypes="0" containsString="0" containsNumber="1" minValue="0" maxValue="4064493.3180296477"/>
    </cacheField>
    <cacheField name="4월보정공급량" numFmtId="0">
      <sharedItems containsSemiMixedTypes="0" containsString="0" containsNumber="1" minValue="0.88412258258683007" maxValue="2522495.4980884693"/>
    </cacheField>
    <cacheField name="5월보정공급량" numFmtId="0">
      <sharedItems containsSemiMixedTypes="0" containsString="0" containsNumber="1" minValue="0" maxValue="63188.127481883326"/>
    </cacheField>
    <cacheField name="보정공급량합계" numFmtId="0">
      <sharedItems containsSemiMixedTypes="0" containsString="0" containsNumber="1" minValue="42.119100000000003" maxValue="6650176.94360000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0">
  <r>
    <x v="0"/>
    <x v="0"/>
    <n v="27"/>
    <n v="27"/>
    <n v="0"/>
    <n v="20260305"/>
    <n v="20260427"/>
    <n v="927.77149999999995"/>
    <n v="54"/>
    <n v="17.180953703703704"/>
    <n v="747.4584325850974"/>
    <n v="463.88575000000003"/>
    <n v="0"/>
    <n v="1211.3441825850973"/>
    <n v="572.48025883709408"/>
    <n v="355.29124116290598"/>
    <n v="0"/>
    <n v="927.77150000000006"/>
  </r>
  <r>
    <x v="0"/>
    <x v="0"/>
    <n v="23"/>
    <n v="25"/>
    <n v="0"/>
    <n v="20260309"/>
    <n v="20260425"/>
    <n v="294.98559999999998"/>
    <n v="48"/>
    <n v="6.1455333333333328"/>
    <n v="227.75264468213226"/>
    <n v="153.63833333333332"/>
    <n v="0"/>
    <n v="381.39097801546558"/>
    <n v="176.15453541331868"/>
    <n v="118.83106458668126"/>
    <n v="0"/>
    <n v="294.98559999999998"/>
  </r>
  <r>
    <x v="0"/>
    <x v="0"/>
    <n v="29"/>
    <n v="17"/>
    <n v="0"/>
    <n v="20260303"/>
    <n v="20260417"/>
    <n v="674.822"/>
    <n v="46"/>
    <n v="14.670043478260869"/>
    <n v="685.49677031956014"/>
    <n v="249.39073913043478"/>
    <n v="0"/>
    <n v="934.88750944999492"/>
    <n v="494.80637709314595"/>
    <n v="180.01562290685408"/>
    <n v="0"/>
    <n v="674.822"/>
  </r>
  <r>
    <x v="0"/>
    <x v="0"/>
    <n v="26"/>
    <n v="17"/>
    <n v="0"/>
    <n v="20260306"/>
    <n v="20260417"/>
    <n v="126.452"/>
    <n v="43"/>
    <n v="2.9407441860465116"/>
    <n v="123.19883729633354"/>
    <n v="49.992651162790693"/>
    <n v="0"/>
    <n v="173.19148845912423"/>
    <n v="89.950952627055827"/>
    <n v="36.501047372944178"/>
    <n v="0"/>
    <n v="126.452"/>
  </r>
  <r>
    <x v="0"/>
    <x v="0"/>
    <n v="25"/>
    <n v="20"/>
    <n v="0"/>
    <n v="20260307"/>
    <n v="20260420"/>
    <n v="126.4372"/>
    <n v="45"/>
    <n v="2.8097155555555555"/>
    <n v="113.1822644457995"/>
    <n v="56.194311111111112"/>
    <n v="0"/>
    <n v="169.37657555691061"/>
    <n v="84.488947536775086"/>
    <n v="41.948252463224925"/>
    <n v="0"/>
    <n v="126.43720000000002"/>
  </r>
  <r>
    <x v="0"/>
    <x v="0"/>
    <n v="28"/>
    <n v="20"/>
    <n v="0"/>
    <n v="20260304"/>
    <n v="20260420"/>
    <n v="42.174399999999999"/>
    <n v="48"/>
    <n v="0.87863333333333327"/>
    <n v="39.640737048313888"/>
    <n v="17.572666666666667"/>
    <n v="0"/>
    <n v="57.213403714980558"/>
    <n v="29.220850220674155"/>
    <n v="12.953549779325842"/>
    <n v="0"/>
    <n v="42.174399999999999"/>
  </r>
  <r>
    <x v="0"/>
    <x v="0"/>
    <n v="24"/>
    <n v="14"/>
    <n v="0"/>
    <n v="20260308"/>
    <n v="20260414"/>
    <n v="589.77750000000003"/>
    <n v="38"/>
    <n v="15.520460526315791"/>
    <n v="600.19428997759269"/>
    <n v="217.28644736842108"/>
    <n v="0"/>
    <n v="817.48073734601371"/>
    <n v="433.01459188686755"/>
    <n v="156.76290811313254"/>
    <n v="0"/>
    <n v="589.77750000000015"/>
  </r>
  <r>
    <x v="0"/>
    <x v="0"/>
    <n v="30"/>
    <n v="6"/>
    <n v="0"/>
    <n v="20260302"/>
    <n v="20260406"/>
    <n v="1687.4502"/>
    <n v="36"/>
    <n v="46.873616666666663"/>
    <n v="2265.8217056631743"/>
    <n v="281.24169999999998"/>
    <n v="0"/>
    <n v="2547.0634056631743"/>
    <n v="1501.1252887872874"/>
    <n v="186.32491121271244"/>
    <n v="0"/>
    <n v="1687.4501999999998"/>
  </r>
  <r>
    <x v="0"/>
    <x v="0"/>
    <n v="28"/>
    <n v="9"/>
    <n v="0"/>
    <n v="20260304"/>
    <n v="20260409"/>
    <n v="716.78009999999995"/>
    <n v="37"/>
    <n v="19.372435135135134"/>
    <n v="874.01374161850867"/>
    <n v="174.35191621621621"/>
    <n v="0"/>
    <n v="1048.365657834725"/>
    <n v="597.57361607265921"/>
    <n v="119.20648392734066"/>
    <n v="0"/>
    <n v="716.78009999999983"/>
  </r>
  <r>
    <x v="0"/>
    <x v="0"/>
    <n v="30"/>
    <n v="30"/>
    <n v="13"/>
    <n v="20260302"/>
    <n v="20260513"/>
    <n v="2025.1776"/>
    <n v="73"/>
    <n v="27.742158904109587"/>
    <n v="1341.027005743922"/>
    <n v="832.26476712328758"/>
    <n v="271.02537117141912"/>
    <n v="2444.3171440386286"/>
    <n v="1111.0742563219296"/>
    <n v="689.5520770526748"/>
    <n v="224.55126662539567"/>
    <n v="2025.1776"/>
  </r>
  <r>
    <x v="0"/>
    <x v="0"/>
    <n v="26"/>
    <n v="30"/>
    <n v="6"/>
    <n v="20260306"/>
    <n v="20260506"/>
    <n v="218285.70749999999"/>
    <n v="62"/>
    <n v="3520.7372177419352"/>
    <n v="147496.9273797535"/>
    <n v="105622.11653225805"/>
    <n v="15874.907454314716"/>
    <n v="268993.95136632625"/>
    <n v="119692.17517207006"/>
    <n v="85711.215132466401"/>
    <n v="12882.317195463555"/>
    <n v="218285.70749999999"/>
  </r>
  <r>
    <x v="0"/>
    <x v="0"/>
    <n v="29"/>
    <n v="4"/>
    <n v="0"/>
    <n v="20260303"/>
    <n v="20260404"/>
    <n v="1096.817"/>
    <n v="33"/>
    <n v="33.236878787878787"/>
    <n v="1553.0814955222352"/>
    <n v="132.94751515151515"/>
    <n v="0"/>
    <n v="1686.0290106737502"/>
    <n v="1010.3302943722784"/>
    <n v="86.486705627721634"/>
    <n v="0"/>
    <n v="1096.817"/>
  </r>
  <r>
    <x v="0"/>
    <x v="0"/>
    <n v="29"/>
    <n v="9"/>
    <n v="0"/>
    <n v="20260303"/>
    <n v="20260409"/>
    <n v="84.344800000000006"/>
    <n v="38"/>
    <n v="2.2196000000000002"/>
    <n v="103.71670906470092"/>
    <n v="19.976400000000002"/>
    <n v="0"/>
    <n v="123.69310906470092"/>
    <n v="70.723140107542577"/>
    <n v="13.621659892457439"/>
    <n v="0"/>
    <n v="84.344800000000021"/>
  </r>
  <r>
    <x v="0"/>
    <x v="0"/>
    <n v="28"/>
    <n v="30"/>
    <n v="13"/>
    <n v="20260304"/>
    <n v="20260513"/>
    <n v="2530.7604000000001"/>
    <n v="71"/>
    <n v="35.644512676056337"/>
    <n v="1608.1506364507461"/>
    <n v="1069.33538028169"/>
    <n v="348.22694627495099"/>
    <n v="3025.7129630073869"/>
    <n v="1345.0859343640948"/>
    <n v="894.41122400652353"/>
    <n v="291.26324162938187"/>
    <n v="2530.7604000000001"/>
  </r>
  <r>
    <x v="0"/>
    <x v="0"/>
    <n v="26"/>
    <n v="4"/>
    <n v="0"/>
    <n v="20260306"/>
    <n v="20260404"/>
    <n v="210.76329999999999"/>
    <n v="30"/>
    <n v="7.0254433333333326"/>
    <n v="294.32225157997982"/>
    <n v="28.10177333333333"/>
    <n v="0"/>
    <n v="322.42402491331313"/>
    <n v="192.3936314085303"/>
    <n v="18.369668591469697"/>
    <n v="0"/>
    <n v="210.76329999999999"/>
  </r>
  <r>
    <x v="0"/>
    <x v="0"/>
    <n v="29"/>
    <n v="30"/>
    <n v="13"/>
    <n v="20260303"/>
    <n v="20260513"/>
    <n v="379.66739999999999"/>
    <n v="72"/>
    <n v="5.2731583333333329"/>
    <n v="246.40233767815661"/>
    <n v="158.19475"/>
    <n v="51.5158066636847"/>
    <n v="456.11289434184135"/>
    <n v="205.10478011190463"/>
    <n v="131.68097234527204"/>
    <n v="42.881647542823302"/>
    <n v="379.66739999999999"/>
  </r>
  <r>
    <x v="0"/>
    <x v="0"/>
    <n v="28"/>
    <n v="30"/>
    <n v="1"/>
    <n v="20260304"/>
    <n v="20260501"/>
    <n v="559116.24849999999"/>
    <n v="59"/>
    <n v="9476.5465847457617"/>
    <n v="427547.27944004373"/>
    <n v="284296.39754237287"/>
    <n v="7121.5813959472907"/>
    <n v="718965.2583783638"/>
    <n v="332489.82221488137"/>
    <n v="221088.20058215436"/>
    <n v="5538.225702964326"/>
    <n v="559116.2485000001"/>
  </r>
  <r>
    <x v="0"/>
    <x v="0"/>
    <n v="25"/>
    <n v="30"/>
    <n v="9"/>
    <n v="20260307"/>
    <n v="20260509"/>
    <n v="73949.631200000003"/>
    <n v="64"/>
    <n v="1155.4629875000001"/>
    <n v="46544.895674573097"/>
    <n v="34663.889625000003"/>
    <n v="7814.9263317696177"/>
    <n v="89023.71163134271"/>
    <n v="38663.607777114223"/>
    <n v="28794.371822436609"/>
    <n v="6491.6516004491796"/>
    <n v="73949.631200000018"/>
  </r>
  <r>
    <x v="0"/>
    <x v="0"/>
    <n v="25"/>
    <n v="30"/>
    <n v="4"/>
    <n v="20260307"/>
    <n v="20260504"/>
    <n v="65341.215600000003"/>
    <n v="59"/>
    <n v="1107.4782305084746"/>
    <n v="44611.951450221393"/>
    <n v="33224.346915254238"/>
    <n v="3329.0592906497582"/>
    <n v="81165.357656125401"/>
    <n v="35914.326286784482"/>
    <n v="26746.869325166914"/>
    <n v="2680.0199880485925"/>
    <n v="65341.215599999981"/>
  </r>
  <r>
    <x v="0"/>
    <x v="0"/>
    <n v="24"/>
    <n v="30"/>
    <n v="6"/>
    <n v="20260308"/>
    <n v="20260506"/>
    <n v="55385.997199999998"/>
    <n v="60"/>
    <n v="923.09995333333325"/>
    <n v="35697.35061210618"/>
    <n v="27692.998599999999"/>
    <n v="4162.2323462264785"/>
    <n v="67552.581558332662"/>
    <n v="29268.065193663206"/>
    <n v="22705.340159276384"/>
    <n v="3412.5918470604056"/>
    <n v="55385.997199999998"/>
  </r>
  <r>
    <x v="0"/>
    <x v="0"/>
    <n v="30"/>
    <n v="30"/>
    <n v="14"/>
    <n v="20260302"/>
    <n v="20260514"/>
    <n v="1350.0550000000001"/>
    <n v="74"/>
    <n v="18.243986486486488"/>
    <n v="881.89526472582224"/>
    <n v="547.31959459459461"/>
    <n v="191.94381310054658"/>
    <n v="1621.1586724209635"/>
    <n v="734.41738422891217"/>
    <n v="455.79224776125648"/>
    <n v="159.84536800983128"/>
    <n v="1350.0549999999998"/>
  </r>
  <r>
    <x v="0"/>
    <x v="0"/>
    <n v="30"/>
    <n v="30"/>
    <n v="12"/>
    <n v="20260302"/>
    <n v="20260512"/>
    <n v="1223.5734"/>
    <n v="72"/>
    <n v="16.994074999999999"/>
    <n v="821.47584805527572"/>
    <n v="509.82224999999994"/>
    <n v="153.25163521843837"/>
    <n v="1484.5497332737141"/>
    <n v="677.06454953608136"/>
    <n v="420.19807746860829"/>
    <n v="126.31077299531017"/>
    <n v="1223.5733999999998"/>
  </r>
  <r>
    <x v="0"/>
    <x v="0"/>
    <n v="28"/>
    <n v="30"/>
    <n v="9"/>
    <n v="20260304"/>
    <n v="20260509"/>
    <n v="19783.500800000002"/>
    <n v="67"/>
    <n v="295.27613134328362"/>
    <n v="13321.783996990593"/>
    <n v="8858.2839402985082"/>
    <n v="1997.0879543016877"/>
    <n v="24177.155891590792"/>
    <n v="10900.848947810198"/>
    <n v="7248.4897812350528"/>
    <n v="1634.1620709547485"/>
    <n v="19783.500800000002"/>
  </r>
  <r>
    <x v="0"/>
    <x v="0"/>
    <n v="28"/>
    <n v="30"/>
    <n v="10"/>
    <n v="20260304"/>
    <n v="20260510"/>
    <n v="4808.6701000000003"/>
    <n v="68"/>
    <n v="70.715736764705881"/>
    <n v="3190.4365790820848"/>
    <n v="2121.4721029411762"/>
    <n v="531.42552599792464"/>
    <n v="5843.3342080211851"/>
    <n v="2625.5142077477913"/>
    <n v="1745.8285126655503"/>
    <n v="437.32737958665945"/>
    <n v="4808.6701000000012"/>
  </r>
  <r>
    <x v="0"/>
    <x v="0"/>
    <n v="22"/>
    <n v="30"/>
    <n v="8"/>
    <n v="20260310"/>
    <n v="20260508"/>
    <n v="22926.2088"/>
    <n v="60"/>
    <n v="382.10347999999999"/>
    <n v="13545.02116397075"/>
    <n v="11463.1044"/>
    <n v="2297.1921344215898"/>
    <n v="27305.31769839234"/>
    <n v="11372.729181755536"/>
    <n v="9624.7012348833414"/>
    <n v="1928.7783833611229"/>
    <n v="22926.2088"/>
  </r>
  <r>
    <x v="0"/>
    <x v="0"/>
    <n v="11"/>
    <n v="30"/>
    <n v="3"/>
    <n v="20260321"/>
    <n v="20260503"/>
    <n v="126.5677"/>
    <n v="44"/>
    <n v="2.8765386363636365"/>
    <n v="50.984587615539404"/>
    <n v="86.2961590909091"/>
    <n v="6.4851168685518941"/>
    <n v="143.7658635750004"/>
    <n v="44.885495273228592"/>
    <n v="75.972877728880746"/>
    <n v="5.7093269978906633"/>
    <n v="126.5677"/>
  </r>
  <r>
    <x v="0"/>
    <x v="0"/>
    <n v="0"/>
    <n v="11"/>
    <n v="2"/>
    <n v="20260420"/>
    <n v="20260502"/>
    <n v="42.215899999999998"/>
    <n v="13"/>
    <n v="3.2473769230769229"/>
    <n v="0"/>
    <n v="35.721146153846149"/>
    <n v="4.8807777968905777"/>
    <n v="40.601923950736726"/>
    <n v="0"/>
    <n v="37.141105326581226"/>
    <n v="5.0747946734187748"/>
    <n v="42.215899999999998"/>
  </r>
  <r>
    <x v="0"/>
    <x v="0"/>
    <n v="0"/>
    <n v="15"/>
    <n v="5"/>
    <n v="20260416"/>
    <n v="20260505"/>
    <n v="211.0993"/>
    <n v="20"/>
    <n v="10.554964999999999"/>
    <n v="0"/>
    <n v="158.32447499999998"/>
    <n v="39.66003950208588"/>
    <n v="197.98451450208586"/>
    <n v="0"/>
    <n v="168.81212113695577"/>
    <n v="42.287178863044225"/>
    <n v="211.0993"/>
  </r>
  <r>
    <x v="0"/>
    <x v="0"/>
    <n v="0"/>
    <n v="16"/>
    <n v="4"/>
    <n v="20260415"/>
    <n v="20260504"/>
    <n v="84.445599999999999"/>
    <n v="20"/>
    <n v="4.2222799999999996"/>
    <n v="0"/>
    <n v="67.556479999999993"/>
    <n v="12.692096399286378"/>
    <n v="80.248576399286378"/>
    <n v="0"/>
    <n v="71.089703312652532"/>
    <n v="13.35589668734745"/>
    <n v="84.445599999999985"/>
  </r>
  <r>
    <x v="0"/>
    <x v="0"/>
    <n v="0"/>
    <n v="16"/>
    <n v="1"/>
    <n v="20260415"/>
    <n v="20260501"/>
    <n v="168.9111"/>
    <n v="17"/>
    <n v="9.9359470588235297"/>
    <n v="0"/>
    <n v="158.97515294117647"/>
    <n v="7.4668187501062349"/>
    <n v="166.4419716912827"/>
    <n v="0"/>
    <n v="161.33351271378112"/>
    <n v="7.577587286218896"/>
    <n v="168.9111"/>
  </r>
  <r>
    <x v="0"/>
    <x v="0"/>
    <n v="0"/>
    <n v="13"/>
    <n v="3"/>
    <n v="20260418"/>
    <n v="20260503"/>
    <n v="42.226799999999997"/>
    <n v="16"/>
    <n v="2.6391749999999998"/>
    <n v="0"/>
    <n v="34.309275"/>
    <n v="5.9499838087336627"/>
    <n v="40.259258808733662"/>
    <n v="0"/>
    <n v="35.986029957802153"/>
    <n v="6.240770042197842"/>
    <n v="42.226799999999997"/>
  </r>
  <r>
    <x v="0"/>
    <x v="0"/>
    <n v="0"/>
    <n v="13"/>
    <n v="4"/>
    <n v="20260418"/>
    <n v="20260504"/>
    <n v="42.223799999999997"/>
    <n v="17"/>
    <n v="2.4837529411764705"/>
    <n v="0"/>
    <n v="32.288788235294113"/>
    <n v="7.4661158808565125"/>
    <n v="39.754904116150627"/>
    <n v="0"/>
    <n v="34.294016474197498"/>
    <n v="7.9297835258024989"/>
    <n v="42.223799999999997"/>
  </r>
  <r>
    <x v="0"/>
    <x v="0"/>
    <n v="0"/>
    <n v="11"/>
    <n v="6"/>
    <n v="20260420"/>
    <n v="20260506"/>
    <n v="42.206000000000003"/>
    <n v="17"/>
    <n v="2.4827058823529415"/>
    <n v="0"/>
    <n v="27.309764705882358"/>
    <n v="11.194452661796072"/>
    <n v="38.504217367678429"/>
    <n v="0"/>
    <n v="29.935316388069932"/>
    <n v="12.270683611930073"/>
    <n v="42.206000000000003"/>
  </r>
  <r>
    <x v="0"/>
    <x v="0"/>
    <n v="0"/>
    <n v="8"/>
    <n v="3"/>
    <n v="20260423"/>
    <n v="20260503"/>
    <n v="42.180300000000003"/>
    <n v="11"/>
    <n v="3.8345727272727275"/>
    <n v="0"/>
    <n v="30.67658181818182"/>
    <n v="8.6449915752780377"/>
    <n v="39.321573393459857"/>
    <n v="0"/>
    <n v="32.906806935672364"/>
    <n v="9.2734930643276403"/>
    <n v="42.180300000000003"/>
  </r>
  <r>
    <x v="0"/>
    <x v="0"/>
    <n v="0"/>
    <n v="17"/>
    <n v="4"/>
    <n v="20260414"/>
    <n v="20260504"/>
    <n v="42.221800000000002"/>
    <n v="21"/>
    <n v="2.010561904761905"/>
    <n v="0"/>
    <n v="34.179552380952387"/>
    <n v="6.0437122862460422"/>
    <n v="40.223264667198428"/>
    <n v="0"/>
    <n v="35.877799493857189"/>
    <n v="6.3440005061428133"/>
    <n v="42.221800000000002"/>
  </r>
  <r>
    <x v="0"/>
    <x v="0"/>
    <n v="0"/>
    <n v="22"/>
    <n v="3"/>
    <n v="20260409"/>
    <n v="20260503"/>
    <n v="84.425899999999999"/>
    <n v="25"/>
    <n v="3.3770359999999999"/>
    <n v="0"/>
    <n v="74.294792000000001"/>
    <n v="7.6134813043889453"/>
    <n v="81.908273304388942"/>
    <n v="0"/>
    <n v="76.578401996135142"/>
    <n v="7.8474980038648727"/>
    <n v="84.425900000000013"/>
  </r>
  <r>
    <x v="0"/>
    <x v="0"/>
    <n v="0"/>
    <n v="22"/>
    <n v="10"/>
    <n v="20260409"/>
    <n v="20260510"/>
    <n v="42.213900000000002"/>
    <n v="32"/>
    <n v="1.3191843750000001"/>
    <n v="0"/>
    <n v="29.022056250000002"/>
    <n v="9.9136102152938417"/>
    <n v="38.935666465293842"/>
    <n v="0"/>
    <n v="31.465601890336853"/>
    <n v="10.74829810966315"/>
    <n v="42.213900000000002"/>
  </r>
  <r>
    <x v="0"/>
    <x v="0"/>
    <n v="21"/>
    <n v="30"/>
    <n v="6"/>
    <n v="20260311"/>
    <n v="20260506"/>
    <n v="463.51620000000003"/>
    <n v="57"/>
    <n v="8.1318631578947365"/>
    <n v="275.16004423487141"/>
    <n v="243.95589473684208"/>
    <n v="36.666347721777818"/>
    <n v="555.7822866934913"/>
    <n v="229.4803939405094"/>
    <n v="203.45648287704827"/>
    <n v="30.579323182442373"/>
    <n v="463.51620000000003"/>
  </r>
  <r>
    <x v="0"/>
    <x v="0"/>
    <n v="16"/>
    <n v="30"/>
    <n v="4"/>
    <n v="20260316"/>
    <n v="20260504"/>
    <n v="758.80119999999999"/>
    <n v="50"/>
    <n v="15.176024"/>
    <n v="391.24968548962994"/>
    <n v="455.28071999999997"/>
    <n v="45.618850376072565"/>
    <n v="892.14925586570246"/>
    <n v="332.7702499298436"/>
    <n v="387.23067289636128"/>
    <n v="38.800277173795116"/>
    <n v="758.80120000000011"/>
  </r>
  <r>
    <x v="0"/>
    <x v="0"/>
    <n v="0"/>
    <n v="29"/>
    <n v="1"/>
    <n v="20260402"/>
    <n v="20260501"/>
    <n v="505.98599999999999"/>
    <n v="30"/>
    <n v="16.866199999999999"/>
    <n v="0"/>
    <n v="489.1198"/>
    <n v="12.674872124163006"/>
    <n v="501.79467212416301"/>
    <n v="0"/>
    <n v="493.2052587867297"/>
    <n v="12.780741213270289"/>
    <n v="505.98599999999999"/>
  </r>
  <r>
    <x v="0"/>
    <x v="0"/>
    <n v="21"/>
    <n v="30"/>
    <n v="1"/>
    <n v="20260311"/>
    <n v="20260501"/>
    <n v="842.71720000000005"/>
    <n v="52"/>
    <n v="16.206099999999999"/>
    <n v="548.37017129899823"/>
    <n v="486.18299999999999"/>
    <n v="12.178809994628198"/>
    <n v="1046.7319812936264"/>
    <n v="441.48930536113926"/>
    <n v="391.42281287827387"/>
    <n v="9.8050817605868676"/>
    <n v="842.71719999999993"/>
  </r>
  <r>
    <x v="0"/>
    <x v="0"/>
    <n v="14"/>
    <n v="30"/>
    <n v="8"/>
    <n v="20260318"/>
    <n v="20260508"/>
    <n v="759.08590000000004"/>
    <n v="52"/>
    <n v="14.597805769230771"/>
    <n v="329.29992411345449"/>
    <n v="437.93417307692312"/>
    <n v="87.761473915105483"/>
    <n v="854.99557110548312"/>
    <n v="292.36049602267963"/>
    <n v="388.80862912661706"/>
    <n v="77.916774850703248"/>
    <n v="759.08589999999992"/>
  </r>
  <r>
    <x v="0"/>
    <x v="0"/>
    <n v="8"/>
    <n v="30"/>
    <n v="3"/>
    <n v="20260324"/>
    <n v="20260503"/>
    <n v="210.99549999999999"/>
    <n v="41"/>
    <n v="5.1462317073170727"/>
    <n v="66.336925170405834"/>
    <n v="154.38695121951218"/>
    <n v="11.602108740242075"/>
    <n v="232.32598513016009"/>
    <n v="60.246350346693646"/>
    <n v="140.21226229940029"/>
    <n v="10.536887353906041"/>
    <n v="210.99549999999999"/>
  </r>
  <r>
    <x v="0"/>
    <x v="0"/>
    <n v="15"/>
    <n v="30"/>
    <n v="4"/>
    <n v="20260317"/>
    <n v="20260504"/>
    <n v="210.80289999999999"/>
    <n v="49"/>
    <n v="4.3021000000000003"/>
    <n v="103.97951185688548"/>
    <n v="129.06300000000002"/>
    <n v="12.932033858334817"/>
    <n v="245.9745457152203"/>
    <n v="89.111589072281546"/>
    <n v="110.60841520650284"/>
    <n v="11.082895721215611"/>
    <n v="210.80289999999999"/>
  </r>
  <r>
    <x v="0"/>
    <x v="0"/>
    <n v="14"/>
    <n v="30"/>
    <n v="2"/>
    <n v="20260318"/>
    <n v="20260502"/>
    <n v="126.50239999999999"/>
    <n v="46"/>
    <n v="2.7500521739130432"/>
    <n v="62.036170811808638"/>
    <n v="82.501565217391303"/>
    <n v="4.1333032501837179"/>
    <n v="148.67103927938368"/>
    <n v="52.785831945092156"/>
    <n v="70.199590009886862"/>
    <n v="3.5169780450209571"/>
    <n v="126.50239999999998"/>
  </r>
  <r>
    <x v="0"/>
    <x v="0"/>
    <n v="0"/>
    <n v="29"/>
    <n v="5"/>
    <n v="20260402"/>
    <n v="20260505"/>
    <n v="168.666"/>
    <n v="34"/>
    <n v="4.9607647058823527"/>
    <n v="0"/>
    <n v="143.86217647058822"/>
    <n v="18.63995988578338"/>
    <n v="162.50213635637161"/>
    <n v="0"/>
    <n v="149.31900835675893"/>
    <n v="19.346991643241054"/>
    <n v="168.666"/>
  </r>
  <r>
    <x v="0"/>
    <x v="0"/>
    <n v="11"/>
    <n v="30"/>
    <n v="5"/>
    <n v="20260321"/>
    <n v="20260505"/>
    <n v="84.376499999999993"/>
    <n v="46"/>
    <n v="1.8342717391304346"/>
    <n v="32.511153165884764"/>
    <n v="55.028152173913035"/>
    <n v="6.8922340937627764"/>
    <n v="94.431539433560587"/>
    <n v="29.049376210066963"/>
    <n v="49.168772528260192"/>
    <n v="6.1583512616728244"/>
    <n v="84.376499999999979"/>
  </r>
  <r>
    <x v="0"/>
    <x v="0"/>
    <n v="12"/>
    <n v="30"/>
    <n v="5"/>
    <n v="20260320"/>
    <n v="20260505"/>
    <n v="126.544"/>
    <n v="47"/>
    <n v="2.6924255319148935"/>
    <n v="52.059616005118592"/>
    <n v="80.772765957446808"/>
    <n v="10.116727336582288"/>
    <n v="142.94910929914769"/>
    <n v="46.085156319270652"/>
    <n v="71.50313104735163"/>
    <n v="8.9557126333777166"/>
    <n v="126.544"/>
  </r>
  <r>
    <x v="0"/>
    <x v="0"/>
    <n v="16"/>
    <n v="30"/>
    <n v="8"/>
    <n v="20260316"/>
    <n v="20260508"/>
    <n v="210.7979"/>
    <n v="54"/>
    <n v="3.9036648148148148"/>
    <n v="100.6395107870962"/>
    <n v="117.10994444444444"/>
    <n v="23.468689968515609"/>
    <n v="241.21814520005626"/>
    <n v="87.947768246674499"/>
    <n v="102.34110015866169"/>
    <n v="20.50903159466381"/>
    <n v="210.7979"/>
  </r>
  <r>
    <x v="0"/>
    <x v="0"/>
    <n v="14"/>
    <n v="30"/>
    <n v="6"/>
    <n v="20260318"/>
    <n v="20260506"/>
    <n v="548.17729999999995"/>
    <n v="50"/>
    <n v="10.963545999999999"/>
    <n v="247.31763957458188"/>
    <n v="328.90637999999996"/>
    <n v="49.434327914069137"/>
    <n v="625.65834748865097"/>
    <n v="216.69001372482549"/>
    <n v="288.17486742545935"/>
    <n v="43.312418849715101"/>
    <n v="548.17729999999995"/>
  </r>
  <r>
    <x v="0"/>
    <x v="0"/>
    <n v="11"/>
    <n v="30"/>
    <n v="9"/>
    <n v="20260321"/>
    <n v="20260509"/>
    <n v="42.193199999999997"/>
    <n v="50"/>
    <n v="0.84386399999999995"/>
    <n v="14.956885160419125"/>
    <n v="25.315919999999998"/>
    <n v="5.7074394120585676"/>
    <n v="45.980244572477694"/>
    <n v="13.724999786720138"/>
    <n v="23.230839367552342"/>
    <n v="5.23736084572751"/>
    <n v="42.19319999999999"/>
  </r>
  <r>
    <x v="0"/>
    <x v="0"/>
    <n v="31"/>
    <n v="30"/>
    <n v="1"/>
    <n v="20260226"/>
    <n v="20260501"/>
    <n v="1308.4480000000001"/>
    <n v="62"/>
    <n v="21.104000000000003"/>
    <n v="1054.1501772786785"/>
    <n v="633.12000000000012"/>
    <n v="15.859559432968666"/>
    <n v="1703.1297367116472"/>
    <n v="809.86237362225006"/>
    <n v="486.40134682837459"/>
    <n v="12.184279549375491"/>
    <n v="1308.4480000000001"/>
  </r>
  <r>
    <x v="0"/>
    <x v="0"/>
    <n v="31"/>
    <n v="30"/>
    <n v="7"/>
    <n v="20260227"/>
    <n v="20260507"/>
    <n v="126.6151"/>
    <n v="68"/>
    <n v="1.8619867647058823"/>
    <n v="93.006713329475872"/>
    <n v="55.859602941176469"/>
    <n v="9.794921735584623"/>
    <n v="158.66123800623694"/>
    <n v="74.221369106044691"/>
    <n v="44.577171470698644"/>
    <n v="7.8165594232566695"/>
    <n v="126.6151"/>
  </r>
  <r>
    <x v="0"/>
    <x v="0"/>
    <n v="31"/>
    <n v="30"/>
    <n v="4"/>
    <n v="20260226"/>
    <n v="20260504"/>
    <n v="295.44909999999999"/>
    <n v="65"/>
    <n v="4.545370769230769"/>
    <n v="227.042428079129"/>
    <n v="136.36112307692306"/>
    <n v="13.663301338039021"/>
    <n v="377.06685249409111"/>
    <n v="177.89811168523377"/>
    <n v="106.84516769794152"/>
    <n v="10.705820616824662"/>
    <n v="295.44909999999993"/>
  </r>
  <r>
    <x v="0"/>
    <x v="0"/>
    <n v="0"/>
    <n v="24"/>
    <n v="3"/>
    <n v="20260407"/>
    <n v="20260503"/>
    <n v="337.62450000000001"/>
    <n v="27"/>
    <n v="12.504611111111112"/>
    <n v="0"/>
    <n v="300.1106666666667"/>
    <n v="28.191474095360171"/>
    <n v="328.30214076202685"/>
    <n v="0"/>
    <n v="308.6325101103933"/>
    <n v="28.991989889606739"/>
    <n v="337.62450000000001"/>
  </r>
  <r>
    <x v="0"/>
    <x v="0"/>
    <n v="30"/>
    <n v="23"/>
    <n v="0"/>
    <n v="20260302"/>
    <n v="20260423"/>
    <n v="1223.6306999999999"/>
    <n v="53"/>
    <n v="23.087371698113206"/>
    <n v="1116.019450607045"/>
    <n v="531.00954905660376"/>
    <n v="0"/>
    <n v="1647.0289996636488"/>
    <n v="829.12666494566372"/>
    <n v="394.50403505433616"/>
    <n v="0"/>
    <n v="1223.6306999999999"/>
  </r>
  <r>
    <x v="0"/>
    <x v="0"/>
    <n v="26"/>
    <n v="29"/>
    <n v="0"/>
    <n v="20260306"/>
    <n v="20260429"/>
    <n v="1011.9246000000001"/>
    <n v="55"/>
    <n v="18.398629090909093"/>
    <n v="770.78778990762839"/>
    <n v="533.56024363636368"/>
    <n v="0"/>
    <n v="1304.3480335439922"/>
    <n v="597.98390148058161"/>
    <n v="413.94069851941839"/>
    <n v="0"/>
    <n v="1011.9246000000001"/>
  </r>
  <r>
    <x v="0"/>
    <x v="0"/>
    <n v="29"/>
    <n v="28"/>
    <n v="0"/>
    <n v="20260303"/>
    <n v="20260428"/>
    <n v="2278.0046000000002"/>
    <n v="57"/>
    <n v="39.964992982456145"/>
    <n v="1867.4705126753549"/>
    <n v="1119.0198035087722"/>
    <n v="0"/>
    <n v="2986.4903161841271"/>
    <n v="1424.4500962167315"/>
    <n v="853.5545037832685"/>
    <n v="0"/>
    <n v="2278.0046000000002"/>
  </r>
  <r>
    <x v="0"/>
    <x v="0"/>
    <n v="29"/>
    <n v="27"/>
    <n v="0"/>
    <n v="20260303"/>
    <n v="20260427"/>
    <n v="674.94849999999997"/>
    <n v="56"/>
    <n v="12.052651785714286"/>
    <n v="563.19218720358469"/>
    <n v="325.42159821428572"/>
    <n v="0"/>
    <n v="888.61378541787042"/>
    <n v="427.77382953385603"/>
    <n v="247.17467046614388"/>
    <n v="0"/>
    <n v="674.94849999999997"/>
  </r>
  <r>
    <x v="0"/>
    <x v="0"/>
    <n v="26"/>
    <n v="23"/>
    <n v="0"/>
    <n v="20260306"/>
    <n v="20260423"/>
    <n v="421.64519999999999"/>
    <n v="49"/>
    <n v="8.6050040816326536"/>
    <n v="360.49599377515523"/>
    <n v="197.91509387755104"/>
    <n v="0"/>
    <n v="558.41108765270633"/>
    <n v="272.2034156475392"/>
    <n v="149.44178435246073"/>
    <n v="0"/>
    <n v="421.64519999999993"/>
  </r>
  <r>
    <x v="0"/>
    <x v="0"/>
    <n v="27"/>
    <n v="29"/>
    <n v="0"/>
    <n v="20260305"/>
    <n v="20260429"/>
    <n v="337.37150000000003"/>
    <n v="56"/>
    <n v="6.0244910714285718"/>
    <n v="262.09584933589508"/>
    <n v="174.71024107142858"/>
    <n v="0"/>
    <n v="436.80609040732367"/>
    <n v="202.43231899942023"/>
    <n v="134.93918100057979"/>
    <n v="0"/>
    <n v="337.37150000000003"/>
  </r>
  <r>
    <x v="0"/>
    <x v="0"/>
    <n v="24"/>
    <n v="28"/>
    <n v="0"/>
    <n v="20260308"/>
    <n v="20260428"/>
    <n v="590.06809999999996"/>
    <n v="52"/>
    <n v="11.34746346153846"/>
    <n v="438.81963191729176"/>
    <n v="317.72897692307686"/>
    <n v="0"/>
    <n v="756.54860884036862"/>
    <n v="342.25621912784521"/>
    <n v="247.81188087215469"/>
    <n v="0"/>
    <n v="590.06809999999996"/>
  </r>
  <r>
    <x v="0"/>
    <x v="0"/>
    <n v="24"/>
    <n v="15"/>
    <n v="0"/>
    <n v="20260308"/>
    <n v="20260415"/>
    <n v="210.63980000000001"/>
    <n v="39"/>
    <n v="5.4010205128205131"/>
    <n v="208.86375545044595"/>
    <n v="81.015307692307701"/>
    <n v="0"/>
    <n v="289.87906314275364"/>
    <n v="151.77025618323145"/>
    <n v="58.869543816768562"/>
    <n v="0"/>
    <n v="210.63980000000001"/>
  </r>
  <r>
    <x v="0"/>
    <x v="0"/>
    <n v="28"/>
    <n v="29"/>
    <n v="0"/>
    <n v="20260304"/>
    <n v="20260429"/>
    <n v="210.89179999999999"/>
    <n v="57"/>
    <n v="3.6998561403508772"/>
    <n v="166.92403851766605"/>
    <n v="107.29582807017543"/>
    <n v="0"/>
    <n v="274.21986658784147"/>
    <n v="128.37476505365922"/>
    <n v="82.517034946340786"/>
    <n v="0"/>
    <n v="210.89179999999999"/>
  </r>
  <r>
    <x v="0"/>
    <x v="0"/>
    <n v="30"/>
    <n v="16"/>
    <n v="0"/>
    <n v="20260302"/>
    <n v="20260416"/>
    <n v="2404.4479000000001"/>
    <n v="46"/>
    <n v="52.270606521739133"/>
    <n v="2526.7065621876613"/>
    <n v="836.32970434782612"/>
    <n v="0"/>
    <n v="3363.0362665354874"/>
    <n v="1806.5027569943495"/>
    <n v="597.94514300565061"/>
    <n v="0"/>
    <n v="2404.4479000000001"/>
  </r>
  <r>
    <x v="0"/>
    <x v="0"/>
    <n v="24"/>
    <n v="16"/>
    <n v="0"/>
    <n v="20260308"/>
    <n v="20260416"/>
    <n v="421.29930000000002"/>
    <n v="40"/>
    <n v="10.5324825"/>
    <n v="407.30336867713487"/>
    <n v="168.51972000000001"/>
    <n v="0"/>
    <n v="575.82308867713482"/>
    <n v="298.00233350409019"/>
    <n v="123.29696649590983"/>
    <n v="0"/>
    <n v="421.29930000000002"/>
  </r>
  <r>
    <x v="0"/>
    <x v="0"/>
    <n v="26"/>
    <n v="16"/>
    <n v="0"/>
    <n v="20260306"/>
    <n v="20260416"/>
    <n v="126.4461"/>
    <n v="42"/>
    <n v="3.0106214285714286"/>
    <n v="126.12625787014318"/>
    <n v="48.169942857142857"/>
    <n v="0"/>
    <n v="174.29620072728602"/>
    <n v="91.500407632105251"/>
    <n v="34.945692367894758"/>
    <n v="0"/>
    <n v="126.4461"/>
  </r>
  <r>
    <x v="0"/>
    <x v="0"/>
    <n v="27"/>
    <n v="17"/>
    <n v="0"/>
    <n v="20260305"/>
    <n v="20260417"/>
    <n v="505.92680000000001"/>
    <n v="44"/>
    <n v="11.498336363636364"/>
    <n v="500.23582066035948"/>
    <n v="195.47171818181818"/>
    <n v="0"/>
    <n v="695.70753884217766"/>
    <n v="363.77744075227241"/>
    <n v="142.14935924772755"/>
    <n v="0"/>
    <n v="505.92679999999996"/>
  </r>
  <r>
    <x v="0"/>
    <x v="0"/>
    <n v="27"/>
    <n v="21"/>
    <n v="0"/>
    <n v="20260305"/>
    <n v="20260421"/>
    <n v="210.84729999999999"/>
    <n v="48"/>
    <n v="4.3926520833333331"/>
    <n v="191.10259521811108"/>
    <n v="92.245693750000001"/>
    <n v="0"/>
    <n v="283.34828896811109"/>
    <n v="142.20472751563494"/>
    <n v="68.642572484365033"/>
    <n v="0"/>
    <n v="210.84729999999996"/>
  </r>
  <r>
    <x v="0"/>
    <x v="0"/>
    <n v="26"/>
    <n v="20"/>
    <n v="0"/>
    <n v="20260306"/>
    <n v="20260420"/>
    <n v="84.315200000000004"/>
    <n v="46"/>
    <n v="1.8329391304347826"/>
    <n v="76.788715854982655"/>
    <n v="36.658782608695653"/>
    <n v="0"/>
    <n v="113.4474984636783"/>
    <n v="57.070063445505724"/>
    <n v="27.245136554494284"/>
    <n v="0"/>
    <n v="84.315200000000004"/>
  </r>
  <r>
    <x v="0"/>
    <x v="0"/>
    <n v="30"/>
    <n v="14"/>
    <n v="0"/>
    <n v="20260302"/>
    <n v="20260414"/>
    <n v="1856.0214000000001"/>
    <n v="44"/>
    <n v="42.182304545454549"/>
    <n v="2039.0485742473884"/>
    <n v="590.5522636363637"/>
    <n v="0"/>
    <n v="2629.6008378837523"/>
    <n v="1439.1985790848555"/>
    <n v="416.8228209151444"/>
    <n v="0"/>
    <n v="1856.0213999999999"/>
  </r>
  <r>
    <x v="0"/>
    <x v="0"/>
    <n v="30"/>
    <n v="3"/>
    <n v="0"/>
    <n v="20260302"/>
    <n v="20260403"/>
    <n v="1814.5615"/>
    <n v="33"/>
    <n v="54.986712121212122"/>
    <n v="2658.0002719503145"/>
    <n v="164.96013636363637"/>
    <n v="0"/>
    <n v="2822.9604083139511"/>
    <n v="1708.5273127692326"/>
    <n v="106.03418723076722"/>
    <n v="0"/>
    <n v="1814.5614999999998"/>
  </r>
  <r>
    <x v="0"/>
    <x v="0"/>
    <n v="26"/>
    <n v="8"/>
    <n v="0"/>
    <n v="20260306"/>
    <n v="20260408"/>
    <n v="379.28500000000003"/>
    <n v="34"/>
    <n v="11.155441176470589"/>
    <n v="467.34339865054915"/>
    <n v="89.243529411764712"/>
    <n v="0"/>
    <n v="556.58692806231386"/>
    <n v="318.47018321876294"/>
    <n v="60.814816781237049"/>
    <n v="0"/>
    <n v="379.28499999999997"/>
  </r>
  <r>
    <x v="0"/>
    <x v="0"/>
    <n v="29"/>
    <n v="3"/>
    <n v="0"/>
    <n v="20260303"/>
    <n v="20260403"/>
    <n v="126.5676"/>
    <n v="32"/>
    <n v="3.9552375"/>
    <n v="184.81898408239996"/>
    <n v="11.865712500000001"/>
    <n v="0"/>
    <n v="196.68469658239997"/>
    <n v="118.93195381343548"/>
    <n v="7.63564618656451"/>
    <n v="0"/>
    <n v="126.5676"/>
  </r>
  <r>
    <x v="0"/>
    <x v="0"/>
    <n v="27"/>
    <n v="13"/>
    <n v="0"/>
    <n v="20260305"/>
    <n v="20260413"/>
    <n v="337.25290000000001"/>
    <n v="40"/>
    <n v="8.4313225000000003"/>
    <n v="366.80519656548091"/>
    <n v="109.6071925"/>
    <n v="0"/>
    <n v="476.41238906548091"/>
    <n v="259.66183734104277"/>
    <n v="77.591062658957256"/>
    <n v="0"/>
    <n v="337.25290000000001"/>
  </r>
  <r>
    <x v="0"/>
    <x v="0"/>
    <n v="30"/>
    <n v="11"/>
    <n v="0"/>
    <n v="20260302"/>
    <n v="20260411"/>
    <n v="843.62639999999999"/>
    <n v="41"/>
    <n v="20.576253658536586"/>
    <n v="994.63462553547708"/>
    <n v="226.33879024390245"/>
    <n v="0"/>
    <n v="1220.9734157793796"/>
    <n v="687.23857342972769"/>
    <n v="156.38782657027227"/>
    <n v="0"/>
    <n v="843.62639999999999"/>
  </r>
  <r>
    <x v="0"/>
    <x v="0"/>
    <n v="28"/>
    <n v="13"/>
    <n v="0"/>
    <n v="20260304"/>
    <n v="20260413"/>
    <n v="337.32400000000001"/>
    <n v="41"/>
    <n v="8.2274146341463421"/>
    <n v="371.19099370193646"/>
    <n v="106.95639024390245"/>
    <n v="0"/>
    <n v="478.1473839458389"/>
    <n v="261.86827527157419"/>
    <n v="75.455724728425821"/>
    <n v="0"/>
    <n v="337.32400000000001"/>
  </r>
  <r>
    <x v="0"/>
    <x v="0"/>
    <n v="24"/>
    <n v="2"/>
    <n v="0"/>
    <n v="20260308"/>
    <n v="20260402"/>
    <n v="84.271699999999996"/>
    <n v="26"/>
    <n v="3.2412192307692305"/>
    <n v="125.341723692721"/>
    <n v="6.4824384615384609"/>
    <n v="0"/>
    <n v="131.82416215425945"/>
    <n v="80.127648557746411"/>
    <n v="4.1440514422535957"/>
    <n v="0"/>
    <n v="84.27170000000001"/>
  </r>
  <r>
    <x v="0"/>
    <x v="0"/>
    <n v="29"/>
    <n v="14"/>
    <n v="0"/>
    <n v="20260303"/>
    <n v="20260414"/>
    <n v="210.87200000000001"/>
    <n v="43"/>
    <n v="4.9039999999999999"/>
    <n v="229.1524334354358"/>
    <n v="68.656000000000006"/>
    <n v="0"/>
    <n v="297.8084334354358"/>
    <n v="162.2581046009004"/>
    <n v="48.613895399099633"/>
    <n v="0"/>
    <n v="210.87200000000001"/>
  </r>
  <r>
    <x v="0"/>
    <x v="0"/>
    <n v="25"/>
    <n v="30"/>
    <n v="7"/>
    <n v="20260307"/>
    <n v="20260507"/>
    <n v="48775.199000000001"/>
    <n v="62"/>
    <n v="786.69675806451619"/>
    <n v="31690.083479751254"/>
    <n v="23600.902741935486"/>
    <n v="4138.3930975993062"/>
    <n v="59429.379319286047"/>
    <n v="26008.855312912077"/>
    <n v="19369.859503883141"/>
    <n v="3396.4841832047846"/>
    <n v="48775.199000000001"/>
  </r>
  <r>
    <x v="0"/>
    <x v="0"/>
    <n v="30"/>
    <n v="30"/>
    <n v="5"/>
    <n v="20260302"/>
    <n v="20260505"/>
    <n v="295211.82640000002"/>
    <n v="65"/>
    <n v="4541.7204061538469"/>
    <n v="219542.02404515591"/>
    <n v="136251.6121846154"/>
    <n v="17065.410516803335"/>
    <n v="372859.04674657463"/>
    <n v="173822.79565278807"/>
    <n v="107877.46102430952"/>
    <n v="13511.569722902432"/>
    <n v="295211.82640000002"/>
  </r>
  <r>
    <x v="0"/>
    <x v="0"/>
    <n v="26"/>
    <n v="30"/>
    <n v="1"/>
    <n v="20260306"/>
    <n v="20260501"/>
    <n v="227477.57399999999"/>
    <n v="57"/>
    <n v="3990.8346315789472"/>
    <n v="167191.0765939338"/>
    <n v="119725.03894736842"/>
    <n v="2999.0939644937416"/>
    <n v="289915.20950579597"/>
    <n v="131183.94361878384"/>
    <n v="93940.436768490428"/>
    <n v="2353.1936127257218"/>
    <n v="227477.57399999999"/>
  </r>
  <r>
    <x v="0"/>
    <x v="0"/>
    <n v="27"/>
    <n v="30"/>
    <n v="7"/>
    <n v="20260305"/>
    <n v="20260507"/>
    <n v="50565.919999999998"/>
    <n v="64"/>
    <n v="790.09249999999997"/>
    <n v="34373.022116923203"/>
    <n v="23702.774999999998"/>
    <n v="4156.2562892840015"/>
    <n v="62232.053406207204"/>
    <n v="27929.393156569149"/>
    <n v="19259.409883274922"/>
    <n v="3377.116960155925"/>
    <n v="50565.919999999998"/>
  </r>
  <r>
    <x v="0"/>
    <x v="0"/>
    <n v="24"/>
    <n v="30"/>
    <n v="1"/>
    <n v="20260308"/>
    <n v="20260501"/>
    <n v="109167.7136"/>
    <n v="55"/>
    <n v="1984.86752"/>
    <n v="76757.139380372144"/>
    <n v="59546.025600000001"/>
    <n v="1491.618858984511"/>
    <n v="137794.78383935665"/>
    <n v="60810.730095564344"/>
    <n v="47175.250670572983"/>
    <n v="1181.732833862691"/>
    <n v="109167.71360000003"/>
  </r>
  <r>
    <x v="0"/>
    <x v="0"/>
    <n v="27"/>
    <n v="30"/>
    <n v="3"/>
    <n v="20260305"/>
    <n v="20260503"/>
    <n v="90459.847200000004"/>
    <n v="60"/>
    <n v="1507.6641200000001"/>
    <n v="65591.01895240313"/>
    <n v="45229.923600000002"/>
    <n v="3399.0080623712665"/>
    <n v="114219.95061477441"/>
    <n v="51946.73540122516"/>
    <n v="35821.167455437833"/>
    <n v="2691.9443433369947"/>
    <n v="90459.847199999975"/>
  </r>
  <r>
    <x v="0"/>
    <x v="0"/>
    <n v="24"/>
    <n v="30"/>
    <n v="4"/>
    <n v="20260308"/>
    <n v="20260504"/>
    <n v="59516.763599999998"/>
    <n v="58"/>
    <n v="1026.1510965517241"/>
    <n v="39682.45837553047"/>
    <n v="30784.532896551722"/>
    <n v="3084.5914145125162"/>
    <n v="73551.582686594702"/>
    <n v="32110.410244560739"/>
    <n v="24910.351348216776"/>
    <n v="2496.0020072224861"/>
    <n v="59516.763600000006"/>
  </r>
  <r>
    <x v="0"/>
    <x v="0"/>
    <n v="23"/>
    <n v="30"/>
    <n v="2"/>
    <n v="20260309"/>
    <n v="20260502"/>
    <n v="5141.5393999999997"/>
    <n v="55"/>
    <n v="93.482534545454541"/>
    <n v="3464.4502469516174"/>
    <n v="2804.476036363636"/>
    <n v="140.50339391283003"/>
    <n v="6409.4296772280832"/>
    <n v="2779.1251860251273"/>
    <n v="2249.7046950291933"/>
    <n v="112.70951894567898"/>
    <n v="5141.5393999999987"/>
  </r>
  <r>
    <x v="0"/>
    <x v="0"/>
    <n v="28"/>
    <n v="30"/>
    <n v="12"/>
    <n v="20260304"/>
    <n v="20260512"/>
    <n v="1054.5329999999999"/>
    <n v="70"/>
    <n v="15.064757142857141"/>
    <n v="679.66699411590923"/>
    <n v="451.94271428571426"/>
    <n v="135.85315272008077"/>
    <n v="1267.4628611217042"/>
    <n v="565.48503020571752"/>
    <n v="376.01772875780864"/>
    <n v="113.03024103647378"/>
    <n v="1054.5329999999999"/>
  </r>
  <r>
    <x v="0"/>
    <x v="0"/>
    <n v="27"/>
    <n v="30"/>
    <n v="11"/>
    <n v="20260305"/>
    <n v="20260511"/>
    <n v="8055.6878999999999"/>
    <n v="68"/>
    <n v="118.46599852941176"/>
    <n v="5153.8704487827208"/>
    <n v="3553.9799558823529"/>
    <n v="979.29321403975678"/>
    <n v="9687.1436187048312"/>
    <n v="4285.8837905798982"/>
    <n v="2955.4380996440509"/>
    <n v="814.36600977604996"/>
    <n v="8055.6878999999999"/>
  </r>
  <r>
    <x v="0"/>
    <x v="0"/>
    <n v="26"/>
    <n v="30"/>
    <n v="8"/>
    <n v="20260306"/>
    <n v="20260508"/>
    <n v="40944.625099999997"/>
    <n v="64"/>
    <n v="639.75976718749996"/>
    <n v="26801.943480991526"/>
    <n v="19192.793015625"/>
    <n v="3846.2123011873964"/>
    <n v="49840.948797803925"/>
    <n v="22017.950184546648"/>
    <n v="15766.989465523367"/>
    <n v="3159.6854499299807"/>
    <n v="40944.625099999997"/>
  </r>
  <r>
    <x v="0"/>
    <x v="0"/>
    <n v="0"/>
    <n v="15"/>
    <n v="6"/>
    <n v="20260416"/>
    <n v="20260506"/>
    <n v="126.6507"/>
    <n v="21"/>
    <n v="6.0309857142857144"/>
    <n v="0"/>
    <n v="90.464785714285711"/>
    <n v="27.193549007325419"/>
    <n v="117.65833472161113"/>
    <n v="0"/>
    <n v="97.378808421634233"/>
    <n v="29.271891578365768"/>
    <n v="126.6507"/>
  </r>
  <r>
    <x v="0"/>
    <x v="0"/>
    <n v="0"/>
    <n v="9"/>
    <n v="6"/>
    <n v="20260422"/>
    <n v="20260506"/>
    <n v="42.187199999999997"/>
    <n v="15"/>
    <n v="2.8124799999999999"/>
    <n v="0"/>
    <n v="25.31232"/>
    <n v="12.681395104445329"/>
    <n v="37.993715104445329"/>
    <n v="0"/>
    <n v="28.106119745553887"/>
    <n v="14.081080254446107"/>
    <n v="42.18719999999999"/>
  </r>
  <r>
    <x v="0"/>
    <x v="0"/>
    <n v="0"/>
    <n v="7"/>
    <n v="12"/>
    <n v="20260424"/>
    <n v="20260512"/>
    <n v="337.48219999999998"/>
    <n v="19"/>
    <n v="17.762221052631578"/>
    <n v="0"/>
    <n v="124.33554736842105"/>
    <n v="160.17873414276218"/>
    <n v="284.51428151118324"/>
    <n v="0"/>
    <n v="147.48305020480879"/>
    <n v="189.99914979519116"/>
    <n v="337.48219999999992"/>
  </r>
  <r>
    <x v="0"/>
    <x v="0"/>
    <n v="0"/>
    <n v="8"/>
    <n v="4"/>
    <n v="20260423"/>
    <n v="20260504"/>
    <n v="126.538"/>
    <n v="12"/>
    <n v="10.544833333333333"/>
    <n v="0"/>
    <n v="84.358666666666664"/>
    <n v="31.697575997109379"/>
    <n v="116.05624266377605"/>
    <n v="0"/>
    <n v="91.977619795875555"/>
    <n v="34.560380204124428"/>
    <n v="126.53799999999998"/>
  </r>
  <r>
    <x v="0"/>
    <x v="0"/>
    <n v="0"/>
    <n v="21"/>
    <n v="3"/>
    <n v="20260410"/>
    <n v="20260503"/>
    <n v="168.8716"/>
    <n v="24"/>
    <n v="7.036316666666667"/>
    <n v="0"/>
    <n v="147.76265000000001"/>
    <n v="15.863279335318609"/>
    <n v="163.62592933531863"/>
    <n v="0"/>
    <n v="152.49976105317631"/>
    <n v="16.371838946823686"/>
    <n v="168.8716"/>
  </r>
  <r>
    <x v="0"/>
    <x v="0"/>
    <n v="0"/>
    <n v="21"/>
    <n v="1"/>
    <n v="20260410"/>
    <n v="20260501"/>
    <n v="168.87549999999999"/>
    <n v="22"/>
    <n v="7.6761590909090902"/>
    <n v="0"/>
    <n v="161.19934090909089"/>
    <n v="5.7685984324865158"/>
    <n v="166.96793934157742"/>
    <n v="0"/>
    <n v="163.04099699045847"/>
    <n v="5.8345030095415034"/>
    <n v="168.87549999999996"/>
  </r>
  <r>
    <x v="0"/>
    <x v="0"/>
    <n v="0"/>
    <n v="20"/>
    <n v="7"/>
    <n v="20260411"/>
    <n v="20260507"/>
    <n v="168.87549999999999"/>
    <n v="27"/>
    <n v="6.2546481481481475"/>
    <n v="0"/>
    <n v="125.09296296296296"/>
    <n v="32.90237624455272"/>
    <n v="157.99533920751568"/>
    <n v="0"/>
    <n v="133.70734081658878"/>
    <n v="35.168159183411213"/>
    <n v="168.87549999999999"/>
  </r>
  <r>
    <x v="0"/>
    <x v="0"/>
    <n v="23"/>
    <n v="30"/>
    <n v="12"/>
    <n v="20260309"/>
    <n v="20260512"/>
    <n v="1180.1914999999999"/>
    <n v="65"/>
    <n v="18.156792307692307"/>
    <n v="672.88829833393117"/>
    <n v="544.70376923076924"/>
    <n v="163.7369560552963"/>
    <n v="1381.3290236199966"/>
    <n v="574.90795933759853"/>
    <n v="465.38858408940848"/>
    <n v="139.89495657299298"/>
    <n v="1180.1914999999999"/>
  </r>
  <r>
    <x v="0"/>
    <x v="0"/>
    <n v="4"/>
    <n v="30"/>
    <n v="6"/>
    <n v="20260328"/>
    <n v="20260506"/>
    <n v="210.89670000000001"/>
    <n v="40"/>
    <n v="5.2724175000000004"/>
    <n v="33.981754520238987"/>
    <n v="158.17252500000001"/>
    <n v="23.773185755309157"/>
    <n v="215.92746527554814"/>
    <n v="33.190033881901194"/>
    <n v="154.48735764391435"/>
    <n v="23.219308474184476"/>
    <n v="210.89670000000004"/>
  </r>
  <r>
    <x v="0"/>
    <x v="0"/>
    <n v="19"/>
    <n v="30"/>
    <n v="9"/>
    <n v="20260313"/>
    <n v="20260509"/>
    <n v="84.303299999999993"/>
    <n v="58"/>
    <n v="1.4535051724137931"/>
    <n v="44.498584534248273"/>
    <n v="43.605155172413795"/>
    <n v="9.8307223754840436"/>
    <n v="97.934462082146112"/>
    <n v="38.304979083047265"/>
    <n v="37.535903091632065"/>
    <n v="8.4624178253206637"/>
    <n v="84.303300000000007"/>
  </r>
  <r>
    <x v="0"/>
    <x v="0"/>
    <n v="1"/>
    <n v="30"/>
    <n v="4"/>
    <n v="20260331"/>
    <n v="20260504"/>
    <n v="253.02860000000001"/>
    <n v="35"/>
    <n v="7.2293885714285722"/>
    <n v="11.64870326400114"/>
    <n v="216.88165714285716"/>
    <n v="21.731409725662598"/>
    <n v="250.26177013252089"/>
    <n v="11.777488336092548"/>
    <n v="219.27944505258651"/>
    <n v="21.971666611320963"/>
    <n v="253.02860000000001"/>
  </r>
  <r>
    <x v="0"/>
    <x v="0"/>
    <n v="1"/>
    <n v="30"/>
    <n v="3"/>
    <n v="20260331"/>
    <n v="20260503"/>
    <n v="84.3429"/>
    <n v="34"/>
    <n v="2.4806735294117646"/>
    <n v="3.9971056408813137"/>
    <n v="74.420205882352931"/>
    <n v="5.5926444190908864"/>
    <n v="84.009955942325135"/>
    <n v="4.0129467701391812"/>
    <n v="74.715144321988348"/>
    <n v="5.6148089078724679"/>
    <n v="84.3429"/>
  </r>
  <r>
    <x v="0"/>
    <x v="0"/>
    <n v="13"/>
    <n v="30"/>
    <n v="7"/>
    <n v="20260319"/>
    <n v="20260507"/>
    <n v="253.04640000000001"/>
    <n v="50"/>
    <n v="5.0609280000000005"/>
    <n v="106.01065679206231"/>
    <n v="151.82784000000001"/>
    <n v="26.622849640533865"/>
    <n v="284.46134643259614"/>
    <n v="94.303199360069527"/>
    <n v="135.0604882300928"/>
    <n v="23.682712409837713"/>
    <n v="253.04640000000003"/>
  </r>
  <r>
    <x v="0"/>
    <x v="0"/>
    <n v="9"/>
    <n v="30"/>
    <n v="1"/>
    <n v="20260323"/>
    <n v="20260501"/>
    <n v="253.19460000000001"/>
    <n v="40"/>
    <n v="6.3298649999999999"/>
    <n v="91.793720204549075"/>
    <n v="189.89595"/>
    <n v="4.7568645834992509"/>
    <n v="286.44653478804833"/>
    <n v="81.137913875970042"/>
    <n v="167.85201865837377"/>
    <n v="4.2046674656561853"/>
    <n v="253.19459999999998"/>
  </r>
  <r>
    <x v="0"/>
    <x v="0"/>
    <n v="0"/>
    <n v="30"/>
    <n v="3"/>
    <n v="20260401"/>
    <n v="20260503"/>
    <n v="295.17230000000001"/>
    <n v="33"/>
    <n v="8.9446151515151513"/>
    <n v="0"/>
    <n v="268.33845454545451"/>
    <n v="20.165512073609726"/>
    <n v="288.50396661906422"/>
    <n v="0"/>
    <n v="274.54069257636809"/>
    <n v="20.631607423631959"/>
    <n v="295.17230000000006"/>
  </r>
  <r>
    <x v="0"/>
    <x v="0"/>
    <n v="16"/>
    <n v="30"/>
    <n v="7"/>
    <n v="20260316"/>
    <n v="20260507"/>
    <n v="210.78800000000001"/>
    <n v="53"/>
    <n v="3.9771320754716983"/>
    <n v="102.53355382668222"/>
    <n v="119.31396226415094"/>
    <n v="20.921575893952138"/>
    <n v="242.76909198478529"/>
    <n v="89.026335961141228"/>
    <n v="103.59618381450319"/>
    <n v="18.165480224355605"/>
    <n v="210.78800000000004"/>
  </r>
  <r>
    <x v="0"/>
    <x v="0"/>
    <n v="15"/>
    <n v="30"/>
    <n v="1"/>
    <n v="20260317"/>
    <n v="20260501"/>
    <n v="421.59589999999997"/>
    <n v="46"/>
    <n v="9.1651282608695652"/>
    <n v="221.5163670465501"/>
    <n v="274.95384782608699"/>
    <n v="6.8875519505326768"/>
    <n v="503.35776682316975"/>
    <n v="185.53481894028027"/>
    <n v="230.29229421511008"/>
    <n v="5.7687868446096218"/>
    <n v="421.59589999999997"/>
  </r>
  <r>
    <x v="0"/>
    <x v="0"/>
    <n v="7"/>
    <n v="30"/>
    <n v="10"/>
    <n v="20260325"/>
    <n v="20260510"/>
    <n v="379.77420000000001"/>
    <n v="47"/>
    <n v="8.080302127659575"/>
    <n v="91.138453255098199"/>
    <n v="242.40906382978724"/>
    <n v="60.723100753392814"/>
    <n v="394.27061783827827"/>
    <n v="87.78750332440309"/>
    <n v="233.49624375628164"/>
    <n v="58.490452919315253"/>
    <n v="379.77420000000001"/>
  </r>
  <r>
    <x v="0"/>
    <x v="0"/>
    <n v="31"/>
    <n v="30"/>
    <n v="3"/>
    <n v="20260227"/>
    <n v="20260503"/>
    <n v="1435.0047"/>
    <n v="64"/>
    <n v="22.421948437499999"/>
    <n v="1119.9820375437839"/>
    <n v="672.65845312499994"/>
    <n v="50.549974959366494"/>
    <n v="1843.1904656281504"/>
    <n v="871.9551873567159"/>
    <n v="523.6941378167046"/>
    <n v="39.355374826579371"/>
    <n v="1435.0047"/>
  </r>
  <r>
    <x v="0"/>
    <x v="0"/>
    <n v="31"/>
    <n v="30"/>
    <n v="5"/>
    <n v="20260228"/>
    <n v="20260505"/>
    <n v="211.0153"/>
    <n v="66"/>
    <n v="3.197201515151515"/>
    <n v="159.70103032565527"/>
    <n v="95.916045454545454"/>
    <n v="12.013411544902132"/>
    <n v="267.63048732510282"/>
    <n v="125.91749602705431"/>
    <n v="75.625737966909597"/>
    <n v="9.472066006036119"/>
    <n v="211.01530000000002"/>
  </r>
  <r>
    <x v="0"/>
    <x v="0"/>
    <n v="31"/>
    <n v="30"/>
    <n v="3"/>
    <n v="20260226"/>
    <n v="20260503"/>
    <n v="168.83199999999999"/>
    <n v="64"/>
    <n v="2.6379999999999999"/>
    <n v="131.76877215983481"/>
    <n v="79.14"/>
    <n v="5.9473347873632489"/>
    <n v="216.85610694719807"/>
    <n v="102.58777423642519"/>
    <n v="61.613964522812985"/>
    <n v="4.6302612407618229"/>
    <n v="168.83199999999999"/>
  </r>
  <r>
    <x v="0"/>
    <x v="0"/>
    <n v="0"/>
    <n v="27"/>
    <n v="4"/>
    <n v="20260404"/>
    <n v="20260504"/>
    <n v="84.354799999999997"/>
    <n v="31"/>
    <n v="2.7211225806451611"/>
    <n v="0"/>
    <n v="73.470309677419351"/>
    <n v="8.1796446725047396"/>
    <n v="81.649954349924087"/>
    <n v="0"/>
    <n v="75.904185472242531"/>
    <n v="8.4506145277574714"/>
    <n v="84.354799999999997"/>
  </r>
  <r>
    <x v="0"/>
    <x v="0"/>
    <n v="0"/>
    <n v="27"/>
    <n v="8"/>
    <n v="20260404"/>
    <n v="20260508"/>
    <n v="253.09979999999999"/>
    <n v="35"/>
    <n v="7.2314228571428565"/>
    <n v="0"/>
    <n v="195.24841714285714"/>
    <n v="43.475049502572105"/>
    <n v="238.72346664542926"/>
    <n v="0"/>
    <n v="207.00660904263844"/>
    <n v="46.093190957361543"/>
    <n v="253.09979999999999"/>
  </r>
  <r>
    <x v="0"/>
    <x v="0"/>
    <n v="22"/>
    <n v="30"/>
    <n v="12"/>
    <n v="20260310"/>
    <n v="20260512"/>
    <n v="168.57900000000001"/>
    <n v="64"/>
    <n v="2.6340468750000001"/>
    <n v="93.373189557881062"/>
    <n v="79.021406249999998"/>
    <n v="23.753690085266047"/>
    <n v="196.14828589314709"/>
    <n v="80.249281051851256"/>
    <n v="67.91468803084841"/>
    <n v="20.415030917300346"/>
    <n v="168.57900000000004"/>
  </r>
  <r>
    <x v="0"/>
    <x v="0"/>
    <n v="30"/>
    <n v="29"/>
    <n v="0"/>
    <n v="20260302"/>
    <n v="20260429"/>
    <n v="2404.8984"/>
    <n v="59"/>
    <n v="40.760989830508478"/>
    <n v="1970.3437044140044"/>
    <n v="1182.0687050847459"/>
    <n v="0"/>
    <n v="3152.4124094987501"/>
    <n v="1503.1270679932243"/>
    <n v="901.77133200677576"/>
    <n v="0"/>
    <n v="2404.8984"/>
  </r>
  <r>
    <x v="0"/>
    <x v="0"/>
    <n v="30"/>
    <n v="30"/>
    <n v="0"/>
    <n v="20260302"/>
    <n v="20260430"/>
    <n v="4134.7376000000004"/>
    <n v="60"/>
    <n v="68.912293333333338"/>
    <n v="3331.1483330180627"/>
    <n v="2067.3688000000002"/>
    <n v="0"/>
    <n v="5398.5171330180629"/>
    <n v="2551.3347321743181"/>
    <n v="1583.4028678256825"/>
    <n v="0"/>
    <n v="4134.7376000000004"/>
  </r>
  <r>
    <x v="0"/>
    <x v="0"/>
    <n v="26"/>
    <n v="30"/>
    <n v="0"/>
    <n v="20260306"/>
    <n v="20260430"/>
    <n v="1222.7424000000001"/>
    <n v="56"/>
    <n v="21.834685714285715"/>
    <n v="914.73712861344336"/>
    <n v="655.04057142857141"/>
    <n v="0"/>
    <n v="1569.7777000420147"/>
    <n v="712.51354378392205"/>
    <n v="510.2288562160781"/>
    <n v="0"/>
    <n v="1222.7424000000001"/>
  </r>
  <r>
    <x v="0"/>
    <x v="0"/>
    <n v="26"/>
    <n v="27"/>
    <n v="0"/>
    <n v="20260306"/>
    <n v="20260427"/>
    <n v="674.60059999999999"/>
    <n v="53"/>
    <n v="12.728313207547169"/>
    <n v="533.2369253177111"/>
    <n v="343.66445660377354"/>
    <n v="0"/>
    <n v="876.9013819214847"/>
    <n v="410.21938974854027"/>
    <n v="264.38121025145966"/>
    <n v="0"/>
    <n v="674.60059999999999"/>
  </r>
  <r>
    <x v="0"/>
    <x v="0"/>
    <n v="25"/>
    <n v="18"/>
    <n v="0"/>
    <n v="20260307"/>
    <n v="20260418"/>
    <n v="210.69909999999999"/>
    <n v="43"/>
    <n v="4.8999790697674417"/>
    <n v="197.38322826192416"/>
    <n v="88.199623255813947"/>
    <n v="0"/>
    <n v="285.58285151773811"/>
    <n v="145.62663104195121"/>
    <n v="65.072468958048773"/>
    <n v="0"/>
    <n v="210.69909999999999"/>
  </r>
  <r>
    <x v="0"/>
    <x v="0"/>
    <n v="29"/>
    <n v="16"/>
    <n v="0"/>
    <n v="20260303"/>
    <n v="20260416"/>
    <n v="590.45540000000005"/>
    <n v="45"/>
    <n v="13.121231111111113"/>
    <n v="613.12439616228755"/>
    <n v="209.93969777777781"/>
    <n v="0"/>
    <n v="823.06409394006539"/>
    <n v="439.84741073168976"/>
    <n v="150.60798926831032"/>
    <n v="0"/>
    <n v="590.45540000000005"/>
  </r>
  <r>
    <x v="0"/>
    <x v="0"/>
    <n v="28"/>
    <n v="16"/>
    <n v="0"/>
    <n v="20260304"/>
    <n v="20260416"/>
    <n v="801.18209999999999"/>
    <n v="44"/>
    <n v="18.208684090909092"/>
    <n v="821.50953151888586"/>
    <n v="291.33894545454547"/>
    <n v="0"/>
    <n v="1112.8484769734314"/>
    <n v="591.43607171242127"/>
    <n v="209.74602828757867"/>
    <n v="0"/>
    <n v="801.18209999999999"/>
  </r>
  <r>
    <x v="0"/>
    <x v="0"/>
    <n v="30"/>
    <n v="15"/>
    <n v="0"/>
    <n v="20260302"/>
    <n v="20260415"/>
    <n v="2699.7307999999998"/>
    <n v="45"/>
    <n v="59.994017777777771"/>
    <n v="2900.0482010490882"/>
    <n v="899.91026666666653"/>
    <n v="0"/>
    <n v="3799.9584677157545"/>
    <n v="2060.3776373806586"/>
    <n v="639.35316261934111"/>
    <n v="0"/>
    <n v="2699.7307999999998"/>
  </r>
  <r>
    <x v="0"/>
    <x v="0"/>
    <n v="27"/>
    <n v="16"/>
    <n v="0"/>
    <n v="20260305"/>
    <n v="20260416"/>
    <n v="505.91489999999999"/>
    <n v="43"/>
    <n v="11.765462790697674"/>
    <n v="511.85717206591391"/>
    <n v="188.24740465116278"/>
    <n v="0"/>
    <n v="700.10457671707672"/>
    <n v="369.88212708779065"/>
    <n v="136.03277291220937"/>
    <n v="0"/>
    <n v="505.91489999999999"/>
  </r>
  <r>
    <x v="0"/>
    <x v="0"/>
    <n v="30"/>
    <n v="8"/>
    <n v="0"/>
    <n v="20260302"/>
    <n v="20260408"/>
    <n v="1602.9653000000001"/>
    <n v="38"/>
    <n v="42.183297368421051"/>
    <n v="2039.0965662733372"/>
    <n v="337.46637894736841"/>
    <n v="0"/>
    <n v="2376.5629452207058"/>
    <n v="1375.3479770685235"/>
    <n v="227.61732293147642"/>
    <n v="0"/>
    <n v="1602.9652999999998"/>
  </r>
  <r>
    <x v="0"/>
    <x v="0"/>
    <n v="29"/>
    <n v="10"/>
    <n v="0"/>
    <n v="20260303"/>
    <n v="20260410"/>
    <n v="210.8621"/>
    <n v="39"/>
    <n v="5.4067205128205131"/>
    <n v="252.64338548493228"/>
    <n v="54.067205128205131"/>
    <n v="0"/>
    <n v="306.71059061313741"/>
    <n v="173.69114874046505"/>
    <n v="37.170951259534931"/>
    <n v="0"/>
    <n v="210.8621"/>
  </r>
  <r>
    <x v="0"/>
    <x v="0"/>
    <n v="24"/>
    <n v="9"/>
    <n v="0"/>
    <n v="20260308"/>
    <n v="20260409"/>
    <n v="379.07150000000001"/>
    <n v="33"/>
    <n v="11.487015151515152"/>
    <n v="444.21625834720447"/>
    <n v="103.38313636363637"/>
    <n v="0"/>
    <n v="547.5993947108409"/>
    <n v="307.50531319520593"/>
    <n v="71.566186804794029"/>
    <n v="0"/>
    <n v="379.07149999999996"/>
  </r>
  <r>
    <x v="0"/>
    <x v="0"/>
    <n v="26"/>
    <n v="3"/>
    <n v="0"/>
    <n v="20260306"/>
    <n v="20260403"/>
    <n v="84.313199999999995"/>
    <n v="29"/>
    <n v="2.9073517241379307"/>
    <n v="121.79990144155252"/>
    <n v="8.7220551724137927"/>
    <n v="0"/>
    <n v="130.52195661396632"/>
    <n v="78.679018585314779"/>
    <n v="5.6341814146852114"/>
    <n v="0"/>
    <n v="84.313199999999995"/>
  </r>
  <r>
    <x v="0"/>
    <x v="0"/>
    <n v="28"/>
    <n v="1"/>
    <n v="0"/>
    <n v="20260304"/>
    <n v="20260401"/>
    <n v="42.187199999999997"/>
    <n v="29"/>
    <n v="1.4547310344827584"/>
    <n v="65.632167852292582"/>
    <n v="1.4547310344827584"/>
    <n v="0"/>
    <n v="67.086898886775344"/>
    <n v="41.272400983853657"/>
    <n v="0.91479901614633929"/>
    <n v="0"/>
    <n v="42.187199999999997"/>
  </r>
  <r>
    <x v="0"/>
    <x v="0"/>
    <n v="28"/>
    <n v="30"/>
    <n v="2"/>
    <n v="20260304"/>
    <n v="20260502"/>
    <n v="178372.25510000001"/>
    <n v="60"/>
    <n v="2972.8709183333335"/>
    <n v="134125.11212743021"/>
    <n v="89186.127550000005"/>
    <n v="4468.1977839131578"/>
    <n v="227779.43746134336"/>
    <n v="105032.30222337467"/>
    <n v="69840.94294038089"/>
    <n v="3499.009936244453"/>
    <n v="178372.25510000001"/>
  </r>
  <r>
    <x v="0"/>
    <x v="0"/>
    <n v="29"/>
    <n v="7"/>
    <n v="0"/>
    <n v="20260303"/>
    <n v="20260407"/>
    <n v="463.91840000000002"/>
    <n v="36"/>
    <n v="12.886622222222222"/>
    <n v="602.16167230533949"/>
    <n v="90.206355555555547"/>
    <n v="0"/>
    <n v="692.36802786089504"/>
    <n v="403.475995880825"/>
    <n v="60.442404119175009"/>
    <n v="0"/>
    <n v="463.91840000000002"/>
  </r>
  <r>
    <x v="0"/>
    <x v="0"/>
    <n v="26"/>
    <n v="6"/>
    <n v="0"/>
    <n v="20260306"/>
    <n v="20260406"/>
    <n v="168.57509999999999"/>
    <n v="32"/>
    <n v="5.2679718749999997"/>
    <n v="220.69516042546419"/>
    <n v="31.607831249999997"/>
    <n v="0"/>
    <n v="252.3029916754642"/>
    <n v="147.45647085347909"/>
    <n v="21.118629146520885"/>
    <n v="0"/>
    <n v="168.57509999999996"/>
  </r>
  <r>
    <x v="0"/>
    <x v="0"/>
    <n v="22"/>
    <n v="1"/>
    <n v="0"/>
    <n v="20260310"/>
    <n v="20260401"/>
    <n v="294.7919"/>
    <n v="23"/>
    <n v="12.817039130434782"/>
    <n v="454.34568217274642"/>
    <n v="12.817039130434782"/>
    <n v="0"/>
    <n v="467.16272130318123"/>
    <n v="286.70401296334768"/>
    <n v="8.0878870366523152"/>
    <n v="0"/>
    <n v="294.7919"/>
  </r>
  <r>
    <x v="0"/>
    <x v="0"/>
    <n v="26"/>
    <n v="30"/>
    <n v="4"/>
    <n v="20260306"/>
    <n v="20260504"/>
    <n v="337948.6127"/>
    <n v="60"/>
    <n v="5632.4768783333329"/>
    <n v="235965.64631554583"/>
    <n v="168974.30635"/>
    <n v="16931.122404615107"/>
    <n v="421871.07507016096"/>
    <n v="189025.19639189623"/>
    <n v="135360.38801292618"/>
    <n v="13563.028295177546"/>
    <n v="337948.6127"/>
  </r>
  <r>
    <x v="0"/>
    <x v="0"/>
    <n v="27"/>
    <n v="30"/>
    <n v="5"/>
    <n v="20260305"/>
    <n v="20260505"/>
    <n v="163755.51759999999"/>
    <n v="62"/>
    <n v="2641.2180258064514"/>
    <n v="114906.3503534857"/>
    <n v="79236.540774193534"/>
    <n v="9924.3163039484407"/>
    <n v="204067.20743162767"/>
    <n v="92207.607064777621"/>
    <n v="63584.056010855915"/>
    <n v="7963.8545243664548"/>
    <n v="163755.51759999996"/>
  </r>
  <r>
    <x v="0"/>
    <x v="0"/>
    <n v="25"/>
    <n v="30"/>
    <n v="5"/>
    <n v="20260307"/>
    <n v="20260505"/>
    <n v="134560.74969999999"/>
    <n v="60"/>
    <n v="2242.6791616666665"/>
    <n v="90340.641578806128"/>
    <n v="67280.374849999993"/>
    <n v="8426.8156400523221"/>
    <n v="166047.83206885844"/>
    <n v="73209.654758889228"/>
    <n v="54522.227523926405"/>
    <n v="6828.8674171843486"/>
    <n v="134560.74969999999"/>
  </r>
  <r>
    <x v="0"/>
    <x v="0"/>
    <n v="27"/>
    <n v="30"/>
    <n v="6"/>
    <n v="20260305"/>
    <n v="20260506"/>
    <n v="103701.9862"/>
    <n v="63"/>
    <n v="1646.0632730158729"/>
    <n v="71612.082495694616"/>
    <n v="49381.898190476189"/>
    <n v="7422.0541059956868"/>
    <n v="128416.03479216649"/>
    <n v="57830.123806118303"/>
    <n v="39878.204719267291"/>
    <n v="5993.6576746143965"/>
    <n v="103701.98619999998"/>
  </r>
  <r>
    <x v="0"/>
    <x v="0"/>
    <n v="24"/>
    <n v="30"/>
    <n v="7"/>
    <n v="20260308"/>
    <n v="20260507"/>
    <n v="50372.428699999997"/>
    <n v="61"/>
    <n v="825.77751967213112"/>
    <n v="31933.778721237657"/>
    <n v="24773.325590163935"/>
    <n v="4343.976192264372"/>
    <n v="61051.080503665966"/>
    <n v="26348.133046728461"/>
    <n v="20440.139087751042"/>
    <n v="3584.1565655204936"/>
    <n v="50372.428699999989"/>
  </r>
  <r>
    <x v="0"/>
    <x v="0"/>
    <n v="30"/>
    <n v="30"/>
    <n v="9"/>
    <n v="20260302"/>
    <n v="20260509"/>
    <n v="69240.623200000002"/>
    <n v="69"/>
    <n v="1003.4872927536233"/>
    <n v="48507.52834899666"/>
    <n v="30104.618782608697"/>
    <n v="6787.0449790037064"/>
    <n v="85399.192110609074"/>
    <n v="39329.312254219185"/>
    <n v="24408.457670260566"/>
    <n v="5502.8532755202423"/>
    <n v="69240.623200000002"/>
  </r>
  <r>
    <x v="0"/>
    <x v="0"/>
    <n v="28"/>
    <n v="30"/>
    <n v="7"/>
    <n v="20260304"/>
    <n v="20260507"/>
    <n v="97813.889299999995"/>
    <n v="65"/>
    <n v="1504.829066153846"/>
    <n v="67892.40864304149"/>
    <n v="45144.871984615384"/>
    <n v="7916.1051022497904"/>
    <n v="120953.38572990666"/>
    <n v="54903.965715767721"/>
    <n v="36508.242279604085"/>
    <n v="6401.681304628195"/>
    <n v="97813.889299999995"/>
  </r>
  <r>
    <x v="0"/>
    <x v="0"/>
    <n v="26"/>
    <n v="30"/>
    <n v="7"/>
    <n v="20260306"/>
    <n v="20260507"/>
    <n v="53129.783499999998"/>
    <n v="63"/>
    <n v="843.32989682539676"/>
    <n v="35330.262060571673"/>
    <n v="25299.896904761903"/>
    <n v="4436.3099100697491"/>
    <n v="65066.468875403327"/>
    <n v="28848.794267150115"/>
    <n v="20658.536852465513"/>
    <n v="3622.452380384369"/>
    <n v="53129.783499999998"/>
  </r>
  <r>
    <x v="0"/>
    <x v="0"/>
    <n v="30"/>
    <n v="30"/>
    <n v="10"/>
    <n v="20260302"/>
    <n v="20260510"/>
    <n v="14598.839"/>
    <n v="70"/>
    <n v="208.55484285714286"/>
    <n v="10081.32342608269"/>
    <n v="6256.6452857142858"/>
    <n v="1567.2801010833482"/>
    <n v="17905.248812880323"/>
    <n v="8219.6912839567649"/>
    <n v="5101.283883893625"/>
    <n v="1277.8638321496112"/>
    <n v="14598.839"/>
  </r>
  <r>
    <x v="0"/>
    <x v="0"/>
    <n v="23"/>
    <n v="30"/>
    <n v="5"/>
    <n v="20260309"/>
    <n v="20260505"/>
    <n v="21578.1142"/>
    <n v="58"/>
    <n v="372.03645172413792"/>
    <n v="13787.621220560542"/>
    <n v="11161.093551724138"/>
    <n v="1397.9184555889269"/>
    <n v="26346.633227873604"/>
    <n v="11292.177739387402"/>
    <n v="9141.0294883975384"/>
    <n v="1144.9069722150612"/>
    <n v="21578.1142"/>
  </r>
  <r>
    <x v="0"/>
    <x v="0"/>
    <n v="23"/>
    <n v="3"/>
    <n v="0"/>
    <n v="20260309"/>
    <n v="20260403"/>
    <n v="126.35720000000001"/>
    <n v="26"/>
    <n v="4.8598923076923075"/>
    <n v="180.10695995149985"/>
    <n v="14.579676923076923"/>
    <n v="0"/>
    <n v="194.68663687457678"/>
    <n v="116.89457235138819"/>
    <n v="9.4626276486117984"/>
    <n v="0"/>
    <n v="126.35719999999999"/>
  </r>
  <r>
    <x v="0"/>
    <x v="0"/>
    <n v="24"/>
    <n v="30"/>
    <n v="9"/>
    <n v="20260308"/>
    <n v="20260509"/>
    <n v="27907.022400000002"/>
    <n v="63"/>
    <n v="442.96860952380956"/>
    <n v="17130.112191240194"/>
    <n v="13289.058285714287"/>
    <n v="2995.9999482155572"/>
    <n v="33415.170425170036"/>
    <n v="14306.388941094876"/>
    <n v="11098.493365007193"/>
    <n v="2502.1400938979336"/>
    <n v="27907.022400000002"/>
  </r>
  <r>
    <x v="0"/>
    <x v="0"/>
    <n v="25"/>
    <n v="30"/>
    <n v="2"/>
    <n v="20260307"/>
    <n v="20260502"/>
    <n v="15344.287200000001"/>
    <n v="57"/>
    <n v="269.19802105263159"/>
    <n v="10843.959470139471"/>
    <n v="8075.9406315789474"/>
    <n v="404.60216206612591"/>
    <n v="19324.502263784547"/>
    <n v="8610.4586924762116"/>
    <n v="6412.5611500654568"/>
    <n v="321.26735745833025"/>
    <n v="15344.287199999997"/>
  </r>
  <r>
    <x v="0"/>
    <x v="0"/>
    <n v="24"/>
    <n v="30"/>
    <n v="13"/>
    <n v="20260308"/>
    <n v="20260513"/>
    <n v="421.53649999999999"/>
    <n v="67"/>
    <n v="6.2915895522388059"/>
    <n v="243.30309772275743"/>
    <n v="188.74768656716418"/>
    <n v="61.465309875402234"/>
    <n v="493.51609416532381"/>
    <n v="207.81720690724222"/>
    <n v="161.21873251810527"/>
    <n v="52.500560574652503"/>
    <n v="421.53649999999999"/>
  </r>
  <r>
    <x v="0"/>
    <x v="0"/>
    <n v="26"/>
    <n v="30"/>
    <n v="12"/>
    <n v="20260306"/>
    <n v="20260512"/>
    <n v="337.34780000000001"/>
    <n v="68"/>
    <n v="4.9609970588235299"/>
    <n v="207.834830509097"/>
    <n v="148.82991176470591"/>
    <n v="44.737999071945325"/>
    <n v="401.40274134574827"/>
    <n v="174.66901845402509"/>
    <n v="125.07997115239299"/>
    <n v="37.598810393581921"/>
    <n v="337.34780000000001"/>
  </r>
  <r>
    <x v="0"/>
    <x v="0"/>
    <n v="29"/>
    <n v="30"/>
    <n v="9"/>
    <n v="20260303"/>
    <n v="20260509"/>
    <n v="5568.8468999999996"/>
    <n v="68"/>
    <n v="81.894807352941172"/>
    <n v="3826.7525266420653"/>
    <n v="2456.8442205882352"/>
    <n v="553.89215694604843"/>
    <n v="6837.4889041763481"/>
    <n v="3116.7288523190564"/>
    <n v="2000.9962009954929"/>
    <n v="451.12184668545098"/>
    <n v="5568.8468999999996"/>
  </r>
  <r>
    <x v="0"/>
    <x v="0"/>
    <n v="24"/>
    <n v="30"/>
    <n v="10"/>
    <n v="20260308"/>
    <n v="20260510"/>
    <n v="13068.2433"/>
    <n v="64"/>
    <n v="204.1913015625"/>
    <n v="7896.3155154518381"/>
    <n v="6125.739046875"/>
    <n v="1534.4882879196816"/>
    <n v="15556.542850246518"/>
    <n v="6633.2843564824761"/>
    <n v="5145.9150678586684"/>
    <n v="1289.0438756588567"/>
    <n v="13068.243300000002"/>
  </r>
  <r>
    <x v="0"/>
    <x v="0"/>
    <n v="22"/>
    <n v="30"/>
    <n v="11"/>
    <n v="20260310"/>
    <n v="20260511"/>
    <n v="14497.795400000001"/>
    <n v="63"/>
    <n v="230.12373650793651"/>
    <n v="8157.5569040408327"/>
    <n v="6903.7120952380956"/>
    <n v="1902.3062849189178"/>
    <n v="16963.575284197846"/>
    <n v="6971.7962739146642"/>
    <n v="5900.2069894135593"/>
    <n v="1625.7921366717778"/>
    <n v="14497.795400000003"/>
  </r>
  <r>
    <x v="0"/>
    <x v="0"/>
    <n v="23"/>
    <n v="30"/>
    <n v="9"/>
    <n v="20260309"/>
    <n v="20260509"/>
    <n v="22634.916499999999"/>
    <n v="62"/>
    <n v="365.07929838709674"/>
    <n v="13529.790046921657"/>
    <n v="10952.378951612902"/>
    <n v="2469.1987999739367"/>
    <n v="26951.367798508494"/>
    <n v="11362.898917195238"/>
    <n v="9198.2783545343791"/>
    <n v="2073.7392282703831"/>
    <n v="22634.916500000003"/>
  </r>
  <r>
    <x v="0"/>
    <x v="0"/>
    <n v="24"/>
    <n v="30"/>
    <n v="3"/>
    <n v="20260308"/>
    <n v="20260503"/>
    <n v="9778.9583999999995"/>
    <n v="57"/>
    <n v="171.56067368421051"/>
    <n v="6634.45112053095"/>
    <n v="5146.8202105263153"/>
    <n v="386.78118375495825"/>
    <n v="12168.052514812223"/>
    <n v="5331.8328003211072"/>
    <n v="4136.2856274451879"/>
    <n v="310.83997223370471"/>
    <n v="9778.9583999999995"/>
  </r>
  <r>
    <x v="0"/>
    <x v="0"/>
    <n v="23"/>
    <n v="30"/>
    <n v="14"/>
    <n v="20260309"/>
    <n v="20260514"/>
    <n v="42.146700000000003"/>
    <n v="67"/>
    <n v="0.62905522388059709"/>
    <n v="23.312702595367391"/>
    <n v="18.871656716417913"/>
    <n v="6.6182497126872795"/>
    <n v="48.802609024472581"/>
    <n v="20.133216279143173"/>
    <n v="16.297859274921148"/>
    <n v="5.7156244459356857"/>
    <n v="42.14670000000001"/>
  </r>
  <r>
    <x v="0"/>
    <x v="0"/>
    <n v="22"/>
    <n v="30"/>
    <n v="3"/>
    <n v="20260310"/>
    <n v="20260503"/>
    <n v="2064.8024999999998"/>
    <n v="55"/>
    <n v="37.54186363636363"/>
    <n v="1330.8053030279891"/>
    <n v="1126.255909090909"/>
    <n v="84.637616219481728"/>
    <n v="2541.6988283383794"/>
    <n v="1081.107677301736"/>
    <n v="914.93767507103144"/>
    <n v="68.757147627232726"/>
    <n v="2064.8025000000002"/>
  </r>
  <r>
    <x v="0"/>
    <x v="0"/>
    <n v="0"/>
    <n v="9"/>
    <n v="4"/>
    <n v="20260422"/>
    <n v="20260504"/>
    <n v="84.386399999999995"/>
    <n v="13"/>
    <n v="6.4912615384615382"/>
    <n v="0"/>
    <n v="58.421353846153842"/>
    <n v="19.512613374559209"/>
    <n v="77.933967220713043"/>
    <n v="0"/>
    <n v="63.258267351399567"/>
    <n v="21.128132648600431"/>
    <n v="84.386399999999995"/>
  </r>
  <r>
    <x v="0"/>
    <x v="0"/>
    <n v="0"/>
    <n v="7"/>
    <n v="1"/>
    <n v="20260424"/>
    <n v="20260501"/>
    <n v="126.4935"/>
    <n v="8"/>
    <n v="15.8116875"/>
    <n v="0"/>
    <n v="110.68181249999999"/>
    <n v="11.882410805618733"/>
    <n v="122.56422330561873"/>
    <n v="0"/>
    <n v="114.23015193069739"/>
    <n v="12.263348069302607"/>
    <n v="126.4935"/>
  </r>
  <r>
    <x v="0"/>
    <x v="0"/>
    <n v="0"/>
    <n v="7"/>
    <n v="4"/>
    <n v="20260424"/>
    <n v="20260504"/>
    <n v="84.338899999999995"/>
    <n v="11"/>
    <n v="7.6671727272727273"/>
    <n v="0"/>
    <n v="53.67020909090909"/>
    <n v="23.047380885333258"/>
    <n v="76.717589976242351"/>
    <n v="0"/>
    <n v="59.001936829598272"/>
    <n v="25.336963170401727"/>
    <n v="84.338899999999995"/>
  </r>
  <r>
    <x v="0"/>
    <x v="0"/>
    <n v="0"/>
    <n v="22"/>
    <n v="6"/>
    <n v="20260409"/>
    <n v="20260506"/>
    <n v="42.207000000000001"/>
    <n v="28"/>
    <n v="1.5073928571428572"/>
    <n v="0"/>
    <n v="33.162642857142856"/>
    <n v="6.7967930079670928"/>
    <n v="39.959435865109953"/>
    <n v="0"/>
    <n v="35.027913602092518"/>
    <n v="7.1790863979074784"/>
    <n v="42.206999999999994"/>
  </r>
  <r>
    <x v="0"/>
    <x v="0"/>
    <n v="0"/>
    <n v="22"/>
    <n v="5"/>
    <n v="20260409"/>
    <n v="20260505"/>
    <n v="295.46289999999999"/>
    <n v="27"/>
    <n v="10.94307037037037"/>
    <n v="0"/>
    <n v="240.74754814814813"/>
    <n v="41.118336551849723"/>
    <n v="281.86588469999788"/>
    <n v="0"/>
    <n v="252.36104333608986"/>
    <n v="43.101856663910098"/>
    <n v="295.46289999999999"/>
  </r>
  <r>
    <x v="0"/>
    <x v="0"/>
    <n v="0"/>
    <n v="22"/>
    <n v="1"/>
    <n v="20260409"/>
    <n v="20260501"/>
    <n v="42.212899999999998"/>
    <n v="23"/>
    <n v="1.8353434782608695"/>
    <n v="0"/>
    <n v="40.37755652173913"/>
    <n v="1.3792522258050461"/>
    <n v="41.756808747544177"/>
    <n v="0"/>
    <n v="40.818582808887776"/>
    <n v="1.3943171911122165"/>
    <n v="42.212899999999991"/>
  </r>
  <r>
    <x v="0"/>
    <x v="0"/>
    <n v="13"/>
    <n v="30"/>
    <n v="6"/>
    <n v="20260319"/>
    <n v="20260506"/>
    <n v="84.344800000000006"/>
    <n v="49"/>
    <n v="1.721322448979592"/>
    <n v="36.056336578439307"/>
    <n v="51.639673469387759"/>
    <n v="7.7613956642044197"/>
    <n v="95.457405712031473"/>
    <n v="31.858863906436952"/>
    <n v="45.628077762560068"/>
    <n v="6.8578583310030066"/>
    <n v="84.344800000000021"/>
  </r>
  <r>
    <x v="0"/>
    <x v="0"/>
    <n v="7"/>
    <n v="30"/>
    <n v="5"/>
    <n v="20260325"/>
    <n v="20260505"/>
    <n v="42.193199999999997"/>
    <n v="42"/>
    <n v="1.0045999999999999"/>
    <n v="11.330973606378125"/>
    <n v="30.137999999999998"/>
    <n v="3.7747615159117514"/>
    <n v="45.24373512228987"/>
    <n v="10.566988651056279"/>
    <n v="28.105961149381802"/>
    <n v="3.5202501995619229"/>
    <n v="42.193200000000004"/>
  </r>
  <r>
    <x v="0"/>
    <x v="0"/>
    <n v="4"/>
    <n v="30"/>
    <n v="3"/>
    <n v="20260328"/>
    <n v="20260503"/>
    <n v="759.24590000000001"/>
    <n v="37"/>
    <n v="20.52015945945946"/>
    <n v="132.25641206666793"/>
    <n v="615.60478378378377"/>
    <n v="46.262417814815883"/>
    <n v="794.12361366526761"/>
    <n v="126.44774299918288"/>
    <n v="588.56757319048438"/>
    <n v="44.230583810332746"/>
    <n v="759.24590000000001"/>
  </r>
  <r>
    <x v="0"/>
    <x v="0"/>
    <n v="9"/>
    <n v="30"/>
    <n v="5"/>
    <n v="20260323"/>
    <n v="20260505"/>
    <n v="506.3655"/>
    <n v="44"/>
    <n v="11.508306818181818"/>
    <n v="166.88986196329407"/>
    <n v="345.24920454545457"/>
    <n v="43.242199572543846"/>
    <n v="555.38126608129255"/>
    <n v="152.16081916887137"/>
    <n v="314.77886770972248"/>
    <n v="39.425813121406087"/>
    <n v="506.36549999999994"/>
  </r>
  <r>
    <x v="0"/>
    <x v="0"/>
    <n v="12"/>
    <n v="30"/>
    <n v="4"/>
    <n v="20260320"/>
    <n v="20260504"/>
    <n v="84.364599999999996"/>
    <n v="46"/>
    <n v="1.8340130434782609"/>
    <n v="35.461710513475829"/>
    <n v="55.020391304347825"/>
    <n v="5.5130096406147127"/>
    <n v="95.995111458438373"/>
    <n v="31.165264327865923"/>
    <n v="48.354267563348415"/>
    <n v="4.8450681087856529"/>
    <n v="84.364599999999996"/>
  </r>
  <r>
    <x v="0"/>
    <x v="0"/>
    <n v="31"/>
    <n v="30"/>
    <n v="1"/>
    <n v="20260228"/>
    <n v="20260501"/>
    <n v="2067.9499000000001"/>
    <n v="62"/>
    <n v="33.354030645161295"/>
    <n v="1666.0423293003814"/>
    <n v="1000.6209193548389"/>
    <n v="25.065401409495532"/>
    <n v="2691.728650064716"/>
    <n v="1279.9551946626036"/>
    <n v="768.73793726124563"/>
    <n v="19.256768076150589"/>
    <n v="2067.9498999999996"/>
  </r>
  <r>
    <x v="0"/>
    <x v="0"/>
    <n v="0"/>
    <n v="25"/>
    <n v="2"/>
    <n v="20260406"/>
    <n v="20260502"/>
    <n v="253.1472"/>
    <n v="27"/>
    <n v="9.3758222222222223"/>
    <n v="0"/>
    <n v="234.39555555555555"/>
    <n v="14.091774996804556"/>
    <n v="248.48733055236011"/>
    <n v="0"/>
    <n v="238.79116271012538"/>
    <n v="14.356037289874619"/>
    <n v="253.1472"/>
  </r>
  <r>
    <x v="0"/>
    <x v="0"/>
    <n v="30"/>
    <n v="24"/>
    <n v="0"/>
    <n v="20260302"/>
    <n v="20260424"/>
    <n v="2447.2042000000001"/>
    <n v="54"/>
    <n v="45.318596296296299"/>
    <n v="2190.6536440009054"/>
    <n v="1087.6463111111111"/>
    <n v="0"/>
    <n v="3278.2999551120165"/>
    <n v="1635.2917279532894"/>
    <n v="811.9124720467106"/>
    <n v="0"/>
    <n v="2447.2042000000001"/>
  </r>
  <r>
    <x v="0"/>
    <x v="0"/>
    <n v="29"/>
    <n v="29"/>
    <n v="0"/>
    <n v="20260303"/>
    <n v="20260429"/>
    <n v="253.11160000000001"/>
    <n v="58"/>
    <n v="4.3639931034482764"/>
    <n v="203.91917600950896"/>
    <n v="126.55580000000002"/>
    <n v="0"/>
    <n v="330.47497600950896"/>
    <n v="156.18220033992316"/>
    <n v="96.929399660076854"/>
    <n v="0"/>
    <n v="253.11160000000001"/>
  </r>
  <r>
    <x v="0"/>
    <x v="0"/>
    <n v="25"/>
    <n v="28"/>
    <n v="0"/>
    <n v="20260307"/>
    <n v="20260428"/>
    <n v="84.305300000000003"/>
    <n v="53"/>
    <n v="1.590666037735849"/>
    <n v="64.075946681504291"/>
    <n v="44.538649056603774"/>
    <n v="0"/>
    <n v="108.61459573810806"/>
    <n v="49.73495386194142"/>
    <n v="34.570346138058582"/>
    <n v="0"/>
    <n v="84.305300000000003"/>
  </r>
  <r>
    <x v="0"/>
    <x v="0"/>
    <n v="28"/>
    <n v="15"/>
    <n v="0"/>
    <n v="20260304"/>
    <n v="20260415"/>
    <n v="1054.1871000000001"/>
    <n v="43"/>
    <n v="24.515979069767443"/>
    <n v="1106.0717171971071"/>
    <n v="367.73968604651162"/>
    <n v="0"/>
    <n v="1473.8114032436188"/>
    <n v="791.15043714402543"/>
    <n v="263.03666285597461"/>
    <n v="0"/>
    <n v="1054.1871000000001"/>
  </r>
  <r>
    <x v="0"/>
    <x v="0"/>
    <n v="28"/>
    <n v="22"/>
    <n v="0"/>
    <n v="20260304"/>
    <n v="20260422"/>
    <n v="295.24849999999998"/>
    <n v="50"/>
    <n v="5.9049699999999996"/>
    <n v="266.41074742765136"/>
    <n v="129.90933999999999"/>
    <n v="0"/>
    <n v="396.32008742765134"/>
    <n v="198.46930816054564"/>
    <n v="96.77919183945437"/>
    <n v="0"/>
    <n v="295.24850000000004"/>
  </r>
  <r>
    <x v="0"/>
    <x v="0"/>
    <n v="27"/>
    <n v="20"/>
    <n v="0"/>
    <n v="20260305"/>
    <n v="20260420"/>
    <n v="42.167499999999997"/>
    <n v="47"/>
    <n v="0.89718085106382972"/>
    <n v="39.031907322872954"/>
    <n v="17.943617021276594"/>
    <n v="0"/>
    <n v="56.975524344149548"/>
    <n v="28.88745599067488"/>
    <n v="13.28004400932512"/>
    <n v="0"/>
    <n v="42.167500000000004"/>
  </r>
  <r>
    <x v="0"/>
    <x v="0"/>
    <n v="29"/>
    <n v="11"/>
    <n v="0"/>
    <n v="20260303"/>
    <n v="20260411"/>
    <n v="463.89670000000001"/>
    <n v="40"/>
    <n v="11.597417500000001"/>
    <n v="541.92015532049516"/>
    <n v="127.57159250000001"/>
    <n v="0"/>
    <n v="669.49174782049522"/>
    <n v="375.50122542222795"/>
    <n v="88.395474577772049"/>
    <n v="0"/>
    <n v="463.89670000000001"/>
  </r>
  <r>
    <x v="0"/>
    <x v="0"/>
    <n v="29"/>
    <n v="13"/>
    <n v="0"/>
    <n v="20260303"/>
    <n v="20260413"/>
    <n v="674.79039999999998"/>
    <n v="42"/>
    <n v="16.066438095238095"/>
    <n v="750.74702001704668"/>
    <n v="208.86369523809523"/>
    <n v="0"/>
    <n v="959.61071525514194"/>
    <n v="527.91915917843471"/>
    <n v="146.87124082156518"/>
    <n v="0"/>
    <n v="674.79039999999986"/>
  </r>
  <r>
    <x v="0"/>
    <x v="0"/>
    <n v="24"/>
    <n v="3"/>
    <n v="0"/>
    <n v="20260308"/>
    <n v="20260403"/>
    <n v="126.39279999999999"/>
    <n v="27"/>
    <n v="4.6812148148148145"/>
    <n v="181.02803053082536"/>
    <n v="14.043644444444443"/>
    <n v="0"/>
    <n v="195.07167497526981"/>
    <n v="117.29350076159029"/>
    <n v="9.0992992384097011"/>
    <n v="0"/>
    <n v="126.39279999999999"/>
  </r>
  <r>
    <x v="0"/>
    <x v="0"/>
    <n v="29"/>
    <n v="8"/>
    <n v="0"/>
    <n v="20260303"/>
    <n v="20260408"/>
    <n v="674.79039999999998"/>
    <n v="37"/>
    <n v="18.237578378378377"/>
    <n v="852.19932001935024"/>
    <n v="145.90062702702701"/>
    <n v="0"/>
    <n v="998.09994704637722"/>
    <n v="576.15063675468275"/>
    <n v="98.639763245317283"/>
    <n v="0"/>
    <n v="674.79040000000009"/>
  </r>
  <r>
    <x v="0"/>
    <x v="0"/>
    <n v="29"/>
    <n v="30"/>
    <n v="6"/>
    <n v="20260303"/>
    <n v="20260506"/>
    <n v="331441.90179999999"/>
    <n v="65"/>
    <n v="5099.106181538461"/>
    <n v="238269.28830448844"/>
    <n v="152973.18544615383"/>
    <n v="22991.729778561545"/>
    <n v="414234.20352920383"/>
    <n v="190646.80169657822"/>
    <n v="122398.6891393984"/>
    <n v="18396.410964023366"/>
    <n v="331441.90179999999"/>
  </r>
  <r>
    <x v="0"/>
    <x v="0"/>
    <n v="28"/>
    <n v="30"/>
    <n v="5"/>
    <n v="20260304"/>
    <n v="20260505"/>
    <n v="183686.73050000001"/>
    <n v="63"/>
    <n v="2915.6623888888889"/>
    <n v="131544.07156523748"/>
    <n v="87469.871666666673"/>
    <n v="10955.534719260504"/>
    <n v="229969.47795116465"/>
    <n v="105070.03206576667"/>
    <n v="69866.03129619018"/>
    <n v="8750.6671380431599"/>
    <n v="183686.73050000001"/>
  </r>
  <r>
    <x v="0"/>
    <x v="0"/>
    <n v="29"/>
    <n v="30"/>
    <n v="1"/>
    <n v="20260303"/>
    <n v="20260501"/>
    <n v="1087704.9842999999"/>
    <n v="60"/>
    <n v="18128.416405"/>
    <n v="847098.4366918077"/>
    <n v="543852.49214999995"/>
    <n v="13623.421976909669"/>
    <n v="1404574.3508187174"/>
    <n v="655994.60167084995"/>
    <n v="421160.37936384091"/>
    <n v="10550.003265309047"/>
    <n v="1087704.9843000001"/>
  </r>
  <r>
    <x v="0"/>
    <x v="0"/>
    <n v="24"/>
    <n v="30"/>
    <n v="5"/>
    <n v="20260308"/>
    <n v="20260505"/>
    <n v="39453.038500000002"/>
    <n v="59"/>
    <n v="668.69556779661025"/>
    <n v="25859.236640842155"/>
    <n v="20060.867033898307"/>
    <n v="2512.6082970131415"/>
    <n v="48432.711971753597"/>
    <n v="21064.801396352967"/>
    <n v="16341.479285598518"/>
    <n v="2046.7578180485218"/>
    <n v="39453.038500000002"/>
  </r>
  <r>
    <x v="0"/>
    <x v="0"/>
    <n v="25"/>
    <n v="30"/>
    <n v="8"/>
    <n v="20260307"/>
    <n v="20260508"/>
    <n v="34359.249600000003"/>
    <n v="63"/>
    <n v="545.38491428571433"/>
    <n v="21969.447929126822"/>
    <n v="16361.54742857143"/>
    <n v="3278.8341402421561"/>
    <n v="41609.829497940409"/>
    <n v="18141.236195366655"/>
    <n v="13510.521401399881"/>
    <n v="2707.4920032334662"/>
    <n v="34359.249600000003"/>
  </r>
  <r>
    <x v="0"/>
    <x v="0"/>
    <n v="23"/>
    <n v="30"/>
    <n v="7"/>
    <n v="20260309"/>
    <n v="20260507"/>
    <n v="24487.250700000001"/>
    <n v="60"/>
    <n v="408.12084500000003"/>
    <n v="15124.904016791044"/>
    <n v="12243.62535"/>
    <n v="2146.9066328552053"/>
    <n v="29515.435999646252"/>
    <n v="12548.258358000819"/>
    <n v="10157.828040416498"/>
    <n v="1781.1643015826821"/>
    <n v="24487.250700000001"/>
  </r>
  <r>
    <x v="0"/>
    <x v="0"/>
    <n v="25"/>
    <n v="30"/>
    <n v="6"/>
    <n v="20260307"/>
    <n v="20260506"/>
    <n v="63950.080399999999"/>
    <n v="61"/>
    <n v="1048.3619737704919"/>
    <n v="42230.602993102868"/>
    <n v="31450.859213114756"/>
    <n v="4727.0353573571219"/>
    <n v="78408.49756357474"/>
    <n v="34443.338932233499"/>
    <n v="25651.364811537049"/>
    <n v="3855.3766562294618"/>
    <n v="63950.080400000006"/>
  </r>
  <r>
    <x v="0"/>
    <x v="0"/>
    <n v="30"/>
    <n v="30"/>
    <n v="11"/>
    <n v="20260302"/>
    <n v="20260511"/>
    <n v="10928.0327"/>
    <n v="71"/>
    <n v="153.91595352112677"/>
    <n v="7440.1365445311985"/>
    <n v="4617.4786056338035"/>
    <n v="1272.3384826598692"/>
    <n v="13329.953632824871"/>
    <n v="6099.5002451386363"/>
    <n v="3785.4563176918705"/>
    <n v="1043.0761371694941"/>
    <n v="10928.0327"/>
  </r>
  <r>
    <x v="0"/>
    <x v="0"/>
    <n v="26"/>
    <n v="30"/>
    <n v="10"/>
    <n v="20260306"/>
    <n v="20260510"/>
    <n v="12524.0358"/>
    <n v="66"/>
    <n v="189.75811818181819"/>
    <n v="7949.681457661648"/>
    <n v="5692.7435454545457"/>
    <n v="1426.0235752430049"/>
    <n v="15068.448578359199"/>
    <n v="6607.3222240900377"/>
    <n v="4731.4840404927127"/>
    <n v="1185.2295354172495"/>
    <n v="12524.0358"/>
  </r>
  <r>
    <x v="0"/>
    <x v="0"/>
    <n v="25"/>
    <n v="30"/>
    <n v="3"/>
    <n v="20260307"/>
    <n v="20260503"/>
    <n v="14670.1567"/>
    <n v="58"/>
    <n v="252.93373620689655"/>
    <n v="10188.794008713319"/>
    <n v="7588.012086206897"/>
    <n v="570.23563617931586"/>
    <n v="18347.041731099533"/>
    <n v="8146.8831260399484"/>
    <n v="6067.3174442863092"/>
    <n v="455.95612967374086"/>
    <n v="14670.1567"/>
  </r>
  <r>
    <x v="0"/>
    <x v="0"/>
    <n v="23"/>
    <n v="30"/>
    <n v="4"/>
    <n v="20260309"/>
    <n v="20260504"/>
    <n v="25876.879499999999"/>
    <n v="57"/>
    <n v="453.98034210526316"/>
    <n v="16824.450855608873"/>
    <n v="13619.410263157895"/>
    <n v="1364.656599131514"/>
    <n v="31808.517717898285"/>
    <n v="13687.034752936263"/>
    <n v="11079.668702779352"/>
    <n v="1110.1760442843818"/>
    <n v="25876.879499999995"/>
  </r>
  <r>
    <x v="0"/>
    <x v="0"/>
    <n v="26"/>
    <n v="30"/>
    <n v="14"/>
    <n v="20260306"/>
    <n v="20260514"/>
    <n v="42.165500000000002"/>
    <n v="70"/>
    <n v="0.60236428571428569"/>
    <n v="25.235306076930115"/>
    <n v="18.070928571428571"/>
    <n v="6.3374360620815029"/>
    <n v="49.643670710440183"/>
    <n v="21.433936756876896"/>
    <n v="15.34877916508151"/>
    <n v="5.3827840780416016"/>
    <n v="42.165500000000009"/>
  </r>
  <r>
    <x v="0"/>
    <x v="0"/>
    <n v="29"/>
    <n v="30"/>
    <n v="14"/>
    <n v="20260303"/>
    <n v="20260514"/>
    <n v="42.183300000000003"/>
    <n v="73"/>
    <n v="0.57785342465753431"/>
    <n v="27.001737036964567"/>
    <n v="17.335602739726028"/>
    <n v="6.0795588630879953"/>
    <n v="50.416898639778594"/>
    <n v="22.592075369203819"/>
    <n v="14.504520325129945"/>
    <n v="5.0867043056662338"/>
    <n v="42.183299999999996"/>
  </r>
  <r>
    <x v="0"/>
    <x v="0"/>
    <n v="22"/>
    <n v="30"/>
    <n v="10"/>
    <n v="20260310"/>
    <n v="20260510"/>
    <n v="11463.373100000001"/>
    <n v="62"/>
    <n v="184.89311451612903"/>
    <n v="6554.1961282148886"/>
    <n v="5546.7934354838708"/>
    <n v="1389.4632953066857"/>
    <n v="13490.452859005447"/>
    <n v="5569.3605228491733"/>
    <n v="4713.3304807582308"/>
    <n v="1180.6820963925943"/>
    <n v="11463.373099999999"/>
  </r>
  <r>
    <x v="0"/>
    <x v="0"/>
    <n v="0"/>
    <n v="13"/>
    <n v="1"/>
    <n v="20260418"/>
    <n v="20260501"/>
    <n v="84.457599999999999"/>
    <n v="14"/>
    <n v="6.032685714285714"/>
    <n v="0"/>
    <n v="78.42491428571428"/>
    <n v="4.5335357101087617"/>
    <n v="82.958449995823045"/>
    <n v="0"/>
    <n v="79.842138336849828"/>
    <n v="4.615461663150171"/>
    <n v="84.457599999999999"/>
  </r>
  <r>
    <x v="0"/>
    <x v="0"/>
    <n v="0"/>
    <n v="15"/>
    <n v="1"/>
    <n v="20260416"/>
    <n v="20260501"/>
    <n v="84.455500000000001"/>
    <n v="16"/>
    <n v="5.27846875"/>
    <n v="0"/>
    <n v="79.177031249999999"/>
    <n v="3.9667451125707363"/>
    <n v="83.143776362570733"/>
    <n v="0"/>
    <n v="80.426173254077355"/>
    <n v="4.0293267459226518"/>
    <n v="84.455500000000001"/>
  </r>
  <r>
    <x v="0"/>
    <x v="0"/>
    <n v="0"/>
    <n v="9"/>
    <n v="1"/>
    <n v="20260422"/>
    <n v="20260501"/>
    <n v="126.5826"/>
    <n v="10"/>
    <n v="12.65826"/>
    <n v="0"/>
    <n v="113.92434"/>
    <n v="9.5126244687248835"/>
    <n v="123.43696446872488"/>
    <n v="0"/>
    <n v="116.82755828087295"/>
    <n v="9.755041719127048"/>
    <n v="126.5826"/>
  </r>
  <r>
    <x v="0"/>
    <x v="0"/>
    <n v="0"/>
    <n v="7"/>
    <n v="8"/>
    <n v="20260424"/>
    <n v="20260508"/>
    <n v="42.186300000000003"/>
    <n v="15"/>
    <n v="2.8124200000000004"/>
    <n v="0"/>
    <n v="19.686940000000003"/>
    <n v="16.90816608812348"/>
    <n v="36.595106088123487"/>
    <n v="0"/>
    <n v="22.694814845516611"/>
    <n v="19.491485154483389"/>
    <n v="42.186300000000003"/>
  </r>
  <r>
    <x v="0"/>
    <x v="0"/>
    <n v="0"/>
    <n v="10"/>
    <n v="4"/>
    <n v="20260421"/>
    <n v="20260504"/>
    <n v="84.406099999999995"/>
    <n v="14"/>
    <n v="6.0290071428571421"/>
    <n v="0"/>
    <n v="60.290071428571423"/>
    <n v="18.123085122049932"/>
    <n v="78.413156550621352"/>
    <n v="0"/>
    <n v="64.897907721925748"/>
    <n v="19.508192278074247"/>
    <n v="84.406099999999995"/>
  </r>
  <r>
    <x v="0"/>
    <x v="0"/>
    <n v="0"/>
    <n v="7"/>
    <n v="3"/>
    <n v="20260424"/>
    <n v="20260503"/>
    <n v="84.340900000000005"/>
    <n v="10"/>
    <n v="8.4340900000000012"/>
    <n v="0"/>
    <n v="59.038630000000012"/>
    <n v="19.014540127654477"/>
    <n v="78.053170127654482"/>
    <n v="0"/>
    <n v="63.794605405819318"/>
    <n v="20.546294594180697"/>
    <n v="84.340900000000019"/>
  </r>
  <r>
    <x v="0"/>
    <x v="0"/>
    <n v="0"/>
    <n v="18"/>
    <n v="5"/>
    <n v="20260413"/>
    <n v="20260505"/>
    <n v="42.220799999999997"/>
    <n v="23"/>
    <n v="1.8356869565217391"/>
    <n v="0"/>
    <n v="33.042365217391307"/>
    <n v="6.8975517407320615"/>
    <n v="39.939916958123369"/>
    <n v="0"/>
    <n v="34.929343865014992"/>
    <n v="7.2914561349850038"/>
    <n v="42.220799999999997"/>
  </r>
  <r>
    <x v="0"/>
    <x v="0"/>
    <n v="0"/>
    <n v="23"/>
    <n v="6"/>
    <n v="20260408"/>
    <n v="20260506"/>
    <n v="84.4101"/>
    <n v="29"/>
    <n v="2.9106931034482759"/>
    <n v="0"/>
    <n v="66.945941379310341"/>
    <n v="13.124235291490697"/>
    <n v="80.070176670801033"/>
    <n v="0"/>
    <n v="70.574511526991884"/>
    <n v="13.835588473008125"/>
    <n v="84.410100000000014"/>
  </r>
  <r>
    <x v="0"/>
    <x v="0"/>
    <n v="0"/>
    <n v="24"/>
    <n v="6"/>
    <n v="20260407"/>
    <n v="20260506"/>
    <n v="210.99549999999999"/>
    <n v="30"/>
    <n v="7.0331833333333327"/>
    <n v="0"/>
    <n v="168.79639999999998"/>
    <n v="31.712430556661669"/>
    <n v="200.50883055666165"/>
    <n v="0"/>
    <n v="177.62450021439577"/>
    <n v="33.370999785604212"/>
    <n v="210.99549999999999"/>
  </r>
  <r>
    <x v="0"/>
    <x v="0"/>
    <n v="5"/>
    <n v="30"/>
    <n v="1"/>
    <n v="20260327"/>
    <n v="20260501"/>
    <n v="506.21140000000003"/>
    <n v="36"/>
    <n v="14.061427777777778"/>
    <n v="113.28579037711684"/>
    <n v="421.84283333333337"/>
    <n v="10.567098633153106"/>
    <n v="545.69572234360339"/>
    <n v="105.08889148080576"/>
    <n v="391.32000215162856"/>
    <n v="9.8025063675656714"/>
    <n v="506.21140000000003"/>
  </r>
  <r>
    <x v="0"/>
    <x v="0"/>
    <n v="12"/>
    <n v="30"/>
    <n v="1"/>
    <n v="20260320"/>
    <n v="20260501"/>
    <n v="126.54689999999999"/>
    <n v="43"/>
    <n v="2.9429511627906977"/>
    <n v="56.903675009996093"/>
    <n v="88.288534883720928"/>
    <n v="2.2116143325721813"/>
    <n v="147.40382422628917"/>
    <n v="48.852081748352589"/>
    <n v="75.796136590899422"/>
    <n v="1.8986816607480104"/>
    <n v="126.54690000000002"/>
  </r>
  <r>
    <x v="0"/>
    <x v="0"/>
    <n v="20"/>
    <n v="30"/>
    <n v="1"/>
    <n v="20260312"/>
    <n v="20260501"/>
    <n v="758.53440000000001"/>
    <n v="51"/>
    <n v="14.873223529411765"/>
    <n v="479.30406772710342"/>
    <n v="446.19670588235294"/>
    <n v="11.177159425916123"/>
    <n v="936.67793303537246"/>
    <n v="388.14688657473476"/>
    <n v="361.3360992520208"/>
    <n v="9.0514141732443907"/>
    <n v="758.53440000000001"/>
  </r>
  <r>
    <x v="0"/>
    <x v="0"/>
    <n v="18"/>
    <n v="30"/>
    <n v="1"/>
    <n v="20260314"/>
    <n v="20260501"/>
    <n v="1222.1980000000001"/>
    <n v="49"/>
    <n v="24.942816326530615"/>
    <n v="723.42582440257729"/>
    <n v="748.28448979591849"/>
    <n v="18.744412336819249"/>
    <n v="1490.4547265353151"/>
    <n v="593.22137062727586"/>
    <n v="613.60589528642925"/>
    <n v="15.370734086294968"/>
    <n v="1222.1980000000001"/>
  </r>
  <r>
    <x v="0"/>
    <x v="0"/>
    <n v="19"/>
    <n v="30"/>
    <n v="1"/>
    <n v="20260313"/>
    <n v="20260501"/>
    <n v="1601.463"/>
    <n v="50"/>
    <n v="32.029260000000001"/>
    <n v="980.56529878908873"/>
    <n v="960.87779999999998"/>
    <n v="24.06984233150142"/>
    <n v="1965.5129411205901"/>
    <n v="798.9461744268034"/>
    <n v="782.9051704661299"/>
    <n v="19.611655107066671"/>
    <n v="1601.4630000000002"/>
  </r>
  <r>
    <x v="0"/>
    <x v="0"/>
    <n v="19"/>
    <n v="30"/>
    <n v="2"/>
    <n v="20260313"/>
    <n v="20260502"/>
    <n v="210.71879999999999"/>
    <n v="51"/>
    <n v="4.1317411764705883"/>
    <n v="126.49190213027288"/>
    <n v="123.95223529411764"/>
    <n v="6.2099691764479878"/>
    <n v="256.65410660083853"/>
    <n v="103.85269957149971"/>
    <n v="101.76757591927337"/>
    <n v="5.0985245092268974"/>
    <n v="210.71879999999999"/>
  </r>
  <r>
    <x v="0"/>
    <x v="0"/>
    <n v="0"/>
    <n v="30"/>
    <n v="5"/>
    <n v="20260401"/>
    <n v="20260505"/>
    <n v="42.166499999999999"/>
    <n v="35"/>
    <n v="1.2047571428571429"/>
    <n v="0"/>
    <n v="36.142714285714284"/>
    <n v="4.5268474008331072"/>
    <n v="40.669561686547389"/>
    <n v="0"/>
    <n v="37.473031395680898"/>
    <n v="4.6934686043191025"/>
    <n v="42.166499999999999"/>
  </r>
  <r>
    <x v="0"/>
    <x v="0"/>
    <n v="13"/>
    <n v="30"/>
    <n v="4"/>
    <n v="20260319"/>
    <n v="20260504"/>
    <n v="84.344800000000006"/>
    <n v="47"/>
    <n v="1.7945702127659575"/>
    <n v="37.590648773266508"/>
    <n v="53.837106382978725"/>
    <n v="5.394445213418674"/>
    <n v="96.822200369663918"/>
    <n v="32.746371602238504"/>
    <n v="46.899161071677121"/>
    <n v="4.6992673260843674"/>
    <n v="84.344799999999992"/>
  </r>
  <r>
    <x v="0"/>
    <x v="0"/>
    <n v="6"/>
    <n v="30"/>
    <n v="6"/>
    <n v="20260326"/>
    <n v="20260506"/>
    <n v="168.749"/>
    <n v="42"/>
    <n v="4.0178333333333329"/>
    <n v="38.843573949682529"/>
    <n v="120.53499999999998"/>
    <n v="18.116300191934023"/>
    <n v="177.49487414161652"/>
    <n v="36.929597500405201"/>
    <n v="114.59576403750872"/>
    <n v="17.223638462086083"/>
    <n v="168.749"/>
  </r>
  <r>
    <x v="0"/>
    <x v="0"/>
    <n v="11"/>
    <n v="30"/>
    <n v="6"/>
    <n v="20260321"/>
    <n v="20260506"/>
    <n v="42.187199999999997"/>
    <n v="47"/>
    <n v="0.89759999999999995"/>
    <n v="15.90931728334448"/>
    <n v="26.927999999999997"/>
    <n v="4.0472537567378719"/>
    <n v="46.884571040082349"/>
    <n v="14.315360793684492"/>
    <n v="24.230080309976628"/>
    <n v="3.6417588963388763"/>
    <n v="42.187199999999997"/>
  </r>
  <r>
    <x v="0"/>
    <x v="0"/>
    <n v="11"/>
    <n v="30"/>
    <n v="4"/>
    <n v="20260321"/>
    <n v="20260504"/>
    <n v="84.378399999999999"/>
    <n v="45"/>
    <n v="1.8750755555555556"/>
    <n v="33.234371594893886"/>
    <n v="56.252266666666671"/>
    <n v="5.636442800348763"/>
    <n v="95.123081061909318"/>
    <n v="29.480364480177897"/>
    <n v="49.898260282564856"/>
    <n v="4.9997752372572473"/>
    <n v="84.378400000000013"/>
  </r>
  <r>
    <x v="0"/>
    <x v="0"/>
    <n v="18"/>
    <n v="30"/>
    <n v="3"/>
    <n v="20260314"/>
    <n v="20260503"/>
    <n v="379.31169999999997"/>
    <n v="51"/>
    <n v="7.4374843137254896"/>
    <n v="215.71213734253112"/>
    <n v="223.12452941176468"/>
    <n v="16.767706288661138"/>
    <n v="455.60437304295698"/>
    <n v="179.59032521910035"/>
    <n v="185.76148424039974"/>
    <n v="13.959890540499863"/>
    <n v="379.31169999999997"/>
  </r>
  <r>
    <x v="0"/>
    <x v="0"/>
    <n v="19"/>
    <n v="30"/>
    <n v="5"/>
    <n v="20260313"/>
    <n v="20260505"/>
    <n v="42.145699999999998"/>
    <n v="54"/>
    <n v="0.78047592592592585"/>
    <n v="23.894014707278476"/>
    <n v="23.414277777777777"/>
    <n v="2.9326204352784946"/>
    <n v="50.24091292033475"/>
    <n v="20.044022234336357"/>
    <n v="19.641584310055045"/>
    <n v="2.4600934556085954"/>
    <n v="42.145699999999998"/>
  </r>
  <r>
    <x v="0"/>
    <x v="0"/>
    <n v="9"/>
    <n v="30"/>
    <n v="4"/>
    <n v="20260323"/>
    <n v="20260504"/>
    <n v="675.16989999999998"/>
    <n v="43"/>
    <n v="15.701625581395348"/>
    <n v="227.70005764344023"/>
    <n v="471.04876744186043"/>
    <n v="47.198799109621056"/>
    <n v="745.94762419492179"/>
    <n v="206.09520047072814"/>
    <n v="426.35426254235028"/>
    <n v="42.720436986921477"/>
    <n v="675.16989999999998"/>
  </r>
  <r>
    <x v="0"/>
    <x v="0"/>
    <n v="31"/>
    <n v="30"/>
    <n v="6"/>
    <n v="20260227"/>
    <n v="20260506"/>
    <n v="379.83640000000003"/>
    <n v="67"/>
    <n v="5.6692"/>
    <n v="283.17798450664731"/>
    <n v="170.07599999999999"/>
    <n v="25.56226715429851"/>
    <n v="478.8162516609458"/>
    <n v="224.6400489146844"/>
    <n v="134.91826006804925"/>
    <n v="20.278091017266394"/>
    <n v="379.83640000000003"/>
  </r>
  <r>
    <x v="0"/>
    <x v="0"/>
    <n v="31"/>
    <n v="30"/>
    <n v="6"/>
    <n v="20260228"/>
    <n v="20260506"/>
    <n v="464.22269999999997"/>
    <n v="67"/>
    <n v="6.9286970149253726"/>
    <n v="346.09018132078432"/>
    <n v="207.86091044776117"/>
    <n v="31.24130461559179"/>
    <n v="585.19239638413728"/>
    <n v="274.54717356026657"/>
    <n v="164.89235620412367"/>
    <n v="24.783170235609731"/>
    <n v="464.22270000000003"/>
  </r>
  <r>
    <x v="0"/>
    <x v="0"/>
    <n v="0"/>
    <n v="25"/>
    <n v="1"/>
    <n v="20260406"/>
    <n v="20260501"/>
    <n v="970.42039999999997"/>
    <n v="26"/>
    <n v="37.323861538461536"/>
    <n v="0"/>
    <n v="933.09653846153844"/>
    <n v="28.048711160781085"/>
    <n v="961.14524962231951"/>
    <n v="0"/>
    <n v="942.10101589564601"/>
    <n v="28.319384104353968"/>
    <n v="970.42039999999997"/>
  </r>
  <r>
    <x v="0"/>
    <x v="0"/>
    <n v="0"/>
    <n v="28"/>
    <n v="1"/>
    <n v="20260403"/>
    <n v="20260501"/>
    <n v="463.85320000000002"/>
    <n v="29"/>
    <n v="15.994937931034483"/>
    <n v="0"/>
    <n v="447.85826206896553"/>
    <n v="12.020122666029485"/>
    <n v="459.878384734995"/>
    <n v="0"/>
    <n v="451.7291851558511"/>
    <n v="12.12401484414892"/>
    <n v="463.85320000000002"/>
  </r>
  <r>
    <x v="0"/>
    <x v="0"/>
    <n v="0"/>
    <n v="27"/>
    <n v="1"/>
    <n v="20260404"/>
    <n v="20260501"/>
    <n v="210.8869"/>
    <n v="28"/>
    <n v="7.5316749999999999"/>
    <n v="0"/>
    <n v="203.35522499999999"/>
    <n v="5.6600192992941754"/>
    <n v="209.01524429929415"/>
    <n v="0"/>
    <n v="205.17619728082829"/>
    <n v="5.7107027191717217"/>
    <n v="210.88690000000003"/>
  </r>
  <r>
    <x v="0"/>
    <x v="0"/>
    <n v="0"/>
    <n v="27"/>
    <n v="5"/>
    <n v="20260404"/>
    <n v="20260505"/>
    <n v="253.0642"/>
    <n v="32"/>
    <n v="7.90825625"/>
    <n v="0"/>
    <n v="213.52291875"/>
    <n v="29.715091927601613"/>
    <n v="243.23801067760161"/>
    <n v="0"/>
    <n v="222.14869487135434"/>
    <n v="30.915505128645659"/>
    <n v="253.0642"/>
  </r>
  <r>
    <x v="0"/>
    <x v="0"/>
    <n v="0"/>
    <n v="28"/>
    <n v="11"/>
    <n v="20260403"/>
    <n v="20260511"/>
    <n v="126.5351"/>
    <n v="39"/>
    <n v="3.2444897435897437"/>
    <n v="0"/>
    <n v="90.84571282051283"/>
    <n v="26.820411158989145"/>
    <n v="117.66612397950198"/>
    <n v="0"/>
    <n v="97.693124984021651"/>
    <n v="28.841975015978353"/>
    <n v="126.5351"/>
  </r>
  <r>
    <x v="0"/>
    <x v="0"/>
    <n v="26"/>
    <n v="24"/>
    <n v="0"/>
    <n v="20260306"/>
    <n v="20260424"/>
    <n v="674.63229999999999"/>
    <n v="50"/>
    <n v="13.492646000000001"/>
    <n v="565.25770148193862"/>
    <n v="323.82350400000001"/>
    <n v="0"/>
    <n v="889.0812054819387"/>
    <n v="428.91594253953718"/>
    <n v="245.7163574604628"/>
    <n v="0"/>
    <n v="674.63229999999999"/>
  </r>
  <r>
    <x v="0"/>
    <x v="0"/>
    <n v="25"/>
    <n v="23"/>
    <n v="0"/>
    <n v="20260307"/>
    <n v="20260423"/>
    <n v="42.153599999999997"/>
    <n v="48"/>
    <n v="0.87819999999999998"/>
    <n v="35.376059487504868"/>
    <n v="20.198599999999999"/>
    <n v="0"/>
    <n v="55.574659487504867"/>
    <n v="26.832881658011157"/>
    <n v="15.320718341988838"/>
    <n v="0"/>
    <n v="42.153599999999997"/>
  </r>
  <r>
    <x v="0"/>
    <x v="0"/>
    <n v="24"/>
    <n v="25"/>
    <n v="0"/>
    <n v="20260308"/>
    <n v="20260425"/>
    <n v="505.77260000000001"/>
    <n v="49"/>
    <n v="10.321889795918368"/>
    <n v="399.15950346859785"/>
    <n v="258.04724489795922"/>
    <n v="0"/>
    <n v="657.20674836655712"/>
    <n v="307.18482484513527"/>
    <n v="198.58777515486466"/>
    <n v="0"/>
    <n v="505.7725999999999"/>
  </r>
  <r>
    <x v="0"/>
    <x v="0"/>
    <n v="28"/>
    <n v="24"/>
    <n v="0"/>
    <n v="20260304"/>
    <n v="20260424"/>
    <n v="801.42619999999999"/>
    <n v="52"/>
    <n v="15.412042307692307"/>
    <n v="695.33523634817664"/>
    <n v="369.88901538461539"/>
    <n v="0"/>
    <n v="1065.224251732792"/>
    <n v="523.13855536628159"/>
    <n v="278.28764463371846"/>
    <n v="0"/>
    <n v="801.42620000000011"/>
  </r>
  <r>
    <x v="0"/>
    <x v="0"/>
    <n v="29"/>
    <n v="18"/>
    <n v="0"/>
    <n v="20260303"/>
    <n v="20260418"/>
    <n v="168.70949999999999"/>
    <n v="47"/>
    <n v="3.5895638297872337"/>
    <n v="167.73190998522981"/>
    <n v="64.6121489361702"/>
    <n v="0"/>
    <n v="232.34405892140001"/>
    <n v="121.79337315109092"/>
    <n v="46.916126848909066"/>
    <n v="0"/>
    <n v="168.70949999999999"/>
  </r>
  <r>
    <x v="0"/>
    <x v="0"/>
    <n v="30"/>
    <n v="1"/>
    <n v="0"/>
    <n v="20260302"/>
    <n v="20260401"/>
    <n v="801.93299999999999"/>
    <n v="31"/>
    <n v="25.868806451612905"/>
    <n v="1250.4711034885099"/>
    <n v="25.868806451612905"/>
    <n v="0"/>
    <n v="1276.3399099401229"/>
    <n v="785.67945390103444"/>
    <n v="16.253546098965522"/>
    <n v="0"/>
    <n v="801.93299999999999"/>
  </r>
  <r>
    <x v="0"/>
    <x v="0"/>
    <n v="30"/>
    <n v="10"/>
    <n v="0"/>
    <n v="20260302"/>
    <n v="20260410"/>
    <n v="1602.8901000000001"/>
    <n v="40"/>
    <n v="40.072252500000005"/>
    <n v="1937.0508607219074"/>
    <n v="400.72252500000002"/>
    <n v="0"/>
    <n v="2337.7733857219073"/>
    <n v="1328.1354244217446"/>
    <n v="274.7546755782555"/>
    <n v="0"/>
    <n v="1602.8901000000001"/>
  </r>
  <r>
    <x v="0"/>
    <x v="0"/>
    <n v="30"/>
    <n v="4"/>
    <n v="0"/>
    <n v="20260302"/>
    <n v="20260404"/>
    <n v="801.68899999999996"/>
    <n v="34"/>
    <n v="23.579088235294115"/>
    <n v="1139.7885147887371"/>
    <n v="94.316352941176461"/>
    <n v="0"/>
    <n v="1234.1048677299136"/>
    <n v="740.41999065548225"/>
    <n v="61.26900934451767"/>
    <n v="0"/>
    <n v="801.68899999999996"/>
  </r>
  <r>
    <x v="0"/>
    <x v="0"/>
    <n v="27"/>
    <n v="9"/>
    <n v="0"/>
    <n v="20260305"/>
    <n v="20260409"/>
    <n v="252.92779999999999"/>
    <n v="36"/>
    <n v="7.0257722222222219"/>
    <n v="305.65664651026191"/>
    <n v="63.231949999999998"/>
    <n v="0"/>
    <n v="368.88859651026189"/>
    <n v="209.57292767673724"/>
    <n v="43.354872323262761"/>
    <n v="0"/>
    <n v="252.92779999999999"/>
  </r>
  <r>
    <x v="0"/>
    <x v="0"/>
    <n v="27"/>
    <n v="8"/>
    <n v="0"/>
    <n v="20260305"/>
    <n v="20260408"/>
    <n v="1096.0205000000001"/>
    <n v="35"/>
    <n v="31.314871428571433"/>
    <n v="1362.3553801648445"/>
    <n v="250.51897142857146"/>
    <n v="0"/>
    <n v="1612.8743515934159"/>
    <n v="925.78161682018685"/>
    <n v="170.23888317981329"/>
    <n v="0"/>
    <n v="1096.0205000000001"/>
  </r>
  <r>
    <x v="0"/>
    <x v="0"/>
    <n v="29"/>
    <n v="2"/>
    <n v="0"/>
    <n v="20260303"/>
    <n v="20260402"/>
    <n v="717.30079999999998"/>
    <n v="31"/>
    <n v="23.138735483870967"/>
    <n v="1081.2189116533234"/>
    <n v="46.277470967741934"/>
    <n v="0"/>
    <n v="1127.4963826210653"/>
    <n v="687.85958186502853"/>
    <n v="29.441218134971489"/>
    <n v="0"/>
    <n v="717.30079999999998"/>
  </r>
  <r>
    <x v="0"/>
    <x v="0"/>
    <n v="28"/>
    <n v="3"/>
    <n v="0"/>
    <n v="20260304"/>
    <n v="20260403"/>
    <n v="337.43470000000002"/>
    <n v="31"/>
    <n v="10.884990322580645"/>
    <n v="491.09113299160902"/>
    <n v="32.654970967741932"/>
    <n v="0"/>
    <n v="523.74610395935099"/>
    <n v="316.396032125033"/>
    <n v="21.038667874966972"/>
    <n v="0"/>
    <n v="337.43469999999996"/>
  </r>
  <r>
    <x v="0"/>
    <x v="0"/>
    <n v="30"/>
    <n v="30"/>
    <n v="2"/>
    <n v="20260302"/>
    <n v="20260502"/>
    <n v="679320.51119999995"/>
    <n v="62"/>
    <n v="10956.782438709677"/>
    <n v="529639.42702360579"/>
    <n v="328703.47316129028"/>
    <n v="16467.94373396735"/>
    <n v="874810.84391886345"/>
    <n v="411283.11202178133"/>
    <n v="255249.47818531297"/>
    <n v="12787.920992905641"/>
    <n v="679320.51119999995"/>
  </r>
  <r>
    <x v="0"/>
    <x v="0"/>
    <n v="27"/>
    <n v="30"/>
    <n v="1"/>
    <n v="20260305"/>
    <n v="20260501"/>
    <n v="366731.38909999997"/>
    <n v="58"/>
    <n v="6322.9549844827579"/>
    <n v="275080.53996960568"/>
    <n v="189688.64953448274"/>
    <n v="4751.6717384566791"/>
    <n v="469520.86124254513"/>
    <n v="214858.75679828125"/>
    <n v="148161.21642856704"/>
    <n v="3711.4158731516804"/>
    <n v="366731.38909999997"/>
  </r>
  <r>
    <x v="0"/>
    <x v="0"/>
    <n v="29"/>
    <n v="30"/>
    <n v="2"/>
    <n v="20260303"/>
    <n v="20260502"/>
    <n v="332124.62599999999"/>
    <n v="61"/>
    <n v="5444.6660000000002"/>
    <n v="254416.48922169261"/>
    <n v="163339.98000000001"/>
    <n v="8183.2831709309867"/>
    <n v="425939.75239262363"/>
    <n v="198380.12502082443"/>
    <n v="127363.6223517863"/>
    <n v="6380.8786273892183"/>
    <n v="332124.62599999993"/>
  </r>
  <r>
    <x v="0"/>
    <x v="0"/>
    <n v="29"/>
    <n v="30"/>
    <n v="3"/>
    <n v="20260303"/>
    <n v="20260503"/>
    <n v="349800.25339999999"/>
    <n v="62"/>
    <n v="5641.9395709677419"/>
    <n v="263634.62112213229"/>
    <n v="169258.18712903225"/>
    <n v="12719.675314108317"/>
    <n v="445612.48356527282"/>
    <n v="206949.89632180415"/>
    <n v="132865.57026871888"/>
    <n v="9984.7868094769801"/>
    <n v="349800.25339999999"/>
  </r>
  <r>
    <x v="0"/>
    <x v="0"/>
    <n v="26"/>
    <n v="30"/>
    <n v="2"/>
    <n v="20260306"/>
    <n v="20260502"/>
    <n v="70583.403399999996"/>
    <n v="58"/>
    <n v="1216.9552310344827"/>
    <n v="50982.832922539674"/>
    <n v="36508.656931034478"/>
    <n v="1829.0725752325143"/>
    <n v="89320.562428806661"/>
    <n v="40287.944509022229"/>
    <n v="28850.0787465299"/>
    <n v="1445.3801444478684"/>
    <n v="70583.40340000001"/>
  </r>
  <r>
    <x v="0"/>
    <x v="0"/>
    <n v="27"/>
    <n v="30"/>
    <n v="9"/>
    <n v="20260305"/>
    <n v="20260509"/>
    <n v="10797.152099999999"/>
    <n v="66"/>
    <n v="163.59321363636363"/>
    <n v="7117.1326781373955"/>
    <n v="4907.796409090909"/>
    <n v="1106.4559633465806"/>
    <n v="13131.385050574885"/>
    <n v="5851.9922876197716"/>
    <n v="4035.38728783743"/>
    <n v="909.77252454279687"/>
    <n v="10797.152099999999"/>
  </r>
  <r>
    <x v="0"/>
    <x v="0"/>
    <n v="25"/>
    <n v="30"/>
    <n v="1"/>
    <n v="20260307"/>
    <n v="20260501"/>
    <n v="54632.406999999999"/>
    <n v="56"/>
    <n v="975.57869642857145"/>
    <n v="39298.713276701885"/>
    <n v="29267.360892857145"/>
    <n v="733.14292634320623"/>
    <n v="69299.217095902233"/>
    <n v="30981.349981745112"/>
    <n v="23073.079886338324"/>
    <n v="577.97713191656646"/>
    <n v="54632.406999999999"/>
  </r>
  <r>
    <x v="0"/>
    <x v="0"/>
    <n v="30"/>
    <n v="30"/>
    <n v="6"/>
    <n v="20260302"/>
    <n v="20260506"/>
    <n v="191374.79689999999"/>
    <n v="66"/>
    <n v="2899.6181348484847"/>
    <n v="140164.5141828029"/>
    <n v="86988.544045454546"/>
    <n v="13074.298562133234"/>
    <n v="240227.35679039068"/>
    <n v="111660.70256405558"/>
    <n v="69298.581026519794"/>
    <n v="10415.513309424614"/>
    <n v="191374.79690000002"/>
  </r>
  <r>
    <x v="0"/>
    <x v="0"/>
    <n v="27"/>
    <n v="30"/>
    <n v="2"/>
    <n v="20260305"/>
    <n v="20260502"/>
    <n v="57101.459699999999"/>
    <n v="59"/>
    <n v="967.82135084745767"/>
    <n v="42105.126548992877"/>
    <n v="29034.640525423729"/>
    <n v="1454.626633269643"/>
    <n v="72594.393707686249"/>
    <n v="33119.14411024491"/>
    <n v="22838.132136516902"/>
    <n v="1144.1834532381902"/>
    <n v="57101.459700000007"/>
  </r>
  <r>
    <x v="0"/>
    <x v="0"/>
    <n v="24"/>
    <n v="30"/>
    <n v="8"/>
    <n v="20260308"/>
    <n v="20260508"/>
    <n v="25882.946100000001"/>
    <n v="62"/>
    <n v="417.4668725806452"/>
    <n v="16143.930313979161"/>
    <n v="12524.006177419356"/>
    <n v="2509.7955560986729"/>
    <n v="31177.732047497193"/>
    <n v="13402.273055727992"/>
    <n v="10397.105740481024"/>
    <n v="2083.5673037909837"/>
    <n v="25882.946099999997"/>
  </r>
  <r>
    <x v="0"/>
    <x v="0"/>
    <n v="23"/>
    <n v="30"/>
    <n v="10"/>
    <n v="20260309"/>
    <n v="20260510"/>
    <n v="13782.950500000001"/>
    <n v="63"/>
    <n v="218.77699206349209"/>
    <n v="8107.8461112236837"/>
    <n v="6563.309761904763"/>
    <n v="1644.0990846271163"/>
    <n v="16315.254957755562"/>
    <n v="6849.4204903302743"/>
    <n v="5544.6129281294834"/>
    <n v="1388.9170815402442"/>
    <n v="13782.950500000003"/>
  </r>
  <r>
    <x v="0"/>
    <x v="0"/>
    <n v="29"/>
    <n v="30"/>
    <n v="7"/>
    <n v="20260303"/>
    <n v="20260507"/>
    <n v="31977.183300000001"/>
    <n v="66"/>
    <n v="484.50277727272726"/>
    <n v="22639.679938473164"/>
    <n v="14535.083318181818"/>
    <n v="2548.7113410332822"/>
    <n v="39723.474597688262"/>
    <n v="18224.820526853411"/>
    <n v="11700.663858174206"/>
    <n v="2051.698914972384"/>
    <n v="31977.183300000001"/>
  </r>
  <r>
    <x v="0"/>
    <x v="0"/>
    <n v="23"/>
    <n v="30"/>
    <n v="3"/>
    <n v="20260309"/>
    <n v="20260503"/>
    <n v="5183.8050999999996"/>
    <n v="56"/>
    <n v="92.567948214285707"/>
    <n v="3430.5557996488883"/>
    <n v="2777.0384464285712"/>
    <n v="208.69316854043259"/>
    <n v="6416.287414617892"/>
    <n v="2771.5922777305218"/>
    <n v="2243.6067980208772"/>
    <n v="168.60602424860042"/>
    <n v="5183.8050999999996"/>
  </r>
  <r>
    <x v="0"/>
    <x v="0"/>
    <n v="22"/>
    <n v="30"/>
    <n v="4"/>
    <n v="20260310"/>
    <n v="20260504"/>
    <n v="15886.336600000001"/>
    <n v="56"/>
    <n v="283.68458214285715"/>
    <n v="10056.212178484213"/>
    <n v="8510.537464285715"/>
    <n v="852.75066162083476"/>
    <n v="19419.500304390764"/>
    <n v="8226.5953852735565"/>
    <n v="6962.13912229164"/>
    <n v="697.60209243480256"/>
    <n v="15886.336600000001"/>
  </r>
  <r>
    <x v="0"/>
    <x v="0"/>
    <n v="24"/>
    <n v="30"/>
    <n v="2"/>
    <n v="20260308"/>
    <n v="20260502"/>
    <n v="12349.8609"/>
    <n v="56"/>
    <n v="220.53323035714286"/>
    <n v="8528.2769403808525"/>
    <n v="6615.9969107142861"/>
    <n v="331.45942700849855"/>
    <n v="15475.733278103637"/>
    <n v="6805.6894001527526"/>
    <n v="5279.6620421054004"/>
    <n v="264.50945774184771"/>
    <n v="12349.860900000001"/>
  </r>
  <r>
    <x v="0"/>
    <x v="0"/>
    <n v="29"/>
    <n v="30"/>
    <n v="12"/>
    <n v="20260303"/>
    <n v="20260512"/>
    <n v="759.37040000000002"/>
    <n v="71"/>
    <n v="10.695357746478873"/>
    <n v="499.7690159192847"/>
    <n v="320.86073239436621"/>
    <n v="96.450148883895082"/>
    <n v="917.07989719754596"/>
    <n v="413.82413755437966"/>
    <n v="265.68256860407257"/>
    <n v="79.863693841547814"/>
    <n v="759.37040000000013"/>
  </r>
  <r>
    <x v="0"/>
    <x v="0"/>
    <n v="24"/>
    <n v="30"/>
    <n v="14"/>
    <n v="20260308"/>
    <n v="20260514"/>
    <n v="84.305300000000003"/>
    <n v="68"/>
    <n v="1.2397838235294119"/>
    <n v="47.943884811102031"/>
    <n v="37.193514705882357"/>
    <n v="13.043686185849593"/>
    <n v="98.181085702833983"/>
    <n v="41.168047422078267"/>
    <n v="31.937011012736392"/>
    <n v="11.200241565185344"/>
    <n v="84.305299999999988"/>
  </r>
  <r>
    <x v="0"/>
    <x v="0"/>
    <n v="0"/>
    <n v="14"/>
    <n v="1"/>
    <n v="20260417"/>
    <n v="20260501"/>
    <n v="295.62189999999998"/>
    <n v="15"/>
    <n v="19.708126666666665"/>
    <n v="0"/>
    <n v="275.91377333333332"/>
    <n v="14.810567010162746"/>
    <n v="290.72434034349607"/>
    <n v="0"/>
    <n v="280.56183329059218"/>
    <n v="15.060066709407806"/>
    <n v="295.62189999999998"/>
  </r>
  <r>
    <x v="0"/>
    <x v="0"/>
    <n v="0"/>
    <n v="14"/>
    <n v="6"/>
    <n v="20260417"/>
    <n v="20260506"/>
    <n v="168.87549999999999"/>
    <n v="20"/>
    <n v="8.4437749999999987"/>
    <n v="0"/>
    <n v="118.21284999999997"/>
    <n v="38.072749654411005"/>
    <n v="156.28559965441099"/>
    <n v="0"/>
    <n v="127.73572353639142"/>
    <n v="41.139776463608548"/>
    <n v="168.87549999999996"/>
  </r>
  <r>
    <x v="0"/>
    <x v="0"/>
    <n v="0"/>
    <n v="10"/>
    <n v="8"/>
    <n v="20260421"/>
    <n v="20260508"/>
    <n v="84.418000000000006"/>
    <n v="18"/>
    <n v="4.6898888888888894"/>
    <n v="0"/>
    <n v="46.898888888888891"/>
    <n v="28.195440321210281"/>
    <n v="75.094329210099175"/>
    <n v="0"/>
    <n v="52.721829249521754"/>
    <n v="31.696170750478249"/>
    <n v="84.418000000000006"/>
  </r>
  <r>
    <x v="0"/>
    <x v="0"/>
    <n v="0"/>
    <n v="6"/>
    <n v="1"/>
    <n v="20260425"/>
    <n v="20260501"/>
    <n v="84.327100000000002"/>
    <n v="7"/>
    <n v="12.046728571428572"/>
    <n v="0"/>
    <n v="72.280371428571428"/>
    <n v="9.053061398380077"/>
    <n v="81.333432826951508"/>
    <n v="0"/>
    <n v="74.940819508536933"/>
    <n v="9.3862804914630651"/>
    <n v="84.327100000000002"/>
  </r>
  <r>
    <x v="0"/>
    <x v="0"/>
    <n v="0"/>
    <n v="18"/>
    <n v="1"/>
    <n v="20260413"/>
    <n v="20260501"/>
    <n v="380.04989999999998"/>
    <n v="19"/>
    <n v="20.002626315789474"/>
    <n v="0"/>
    <n v="360.04727368421055"/>
    <n v="15.031882148916139"/>
    <n v="375.07915583312672"/>
    <n v="0"/>
    <n v="364.81880752615155"/>
    <n v="15.231092473848443"/>
    <n v="380.04989999999998"/>
  </r>
  <r>
    <x v="0"/>
    <x v="0"/>
    <n v="0"/>
    <n v="17"/>
    <n v="1"/>
    <n v="20260414"/>
    <n v="20260501"/>
    <n v="380.04079999999999"/>
    <n v="18"/>
    <n v="21.113377777777778"/>
    <n v="0"/>
    <n v="358.92742222222222"/>
    <n v="15.866606790058119"/>
    <n v="374.79402901228036"/>
    <n v="0"/>
    <n v="363.95207533789613"/>
    <n v="16.088724662103793"/>
    <n v="380.04079999999993"/>
  </r>
  <r>
    <x v="0"/>
    <x v="0"/>
    <n v="0"/>
    <n v="21"/>
    <n v="2"/>
    <n v="20260410"/>
    <n v="20260502"/>
    <n v="42.2179"/>
    <n v="23"/>
    <n v="1.8355608695652175"/>
    <n v="0"/>
    <n v="38.546778260869566"/>
    <n v="2.7588311887510621"/>
    <n v="41.305609449620626"/>
    <n v="0"/>
    <n v="39.398136273099148"/>
    <n v="2.819763726900856"/>
    <n v="42.2179"/>
  </r>
  <r>
    <x v="0"/>
    <x v="0"/>
    <n v="5"/>
    <n v="30"/>
    <n v="3"/>
    <n v="20260327"/>
    <n v="20260503"/>
    <n v="295.29000000000002"/>
    <n v="38"/>
    <n v="7.7707894736842107"/>
    <n v="62.605308741956115"/>
    <n v="233.12368421052633"/>
    <n v="17.519138196405709"/>
    <n v="313.24813114888815"/>
    <n v="59.016223179398338"/>
    <n v="219.75898932915524"/>
    <n v="16.514787491446473"/>
    <n v="295.29000000000008"/>
  </r>
  <r>
    <x v="0"/>
    <x v="0"/>
    <n v="1"/>
    <n v="30"/>
    <n v="7"/>
    <n v="20260331"/>
    <n v="20260507"/>
    <n v="379.56060000000002"/>
    <n v="38"/>
    <n v="9.9884368421052638"/>
    <n v="16.094353719585566"/>
    <n v="299.6531052631579"/>
    <n v="52.543852074429303"/>
    <n v="368.29131105717278"/>
    <n v="16.586822363207517"/>
    <n v="308.82214434836658"/>
    <n v="54.151633288425941"/>
    <n v="379.56060000000002"/>
  </r>
  <r>
    <x v="0"/>
    <x v="0"/>
    <n v="14"/>
    <n v="30"/>
    <n v="10"/>
    <n v="20260318"/>
    <n v="20260510"/>
    <n v="716.93119999999999"/>
    <n v="54"/>
    <n v="13.276503703703703"/>
    <n v="299.49375483107326"/>
    <n v="398.29511111111111"/>
    <n v="99.772317831177716"/>
    <n v="797.56118377336213"/>
    <n v="269.21623244964957"/>
    <n v="358.02919922964207"/>
    <n v="89.685768320708334"/>
    <n v="716.93119999999999"/>
  </r>
  <r>
    <x v="0"/>
    <x v="0"/>
    <n v="15"/>
    <n v="30"/>
    <n v="7"/>
    <n v="20260317"/>
    <n v="20260507"/>
    <n v="252.9752"/>
    <n v="52"/>
    <n v="4.8649076923076926"/>
    <n v="117.58228006670255"/>
    <n v="145.94723076923077"/>
    <n v="25.591691090524165"/>
    <n v="289.1212019264575"/>
    <n v="102.88211524485949"/>
    <n v="127.70087301547586"/>
    <n v="22.392211739664628"/>
    <n v="252.97519999999997"/>
  </r>
  <r>
    <x v="0"/>
    <x v="0"/>
    <n v="15"/>
    <n v="30"/>
    <n v="5"/>
    <n v="20260317"/>
    <n v="20260505"/>
    <n v="210.80279999999999"/>
    <n v="50"/>
    <n v="4.216056"/>
    <n v="101.8998732807915"/>
    <n v="126.48168"/>
    <n v="15.841733961505909"/>
    <n v="244.22328724229737"/>
    <n v="87.955488806129495"/>
    <n v="109.17342319715631"/>
    <n v="13.673887996714216"/>
    <n v="210.80280000000002"/>
  </r>
  <r>
    <x v="0"/>
    <x v="0"/>
    <n v="6"/>
    <n v="30"/>
    <n v="7"/>
    <n v="20260326"/>
    <n v="20260507"/>
    <n v="295.3245"/>
    <n v="43"/>
    <n v="6.8680116279069772"/>
    <n v="66.398502730962164"/>
    <n v="206.04034883720931"/>
    <n v="36.128955183556386"/>
    <n v="308.56780675172786"/>
    <n v="63.548770126714565"/>
    <n v="197.19737985866115"/>
    <n v="34.578350014624306"/>
    <n v="295.32450000000006"/>
  </r>
  <r>
    <x v="0"/>
    <x v="0"/>
    <n v="20"/>
    <n v="30"/>
    <n v="5"/>
    <n v="20260312"/>
    <n v="20260505"/>
    <n v="42.141800000000003"/>
    <n v="55"/>
    <n v="0.76621454545454548"/>
    <n v="24.692007597532683"/>
    <n v="22.986436363636365"/>
    <n v="2.8790336244412043"/>
    <n v="50.557477585610258"/>
    <n v="20.581834685318046"/>
    <n v="19.160168786284562"/>
    <n v="2.3997965283973897"/>
    <n v="42.141799999999996"/>
  </r>
  <r>
    <x v="0"/>
    <x v="0"/>
    <n v="6"/>
    <n v="30"/>
    <n v="1"/>
    <n v="20260326"/>
    <n v="20260501"/>
    <n v="379.69409999999999"/>
    <n v="37"/>
    <n v="10.262002702702702"/>
    <n v="99.210899951285782"/>
    <n v="307.86008108108103"/>
    <n v="7.7118480745260882"/>
    <n v="414.7828291068929"/>
    <n v="90.818111849769181"/>
    <n v="281.81652712987284"/>
    <n v="7.0594610203579808"/>
    <n v="379.69409999999999"/>
  </r>
  <r>
    <x v="0"/>
    <x v="0"/>
    <n v="7"/>
    <n v="30"/>
    <n v="6"/>
    <n v="20260325"/>
    <n v="20260506"/>
    <n v="126.5766"/>
    <n v="43"/>
    <n v="2.9436418604651164"/>
    <n v="33.201600863587529"/>
    <n v="88.309255813953499"/>
    <n v="13.2728003322842"/>
    <n v="134.78365700982522"/>
    <n v="31.179935647269339"/>
    <n v="82.932052723911767"/>
    <n v="12.46461162881889"/>
    <n v="126.57659999999998"/>
  </r>
  <r>
    <x v="0"/>
    <x v="0"/>
    <n v="31"/>
    <n v="30"/>
    <n v="3"/>
    <n v="20260228"/>
    <n v="20260503"/>
    <n v="970.67039999999997"/>
    <n v="64"/>
    <n v="15.166725"/>
    <n v="757.58177821678191"/>
    <n v="455.00175000000002"/>
    <n v="34.193173314204657"/>
    <n v="1246.7767015309864"/>
    <n v="589.81067483167021"/>
    <n v="354.23883854331348"/>
    <n v="26.62088662501645"/>
    <n v="970.67040000000009"/>
  </r>
  <r>
    <x v="0"/>
    <x v="0"/>
    <n v="31"/>
    <n v="30"/>
    <n v="4"/>
    <n v="20260228"/>
    <n v="20260504"/>
    <n v="633.04589999999996"/>
    <n v="65"/>
    <n v="9.7391676923076922"/>
    <n v="486.47390776122683"/>
    <n v="292.17503076923077"/>
    <n v="29.275759826346118"/>
    <n v="807.92469835680367"/>
    <n v="381.17452454612095"/>
    <n v="228.93248057277663"/>
    <n v="22.938894881102446"/>
    <n v="633.04590000000007"/>
  </r>
  <r>
    <x v="0"/>
    <x v="0"/>
    <n v="31"/>
    <n v="30"/>
    <n v="5"/>
    <n v="20260226"/>
    <n v="20260505"/>
    <n v="590.8981"/>
    <n v="66"/>
    <n v="8.9530015151515148"/>
    <n v="447.20470689789829"/>
    <n v="268.59004545454542"/>
    <n v="33.640698358842862"/>
    <n v="749.43545071128665"/>
    <n v="352.60196373980432"/>
    <n v="211.77187092947634"/>
    <n v="26.524265330719288"/>
    <n v="590.89809999999989"/>
  </r>
  <r>
    <x v="0"/>
    <x v="0"/>
    <n v="27"/>
    <n v="25"/>
    <n v="0"/>
    <n v="20260305"/>
    <n v="20260425"/>
    <n v="1433.8624"/>
    <n v="52"/>
    <n v="27.574276923076923"/>
    <n v="1199.6205894057823"/>
    <n v="689.35692307692307"/>
    <n v="0"/>
    <n v="1888.9775124827054"/>
    <n v="910.59361270746626"/>
    <n v="523.26878729253372"/>
    <n v="0"/>
    <n v="1433.8624"/>
  </r>
  <r>
    <x v="0"/>
    <x v="0"/>
    <n v="30"/>
    <n v="25"/>
    <n v="0"/>
    <n v="20260302"/>
    <n v="20260425"/>
    <n v="3797.2968000000001"/>
    <n v="55"/>
    <n v="69.041759999999996"/>
    <n v="3337.4066165548174"/>
    <n v="1726.0439999999999"/>
    <n v="0"/>
    <n v="5063.4506165548173"/>
    <n v="2502.8630523042912"/>
    <n v="1294.4337476957087"/>
    <n v="0"/>
    <n v="3797.2968000000001"/>
  </r>
  <r>
    <x v="0"/>
    <x v="0"/>
    <n v="29"/>
    <n v="23"/>
    <n v="0"/>
    <n v="20260303"/>
    <n v="20260423"/>
    <n v="295.3107"/>
    <n v="52"/>
    <n v="5.6790519230769227"/>
    <n v="265.36879440849674"/>
    <n v="130.61819423076923"/>
    <n v="0"/>
    <n v="395.98698863926597"/>
    <n v="197.9010590833299"/>
    <n v="97.409640916670099"/>
    <n v="0"/>
    <n v="295.3107"/>
  </r>
  <r>
    <x v="0"/>
    <x v="0"/>
    <n v="25"/>
    <n v="30"/>
    <n v="0"/>
    <n v="20260307"/>
    <n v="20260430"/>
    <n v="547.99739999999997"/>
    <n v="55"/>
    <n v="9.9635890909090907"/>
    <n v="401.35791435783938"/>
    <n v="298.90767272727271"/>
    <n v="0"/>
    <n v="700.26558708511209"/>
    <n v="314.08525221558"/>
    <n v="233.91214778441997"/>
    <n v="0"/>
    <n v="547.99739999999997"/>
  </r>
  <r>
    <x v="0"/>
    <x v="0"/>
    <n v="24"/>
    <n v="29"/>
    <n v="0"/>
    <n v="20260308"/>
    <n v="20260429"/>
    <n v="210.74350000000001"/>
    <n v="53"/>
    <n v="3.9762924528301888"/>
    <n v="153.767861554311"/>
    <n v="115.31248113207548"/>
    <n v="0"/>
    <n v="269.08034268638647"/>
    <n v="120.43086093895639"/>
    <n v="90.312639061043612"/>
    <n v="0"/>
    <n v="210.74349999999998"/>
  </r>
  <r>
    <x v="0"/>
    <x v="0"/>
    <n v="30"/>
    <n v="18"/>
    <n v="0"/>
    <n v="20260302"/>
    <n v="20260418"/>
    <n v="2235.8193999999999"/>
    <n v="48"/>
    <n v="46.579570833333328"/>
    <n v="2251.6078369880843"/>
    <n v="838.43227499999989"/>
    <n v="0"/>
    <n v="3090.0401119880844"/>
    <n v="1629.1660627962128"/>
    <n v="606.6533372037868"/>
    <n v="0"/>
    <n v="2235.8193999999994"/>
  </r>
  <r>
    <x v="0"/>
    <x v="0"/>
    <n v="30"/>
    <n v="20"/>
    <n v="0"/>
    <n v="20260302"/>
    <n v="20260420"/>
    <n v="1054.7306000000001"/>
    <n v="50"/>
    <n v="21.094612000000001"/>
    <n v="1019.6915267289922"/>
    <n v="421.89224000000002"/>
    <n v="0"/>
    <n v="1441.5837667289923"/>
    <n v="746.05436092148545"/>
    <n v="308.67623907851464"/>
    <n v="0"/>
    <n v="1054.7306000000001"/>
  </r>
  <r>
    <x v="0"/>
    <x v="0"/>
    <n v="30"/>
    <n v="17"/>
    <n v="0"/>
    <n v="20260302"/>
    <n v="20260417"/>
    <n v="1813.9241"/>
    <n v="47"/>
    <n v="38.594129787234039"/>
    <n v="1865.5999515668527"/>
    <n v="656.10020638297863"/>
    <n v="0"/>
    <n v="2521.7001579498315"/>
    <n v="1341.974263846349"/>
    <n v="471.94983615365101"/>
    <n v="0"/>
    <n v="1813.9241"/>
  </r>
  <r>
    <x v="0"/>
    <x v="0"/>
    <n v="28"/>
    <n v="23"/>
    <n v="0"/>
    <n v="20260304"/>
    <n v="20260423"/>
    <n v="253.08199999999999"/>
    <n v="51"/>
    <n v="4.9623921568627454"/>
    <n v="223.88506690786215"/>
    <n v="114.13501960784315"/>
    <n v="0"/>
    <n v="338.02008651570532"/>
    <n v="167.62696290400169"/>
    <n v="85.455037095998321"/>
    <n v="0"/>
    <n v="253.08199999999999"/>
  </r>
  <r>
    <x v="0"/>
    <x v="0"/>
    <n v="30"/>
    <n v="27"/>
    <n v="0"/>
    <n v="20260302"/>
    <n v="20260427"/>
    <n v="210.95599999999999"/>
    <n v="57"/>
    <n v="3.7009824561403506"/>
    <n v="178.90162905574985"/>
    <n v="99.926526315789459"/>
    <n v="0"/>
    <n v="278.82815537153931"/>
    <n v="135.35351911931423"/>
    <n v="75.602480880685761"/>
    <n v="0"/>
    <n v="210.95599999999999"/>
  </r>
  <r>
    <x v="0"/>
    <x v="0"/>
    <n v="29"/>
    <n v="15"/>
    <n v="0"/>
    <n v="20260303"/>
    <n v="20260415"/>
    <n v="126.5262"/>
    <n v="44"/>
    <n v="2.8755954545454547"/>
    <n v="134.36984012744065"/>
    <n v="43.133931818181821"/>
    <n v="0"/>
    <n v="177.50377194562247"/>
    <n v="95.779966135823074"/>
    <n v="30.746233864176933"/>
    <n v="0"/>
    <n v="126.5262"/>
  </r>
  <r>
    <x v="0"/>
    <x v="0"/>
    <n v="29"/>
    <n v="21"/>
    <n v="0"/>
    <n v="20260303"/>
    <n v="20260421"/>
    <n v="1138.9756"/>
    <n v="50"/>
    <n v="22.779512"/>
    <n v="1064.4332396557322"/>
    <n v="478.36975200000001"/>
    <n v="0"/>
    <n v="1542.8029916557323"/>
    <n v="785.81873016445604"/>
    <n v="353.15686983554389"/>
    <n v="0"/>
    <n v="1138.9756"/>
  </r>
  <r>
    <x v="0"/>
    <x v="0"/>
    <n v="25"/>
    <n v="16"/>
    <n v="0"/>
    <n v="20260307"/>
    <n v="20260416"/>
    <n v="252.8152"/>
    <n v="41"/>
    <n v="6.1662243902439027"/>
    <n v="248.39070922633994"/>
    <n v="98.659590243902443"/>
    <n v="0"/>
    <n v="347.05029947024241"/>
    <n v="180.94479943413347"/>
    <n v="71.87040056586649"/>
    <n v="0"/>
    <n v="252.81519999999995"/>
  </r>
  <r>
    <x v="0"/>
    <x v="0"/>
    <n v="22"/>
    <n v="20"/>
    <n v="0"/>
    <n v="20260310"/>
    <n v="20260420"/>
    <n v="126.375"/>
    <n v="42"/>
    <n v="3.0089285714285716"/>
    <n v="106.66220883640283"/>
    <n v="60.178571428571431"/>
    <n v="0"/>
    <n v="166.84078026497426"/>
    <n v="80.792217707760344"/>
    <n v="45.582782292239649"/>
    <n v="0"/>
    <n v="126.375"/>
  </r>
  <r>
    <x v="0"/>
    <x v="0"/>
    <n v="30"/>
    <n v="13"/>
    <n v="0"/>
    <n v="20260302"/>
    <n v="20260413"/>
    <n v="928.01059999999995"/>
    <n v="43"/>
    <n v="21.581641860465115"/>
    <n v="1043.2340418499282"/>
    <n v="280.56134418604648"/>
    <n v="0"/>
    <n v="1323.7953860359746"/>
    <n v="731.33073232457059"/>
    <n v="196.67986767542942"/>
    <n v="0"/>
    <n v="928.01060000000007"/>
  </r>
  <r>
    <x v="0"/>
    <x v="0"/>
    <n v="24"/>
    <n v="8"/>
    <n v="0"/>
    <n v="20260308"/>
    <n v="20260408"/>
    <n v="42.119100000000003"/>
    <n v="32"/>
    <n v="1.3162218750000001"/>
    <n v="50.899833312235245"/>
    <n v="10.529775000000001"/>
    <n v="0"/>
    <n v="61.429608312235246"/>
    <n v="34.899378787579948"/>
    <n v="7.2197212124200538"/>
    <n v="0"/>
    <n v="42.119100000000003"/>
  </r>
  <r>
    <x v="0"/>
    <x v="0"/>
    <n v="30"/>
    <n v="30"/>
    <n v="1"/>
    <n v="20260302"/>
    <n v="20260501"/>
    <n v="6650176.9435999999"/>
    <n v="61"/>
    <n v="109019.29415737705"/>
    <n v="5269878.8914559269"/>
    <n v="3270578.8247213117"/>
    <n v="81927.500712150068"/>
    <n v="8622385.2168893889"/>
    <n v="4064493.3180296477"/>
    <n v="2522495.4980884693"/>
    <n v="63188.127481883326"/>
    <n v="6650176.9436000008"/>
  </r>
  <r>
    <x v="0"/>
    <x v="0"/>
    <n v="26"/>
    <n v="1"/>
    <n v="0"/>
    <n v="20260306"/>
    <n v="20260401"/>
    <n v="252.9812"/>
    <n v="27"/>
    <n v="9.3696740740740747"/>
    <n v="392.53089651548129"/>
    <n v="9.3696740740740747"/>
    <n v="0"/>
    <n v="401.90057058955534"/>
    <n v="247.08334474841121"/>
    <n v="5.8978552515888101"/>
    <n v="0"/>
    <n v="252.98120000000003"/>
  </r>
  <r>
    <x v="0"/>
    <x v="0"/>
    <n v="29"/>
    <n v="6"/>
    <n v="0"/>
    <n v="20260303"/>
    <n v="20260406"/>
    <n v="168.7055"/>
    <n v="35"/>
    <n v="4.820157142857143"/>
    <n v="225.23465310499833"/>
    <n v="28.920942857142858"/>
    <n v="0"/>
    <n v="254.15559596214118"/>
    <n v="149.50811775580775"/>
    <n v="19.197382244192273"/>
    <n v="0"/>
    <n v="168.70550000000003"/>
  </r>
  <r>
    <x v="0"/>
    <x v="0"/>
    <n v="29"/>
    <n v="30"/>
    <n v="4"/>
    <n v="20260303"/>
    <n v="20260504"/>
    <n v="561401.56270000001"/>
    <n v="63"/>
    <n v="8911.1359158730156"/>
    <n v="416396.50893071212"/>
    <n v="267334.07747619046"/>
    <n v="26786.711461912386"/>
    <n v="710517.29786881502"/>
    <n v="329007.68428538268"/>
    <n v="211228.87410097406"/>
    <n v="21165.00431364325"/>
    <n v="561401.56270000001"/>
  </r>
  <r>
    <x v="0"/>
    <x v="0"/>
    <n v="29"/>
    <n v="30"/>
    <n v="5"/>
    <n v="20260303"/>
    <n v="20260505"/>
    <n v="281628.8578"/>
    <n v="64"/>
    <n v="4400.450903125"/>
    <n v="205622.76359385293"/>
    <n v="132013.52709374999"/>
    <n v="16534.593591255583"/>
    <n v="354170.88427885855"/>
    <n v="163506.67606832692"/>
    <n v="104974.23842522639"/>
    <n v="13147.943306446652"/>
    <n v="281628.8578"/>
  </r>
  <r>
    <x v="0"/>
    <x v="0"/>
    <n v="28"/>
    <n v="30"/>
    <n v="4"/>
    <n v="20260304"/>
    <n v="20260504"/>
    <n v="502862.09299999999"/>
    <n v="62"/>
    <n v="8110.6789193548384"/>
    <n v="365924.3032650493"/>
    <n v="243320.36758064516"/>
    <n v="24380.552381204347"/>
    <n v="633625.22322689882"/>
    <n v="290407.4116278296"/>
    <n v="193105.61642101349"/>
    <n v="19349.064951156895"/>
    <n v="502862.09299999999"/>
  </r>
  <r>
    <x v="0"/>
    <x v="0"/>
    <n v="26"/>
    <n v="30"/>
    <n v="5"/>
    <n v="20260306"/>
    <n v="20260505"/>
    <n v="363921.951"/>
    <n v="61"/>
    <n v="5965.9336229508199"/>
    <n v="249935.40384169234"/>
    <n v="178978.0086885246"/>
    <n v="22416.85909456373"/>
    <n v="451330.27162478073"/>
    <n v="201530.86444345536"/>
    <n v="144315.66017839112"/>
    <n v="18075.426378153457"/>
    <n v="363921.95099999994"/>
  </r>
  <r>
    <x v="0"/>
    <x v="0"/>
    <n v="23"/>
    <n v="30"/>
    <n v="8"/>
    <n v="20260309"/>
    <n v="20260508"/>
    <n v="27312.3616"/>
    <n v="61"/>
    <n v="447.74363278688526"/>
    <n v="16593.319241096287"/>
    <n v="13432.308983606557"/>
    <n v="2691.8183301428749"/>
    <n v="32717.446554845719"/>
    <n v="13852.020343254335"/>
    <n v="11213.224707747086"/>
    <n v="2247.1165489985797"/>
    <n v="27312.3616"/>
  </r>
  <r>
    <x v="0"/>
    <x v="0"/>
    <n v="22"/>
    <n v="30"/>
    <n v="1"/>
    <n v="20260310"/>
    <n v="20260501"/>
    <n v="18666.623100000001"/>
    <n v="53"/>
    <n v="352.20043584905659"/>
    <n v="12485.001072314739"/>
    <n v="10566.013075471697"/>
    <n v="264.67701595269051"/>
    <n v="23315.691163739128"/>
    <n v="9995.5351005181401"/>
    <n v="8459.1866637965904"/>
    <n v="211.90133568526969"/>
    <n v="18666.623100000001"/>
  </r>
  <r>
    <x v="0"/>
    <x v="0"/>
    <n v="30"/>
    <n v="30"/>
    <n v="8"/>
    <n v="20260302"/>
    <n v="20260508"/>
    <n v="23754.758600000001"/>
    <n v="68"/>
    <n v="349.33468529411766"/>
    <n v="16886.474071528351"/>
    <n v="10480.04055882353"/>
    <n v="2100.1873401893345"/>
    <n v="29466.701970541217"/>
    <n v="13613.132395180886"/>
    <n v="8448.5475789569518"/>
    <n v="1693.0786258621597"/>
    <n v="23754.758599999997"/>
  </r>
  <r>
    <x v="0"/>
    <x v="0"/>
    <n v="26"/>
    <n v="30"/>
    <n v="3"/>
    <n v="20260306"/>
    <n v="20260503"/>
    <n v="66493.444699999993"/>
    <n v="59"/>
    <n v="1127.0075372881354"/>
    <n v="47214.585640230354"/>
    <n v="33810.226118644059"/>
    <n v="2540.8230220372675"/>
    <n v="83565.634780911685"/>
    <n v="37568.797838165839"/>
    <n v="26902.905801034914"/>
    <n v="2021.7410607992358"/>
    <n v="66493.444699999993"/>
  </r>
  <r>
    <x v="0"/>
    <x v="0"/>
    <n v="29"/>
    <n v="1"/>
    <n v="0"/>
    <n v="20260303"/>
    <n v="20260401"/>
    <n v="42.197099999999999"/>
    <n v="30"/>
    <n v="1.4065699999999999"/>
    <n v="65.725721512496108"/>
    <n v="1.4065699999999999"/>
    <n v="0"/>
    <n v="67.13229151249611"/>
    <n v="41.312977417413165"/>
    <n v="0.88412258258683007"/>
    <n v="0"/>
    <n v="42.197099999999999"/>
  </r>
  <r>
    <x v="0"/>
    <x v="0"/>
    <n v="28"/>
    <n v="30"/>
    <n v="8"/>
    <n v="20260304"/>
    <n v="20260508"/>
    <n v="20204.8511"/>
    <n v="66"/>
    <n v="306.13410757575758"/>
    <n v="13811.656352590207"/>
    <n v="9184.023227272728"/>
    <n v="1840.4670483535065"/>
    <n v="24836.14662821644"/>
    <n v="11236.141589348257"/>
    <n v="7471.4417088828686"/>
    <n v="1497.2678017688754"/>
    <n v="20204.8511"/>
  </r>
  <r>
    <x v="0"/>
    <x v="0"/>
    <n v="22"/>
    <n v="30"/>
    <n v="9"/>
    <n v="20260310"/>
    <n v="20260509"/>
    <n v="8766.1090999999997"/>
    <n v="61"/>
    <n v="143.70670655737703"/>
    <n v="5094.1969482303748"/>
    <n v="4311.2011967213111"/>
    <n v="971.95439168243831"/>
    <n v="10377.352536634125"/>
    <n v="4303.2445960979849"/>
    <n v="3641.8209662912241"/>
    <n v="821.04353761078983"/>
    <n v="8766.1090999999979"/>
  </r>
  <r>
    <x v="0"/>
    <x v="0"/>
    <n v="27"/>
    <n v="30"/>
    <n v="10"/>
    <n v="20260305"/>
    <n v="20260510"/>
    <n v="4344.0649000000003"/>
    <n v="67"/>
    <n v="64.836789552238812"/>
    <n v="2820.7284606161934"/>
    <n v="1945.1036865671645"/>
    <n v="487.24550670328529"/>
    <n v="5253.077653886643"/>
    <n v="2332.6187628556727"/>
    <n v="1608.515466247733"/>
    <n v="402.93067089659502"/>
    <n v="4344.0649000000003"/>
  </r>
  <r>
    <x v="0"/>
    <x v="0"/>
    <n v="26"/>
    <n v="30"/>
    <n v="11"/>
    <n v="20260306"/>
    <n v="20260511"/>
    <n v="11596.329400000001"/>
    <n v="67"/>
    <n v="173.0795432835821"/>
    <n v="7250.953208882921"/>
    <n v="5192.3862985074629"/>
    <n v="1430.7533328614229"/>
    <n v="13874.092840251808"/>
    <n v="6060.5361981034057"/>
    <n v="4339.9321730678603"/>
    <n v="1195.8610288287343"/>
    <n v="11596.329400000001"/>
  </r>
  <r>
    <x v="0"/>
    <x v="0"/>
    <n v="22"/>
    <n v="30"/>
    <n v="5"/>
    <n v="20260310"/>
    <n v="20260505"/>
    <n v="6531.5173000000004"/>
    <n v="57"/>
    <n v="114.58802280701755"/>
    <n v="4061.9813095097056"/>
    <n v="3437.6406842105266"/>
    <n v="430.5618740556917"/>
    <n v="7930.1838677759242"/>
    <n v="3345.5594016107066"/>
    <n v="2831.3353100603449"/>
    <n v="354.62258832894867"/>
    <n v="6531.5173000000004"/>
  </r>
  <r>
    <x v="0"/>
    <x v="0"/>
    <n v="19"/>
    <n v="30"/>
    <n v="4"/>
    <n v="20260313"/>
    <n v="20260504"/>
    <n v="379.31169999999997"/>
    <n v="53"/>
    <n v="7.1568245283018861"/>
    <n v="219.1038376152124"/>
    <n v="214.70473584905659"/>
    <n v="21.513283540169009"/>
    <n v="455.32185700443802"/>
    <n v="182.52725592643819"/>
    <n v="178.86252790224123"/>
    <n v="17.921916171320515"/>
    <n v="379.31169999999992"/>
  </r>
  <r>
    <x v="0"/>
    <x v="0"/>
    <n v="22"/>
    <n v="30"/>
    <n v="13"/>
    <n v="20260310"/>
    <n v="20260513"/>
    <n v="716.44399999999996"/>
    <n v="65"/>
    <n v="11.022215384615384"/>
    <n v="390.72175071124548"/>
    <n v="330.66646153846153"/>
    <n v="107.68087754353488"/>
    <n v="829.06908979324191"/>
    <n v="337.64406056481755"/>
    <n v="285.74699658570319"/>
    <n v="93.052942849479223"/>
    <n v="716.44399999999996"/>
  </r>
  <r>
    <x v="0"/>
    <x v="0"/>
    <n v="0"/>
    <n v="11"/>
    <n v="1"/>
    <n v="20260420"/>
    <n v="20260501"/>
    <n v="84.437799999999996"/>
    <n v="12"/>
    <n v="7.036483333333333"/>
    <n v="0"/>
    <n v="77.401316666666659"/>
    <n v="5.2878850276769072"/>
    <n v="82.689201694343566"/>
    <n v="0"/>
    <n v="79.038094001622696"/>
    <n v="5.3997059983772964"/>
    <n v="84.437799999999996"/>
  </r>
  <r>
    <x v="0"/>
    <x v="0"/>
    <n v="0"/>
    <n v="14"/>
    <n v="4"/>
    <n v="20260417"/>
    <n v="20260504"/>
    <n v="84.451599999999999"/>
    <n v="18"/>
    <n v="4.6917555555555559"/>
    <n v="0"/>
    <n v="65.684577777777776"/>
    <n v="14.103331326439397"/>
    <n v="79.787909104217178"/>
    <n v="0"/>
    <n v="69.523913471804249"/>
    <n v="14.927686528195744"/>
    <n v="84.451599999999999"/>
  </r>
  <r>
    <x v="0"/>
    <x v="0"/>
    <n v="0"/>
    <n v="11"/>
    <n v="3"/>
    <n v="20260420"/>
    <n v="20260503"/>
    <n v="126.6507"/>
    <n v="14"/>
    <n v="9.0464785714285707"/>
    <n v="0"/>
    <n v="99.511264285714276"/>
    <n v="20.395161755494058"/>
    <n v="119.90642604120833"/>
    <n v="0"/>
    <n v="105.10838906448076"/>
    <n v="21.542310935519239"/>
    <n v="126.6507"/>
  </r>
  <r>
    <x v="0"/>
    <x v="0"/>
    <n v="0"/>
    <n v="6"/>
    <n v="6"/>
    <n v="20260425"/>
    <n v="20260506"/>
    <n v="84.332999999999998"/>
    <n v="12"/>
    <n v="7.0277500000000002"/>
    <n v="0"/>
    <n v="42.166499999999999"/>
    <n v="31.687931805831749"/>
    <n v="73.854431805831751"/>
    <n v="0"/>
    <n v="48.149140918842008"/>
    <n v="36.183859081157991"/>
    <n v="84.332999999999998"/>
  </r>
  <r>
    <x v="0"/>
    <x v="0"/>
    <n v="0"/>
    <n v="24"/>
    <n v="5"/>
    <n v="20260407"/>
    <n v="20260505"/>
    <n v="337.6087"/>
    <n v="29"/>
    <n v="11.641679310344827"/>
    <n v="0"/>
    <n v="279.40030344827585"/>
    <n v="43.743343660437702"/>
    <n v="323.14364710871354"/>
    <n v="0"/>
    <n v="291.90724951817992"/>
    <n v="45.701450481820075"/>
    <n v="337.6087"/>
  </r>
  <r>
    <x v="0"/>
    <x v="0"/>
    <n v="0"/>
    <n v="22"/>
    <n v="8"/>
    <n v="20260409"/>
    <n v="20260508"/>
    <n v="42.213900000000002"/>
    <n v="30"/>
    <n v="1.40713"/>
    <n v="0"/>
    <n v="30.956859999999999"/>
    <n v="8.4596140503840775"/>
    <n v="39.416474050384075"/>
    <n v="0"/>
    <n v="33.153898816103428"/>
    <n v="9.0600011838965777"/>
    <n v="42.21390000000001"/>
  </r>
  <r>
    <x v="0"/>
    <x v="0"/>
    <n v="28"/>
    <n v="6"/>
    <n v="0"/>
    <n v="20260304"/>
    <n v="20260406"/>
    <n v="379.4984"/>
    <n v="34"/>
    <n v="11.161717647058824"/>
    <n v="503.57606235583711"/>
    <n v="66.970305882352946"/>
    <n v="0"/>
    <n v="570.5463682381901"/>
    <n v="334.953161707898"/>
    <n v="44.545238292101963"/>
    <n v="0"/>
    <n v="379.49839999999995"/>
  </r>
  <r>
    <x v="0"/>
    <x v="0"/>
    <n v="4"/>
    <n v="30"/>
    <n v="1"/>
    <n v="20260328"/>
    <n v="20260501"/>
    <n v="379.62290000000002"/>
    <n v="35"/>
    <n v="10.846368571428572"/>
    <n v="69.906951456389962"/>
    <n v="325.39105714285716"/>
    <n v="8.1509963509502885"/>
    <n v="403.44900495019738"/>
    <n v="65.778522976676882"/>
    <n v="306.174746327322"/>
    <n v="7.6696306960011817"/>
    <n v="379.62290000000007"/>
  </r>
  <r>
    <x v="0"/>
    <x v="0"/>
    <n v="1"/>
    <n v="30"/>
    <n v="1"/>
    <n v="20260331"/>
    <n v="20260501"/>
    <n v="1180.7724000000001"/>
    <n v="32"/>
    <n v="36.899137500000002"/>
    <n v="59.455526451269499"/>
    <n v="1106.974125"/>
    <n v="27.729532989316379"/>
    <n v="1194.1591844405857"/>
    <n v="58.789017055558119"/>
    <n v="1094.5647040569932"/>
    <n v="27.418678887448895"/>
    <n v="1180.7724000000003"/>
  </r>
  <r>
    <x v="0"/>
    <x v="0"/>
    <n v="0"/>
    <n v="30"/>
    <n v="1"/>
    <n v="20260401"/>
    <n v="20260501"/>
    <n v="548.15150000000006"/>
    <n v="31"/>
    <n v="17.682306451612906"/>
    <n v="0"/>
    <n v="530.46919354838712"/>
    <n v="13.288172388235413"/>
    <n v="543.75736593662259"/>
    <n v="0"/>
    <n v="534.7559451382773"/>
    <n v="13.395554861722646"/>
    <n v="548.15149999999994"/>
  </r>
  <r>
    <x v="0"/>
    <x v="0"/>
    <n v="0"/>
    <n v="30"/>
    <n v="4"/>
    <n v="20260401"/>
    <n v="20260504"/>
    <n v="84.334999999999994"/>
    <n v="34"/>
    <n v="2.4804411764705883"/>
    <n v="0"/>
    <n v="74.413235294117641"/>
    <n v="7.4561607767661124"/>
    <n v="81.869396070883752"/>
    <n v="0"/>
    <n v="76.654287190488944"/>
    <n v="7.6807128095110446"/>
    <n v="84.334999999999994"/>
  </r>
  <r>
    <x v="0"/>
    <x v="0"/>
    <n v="14"/>
    <n v="30"/>
    <n v="3"/>
    <n v="20260318"/>
    <n v="20260503"/>
    <n v="1096.3544999999999"/>
    <n v="47"/>
    <n v="23.3266914893617"/>
    <n v="526.20769577957924"/>
    <n v="699.80074468085104"/>
    <n v="52.589705750102759"/>
    <n v="1278.5981462105331"/>
    <n v="451.20523356959336"/>
    <n v="600.05537925116823"/>
    <n v="45.093887179238315"/>
    <n v="1096.3544999999999"/>
  </r>
  <r>
    <x v="0"/>
    <x v="0"/>
    <n v="16"/>
    <n v="30"/>
    <n v="1"/>
    <n v="20260316"/>
    <n v="20260501"/>
    <n v="1180.3021000000001"/>
    <n v="47"/>
    <n v="25.112810638297876"/>
    <n v="647.4277626336567"/>
    <n v="753.38431914893624"/>
    <n v="18.872162284257627"/>
    <n v="1419.6842440668506"/>
    <n v="538.26077948557099"/>
    <n v="626.35131559344677"/>
    <n v="15.690004920982409"/>
    <n v="1180.3021000000001"/>
  </r>
  <r>
    <x v="0"/>
    <x v="0"/>
    <n v="21"/>
    <n v="30"/>
    <n v="4"/>
    <n v="20260311"/>
    <n v="20260504"/>
    <n v="294.9649"/>
    <n v="55"/>
    <n v="5.362998181818182"/>
    <n v="181.46921416255933"/>
    <n v="160.88994545454545"/>
    <n v="16.121074375179749"/>
    <n v="358.48023399228452"/>
    <n v="149.31659693596924"/>
    <n v="132.38355192835223"/>
    <n v="13.264751135678519"/>
    <n v="294.9649"/>
  </r>
  <r>
    <x v="0"/>
    <x v="0"/>
    <n v="4"/>
    <n v="30"/>
    <n v="4"/>
    <n v="20260328"/>
    <n v="20260504"/>
    <n v="210.9016"/>
    <n v="38"/>
    <n v="5.5500421052631577"/>
    <n v="35.771099006867907"/>
    <n v="166.50126315789473"/>
    <n v="16.683324985576114"/>
    <n v="218.95568715033875"/>
    <n v="34.455291445007717"/>
    <n v="160.37666460752959"/>
    <n v="16.069643947462708"/>
    <n v="210.9016"/>
  </r>
  <r>
    <x v="0"/>
    <x v="0"/>
    <n v="18"/>
    <n v="30"/>
    <n v="9"/>
    <n v="20260314"/>
    <n v="20260509"/>
    <n v="295.0686"/>
    <n v="57"/>
    <n v="5.1766421052631584"/>
    <n v="150.14008577105966"/>
    <n v="155.29926315789476"/>
    <n v="35.012005694875938"/>
    <n v="340.45135462383035"/>
    <n v="130.12615256383987"/>
    <n v="134.59760267854747"/>
    <n v="30.34484475761267"/>
    <n v="295.06860000000006"/>
  </r>
  <r>
    <x v="0"/>
    <x v="0"/>
    <n v="7"/>
    <n v="30"/>
    <n v="4"/>
    <n v="20260325"/>
    <n v="20260504"/>
    <n v="253.16499999999999"/>
    <n v="41"/>
    <n v="6.1747560975609757"/>
    <n v="69.64562847629486"/>
    <n v="185.24268292682927"/>
    <n v="18.561203812235398"/>
    <n v="273.44951521535955"/>
    <n v="64.479308070138472"/>
    <n v="171.50136026475042"/>
    <n v="17.18433166511107"/>
    <n v="253.16499999999996"/>
  </r>
  <r>
    <x v="0"/>
    <x v="0"/>
    <n v="8"/>
    <n v="30"/>
    <n v="7"/>
    <n v="20260324"/>
    <n v="20260507"/>
    <n v="253.19460000000001"/>
    <n v="45"/>
    <n v="5.626546666666667"/>
    <n v="72.528371519643727"/>
    <n v="168.79640000000001"/>
    <n v="29.598268519550896"/>
    <n v="270.92304003919463"/>
    <n v="67.782319336557279"/>
    <n v="157.75083940168773"/>
    <n v="27.661441261755005"/>
    <n v="253.19460000000001"/>
  </r>
  <r>
    <x v="0"/>
    <x v="0"/>
    <n v="9"/>
    <n v="30"/>
    <n v="2"/>
    <n v="20260323"/>
    <n v="20260502"/>
    <n v="210.9906"/>
    <n v="41"/>
    <n v="5.1461121951219511"/>
    <n v="74.627307688274911"/>
    <n v="154.38336585365852"/>
    <n v="7.734559534425836"/>
    <n v="236.74523307635928"/>
    <n v="66.508880541874163"/>
    <n v="137.58857387838833"/>
    <n v="6.8931455797374905"/>
    <n v="210.99059999999997"/>
  </r>
  <r>
    <x v="0"/>
    <x v="0"/>
    <n v="31"/>
    <n v="30"/>
    <n v="2"/>
    <n v="20260227"/>
    <n v="20260502"/>
    <n v="253.23609999999999"/>
    <n v="63"/>
    <n v="4.0196206349206349"/>
    <n v="200.78107490971482"/>
    <n v="120.58861904761905"/>
    <n v="6.0414530285738293"/>
    <n v="327.41114698590769"/>
    <n v="155.29409072358948"/>
    <n v="93.26924838426207"/>
    <n v="4.6727608921484736"/>
    <n v="253.23610000000002"/>
  </r>
  <r>
    <x v="0"/>
    <x v="0"/>
    <n v="0"/>
    <n v="25"/>
    <n v="3"/>
    <n v="20260406"/>
    <n v="20260503"/>
    <n v="168.7688"/>
    <n v="28"/>
    <n v="6.0274571428571431"/>
    <n v="0"/>
    <n v="150.68642857142856"/>
    <n v="13.588819387814777"/>
    <n v="164.27524795924333"/>
    <n v="0"/>
    <n v="154.80827478400874"/>
    <n v="13.960525215991268"/>
    <n v="168.7688"/>
  </r>
  <r>
    <x v="0"/>
    <x v="0"/>
    <n v="0"/>
    <n v="25"/>
    <n v="4"/>
    <n v="20260406"/>
    <n v="20260504"/>
    <n v="210.95599999999999"/>
    <n v="29"/>
    <n v="7.2743448275862068"/>
    <n v="0"/>
    <n v="181.85862068965517"/>
    <n v="21.866547408834656"/>
    <n v="203.72516809848983"/>
    <n v="0"/>
    <n v="188.31334166655316"/>
    <n v="22.642658333446814"/>
    <n v="210.95599999999996"/>
  </r>
  <r>
    <x v="0"/>
    <x v="0"/>
    <n v="0"/>
    <n v="24"/>
    <n v="4"/>
    <n v="20260407"/>
    <n v="20260504"/>
    <n v="253.2124"/>
    <n v="28"/>
    <n v="9.0433000000000003"/>
    <n v="0"/>
    <n v="217.03919999999999"/>
    <n v="27.183994279788767"/>
    <n v="244.22319427978877"/>
    <n v="0"/>
    <n v="225.02783524778462"/>
    <n v="28.184564752215387"/>
    <n v="253.2124"/>
  </r>
  <r>
    <x v="0"/>
    <x v="0"/>
    <n v="23"/>
    <n v="30"/>
    <n v="0"/>
    <n v="20260309"/>
    <n v="20260430"/>
    <n v="589.99890000000005"/>
    <n v="53"/>
    <n v="11.132054716981132"/>
    <n v="412.55246127897635"/>
    <n v="333.96164150943395"/>
    <n v="0"/>
    <n v="746.51410278841036"/>
    <n v="326.05612866215171"/>
    <n v="263.94277133784828"/>
    <n v="0"/>
    <n v="589.99890000000005"/>
  </r>
  <r>
    <x v="0"/>
    <x v="0"/>
    <n v="29"/>
    <n v="24"/>
    <n v="0"/>
    <n v="20260303"/>
    <n v="20260424"/>
    <n v="1181.2429"/>
    <n v="53"/>
    <n v="22.287601886792451"/>
    <n v="1041.447432259115"/>
    <n v="534.90244528301878"/>
    <n v="0"/>
    <n v="1576.3498775421338"/>
    <n v="780.41201550854873"/>
    <n v="400.83088449145129"/>
    <n v="0"/>
    <n v="1181.2429"/>
  </r>
  <r>
    <x v="0"/>
    <x v="0"/>
    <n v="30"/>
    <n v="28"/>
    <n v="0"/>
    <n v="20260302"/>
    <n v="20260428"/>
    <n v="1476.692"/>
    <n v="58"/>
    <n v="25.460206896551725"/>
    <n v="1230.7198274697275"/>
    <n v="712.88579310344835"/>
    <n v="0"/>
    <n v="1943.6056205731759"/>
    <n v="935.06321664678626"/>
    <n v="541.62878335321375"/>
    <n v="0"/>
    <n v="1476.692"/>
  </r>
  <r>
    <x v="0"/>
    <x v="0"/>
    <n v="28"/>
    <n v="17"/>
    <n v="0"/>
    <n v="20260304"/>
    <n v="20260417"/>
    <n v="42.168500000000002"/>
    <n v="45"/>
    <n v="0.93707777777777779"/>
    <n v="42.277537595554314"/>
    <n v="15.930322222222223"/>
    <n v="0"/>
    <n v="58.207859817776537"/>
    <n v="30.627828435528141"/>
    <n v="11.540671564471859"/>
    <n v="0"/>
    <n v="42.168500000000002"/>
  </r>
  <r>
    <x v="0"/>
    <x v="0"/>
    <n v="30"/>
    <n v="22"/>
    <n v="0"/>
    <n v="20260302"/>
    <n v="20260422"/>
    <n v="1561.1477"/>
    <n v="52"/>
    <n v="30.022071153846152"/>
    <n v="1451.235584254018"/>
    <n v="660.48556538461537"/>
    <n v="0"/>
    <n v="2111.7211496386335"/>
    <n v="1072.8656550624662"/>
    <n v="488.28204493753384"/>
    <n v="0"/>
    <n v="1561.1477"/>
  </r>
  <r>
    <x v="0"/>
    <x v="0"/>
    <n v="30"/>
    <n v="21"/>
    <n v="0"/>
    <n v="20260302"/>
    <n v="20260421"/>
    <n v="1434.5008"/>
    <n v="51"/>
    <n v="28.127466666666667"/>
    <n v="1359.6523808236989"/>
    <n v="590.67679999999996"/>
    <n v="0"/>
    <n v="1950.3291808236988"/>
    <n v="1000.0478110006858"/>
    <n v="434.45298899931419"/>
    <n v="0"/>
    <n v="1434.5008"/>
  </r>
  <r>
    <x v="0"/>
    <x v="0"/>
    <n v="28"/>
    <n v="21"/>
    <n v="0"/>
    <n v="20260304"/>
    <n v="20260421"/>
    <n v="632.64559999999994"/>
    <n v="49"/>
    <n v="12.91113469387755"/>
    <n v="582.5033901840311"/>
    <n v="271.13382857142852"/>
    <n v="0"/>
    <n v="853.63721875545957"/>
    <n v="431.70353715631444"/>
    <n v="200.94206284368556"/>
    <n v="0"/>
    <n v="632.64560000000006"/>
  </r>
  <r>
    <x v="0"/>
    <x v="0"/>
    <n v="23"/>
    <n v="15"/>
    <n v="0"/>
    <n v="20260309"/>
    <n v="20260415"/>
    <n v="42.12"/>
    <n v="38"/>
    <n v="1.108421052631579"/>
    <n v="41.077936196185043"/>
    <n v="16.626315789473686"/>
    <n v="0"/>
    <n v="57.704251985658729"/>
    <n v="29.983971943927497"/>
    <n v="12.136028056072501"/>
    <n v="0"/>
    <n v="42.12"/>
  </r>
  <r>
    <x v="0"/>
    <x v="0"/>
    <n v="26"/>
    <n v="15"/>
    <n v="0"/>
    <n v="20260306"/>
    <n v="20260415"/>
    <n v="421.47719999999998"/>
    <n v="41"/>
    <n v="10.279931707317072"/>
    <n v="430.6650132427211"/>
    <n v="154.19897560975608"/>
    <n v="0"/>
    <n v="584.86398885247718"/>
    <n v="310.35503532307484"/>
    <n v="111.12216467692514"/>
    <n v="0"/>
    <n v="421.47719999999998"/>
  </r>
  <r>
    <x v="0"/>
    <x v="0"/>
    <n v="24"/>
    <n v="18"/>
    <n v="0"/>
    <n v="20260308"/>
    <n v="20260418"/>
    <n v="168.53550000000001"/>
    <n v="42"/>
    <n v="4.0127500000000005"/>
    <n v="155.17771737661784"/>
    <n v="72.229500000000002"/>
    <n v="0"/>
    <n v="227.40721737661784"/>
    <n v="115.00494350455934"/>
    <n v="53.530556495440685"/>
    <n v="0"/>
    <n v="168.53550000000001"/>
  </r>
  <r>
    <x v="0"/>
    <x v="0"/>
    <n v="27"/>
    <n v="1"/>
    <n v="0"/>
    <n v="20260305"/>
    <n v="20260401"/>
    <n v="126.5321"/>
    <n v="28"/>
    <n v="4.5190035714285717"/>
    <n v="196.59952436856346"/>
    <n v="4.5190035714285717"/>
    <n v="0"/>
    <n v="201.11852793999205"/>
    <n v="123.68900534503631"/>
    <n v="2.8430946549636911"/>
    <n v="0"/>
    <n v="126.5321"/>
  </r>
  <r>
    <x v="0"/>
    <x v="0"/>
    <n v="25"/>
    <n v="2"/>
    <n v="0"/>
    <n v="20260307"/>
    <n v="20260402"/>
    <n v="126.43429999999999"/>
    <n v="27"/>
    <n v="4.6827518518518518"/>
    <n v="188.63278077469221"/>
    <n v="9.3655037037037037"/>
    <n v="0"/>
    <n v="197.9982844783959"/>
    <n v="120.45383957305934"/>
    <n v="5.980460426940656"/>
    <n v="0"/>
    <n v="126.43429999999999"/>
  </r>
  <r>
    <x v="0"/>
    <x v="0"/>
    <n v="30"/>
    <n v="2"/>
    <n v="0"/>
    <n v="20260302"/>
    <n v="20260402"/>
    <n v="1392.7334000000001"/>
    <n v="32"/>
    <n v="43.522918750000002"/>
    <n v="2103.8524656385894"/>
    <n v="87.045837500000005"/>
    <n v="0"/>
    <n v="2190.8983031385892"/>
    <n v="1337.3991815912539"/>
    <n v="55.334218408746374"/>
    <n v="0"/>
    <n v="1392.7334000000003"/>
  </r>
  <r>
    <x v="0"/>
    <x v="0"/>
    <n v="27"/>
    <n v="11"/>
    <n v="0"/>
    <n v="20260305"/>
    <n v="20260411"/>
    <n v="337.23700000000002"/>
    <n v="38"/>
    <n v="8.874657894736842"/>
    <n v="386.09252979355779"/>
    <n v="97.621236842105262"/>
    <n v="0"/>
    <n v="483.71376663566303"/>
    <n v="269.17713625475795"/>
    <n v="68.059863745242083"/>
    <n v="0"/>
    <n v="337.23700000000002"/>
  </r>
  <r>
    <x v="0"/>
    <x v="0"/>
    <n v="30"/>
    <n v="7"/>
    <n v="0"/>
    <n v="20260302"/>
    <n v="20260407"/>
    <n v="1476.4154000000001"/>
    <n v="37"/>
    <n v="39.903118918918921"/>
    <n v="1928.8751199444182"/>
    <n v="279.32183243243242"/>
    <n v="0"/>
    <n v="2208.1969523768507"/>
    <n v="1289.6589358559977"/>
    <n v="186.75646414400242"/>
    <n v="0"/>
    <n v="1476.4154000000001"/>
  </r>
  <r>
    <x v="0"/>
    <x v="0"/>
    <n v="24"/>
    <n v="1"/>
    <n v="0"/>
    <n v="20260308"/>
    <n v="20260401"/>
    <n v="42.137799999999999"/>
    <n v="25"/>
    <n v="1.6855119999999999"/>
    <n v="65.180712671085374"/>
    <n v="1.6855119999999999"/>
    <n v="0"/>
    <n v="66.866224671085376"/>
    <n v="41.07562297560591"/>
    <n v="1.0621770243940876"/>
    <n v="0"/>
    <n v="42.137799999999999"/>
  </r>
  <r>
    <x v="0"/>
    <x v="0"/>
    <n v="26"/>
    <n v="11"/>
    <n v="0"/>
    <n v="20260306"/>
    <n v="20260411"/>
    <n v="42.143799999999999"/>
    <n v="37"/>
    <n v="1.1390216216216216"/>
    <n v="47.7179008310207"/>
    <n v="12.529237837837837"/>
    <n v="0"/>
    <n v="60.24713866885854"/>
    <n v="33.37940545352162"/>
    <n v="8.7643945464783748"/>
    <n v="0"/>
    <n v="42.143799999999999"/>
  </r>
  <r>
    <x v="0"/>
    <x v="0"/>
    <n v="30"/>
    <n v="9"/>
    <n v="0"/>
    <n v="20260302"/>
    <n v="20260409"/>
    <n v="379.63189999999997"/>
    <n v="39"/>
    <n v="9.7341512820512808"/>
    <n v="470.53871302329935"/>
    <n v="87.607361538461532"/>
    <n v="0"/>
    <n v="558.14607456176088"/>
    <n v="320.04436435183356"/>
    <n v="59.587535648166408"/>
    <n v="0"/>
    <n v="379.63189999999997"/>
  </r>
  <r>
    <x v="0"/>
    <x v="0"/>
    <n v="30"/>
    <n v="30"/>
    <n v="7"/>
    <n v="20260302"/>
    <n v="20260507"/>
    <n v="61810.108"/>
    <n v="67"/>
    <n v="922.53892537313436"/>
    <n v="44594.568759105648"/>
    <n v="27676.167761194032"/>
    <n v="4852.986467649539"/>
    <n v="77123.722987949222"/>
    <n v="35739.912499354316"/>
    <n v="22180.813530135434"/>
    <n v="3889.3819705102487"/>
    <n v="61810.108"/>
  </r>
  <r>
    <x v="0"/>
    <x v="0"/>
    <n v="27"/>
    <n v="3"/>
    <n v="0"/>
    <n v="20260305"/>
    <n v="20260403"/>
    <n v="126.50839999999999"/>
    <n v="30"/>
    <n v="4.2169466666666668"/>
    <n v="183.45852041276044"/>
    <n v="12.650840000000001"/>
    <n v="0"/>
    <n v="196.10936041276042"/>
    <n v="118.34745590387178"/>
    <n v="8.1609440961282296"/>
    <n v="0"/>
    <n v="126.50840000000001"/>
  </r>
  <r>
    <x v="0"/>
    <x v="0"/>
    <n v="30"/>
    <n v="30"/>
    <n v="3"/>
    <n v="20260302"/>
    <n v="20260503"/>
    <n v="560130.37120000005"/>
    <n v="63"/>
    <n v="8890.9582730158745"/>
    <n v="429779.64304322447"/>
    <n v="266728.74819047621"/>
    <n v="20044.543377597573"/>
    <n v="716552.93461129826"/>
    <n v="335959.31209547387"/>
    <n v="208502.21318915949"/>
    <n v="15668.845915366657"/>
    <n v="560130.37120000005"/>
  </r>
  <r>
    <x v="0"/>
    <x v="0"/>
    <n v="28"/>
    <n v="30"/>
    <n v="3"/>
    <n v="20260304"/>
    <n v="20260503"/>
    <n v="348907.49859999999"/>
    <n v="61"/>
    <n v="5719.7950590163937"/>
    <n v="258056.3282803375"/>
    <n v="171593.8517704918"/>
    <n v="12895.19944316779"/>
    <n v="442545.37949399708"/>
    <n v="203454.3623552041"/>
    <n v="135286.42342811669"/>
    <n v="10166.712816679214"/>
    <n v="348907.49859999999"/>
  </r>
  <r>
    <x v="0"/>
    <x v="0"/>
    <n v="23"/>
    <n v="30"/>
    <n v="6"/>
    <n v="20260309"/>
    <n v="20260506"/>
    <n v="55041.048300000002"/>
    <n v="59"/>
    <n v="932.89912372881361"/>
    <n v="34573.116949580894"/>
    <n v="27986.973711864408"/>
    <n v="4206.4165365072522"/>
    <n v="66766.507197952553"/>
    <n v="28501.425037279558"/>
    <n v="23071.932867154654"/>
    <n v="3467.6903955657917"/>
    <n v="55041.048300000002"/>
  </r>
  <r>
    <x v="0"/>
    <x v="0"/>
    <n v="23"/>
    <n v="30"/>
    <n v="1"/>
    <n v="20260309"/>
    <n v="20260501"/>
    <n v="28488.517800000001"/>
    <n v="54"/>
    <n v="527.56514444444451"/>
    <n v="19551.493804063659"/>
    <n v="15826.954333333335"/>
    <n v="396.46279203370767"/>
    <n v="35774.910929430698"/>
    <n v="15569.377107671276"/>
    <n v="12603.426773986073"/>
    <n v="315.71391834265336"/>
    <n v="28488.517800000001"/>
  </r>
  <r>
    <x v="0"/>
    <x v="0"/>
    <n v="29"/>
    <n v="30"/>
    <n v="11"/>
    <n v="20260303"/>
    <n v="20260511"/>
    <n v="3374.9796999999999"/>
    <n v="70"/>
    <n v="48.213995714285716"/>
    <n v="2252.9270888201968"/>
    <n v="1446.4198714285715"/>
    <n v="398.55856879490705"/>
    <n v="4097.9055290436754"/>
    <n v="1855.4803512326703"/>
    <n v="1191.2518893248528"/>
    <n v="328.24745944247667"/>
    <n v="3374.9796999999999"/>
  </r>
  <r>
    <x v="0"/>
    <x v="0"/>
    <n v="22"/>
    <n v="30"/>
    <n v="7"/>
    <n v="20260310"/>
    <n v="20260507"/>
    <n v="20943.977599999998"/>
    <n v="59"/>
    <n v="354.98267118644065"/>
    <n v="12583.627330646683"/>
    <n v="10649.48013559322"/>
    <n v="1867.3749715450767"/>
    <n v="25100.48243778498"/>
    <n v="10499.846351282691"/>
    <n v="8885.9835249920397"/>
    <n v="1558.1477237252675"/>
    <n v="20943.977599999998"/>
  </r>
  <r>
    <x v="0"/>
    <x v="0"/>
    <n v="22"/>
    <n v="30"/>
    <n v="2"/>
    <n v="20260310"/>
    <n v="20260502"/>
    <n v="4213.7835999999998"/>
    <n v="54"/>
    <n v="78.033029629629624"/>
    <n v="2766.1591509768241"/>
    <n v="2340.9908888888885"/>
    <n v="117.28292941107996"/>
    <n v="5224.4329692767924"/>
    <n v="2231.0547640138602"/>
    <n v="1888.1339034032881"/>
    <n v="94.594932582851783"/>
    <n v="4213.7835999999998"/>
  </r>
  <r>
    <x v="0"/>
    <x v="0"/>
    <n v="29"/>
    <n v="30"/>
    <n v="10"/>
    <n v="20260303"/>
    <n v="20260510"/>
    <n v="3164.0435000000002"/>
    <n v="69"/>
    <n v="45.855702898550724"/>
    <n v="2142.7295893342707"/>
    <n v="1375.6710869565218"/>
    <n v="344.60350903151948"/>
    <n v="3863.004185322312"/>
    <n v="1755.0303608654001"/>
    <n v="1126.7611817147306"/>
    <n v="282.25195741986943"/>
    <n v="3164.0435000000002"/>
  </r>
  <r>
    <x v="0"/>
    <x v="0"/>
    <n v="0"/>
    <n v="10"/>
    <n v="3"/>
    <n v="20260421"/>
    <n v="20260503"/>
    <n v="84.4101"/>
    <n v="13"/>
    <n v="6.4930846153846158"/>
    <n v="0"/>
    <n v="64.930846153846161"/>
    <n v="14.638570132816545"/>
    <n v="79.569416286662701"/>
    <n v="0"/>
    <n v="68.880978052989136"/>
    <n v="15.529121947010868"/>
    <n v="84.4101"/>
  </r>
  <r>
    <x v="0"/>
    <x v="0"/>
    <n v="0"/>
    <n v="7"/>
    <n v="6"/>
    <n v="20260424"/>
    <n v="20260506"/>
    <n v="210.83250000000001"/>
    <n v="13"/>
    <n v="16.217884615384616"/>
    <n v="0"/>
    <n v="113.52519230769231"/>
    <n v="73.125996474996342"/>
    <n v="186.65118878268865"/>
    <n v="0"/>
    <n v="128.23277613880069"/>
    <n v="82.599723861199323"/>
    <n v="210.83250000000001"/>
  </r>
  <r>
    <x v="0"/>
    <x v="0"/>
    <n v="0"/>
    <n v="7"/>
    <n v="5"/>
    <n v="20260424"/>
    <n v="20260505"/>
    <n v="42.167499999999997"/>
    <n v="12"/>
    <n v="3.5139583333333331"/>
    <n v="0"/>
    <n v="24.59770833333333"/>
    <n v="13.203618042189992"/>
    <n v="37.801326375523324"/>
    <n v="0"/>
    <n v="27.438822009627795"/>
    <n v="14.728677990372198"/>
    <n v="42.16749999999999"/>
  </r>
  <r>
    <x v="0"/>
    <x v="0"/>
    <n v="0"/>
    <n v="10"/>
    <n v="1"/>
    <n v="20260421"/>
    <n v="20260501"/>
    <n v="42.206000000000003"/>
    <n v="11"/>
    <n v="3.8369090909090913"/>
    <n v="0"/>
    <n v="38.369090909090914"/>
    <n v="2.883419625008079"/>
    <n v="41.252510534098995"/>
    <n v="0"/>
    <n v="39.255934485987304"/>
    <n v="2.9500655140126981"/>
    <n v="42.206000000000003"/>
  </r>
  <r>
    <x v="0"/>
    <x v="0"/>
    <n v="0"/>
    <n v="18"/>
    <n v="3"/>
    <n v="20260413"/>
    <n v="20260503"/>
    <n v="126.67740000000001"/>
    <n v="21"/>
    <n v="6.0322571428571434"/>
    <n v="0"/>
    <n v="108.58062857142858"/>
    <n v="13.599640921923703"/>
    <n v="122.18026949335228"/>
    <n v="0"/>
    <n v="112.57719249459234"/>
    <n v="14.100207505407671"/>
    <n v="126.67740000000001"/>
  </r>
  <r>
    <x v="0"/>
    <x v="0"/>
    <n v="0"/>
    <n v="18"/>
    <n v="7"/>
    <n v="20260413"/>
    <n v="20260507"/>
    <n v="126.66249999999999"/>
    <n v="25"/>
    <n v="5.0664999999999996"/>
    <n v="0"/>
    <n v="91.196999999999989"/>
    <n v="26.652160968060564"/>
    <n v="117.84916096806054"/>
    <n v="0"/>
    <n v="98.017159542023492"/>
    <n v="28.645340457976509"/>
    <n v="126.66249999999999"/>
  </r>
  <r>
    <x v="0"/>
    <x v="0"/>
    <n v="0"/>
    <n v="16"/>
    <n v="2"/>
    <n v="20260415"/>
    <n v="20260502"/>
    <n v="126.67740000000001"/>
    <n v="18"/>
    <n v="7.0376333333333339"/>
    <n v="0"/>
    <n v="112.60213333333334"/>
    <n v="10.577498494829547"/>
    <n v="123.17963182816288"/>
    <n v="0"/>
    <n v="115.79954634885304"/>
    <n v="10.877853651146966"/>
    <n v="126.67740000000001"/>
  </r>
  <r>
    <x v="0"/>
    <x v="0"/>
    <n v="0"/>
    <n v="24"/>
    <n v="1"/>
    <n v="20260407"/>
    <n v="20260501"/>
    <n v="422.04039999999998"/>
    <n v="25"/>
    <n v="16.881615999999998"/>
    <n v="0"/>
    <n v="405.15878399999997"/>
    <n v="12.686457177622948"/>
    <n v="417.84524117762294"/>
    <n v="0"/>
    <n v="409.22657101696069"/>
    <n v="12.813828983039272"/>
    <n v="422.04039999999998"/>
  </r>
  <r>
    <x v="0"/>
    <x v="0"/>
    <n v="0"/>
    <n v="22"/>
    <n v="4"/>
    <n v="20260409"/>
    <n v="20260504"/>
    <n v="42.210999999999999"/>
    <n v="26"/>
    <n v="1.6234999999999999"/>
    <n v="0"/>
    <n v="35.716999999999999"/>
    <n v="4.8802112849553883"/>
    <n v="40.597211284955385"/>
    <n v="0"/>
    <n v="37.136794358057514"/>
    <n v="5.0742056419424886"/>
    <n v="42.211000000000006"/>
  </r>
  <r>
    <x v="0"/>
    <x v="0"/>
    <n v="0"/>
    <n v="23"/>
    <n v="4"/>
    <n v="20260408"/>
    <n v="20260504"/>
    <n v="42.209000000000003"/>
    <n v="27"/>
    <n v="1.5632962962962964"/>
    <n v="0"/>
    <n v="35.955814814814815"/>
    <n v="4.6992400535350463"/>
    <n v="40.655054868349865"/>
    <n v="0"/>
    <n v="37.330142400078834"/>
    <n v="4.878857599921167"/>
    <n v="42.209000000000003"/>
  </r>
  <r>
    <x v="0"/>
    <x v="0"/>
    <n v="0"/>
    <n v="20"/>
    <n v="1"/>
    <n v="20260411"/>
    <n v="20260501"/>
    <n v="42.223799999999997"/>
    <n v="21"/>
    <n v="2.0106571428571427"/>
    <n v="0"/>
    <n v="40.213142857142856"/>
    <n v="1.510999642554294"/>
    <n v="41.724142499697152"/>
    <n v="0"/>
    <n v="40.694705742215142"/>
    <n v="1.5290942577848563"/>
    <n v="42.223799999999997"/>
  </r>
  <r>
    <x v="0"/>
    <x v="0"/>
    <n v="0"/>
    <n v="20"/>
    <n v="4"/>
    <n v="20260411"/>
    <n v="20260504"/>
    <n v="168.88329999999999"/>
    <n v="24"/>
    <n v="7.0368041666666663"/>
    <n v="0"/>
    <n v="140.73608333333334"/>
    <n v="21.152504529835394"/>
    <n v="161.88858786316874"/>
    <n v="0"/>
    <n v="146.81686026254962"/>
    <n v="22.066439737450352"/>
    <n v="168.88329999999996"/>
  </r>
  <r>
    <x v="0"/>
    <x v="0"/>
    <n v="0"/>
    <n v="20"/>
    <n v="5"/>
    <n v="20260411"/>
    <n v="20260505"/>
    <n v="168.8715"/>
    <n v="25"/>
    <n v="6.7548599999999999"/>
    <n v="0"/>
    <n v="135.09719999999999"/>
    <n v="25.381231906601286"/>
    <n v="160.47843190660126"/>
    <n v="0"/>
    <n v="142.16282237277733"/>
    <n v="26.708677627222677"/>
    <n v="168.8715"/>
  </r>
  <r>
    <x v="0"/>
    <x v="0"/>
    <n v="2"/>
    <n v="30"/>
    <n v="6"/>
    <n v="20260330"/>
    <n v="20260506"/>
    <n v="42.172400000000003"/>
    <n v="38"/>
    <n v="1.1098000000000001"/>
    <n v="3.5764382436103768"/>
    <n v="33.294000000000004"/>
    <n v="5.0040577308686389"/>
    <n v="41.874495974479018"/>
    <n v="3.6018817820937552"/>
    <n v="33.530860561420027"/>
    <n v="5.0396576564862201"/>
    <n v="42.172400000000003"/>
  </r>
  <r>
    <x v="0"/>
    <x v="0"/>
    <n v="14"/>
    <n v="30"/>
    <n v="1"/>
    <n v="20260318"/>
    <n v="20260501"/>
    <n v="1813.2017000000001"/>
    <n v="45"/>
    <n v="40.293371111111114"/>
    <n v="908.94510167628675"/>
    <n v="1208.8011333333334"/>
    <n v="30.280284016837062"/>
    <n v="2148.0265190264572"/>
    <n v="767.26278235758423"/>
    <n v="1020.3785896066634"/>
    <n v="25.560328035752494"/>
    <n v="1813.2017000000001"/>
  </r>
  <r>
    <x v="0"/>
    <x v="0"/>
    <n v="16"/>
    <n v="30"/>
    <n v="3"/>
    <n v="20260316"/>
    <n v="20260503"/>
    <n v="84.311199999999999"/>
    <n v="49"/>
    <n v="1.7206367346938776"/>
    <n v="44.359351388142471"/>
    <n v="51.61910204081633"/>
    <n v="3.8791518986580771"/>
    <n v="99.857605327616881"/>
    <n v="37.453232875809974"/>
    <n v="43.582743865179133"/>
    <n v="3.2752232590108932"/>
    <n v="84.311199999999985"/>
  </r>
  <r>
    <x v="0"/>
    <x v="0"/>
    <n v="5"/>
    <n v="30"/>
    <n v="10"/>
    <n v="20260327"/>
    <n v="20260510"/>
    <n v="253.1353"/>
    <n v="45"/>
    <n v="5.6252288888888886"/>
    <n v="45.31961553271789"/>
    <n v="168.75686666666667"/>
    <n v="42.273337702514034"/>
    <n v="256.34981990189857"/>
    <n v="44.751326441927567"/>
    <n v="166.64072589196419"/>
    <n v="41.74324766610826"/>
    <n v="253.13530000000003"/>
  </r>
  <r>
    <x v="0"/>
    <x v="0"/>
    <n v="0"/>
    <n v="30"/>
    <n v="2"/>
    <n v="20260401"/>
    <n v="20260502"/>
    <n v="210.82749999999999"/>
    <n v="32"/>
    <n v="6.5883593749999996"/>
    <n v="0"/>
    <n v="197.65078124999999"/>
    <n v="9.9022438470023477"/>
    <n v="207.55302509700235"/>
    <n v="0"/>
    <n v="200.76903270626534"/>
    <n v="10.058467293734662"/>
    <n v="210.82749999999999"/>
  </r>
  <r>
    <x v="0"/>
    <x v="0"/>
    <n v="18"/>
    <n v="30"/>
    <n v="4"/>
    <n v="20260314"/>
    <n v="20260504"/>
    <n v="590.0403"/>
    <n v="52"/>
    <n v="11.346928846153846"/>
    <n v="329.09921828815402"/>
    <n v="340.40786538461538"/>
    <n v="34.108660427832348"/>
    <n v="703.61574410060166"/>
    <n v="275.97705582429967"/>
    <n v="285.46029661493799"/>
    <n v="28.602947560762402"/>
    <n v="590.04030000000012"/>
  </r>
  <r>
    <x v="0"/>
    <x v="0"/>
    <n v="7"/>
    <n v="30"/>
    <n v="1"/>
    <n v="20260325"/>
    <n v="20260501"/>
    <n v="886.07740000000001"/>
    <n v="38"/>
    <n v="23.317826315789475"/>
    <n v="263.00385680103506"/>
    <n v="699.53478947368421"/>
    <n v="17.523239779326381"/>
    <n v="980.06188605404554"/>
    <n v="237.78271243922487"/>
    <n v="632.45186481234953"/>
    <n v="15.842822748425766"/>
    <n v="886.07740000000013"/>
  </r>
  <r>
    <x v="0"/>
    <x v="0"/>
    <n v="9"/>
    <n v="30"/>
    <n v="6"/>
    <n v="20260323"/>
    <n v="20260506"/>
    <n v="337.577"/>
    <n v="45"/>
    <n v="7.5017111111111108"/>
    <n v="108.78746557607316"/>
    <n v="225.05133333333333"/>
    <n v="33.825009443412071"/>
    <n v="367.66380835281853"/>
    <n v="99.885127207116142"/>
    <n v="206.63484473228885"/>
    <n v="31.057028060595027"/>
    <n v="337.577"/>
  </r>
  <r>
    <x v="0"/>
    <x v="0"/>
    <n v="18"/>
    <n v="30"/>
    <n v="7"/>
    <n v="20260314"/>
    <n v="20260507"/>
    <n v="84.295400000000001"/>
    <n v="55"/>
    <n v="1.5326436363636364"/>
    <n v="44.451836217564292"/>
    <n v="45.979309090909091"/>
    <n v="8.0624227579270347"/>
    <n v="98.493568066400428"/>
    <n v="38.04395950167968"/>
    <n v="39.351242194098184"/>
    <n v="6.9001983042221244"/>
    <n v="84.295400000000001"/>
  </r>
  <r>
    <x v="0"/>
    <x v="0"/>
    <n v="7"/>
    <n v="30"/>
    <n v="3"/>
    <n v="20260325"/>
    <n v="20260503"/>
    <n v="168.77670000000001"/>
    <n v="40"/>
    <n v="4.2194175000000005"/>
    <n v="47.591188858042983"/>
    <n v="126.58252500000002"/>
    <n v="9.5126188325092027"/>
    <n v="183.68633269055221"/>
    <n v="43.728260491045219"/>
    <n v="116.30795026627671"/>
    <n v="8.7404892426780663"/>
    <n v="168.77670000000001"/>
  </r>
  <r>
    <x v="0"/>
    <x v="0"/>
    <n v="8"/>
    <n v="30"/>
    <n v="5"/>
    <n v="20260324"/>
    <n v="20260505"/>
    <n v="126.5943"/>
    <n v="43"/>
    <n v="2.9440534883720932"/>
    <n v="37.949992744813443"/>
    <n v="88.321604651162801"/>
    <n v="11.062213626013063"/>
    <n v="137.33381102198931"/>
    <n v="34.982301377812199"/>
    <n v="81.414850665583316"/>
    <n v="10.197147956604491"/>
    <n v="126.59430000000002"/>
  </r>
  <r>
    <x v="0"/>
    <x v="0"/>
    <n v="0"/>
    <n v="29"/>
    <n v="3"/>
    <n v="20260402"/>
    <n v="20260503"/>
    <n v="42.166499999999999"/>
    <n v="32"/>
    <n v="1.317703125"/>
    <n v="0"/>
    <n v="38.213390625000002"/>
    <n v="2.9707436067967263"/>
    <n v="41.184134231796726"/>
    <n v="0"/>
    <n v="39.124895201633713"/>
    <n v="3.0416047983662864"/>
    <n v="42.166499999999999"/>
  </r>
  <r>
    <x v="0"/>
    <x v="0"/>
    <n v="31"/>
    <n v="30"/>
    <n v="5"/>
    <n v="20260227"/>
    <n v="20260505"/>
    <n v="801.89559999999994"/>
    <n v="66"/>
    <n v="12.149933333333333"/>
    <n v="606.89226579119872"/>
    <n v="364.49799999999999"/>
    <n v="45.653096523551717"/>
    <n v="1017.0433623147505"/>
    <n v="478.50883811321881"/>
    <n v="287.39122955737201"/>
    <n v="35.995532329408981"/>
    <n v="801.89559999999983"/>
  </r>
  <r>
    <x v="0"/>
    <x v="0"/>
    <n v="0"/>
    <n v="25"/>
    <n v="6"/>
    <n v="20260406"/>
    <n v="20260506"/>
    <n v="379.70299999999997"/>
    <n v="31"/>
    <n v="12.248483870967741"/>
    <n v="0"/>
    <n v="306.21209677419353"/>
    <n v="55.228077496788572"/>
    <n v="361.44017427098208"/>
    <n v="0"/>
    <n v="321.68436177844717"/>
    <n v="58.018638221552806"/>
    <n v="379.70299999999997"/>
  </r>
  <r>
    <x v="0"/>
    <x v="0"/>
    <n v="27"/>
    <n v="23"/>
    <n v="0"/>
    <n v="20260305"/>
    <n v="20260423"/>
    <n v="759.12139999999999"/>
    <n v="50"/>
    <n v="15.182428"/>
    <n v="660.51245067203411"/>
    <n v="349.19584400000002"/>
    <n v="0"/>
    <n v="1009.7082946720341"/>
    <n v="496.58811254437546"/>
    <n v="262.53328745562459"/>
    <n v="0"/>
    <n v="759.12139999999999"/>
  </r>
  <r>
    <x v="0"/>
    <x v="0"/>
    <n v="29"/>
    <n v="30"/>
    <n v="0"/>
    <n v="20260303"/>
    <n v="20260430"/>
    <n v="885.89070000000004"/>
    <n v="59"/>
    <n v="15.015096610169492"/>
    <n v="701.62029496095067"/>
    <n v="450.45289830508477"/>
    <n v="0"/>
    <n v="1152.0731932660356"/>
    <n v="539.51337282234056"/>
    <n v="346.37732717765937"/>
    <n v="0"/>
    <n v="885.89069999999992"/>
  </r>
  <r>
    <x v="0"/>
    <x v="0"/>
    <n v="27"/>
    <n v="28"/>
    <n v="0"/>
    <n v="20260305"/>
    <n v="20260428"/>
    <n v="463.88580000000002"/>
    <n v="55"/>
    <n v="8.4342872727272731"/>
    <n v="366.93417918273929"/>
    <n v="236.16004363636364"/>
    <n v="0"/>
    <n v="603.09422281910292"/>
    <n v="282.23708471600503"/>
    <n v="181.64871528399499"/>
    <n v="0"/>
    <n v="463.88580000000002"/>
  </r>
  <r>
    <x v="0"/>
    <x v="0"/>
    <n v="26"/>
    <n v="25"/>
    <n v="0"/>
    <n v="20260306"/>
    <n v="20260425"/>
    <n v="758.94349999999997"/>
    <n v="51"/>
    <n v="14.881245098039216"/>
    <n v="623.43134173289752"/>
    <n v="372.03112745098042"/>
    <n v="0"/>
    <n v="995.46246918387794"/>
    <n v="475.30587958014013"/>
    <n v="283.63762041985979"/>
    <n v="0"/>
    <n v="758.94349999999986"/>
  </r>
  <r>
    <x v="0"/>
    <x v="0"/>
    <n v="31"/>
    <n v="22"/>
    <n v="0"/>
    <n v="20260228"/>
    <n v="20260422"/>
    <n v="379.85419999999999"/>
    <n v="53"/>
    <n v="7.1670603773584904"/>
    <n v="357.99649200907152"/>
    <n v="157.67532830188679"/>
    <n v="0"/>
    <n v="515.67182031095831"/>
    <n v="263.70739241269814"/>
    <n v="116.14680758730184"/>
    <n v="0"/>
    <n v="379.85419999999999"/>
  </r>
  <r>
    <x v="0"/>
    <x v="0"/>
    <n v="28"/>
    <n v="10"/>
    <n v="0"/>
    <n v="20260304"/>
    <n v="20260410"/>
    <n v="210.8176"/>
    <n v="38"/>
    <n v="5.5478315789473687"/>
    <n v="250.29796214885016"/>
    <n v="55.478315789473683"/>
    <n v="0"/>
    <n v="305.77627793832386"/>
    <n v="172.56804883914103"/>
    <n v="38.249551160858957"/>
    <n v="0"/>
    <n v="210.81759999999997"/>
  </r>
  <r>
    <x v="0"/>
    <x v="0"/>
    <n v="28"/>
    <n v="8"/>
    <n v="0"/>
    <n v="20260304"/>
    <n v="20260408"/>
    <n v="168.65809999999999"/>
    <n v="36"/>
    <n v="4.6849472222222222"/>
    <n v="211.36776158580338"/>
    <n v="37.479577777777777"/>
    <n v="0"/>
    <n v="248.84733936358117"/>
    <n v="143.25604268659421"/>
    <n v="25.402057313405759"/>
    <n v="0"/>
    <n v="168.65809999999996"/>
  </r>
  <r>
    <x v="0"/>
    <x v="0"/>
    <n v="27"/>
    <n v="14"/>
    <n v="0"/>
    <n v="20260305"/>
    <n v="20260414"/>
    <n v="42.157600000000002"/>
    <n v="41"/>
    <n v="1.0282341463414635"/>
    <n v="44.733388879872642"/>
    <n v="14.395278048780488"/>
    <n v="0"/>
    <n v="59.128666928653132"/>
    <n v="31.894044175182557"/>
    <n v="10.263555824817443"/>
    <n v="0"/>
    <n v="42.157600000000002"/>
  </r>
  <r>
    <x v="0"/>
    <x v="0"/>
    <n v="25"/>
    <n v="10"/>
    <n v="0"/>
    <n v="20260307"/>
    <n v="20260410"/>
    <n v="252.76769999999999"/>
    <n v="35"/>
    <n v="7.2219342857142852"/>
    <n v="290.9173046074693"/>
    <n v="72.219342857142848"/>
    <n v="0"/>
    <n v="363.13664746461217"/>
    <n v="202.49814632932467"/>
    <n v="50.269553670675322"/>
    <n v="0"/>
    <n v="252.76769999999999"/>
  </r>
  <r>
    <x v="0"/>
    <x v="0"/>
    <n v="27"/>
    <n v="30"/>
    <n v="4"/>
    <n v="20260305"/>
    <n v="20260504"/>
    <n v="458329.88770000002"/>
    <n v="61"/>
    <n v="7513.6047163934427"/>
    <n v="326879.8287471534"/>
    <n v="225408.14149180328"/>
    <n v="22585.75825539717"/>
    <n v="574873.72849435383"/>
    <n v="260611.65743904668"/>
    <n v="179711.27059012681"/>
    <n v="18006.959670826571"/>
    <n v="458329.88770000008"/>
  </r>
  <r>
    <x v="0"/>
    <x v="0"/>
    <n v="27"/>
    <n v="30"/>
    <n v="8"/>
    <n v="20260305"/>
    <n v="20260508"/>
    <n v="23576.0422"/>
    <n v="65"/>
    <n v="362.70834153846153"/>
    <n v="15779.648390149347"/>
    <n v="10881.250246153846"/>
    <n v="2180.5892719722242"/>
    <n v="28841.48790827542"/>
    <n v="12898.837172702863"/>
    <n v="8894.7149955629011"/>
    <n v="1782.490031734236"/>
    <n v="23576.0422"/>
  </r>
  <r>
    <x v="0"/>
    <x v="0"/>
    <n v="30"/>
    <n v="30"/>
    <n v="4"/>
    <n v="20260302"/>
    <n v="20260504"/>
    <n v="679868.99670000002"/>
    <n v="64"/>
    <n v="10622.9530734375"/>
    <n v="513502.46393837081"/>
    <n v="318688.59220312501"/>
    <n v="31932.402506030929"/>
    <n v="864123.4586475268"/>
    <n v="404009.86857499578"/>
    <n v="250735.57634922583"/>
    <n v="25123.551775778364"/>
    <n v="679868.99670000002"/>
  </r>
  <r>
    <x v="0"/>
    <x v="0"/>
    <n v="27"/>
    <n v="30"/>
    <n v="14"/>
    <n v="20260305"/>
    <n v="20260514"/>
    <n v="379.55180000000001"/>
    <n v="71"/>
    <n v="5.3458000000000006"/>
    <n v="232.56935312339766"/>
    <n v="160.37400000000002"/>
    <n v="56.24281934394876"/>
    <n v="449.18617246734647"/>
    <n v="196.51565879231987"/>
    <n v="135.51227554233088"/>
    <n v="47.523865665349248"/>
    <n v="379.55180000000001"/>
  </r>
  <r>
    <x v="0"/>
    <x v="0"/>
    <n v="28"/>
    <n v="30"/>
    <n v="6"/>
    <n v="20260304"/>
    <n v="20260506"/>
    <n v="159307.6421"/>
    <n v="64"/>
    <n v="2489.1819078125"/>
    <n v="112302.82500058683"/>
    <n v="74675.457234375004"/>
    <n v="11223.652882796438"/>
    <n v="198201.93511775829"/>
    <n v="90265.002919285165"/>
    <n v="60021.467538546705"/>
    <n v="9021.1716421681267"/>
    <n v="159307.6421"/>
  </r>
  <r>
    <x v="0"/>
    <x v="0"/>
    <n v="25"/>
    <n v="30"/>
    <n v="11"/>
    <n v="20260307"/>
    <n v="20260511"/>
    <n v="17496.224399999999"/>
    <n v="66"/>
    <n v="265.09430909090906"/>
    <n v="10678.651842631522"/>
    <n v="7952.8292727272719"/>
    <n v="2191.388762986136"/>
    <n v="20822.869878344929"/>
    <n v="8972.6387390269247"/>
    <n v="6682.291460469175"/>
    <n v="1841.2942005038992"/>
    <n v="17496.224399999999"/>
  </r>
  <r>
    <x v="0"/>
    <x v="0"/>
    <n v="23"/>
    <n v="30"/>
    <n v="11"/>
    <n v="20260309"/>
    <n v="20260511"/>
    <n v="21581.149399999998"/>
    <n v="64"/>
    <n v="337.20545937499998"/>
    <n v="12496.789295300037"/>
    <n v="10116.163781249999"/>
    <n v="2787.4919572058584"/>
    <n v="25400.445033755896"/>
    <n v="10617.730376132378"/>
    <n v="8595.0636545104262"/>
    <n v="2368.3553693571935"/>
    <n v="21581.149399999998"/>
  </r>
  <r>
    <x v="0"/>
    <x v="0"/>
    <n v="28"/>
    <n v="30"/>
    <n v="11"/>
    <n v="20260304"/>
    <n v="20260511"/>
    <n v="6749.0106999999998"/>
    <n v="69"/>
    <n v="97.811749275362317"/>
    <n v="4412.9100116775044"/>
    <n v="2934.3524782608697"/>
    <n v="808.55590218099053"/>
    <n v="8155.818392119364"/>
    <n v="3651.721440453663"/>
    <n v="2428.2022135865486"/>
    <n v="669.08704595978861"/>
    <n v="6749.0107000000007"/>
  </r>
  <r>
    <x v="0"/>
    <x v="0"/>
    <n v="29"/>
    <n v="30"/>
    <n v="8"/>
    <n v="20260303"/>
    <n v="20260508"/>
    <n v="7593.7043999999996"/>
    <n v="67"/>
    <n v="113.33887164179104"/>
    <n v="5296.0599999067945"/>
    <n v="3400.1661492537314"/>
    <n v="681.38914741038354"/>
    <n v="9377.6152965709098"/>
    <n v="4288.5864745019098"/>
    <n v="2753.3499543066773"/>
    <n v="551.76797119141156"/>
    <n v="7593.7043999999987"/>
  </r>
  <r>
    <x v="0"/>
    <x v="0"/>
    <n v="22"/>
    <n v="30"/>
    <n v="6"/>
    <n v="20260310"/>
    <n v="20260506"/>
    <n v="20942.9954"/>
    <n v="58"/>
    <n v="361.08612758620689"/>
    <n v="12799.986119392093"/>
    <n v="10832.583827586206"/>
    <n v="1628.127435805711"/>
    <n v="25260.697382784012"/>
    <n v="10612.139734558197"/>
    <n v="8981.0170255184403"/>
    <n v="1349.8386399233618"/>
    <n v="20942.995399999996"/>
  </r>
  <r>
    <x v="0"/>
    <x v="0"/>
    <n v="26"/>
    <n v="30"/>
    <n v="9"/>
    <n v="20260306"/>
    <n v="20260509"/>
    <n v="16783.4447"/>
    <n v="65"/>
    <n v="258.20684153846156"/>
    <n v="10817.255989295349"/>
    <n v="7746.2052461538469"/>
    <n v="1746.3713392913751"/>
    <n v="20309.832574740569"/>
    <n v="8939.0602819581036"/>
    <n v="6401.2348159563126"/>
    <n v="1443.1496020855864"/>
    <n v="16783.4447"/>
  </r>
  <r>
    <x v="0"/>
    <x v="0"/>
    <n v="25"/>
    <n v="30"/>
    <n v="10"/>
    <n v="20260307"/>
    <n v="20260510"/>
    <n v="5818.0214999999998"/>
    <n v="65"/>
    <n v="89.508023076923081"/>
    <n v="3605.603676814153"/>
    <n v="2685.2406923076924"/>
    <n v="672.64869774260444"/>
    <n v="6963.4930668644502"/>
    <n v="3012.4938031466468"/>
    <n v="2243.5274840527313"/>
    <n v="562.00021280062163"/>
    <n v="5818.0214999999998"/>
  </r>
  <r>
    <x v="0"/>
    <x v="0"/>
    <n v="24"/>
    <n v="30"/>
    <n v="11"/>
    <n v="20260308"/>
    <n v="20260511"/>
    <n v="8304.6576000000005"/>
    <n v="65"/>
    <n v="127.76396307692309"/>
    <n v="4940.7812979296996"/>
    <n v="3832.9188923076927"/>
    <n v="1056.1543699730305"/>
    <n v="9829.8545602104223"/>
    <n v="4174.1713170282555"/>
    <n v="3238.2044733432226"/>
    <n v="892.28180962852252"/>
    <n v="8304.6576000000005"/>
  </r>
  <r>
    <x v="0"/>
    <x v="0"/>
    <n v="20"/>
    <n v="30"/>
    <n v="9"/>
    <n v="20260312"/>
    <n v="20260509"/>
    <n v="126.4461"/>
    <n v="59"/>
    <n v="2.1431542372881358"/>
    <n v="69.065225952360038"/>
    <n v="64.294627118644073"/>
    <n v="14.49513542468766"/>
    <n v="147.85498849569177"/>
    <n v="59.06482125592386"/>
    <n v="54.984988554130986"/>
    <n v="12.396290189945161"/>
    <n v="126.44610000000002"/>
  </r>
  <r>
    <x v="0"/>
    <x v="0"/>
    <n v="21"/>
    <n v="30"/>
    <n v="8"/>
    <n v="20260311"/>
    <n v="20260508"/>
    <n v="716.42719999999997"/>
    <n v="59"/>
    <n v="12.142833898305085"/>
    <n v="410.88034165338001"/>
    <n v="364.28501694915258"/>
    <n v="73.002272894175917"/>
    <n v="848.16763149670851"/>
    <n v="347.06093674705005"/>
    <n v="307.70296460652742"/>
    <n v="61.663298646422476"/>
    <n v="716.42719999999997"/>
  </r>
  <r>
    <x v="0"/>
    <x v="0"/>
    <n v="0"/>
    <n v="15"/>
    <n v="4"/>
    <n v="20260416"/>
    <n v="20260504"/>
    <n v="84.445599999999999"/>
    <n v="19"/>
    <n v="4.444505263157895"/>
    <n v="0"/>
    <n v="66.667578947368426"/>
    <n v="13.360101472933032"/>
    <n v="80.027680420301465"/>
    <n v="0"/>
    <n v="70.347955547262472"/>
    <n v="14.097644452737516"/>
    <n v="84.445599999999985"/>
  </r>
  <r>
    <x v="0"/>
    <x v="0"/>
    <n v="0"/>
    <n v="10"/>
    <n v="5"/>
    <n v="20260421"/>
    <n v="20260505"/>
    <n v="84.398200000000003"/>
    <n v="15"/>
    <n v="5.626546666666667"/>
    <n v="0"/>
    <n v="56.265466666666669"/>
    <n v="21.141620371107784"/>
    <n v="77.40708703777446"/>
    <n v="0"/>
    <n v="61.347149086094809"/>
    <n v="23.051050913905183"/>
    <n v="84.398199999999989"/>
  </r>
  <r>
    <x v="0"/>
    <x v="0"/>
    <n v="0"/>
    <n v="7"/>
    <n v="7"/>
    <n v="20260424"/>
    <n v="20260507"/>
    <n v="42.177399999999999"/>
    <n v="14"/>
    <n v="3.0126714285714287"/>
    <n v="0"/>
    <n v="21.088699999999999"/>
    <n v="15.848061552977931"/>
    <n v="36.936761552977927"/>
    <n v="0"/>
    <n v="24.080793712904406"/>
    <n v="18.0966062870956"/>
    <n v="42.177400000000006"/>
  </r>
  <r>
    <x v="0"/>
    <x v="0"/>
    <n v="0"/>
    <n v="17"/>
    <n v="3"/>
    <n v="20260414"/>
    <n v="20260503"/>
    <n v="253.34880000000001"/>
    <n v="20"/>
    <n v="12.667440000000001"/>
    <n v="0"/>
    <n v="215.34648000000001"/>
    <n v="28.558569590157973"/>
    <n v="243.905049590158"/>
    <n v="0"/>
    <n v="223.68447223171188"/>
    <n v="29.664327768288118"/>
    <n v="253.34879999999998"/>
  </r>
  <r>
    <x v="0"/>
    <x v="0"/>
    <n v="0"/>
    <n v="23"/>
    <n v="7"/>
    <n v="20260408"/>
    <n v="20260507"/>
    <n v="42.207999999999998"/>
    <n v="30"/>
    <n v="1.4069333333333334"/>
    <n v="0"/>
    <n v="32.35946666666667"/>
    <n v="7.4011277353853773"/>
    <n v="39.76059440205205"/>
    <n v="0"/>
    <n v="34.351306604112949"/>
    <n v="7.8566933958870511"/>
    <n v="42.207999999999998"/>
  </r>
  <r>
    <x v="0"/>
    <x v="0"/>
    <n v="0"/>
    <n v="21"/>
    <n v="4"/>
    <n v="20260410"/>
    <n v="20260504"/>
    <n v="84.431799999999996"/>
    <n v="25"/>
    <n v="3.3772719999999996"/>
    <n v="0"/>
    <n v="70.92271199999999"/>
    <n v="10.1520178175324"/>
    <n v="81.074729817532386"/>
    <n v="0"/>
    <n v="73.859416473154454"/>
    <n v="10.572383526845536"/>
    <n v="84.431799999999996"/>
  </r>
  <r>
    <x v="0"/>
    <x v="0"/>
    <n v="2"/>
    <n v="30"/>
    <n v="1"/>
    <n v="20260330"/>
    <n v="20260501"/>
    <n v="801.29480000000001"/>
    <n v="33"/>
    <n v="24.281660606060605"/>
    <n v="78.25000865911214"/>
    <n v="728.44981818181816"/>
    <n v="18.247556838181961"/>
    <n v="824.94738367911225"/>
    <n v="76.00645359812556"/>
    <n v="707.56397670701017"/>
    <n v="17.724369694864297"/>
    <n v="801.29480000000001"/>
  </r>
  <r>
    <x v="0"/>
    <x v="0"/>
    <n v="14"/>
    <n v="30"/>
    <n v="4"/>
    <n v="20260318"/>
    <n v="20260504"/>
    <n v="548.17719999999997"/>
    <n v="48"/>
    <n v="11.420358333333333"/>
    <n v="257.62249422731531"/>
    <n v="342.61075"/>
    <n v="34.329388122308373"/>
    <n v="634.56263234962364"/>
    <n v="222.55136111566154"/>
    <n v="295.96984135274755"/>
    <n v="29.655997531590899"/>
    <n v="548.17719999999997"/>
  </r>
  <r>
    <x v="0"/>
    <x v="0"/>
    <n v="1"/>
    <n v="30"/>
    <n v="6"/>
    <n v="20260331"/>
    <n v="20260506"/>
    <n v="506.04539999999997"/>
    <n v="37"/>
    <n v="13.676902702702701"/>
    <n v="22.037573382629329"/>
    <n v="410.30708108108104"/>
    <n v="61.668778792392885"/>
    <n v="494.01343325610321"/>
    <n v="22.5743105079911"/>
    <n v="420.30033394024696"/>
    <n v="63.170755551761971"/>
    <n v="506.04540000000009"/>
  </r>
  <r>
    <x v="0"/>
    <x v="0"/>
    <n v="21"/>
    <n v="30"/>
    <n v="3"/>
    <n v="20260311"/>
    <n v="20260503"/>
    <n v="126.4135"/>
    <n v="54"/>
    <n v="2.3409907407407409"/>
    <n v="79.212734310498433"/>
    <n v="70.229722222222222"/>
    <n v="5.2777314895006322"/>
    <n v="154.72018802222129"/>
    <n v="64.720442217417826"/>
    <n v="57.380908746464364"/>
    <n v="4.3121490361178116"/>
    <n v="126.41350000000001"/>
  </r>
  <r>
    <x v="0"/>
    <x v="0"/>
    <n v="13"/>
    <n v="30"/>
    <n v="1"/>
    <n v="20260319"/>
    <n v="20260501"/>
    <n v="927.79319999999996"/>
    <n v="44"/>
    <n v="21.08620909090909"/>
    <n v="441.69031351207275"/>
    <n v="632.58627272727267"/>
    <n v="15.846189646193938"/>
    <n v="1090.1227758855393"/>
    <n v="375.91845473504452"/>
    <n v="538.38820290030651"/>
    <n v="13.486542364649043"/>
    <n v="927.79320000000007"/>
  </r>
  <r>
    <x v="0"/>
    <x v="0"/>
    <n v="11"/>
    <n v="30"/>
    <n v="1"/>
    <n v="20260321"/>
    <n v="20260501"/>
    <n v="928.16279999999995"/>
    <n v="42"/>
    <n v="22.099114285714286"/>
    <n v="391.69097688538238"/>
    <n v="662.9734285714286"/>
    <n v="16.607383265269739"/>
    <n v="1071.2717887220808"/>
    <n v="339.36578715878795"/>
    <n v="574.40817565307532"/>
    <n v="14.388837188136611"/>
    <n v="928.16279999999983"/>
  </r>
  <r>
    <x v="0"/>
    <x v="0"/>
    <n v="14"/>
    <n v="30"/>
    <n v="5"/>
    <n v="20260318"/>
    <n v="20260505"/>
    <n v="84.334999999999994"/>
    <n v="49"/>
    <n v="1.7211224489795918"/>
    <n v="38.825389294709609"/>
    <n v="51.633673469387752"/>
    <n v="6.4670782247461176"/>
    <n v="96.926140988843471"/>
    <n v="33.781796868877947"/>
    <n v="44.926227410023849"/>
    <n v="5.626975721098205"/>
    <n v="84.335000000000008"/>
  </r>
  <r>
    <x v="0"/>
    <x v="0"/>
    <n v="5"/>
    <n v="30"/>
    <n v="4"/>
    <n v="20260327"/>
    <n v="20260504"/>
    <n v="126.5528"/>
    <n v="39"/>
    <n v="3.2449435897435897"/>
    <n v="26.142864373574774"/>
    <n v="97.348307692307685"/>
    <n v="9.7542410383186411"/>
    <n v="133.24541310420111"/>
    <n v="24.829767940370633"/>
    <n v="92.45872429461248"/>
    <n v="9.2643077650168735"/>
    <n v="126.55279999999999"/>
  </r>
  <r>
    <x v="0"/>
    <x v="0"/>
    <n v="19"/>
    <n v="30"/>
    <n v="3"/>
    <n v="20260313"/>
    <n v="20260503"/>
    <n v="505.73700000000002"/>
    <n v="52"/>
    <n v="9.7257115384615389"/>
    <n v="297.74947159715919"/>
    <n v="291.77134615384614"/>
    <n v="21.926483155630198"/>
    <n v="611.44730090663552"/>
    <n v="246.27294011086926"/>
    <n v="241.32834517547278"/>
    <n v="18.135714713658015"/>
    <n v="505.73700000000002"/>
  </r>
  <r>
    <x v="0"/>
    <x v="0"/>
    <n v="4"/>
    <n v="30"/>
    <n v="5"/>
    <n v="20260328"/>
    <n v="20260505"/>
    <n v="42.179299999999998"/>
    <n v="39"/>
    <n v="1.0815205128205128"/>
    <n v="6.9706097013883364"/>
    <n v="32.44561538461538"/>
    <n v="4.0637885829822951"/>
    <n v="43.480013668986011"/>
    <n v="6.7620824596816584"/>
    <n v="31.474998039581408"/>
    <n v="3.9422195007369343"/>
    <n v="42.179299999999998"/>
  </r>
  <r>
    <x v="0"/>
    <x v="0"/>
    <n v="0"/>
    <n v="28"/>
    <n v="4"/>
    <n v="20260403"/>
    <n v="20260504"/>
    <n v="337.36360000000002"/>
    <n v="32"/>
    <n v="10.542612500000001"/>
    <n v="0"/>
    <n v="295.19315"/>
    <n v="31.690900212757462"/>
    <n v="326.88405021275747"/>
    <n v="0"/>
    <n v="304.65672373589967"/>
    <n v="32.706876264100352"/>
    <n v="337.36360000000002"/>
  </r>
  <r>
    <x v="0"/>
    <x v="0"/>
    <n v="20"/>
    <n v="30"/>
    <n v="6"/>
    <n v="20260312"/>
    <n v="20260506"/>
    <n v="42.141800000000003"/>
    <n v="56"/>
    <n v="0.75253214285714287"/>
    <n v="24.251078890433888"/>
    <n v="22.575964285714285"/>
    <n v="3.3931467716628476"/>
    <n v="50.220189947811022"/>
    <n v="20.350064733863732"/>
    <n v="18.944408070228402"/>
    <n v="2.8473271959078708"/>
    <n v="42.141800000000011"/>
  </r>
  <r>
    <x v="0"/>
    <x v="0"/>
    <n v="0"/>
    <n v="28"/>
    <n v="3"/>
    <n v="20260403"/>
    <n v="20260503"/>
    <n v="168.68170000000001"/>
    <n v="31"/>
    <n v="5.4413451612903225"/>
    <n v="0"/>
    <n v="152.35766451612903"/>
    <n v="12.267437971111686"/>
    <n v="164.62510248724072"/>
    <n v="0"/>
    <n v="156.11197484661974"/>
    <n v="12.569725153380242"/>
    <n v="168.68169999999998"/>
  </r>
  <r>
    <x v="0"/>
    <x v="0"/>
    <n v="31"/>
    <n v="30"/>
    <n v="1"/>
    <n v="20260227"/>
    <n v="20260501"/>
    <n v="1899.271"/>
    <n v="62"/>
    <n v="30.63340322580645"/>
    <n v="1530.1462964903862"/>
    <n v="919.00209677419355"/>
    <n v="23.020862352813278"/>
    <n v="2472.169255617393"/>
    <n v="1175.5515849402532"/>
    <n v="706.0333864181639"/>
    <n v="17.686028641582954"/>
    <n v="1899.271"/>
  </r>
  <r>
    <x v="0"/>
    <x v="0"/>
    <n v="31"/>
    <n v="30"/>
    <n v="6"/>
    <n v="20260226"/>
    <n v="20260506"/>
    <n v="464.2663"/>
    <n v="67"/>
    <n v="6.9293477611940295"/>
    <n v="346.12268626271322"/>
    <n v="207.8804328358209"/>
    <n v="31.244238812651176"/>
    <n v="585.2473579111853"/>
    <n v="274.57295915146494"/>
    <n v="164.90784296668505"/>
    <n v="24.785497881849935"/>
    <n v="464.26629999999994"/>
  </r>
  <r>
    <x v="0"/>
    <x v="0"/>
    <n v="31"/>
    <n v="30"/>
    <n v="4"/>
    <n v="20260227"/>
    <n v="20260504"/>
    <n v="801.89559999999994"/>
    <n v="65"/>
    <n v="12.336855384615383"/>
    <n v="616.22906988029399"/>
    <n v="370.1056615384615"/>
    <n v="37.084361483746619"/>
    <n v="1023.4190929025021"/>
    <n v="482.84362013185199"/>
    <n v="289.99468896077684"/>
    <n v="29.057290907371126"/>
    <n v="801.89559999999994"/>
  </r>
  <r>
    <x v="0"/>
    <x v="0"/>
    <n v="31"/>
    <n v="30"/>
    <n v="7"/>
    <n v="20260228"/>
    <n v="20260507"/>
    <n v="253.2183"/>
    <n v="68"/>
    <n v="3.7237985294117646"/>
    <n v="186.0046853643619"/>
    <n v="111.71395588235293"/>
    <n v="19.58892288927456"/>
    <n v="317.30756413598937"/>
    <n v="148.43576246991992"/>
    <n v="89.150153327832228"/>
    <n v="15.632384202247868"/>
    <n v="253.2183"/>
  </r>
  <r>
    <x v="0"/>
    <x v="0"/>
    <n v="0"/>
    <n v="24"/>
    <n v="2"/>
    <n v="20260407"/>
    <n v="20260502"/>
    <n v="211.0153"/>
    <n v="26"/>
    <n v="8.1159730769230762"/>
    <n v="0"/>
    <n v="194.78335384615383"/>
    <n v="12.198233260977549"/>
    <n v="206.98158710713139"/>
    <n v="0"/>
    <n v="198.57934428523936"/>
    <n v="12.435955714760629"/>
    <n v="211.01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E2FAA0-0CC2-48B9-AF6F-C309E50BD0D4}" name="피벗 테이블1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8:F10" firstHeaderRow="0" firstDataRow="1" firstDataCol="2"/>
  <pivotFields count="18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2">
    <field x="0"/>
    <field x="1"/>
  </rowFields>
  <rowItems count="2">
    <i>
      <x/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합계 : 3월보정공급량" fld="14" baseField="0" baseItem="0"/>
    <dataField name="합계 : 4월보정공급량" fld="15" baseField="0" baseItem="0"/>
    <dataField name="합계 : 5월보정공급량" fld="16" baseField="0" baseItem="0"/>
    <dataField name="합계 : 보정공급량합계" fld="17" baseField="0" baseItem="0"/>
  </dataFields>
  <formats count="2">
    <format dxfId="1">
      <pivotArea outline="0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B5584-860F-484C-89F2-3CFEF0EFE2A4}">
  <dimension ref="A2:F10"/>
  <sheetViews>
    <sheetView tabSelected="1" workbookViewId="0">
      <selection activeCell="C10" sqref="C10"/>
    </sheetView>
  </sheetViews>
  <sheetFormatPr defaultRowHeight="16.5" x14ac:dyDescent="0.3"/>
  <cols>
    <col min="1" max="1" width="11.875" bestFit="1" customWidth="1"/>
    <col min="2" max="2" width="20.625" customWidth="1"/>
    <col min="3" max="5" width="20.625" bestFit="1" customWidth="1"/>
    <col min="6" max="6" width="21.5" bestFit="1" customWidth="1"/>
  </cols>
  <sheetData>
    <row r="2" spans="1:6" x14ac:dyDescent="0.3">
      <c r="A2" s="3" t="s">
        <v>19</v>
      </c>
      <c r="B2" s="4" t="s">
        <v>21</v>
      </c>
      <c r="C2" s="4" t="s">
        <v>25</v>
      </c>
      <c r="D2" s="4" t="s">
        <v>29</v>
      </c>
    </row>
    <row r="3" spans="1:6" x14ac:dyDescent="0.3">
      <c r="A3" s="3" t="s">
        <v>14</v>
      </c>
      <c r="B3" s="5">
        <v>4660800</v>
      </c>
      <c r="C3" s="5">
        <v>2799265</v>
      </c>
      <c r="D3" s="5">
        <v>2173756</v>
      </c>
    </row>
    <row r="4" spans="1:6" x14ac:dyDescent="0.3">
      <c r="A4" s="3" t="s">
        <v>15</v>
      </c>
      <c r="B4" s="5">
        <v>31</v>
      </c>
      <c r="C4" s="5">
        <v>30</v>
      </c>
      <c r="D4" s="5">
        <v>31</v>
      </c>
    </row>
    <row r="5" spans="1:6" x14ac:dyDescent="0.3">
      <c r="A5" s="3" t="s">
        <v>11</v>
      </c>
      <c r="B5" s="5">
        <f>B3/B4</f>
        <v>150348.38709677418</v>
      </c>
      <c r="C5" s="5">
        <f>C3/C4</f>
        <v>93308.833333333328</v>
      </c>
      <c r="D5" s="5">
        <f>D3/D4</f>
        <v>70121.161290322576</v>
      </c>
    </row>
    <row r="6" spans="1:6" x14ac:dyDescent="0.3">
      <c r="A6" s="3" t="s">
        <v>16</v>
      </c>
      <c r="B6" s="5">
        <f>B5/C5</f>
        <v>1.6112985419041161</v>
      </c>
      <c r="C6" s="5">
        <v>1</v>
      </c>
      <c r="D6" s="5">
        <f>D5/C5</f>
        <v>0.75149542423088822</v>
      </c>
    </row>
    <row r="7" spans="1:6" ht="17.25" thickBot="1" x14ac:dyDescent="0.35"/>
    <row r="8" spans="1:6" x14ac:dyDescent="0.3">
      <c r="A8" s="2" t="s">
        <v>1</v>
      </c>
      <c r="B8" s="2" t="s">
        <v>20</v>
      </c>
      <c r="C8" s="7" t="s">
        <v>24</v>
      </c>
      <c r="D8" t="s">
        <v>28</v>
      </c>
      <c r="E8" t="s">
        <v>32</v>
      </c>
      <c r="F8" t="s">
        <v>18</v>
      </c>
    </row>
    <row r="9" spans="1:6" x14ac:dyDescent="0.3">
      <c r="A9" t="s">
        <v>0</v>
      </c>
      <c r="B9" t="s">
        <v>0</v>
      </c>
      <c r="C9" s="8">
        <v>10942223.764336009</v>
      </c>
      <c r="D9" s="6">
        <v>7131013.6888419464</v>
      </c>
      <c r="E9" s="6">
        <v>493149.75192205457</v>
      </c>
      <c r="F9" s="6">
        <v>18566387.205100007</v>
      </c>
    </row>
    <row r="10" spans="1:6" ht="17.25" thickBot="1" x14ac:dyDescent="0.35">
      <c r="A10" t="s">
        <v>17</v>
      </c>
      <c r="C10" s="9">
        <v>10942223.764336009</v>
      </c>
      <c r="D10" s="6">
        <v>7131013.6888419464</v>
      </c>
      <c r="E10" s="6">
        <v>493149.75192205457</v>
      </c>
      <c r="F10" s="6">
        <v>18566387.205100007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CD250-BD35-43B0-BC0C-0A915CDB444C}">
  <dimension ref="A2:R439"/>
  <sheetViews>
    <sheetView workbookViewId="0">
      <selection activeCell="F2" sqref="F2:I6"/>
    </sheetView>
  </sheetViews>
  <sheetFormatPr defaultRowHeight="16.5" x14ac:dyDescent="0.3"/>
  <cols>
    <col min="1" max="1" width="10.375" customWidth="1"/>
    <col min="2" max="2" width="13.625" customWidth="1"/>
    <col min="3" max="4" width="12.75" bestFit="1" customWidth="1"/>
    <col min="6" max="7" width="15.125" bestFit="1" customWidth="1"/>
    <col min="8" max="9" width="12.75" bestFit="1" customWidth="1"/>
    <col min="11" max="13" width="10.625" bestFit="1" customWidth="1"/>
    <col min="14" max="14" width="11.625" bestFit="1" customWidth="1"/>
    <col min="15" max="17" width="14.125" bestFit="1" customWidth="1"/>
    <col min="18" max="18" width="15.125" bestFit="1" customWidth="1"/>
  </cols>
  <sheetData>
    <row r="2" spans="1:18" x14ac:dyDescent="0.3">
      <c r="B2" s="1" t="s">
        <v>21</v>
      </c>
      <c r="C2" s="1" t="s">
        <v>25</v>
      </c>
      <c r="D2" s="1" t="s">
        <v>29</v>
      </c>
    </row>
    <row r="3" spans="1:18" x14ac:dyDescent="0.3">
      <c r="A3" t="s">
        <v>14</v>
      </c>
      <c r="B3">
        <v>4660800</v>
      </c>
      <c r="C3">
        <v>2799265</v>
      </c>
      <c r="D3">
        <v>2173756</v>
      </c>
    </row>
    <row r="4" spans="1:18" x14ac:dyDescent="0.3">
      <c r="A4" t="s">
        <v>15</v>
      </c>
      <c r="B4">
        <v>31</v>
      </c>
      <c r="C4">
        <v>30</v>
      </c>
      <c r="D4">
        <v>31</v>
      </c>
    </row>
    <row r="5" spans="1:18" x14ac:dyDescent="0.3">
      <c r="A5" t="s">
        <v>11</v>
      </c>
      <c r="B5">
        <f>B3/B4</f>
        <v>150348.38709677418</v>
      </c>
      <c r="C5">
        <f>C3/C4</f>
        <v>93308.833333333328</v>
      </c>
      <c r="D5">
        <f>D3/D4</f>
        <v>70121.161290322576</v>
      </c>
    </row>
    <row r="6" spans="1:18" x14ac:dyDescent="0.3">
      <c r="A6" t="s">
        <v>16</v>
      </c>
      <c r="B6">
        <f>B5/C5</f>
        <v>1.6112985419041161</v>
      </c>
      <c r="C6">
        <v>1</v>
      </c>
      <c r="D6">
        <f>D5/C5</f>
        <v>0.75149542423088822</v>
      </c>
    </row>
    <row r="9" spans="1:18" x14ac:dyDescent="0.3">
      <c r="A9" t="s">
        <v>2</v>
      </c>
      <c r="B9" t="s">
        <v>3</v>
      </c>
      <c r="C9" t="s">
        <v>4</v>
      </c>
      <c r="D9" t="s">
        <v>5</v>
      </c>
      <c r="E9" t="s">
        <v>6</v>
      </c>
      <c r="F9" t="s">
        <v>7</v>
      </c>
      <c r="G9" t="s">
        <v>8</v>
      </c>
      <c r="H9" t="s">
        <v>9</v>
      </c>
      <c r="I9" t="s">
        <v>10</v>
      </c>
      <c r="J9" t="s">
        <v>11</v>
      </c>
      <c r="K9" t="s">
        <v>22</v>
      </c>
      <c r="L9" t="s">
        <v>26</v>
      </c>
      <c r="M9" t="s">
        <v>30</v>
      </c>
      <c r="N9" t="s">
        <v>12</v>
      </c>
      <c r="O9" t="s">
        <v>23</v>
      </c>
      <c r="P9" t="s">
        <v>27</v>
      </c>
      <c r="Q9" t="s">
        <v>31</v>
      </c>
      <c r="R9" t="s">
        <v>13</v>
      </c>
    </row>
    <row r="10" spans="1:18" x14ac:dyDescent="0.3">
      <c r="A10" t="s">
        <v>0</v>
      </c>
      <c r="B10" t="s">
        <v>0</v>
      </c>
      <c r="C10">
        <v>27</v>
      </c>
      <c r="D10">
        <v>27</v>
      </c>
      <c r="E10">
        <v>0</v>
      </c>
      <c r="F10">
        <v>20260305</v>
      </c>
      <c r="G10">
        <v>20260427</v>
      </c>
      <c r="H10">
        <v>927.77149999999995</v>
      </c>
      <c r="I10">
        <f>IF(C10&lt;0,0,C10)+D10+E10</f>
        <v>54</v>
      </c>
      <c r="J10">
        <f>H10/I10</f>
        <v>17.180953703703704</v>
      </c>
      <c r="K10">
        <f t="shared" ref="K10" si="0">IF(C10&lt;0,0,C10)*$J10*$B$6</f>
        <v>747.4584325850974</v>
      </c>
      <c r="L10">
        <f t="shared" ref="L10" si="1">IF(D10&lt;0,0,D10)*$J10*$C$6</f>
        <v>463.88575000000003</v>
      </c>
      <c r="M10">
        <f t="shared" ref="M10" si="2">IF(E10&lt;0,0,E10)*$J10*$D$6</f>
        <v>0</v>
      </c>
      <c r="N10">
        <f>K10+L10+M10</f>
        <v>1211.3441825850973</v>
      </c>
      <c r="O10">
        <f>K10/$N10*$H10</f>
        <v>572.48025883709408</v>
      </c>
      <c r="P10">
        <f>L10/$N10*$H10</f>
        <v>355.29124116290598</v>
      </c>
      <c r="Q10">
        <f>M10/$N10*$H10</f>
        <v>0</v>
      </c>
      <c r="R10">
        <f>O10+P10+Q10</f>
        <v>927.77150000000006</v>
      </c>
    </row>
    <row r="11" spans="1:18" x14ac:dyDescent="0.3">
      <c r="A11" t="s">
        <v>0</v>
      </c>
      <c r="B11" t="s">
        <v>0</v>
      </c>
      <c r="C11">
        <v>23</v>
      </c>
      <c r="D11">
        <v>25</v>
      </c>
      <c r="E11">
        <v>0</v>
      </c>
      <c r="F11">
        <v>20260309</v>
      </c>
      <c r="G11">
        <v>20260425</v>
      </c>
      <c r="H11">
        <v>294.98559999999998</v>
      </c>
      <c r="I11">
        <f t="shared" ref="I11:I74" si="3">IF(C11&lt;0,0,C11)+D11+E11</f>
        <v>48</v>
      </c>
      <c r="J11">
        <f t="shared" ref="J11:J74" si="4">H11/I11</f>
        <v>6.1455333333333328</v>
      </c>
      <c r="K11">
        <f t="shared" ref="K11:K74" si="5">IF(C11&lt;0,0,C11)*$J11*$B$6</f>
        <v>227.75264468213226</v>
      </c>
      <c r="L11">
        <f t="shared" ref="L11:L74" si="6">IF(D11&lt;0,0,D11)*$J11*$C$6</f>
        <v>153.63833333333332</v>
      </c>
      <c r="M11">
        <f t="shared" ref="M11:M74" si="7">IF(E11&lt;0,0,E11)*$J11*$D$6</f>
        <v>0</v>
      </c>
      <c r="N11">
        <f t="shared" ref="N11:N74" si="8">K11+L11+M11</f>
        <v>381.39097801546558</v>
      </c>
      <c r="O11">
        <f t="shared" ref="O11:O74" si="9">K11/$N11*$H11</f>
        <v>176.15453541331868</v>
      </c>
      <c r="P11">
        <f t="shared" ref="P11:P74" si="10">L11/$N11*$H11</f>
        <v>118.83106458668126</v>
      </c>
      <c r="Q11">
        <f t="shared" ref="Q11:Q74" si="11">M11/$N11*$H11</f>
        <v>0</v>
      </c>
      <c r="R11">
        <f t="shared" ref="R11:R74" si="12">O11+P11+Q11</f>
        <v>294.98559999999998</v>
      </c>
    </row>
    <row r="12" spans="1:18" x14ac:dyDescent="0.3">
      <c r="A12" t="s">
        <v>0</v>
      </c>
      <c r="B12" t="s">
        <v>0</v>
      </c>
      <c r="C12">
        <v>29</v>
      </c>
      <c r="D12">
        <v>17</v>
      </c>
      <c r="E12">
        <v>0</v>
      </c>
      <c r="F12">
        <v>20260303</v>
      </c>
      <c r="G12">
        <v>20260417</v>
      </c>
      <c r="H12">
        <v>674.822</v>
      </c>
      <c r="I12">
        <f t="shared" si="3"/>
        <v>46</v>
      </c>
      <c r="J12">
        <f t="shared" si="4"/>
        <v>14.670043478260869</v>
      </c>
      <c r="K12">
        <f t="shared" si="5"/>
        <v>685.49677031956014</v>
      </c>
      <c r="L12">
        <f t="shared" si="6"/>
        <v>249.39073913043478</v>
      </c>
      <c r="M12">
        <f t="shared" si="7"/>
        <v>0</v>
      </c>
      <c r="N12">
        <f t="shared" si="8"/>
        <v>934.88750944999492</v>
      </c>
      <c r="O12">
        <f t="shared" si="9"/>
        <v>494.80637709314595</v>
      </c>
      <c r="P12">
        <f t="shared" si="10"/>
        <v>180.01562290685408</v>
      </c>
      <c r="Q12">
        <f t="shared" si="11"/>
        <v>0</v>
      </c>
      <c r="R12">
        <f t="shared" si="12"/>
        <v>674.822</v>
      </c>
    </row>
    <row r="13" spans="1:18" x14ac:dyDescent="0.3">
      <c r="A13" t="s">
        <v>0</v>
      </c>
      <c r="B13" t="s">
        <v>0</v>
      </c>
      <c r="C13">
        <v>26</v>
      </c>
      <c r="D13">
        <v>17</v>
      </c>
      <c r="E13">
        <v>0</v>
      </c>
      <c r="F13">
        <v>20260306</v>
      </c>
      <c r="G13">
        <v>20260417</v>
      </c>
      <c r="H13">
        <v>126.452</v>
      </c>
      <c r="I13">
        <f t="shared" si="3"/>
        <v>43</v>
      </c>
      <c r="J13">
        <f t="shared" si="4"/>
        <v>2.9407441860465116</v>
      </c>
      <c r="K13">
        <f t="shared" si="5"/>
        <v>123.19883729633354</v>
      </c>
      <c r="L13">
        <f t="shared" si="6"/>
        <v>49.992651162790693</v>
      </c>
      <c r="M13">
        <f t="shared" si="7"/>
        <v>0</v>
      </c>
      <c r="N13">
        <f t="shared" si="8"/>
        <v>173.19148845912423</v>
      </c>
      <c r="O13">
        <f t="shared" si="9"/>
        <v>89.950952627055827</v>
      </c>
      <c r="P13">
        <f t="shared" si="10"/>
        <v>36.501047372944178</v>
      </c>
      <c r="Q13">
        <f t="shared" si="11"/>
        <v>0</v>
      </c>
      <c r="R13">
        <f t="shared" si="12"/>
        <v>126.452</v>
      </c>
    </row>
    <row r="14" spans="1:18" x14ac:dyDescent="0.3">
      <c r="A14" t="s">
        <v>0</v>
      </c>
      <c r="B14" t="s">
        <v>0</v>
      </c>
      <c r="C14">
        <v>25</v>
      </c>
      <c r="D14">
        <v>20</v>
      </c>
      <c r="E14">
        <v>0</v>
      </c>
      <c r="F14">
        <v>20260307</v>
      </c>
      <c r="G14">
        <v>20260420</v>
      </c>
      <c r="H14">
        <v>126.4372</v>
      </c>
      <c r="I14">
        <f t="shared" si="3"/>
        <v>45</v>
      </c>
      <c r="J14">
        <f t="shared" si="4"/>
        <v>2.8097155555555555</v>
      </c>
      <c r="K14">
        <f t="shared" si="5"/>
        <v>113.1822644457995</v>
      </c>
      <c r="L14">
        <f t="shared" si="6"/>
        <v>56.194311111111112</v>
      </c>
      <c r="M14">
        <f t="shared" si="7"/>
        <v>0</v>
      </c>
      <c r="N14">
        <f t="shared" si="8"/>
        <v>169.37657555691061</v>
      </c>
      <c r="O14">
        <f t="shared" si="9"/>
        <v>84.488947536775086</v>
      </c>
      <c r="P14">
        <f t="shared" si="10"/>
        <v>41.948252463224925</v>
      </c>
      <c r="Q14">
        <f t="shared" si="11"/>
        <v>0</v>
      </c>
      <c r="R14">
        <f t="shared" si="12"/>
        <v>126.43720000000002</v>
      </c>
    </row>
    <row r="15" spans="1:18" x14ac:dyDescent="0.3">
      <c r="A15" t="s">
        <v>0</v>
      </c>
      <c r="B15" t="s">
        <v>0</v>
      </c>
      <c r="C15">
        <v>28</v>
      </c>
      <c r="D15">
        <v>20</v>
      </c>
      <c r="E15">
        <v>0</v>
      </c>
      <c r="F15">
        <v>20260304</v>
      </c>
      <c r="G15">
        <v>20260420</v>
      </c>
      <c r="H15">
        <v>42.174399999999999</v>
      </c>
      <c r="I15">
        <f t="shared" si="3"/>
        <v>48</v>
      </c>
      <c r="J15">
        <f t="shared" si="4"/>
        <v>0.87863333333333327</v>
      </c>
      <c r="K15">
        <f t="shared" si="5"/>
        <v>39.640737048313888</v>
      </c>
      <c r="L15">
        <f t="shared" si="6"/>
        <v>17.572666666666667</v>
      </c>
      <c r="M15">
        <f t="shared" si="7"/>
        <v>0</v>
      </c>
      <c r="N15">
        <f t="shared" si="8"/>
        <v>57.213403714980558</v>
      </c>
      <c r="O15">
        <f t="shared" si="9"/>
        <v>29.220850220674155</v>
      </c>
      <c r="P15">
        <f t="shared" si="10"/>
        <v>12.953549779325842</v>
      </c>
      <c r="Q15">
        <f t="shared" si="11"/>
        <v>0</v>
      </c>
      <c r="R15">
        <f t="shared" si="12"/>
        <v>42.174399999999999</v>
      </c>
    </row>
    <row r="16" spans="1:18" x14ac:dyDescent="0.3">
      <c r="A16" t="s">
        <v>0</v>
      </c>
      <c r="B16" t="s">
        <v>0</v>
      </c>
      <c r="C16">
        <v>24</v>
      </c>
      <c r="D16">
        <v>14</v>
      </c>
      <c r="E16">
        <v>0</v>
      </c>
      <c r="F16">
        <v>20260308</v>
      </c>
      <c r="G16">
        <v>20260414</v>
      </c>
      <c r="H16">
        <v>589.77750000000003</v>
      </c>
      <c r="I16">
        <f t="shared" si="3"/>
        <v>38</v>
      </c>
      <c r="J16">
        <f t="shared" si="4"/>
        <v>15.520460526315791</v>
      </c>
      <c r="K16">
        <f t="shared" si="5"/>
        <v>600.19428997759269</v>
      </c>
      <c r="L16">
        <f t="shared" si="6"/>
        <v>217.28644736842108</v>
      </c>
      <c r="M16">
        <f t="shared" si="7"/>
        <v>0</v>
      </c>
      <c r="N16">
        <f t="shared" si="8"/>
        <v>817.48073734601371</v>
      </c>
      <c r="O16">
        <f t="shared" si="9"/>
        <v>433.01459188686755</v>
      </c>
      <c r="P16">
        <f t="shared" si="10"/>
        <v>156.76290811313254</v>
      </c>
      <c r="Q16">
        <f t="shared" si="11"/>
        <v>0</v>
      </c>
      <c r="R16">
        <f t="shared" si="12"/>
        <v>589.77750000000015</v>
      </c>
    </row>
    <row r="17" spans="1:18" x14ac:dyDescent="0.3">
      <c r="A17" t="s">
        <v>0</v>
      </c>
      <c r="B17" t="s">
        <v>0</v>
      </c>
      <c r="C17">
        <v>30</v>
      </c>
      <c r="D17">
        <v>6</v>
      </c>
      <c r="E17">
        <v>0</v>
      </c>
      <c r="F17">
        <v>20260302</v>
      </c>
      <c r="G17">
        <v>20260406</v>
      </c>
      <c r="H17">
        <v>1687.4502</v>
      </c>
      <c r="I17">
        <f t="shared" si="3"/>
        <v>36</v>
      </c>
      <c r="J17">
        <f t="shared" si="4"/>
        <v>46.873616666666663</v>
      </c>
      <c r="K17">
        <f t="shared" si="5"/>
        <v>2265.8217056631743</v>
      </c>
      <c r="L17">
        <f t="shared" si="6"/>
        <v>281.24169999999998</v>
      </c>
      <c r="M17">
        <f t="shared" si="7"/>
        <v>0</v>
      </c>
      <c r="N17">
        <f t="shared" si="8"/>
        <v>2547.0634056631743</v>
      </c>
      <c r="O17">
        <f t="shared" si="9"/>
        <v>1501.1252887872874</v>
      </c>
      <c r="P17">
        <f t="shared" si="10"/>
        <v>186.32491121271244</v>
      </c>
      <c r="Q17">
        <f t="shared" si="11"/>
        <v>0</v>
      </c>
      <c r="R17">
        <f t="shared" si="12"/>
        <v>1687.4501999999998</v>
      </c>
    </row>
    <row r="18" spans="1:18" x14ac:dyDescent="0.3">
      <c r="A18" t="s">
        <v>0</v>
      </c>
      <c r="B18" t="s">
        <v>0</v>
      </c>
      <c r="C18">
        <v>28</v>
      </c>
      <c r="D18">
        <v>9</v>
      </c>
      <c r="E18">
        <v>0</v>
      </c>
      <c r="F18">
        <v>20260304</v>
      </c>
      <c r="G18">
        <v>20260409</v>
      </c>
      <c r="H18">
        <v>716.78009999999995</v>
      </c>
      <c r="I18">
        <f t="shared" si="3"/>
        <v>37</v>
      </c>
      <c r="J18">
        <f t="shared" si="4"/>
        <v>19.372435135135134</v>
      </c>
      <c r="K18">
        <f t="shared" si="5"/>
        <v>874.01374161850867</v>
      </c>
      <c r="L18">
        <f t="shared" si="6"/>
        <v>174.35191621621621</v>
      </c>
      <c r="M18">
        <f t="shared" si="7"/>
        <v>0</v>
      </c>
      <c r="N18">
        <f t="shared" si="8"/>
        <v>1048.365657834725</v>
      </c>
      <c r="O18">
        <f t="shared" si="9"/>
        <v>597.57361607265921</v>
      </c>
      <c r="P18">
        <f t="shared" si="10"/>
        <v>119.20648392734066</v>
      </c>
      <c r="Q18">
        <f t="shared" si="11"/>
        <v>0</v>
      </c>
      <c r="R18">
        <f t="shared" si="12"/>
        <v>716.78009999999983</v>
      </c>
    </row>
    <row r="19" spans="1:18" x14ac:dyDescent="0.3">
      <c r="A19" t="s">
        <v>0</v>
      </c>
      <c r="B19" t="s">
        <v>0</v>
      </c>
      <c r="C19">
        <v>30</v>
      </c>
      <c r="D19">
        <v>30</v>
      </c>
      <c r="E19">
        <v>13</v>
      </c>
      <c r="F19">
        <v>20260302</v>
      </c>
      <c r="G19">
        <v>20260513</v>
      </c>
      <c r="H19">
        <v>2025.1776</v>
      </c>
      <c r="I19">
        <f t="shared" si="3"/>
        <v>73</v>
      </c>
      <c r="J19">
        <f t="shared" si="4"/>
        <v>27.742158904109587</v>
      </c>
      <c r="K19">
        <f t="shared" si="5"/>
        <v>1341.027005743922</v>
      </c>
      <c r="L19">
        <f t="shared" si="6"/>
        <v>832.26476712328758</v>
      </c>
      <c r="M19">
        <f t="shared" si="7"/>
        <v>271.02537117141912</v>
      </c>
      <c r="N19">
        <f t="shared" si="8"/>
        <v>2444.3171440386286</v>
      </c>
      <c r="O19">
        <f t="shared" si="9"/>
        <v>1111.0742563219296</v>
      </c>
      <c r="P19">
        <f t="shared" si="10"/>
        <v>689.5520770526748</v>
      </c>
      <c r="Q19">
        <f t="shared" si="11"/>
        <v>224.55126662539567</v>
      </c>
      <c r="R19">
        <f t="shared" si="12"/>
        <v>2025.1776</v>
      </c>
    </row>
    <row r="20" spans="1:18" x14ac:dyDescent="0.3">
      <c r="A20" t="s">
        <v>0</v>
      </c>
      <c r="B20" t="s">
        <v>0</v>
      </c>
      <c r="C20">
        <v>26</v>
      </c>
      <c r="D20">
        <v>30</v>
      </c>
      <c r="E20">
        <v>6</v>
      </c>
      <c r="F20">
        <v>20260306</v>
      </c>
      <c r="G20">
        <v>20260506</v>
      </c>
      <c r="H20">
        <v>218285.70749999999</v>
      </c>
      <c r="I20">
        <f t="shared" si="3"/>
        <v>62</v>
      </c>
      <c r="J20">
        <f t="shared" si="4"/>
        <v>3520.7372177419352</v>
      </c>
      <c r="K20">
        <f t="shared" si="5"/>
        <v>147496.9273797535</v>
      </c>
      <c r="L20">
        <f t="shared" si="6"/>
        <v>105622.11653225805</v>
      </c>
      <c r="M20">
        <f t="shared" si="7"/>
        <v>15874.907454314716</v>
      </c>
      <c r="N20">
        <f t="shared" si="8"/>
        <v>268993.95136632625</v>
      </c>
      <c r="O20">
        <f t="shared" si="9"/>
        <v>119692.17517207006</v>
      </c>
      <c r="P20">
        <f t="shared" si="10"/>
        <v>85711.215132466401</v>
      </c>
      <c r="Q20">
        <f t="shared" si="11"/>
        <v>12882.317195463555</v>
      </c>
      <c r="R20">
        <f t="shared" si="12"/>
        <v>218285.70749999999</v>
      </c>
    </row>
    <row r="21" spans="1:18" x14ac:dyDescent="0.3">
      <c r="A21" t="s">
        <v>0</v>
      </c>
      <c r="B21" t="s">
        <v>0</v>
      </c>
      <c r="C21">
        <v>29</v>
      </c>
      <c r="D21">
        <v>4</v>
      </c>
      <c r="E21">
        <v>0</v>
      </c>
      <c r="F21">
        <v>20260303</v>
      </c>
      <c r="G21">
        <v>20260404</v>
      </c>
      <c r="H21">
        <v>1096.817</v>
      </c>
      <c r="I21">
        <f t="shared" si="3"/>
        <v>33</v>
      </c>
      <c r="J21">
        <f t="shared" si="4"/>
        <v>33.236878787878787</v>
      </c>
      <c r="K21">
        <f t="shared" si="5"/>
        <v>1553.0814955222352</v>
      </c>
      <c r="L21">
        <f t="shared" si="6"/>
        <v>132.94751515151515</v>
      </c>
      <c r="M21">
        <f t="shared" si="7"/>
        <v>0</v>
      </c>
      <c r="N21">
        <f t="shared" si="8"/>
        <v>1686.0290106737502</v>
      </c>
      <c r="O21">
        <f t="shared" si="9"/>
        <v>1010.3302943722784</v>
      </c>
      <c r="P21">
        <f t="shared" si="10"/>
        <v>86.486705627721634</v>
      </c>
      <c r="Q21">
        <f t="shared" si="11"/>
        <v>0</v>
      </c>
      <c r="R21">
        <f t="shared" si="12"/>
        <v>1096.817</v>
      </c>
    </row>
    <row r="22" spans="1:18" x14ac:dyDescent="0.3">
      <c r="A22" t="s">
        <v>0</v>
      </c>
      <c r="B22" t="s">
        <v>0</v>
      </c>
      <c r="C22">
        <v>29</v>
      </c>
      <c r="D22">
        <v>9</v>
      </c>
      <c r="E22">
        <v>0</v>
      </c>
      <c r="F22">
        <v>20260303</v>
      </c>
      <c r="G22">
        <v>20260409</v>
      </c>
      <c r="H22">
        <v>84.344800000000006</v>
      </c>
      <c r="I22">
        <f t="shared" si="3"/>
        <v>38</v>
      </c>
      <c r="J22">
        <f t="shared" si="4"/>
        <v>2.2196000000000002</v>
      </c>
      <c r="K22">
        <f t="shared" si="5"/>
        <v>103.71670906470092</v>
      </c>
      <c r="L22">
        <f t="shared" si="6"/>
        <v>19.976400000000002</v>
      </c>
      <c r="M22">
        <f t="shared" si="7"/>
        <v>0</v>
      </c>
      <c r="N22">
        <f t="shared" si="8"/>
        <v>123.69310906470092</v>
      </c>
      <c r="O22">
        <f t="shared" si="9"/>
        <v>70.723140107542577</v>
      </c>
      <c r="P22">
        <f t="shared" si="10"/>
        <v>13.621659892457439</v>
      </c>
      <c r="Q22">
        <f t="shared" si="11"/>
        <v>0</v>
      </c>
      <c r="R22">
        <f t="shared" si="12"/>
        <v>84.344800000000021</v>
      </c>
    </row>
    <row r="23" spans="1:18" x14ac:dyDescent="0.3">
      <c r="A23" t="s">
        <v>0</v>
      </c>
      <c r="B23" t="s">
        <v>0</v>
      </c>
      <c r="C23">
        <v>28</v>
      </c>
      <c r="D23">
        <v>30</v>
      </c>
      <c r="E23">
        <v>13</v>
      </c>
      <c r="F23">
        <v>20260304</v>
      </c>
      <c r="G23">
        <v>20260513</v>
      </c>
      <c r="H23">
        <v>2530.7604000000001</v>
      </c>
      <c r="I23">
        <f t="shared" si="3"/>
        <v>71</v>
      </c>
      <c r="J23">
        <f t="shared" si="4"/>
        <v>35.644512676056337</v>
      </c>
      <c r="K23">
        <f t="shared" si="5"/>
        <v>1608.1506364507461</v>
      </c>
      <c r="L23">
        <f t="shared" si="6"/>
        <v>1069.33538028169</v>
      </c>
      <c r="M23">
        <f t="shared" si="7"/>
        <v>348.22694627495099</v>
      </c>
      <c r="N23">
        <f t="shared" si="8"/>
        <v>3025.7129630073869</v>
      </c>
      <c r="O23">
        <f t="shared" si="9"/>
        <v>1345.0859343640948</v>
      </c>
      <c r="P23">
        <f t="shared" si="10"/>
        <v>894.41122400652353</v>
      </c>
      <c r="Q23">
        <f t="shared" si="11"/>
        <v>291.26324162938187</v>
      </c>
      <c r="R23">
        <f t="shared" si="12"/>
        <v>2530.7604000000001</v>
      </c>
    </row>
    <row r="24" spans="1:18" x14ac:dyDescent="0.3">
      <c r="A24" t="s">
        <v>0</v>
      </c>
      <c r="B24" t="s">
        <v>0</v>
      </c>
      <c r="C24">
        <v>26</v>
      </c>
      <c r="D24">
        <v>4</v>
      </c>
      <c r="E24">
        <v>0</v>
      </c>
      <c r="F24">
        <v>20260306</v>
      </c>
      <c r="G24">
        <v>20260404</v>
      </c>
      <c r="H24">
        <v>210.76329999999999</v>
      </c>
      <c r="I24">
        <f t="shared" si="3"/>
        <v>30</v>
      </c>
      <c r="J24">
        <f t="shared" si="4"/>
        <v>7.0254433333333326</v>
      </c>
      <c r="K24">
        <f t="shared" si="5"/>
        <v>294.32225157997982</v>
      </c>
      <c r="L24">
        <f t="shared" si="6"/>
        <v>28.10177333333333</v>
      </c>
      <c r="M24">
        <f t="shared" si="7"/>
        <v>0</v>
      </c>
      <c r="N24">
        <f t="shared" si="8"/>
        <v>322.42402491331313</v>
      </c>
      <c r="O24">
        <f t="shared" si="9"/>
        <v>192.3936314085303</v>
      </c>
      <c r="P24">
        <f t="shared" si="10"/>
        <v>18.369668591469697</v>
      </c>
      <c r="Q24">
        <f t="shared" si="11"/>
        <v>0</v>
      </c>
      <c r="R24">
        <f t="shared" si="12"/>
        <v>210.76329999999999</v>
      </c>
    </row>
    <row r="25" spans="1:18" x14ac:dyDescent="0.3">
      <c r="A25" t="s">
        <v>0</v>
      </c>
      <c r="B25" t="s">
        <v>0</v>
      </c>
      <c r="C25">
        <v>29</v>
      </c>
      <c r="D25">
        <v>30</v>
      </c>
      <c r="E25">
        <v>13</v>
      </c>
      <c r="F25">
        <v>20260303</v>
      </c>
      <c r="G25">
        <v>20260513</v>
      </c>
      <c r="H25">
        <v>379.66739999999999</v>
      </c>
      <c r="I25">
        <f t="shared" si="3"/>
        <v>72</v>
      </c>
      <c r="J25">
        <f t="shared" si="4"/>
        <v>5.2731583333333329</v>
      </c>
      <c r="K25">
        <f t="shared" si="5"/>
        <v>246.40233767815661</v>
      </c>
      <c r="L25">
        <f t="shared" si="6"/>
        <v>158.19475</v>
      </c>
      <c r="M25">
        <f t="shared" si="7"/>
        <v>51.5158066636847</v>
      </c>
      <c r="N25">
        <f t="shared" si="8"/>
        <v>456.11289434184135</v>
      </c>
      <c r="O25">
        <f t="shared" si="9"/>
        <v>205.10478011190463</v>
      </c>
      <c r="P25">
        <f t="shared" si="10"/>
        <v>131.68097234527204</v>
      </c>
      <c r="Q25">
        <f t="shared" si="11"/>
        <v>42.881647542823302</v>
      </c>
      <c r="R25">
        <f t="shared" si="12"/>
        <v>379.66739999999999</v>
      </c>
    </row>
    <row r="26" spans="1:18" x14ac:dyDescent="0.3">
      <c r="A26" t="s">
        <v>0</v>
      </c>
      <c r="B26" t="s">
        <v>0</v>
      </c>
      <c r="C26">
        <v>28</v>
      </c>
      <c r="D26">
        <v>30</v>
      </c>
      <c r="E26">
        <v>1</v>
      </c>
      <c r="F26">
        <v>20260304</v>
      </c>
      <c r="G26">
        <v>20260501</v>
      </c>
      <c r="H26">
        <v>559116.24849999999</v>
      </c>
      <c r="I26">
        <f t="shared" si="3"/>
        <v>59</v>
      </c>
      <c r="J26">
        <f t="shared" si="4"/>
        <v>9476.5465847457617</v>
      </c>
      <c r="K26">
        <f t="shared" si="5"/>
        <v>427547.27944004373</v>
      </c>
      <c r="L26">
        <f t="shared" si="6"/>
        <v>284296.39754237287</v>
      </c>
      <c r="M26">
        <f t="shared" si="7"/>
        <v>7121.5813959472907</v>
      </c>
      <c r="N26">
        <f t="shared" si="8"/>
        <v>718965.2583783638</v>
      </c>
      <c r="O26">
        <f t="shared" si="9"/>
        <v>332489.82221488137</v>
      </c>
      <c r="P26">
        <f t="shared" si="10"/>
        <v>221088.20058215436</v>
      </c>
      <c r="Q26">
        <f t="shared" si="11"/>
        <v>5538.225702964326</v>
      </c>
      <c r="R26">
        <f t="shared" si="12"/>
        <v>559116.2485000001</v>
      </c>
    </row>
    <row r="27" spans="1:18" x14ac:dyDescent="0.3">
      <c r="A27" t="s">
        <v>0</v>
      </c>
      <c r="B27" t="s">
        <v>0</v>
      </c>
      <c r="C27">
        <v>25</v>
      </c>
      <c r="D27">
        <v>30</v>
      </c>
      <c r="E27">
        <v>9</v>
      </c>
      <c r="F27">
        <v>20260307</v>
      </c>
      <c r="G27">
        <v>20260509</v>
      </c>
      <c r="H27">
        <v>73949.631200000003</v>
      </c>
      <c r="I27">
        <f t="shared" si="3"/>
        <v>64</v>
      </c>
      <c r="J27">
        <f t="shared" si="4"/>
        <v>1155.4629875000001</v>
      </c>
      <c r="K27">
        <f t="shared" si="5"/>
        <v>46544.895674573097</v>
      </c>
      <c r="L27">
        <f t="shared" si="6"/>
        <v>34663.889625000003</v>
      </c>
      <c r="M27">
        <f t="shared" si="7"/>
        <v>7814.9263317696177</v>
      </c>
      <c r="N27">
        <f t="shared" si="8"/>
        <v>89023.71163134271</v>
      </c>
      <c r="O27">
        <f t="shared" si="9"/>
        <v>38663.607777114223</v>
      </c>
      <c r="P27">
        <f t="shared" si="10"/>
        <v>28794.371822436609</v>
      </c>
      <c r="Q27">
        <f t="shared" si="11"/>
        <v>6491.6516004491796</v>
      </c>
      <c r="R27">
        <f t="shared" si="12"/>
        <v>73949.631200000018</v>
      </c>
    </row>
    <row r="28" spans="1:18" x14ac:dyDescent="0.3">
      <c r="A28" t="s">
        <v>0</v>
      </c>
      <c r="B28" t="s">
        <v>0</v>
      </c>
      <c r="C28">
        <v>25</v>
      </c>
      <c r="D28">
        <v>30</v>
      </c>
      <c r="E28">
        <v>4</v>
      </c>
      <c r="F28">
        <v>20260307</v>
      </c>
      <c r="G28">
        <v>20260504</v>
      </c>
      <c r="H28">
        <v>65341.215600000003</v>
      </c>
      <c r="I28">
        <f t="shared" si="3"/>
        <v>59</v>
      </c>
      <c r="J28">
        <f t="shared" si="4"/>
        <v>1107.4782305084746</v>
      </c>
      <c r="K28">
        <f t="shared" si="5"/>
        <v>44611.951450221393</v>
      </c>
      <c r="L28">
        <f t="shared" si="6"/>
        <v>33224.346915254238</v>
      </c>
      <c r="M28">
        <f t="shared" si="7"/>
        <v>3329.0592906497582</v>
      </c>
      <c r="N28">
        <f t="shared" si="8"/>
        <v>81165.357656125401</v>
      </c>
      <c r="O28">
        <f t="shared" si="9"/>
        <v>35914.326286784482</v>
      </c>
      <c r="P28">
        <f t="shared" si="10"/>
        <v>26746.869325166914</v>
      </c>
      <c r="Q28">
        <f t="shared" si="11"/>
        <v>2680.0199880485925</v>
      </c>
      <c r="R28">
        <f t="shared" si="12"/>
        <v>65341.215599999981</v>
      </c>
    </row>
    <row r="29" spans="1:18" x14ac:dyDescent="0.3">
      <c r="A29" t="s">
        <v>0</v>
      </c>
      <c r="B29" t="s">
        <v>0</v>
      </c>
      <c r="C29">
        <v>24</v>
      </c>
      <c r="D29">
        <v>30</v>
      </c>
      <c r="E29">
        <v>6</v>
      </c>
      <c r="F29">
        <v>20260308</v>
      </c>
      <c r="G29">
        <v>20260506</v>
      </c>
      <c r="H29">
        <v>55385.997199999998</v>
      </c>
      <c r="I29">
        <f t="shared" si="3"/>
        <v>60</v>
      </c>
      <c r="J29">
        <f t="shared" si="4"/>
        <v>923.09995333333325</v>
      </c>
      <c r="K29">
        <f t="shared" si="5"/>
        <v>35697.35061210618</v>
      </c>
      <c r="L29">
        <f t="shared" si="6"/>
        <v>27692.998599999999</v>
      </c>
      <c r="M29">
        <f t="shared" si="7"/>
        <v>4162.2323462264785</v>
      </c>
      <c r="N29">
        <f t="shared" si="8"/>
        <v>67552.581558332662</v>
      </c>
      <c r="O29">
        <f t="shared" si="9"/>
        <v>29268.065193663206</v>
      </c>
      <c r="P29">
        <f t="shared" si="10"/>
        <v>22705.340159276384</v>
      </c>
      <c r="Q29">
        <f t="shared" si="11"/>
        <v>3412.5918470604056</v>
      </c>
      <c r="R29">
        <f t="shared" si="12"/>
        <v>55385.997199999998</v>
      </c>
    </row>
    <row r="30" spans="1:18" x14ac:dyDescent="0.3">
      <c r="A30" t="s">
        <v>0</v>
      </c>
      <c r="B30" t="s">
        <v>0</v>
      </c>
      <c r="C30">
        <v>30</v>
      </c>
      <c r="D30">
        <v>30</v>
      </c>
      <c r="E30">
        <v>14</v>
      </c>
      <c r="F30">
        <v>20260302</v>
      </c>
      <c r="G30">
        <v>20260514</v>
      </c>
      <c r="H30">
        <v>1350.0550000000001</v>
      </c>
      <c r="I30">
        <f t="shared" si="3"/>
        <v>74</v>
      </c>
      <c r="J30">
        <f t="shared" si="4"/>
        <v>18.243986486486488</v>
      </c>
      <c r="K30">
        <f t="shared" si="5"/>
        <v>881.89526472582224</v>
      </c>
      <c r="L30">
        <f t="shared" si="6"/>
        <v>547.31959459459461</v>
      </c>
      <c r="M30">
        <f t="shared" si="7"/>
        <v>191.94381310054658</v>
      </c>
      <c r="N30">
        <f t="shared" si="8"/>
        <v>1621.1586724209635</v>
      </c>
      <c r="O30">
        <f t="shared" si="9"/>
        <v>734.41738422891217</v>
      </c>
      <c r="P30">
        <f t="shared" si="10"/>
        <v>455.79224776125648</v>
      </c>
      <c r="Q30">
        <f t="shared" si="11"/>
        <v>159.84536800983128</v>
      </c>
      <c r="R30">
        <f t="shared" si="12"/>
        <v>1350.0549999999998</v>
      </c>
    </row>
    <row r="31" spans="1:18" x14ac:dyDescent="0.3">
      <c r="A31" t="s">
        <v>0</v>
      </c>
      <c r="B31" t="s">
        <v>0</v>
      </c>
      <c r="C31">
        <v>30</v>
      </c>
      <c r="D31">
        <v>30</v>
      </c>
      <c r="E31">
        <v>12</v>
      </c>
      <c r="F31">
        <v>20260302</v>
      </c>
      <c r="G31">
        <v>20260512</v>
      </c>
      <c r="H31">
        <v>1223.5734</v>
      </c>
      <c r="I31">
        <f t="shared" si="3"/>
        <v>72</v>
      </c>
      <c r="J31">
        <f t="shared" si="4"/>
        <v>16.994074999999999</v>
      </c>
      <c r="K31">
        <f t="shared" si="5"/>
        <v>821.47584805527572</v>
      </c>
      <c r="L31">
        <f t="shared" si="6"/>
        <v>509.82224999999994</v>
      </c>
      <c r="M31">
        <f t="shared" si="7"/>
        <v>153.25163521843837</v>
      </c>
      <c r="N31">
        <f t="shared" si="8"/>
        <v>1484.5497332737141</v>
      </c>
      <c r="O31">
        <f t="shared" si="9"/>
        <v>677.06454953608136</v>
      </c>
      <c r="P31">
        <f t="shared" si="10"/>
        <v>420.19807746860829</v>
      </c>
      <c r="Q31">
        <f t="shared" si="11"/>
        <v>126.31077299531017</v>
      </c>
      <c r="R31">
        <f t="shared" si="12"/>
        <v>1223.5733999999998</v>
      </c>
    </row>
    <row r="32" spans="1:18" x14ac:dyDescent="0.3">
      <c r="A32" t="s">
        <v>0</v>
      </c>
      <c r="B32" t="s">
        <v>0</v>
      </c>
      <c r="C32">
        <v>28</v>
      </c>
      <c r="D32">
        <v>30</v>
      </c>
      <c r="E32">
        <v>9</v>
      </c>
      <c r="F32">
        <v>20260304</v>
      </c>
      <c r="G32">
        <v>20260509</v>
      </c>
      <c r="H32">
        <v>19783.500800000002</v>
      </c>
      <c r="I32">
        <f t="shared" si="3"/>
        <v>67</v>
      </c>
      <c r="J32">
        <f t="shared" si="4"/>
        <v>295.27613134328362</v>
      </c>
      <c r="K32">
        <f t="shared" si="5"/>
        <v>13321.783996990593</v>
      </c>
      <c r="L32">
        <f t="shared" si="6"/>
        <v>8858.2839402985082</v>
      </c>
      <c r="M32">
        <f t="shared" si="7"/>
        <v>1997.0879543016877</v>
      </c>
      <c r="N32">
        <f t="shared" si="8"/>
        <v>24177.155891590792</v>
      </c>
      <c r="O32">
        <f t="shared" si="9"/>
        <v>10900.848947810198</v>
      </c>
      <c r="P32">
        <f t="shared" si="10"/>
        <v>7248.4897812350528</v>
      </c>
      <c r="Q32">
        <f t="shared" si="11"/>
        <v>1634.1620709547485</v>
      </c>
      <c r="R32">
        <f t="shared" si="12"/>
        <v>19783.500800000002</v>
      </c>
    </row>
    <row r="33" spans="1:18" x14ac:dyDescent="0.3">
      <c r="A33" t="s">
        <v>0</v>
      </c>
      <c r="B33" t="s">
        <v>0</v>
      </c>
      <c r="C33">
        <v>28</v>
      </c>
      <c r="D33">
        <v>30</v>
      </c>
      <c r="E33">
        <v>10</v>
      </c>
      <c r="F33">
        <v>20260304</v>
      </c>
      <c r="G33">
        <v>20260510</v>
      </c>
      <c r="H33">
        <v>4808.6701000000003</v>
      </c>
      <c r="I33">
        <f t="shared" si="3"/>
        <v>68</v>
      </c>
      <c r="J33">
        <f t="shared" si="4"/>
        <v>70.715736764705881</v>
      </c>
      <c r="K33">
        <f t="shared" si="5"/>
        <v>3190.4365790820848</v>
      </c>
      <c r="L33">
        <f t="shared" si="6"/>
        <v>2121.4721029411762</v>
      </c>
      <c r="M33">
        <f t="shared" si="7"/>
        <v>531.42552599792464</v>
      </c>
      <c r="N33">
        <f t="shared" si="8"/>
        <v>5843.3342080211851</v>
      </c>
      <c r="O33">
        <f t="shared" si="9"/>
        <v>2625.5142077477913</v>
      </c>
      <c r="P33">
        <f t="shared" si="10"/>
        <v>1745.8285126655503</v>
      </c>
      <c r="Q33">
        <f t="shared" si="11"/>
        <v>437.32737958665945</v>
      </c>
      <c r="R33">
        <f t="shared" si="12"/>
        <v>4808.6701000000012</v>
      </c>
    </row>
    <row r="34" spans="1:18" x14ac:dyDescent="0.3">
      <c r="A34" t="s">
        <v>0</v>
      </c>
      <c r="B34" t="s">
        <v>0</v>
      </c>
      <c r="C34">
        <v>22</v>
      </c>
      <c r="D34">
        <v>30</v>
      </c>
      <c r="E34">
        <v>8</v>
      </c>
      <c r="F34">
        <v>20260310</v>
      </c>
      <c r="G34">
        <v>20260508</v>
      </c>
      <c r="H34">
        <v>22926.2088</v>
      </c>
      <c r="I34">
        <f t="shared" si="3"/>
        <v>60</v>
      </c>
      <c r="J34">
        <f t="shared" si="4"/>
        <v>382.10347999999999</v>
      </c>
      <c r="K34">
        <f t="shared" si="5"/>
        <v>13545.02116397075</v>
      </c>
      <c r="L34">
        <f t="shared" si="6"/>
        <v>11463.1044</v>
      </c>
      <c r="M34">
        <f t="shared" si="7"/>
        <v>2297.1921344215898</v>
      </c>
      <c r="N34">
        <f t="shared" si="8"/>
        <v>27305.31769839234</v>
      </c>
      <c r="O34">
        <f t="shared" si="9"/>
        <v>11372.729181755536</v>
      </c>
      <c r="P34">
        <f t="shared" si="10"/>
        <v>9624.7012348833414</v>
      </c>
      <c r="Q34">
        <f t="shared" si="11"/>
        <v>1928.7783833611229</v>
      </c>
      <c r="R34">
        <f t="shared" si="12"/>
        <v>22926.2088</v>
      </c>
    </row>
    <row r="35" spans="1:18" x14ac:dyDescent="0.3">
      <c r="A35" t="s">
        <v>0</v>
      </c>
      <c r="B35" t="s">
        <v>0</v>
      </c>
      <c r="C35">
        <v>11</v>
      </c>
      <c r="D35">
        <v>30</v>
      </c>
      <c r="E35">
        <v>3</v>
      </c>
      <c r="F35">
        <v>20260321</v>
      </c>
      <c r="G35">
        <v>20260503</v>
      </c>
      <c r="H35">
        <v>126.5677</v>
      </c>
      <c r="I35">
        <f t="shared" si="3"/>
        <v>44</v>
      </c>
      <c r="J35">
        <f t="shared" si="4"/>
        <v>2.8765386363636365</v>
      </c>
      <c r="K35">
        <f t="shared" si="5"/>
        <v>50.984587615539404</v>
      </c>
      <c r="L35">
        <f t="shared" si="6"/>
        <v>86.2961590909091</v>
      </c>
      <c r="M35">
        <f t="shared" si="7"/>
        <v>6.4851168685518941</v>
      </c>
      <c r="N35">
        <f t="shared" si="8"/>
        <v>143.7658635750004</v>
      </c>
      <c r="O35">
        <f t="shared" si="9"/>
        <v>44.885495273228592</v>
      </c>
      <c r="P35">
        <f t="shared" si="10"/>
        <v>75.972877728880746</v>
      </c>
      <c r="Q35">
        <f t="shared" si="11"/>
        <v>5.7093269978906633</v>
      </c>
      <c r="R35">
        <f t="shared" si="12"/>
        <v>126.5677</v>
      </c>
    </row>
    <row r="36" spans="1:18" x14ac:dyDescent="0.3">
      <c r="A36" t="s">
        <v>0</v>
      </c>
      <c r="B36" t="s">
        <v>0</v>
      </c>
      <c r="C36">
        <v>0</v>
      </c>
      <c r="D36">
        <v>11</v>
      </c>
      <c r="E36">
        <v>2</v>
      </c>
      <c r="F36">
        <v>20260420</v>
      </c>
      <c r="G36">
        <v>20260502</v>
      </c>
      <c r="H36">
        <v>42.215899999999998</v>
      </c>
      <c r="I36">
        <f t="shared" si="3"/>
        <v>13</v>
      </c>
      <c r="J36">
        <f t="shared" si="4"/>
        <v>3.2473769230769229</v>
      </c>
      <c r="K36">
        <f t="shared" si="5"/>
        <v>0</v>
      </c>
      <c r="L36">
        <f t="shared" si="6"/>
        <v>35.721146153846149</v>
      </c>
      <c r="M36">
        <f t="shared" si="7"/>
        <v>4.8807777968905777</v>
      </c>
      <c r="N36">
        <f t="shared" si="8"/>
        <v>40.601923950736726</v>
      </c>
      <c r="O36">
        <f t="shared" si="9"/>
        <v>0</v>
      </c>
      <c r="P36">
        <f t="shared" si="10"/>
        <v>37.141105326581226</v>
      </c>
      <c r="Q36">
        <f t="shared" si="11"/>
        <v>5.0747946734187748</v>
      </c>
      <c r="R36">
        <f t="shared" si="12"/>
        <v>42.215899999999998</v>
      </c>
    </row>
    <row r="37" spans="1:18" x14ac:dyDescent="0.3">
      <c r="A37" t="s">
        <v>0</v>
      </c>
      <c r="B37" t="s">
        <v>0</v>
      </c>
      <c r="C37">
        <v>0</v>
      </c>
      <c r="D37">
        <v>15</v>
      </c>
      <c r="E37">
        <v>5</v>
      </c>
      <c r="F37">
        <v>20260416</v>
      </c>
      <c r="G37">
        <v>20260505</v>
      </c>
      <c r="H37">
        <v>211.0993</v>
      </c>
      <c r="I37">
        <f t="shared" si="3"/>
        <v>20</v>
      </c>
      <c r="J37">
        <f t="shared" si="4"/>
        <v>10.554964999999999</v>
      </c>
      <c r="K37">
        <f t="shared" si="5"/>
        <v>0</v>
      </c>
      <c r="L37">
        <f t="shared" si="6"/>
        <v>158.32447499999998</v>
      </c>
      <c r="M37">
        <f t="shared" si="7"/>
        <v>39.66003950208588</v>
      </c>
      <c r="N37">
        <f t="shared" si="8"/>
        <v>197.98451450208586</v>
      </c>
      <c r="O37">
        <f t="shared" si="9"/>
        <v>0</v>
      </c>
      <c r="P37">
        <f t="shared" si="10"/>
        <v>168.81212113695577</v>
      </c>
      <c r="Q37">
        <f t="shared" si="11"/>
        <v>42.287178863044225</v>
      </c>
      <c r="R37">
        <f t="shared" si="12"/>
        <v>211.0993</v>
      </c>
    </row>
    <row r="38" spans="1:18" x14ac:dyDescent="0.3">
      <c r="A38" t="s">
        <v>0</v>
      </c>
      <c r="B38" t="s">
        <v>0</v>
      </c>
      <c r="C38">
        <v>0</v>
      </c>
      <c r="D38">
        <v>16</v>
      </c>
      <c r="E38">
        <v>4</v>
      </c>
      <c r="F38">
        <v>20260415</v>
      </c>
      <c r="G38">
        <v>20260504</v>
      </c>
      <c r="H38">
        <v>84.445599999999999</v>
      </c>
      <c r="I38">
        <f t="shared" si="3"/>
        <v>20</v>
      </c>
      <c r="J38">
        <f t="shared" si="4"/>
        <v>4.2222799999999996</v>
      </c>
      <c r="K38">
        <f t="shared" si="5"/>
        <v>0</v>
      </c>
      <c r="L38">
        <f t="shared" si="6"/>
        <v>67.556479999999993</v>
      </c>
      <c r="M38">
        <f t="shared" si="7"/>
        <v>12.692096399286378</v>
      </c>
      <c r="N38">
        <f t="shared" si="8"/>
        <v>80.248576399286378</v>
      </c>
      <c r="O38">
        <f t="shared" si="9"/>
        <v>0</v>
      </c>
      <c r="P38">
        <f t="shared" si="10"/>
        <v>71.089703312652532</v>
      </c>
      <c r="Q38">
        <f t="shared" si="11"/>
        <v>13.35589668734745</v>
      </c>
      <c r="R38">
        <f t="shared" si="12"/>
        <v>84.445599999999985</v>
      </c>
    </row>
    <row r="39" spans="1:18" x14ac:dyDescent="0.3">
      <c r="A39" t="s">
        <v>0</v>
      </c>
      <c r="B39" t="s">
        <v>0</v>
      </c>
      <c r="C39">
        <v>0</v>
      </c>
      <c r="D39">
        <v>16</v>
      </c>
      <c r="E39">
        <v>1</v>
      </c>
      <c r="F39">
        <v>20260415</v>
      </c>
      <c r="G39">
        <v>20260501</v>
      </c>
      <c r="H39">
        <v>168.9111</v>
      </c>
      <c r="I39">
        <f t="shared" si="3"/>
        <v>17</v>
      </c>
      <c r="J39">
        <f t="shared" si="4"/>
        <v>9.9359470588235297</v>
      </c>
      <c r="K39">
        <f t="shared" si="5"/>
        <v>0</v>
      </c>
      <c r="L39">
        <f t="shared" si="6"/>
        <v>158.97515294117647</v>
      </c>
      <c r="M39">
        <f t="shared" si="7"/>
        <v>7.4668187501062349</v>
      </c>
      <c r="N39">
        <f t="shared" si="8"/>
        <v>166.4419716912827</v>
      </c>
      <c r="O39">
        <f t="shared" si="9"/>
        <v>0</v>
      </c>
      <c r="P39">
        <f t="shared" si="10"/>
        <v>161.33351271378112</v>
      </c>
      <c r="Q39">
        <f t="shared" si="11"/>
        <v>7.577587286218896</v>
      </c>
      <c r="R39">
        <f t="shared" si="12"/>
        <v>168.9111</v>
      </c>
    </row>
    <row r="40" spans="1:18" x14ac:dyDescent="0.3">
      <c r="A40" t="s">
        <v>0</v>
      </c>
      <c r="B40" t="s">
        <v>0</v>
      </c>
      <c r="C40">
        <v>0</v>
      </c>
      <c r="D40">
        <v>13</v>
      </c>
      <c r="E40">
        <v>3</v>
      </c>
      <c r="F40">
        <v>20260418</v>
      </c>
      <c r="G40">
        <v>20260503</v>
      </c>
      <c r="H40">
        <v>42.226799999999997</v>
      </c>
      <c r="I40">
        <f t="shared" si="3"/>
        <v>16</v>
      </c>
      <c r="J40">
        <f t="shared" si="4"/>
        <v>2.6391749999999998</v>
      </c>
      <c r="K40">
        <f t="shared" si="5"/>
        <v>0</v>
      </c>
      <c r="L40">
        <f t="shared" si="6"/>
        <v>34.309275</v>
      </c>
      <c r="M40">
        <f t="shared" si="7"/>
        <v>5.9499838087336627</v>
      </c>
      <c r="N40">
        <f t="shared" si="8"/>
        <v>40.259258808733662</v>
      </c>
      <c r="O40">
        <f t="shared" si="9"/>
        <v>0</v>
      </c>
      <c r="P40">
        <f t="shared" si="10"/>
        <v>35.986029957802153</v>
      </c>
      <c r="Q40">
        <f t="shared" si="11"/>
        <v>6.240770042197842</v>
      </c>
      <c r="R40">
        <f t="shared" si="12"/>
        <v>42.226799999999997</v>
      </c>
    </row>
    <row r="41" spans="1:18" x14ac:dyDescent="0.3">
      <c r="A41" t="s">
        <v>0</v>
      </c>
      <c r="B41" t="s">
        <v>0</v>
      </c>
      <c r="C41">
        <v>0</v>
      </c>
      <c r="D41">
        <v>13</v>
      </c>
      <c r="E41">
        <v>4</v>
      </c>
      <c r="F41">
        <v>20260418</v>
      </c>
      <c r="G41">
        <v>20260504</v>
      </c>
      <c r="H41">
        <v>42.223799999999997</v>
      </c>
      <c r="I41">
        <f t="shared" si="3"/>
        <v>17</v>
      </c>
      <c r="J41">
        <f t="shared" si="4"/>
        <v>2.4837529411764705</v>
      </c>
      <c r="K41">
        <f t="shared" si="5"/>
        <v>0</v>
      </c>
      <c r="L41">
        <f t="shared" si="6"/>
        <v>32.288788235294113</v>
      </c>
      <c r="M41">
        <f t="shared" si="7"/>
        <v>7.4661158808565125</v>
      </c>
      <c r="N41">
        <f t="shared" si="8"/>
        <v>39.754904116150627</v>
      </c>
      <c r="O41">
        <f t="shared" si="9"/>
        <v>0</v>
      </c>
      <c r="P41">
        <f t="shared" si="10"/>
        <v>34.294016474197498</v>
      </c>
      <c r="Q41">
        <f t="shared" si="11"/>
        <v>7.9297835258024989</v>
      </c>
      <c r="R41">
        <f t="shared" si="12"/>
        <v>42.223799999999997</v>
      </c>
    </row>
    <row r="42" spans="1:18" x14ac:dyDescent="0.3">
      <c r="A42" t="s">
        <v>0</v>
      </c>
      <c r="B42" t="s">
        <v>0</v>
      </c>
      <c r="C42">
        <v>0</v>
      </c>
      <c r="D42">
        <v>11</v>
      </c>
      <c r="E42">
        <v>6</v>
      </c>
      <c r="F42">
        <v>20260420</v>
      </c>
      <c r="G42">
        <v>20260506</v>
      </c>
      <c r="H42">
        <v>42.206000000000003</v>
      </c>
      <c r="I42">
        <f t="shared" si="3"/>
        <v>17</v>
      </c>
      <c r="J42">
        <f t="shared" si="4"/>
        <v>2.4827058823529415</v>
      </c>
      <c r="K42">
        <f t="shared" si="5"/>
        <v>0</v>
      </c>
      <c r="L42">
        <f t="shared" si="6"/>
        <v>27.309764705882358</v>
      </c>
      <c r="M42">
        <f t="shared" si="7"/>
        <v>11.194452661796072</v>
      </c>
      <c r="N42">
        <f t="shared" si="8"/>
        <v>38.504217367678429</v>
      </c>
      <c r="O42">
        <f t="shared" si="9"/>
        <v>0</v>
      </c>
      <c r="P42">
        <f t="shared" si="10"/>
        <v>29.935316388069932</v>
      </c>
      <c r="Q42">
        <f t="shared" si="11"/>
        <v>12.270683611930073</v>
      </c>
      <c r="R42">
        <f t="shared" si="12"/>
        <v>42.206000000000003</v>
      </c>
    </row>
    <row r="43" spans="1:18" x14ac:dyDescent="0.3">
      <c r="A43" t="s">
        <v>0</v>
      </c>
      <c r="B43" t="s">
        <v>0</v>
      </c>
      <c r="C43">
        <v>0</v>
      </c>
      <c r="D43">
        <v>8</v>
      </c>
      <c r="E43">
        <v>3</v>
      </c>
      <c r="F43">
        <v>20260423</v>
      </c>
      <c r="G43">
        <v>20260503</v>
      </c>
      <c r="H43">
        <v>42.180300000000003</v>
      </c>
      <c r="I43">
        <f t="shared" si="3"/>
        <v>11</v>
      </c>
      <c r="J43">
        <f t="shared" si="4"/>
        <v>3.8345727272727275</v>
      </c>
      <c r="K43">
        <f t="shared" si="5"/>
        <v>0</v>
      </c>
      <c r="L43">
        <f t="shared" si="6"/>
        <v>30.67658181818182</v>
      </c>
      <c r="M43">
        <f t="shared" si="7"/>
        <v>8.6449915752780377</v>
      </c>
      <c r="N43">
        <f t="shared" si="8"/>
        <v>39.321573393459857</v>
      </c>
      <c r="O43">
        <f t="shared" si="9"/>
        <v>0</v>
      </c>
      <c r="P43">
        <f t="shared" si="10"/>
        <v>32.906806935672364</v>
      </c>
      <c r="Q43">
        <f t="shared" si="11"/>
        <v>9.2734930643276403</v>
      </c>
      <c r="R43">
        <f t="shared" si="12"/>
        <v>42.180300000000003</v>
      </c>
    </row>
    <row r="44" spans="1:18" x14ac:dyDescent="0.3">
      <c r="A44" t="s">
        <v>0</v>
      </c>
      <c r="B44" t="s">
        <v>0</v>
      </c>
      <c r="C44">
        <v>0</v>
      </c>
      <c r="D44">
        <v>17</v>
      </c>
      <c r="E44">
        <v>4</v>
      </c>
      <c r="F44">
        <v>20260414</v>
      </c>
      <c r="G44">
        <v>20260504</v>
      </c>
      <c r="H44">
        <v>42.221800000000002</v>
      </c>
      <c r="I44">
        <f t="shared" si="3"/>
        <v>21</v>
      </c>
      <c r="J44">
        <f t="shared" si="4"/>
        <v>2.010561904761905</v>
      </c>
      <c r="K44">
        <f t="shared" si="5"/>
        <v>0</v>
      </c>
      <c r="L44">
        <f t="shared" si="6"/>
        <v>34.179552380952387</v>
      </c>
      <c r="M44">
        <f t="shared" si="7"/>
        <v>6.0437122862460422</v>
      </c>
      <c r="N44">
        <f t="shared" si="8"/>
        <v>40.223264667198428</v>
      </c>
      <c r="O44">
        <f t="shared" si="9"/>
        <v>0</v>
      </c>
      <c r="P44">
        <f t="shared" si="10"/>
        <v>35.877799493857189</v>
      </c>
      <c r="Q44">
        <f t="shared" si="11"/>
        <v>6.3440005061428133</v>
      </c>
      <c r="R44">
        <f t="shared" si="12"/>
        <v>42.221800000000002</v>
      </c>
    </row>
    <row r="45" spans="1:18" x14ac:dyDescent="0.3">
      <c r="A45" t="s">
        <v>0</v>
      </c>
      <c r="B45" t="s">
        <v>0</v>
      </c>
      <c r="C45">
        <v>0</v>
      </c>
      <c r="D45">
        <v>22</v>
      </c>
      <c r="E45">
        <v>3</v>
      </c>
      <c r="F45">
        <v>20260409</v>
      </c>
      <c r="G45">
        <v>20260503</v>
      </c>
      <c r="H45">
        <v>84.425899999999999</v>
      </c>
      <c r="I45">
        <f t="shared" si="3"/>
        <v>25</v>
      </c>
      <c r="J45">
        <f t="shared" si="4"/>
        <v>3.3770359999999999</v>
      </c>
      <c r="K45">
        <f t="shared" si="5"/>
        <v>0</v>
      </c>
      <c r="L45">
        <f t="shared" si="6"/>
        <v>74.294792000000001</v>
      </c>
      <c r="M45">
        <f t="shared" si="7"/>
        <v>7.6134813043889453</v>
      </c>
      <c r="N45">
        <f t="shared" si="8"/>
        <v>81.908273304388942</v>
      </c>
      <c r="O45">
        <f t="shared" si="9"/>
        <v>0</v>
      </c>
      <c r="P45">
        <f t="shared" si="10"/>
        <v>76.578401996135142</v>
      </c>
      <c r="Q45">
        <f t="shared" si="11"/>
        <v>7.8474980038648727</v>
      </c>
      <c r="R45">
        <f t="shared" si="12"/>
        <v>84.425900000000013</v>
      </c>
    </row>
    <row r="46" spans="1:18" x14ac:dyDescent="0.3">
      <c r="A46" t="s">
        <v>0</v>
      </c>
      <c r="B46" t="s">
        <v>0</v>
      </c>
      <c r="C46">
        <v>0</v>
      </c>
      <c r="D46">
        <v>22</v>
      </c>
      <c r="E46">
        <v>10</v>
      </c>
      <c r="F46">
        <v>20260409</v>
      </c>
      <c r="G46">
        <v>20260510</v>
      </c>
      <c r="H46">
        <v>42.213900000000002</v>
      </c>
      <c r="I46">
        <f t="shared" si="3"/>
        <v>32</v>
      </c>
      <c r="J46">
        <f t="shared" si="4"/>
        <v>1.3191843750000001</v>
      </c>
      <c r="K46">
        <f t="shared" si="5"/>
        <v>0</v>
      </c>
      <c r="L46">
        <f t="shared" si="6"/>
        <v>29.022056250000002</v>
      </c>
      <c r="M46">
        <f t="shared" si="7"/>
        <v>9.9136102152938417</v>
      </c>
      <c r="N46">
        <f t="shared" si="8"/>
        <v>38.935666465293842</v>
      </c>
      <c r="O46">
        <f t="shared" si="9"/>
        <v>0</v>
      </c>
      <c r="P46">
        <f t="shared" si="10"/>
        <v>31.465601890336853</v>
      </c>
      <c r="Q46">
        <f t="shared" si="11"/>
        <v>10.74829810966315</v>
      </c>
      <c r="R46">
        <f t="shared" si="12"/>
        <v>42.213900000000002</v>
      </c>
    </row>
    <row r="47" spans="1:18" x14ac:dyDescent="0.3">
      <c r="A47" t="s">
        <v>0</v>
      </c>
      <c r="B47" t="s">
        <v>0</v>
      </c>
      <c r="C47">
        <v>21</v>
      </c>
      <c r="D47">
        <v>30</v>
      </c>
      <c r="E47">
        <v>6</v>
      </c>
      <c r="F47">
        <v>20260311</v>
      </c>
      <c r="G47">
        <v>20260506</v>
      </c>
      <c r="H47">
        <v>463.51620000000003</v>
      </c>
      <c r="I47">
        <f t="shared" si="3"/>
        <v>57</v>
      </c>
      <c r="J47">
        <f t="shared" si="4"/>
        <v>8.1318631578947365</v>
      </c>
      <c r="K47">
        <f t="shared" si="5"/>
        <v>275.16004423487141</v>
      </c>
      <c r="L47">
        <f t="shared" si="6"/>
        <v>243.95589473684208</v>
      </c>
      <c r="M47">
        <f t="shared" si="7"/>
        <v>36.666347721777818</v>
      </c>
      <c r="N47">
        <f t="shared" si="8"/>
        <v>555.7822866934913</v>
      </c>
      <c r="O47">
        <f t="shared" si="9"/>
        <v>229.4803939405094</v>
      </c>
      <c r="P47">
        <f t="shared" si="10"/>
        <v>203.45648287704827</v>
      </c>
      <c r="Q47">
        <f t="shared" si="11"/>
        <v>30.579323182442373</v>
      </c>
      <c r="R47">
        <f t="shared" si="12"/>
        <v>463.51620000000003</v>
      </c>
    </row>
    <row r="48" spans="1:18" x14ac:dyDescent="0.3">
      <c r="A48" t="s">
        <v>0</v>
      </c>
      <c r="B48" t="s">
        <v>0</v>
      </c>
      <c r="C48">
        <v>16</v>
      </c>
      <c r="D48">
        <v>30</v>
      </c>
      <c r="E48">
        <v>4</v>
      </c>
      <c r="F48">
        <v>20260316</v>
      </c>
      <c r="G48">
        <v>20260504</v>
      </c>
      <c r="H48">
        <v>758.80119999999999</v>
      </c>
      <c r="I48">
        <f t="shared" si="3"/>
        <v>50</v>
      </c>
      <c r="J48">
        <f t="shared" si="4"/>
        <v>15.176024</v>
      </c>
      <c r="K48">
        <f t="shared" si="5"/>
        <v>391.24968548962994</v>
      </c>
      <c r="L48">
        <f t="shared" si="6"/>
        <v>455.28071999999997</v>
      </c>
      <c r="M48">
        <f t="shared" si="7"/>
        <v>45.618850376072565</v>
      </c>
      <c r="N48">
        <f t="shared" si="8"/>
        <v>892.14925586570246</v>
      </c>
      <c r="O48">
        <f t="shared" si="9"/>
        <v>332.7702499298436</v>
      </c>
      <c r="P48">
        <f t="shared" si="10"/>
        <v>387.23067289636128</v>
      </c>
      <c r="Q48">
        <f t="shared" si="11"/>
        <v>38.800277173795116</v>
      </c>
      <c r="R48">
        <f t="shared" si="12"/>
        <v>758.80120000000011</v>
      </c>
    </row>
    <row r="49" spans="1:18" x14ac:dyDescent="0.3">
      <c r="A49" t="s">
        <v>0</v>
      </c>
      <c r="B49" t="s">
        <v>0</v>
      </c>
      <c r="C49">
        <v>0</v>
      </c>
      <c r="D49">
        <v>29</v>
      </c>
      <c r="E49">
        <v>1</v>
      </c>
      <c r="F49">
        <v>20260402</v>
      </c>
      <c r="G49">
        <v>20260501</v>
      </c>
      <c r="H49">
        <v>505.98599999999999</v>
      </c>
      <c r="I49">
        <f t="shared" si="3"/>
        <v>30</v>
      </c>
      <c r="J49">
        <f t="shared" si="4"/>
        <v>16.866199999999999</v>
      </c>
      <c r="K49">
        <f t="shared" si="5"/>
        <v>0</v>
      </c>
      <c r="L49">
        <f t="shared" si="6"/>
        <v>489.1198</v>
      </c>
      <c r="M49">
        <f t="shared" si="7"/>
        <v>12.674872124163006</v>
      </c>
      <c r="N49">
        <f t="shared" si="8"/>
        <v>501.79467212416301</v>
      </c>
      <c r="O49">
        <f t="shared" si="9"/>
        <v>0</v>
      </c>
      <c r="P49">
        <f t="shared" si="10"/>
        <v>493.2052587867297</v>
      </c>
      <c r="Q49">
        <f t="shared" si="11"/>
        <v>12.780741213270289</v>
      </c>
      <c r="R49">
        <f t="shared" si="12"/>
        <v>505.98599999999999</v>
      </c>
    </row>
    <row r="50" spans="1:18" x14ac:dyDescent="0.3">
      <c r="A50" t="s">
        <v>0</v>
      </c>
      <c r="B50" t="s">
        <v>0</v>
      </c>
      <c r="C50">
        <v>21</v>
      </c>
      <c r="D50">
        <v>30</v>
      </c>
      <c r="E50">
        <v>1</v>
      </c>
      <c r="F50">
        <v>20260311</v>
      </c>
      <c r="G50">
        <v>20260501</v>
      </c>
      <c r="H50">
        <v>842.71720000000005</v>
      </c>
      <c r="I50">
        <f t="shared" si="3"/>
        <v>52</v>
      </c>
      <c r="J50">
        <f t="shared" si="4"/>
        <v>16.206099999999999</v>
      </c>
      <c r="K50">
        <f t="shared" si="5"/>
        <v>548.37017129899823</v>
      </c>
      <c r="L50">
        <f t="shared" si="6"/>
        <v>486.18299999999999</v>
      </c>
      <c r="M50">
        <f t="shared" si="7"/>
        <v>12.178809994628198</v>
      </c>
      <c r="N50">
        <f t="shared" si="8"/>
        <v>1046.7319812936264</v>
      </c>
      <c r="O50">
        <f t="shared" si="9"/>
        <v>441.48930536113926</v>
      </c>
      <c r="P50">
        <f t="shared" si="10"/>
        <v>391.42281287827387</v>
      </c>
      <c r="Q50">
        <f t="shared" si="11"/>
        <v>9.8050817605868676</v>
      </c>
      <c r="R50">
        <f t="shared" si="12"/>
        <v>842.71719999999993</v>
      </c>
    </row>
    <row r="51" spans="1:18" x14ac:dyDescent="0.3">
      <c r="A51" t="s">
        <v>0</v>
      </c>
      <c r="B51" t="s">
        <v>0</v>
      </c>
      <c r="C51">
        <v>14</v>
      </c>
      <c r="D51">
        <v>30</v>
      </c>
      <c r="E51">
        <v>8</v>
      </c>
      <c r="F51">
        <v>20260318</v>
      </c>
      <c r="G51">
        <v>20260508</v>
      </c>
      <c r="H51">
        <v>759.08590000000004</v>
      </c>
      <c r="I51">
        <f t="shared" si="3"/>
        <v>52</v>
      </c>
      <c r="J51">
        <f t="shared" si="4"/>
        <v>14.597805769230771</v>
      </c>
      <c r="K51">
        <f t="shared" si="5"/>
        <v>329.29992411345449</v>
      </c>
      <c r="L51">
        <f t="shared" si="6"/>
        <v>437.93417307692312</v>
      </c>
      <c r="M51">
        <f t="shared" si="7"/>
        <v>87.761473915105483</v>
      </c>
      <c r="N51">
        <f t="shared" si="8"/>
        <v>854.99557110548312</v>
      </c>
      <c r="O51">
        <f t="shared" si="9"/>
        <v>292.36049602267963</v>
      </c>
      <c r="P51">
        <f t="shared" si="10"/>
        <v>388.80862912661706</v>
      </c>
      <c r="Q51">
        <f t="shared" si="11"/>
        <v>77.916774850703248</v>
      </c>
      <c r="R51">
        <f t="shared" si="12"/>
        <v>759.08589999999992</v>
      </c>
    </row>
    <row r="52" spans="1:18" x14ac:dyDescent="0.3">
      <c r="A52" t="s">
        <v>0</v>
      </c>
      <c r="B52" t="s">
        <v>0</v>
      </c>
      <c r="C52">
        <v>8</v>
      </c>
      <c r="D52">
        <v>30</v>
      </c>
      <c r="E52">
        <v>3</v>
      </c>
      <c r="F52">
        <v>20260324</v>
      </c>
      <c r="G52">
        <v>20260503</v>
      </c>
      <c r="H52">
        <v>210.99549999999999</v>
      </c>
      <c r="I52">
        <f t="shared" si="3"/>
        <v>41</v>
      </c>
      <c r="J52">
        <f t="shared" si="4"/>
        <v>5.1462317073170727</v>
      </c>
      <c r="K52">
        <f t="shared" si="5"/>
        <v>66.336925170405834</v>
      </c>
      <c r="L52">
        <f t="shared" si="6"/>
        <v>154.38695121951218</v>
      </c>
      <c r="M52">
        <f t="shared" si="7"/>
        <v>11.602108740242075</v>
      </c>
      <c r="N52">
        <f t="shared" si="8"/>
        <v>232.32598513016009</v>
      </c>
      <c r="O52">
        <f t="shared" si="9"/>
        <v>60.246350346693646</v>
      </c>
      <c r="P52">
        <f t="shared" si="10"/>
        <v>140.21226229940029</v>
      </c>
      <c r="Q52">
        <f t="shared" si="11"/>
        <v>10.536887353906041</v>
      </c>
      <c r="R52">
        <f t="shared" si="12"/>
        <v>210.99549999999999</v>
      </c>
    </row>
    <row r="53" spans="1:18" x14ac:dyDescent="0.3">
      <c r="A53" t="s">
        <v>0</v>
      </c>
      <c r="B53" t="s">
        <v>0</v>
      </c>
      <c r="C53">
        <v>15</v>
      </c>
      <c r="D53">
        <v>30</v>
      </c>
      <c r="E53">
        <v>4</v>
      </c>
      <c r="F53">
        <v>20260317</v>
      </c>
      <c r="G53">
        <v>20260504</v>
      </c>
      <c r="H53">
        <v>210.80289999999999</v>
      </c>
      <c r="I53">
        <f t="shared" si="3"/>
        <v>49</v>
      </c>
      <c r="J53">
        <f t="shared" si="4"/>
        <v>4.3021000000000003</v>
      </c>
      <c r="K53">
        <f t="shared" si="5"/>
        <v>103.97951185688548</v>
      </c>
      <c r="L53">
        <f t="shared" si="6"/>
        <v>129.06300000000002</v>
      </c>
      <c r="M53">
        <f t="shared" si="7"/>
        <v>12.932033858334817</v>
      </c>
      <c r="N53">
        <f t="shared" si="8"/>
        <v>245.9745457152203</v>
      </c>
      <c r="O53">
        <f t="shared" si="9"/>
        <v>89.111589072281546</v>
      </c>
      <c r="P53">
        <f t="shared" si="10"/>
        <v>110.60841520650284</v>
      </c>
      <c r="Q53">
        <f t="shared" si="11"/>
        <v>11.082895721215611</v>
      </c>
      <c r="R53">
        <f t="shared" si="12"/>
        <v>210.80289999999999</v>
      </c>
    </row>
    <row r="54" spans="1:18" x14ac:dyDescent="0.3">
      <c r="A54" t="s">
        <v>0</v>
      </c>
      <c r="B54" t="s">
        <v>0</v>
      </c>
      <c r="C54">
        <v>14</v>
      </c>
      <c r="D54">
        <v>30</v>
      </c>
      <c r="E54">
        <v>2</v>
      </c>
      <c r="F54">
        <v>20260318</v>
      </c>
      <c r="G54">
        <v>20260502</v>
      </c>
      <c r="H54">
        <v>126.50239999999999</v>
      </c>
      <c r="I54">
        <f t="shared" si="3"/>
        <v>46</v>
      </c>
      <c r="J54">
        <f t="shared" si="4"/>
        <v>2.7500521739130432</v>
      </c>
      <c r="K54">
        <f t="shared" si="5"/>
        <v>62.036170811808638</v>
      </c>
      <c r="L54">
        <f t="shared" si="6"/>
        <v>82.501565217391303</v>
      </c>
      <c r="M54">
        <f t="shared" si="7"/>
        <v>4.1333032501837179</v>
      </c>
      <c r="N54">
        <f t="shared" si="8"/>
        <v>148.67103927938368</v>
      </c>
      <c r="O54">
        <f t="shared" si="9"/>
        <v>52.785831945092156</v>
      </c>
      <c r="P54">
        <f t="shared" si="10"/>
        <v>70.199590009886862</v>
      </c>
      <c r="Q54">
        <f t="shared" si="11"/>
        <v>3.5169780450209571</v>
      </c>
      <c r="R54">
        <f t="shared" si="12"/>
        <v>126.50239999999998</v>
      </c>
    </row>
    <row r="55" spans="1:18" x14ac:dyDescent="0.3">
      <c r="A55" t="s">
        <v>0</v>
      </c>
      <c r="B55" t="s">
        <v>0</v>
      </c>
      <c r="C55">
        <v>0</v>
      </c>
      <c r="D55">
        <v>29</v>
      </c>
      <c r="E55">
        <v>5</v>
      </c>
      <c r="F55">
        <v>20260402</v>
      </c>
      <c r="G55">
        <v>20260505</v>
      </c>
      <c r="H55">
        <v>168.666</v>
      </c>
      <c r="I55">
        <f t="shared" si="3"/>
        <v>34</v>
      </c>
      <c r="J55">
        <f t="shared" si="4"/>
        <v>4.9607647058823527</v>
      </c>
      <c r="K55">
        <f t="shared" si="5"/>
        <v>0</v>
      </c>
      <c r="L55">
        <f t="shared" si="6"/>
        <v>143.86217647058822</v>
      </c>
      <c r="M55">
        <f t="shared" si="7"/>
        <v>18.63995988578338</v>
      </c>
      <c r="N55">
        <f t="shared" si="8"/>
        <v>162.50213635637161</v>
      </c>
      <c r="O55">
        <f t="shared" si="9"/>
        <v>0</v>
      </c>
      <c r="P55">
        <f t="shared" si="10"/>
        <v>149.31900835675893</v>
      </c>
      <c r="Q55">
        <f t="shared" si="11"/>
        <v>19.346991643241054</v>
      </c>
      <c r="R55">
        <f t="shared" si="12"/>
        <v>168.666</v>
      </c>
    </row>
    <row r="56" spans="1:18" x14ac:dyDescent="0.3">
      <c r="A56" t="s">
        <v>0</v>
      </c>
      <c r="B56" t="s">
        <v>0</v>
      </c>
      <c r="C56">
        <v>11</v>
      </c>
      <c r="D56">
        <v>30</v>
      </c>
      <c r="E56">
        <v>5</v>
      </c>
      <c r="F56">
        <v>20260321</v>
      </c>
      <c r="G56">
        <v>20260505</v>
      </c>
      <c r="H56">
        <v>84.376499999999993</v>
      </c>
      <c r="I56">
        <f t="shared" si="3"/>
        <v>46</v>
      </c>
      <c r="J56">
        <f t="shared" si="4"/>
        <v>1.8342717391304346</v>
      </c>
      <c r="K56">
        <f t="shared" si="5"/>
        <v>32.511153165884764</v>
      </c>
      <c r="L56">
        <f t="shared" si="6"/>
        <v>55.028152173913035</v>
      </c>
      <c r="M56">
        <f t="shared" si="7"/>
        <v>6.8922340937627764</v>
      </c>
      <c r="N56">
        <f t="shared" si="8"/>
        <v>94.431539433560587</v>
      </c>
      <c r="O56">
        <f t="shared" si="9"/>
        <v>29.049376210066963</v>
      </c>
      <c r="P56">
        <f t="shared" si="10"/>
        <v>49.168772528260192</v>
      </c>
      <c r="Q56">
        <f t="shared" si="11"/>
        <v>6.1583512616728244</v>
      </c>
      <c r="R56">
        <f t="shared" si="12"/>
        <v>84.376499999999979</v>
      </c>
    </row>
    <row r="57" spans="1:18" x14ac:dyDescent="0.3">
      <c r="A57" t="s">
        <v>0</v>
      </c>
      <c r="B57" t="s">
        <v>0</v>
      </c>
      <c r="C57">
        <v>12</v>
      </c>
      <c r="D57">
        <v>30</v>
      </c>
      <c r="E57">
        <v>5</v>
      </c>
      <c r="F57">
        <v>20260320</v>
      </c>
      <c r="G57">
        <v>20260505</v>
      </c>
      <c r="H57">
        <v>126.544</v>
      </c>
      <c r="I57">
        <f t="shared" si="3"/>
        <v>47</v>
      </c>
      <c r="J57">
        <f t="shared" si="4"/>
        <v>2.6924255319148935</v>
      </c>
      <c r="K57">
        <f t="shared" si="5"/>
        <v>52.059616005118592</v>
      </c>
      <c r="L57">
        <f t="shared" si="6"/>
        <v>80.772765957446808</v>
      </c>
      <c r="M57">
        <f t="shared" si="7"/>
        <v>10.116727336582288</v>
      </c>
      <c r="N57">
        <f t="shared" si="8"/>
        <v>142.94910929914769</v>
      </c>
      <c r="O57">
        <f t="shared" si="9"/>
        <v>46.085156319270652</v>
      </c>
      <c r="P57">
        <f t="shared" si="10"/>
        <v>71.50313104735163</v>
      </c>
      <c r="Q57">
        <f t="shared" si="11"/>
        <v>8.9557126333777166</v>
      </c>
      <c r="R57">
        <f t="shared" si="12"/>
        <v>126.544</v>
      </c>
    </row>
    <row r="58" spans="1:18" x14ac:dyDescent="0.3">
      <c r="A58" t="s">
        <v>0</v>
      </c>
      <c r="B58" t="s">
        <v>0</v>
      </c>
      <c r="C58">
        <v>16</v>
      </c>
      <c r="D58">
        <v>30</v>
      </c>
      <c r="E58">
        <v>8</v>
      </c>
      <c r="F58">
        <v>20260316</v>
      </c>
      <c r="G58">
        <v>20260508</v>
      </c>
      <c r="H58">
        <v>210.7979</v>
      </c>
      <c r="I58">
        <f t="shared" si="3"/>
        <v>54</v>
      </c>
      <c r="J58">
        <f t="shared" si="4"/>
        <v>3.9036648148148148</v>
      </c>
      <c r="K58">
        <f t="shared" si="5"/>
        <v>100.6395107870962</v>
      </c>
      <c r="L58">
        <f t="shared" si="6"/>
        <v>117.10994444444444</v>
      </c>
      <c r="M58">
        <f t="shared" si="7"/>
        <v>23.468689968515609</v>
      </c>
      <c r="N58">
        <f t="shared" si="8"/>
        <v>241.21814520005626</v>
      </c>
      <c r="O58">
        <f t="shared" si="9"/>
        <v>87.947768246674499</v>
      </c>
      <c r="P58">
        <f t="shared" si="10"/>
        <v>102.34110015866169</v>
      </c>
      <c r="Q58">
        <f t="shared" si="11"/>
        <v>20.50903159466381</v>
      </c>
      <c r="R58">
        <f t="shared" si="12"/>
        <v>210.7979</v>
      </c>
    </row>
    <row r="59" spans="1:18" x14ac:dyDescent="0.3">
      <c r="A59" t="s">
        <v>0</v>
      </c>
      <c r="B59" t="s">
        <v>0</v>
      </c>
      <c r="C59">
        <v>14</v>
      </c>
      <c r="D59">
        <v>30</v>
      </c>
      <c r="E59">
        <v>6</v>
      </c>
      <c r="F59">
        <v>20260318</v>
      </c>
      <c r="G59">
        <v>20260506</v>
      </c>
      <c r="H59">
        <v>548.17729999999995</v>
      </c>
      <c r="I59">
        <f t="shared" si="3"/>
        <v>50</v>
      </c>
      <c r="J59">
        <f t="shared" si="4"/>
        <v>10.963545999999999</v>
      </c>
      <c r="K59">
        <f t="shared" si="5"/>
        <v>247.31763957458188</v>
      </c>
      <c r="L59">
        <f t="shared" si="6"/>
        <v>328.90637999999996</v>
      </c>
      <c r="M59">
        <f t="shared" si="7"/>
        <v>49.434327914069137</v>
      </c>
      <c r="N59">
        <f t="shared" si="8"/>
        <v>625.65834748865097</v>
      </c>
      <c r="O59">
        <f t="shared" si="9"/>
        <v>216.69001372482549</v>
      </c>
      <c r="P59">
        <f t="shared" si="10"/>
        <v>288.17486742545935</v>
      </c>
      <c r="Q59">
        <f t="shared" si="11"/>
        <v>43.312418849715101</v>
      </c>
      <c r="R59">
        <f t="shared" si="12"/>
        <v>548.17729999999995</v>
      </c>
    </row>
    <row r="60" spans="1:18" x14ac:dyDescent="0.3">
      <c r="A60" t="s">
        <v>0</v>
      </c>
      <c r="B60" t="s">
        <v>0</v>
      </c>
      <c r="C60">
        <v>11</v>
      </c>
      <c r="D60">
        <v>30</v>
      </c>
      <c r="E60">
        <v>9</v>
      </c>
      <c r="F60">
        <v>20260321</v>
      </c>
      <c r="G60">
        <v>20260509</v>
      </c>
      <c r="H60">
        <v>42.193199999999997</v>
      </c>
      <c r="I60">
        <f t="shared" si="3"/>
        <v>50</v>
      </c>
      <c r="J60">
        <f t="shared" si="4"/>
        <v>0.84386399999999995</v>
      </c>
      <c r="K60">
        <f t="shared" si="5"/>
        <v>14.956885160419125</v>
      </c>
      <c r="L60">
        <f t="shared" si="6"/>
        <v>25.315919999999998</v>
      </c>
      <c r="M60">
        <f t="shared" si="7"/>
        <v>5.7074394120585676</v>
      </c>
      <c r="N60">
        <f t="shared" si="8"/>
        <v>45.980244572477694</v>
      </c>
      <c r="O60">
        <f t="shared" si="9"/>
        <v>13.724999786720138</v>
      </c>
      <c r="P60">
        <f t="shared" si="10"/>
        <v>23.230839367552342</v>
      </c>
      <c r="Q60">
        <f t="shared" si="11"/>
        <v>5.23736084572751</v>
      </c>
      <c r="R60">
        <f t="shared" si="12"/>
        <v>42.19319999999999</v>
      </c>
    </row>
    <row r="61" spans="1:18" x14ac:dyDescent="0.3">
      <c r="A61" t="s">
        <v>0</v>
      </c>
      <c r="B61" t="s">
        <v>0</v>
      </c>
      <c r="C61">
        <v>31</v>
      </c>
      <c r="D61">
        <v>30</v>
      </c>
      <c r="E61">
        <v>1</v>
      </c>
      <c r="F61">
        <v>20260226</v>
      </c>
      <c r="G61">
        <v>20260501</v>
      </c>
      <c r="H61">
        <v>1308.4480000000001</v>
      </c>
      <c r="I61">
        <f t="shared" si="3"/>
        <v>62</v>
      </c>
      <c r="J61">
        <f t="shared" si="4"/>
        <v>21.104000000000003</v>
      </c>
      <c r="K61">
        <f t="shared" si="5"/>
        <v>1054.1501772786785</v>
      </c>
      <c r="L61">
        <f t="shared" si="6"/>
        <v>633.12000000000012</v>
      </c>
      <c r="M61">
        <f t="shared" si="7"/>
        <v>15.859559432968666</v>
      </c>
      <c r="N61">
        <f t="shared" si="8"/>
        <v>1703.1297367116472</v>
      </c>
      <c r="O61">
        <f t="shared" si="9"/>
        <v>809.86237362225006</v>
      </c>
      <c r="P61">
        <f t="shared" si="10"/>
        <v>486.40134682837459</v>
      </c>
      <c r="Q61">
        <f t="shared" si="11"/>
        <v>12.184279549375491</v>
      </c>
      <c r="R61">
        <f t="shared" si="12"/>
        <v>1308.4480000000001</v>
      </c>
    </row>
    <row r="62" spans="1:18" x14ac:dyDescent="0.3">
      <c r="A62" t="s">
        <v>0</v>
      </c>
      <c r="B62" t="s">
        <v>0</v>
      </c>
      <c r="C62">
        <v>31</v>
      </c>
      <c r="D62">
        <v>30</v>
      </c>
      <c r="E62">
        <v>7</v>
      </c>
      <c r="F62">
        <v>20260227</v>
      </c>
      <c r="G62">
        <v>20260507</v>
      </c>
      <c r="H62">
        <v>126.6151</v>
      </c>
      <c r="I62">
        <f t="shared" si="3"/>
        <v>68</v>
      </c>
      <c r="J62">
        <f t="shared" si="4"/>
        <v>1.8619867647058823</v>
      </c>
      <c r="K62">
        <f t="shared" si="5"/>
        <v>93.006713329475872</v>
      </c>
      <c r="L62">
        <f t="shared" si="6"/>
        <v>55.859602941176469</v>
      </c>
      <c r="M62">
        <f t="shared" si="7"/>
        <v>9.794921735584623</v>
      </c>
      <c r="N62">
        <f t="shared" si="8"/>
        <v>158.66123800623694</v>
      </c>
      <c r="O62">
        <f t="shared" si="9"/>
        <v>74.221369106044691</v>
      </c>
      <c r="P62">
        <f t="shared" si="10"/>
        <v>44.577171470698644</v>
      </c>
      <c r="Q62">
        <f t="shared" si="11"/>
        <v>7.8165594232566695</v>
      </c>
      <c r="R62">
        <f t="shared" si="12"/>
        <v>126.6151</v>
      </c>
    </row>
    <row r="63" spans="1:18" x14ac:dyDescent="0.3">
      <c r="A63" t="s">
        <v>0</v>
      </c>
      <c r="B63" t="s">
        <v>0</v>
      </c>
      <c r="C63">
        <v>31</v>
      </c>
      <c r="D63">
        <v>30</v>
      </c>
      <c r="E63">
        <v>4</v>
      </c>
      <c r="F63">
        <v>20260226</v>
      </c>
      <c r="G63">
        <v>20260504</v>
      </c>
      <c r="H63">
        <v>295.44909999999999</v>
      </c>
      <c r="I63">
        <f t="shared" si="3"/>
        <v>65</v>
      </c>
      <c r="J63">
        <f t="shared" si="4"/>
        <v>4.545370769230769</v>
      </c>
      <c r="K63">
        <f t="shared" si="5"/>
        <v>227.042428079129</v>
      </c>
      <c r="L63">
        <f t="shared" si="6"/>
        <v>136.36112307692306</v>
      </c>
      <c r="M63">
        <f t="shared" si="7"/>
        <v>13.663301338039021</v>
      </c>
      <c r="N63">
        <f t="shared" si="8"/>
        <v>377.06685249409111</v>
      </c>
      <c r="O63">
        <f t="shared" si="9"/>
        <v>177.89811168523377</v>
      </c>
      <c r="P63">
        <f t="shared" si="10"/>
        <v>106.84516769794152</v>
      </c>
      <c r="Q63">
        <f t="shared" si="11"/>
        <v>10.705820616824662</v>
      </c>
      <c r="R63">
        <f t="shared" si="12"/>
        <v>295.44909999999993</v>
      </c>
    </row>
    <row r="64" spans="1:18" x14ac:dyDescent="0.3">
      <c r="A64" t="s">
        <v>0</v>
      </c>
      <c r="B64" t="s">
        <v>0</v>
      </c>
      <c r="C64">
        <v>0</v>
      </c>
      <c r="D64">
        <v>24</v>
      </c>
      <c r="E64">
        <v>3</v>
      </c>
      <c r="F64">
        <v>20260407</v>
      </c>
      <c r="G64">
        <v>20260503</v>
      </c>
      <c r="H64">
        <v>337.62450000000001</v>
      </c>
      <c r="I64">
        <f t="shared" si="3"/>
        <v>27</v>
      </c>
      <c r="J64">
        <f t="shared" si="4"/>
        <v>12.504611111111112</v>
      </c>
      <c r="K64">
        <f t="shared" si="5"/>
        <v>0</v>
      </c>
      <c r="L64">
        <f t="shared" si="6"/>
        <v>300.1106666666667</v>
      </c>
      <c r="M64">
        <f t="shared" si="7"/>
        <v>28.191474095360171</v>
      </c>
      <c r="N64">
        <f t="shared" si="8"/>
        <v>328.30214076202685</v>
      </c>
      <c r="O64">
        <f t="shared" si="9"/>
        <v>0</v>
      </c>
      <c r="P64">
        <f t="shared" si="10"/>
        <v>308.6325101103933</v>
      </c>
      <c r="Q64">
        <f t="shared" si="11"/>
        <v>28.991989889606739</v>
      </c>
      <c r="R64">
        <f t="shared" si="12"/>
        <v>337.62450000000001</v>
      </c>
    </row>
    <row r="65" spans="1:18" x14ac:dyDescent="0.3">
      <c r="A65" t="s">
        <v>0</v>
      </c>
      <c r="B65" t="s">
        <v>0</v>
      </c>
      <c r="C65">
        <v>30</v>
      </c>
      <c r="D65">
        <v>23</v>
      </c>
      <c r="E65">
        <v>0</v>
      </c>
      <c r="F65">
        <v>20260302</v>
      </c>
      <c r="G65">
        <v>20260423</v>
      </c>
      <c r="H65">
        <v>1223.6306999999999</v>
      </c>
      <c r="I65">
        <f t="shared" si="3"/>
        <v>53</v>
      </c>
      <c r="J65">
        <f t="shared" si="4"/>
        <v>23.087371698113206</v>
      </c>
      <c r="K65">
        <f t="shared" si="5"/>
        <v>1116.019450607045</v>
      </c>
      <c r="L65">
        <f t="shared" si="6"/>
        <v>531.00954905660376</v>
      </c>
      <c r="M65">
        <f t="shared" si="7"/>
        <v>0</v>
      </c>
      <c r="N65">
        <f t="shared" si="8"/>
        <v>1647.0289996636488</v>
      </c>
      <c r="O65">
        <f t="shared" si="9"/>
        <v>829.12666494566372</v>
      </c>
      <c r="P65">
        <f t="shared" si="10"/>
        <v>394.50403505433616</v>
      </c>
      <c r="Q65">
        <f t="shared" si="11"/>
        <v>0</v>
      </c>
      <c r="R65">
        <f t="shared" si="12"/>
        <v>1223.6306999999999</v>
      </c>
    </row>
    <row r="66" spans="1:18" x14ac:dyDescent="0.3">
      <c r="A66" t="s">
        <v>0</v>
      </c>
      <c r="B66" t="s">
        <v>0</v>
      </c>
      <c r="C66">
        <v>26</v>
      </c>
      <c r="D66">
        <v>29</v>
      </c>
      <c r="E66">
        <v>0</v>
      </c>
      <c r="F66">
        <v>20260306</v>
      </c>
      <c r="G66">
        <v>20260429</v>
      </c>
      <c r="H66">
        <v>1011.9246000000001</v>
      </c>
      <c r="I66">
        <f t="shared" si="3"/>
        <v>55</v>
      </c>
      <c r="J66">
        <f t="shared" si="4"/>
        <v>18.398629090909093</v>
      </c>
      <c r="K66">
        <f t="shared" si="5"/>
        <v>770.78778990762839</v>
      </c>
      <c r="L66">
        <f t="shared" si="6"/>
        <v>533.56024363636368</v>
      </c>
      <c r="M66">
        <f t="shared" si="7"/>
        <v>0</v>
      </c>
      <c r="N66">
        <f t="shared" si="8"/>
        <v>1304.3480335439922</v>
      </c>
      <c r="O66">
        <f t="shared" si="9"/>
        <v>597.98390148058161</v>
      </c>
      <c r="P66">
        <f t="shared" si="10"/>
        <v>413.94069851941839</v>
      </c>
      <c r="Q66">
        <f t="shared" si="11"/>
        <v>0</v>
      </c>
      <c r="R66">
        <f t="shared" si="12"/>
        <v>1011.9246000000001</v>
      </c>
    </row>
    <row r="67" spans="1:18" x14ac:dyDescent="0.3">
      <c r="A67" t="s">
        <v>0</v>
      </c>
      <c r="B67" t="s">
        <v>0</v>
      </c>
      <c r="C67">
        <v>29</v>
      </c>
      <c r="D67">
        <v>28</v>
      </c>
      <c r="E67">
        <v>0</v>
      </c>
      <c r="F67">
        <v>20260303</v>
      </c>
      <c r="G67">
        <v>20260428</v>
      </c>
      <c r="H67">
        <v>2278.0046000000002</v>
      </c>
      <c r="I67">
        <f t="shared" si="3"/>
        <v>57</v>
      </c>
      <c r="J67">
        <f t="shared" si="4"/>
        <v>39.964992982456145</v>
      </c>
      <c r="K67">
        <f t="shared" si="5"/>
        <v>1867.4705126753549</v>
      </c>
      <c r="L67">
        <f t="shared" si="6"/>
        <v>1119.0198035087722</v>
      </c>
      <c r="M67">
        <f t="shared" si="7"/>
        <v>0</v>
      </c>
      <c r="N67">
        <f t="shared" si="8"/>
        <v>2986.4903161841271</v>
      </c>
      <c r="O67">
        <f t="shared" si="9"/>
        <v>1424.4500962167315</v>
      </c>
      <c r="P67">
        <f t="shared" si="10"/>
        <v>853.5545037832685</v>
      </c>
      <c r="Q67">
        <f t="shared" si="11"/>
        <v>0</v>
      </c>
      <c r="R67">
        <f t="shared" si="12"/>
        <v>2278.0046000000002</v>
      </c>
    </row>
    <row r="68" spans="1:18" x14ac:dyDescent="0.3">
      <c r="A68" t="s">
        <v>0</v>
      </c>
      <c r="B68" t="s">
        <v>0</v>
      </c>
      <c r="C68">
        <v>29</v>
      </c>
      <c r="D68">
        <v>27</v>
      </c>
      <c r="E68">
        <v>0</v>
      </c>
      <c r="F68">
        <v>20260303</v>
      </c>
      <c r="G68">
        <v>20260427</v>
      </c>
      <c r="H68">
        <v>674.94849999999997</v>
      </c>
      <c r="I68">
        <f t="shared" si="3"/>
        <v>56</v>
      </c>
      <c r="J68">
        <f t="shared" si="4"/>
        <v>12.052651785714286</v>
      </c>
      <c r="K68">
        <f t="shared" si="5"/>
        <v>563.19218720358469</v>
      </c>
      <c r="L68">
        <f t="shared" si="6"/>
        <v>325.42159821428572</v>
      </c>
      <c r="M68">
        <f t="shared" si="7"/>
        <v>0</v>
      </c>
      <c r="N68">
        <f t="shared" si="8"/>
        <v>888.61378541787042</v>
      </c>
      <c r="O68">
        <f t="shared" si="9"/>
        <v>427.77382953385603</v>
      </c>
      <c r="P68">
        <f t="shared" si="10"/>
        <v>247.17467046614388</v>
      </c>
      <c r="Q68">
        <f t="shared" si="11"/>
        <v>0</v>
      </c>
      <c r="R68">
        <f t="shared" si="12"/>
        <v>674.94849999999997</v>
      </c>
    </row>
    <row r="69" spans="1:18" x14ac:dyDescent="0.3">
      <c r="A69" t="s">
        <v>0</v>
      </c>
      <c r="B69" t="s">
        <v>0</v>
      </c>
      <c r="C69">
        <v>26</v>
      </c>
      <c r="D69">
        <v>23</v>
      </c>
      <c r="E69">
        <v>0</v>
      </c>
      <c r="F69">
        <v>20260306</v>
      </c>
      <c r="G69">
        <v>20260423</v>
      </c>
      <c r="H69">
        <v>421.64519999999999</v>
      </c>
      <c r="I69">
        <f t="shared" si="3"/>
        <v>49</v>
      </c>
      <c r="J69">
        <f t="shared" si="4"/>
        <v>8.6050040816326536</v>
      </c>
      <c r="K69">
        <f t="shared" si="5"/>
        <v>360.49599377515523</v>
      </c>
      <c r="L69">
        <f t="shared" si="6"/>
        <v>197.91509387755104</v>
      </c>
      <c r="M69">
        <f t="shared" si="7"/>
        <v>0</v>
      </c>
      <c r="N69">
        <f t="shared" si="8"/>
        <v>558.41108765270633</v>
      </c>
      <c r="O69">
        <f t="shared" si="9"/>
        <v>272.2034156475392</v>
      </c>
      <c r="P69">
        <f t="shared" si="10"/>
        <v>149.44178435246073</v>
      </c>
      <c r="Q69">
        <f t="shared" si="11"/>
        <v>0</v>
      </c>
      <c r="R69">
        <f t="shared" si="12"/>
        <v>421.64519999999993</v>
      </c>
    </row>
    <row r="70" spans="1:18" x14ac:dyDescent="0.3">
      <c r="A70" t="s">
        <v>0</v>
      </c>
      <c r="B70" t="s">
        <v>0</v>
      </c>
      <c r="C70">
        <v>27</v>
      </c>
      <c r="D70">
        <v>29</v>
      </c>
      <c r="E70">
        <v>0</v>
      </c>
      <c r="F70">
        <v>20260305</v>
      </c>
      <c r="G70">
        <v>20260429</v>
      </c>
      <c r="H70">
        <v>337.37150000000003</v>
      </c>
      <c r="I70">
        <f t="shared" si="3"/>
        <v>56</v>
      </c>
      <c r="J70">
        <f t="shared" si="4"/>
        <v>6.0244910714285718</v>
      </c>
      <c r="K70">
        <f t="shared" si="5"/>
        <v>262.09584933589508</v>
      </c>
      <c r="L70">
        <f t="shared" si="6"/>
        <v>174.71024107142858</v>
      </c>
      <c r="M70">
        <f t="shared" si="7"/>
        <v>0</v>
      </c>
      <c r="N70">
        <f t="shared" si="8"/>
        <v>436.80609040732367</v>
      </c>
      <c r="O70">
        <f t="shared" si="9"/>
        <v>202.43231899942023</v>
      </c>
      <c r="P70">
        <f t="shared" si="10"/>
        <v>134.93918100057979</v>
      </c>
      <c r="Q70">
        <f t="shared" si="11"/>
        <v>0</v>
      </c>
      <c r="R70">
        <f t="shared" si="12"/>
        <v>337.37150000000003</v>
      </c>
    </row>
    <row r="71" spans="1:18" x14ac:dyDescent="0.3">
      <c r="A71" t="s">
        <v>0</v>
      </c>
      <c r="B71" t="s">
        <v>0</v>
      </c>
      <c r="C71">
        <v>24</v>
      </c>
      <c r="D71">
        <v>28</v>
      </c>
      <c r="E71">
        <v>0</v>
      </c>
      <c r="F71">
        <v>20260308</v>
      </c>
      <c r="G71">
        <v>20260428</v>
      </c>
      <c r="H71">
        <v>590.06809999999996</v>
      </c>
      <c r="I71">
        <f t="shared" si="3"/>
        <v>52</v>
      </c>
      <c r="J71">
        <f t="shared" si="4"/>
        <v>11.34746346153846</v>
      </c>
      <c r="K71">
        <f t="shared" si="5"/>
        <v>438.81963191729176</v>
      </c>
      <c r="L71">
        <f t="shared" si="6"/>
        <v>317.72897692307686</v>
      </c>
      <c r="M71">
        <f t="shared" si="7"/>
        <v>0</v>
      </c>
      <c r="N71">
        <f t="shared" si="8"/>
        <v>756.54860884036862</v>
      </c>
      <c r="O71">
        <f t="shared" si="9"/>
        <v>342.25621912784521</v>
      </c>
      <c r="P71">
        <f t="shared" si="10"/>
        <v>247.81188087215469</v>
      </c>
      <c r="Q71">
        <f t="shared" si="11"/>
        <v>0</v>
      </c>
      <c r="R71">
        <f t="shared" si="12"/>
        <v>590.06809999999996</v>
      </c>
    </row>
    <row r="72" spans="1:18" x14ac:dyDescent="0.3">
      <c r="A72" t="s">
        <v>0</v>
      </c>
      <c r="B72" t="s">
        <v>0</v>
      </c>
      <c r="C72">
        <v>24</v>
      </c>
      <c r="D72">
        <v>15</v>
      </c>
      <c r="E72">
        <v>0</v>
      </c>
      <c r="F72">
        <v>20260308</v>
      </c>
      <c r="G72">
        <v>20260415</v>
      </c>
      <c r="H72">
        <v>210.63980000000001</v>
      </c>
      <c r="I72">
        <f t="shared" si="3"/>
        <v>39</v>
      </c>
      <c r="J72">
        <f t="shared" si="4"/>
        <v>5.4010205128205131</v>
      </c>
      <c r="K72">
        <f t="shared" si="5"/>
        <v>208.86375545044595</v>
      </c>
      <c r="L72">
        <f t="shared" si="6"/>
        <v>81.015307692307701</v>
      </c>
      <c r="M72">
        <f t="shared" si="7"/>
        <v>0</v>
      </c>
      <c r="N72">
        <f t="shared" si="8"/>
        <v>289.87906314275364</v>
      </c>
      <c r="O72">
        <f t="shared" si="9"/>
        <v>151.77025618323145</v>
      </c>
      <c r="P72">
        <f t="shared" si="10"/>
        <v>58.869543816768562</v>
      </c>
      <c r="Q72">
        <f t="shared" si="11"/>
        <v>0</v>
      </c>
      <c r="R72">
        <f t="shared" si="12"/>
        <v>210.63980000000001</v>
      </c>
    </row>
    <row r="73" spans="1:18" x14ac:dyDescent="0.3">
      <c r="A73" t="s">
        <v>0</v>
      </c>
      <c r="B73" t="s">
        <v>0</v>
      </c>
      <c r="C73">
        <v>28</v>
      </c>
      <c r="D73">
        <v>29</v>
      </c>
      <c r="E73">
        <v>0</v>
      </c>
      <c r="F73">
        <v>20260304</v>
      </c>
      <c r="G73">
        <v>20260429</v>
      </c>
      <c r="H73">
        <v>210.89179999999999</v>
      </c>
      <c r="I73">
        <f t="shared" si="3"/>
        <v>57</v>
      </c>
      <c r="J73">
        <f t="shared" si="4"/>
        <v>3.6998561403508772</v>
      </c>
      <c r="K73">
        <f t="shared" si="5"/>
        <v>166.92403851766605</v>
      </c>
      <c r="L73">
        <f t="shared" si="6"/>
        <v>107.29582807017543</v>
      </c>
      <c r="M73">
        <f t="shared" si="7"/>
        <v>0</v>
      </c>
      <c r="N73">
        <f t="shared" si="8"/>
        <v>274.21986658784147</v>
      </c>
      <c r="O73">
        <f t="shared" si="9"/>
        <v>128.37476505365922</v>
      </c>
      <c r="P73">
        <f t="shared" si="10"/>
        <v>82.517034946340786</v>
      </c>
      <c r="Q73">
        <f t="shared" si="11"/>
        <v>0</v>
      </c>
      <c r="R73">
        <f t="shared" si="12"/>
        <v>210.89179999999999</v>
      </c>
    </row>
    <row r="74" spans="1:18" x14ac:dyDescent="0.3">
      <c r="A74" t="s">
        <v>0</v>
      </c>
      <c r="B74" t="s">
        <v>0</v>
      </c>
      <c r="C74">
        <v>30</v>
      </c>
      <c r="D74">
        <v>16</v>
      </c>
      <c r="E74">
        <v>0</v>
      </c>
      <c r="F74">
        <v>20260302</v>
      </c>
      <c r="G74">
        <v>20260416</v>
      </c>
      <c r="H74">
        <v>2404.4479000000001</v>
      </c>
      <c r="I74">
        <f t="shared" si="3"/>
        <v>46</v>
      </c>
      <c r="J74">
        <f t="shared" si="4"/>
        <v>52.270606521739133</v>
      </c>
      <c r="K74">
        <f t="shared" si="5"/>
        <v>2526.7065621876613</v>
      </c>
      <c r="L74">
        <f t="shared" si="6"/>
        <v>836.32970434782612</v>
      </c>
      <c r="M74">
        <f t="shared" si="7"/>
        <v>0</v>
      </c>
      <c r="N74">
        <f t="shared" si="8"/>
        <v>3363.0362665354874</v>
      </c>
      <c r="O74">
        <f t="shared" si="9"/>
        <v>1806.5027569943495</v>
      </c>
      <c r="P74">
        <f t="shared" si="10"/>
        <v>597.94514300565061</v>
      </c>
      <c r="Q74">
        <f t="shared" si="11"/>
        <v>0</v>
      </c>
      <c r="R74">
        <f t="shared" si="12"/>
        <v>2404.4479000000001</v>
      </c>
    </row>
    <row r="75" spans="1:18" x14ac:dyDescent="0.3">
      <c r="A75" t="s">
        <v>0</v>
      </c>
      <c r="B75" t="s">
        <v>0</v>
      </c>
      <c r="C75">
        <v>24</v>
      </c>
      <c r="D75">
        <v>16</v>
      </c>
      <c r="E75">
        <v>0</v>
      </c>
      <c r="F75">
        <v>20260308</v>
      </c>
      <c r="G75">
        <v>20260416</v>
      </c>
      <c r="H75">
        <v>421.29930000000002</v>
      </c>
      <c r="I75">
        <f t="shared" ref="I75:I138" si="13">IF(C75&lt;0,0,C75)+D75+E75</f>
        <v>40</v>
      </c>
      <c r="J75">
        <f t="shared" ref="J75:J138" si="14">H75/I75</f>
        <v>10.5324825</v>
      </c>
      <c r="K75">
        <f t="shared" ref="K75:K138" si="15">IF(C75&lt;0,0,C75)*$J75*$B$6</f>
        <v>407.30336867713487</v>
      </c>
      <c r="L75">
        <f t="shared" ref="L75:L138" si="16">IF(D75&lt;0,0,D75)*$J75*$C$6</f>
        <v>168.51972000000001</v>
      </c>
      <c r="M75">
        <f t="shared" ref="M75:M138" si="17">IF(E75&lt;0,0,E75)*$J75*$D$6</f>
        <v>0</v>
      </c>
      <c r="N75">
        <f t="shared" ref="N75:N138" si="18">K75+L75+M75</f>
        <v>575.82308867713482</v>
      </c>
      <c r="O75">
        <f t="shared" ref="O75:O138" si="19">K75/$N75*$H75</f>
        <v>298.00233350409019</v>
      </c>
      <c r="P75">
        <f t="shared" ref="P75:P138" si="20">L75/$N75*$H75</f>
        <v>123.29696649590983</v>
      </c>
      <c r="Q75">
        <f t="shared" ref="Q75:Q138" si="21">M75/$N75*$H75</f>
        <v>0</v>
      </c>
      <c r="R75">
        <f t="shared" ref="R75:R138" si="22">O75+P75+Q75</f>
        <v>421.29930000000002</v>
      </c>
    </row>
    <row r="76" spans="1:18" x14ac:dyDescent="0.3">
      <c r="A76" t="s">
        <v>0</v>
      </c>
      <c r="B76" t="s">
        <v>0</v>
      </c>
      <c r="C76">
        <v>26</v>
      </c>
      <c r="D76">
        <v>16</v>
      </c>
      <c r="E76">
        <v>0</v>
      </c>
      <c r="F76">
        <v>20260306</v>
      </c>
      <c r="G76">
        <v>20260416</v>
      </c>
      <c r="H76">
        <v>126.4461</v>
      </c>
      <c r="I76">
        <f t="shared" si="13"/>
        <v>42</v>
      </c>
      <c r="J76">
        <f t="shared" si="14"/>
        <v>3.0106214285714286</v>
      </c>
      <c r="K76">
        <f t="shared" si="15"/>
        <v>126.12625787014318</v>
      </c>
      <c r="L76">
        <f t="shared" si="16"/>
        <v>48.169942857142857</v>
      </c>
      <c r="M76">
        <f t="shared" si="17"/>
        <v>0</v>
      </c>
      <c r="N76">
        <f t="shared" si="18"/>
        <v>174.29620072728602</v>
      </c>
      <c r="O76">
        <f t="shared" si="19"/>
        <v>91.500407632105251</v>
      </c>
      <c r="P76">
        <f t="shared" si="20"/>
        <v>34.945692367894758</v>
      </c>
      <c r="Q76">
        <f t="shared" si="21"/>
        <v>0</v>
      </c>
      <c r="R76">
        <f t="shared" si="22"/>
        <v>126.4461</v>
      </c>
    </row>
    <row r="77" spans="1:18" x14ac:dyDescent="0.3">
      <c r="A77" t="s">
        <v>0</v>
      </c>
      <c r="B77" t="s">
        <v>0</v>
      </c>
      <c r="C77">
        <v>27</v>
      </c>
      <c r="D77">
        <v>17</v>
      </c>
      <c r="E77">
        <v>0</v>
      </c>
      <c r="F77">
        <v>20260305</v>
      </c>
      <c r="G77">
        <v>20260417</v>
      </c>
      <c r="H77">
        <v>505.92680000000001</v>
      </c>
      <c r="I77">
        <f t="shared" si="13"/>
        <v>44</v>
      </c>
      <c r="J77">
        <f t="shared" si="14"/>
        <v>11.498336363636364</v>
      </c>
      <c r="K77">
        <f t="shared" si="15"/>
        <v>500.23582066035948</v>
      </c>
      <c r="L77">
        <f t="shared" si="16"/>
        <v>195.47171818181818</v>
      </c>
      <c r="M77">
        <f t="shared" si="17"/>
        <v>0</v>
      </c>
      <c r="N77">
        <f t="shared" si="18"/>
        <v>695.70753884217766</v>
      </c>
      <c r="O77">
        <f t="shared" si="19"/>
        <v>363.77744075227241</v>
      </c>
      <c r="P77">
        <f t="shared" si="20"/>
        <v>142.14935924772755</v>
      </c>
      <c r="Q77">
        <f t="shared" si="21"/>
        <v>0</v>
      </c>
      <c r="R77">
        <f t="shared" si="22"/>
        <v>505.92679999999996</v>
      </c>
    </row>
    <row r="78" spans="1:18" x14ac:dyDescent="0.3">
      <c r="A78" t="s">
        <v>0</v>
      </c>
      <c r="B78" t="s">
        <v>0</v>
      </c>
      <c r="C78">
        <v>27</v>
      </c>
      <c r="D78">
        <v>21</v>
      </c>
      <c r="E78">
        <v>0</v>
      </c>
      <c r="F78">
        <v>20260305</v>
      </c>
      <c r="G78">
        <v>20260421</v>
      </c>
      <c r="H78">
        <v>210.84729999999999</v>
      </c>
      <c r="I78">
        <f t="shared" si="13"/>
        <v>48</v>
      </c>
      <c r="J78">
        <f t="shared" si="14"/>
        <v>4.3926520833333331</v>
      </c>
      <c r="K78">
        <f t="shared" si="15"/>
        <v>191.10259521811108</v>
      </c>
      <c r="L78">
        <f t="shared" si="16"/>
        <v>92.245693750000001</v>
      </c>
      <c r="M78">
        <f t="shared" si="17"/>
        <v>0</v>
      </c>
      <c r="N78">
        <f t="shared" si="18"/>
        <v>283.34828896811109</v>
      </c>
      <c r="O78">
        <f t="shared" si="19"/>
        <v>142.20472751563494</v>
      </c>
      <c r="P78">
        <f t="shared" si="20"/>
        <v>68.642572484365033</v>
      </c>
      <c r="Q78">
        <f t="shared" si="21"/>
        <v>0</v>
      </c>
      <c r="R78">
        <f t="shared" si="22"/>
        <v>210.84729999999996</v>
      </c>
    </row>
    <row r="79" spans="1:18" x14ac:dyDescent="0.3">
      <c r="A79" t="s">
        <v>0</v>
      </c>
      <c r="B79" t="s">
        <v>0</v>
      </c>
      <c r="C79">
        <v>26</v>
      </c>
      <c r="D79">
        <v>20</v>
      </c>
      <c r="E79">
        <v>0</v>
      </c>
      <c r="F79">
        <v>20260306</v>
      </c>
      <c r="G79">
        <v>20260420</v>
      </c>
      <c r="H79">
        <v>84.315200000000004</v>
      </c>
      <c r="I79">
        <f t="shared" si="13"/>
        <v>46</v>
      </c>
      <c r="J79">
        <f t="shared" si="14"/>
        <v>1.8329391304347826</v>
      </c>
      <c r="K79">
        <f t="shared" si="15"/>
        <v>76.788715854982655</v>
      </c>
      <c r="L79">
        <f t="shared" si="16"/>
        <v>36.658782608695653</v>
      </c>
      <c r="M79">
        <f t="shared" si="17"/>
        <v>0</v>
      </c>
      <c r="N79">
        <f t="shared" si="18"/>
        <v>113.4474984636783</v>
      </c>
      <c r="O79">
        <f t="shared" si="19"/>
        <v>57.070063445505724</v>
      </c>
      <c r="P79">
        <f t="shared" si="20"/>
        <v>27.245136554494284</v>
      </c>
      <c r="Q79">
        <f t="shared" si="21"/>
        <v>0</v>
      </c>
      <c r="R79">
        <f t="shared" si="22"/>
        <v>84.315200000000004</v>
      </c>
    </row>
    <row r="80" spans="1:18" x14ac:dyDescent="0.3">
      <c r="A80" t="s">
        <v>0</v>
      </c>
      <c r="B80" t="s">
        <v>0</v>
      </c>
      <c r="C80">
        <v>30</v>
      </c>
      <c r="D80">
        <v>14</v>
      </c>
      <c r="E80">
        <v>0</v>
      </c>
      <c r="F80">
        <v>20260302</v>
      </c>
      <c r="G80">
        <v>20260414</v>
      </c>
      <c r="H80">
        <v>1856.0214000000001</v>
      </c>
      <c r="I80">
        <f t="shared" si="13"/>
        <v>44</v>
      </c>
      <c r="J80">
        <f t="shared" si="14"/>
        <v>42.182304545454549</v>
      </c>
      <c r="K80">
        <f t="shared" si="15"/>
        <v>2039.0485742473884</v>
      </c>
      <c r="L80">
        <f t="shared" si="16"/>
        <v>590.5522636363637</v>
      </c>
      <c r="M80">
        <f t="shared" si="17"/>
        <v>0</v>
      </c>
      <c r="N80">
        <f t="shared" si="18"/>
        <v>2629.6008378837523</v>
      </c>
      <c r="O80">
        <f t="shared" si="19"/>
        <v>1439.1985790848555</v>
      </c>
      <c r="P80">
        <f t="shared" si="20"/>
        <v>416.8228209151444</v>
      </c>
      <c r="Q80">
        <f t="shared" si="21"/>
        <v>0</v>
      </c>
      <c r="R80">
        <f t="shared" si="22"/>
        <v>1856.0213999999999</v>
      </c>
    </row>
    <row r="81" spans="1:18" x14ac:dyDescent="0.3">
      <c r="A81" t="s">
        <v>0</v>
      </c>
      <c r="B81" t="s">
        <v>0</v>
      </c>
      <c r="C81">
        <v>30</v>
      </c>
      <c r="D81">
        <v>3</v>
      </c>
      <c r="E81">
        <v>0</v>
      </c>
      <c r="F81">
        <v>20260302</v>
      </c>
      <c r="G81">
        <v>20260403</v>
      </c>
      <c r="H81">
        <v>1814.5615</v>
      </c>
      <c r="I81">
        <f t="shared" si="13"/>
        <v>33</v>
      </c>
      <c r="J81">
        <f t="shared" si="14"/>
        <v>54.986712121212122</v>
      </c>
      <c r="K81">
        <f t="shared" si="15"/>
        <v>2658.0002719503145</v>
      </c>
      <c r="L81">
        <f t="shared" si="16"/>
        <v>164.96013636363637</v>
      </c>
      <c r="M81">
        <f t="shared" si="17"/>
        <v>0</v>
      </c>
      <c r="N81">
        <f t="shared" si="18"/>
        <v>2822.9604083139511</v>
      </c>
      <c r="O81">
        <f t="shared" si="19"/>
        <v>1708.5273127692326</v>
      </c>
      <c r="P81">
        <f t="shared" si="20"/>
        <v>106.03418723076722</v>
      </c>
      <c r="Q81">
        <f t="shared" si="21"/>
        <v>0</v>
      </c>
      <c r="R81">
        <f t="shared" si="22"/>
        <v>1814.5614999999998</v>
      </c>
    </row>
    <row r="82" spans="1:18" x14ac:dyDescent="0.3">
      <c r="A82" t="s">
        <v>0</v>
      </c>
      <c r="B82" t="s">
        <v>0</v>
      </c>
      <c r="C82">
        <v>26</v>
      </c>
      <c r="D82">
        <v>8</v>
      </c>
      <c r="E82">
        <v>0</v>
      </c>
      <c r="F82">
        <v>20260306</v>
      </c>
      <c r="G82">
        <v>20260408</v>
      </c>
      <c r="H82">
        <v>379.28500000000003</v>
      </c>
      <c r="I82">
        <f t="shared" si="13"/>
        <v>34</v>
      </c>
      <c r="J82">
        <f t="shared" si="14"/>
        <v>11.155441176470589</v>
      </c>
      <c r="K82">
        <f t="shared" si="15"/>
        <v>467.34339865054915</v>
      </c>
      <c r="L82">
        <f t="shared" si="16"/>
        <v>89.243529411764712</v>
      </c>
      <c r="M82">
        <f t="shared" si="17"/>
        <v>0</v>
      </c>
      <c r="N82">
        <f t="shared" si="18"/>
        <v>556.58692806231386</v>
      </c>
      <c r="O82">
        <f t="shared" si="19"/>
        <v>318.47018321876294</v>
      </c>
      <c r="P82">
        <f t="shared" si="20"/>
        <v>60.814816781237049</v>
      </c>
      <c r="Q82">
        <f t="shared" si="21"/>
        <v>0</v>
      </c>
      <c r="R82">
        <f t="shared" si="22"/>
        <v>379.28499999999997</v>
      </c>
    </row>
    <row r="83" spans="1:18" x14ac:dyDescent="0.3">
      <c r="A83" t="s">
        <v>0</v>
      </c>
      <c r="B83" t="s">
        <v>0</v>
      </c>
      <c r="C83">
        <v>29</v>
      </c>
      <c r="D83">
        <v>3</v>
      </c>
      <c r="E83">
        <v>0</v>
      </c>
      <c r="F83">
        <v>20260303</v>
      </c>
      <c r="G83">
        <v>20260403</v>
      </c>
      <c r="H83">
        <v>126.5676</v>
      </c>
      <c r="I83">
        <f t="shared" si="13"/>
        <v>32</v>
      </c>
      <c r="J83">
        <f t="shared" si="14"/>
        <v>3.9552375</v>
      </c>
      <c r="K83">
        <f t="shared" si="15"/>
        <v>184.81898408239996</v>
      </c>
      <c r="L83">
        <f t="shared" si="16"/>
        <v>11.865712500000001</v>
      </c>
      <c r="M83">
        <f t="shared" si="17"/>
        <v>0</v>
      </c>
      <c r="N83">
        <f t="shared" si="18"/>
        <v>196.68469658239997</v>
      </c>
      <c r="O83">
        <f t="shared" si="19"/>
        <v>118.93195381343548</v>
      </c>
      <c r="P83">
        <f t="shared" si="20"/>
        <v>7.63564618656451</v>
      </c>
      <c r="Q83">
        <f t="shared" si="21"/>
        <v>0</v>
      </c>
      <c r="R83">
        <f t="shared" si="22"/>
        <v>126.5676</v>
      </c>
    </row>
    <row r="84" spans="1:18" x14ac:dyDescent="0.3">
      <c r="A84" t="s">
        <v>0</v>
      </c>
      <c r="B84" t="s">
        <v>0</v>
      </c>
      <c r="C84">
        <v>27</v>
      </c>
      <c r="D84">
        <v>13</v>
      </c>
      <c r="E84">
        <v>0</v>
      </c>
      <c r="F84">
        <v>20260305</v>
      </c>
      <c r="G84">
        <v>20260413</v>
      </c>
      <c r="H84">
        <v>337.25290000000001</v>
      </c>
      <c r="I84">
        <f t="shared" si="13"/>
        <v>40</v>
      </c>
      <c r="J84">
        <f t="shared" si="14"/>
        <v>8.4313225000000003</v>
      </c>
      <c r="K84">
        <f t="shared" si="15"/>
        <v>366.80519656548091</v>
      </c>
      <c r="L84">
        <f t="shared" si="16"/>
        <v>109.6071925</v>
      </c>
      <c r="M84">
        <f t="shared" si="17"/>
        <v>0</v>
      </c>
      <c r="N84">
        <f t="shared" si="18"/>
        <v>476.41238906548091</v>
      </c>
      <c r="O84">
        <f t="shared" si="19"/>
        <v>259.66183734104277</v>
      </c>
      <c r="P84">
        <f t="shared" si="20"/>
        <v>77.591062658957256</v>
      </c>
      <c r="Q84">
        <f t="shared" si="21"/>
        <v>0</v>
      </c>
      <c r="R84">
        <f t="shared" si="22"/>
        <v>337.25290000000001</v>
      </c>
    </row>
    <row r="85" spans="1:18" x14ac:dyDescent="0.3">
      <c r="A85" t="s">
        <v>0</v>
      </c>
      <c r="B85" t="s">
        <v>0</v>
      </c>
      <c r="C85">
        <v>30</v>
      </c>
      <c r="D85">
        <v>11</v>
      </c>
      <c r="E85">
        <v>0</v>
      </c>
      <c r="F85">
        <v>20260302</v>
      </c>
      <c r="G85">
        <v>20260411</v>
      </c>
      <c r="H85">
        <v>843.62639999999999</v>
      </c>
      <c r="I85">
        <f t="shared" si="13"/>
        <v>41</v>
      </c>
      <c r="J85">
        <f t="shared" si="14"/>
        <v>20.576253658536586</v>
      </c>
      <c r="K85">
        <f t="shared" si="15"/>
        <v>994.63462553547708</v>
      </c>
      <c r="L85">
        <f t="shared" si="16"/>
        <v>226.33879024390245</v>
      </c>
      <c r="M85">
        <f t="shared" si="17"/>
        <v>0</v>
      </c>
      <c r="N85">
        <f t="shared" si="18"/>
        <v>1220.9734157793796</v>
      </c>
      <c r="O85">
        <f t="shared" si="19"/>
        <v>687.23857342972769</v>
      </c>
      <c r="P85">
        <f t="shared" si="20"/>
        <v>156.38782657027227</v>
      </c>
      <c r="Q85">
        <f t="shared" si="21"/>
        <v>0</v>
      </c>
      <c r="R85">
        <f t="shared" si="22"/>
        <v>843.62639999999999</v>
      </c>
    </row>
    <row r="86" spans="1:18" x14ac:dyDescent="0.3">
      <c r="A86" t="s">
        <v>0</v>
      </c>
      <c r="B86" t="s">
        <v>0</v>
      </c>
      <c r="C86">
        <v>28</v>
      </c>
      <c r="D86">
        <v>13</v>
      </c>
      <c r="E86">
        <v>0</v>
      </c>
      <c r="F86">
        <v>20260304</v>
      </c>
      <c r="G86">
        <v>20260413</v>
      </c>
      <c r="H86">
        <v>337.32400000000001</v>
      </c>
      <c r="I86">
        <f t="shared" si="13"/>
        <v>41</v>
      </c>
      <c r="J86">
        <f t="shared" si="14"/>
        <v>8.2274146341463421</v>
      </c>
      <c r="K86">
        <f t="shared" si="15"/>
        <v>371.19099370193646</v>
      </c>
      <c r="L86">
        <f t="shared" si="16"/>
        <v>106.95639024390245</v>
      </c>
      <c r="M86">
        <f t="shared" si="17"/>
        <v>0</v>
      </c>
      <c r="N86">
        <f t="shared" si="18"/>
        <v>478.1473839458389</v>
      </c>
      <c r="O86">
        <f t="shared" si="19"/>
        <v>261.86827527157419</v>
      </c>
      <c r="P86">
        <f t="shared" si="20"/>
        <v>75.455724728425821</v>
      </c>
      <c r="Q86">
        <f t="shared" si="21"/>
        <v>0</v>
      </c>
      <c r="R86">
        <f t="shared" si="22"/>
        <v>337.32400000000001</v>
      </c>
    </row>
    <row r="87" spans="1:18" x14ac:dyDescent="0.3">
      <c r="A87" t="s">
        <v>0</v>
      </c>
      <c r="B87" t="s">
        <v>0</v>
      </c>
      <c r="C87">
        <v>24</v>
      </c>
      <c r="D87">
        <v>2</v>
      </c>
      <c r="E87">
        <v>0</v>
      </c>
      <c r="F87">
        <v>20260308</v>
      </c>
      <c r="G87">
        <v>20260402</v>
      </c>
      <c r="H87">
        <v>84.271699999999996</v>
      </c>
      <c r="I87">
        <f t="shared" si="13"/>
        <v>26</v>
      </c>
      <c r="J87">
        <f t="shared" si="14"/>
        <v>3.2412192307692305</v>
      </c>
      <c r="K87">
        <f t="shared" si="15"/>
        <v>125.341723692721</v>
      </c>
      <c r="L87">
        <f t="shared" si="16"/>
        <v>6.4824384615384609</v>
      </c>
      <c r="M87">
        <f t="shared" si="17"/>
        <v>0</v>
      </c>
      <c r="N87">
        <f t="shared" si="18"/>
        <v>131.82416215425945</v>
      </c>
      <c r="O87">
        <f t="shared" si="19"/>
        <v>80.127648557746411</v>
      </c>
      <c r="P87">
        <f t="shared" si="20"/>
        <v>4.1440514422535957</v>
      </c>
      <c r="Q87">
        <f t="shared" si="21"/>
        <v>0</v>
      </c>
      <c r="R87">
        <f t="shared" si="22"/>
        <v>84.27170000000001</v>
      </c>
    </row>
    <row r="88" spans="1:18" x14ac:dyDescent="0.3">
      <c r="A88" t="s">
        <v>0</v>
      </c>
      <c r="B88" t="s">
        <v>0</v>
      </c>
      <c r="C88">
        <v>29</v>
      </c>
      <c r="D88">
        <v>14</v>
      </c>
      <c r="E88">
        <v>0</v>
      </c>
      <c r="F88">
        <v>20260303</v>
      </c>
      <c r="G88">
        <v>20260414</v>
      </c>
      <c r="H88">
        <v>210.87200000000001</v>
      </c>
      <c r="I88">
        <f t="shared" si="13"/>
        <v>43</v>
      </c>
      <c r="J88">
        <f t="shared" si="14"/>
        <v>4.9039999999999999</v>
      </c>
      <c r="K88">
        <f t="shared" si="15"/>
        <v>229.1524334354358</v>
      </c>
      <c r="L88">
        <f t="shared" si="16"/>
        <v>68.656000000000006</v>
      </c>
      <c r="M88">
        <f t="shared" si="17"/>
        <v>0</v>
      </c>
      <c r="N88">
        <f t="shared" si="18"/>
        <v>297.8084334354358</v>
      </c>
      <c r="O88">
        <f t="shared" si="19"/>
        <v>162.2581046009004</v>
      </c>
      <c r="P88">
        <f t="shared" si="20"/>
        <v>48.613895399099633</v>
      </c>
      <c r="Q88">
        <f t="shared" si="21"/>
        <v>0</v>
      </c>
      <c r="R88">
        <f t="shared" si="22"/>
        <v>210.87200000000001</v>
      </c>
    </row>
    <row r="89" spans="1:18" x14ac:dyDescent="0.3">
      <c r="A89" t="s">
        <v>0</v>
      </c>
      <c r="B89" t="s">
        <v>0</v>
      </c>
      <c r="C89">
        <v>25</v>
      </c>
      <c r="D89">
        <v>30</v>
      </c>
      <c r="E89">
        <v>7</v>
      </c>
      <c r="F89">
        <v>20260307</v>
      </c>
      <c r="G89">
        <v>20260507</v>
      </c>
      <c r="H89">
        <v>48775.199000000001</v>
      </c>
      <c r="I89">
        <f t="shared" si="13"/>
        <v>62</v>
      </c>
      <c r="J89">
        <f t="shared" si="14"/>
        <v>786.69675806451619</v>
      </c>
      <c r="K89">
        <f t="shared" si="15"/>
        <v>31690.083479751254</v>
      </c>
      <c r="L89">
        <f t="shared" si="16"/>
        <v>23600.902741935486</v>
      </c>
      <c r="M89">
        <f t="shared" si="17"/>
        <v>4138.3930975993062</v>
      </c>
      <c r="N89">
        <f t="shared" si="18"/>
        <v>59429.379319286047</v>
      </c>
      <c r="O89">
        <f t="shared" si="19"/>
        <v>26008.855312912077</v>
      </c>
      <c r="P89">
        <f t="shared" si="20"/>
        <v>19369.859503883141</v>
      </c>
      <c r="Q89">
        <f t="shared" si="21"/>
        <v>3396.4841832047846</v>
      </c>
      <c r="R89">
        <f t="shared" si="22"/>
        <v>48775.199000000001</v>
      </c>
    </row>
    <row r="90" spans="1:18" x14ac:dyDescent="0.3">
      <c r="A90" t="s">
        <v>0</v>
      </c>
      <c r="B90" t="s">
        <v>0</v>
      </c>
      <c r="C90">
        <v>30</v>
      </c>
      <c r="D90">
        <v>30</v>
      </c>
      <c r="E90">
        <v>5</v>
      </c>
      <c r="F90">
        <v>20260302</v>
      </c>
      <c r="G90">
        <v>20260505</v>
      </c>
      <c r="H90">
        <v>295211.82640000002</v>
      </c>
      <c r="I90">
        <f t="shared" si="13"/>
        <v>65</v>
      </c>
      <c r="J90">
        <f t="shared" si="14"/>
        <v>4541.7204061538469</v>
      </c>
      <c r="K90">
        <f t="shared" si="15"/>
        <v>219542.02404515591</v>
      </c>
      <c r="L90">
        <f t="shared" si="16"/>
        <v>136251.6121846154</v>
      </c>
      <c r="M90">
        <f t="shared" si="17"/>
        <v>17065.410516803335</v>
      </c>
      <c r="N90">
        <f t="shared" si="18"/>
        <v>372859.04674657463</v>
      </c>
      <c r="O90">
        <f t="shared" si="19"/>
        <v>173822.79565278807</v>
      </c>
      <c r="P90">
        <f t="shared" si="20"/>
        <v>107877.46102430952</v>
      </c>
      <c r="Q90">
        <f t="shared" si="21"/>
        <v>13511.569722902432</v>
      </c>
      <c r="R90">
        <f t="shared" si="22"/>
        <v>295211.82640000002</v>
      </c>
    </row>
    <row r="91" spans="1:18" x14ac:dyDescent="0.3">
      <c r="A91" t="s">
        <v>0</v>
      </c>
      <c r="B91" t="s">
        <v>0</v>
      </c>
      <c r="C91">
        <v>26</v>
      </c>
      <c r="D91">
        <v>30</v>
      </c>
      <c r="E91">
        <v>1</v>
      </c>
      <c r="F91">
        <v>20260306</v>
      </c>
      <c r="G91">
        <v>20260501</v>
      </c>
      <c r="H91">
        <v>227477.57399999999</v>
      </c>
      <c r="I91">
        <f t="shared" si="13"/>
        <v>57</v>
      </c>
      <c r="J91">
        <f t="shared" si="14"/>
        <v>3990.8346315789472</v>
      </c>
      <c r="K91">
        <f t="shared" si="15"/>
        <v>167191.0765939338</v>
      </c>
      <c r="L91">
        <f t="shared" si="16"/>
        <v>119725.03894736842</v>
      </c>
      <c r="M91">
        <f t="shared" si="17"/>
        <v>2999.0939644937416</v>
      </c>
      <c r="N91">
        <f t="shared" si="18"/>
        <v>289915.20950579597</v>
      </c>
      <c r="O91">
        <f t="shared" si="19"/>
        <v>131183.94361878384</v>
      </c>
      <c r="P91">
        <f t="shared" si="20"/>
        <v>93940.436768490428</v>
      </c>
      <c r="Q91">
        <f t="shared" si="21"/>
        <v>2353.1936127257218</v>
      </c>
      <c r="R91">
        <f t="shared" si="22"/>
        <v>227477.57399999999</v>
      </c>
    </row>
    <row r="92" spans="1:18" x14ac:dyDescent="0.3">
      <c r="A92" t="s">
        <v>0</v>
      </c>
      <c r="B92" t="s">
        <v>0</v>
      </c>
      <c r="C92">
        <v>27</v>
      </c>
      <c r="D92">
        <v>30</v>
      </c>
      <c r="E92">
        <v>7</v>
      </c>
      <c r="F92">
        <v>20260305</v>
      </c>
      <c r="G92">
        <v>20260507</v>
      </c>
      <c r="H92">
        <v>50565.919999999998</v>
      </c>
      <c r="I92">
        <f t="shared" si="13"/>
        <v>64</v>
      </c>
      <c r="J92">
        <f t="shared" si="14"/>
        <v>790.09249999999997</v>
      </c>
      <c r="K92">
        <f t="shared" si="15"/>
        <v>34373.022116923203</v>
      </c>
      <c r="L92">
        <f t="shared" si="16"/>
        <v>23702.774999999998</v>
      </c>
      <c r="M92">
        <f t="shared" si="17"/>
        <v>4156.2562892840015</v>
      </c>
      <c r="N92">
        <f t="shared" si="18"/>
        <v>62232.053406207204</v>
      </c>
      <c r="O92">
        <f t="shared" si="19"/>
        <v>27929.393156569149</v>
      </c>
      <c r="P92">
        <f t="shared" si="20"/>
        <v>19259.409883274922</v>
      </c>
      <c r="Q92">
        <f t="shared" si="21"/>
        <v>3377.116960155925</v>
      </c>
      <c r="R92">
        <f t="shared" si="22"/>
        <v>50565.919999999998</v>
      </c>
    </row>
    <row r="93" spans="1:18" x14ac:dyDescent="0.3">
      <c r="A93" t="s">
        <v>0</v>
      </c>
      <c r="B93" t="s">
        <v>0</v>
      </c>
      <c r="C93">
        <v>24</v>
      </c>
      <c r="D93">
        <v>30</v>
      </c>
      <c r="E93">
        <v>1</v>
      </c>
      <c r="F93">
        <v>20260308</v>
      </c>
      <c r="G93">
        <v>20260501</v>
      </c>
      <c r="H93">
        <v>109167.7136</v>
      </c>
      <c r="I93">
        <f t="shared" si="13"/>
        <v>55</v>
      </c>
      <c r="J93">
        <f t="shared" si="14"/>
        <v>1984.86752</v>
      </c>
      <c r="K93">
        <f t="shared" si="15"/>
        <v>76757.139380372144</v>
      </c>
      <c r="L93">
        <f t="shared" si="16"/>
        <v>59546.025600000001</v>
      </c>
      <c r="M93">
        <f t="shared" si="17"/>
        <v>1491.618858984511</v>
      </c>
      <c r="N93">
        <f t="shared" si="18"/>
        <v>137794.78383935665</v>
      </c>
      <c r="O93">
        <f t="shared" si="19"/>
        <v>60810.730095564344</v>
      </c>
      <c r="P93">
        <f t="shared" si="20"/>
        <v>47175.250670572983</v>
      </c>
      <c r="Q93">
        <f t="shared" si="21"/>
        <v>1181.732833862691</v>
      </c>
      <c r="R93">
        <f t="shared" si="22"/>
        <v>109167.71360000003</v>
      </c>
    </row>
    <row r="94" spans="1:18" x14ac:dyDescent="0.3">
      <c r="A94" t="s">
        <v>0</v>
      </c>
      <c r="B94" t="s">
        <v>0</v>
      </c>
      <c r="C94">
        <v>27</v>
      </c>
      <c r="D94">
        <v>30</v>
      </c>
      <c r="E94">
        <v>3</v>
      </c>
      <c r="F94">
        <v>20260305</v>
      </c>
      <c r="G94">
        <v>20260503</v>
      </c>
      <c r="H94">
        <v>90459.847200000004</v>
      </c>
      <c r="I94">
        <f t="shared" si="13"/>
        <v>60</v>
      </c>
      <c r="J94">
        <f t="shared" si="14"/>
        <v>1507.6641200000001</v>
      </c>
      <c r="K94">
        <f t="shared" si="15"/>
        <v>65591.01895240313</v>
      </c>
      <c r="L94">
        <f t="shared" si="16"/>
        <v>45229.923600000002</v>
      </c>
      <c r="M94">
        <f t="shared" si="17"/>
        <v>3399.0080623712665</v>
      </c>
      <c r="N94">
        <f t="shared" si="18"/>
        <v>114219.95061477441</v>
      </c>
      <c r="O94">
        <f t="shared" si="19"/>
        <v>51946.73540122516</v>
      </c>
      <c r="P94">
        <f t="shared" si="20"/>
        <v>35821.167455437833</v>
      </c>
      <c r="Q94">
        <f t="shared" si="21"/>
        <v>2691.9443433369947</v>
      </c>
      <c r="R94">
        <f t="shared" si="22"/>
        <v>90459.847199999975</v>
      </c>
    </row>
    <row r="95" spans="1:18" x14ac:dyDescent="0.3">
      <c r="A95" t="s">
        <v>0</v>
      </c>
      <c r="B95" t="s">
        <v>0</v>
      </c>
      <c r="C95">
        <v>24</v>
      </c>
      <c r="D95">
        <v>30</v>
      </c>
      <c r="E95">
        <v>4</v>
      </c>
      <c r="F95">
        <v>20260308</v>
      </c>
      <c r="G95">
        <v>20260504</v>
      </c>
      <c r="H95">
        <v>59516.763599999998</v>
      </c>
      <c r="I95">
        <f t="shared" si="13"/>
        <v>58</v>
      </c>
      <c r="J95">
        <f t="shared" si="14"/>
        <v>1026.1510965517241</v>
      </c>
      <c r="K95">
        <f t="shared" si="15"/>
        <v>39682.45837553047</v>
      </c>
      <c r="L95">
        <f t="shared" si="16"/>
        <v>30784.532896551722</v>
      </c>
      <c r="M95">
        <f t="shared" si="17"/>
        <v>3084.5914145125162</v>
      </c>
      <c r="N95">
        <f t="shared" si="18"/>
        <v>73551.582686594702</v>
      </c>
      <c r="O95">
        <f t="shared" si="19"/>
        <v>32110.410244560739</v>
      </c>
      <c r="P95">
        <f t="shared" si="20"/>
        <v>24910.351348216776</v>
      </c>
      <c r="Q95">
        <f t="shared" si="21"/>
        <v>2496.0020072224861</v>
      </c>
      <c r="R95">
        <f t="shared" si="22"/>
        <v>59516.763600000006</v>
      </c>
    </row>
    <row r="96" spans="1:18" x14ac:dyDescent="0.3">
      <c r="A96" t="s">
        <v>0</v>
      </c>
      <c r="B96" t="s">
        <v>0</v>
      </c>
      <c r="C96">
        <v>23</v>
      </c>
      <c r="D96">
        <v>30</v>
      </c>
      <c r="E96">
        <v>2</v>
      </c>
      <c r="F96">
        <v>20260309</v>
      </c>
      <c r="G96">
        <v>20260502</v>
      </c>
      <c r="H96">
        <v>5141.5393999999997</v>
      </c>
      <c r="I96">
        <f t="shared" si="13"/>
        <v>55</v>
      </c>
      <c r="J96">
        <f t="shared" si="14"/>
        <v>93.482534545454541</v>
      </c>
      <c r="K96">
        <f t="shared" si="15"/>
        <v>3464.4502469516174</v>
      </c>
      <c r="L96">
        <f t="shared" si="16"/>
        <v>2804.476036363636</v>
      </c>
      <c r="M96">
        <f t="shared" si="17"/>
        <v>140.50339391283003</v>
      </c>
      <c r="N96">
        <f t="shared" si="18"/>
        <v>6409.4296772280832</v>
      </c>
      <c r="O96">
        <f t="shared" si="19"/>
        <v>2779.1251860251273</v>
      </c>
      <c r="P96">
        <f t="shared" si="20"/>
        <v>2249.7046950291933</v>
      </c>
      <c r="Q96">
        <f t="shared" si="21"/>
        <v>112.70951894567898</v>
      </c>
      <c r="R96">
        <f t="shared" si="22"/>
        <v>5141.5393999999987</v>
      </c>
    </row>
    <row r="97" spans="1:18" x14ac:dyDescent="0.3">
      <c r="A97" t="s">
        <v>0</v>
      </c>
      <c r="B97" t="s">
        <v>0</v>
      </c>
      <c r="C97">
        <v>28</v>
      </c>
      <c r="D97">
        <v>30</v>
      </c>
      <c r="E97">
        <v>12</v>
      </c>
      <c r="F97">
        <v>20260304</v>
      </c>
      <c r="G97">
        <v>20260512</v>
      </c>
      <c r="H97">
        <v>1054.5329999999999</v>
      </c>
      <c r="I97">
        <f t="shared" si="13"/>
        <v>70</v>
      </c>
      <c r="J97">
        <f t="shared" si="14"/>
        <v>15.064757142857141</v>
      </c>
      <c r="K97">
        <f t="shared" si="15"/>
        <v>679.66699411590923</v>
      </c>
      <c r="L97">
        <f t="shared" si="16"/>
        <v>451.94271428571426</v>
      </c>
      <c r="M97">
        <f t="shared" si="17"/>
        <v>135.85315272008077</v>
      </c>
      <c r="N97">
        <f t="shared" si="18"/>
        <v>1267.4628611217042</v>
      </c>
      <c r="O97">
        <f t="shared" si="19"/>
        <v>565.48503020571752</v>
      </c>
      <c r="P97">
        <f t="shared" si="20"/>
        <v>376.01772875780864</v>
      </c>
      <c r="Q97">
        <f t="shared" si="21"/>
        <v>113.03024103647378</v>
      </c>
      <c r="R97">
        <f t="shared" si="22"/>
        <v>1054.5329999999999</v>
      </c>
    </row>
    <row r="98" spans="1:18" x14ac:dyDescent="0.3">
      <c r="A98" t="s">
        <v>0</v>
      </c>
      <c r="B98" t="s">
        <v>0</v>
      </c>
      <c r="C98">
        <v>27</v>
      </c>
      <c r="D98">
        <v>30</v>
      </c>
      <c r="E98">
        <v>11</v>
      </c>
      <c r="F98">
        <v>20260305</v>
      </c>
      <c r="G98">
        <v>20260511</v>
      </c>
      <c r="H98">
        <v>8055.6878999999999</v>
      </c>
      <c r="I98">
        <f t="shared" si="13"/>
        <v>68</v>
      </c>
      <c r="J98">
        <f t="shared" si="14"/>
        <v>118.46599852941176</v>
      </c>
      <c r="K98">
        <f t="shared" si="15"/>
        <v>5153.8704487827208</v>
      </c>
      <c r="L98">
        <f t="shared" si="16"/>
        <v>3553.9799558823529</v>
      </c>
      <c r="M98">
        <f t="shared" si="17"/>
        <v>979.29321403975678</v>
      </c>
      <c r="N98">
        <f t="shared" si="18"/>
        <v>9687.1436187048312</v>
      </c>
      <c r="O98">
        <f t="shared" si="19"/>
        <v>4285.8837905798982</v>
      </c>
      <c r="P98">
        <f t="shared" si="20"/>
        <v>2955.4380996440509</v>
      </c>
      <c r="Q98">
        <f t="shared" si="21"/>
        <v>814.36600977604996</v>
      </c>
      <c r="R98">
        <f t="shared" si="22"/>
        <v>8055.6878999999999</v>
      </c>
    </row>
    <row r="99" spans="1:18" x14ac:dyDescent="0.3">
      <c r="A99" t="s">
        <v>0</v>
      </c>
      <c r="B99" t="s">
        <v>0</v>
      </c>
      <c r="C99">
        <v>26</v>
      </c>
      <c r="D99">
        <v>30</v>
      </c>
      <c r="E99">
        <v>8</v>
      </c>
      <c r="F99">
        <v>20260306</v>
      </c>
      <c r="G99">
        <v>20260508</v>
      </c>
      <c r="H99">
        <v>40944.625099999997</v>
      </c>
      <c r="I99">
        <f t="shared" si="13"/>
        <v>64</v>
      </c>
      <c r="J99">
        <f t="shared" si="14"/>
        <v>639.75976718749996</v>
      </c>
      <c r="K99">
        <f t="shared" si="15"/>
        <v>26801.943480991526</v>
      </c>
      <c r="L99">
        <f t="shared" si="16"/>
        <v>19192.793015625</v>
      </c>
      <c r="M99">
        <f t="shared" si="17"/>
        <v>3846.2123011873964</v>
      </c>
      <c r="N99">
        <f t="shared" si="18"/>
        <v>49840.948797803925</v>
      </c>
      <c r="O99">
        <f t="shared" si="19"/>
        <v>22017.950184546648</v>
      </c>
      <c r="P99">
        <f t="shared" si="20"/>
        <v>15766.989465523367</v>
      </c>
      <c r="Q99">
        <f t="shared" si="21"/>
        <v>3159.6854499299807</v>
      </c>
      <c r="R99">
        <f t="shared" si="22"/>
        <v>40944.625099999997</v>
      </c>
    </row>
    <row r="100" spans="1:18" x14ac:dyDescent="0.3">
      <c r="A100" t="s">
        <v>0</v>
      </c>
      <c r="B100" t="s">
        <v>0</v>
      </c>
      <c r="C100">
        <v>0</v>
      </c>
      <c r="D100">
        <v>15</v>
      </c>
      <c r="E100">
        <v>6</v>
      </c>
      <c r="F100">
        <v>20260416</v>
      </c>
      <c r="G100">
        <v>20260506</v>
      </c>
      <c r="H100">
        <v>126.6507</v>
      </c>
      <c r="I100">
        <f t="shared" si="13"/>
        <v>21</v>
      </c>
      <c r="J100">
        <f t="shared" si="14"/>
        <v>6.0309857142857144</v>
      </c>
      <c r="K100">
        <f t="shared" si="15"/>
        <v>0</v>
      </c>
      <c r="L100">
        <f t="shared" si="16"/>
        <v>90.464785714285711</v>
      </c>
      <c r="M100">
        <f t="shared" si="17"/>
        <v>27.193549007325419</v>
      </c>
      <c r="N100">
        <f t="shared" si="18"/>
        <v>117.65833472161113</v>
      </c>
      <c r="O100">
        <f t="shared" si="19"/>
        <v>0</v>
      </c>
      <c r="P100">
        <f t="shared" si="20"/>
        <v>97.378808421634233</v>
      </c>
      <c r="Q100">
        <f t="shared" si="21"/>
        <v>29.271891578365768</v>
      </c>
      <c r="R100">
        <f t="shared" si="22"/>
        <v>126.6507</v>
      </c>
    </row>
    <row r="101" spans="1:18" x14ac:dyDescent="0.3">
      <c r="A101" t="s">
        <v>0</v>
      </c>
      <c r="B101" t="s">
        <v>0</v>
      </c>
      <c r="C101">
        <v>0</v>
      </c>
      <c r="D101">
        <v>9</v>
      </c>
      <c r="E101">
        <v>6</v>
      </c>
      <c r="F101">
        <v>20260422</v>
      </c>
      <c r="G101">
        <v>20260506</v>
      </c>
      <c r="H101">
        <v>42.187199999999997</v>
      </c>
      <c r="I101">
        <f t="shared" si="13"/>
        <v>15</v>
      </c>
      <c r="J101">
        <f t="shared" si="14"/>
        <v>2.8124799999999999</v>
      </c>
      <c r="K101">
        <f t="shared" si="15"/>
        <v>0</v>
      </c>
      <c r="L101">
        <f t="shared" si="16"/>
        <v>25.31232</v>
      </c>
      <c r="M101">
        <f t="shared" si="17"/>
        <v>12.681395104445329</v>
      </c>
      <c r="N101">
        <f t="shared" si="18"/>
        <v>37.993715104445329</v>
      </c>
      <c r="O101">
        <f t="shared" si="19"/>
        <v>0</v>
      </c>
      <c r="P101">
        <f t="shared" si="20"/>
        <v>28.106119745553887</v>
      </c>
      <c r="Q101">
        <f t="shared" si="21"/>
        <v>14.081080254446107</v>
      </c>
      <c r="R101">
        <f t="shared" si="22"/>
        <v>42.18719999999999</v>
      </c>
    </row>
    <row r="102" spans="1:18" x14ac:dyDescent="0.3">
      <c r="A102" t="s">
        <v>0</v>
      </c>
      <c r="B102" t="s">
        <v>0</v>
      </c>
      <c r="C102">
        <v>0</v>
      </c>
      <c r="D102">
        <v>7</v>
      </c>
      <c r="E102">
        <v>12</v>
      </c>
      <c r="F102">
        <v>20260424</v>
      </c>
      <c r="G102">
        <v>20260512</v>
      </c>
      <c r="H102">
        <v>337.48219999999998</v>
      </c>
      <c r="I102">
        <f t="shared" si="13"/>
        <v>19</v>
      </c>
      <c r="J102">
        <f t="shared" si="14"/>
        <v>17.762221052631578</v>
      </c>
      <c r="K102">
        <f t="shared" si="15"/>
        <v>0</v>
      </c>
      <c r="L102">
        <f t="shared" si="16"/>
        <v>124.33554736842105</v>
      </c>
      <c r="M102">
        <f t="shared" si="17"/>
        <v>160.17873414276218</v>
      </c>
      <c r="N102">
        <f t="shared" si="18"/>
        <v>284.51428151118324</v>
      </c>
      <c r="O102">
        <f t="shared" si="19"/>
        <v>0</v>
      </c>
      <c r="P102">
        <f t="shared" si="20"/>
        <v>147.48305020480879</v>
      </c>
      <c r="Q102">
        <f t="shared" si="21"/>
        <v>189.99914979519116</v>
      </c>
      <c r="R102">
        <f t="shared" si="22"/>
        <v>337.48219999999992</v>
      </c>
    </row>
    <row r="103" spans="1:18" x14ac:dyDescent="0.3">
      <c r="A103" t="s">
        <v>0</v>
      </c>
      <c r="B103" t="s">
        <v>0</v>
      </c>
      <c r="C103">
        <v>0</v>
      </c>
      <c r="D103">
        <v>8</v>
      </c>
      <c r="E103">
        <v>4</v>
      </c>
      <c r="F103">
        <v>20260423</v>
      </c>
      <c r="G103">
        <v>20260504</v>
      </c>
      <c r="H103">
        <v>126.538</v>
      </c>
      <c r="I103">
        <f t="shared" si="13"/>
        <v>12</v>
      </c>
      <c r="J103">
        <f t="shared" si="14"/>
        <v>10.544833333333333</v>
      </c>
      <c r="K103">
        <f t="shared" si="15"/>
        <v>0</v>
      </c>
      <c r="L103">
        <f t="shared" si="16"/>
        <v>84.358666666666664</v>
      </c>
      <c r="M103">
        <f t="shared" si="17"/>
        <v>31.697575997109379</v>
      </c>
      <c r="N103">
        <f t="shared" si="18"/>
        <v>116.05624266377605</v>
      </c>
      <c r="O103">
        <f t="shared" si="19"/>
        <v>0</v>
      </c>
      <c r="P103">
        <f t="shared" si="20"/>
        <v>91.977619795875555</v>
      </c>
      <c r="Q103">
        <f t="shared" si="21"/>
        <v>34.560380204124428</v>
      </c>
      <c r="R103">
        <f t="shared" si="22"/>
        <v>126.53799999999998</v>
      </c>
    </row>
    <row r="104" spans="1:18" x14ac:dyDescent="0.3">
      <c r="A104" t="s">
        <v>0</v>
      </c>
      <c r="B104" t="s">
        <v>0</v>
      </c>
      <c r="C104">
        <v>0</v>
      </c>
      <c r="D104">
        <v>21</v>
      </c>
      <c r="E104">
        <v>3</v>
      </c>
      <c r="F104">
        <v>20260410</v>
      </c>
      <c r="G104">
        <v>20260503</v>
      </c>
      <c r="H104">
        <v>168.8716</v>
      </c>
      <c r="I104">
        <f t="shared" si="13"/>
        <v>24</v>
      </c>
      <c r="J104">
        <f t="shared" si="14"/>
        <v>7.036316666666667</v>
      </c>
      <c r="K104">
        <f t="shared" si="15"/>
        <v>0</v>
      </c>
      <c r="L104">
        <f t="shared" si="16"/>
        <v>147.76265000000001</v>
      </c>
      <c r="M104">
        <f t="shared" si="17"/>
        <v>15.863279335318609</v>
      </c>
      <c r="N104">
        <f t="shared" si="18"/>
        <v>163.62592933531863</v>
      </c>
      <c r="O104">
        <f t="shared" si="19"/>
        <v>0</v>
      </c>
      <c r="P104">
        <f t="shared" si="20"/>
        <v>152.49976105317631</v>
      </c>
      <c r="Q104">
        <f t="shared" si="21"/>
        <v>16.371838946823686</v>
      </c>
      <c r="R104">
        <f t="shared" si="22"/>
        <v>168.8716</v>
      </c>
    </row>
    <row r="105" spans="1:18" x14ac:dyDescent="0.3">
      <c r="A105" t="s">
        <v>0</v>
      </c>
      <c r="B105" t="s">
        <v>0</v>
      </c>
      <c r="C105">
        <v>0</v>
      </c>
      <c r="D105">
        <v>21</v>
      </c>
      <c r="E105">
        <v>1</v>
      </c>
      <c r="F105">
        <v>20260410</v>
      </c>
      <c r="G105">
        <v>20260501</v>
      </c>
      <c r="H105">
        <v>168.87549999999999</v>
      </c>
      <c r="I105">
        <f t="shared" si="13"/>
        <v>22</v>
      </c>
      <c r="J105">
        <f t="shared" si="14"/>
        <v>7.6761590909090902</v>
      </c>
      <c r="K105">
        <f t="shared" si="15"/>
        <v>0</v>
      </c>
      <c r="L105">
        <f t="shared" si="16"/>
        <v>161.19934090909089</v>
      </c>
      <c r="M105">
        <f t="shared" si="17"/>
        <v>5.7685984324865158</v>
      </c>
      <c r="N105">
        <f t="shared" si="18"/>
        <v>166.96793934157742</v>
      </c>
      <c r="O105">
        <f t="shared" si="19"/>
        <v>0</v>
      </c>
      <c r="P105">
        <f t="shared" si="20"/>
        <v>163.04099699045847</v>
      </c>
      <c r="Q105">
        <f t="shared" si="21"/>
        <v>5.8345030095415034</v>
      </c>
      <c r="R105">
        <f t="shared" si="22"/>
        <v>168.87549999999996</v>
      </c>
    </row>
    <row r="106" spans="1:18" x14ac:dyDescent="0.3">
      <c r="A106" t="s">
        <v>0</v>
      </c>
      <c r="B106" t="s">
        <v>0</v>
      </c>
      <c r="C106">
        <v>0</v>
      </c>
      <c r="D106">
        <v>20</v>
      </c>
      <c r="E106">
        <v>7</v>
      </c>
      <c r="F106">
        <v>20260411</v>
      </c>
      <c r="G106">
        <v>20260507</v>
      </c>
      <c r="H106">
        <v>168.87549999999999</v>
      </c>
      <c r="I106">
        <f t="shared" si="13"/>
        <v>27</v>
      </c>
      <c r="J106">
        <f t="shared" si="14"/>
        <v>6.2546481481481475</v>
      </c>
      <c r="K106">
        <f t="shared" si="15"/>
        <v>0</v>
      </c>
      <c r="L106">
        <f t="shared" si="16"/>
        <v>125.09296296296296</v>
      </c>
      <c r="M106">
        <f t="shared" si="17"/>
        <v>32.90237624455272</v>
      </c>
      <c r="N106">
        <f t="shared" si="18"/>
        <v>157.99533920751568</v>
      </c>
      <c r="O106">
        <f t="shared" si="19"/>
        <v>0</v>
      </c>
      <c r="P106">
        <f t="shared" si="20"/>
        <v>133.70734081658878</v>
      </c>
      <c r="Q106">
        <f t="shared" si="21"/>
        <v>35.168159183411213</v>
      </c>
      <c r="R106">
        <f t="shared" si="22"/>
        <v>168.87549999999999</v>
      </c>
    </row>
    <row r="107" spans="1:18" x14ac:dyDescent="0.3">
      <c r="A107" t="s">
        <v>0</v>
      </c>
      <c r="B107" t="s">
        <v>0</v>
      </c>
      <c r="C107">
        <v>23</v>
      </c>
      <c r="D107">
        <v>30</v>
      </c>
      <c r="E107">
        <v>12</v>
      </c>
      <c r="F107">
        <v>20260309</v>
      </c>
      <c r="G107">
        <v>20260512</v>
      </c>
      <c r="H107">
        <v>1180.1914999999999</v>
      </c>
      <c r="I107">
        <f t="shared" si="13"/>
        <v>65</v>
      </c>
      <c r="J107">
        <f t="shared" si="14"/>
        <v>18.156792307692307</v>
      </c>
      <c r="K107">
        <f t="shared" si="15"/>
        <v>672.88829833393117</v>
      </c>
      <c r="L107">
        <f t="shared" si="16"/>
        <v>544.70376923076924</v>
      </c>
      <c r="M107">
        <f t="shared" si="17"/>
        <v>163.7369560552963</v>
      </c>
      <c r="N107">
        <f t="shared" si="18"/>
        <v>1381.3290236199966</v>
      </c>
      <c r="O107">
        <f t="shared" si="19"/>
        <v>574.90795933759853</v>
      </c>
      <c r="P107">
        <f t="shared" si="20"/>
        <v>465.38858408940848</v>
      </c>
      <c r="Q107">
        <f t="shared" si="21"/>
        <v>139.89495657299298</v>
      </c>
      <c r="R107">
        <f t="shared" si="22"/>
        <v>1180.1914999999999</v>
      </c>
    </row>
    <row r="108" spans="1:18" x14ac:dyDescent="0.3">
      <c r="A108" t="s">
        <v>0</v>
      </c>
      <c r="B108" t="s">
        <v>0</v>
      </c>
      <c r="C108">
        <v>4</v>
      </c>
      <c r="D108">
        <v>30</v>
      </c>
      <c r="E108">
        <v>6</v>
      </c>
      <c r="F108">
        <v>20260328</v>
      </c>
      <c r="G108">
        <v>20260506</v>
      </c>
      <c r="H108">
        <v>210.89670000000001</v>
      </c>
      <c r="I108">
        <f t="shared" si="13"/>
        <v>40</v>
      </c>
      <c r="J108">
        <f t="shared" si="14"/>
        <v>5.2724175000000004</v>
      </c>
      <c r="K108">
        <f t="shared" si="15"/>
        <v>33.981754520238987</v>
      </c>
      <c r="L108">
        <f t="shared" si="16"/>
        <v>158.17252500000001</v>
      </c>
      <c r="M108">
        <f t="shared" si="17"/>
        <v>23.773185755309157</v>
      </c>
      <c r="N108">
        <f t="shared" si="18"/>
        <v>215.92746527554814</v>
      </c>
      <c r="O108">
        <f t="shared" si="19"/>
        <v>33.190033881901194</v>
      </c>
      <c r="P108">
        <f t="shared" si="20"/>
        <v>154.48735764391435</v>
      </c>
      <c r="Q108">
        <f t="shared" si="21"/>
        <v>23.219308474184476</v>
      </c>
      <c r="R108">
        <f t="shared" si="22"/>
        <v>210.89670000000004</v>
      </c>
    </row>
    <row r="109" spans="1:18" x14ac:dyDescent="0.3">
      <c r="A109" t="s">
        <v>0</v>
      </c>
      <c r="B109" t="s">
        <v>0</v>
      </c>
      <c r="C109">
        <v>19</v>
      </c>
      <c r="D109">
        <v>30</v>
      </c>
      <c r="E109">
        <v>9</v>
      </c>
      <c r="F109">
        <v>20260313</v>
      </c>
      <c r="G109">
        <v>20260509</v>
      </c>
      <c r="H109">
        <v>84.303299999999993</v>
      </c>
      <c r="I109">
        <f t="shared" si="13"/>
        <v>58</v>
      </c>
      <c r="J109">
        <f t="shared" si="14"/>
        <v>1.4535051724137931</v>
      </c>
      <c r="K109">
        <f t="shared" si="15"/>
        <v>44.498584534248273</v>
      </c>
      <c r="L109">
        <f t="shared" si="16"/>
        <v>43.605155172413795</v>
      </c>
      <c r="M109">
        <f t="shared" si="17"/>
        <v>9.8307223754840436</v>
      </c>
      <c r="N109">
        <f t="shared" si="18"/>
        <v>97.934462082146112</v>
      </c>
      <c r="O109">
        <f t="shared" si="19"/>
        <v>38.304979083047265</v>
      </c>
      <c r="P109">
        <f t="shared" si="20"/>
        <v>37.535903091632065</v>
      </c>
      <c r="Q109">
        <f t="shared" si="21"/>
        <v>8.4624178253206637</v>
      </c>
      <c r="R109">
        <f t="shared" si="22"/>
        <v>84.303300000000007</v>
      </c>
    </row>
    <row r="110" spans="1:18" x14ac:dyDescent="0.3">
      <c r="A110" t="s">
        <v>0</v>
      </c>
      <c r="B110" t="s">
        <v>0</v>
      </c>
      <c r="C110">
        <v>1</v>
      </c>
      <c r="D110">
        <v>30</v>
      </c>
      <c r="E110">
        <v>4</v>
      </c>
      <c r="F110">
        <v>20260331</v>
      </c>
      <c r="G110">
        <v>20260504</v>
      </c>
      <c r="H110">
        <v>253.02860000000001</v>
      </c>
      <c r="I110">
        <f t="shared" si="13"/>
        <v>35</v>
      </c>
      <c r="J110">
        <f t="shared" si="14"/>
        <v>7.2293885714285722</v>
      </c>
      <c r="K110">
        <f t="shared" si="15"/>
        <v>11.64870326400114</v>
      </c>
      <c r="L110">
        <f t="shared" si="16"/>
        <v>216.88165714285716</v>
      </c>
      <c r="M110">
        <f t="shared" si="17"/>
        <v>21.731409725662598</v>
      </c>
      <c r="N110">
        <f t="shared" si="18"/>
        <v>250.26177013252089</v>
      </c>
      <c r="O110">
        <f t="shared" si="19"/>
        <v>11.777488336092548</v>
      </c>
      <c r="P110">
        <f t="shared" si="20"/>
        <v>219.27944505258651</v>
      </c>
      <c r="Q110">
        <f t="shared" si="21"/>
        <v>21.971666611320963</v>
      </c>
      <c r="R110">
        <f t="shared" si="22"/>
        <v>253.02860000000001</v>
      </c>
    </row>
    <row r="111" spans="1:18" x14ac:dyDescent="0.3">
      <c r="A111" t="s">
        <v>0</v>
      </c>
      <c r="B111" t="s">
        <v>0</v>
      </c>
      <c r="C111">
        <v>1</v>
      </c>
      <c r="D111">
        <v>30</v>
      </c>
      <c r="E111">
        <v>3</v>
      </c>
      <c r="F111">
        <v>20260331</v>
      </c>
      <c r="G111">
        <v>20260503</v>
      </c>
      <c r="H111">
        <v>84.3429</v>
      </c>
      <c r="I111">
        <f t="shared" si="13"/>
        <v>34</v>
      </c>
      <c r="J111">
        <f t="shared" si="14"/>
        <v>2.4806735294117646</v>
      </c>
      <c r="K111">
        <f t="shared" si="15"/>
        <v>3.9971056408813137</v>
      </c>
      <c r="L111">
        <f t="shared" si="16"/>
        <v>74.420205882352931</v>
      </c>
      <c r="M111">
        <f t="shared" si="17"/>
        <v>5.5926444190908864</v>
      </c>
      <c r="N111">
        <f t="shared" si="18"/>
        <v>84.009955942325135</v>
      </c>
      <c r="O111">
        <f t="shared" si="19"/>
        <v>4.0129467701391812</v>
      </c>
      <c r="P111">
        <f t="shared" si="20"/>
        <v>74.715144321988348</v>
      </c>
      <c r="Q111">
        <f t="shared" si="21"/>
        <v>5.6148089078724679</v>
      </c>
      <c r="R111">
        <f t="shared" si="22"/>
        <v>84.3429</v>
      </c>
    </row>
    <row r="112" spans="1:18" x14ac:dyDescent="0.3">
      <c r="A112" t="s">
        <v>0</v>
      </c>
      <c r="B112" t="s">
        <v>0</v>
      </c>
      <c r="C112">
        <v>13</v>
      </c>
      <c r="D112">
        <v>30</v>
      </c>
      <c r="E112">
        <v>7</v>
      </c>
      <c r="F112">
        <v>20260319</v>
      </c>
      <c r="G112">
        <v>20260507</v>
      </c>
      <c r="H112">
        <v>253.04640000000001</v>
      </c>
      <c r="I112">
        <f t="shared" si="13"/>
        <v>50</v>
      </c>
      <c r="J112">
        <f t="shared" si="14"/>
        <v>5.0609280000000005</v>
      </c>
      <c r="K112">
        <f t="shared" si="15"/>
        <v>106.01065679206231</v>
      </c>
      <c r="L112">
        <f t="shared" si="16"/>
        <v>151.82784000000001</v>
      </c>
      <c r="M112">
        <f t="shared" si="17"/>
        <v>26.622849640533865</v>
      </c>
      <c r="N112">
        <f t="shared" si="18"/>
        <v>284.46134643259614</v>
      </c>
      <c r="O112">
        <f t="shared" si="19"/>
        <v>94.303199360069527</v>
      </c>
      <c r="P112">
        <f t="shared" si="20"/>
        <v>135.0604882300928</v>
      </c>
      <c r="Q112">
        <f t="shared" si="21"/>
        <v>23.682712409837713</v>
      </c>
      <c r="R112">
        <f t="shared" si="22"/>
        <v>253.04640000000003</v>
      </c>
    </row>
    <row r="113" spans="1:18" x14ac:dyDescent="0.3">
      <c r="A113" t="s">
        <v>0</v>
      </c>
      <c r="B113" t="s">
        <v>0</v>
      </c>
      <c r="C113">
        <v>9</v>
      </c>
      <c r="D113">
        <v>30</v>
      </c>
      <c r="E113">
        <v>1</v>
      </c>
      <c r="F113">
        <v>20260323</v>
      </c>
      <c r="G113">
        <v>20260501</v>
      </c>
      <c r="H113">
        <v>253.19460000000001</v>
      </c>
      <c r="I113">
        <f t="shared" si="13"/>
        <v>40</v>
      </c>
      <c r="J113">
        <f t="shared" si="14"/>
        <v>6.3298649999999999</v>
      </c>
      <c r="K113">
        <f t="shared" si="15"/>
        <v>91.793720204549075</v>
      </c>
      <c r="L113">
        <f t="shared" si="16"/>
        <v>189.89595</v>
      </c>
      <c r="M113">
        <f t="shared" si="17"/>
        <v>4.7568645834992509</v>
      </c>
      <c r="N113">
        <f t="shared" si="18"/>
        <v>286.44653478804833</v>
      </c>
      <c r="O113">
        <f t="shared" si="19"/>
        <v>81.137913875970042</v>
      </c>
      <c r="P113">
        <f t="shared" si="20"/>
        <v>167.85201865837377</v>
      </c>
      <c r="Q113">
        <f t="shared" si="21"/>
        <v>4.2046674656561853</v>
      </c>
      <c r="R113">
        <f t="shared" si="22"/>
        <v>253.19459999999998</v>
      </c>
    </row>
    <row r="114" spans="1:18" x14ac:dyDescent="0.3">
      <c r="A114" t="s">
        <v>0</v>
      </c>
      <c r="B114" t="s">
        <v>0</v>
      </c>
      <c r="C114">
        <v>0</v>
      </c>
      <c r="D114">
        <v>30</v>
      </c>
      <c r="E114">
        <v>3</v>
      </c>
      <c r="F114">
        <v>20260401</v>
      </c>
      <c r="G114">
        <v>20260503</v>
      </c>
      <c r="H114">
        <v>295.17230000000001</v>
      </c>
      <c r="I114">
        <f t="shared" si="13"/>
        <v>33</v>
      </c>
      <c r="J114">
        <f t="shared" si="14"/>
        <v>8.9446151515151513</v>
      </c>
      <c r="K114">
        <f t="shared" si="15"/>
        <v>0</v>
      </c>
      <c r="L114">
        <f t="shared" si="16"/>
        <v>268.33845454545451</v>
      </c>
      <c r="M114">
        <f t="shared" si="17"/>
        <v>20.165512073609726</v>
      </c>
      <c r="N114">
        <f t="shared" si="18"/>
        <v>288.50396661906422</v>
      </c>
      <c r="O114">
        <f t="shared" si="19"/>
        <v>0</v>
      </c>
      <c r="P114">
        <f t="shared" si="20"/>
        <v>274.54069257636809</v>
      </c>
      <c r="Q114">
        <f t="shared" si="21"/>
        <v>20.631607423631959</v>
      </c>
      <c r="R114">
        <f t="shared" si="22"/>
        <v>295.17230000000006</v>
      </c>
    </row>
    <row r="115" spans="1:18" x14ac:dyDescent="0.3">
      <c r="A115" t="s">
        <v>0</v>
      </c>
      <c r="B115" t="s">
        <v>0</v>
      </c>
      <c r="C115">
        <v>16</v>
      </c>
      <c r="D115">
        <v>30</v>
      </c>
      <c r="E115">
        <v>7</v>
      </c>
      <c r="F115">
        <v>20260316</v>
      </c>
      <c r="G115">
        <v>20260507</v>
      </c>
      <c r="H115">
        <v>210.78800000000001</v>
      </c>
      <c r="I115">
        <f t="shared" si="13"/>
        <v>53</v>
      </c>
      <c r="J115">
        <f t="shared" si="14"/>
        <v>3.9771320754716983</v>
      </c>
      <c r="K115">
        <f t="shared" si="15"/>
        <v>102.53355382668222</v>
      </c>
      <c r="L115">
        <f t="shared" si="16"/>
        <v>119.31396226415094</v>
      </c>
      <c r="M115">
        <f t="shared" si="17"/>
        <v>20.921575893952138</v>
      </c>
      <c r="N115">
        <f t="shared" si="18"/>
        <v>242.76909198478529</v>
      </c>
      <c r="O115">
        <f t="shared" si="19"/>
        <v>89.026335961141228</v>
      </c>
      <c r="P115">
        <f t="shared" si="20"/>
        <v>103.59618381450319</v>
      </c>
      <c r="Q115">
        <f t="shared" si="21"/>
        <v>18.165480224355605</v>
      </c>
      <c r="R115">
        <f t="shared" si="22"/>
        <v>210.78800000000004</v>
      </c>
    </row>
    <row r="116" spans="1:18" x14ac:dyDescent="0.3">
      <c r="A116" t="s">
        <v>0</v>
      </c>
      <c r="B116" t="s">
        <v>0</v>
      </c>
      <c r="C116">
        <v>15</v>
      </c>
      <c r="D116">
        <v>30</v>
      </c>
      <c r="E116">
        <v>1</v>
      </c>
      <c r="F116">
        <v>20260317</v>
      </c>
      <c r="G116">
        <v>20260501</v>
      </c>
      <c r="H116">
        <v>421.59589999999997</v>
      </c>
      <c r="I116">
        <f t="shared" si="13"/>
        <v>46</v>
      </c>
      <c r="J116">
        <f t="shared" si="14"/>
        <v>9.1651282608695652</v>
      </c>
      <c r="K116">
        <f t="shared" si="15"/>
        <v>221.5163670465501</v>
      </c>
      <c r="L116">
        <f t="shared" si="16"/>
        <v>274.95384782608699</v>
      </c>
      <c r="M116">
        <f t="shared" si="17"/>
        <v>6.8875519505326768</v>
      </c>
      <c r="N116">
        <f t="shared" si="18"/>
        <v>503.35776682316975</v>
      </c>
      <c r="O116">
        <f t="shared" si="19"/>
        <v>185.53481894028027</v>
      </c>
      <c r="P116">
        <f t="shared" si="20"/>
        <v>230.29229421511008</v>
      </c>
      <c r="Q116">
        <f t="shared" si="21"/>
        <v>5.7687868446096218</v>
      </c>
      <c r="R116">
        <f t="shared" si="22"/>
        <v>421.59589999999997</v>
      </c>
    </row>
    <row r="117" spans="1:18" x14ac:dyDescent="0.3">
      <c r="A117" t="s">
        <v>0</v>
      </c>
      <c r="B117" t="s">
        <v>0</v>
      </c>
      <c r="C117">
        <v>7</v>
      </c>
      <c r="D117">
        <v>30</v>
      </c>
      <c r="E117">
        <v>10</v>
      </c>
      <c r="F117">
        <v>20260325</v>
      </c>
      <c r="G117">
        <v>20260510</v>
      </c>
      <c r="H117">
        <v>379.77420000000001</v>
      </c>
      <c r="I117">
        <f t="shared" si="13"/>
        <v>47</v>
      </c>
      <c r="J117">
        <f t="shared" si="14"/>
        <v>8.080302127659575</v>
      </c>
      <c r="K117">
        <f t="shared" si="15"/>
        <v>91.138453255098199</v>
      </c>
      <c r="L117">
        <f t="shared" si="16"/>
        <v>242.40906382978724</v>
      </c>
      <c r="M117">
        <f t="shared" si="17"/>
        <v>60.723100753392814</v>
      </c>
      <c r="N117">
        <f t="shared" si="18"/>
        <v>394.27061783827827</v>
      </c>
      <c r="O117">
        <f t="shared" si="19"/>
        <v>87.78750332440309</v>
      </c>
      <c r="P117">
        <f t="shared" si="20"/>
        <v>233.49624375628164</v>
      </c>
      <c r="Q117">
        <f t="shared" si="21"/>
        <v>58.490452919315253</v>
      </c>
      <c r="R117">
        <f t="shared" si="22"/>
        <v>379.77420000000001</v>
      </c>
    </row>
    <row r="118" spans="1:18" x14ac:dyDescent="0.3">
      <c r="A118" t="s">
        <v>0</v>
      </c>
      <c r="B118" t="s">
        <v>0</v>
      </c>
      <c r="C118">
        <v>31</v>
      </c>
      <c r="D118">
        <v>30</v>
      </c>
      <c r="E118">
        <v>3</v>
      </c>
      <c r="F118">
        <v>20260227</v>
      </c>
      <c r="G118">
        <v>20260503</v>
      </c>
      <c r="H118">
        <v>1435.0047</v>
      </c>
      <c r="I118">
        <f t="shared" si="13"/>
        <v>64</v>
      </c>
      <c r="J118">
        <f t="shared" si="14"/>
        <v>22.421948437499999</v>
      </c>
      <c r="K118">
        <f t="shared" si="15"/>
        <v>1119.9820375437839</v>
      </c>
      <c r="L118">
        <f t="shared" si="16"/>
        <v>672.65845312499994</v>
      </c>
      <c r="M118">
        <f t="shared" si="17"/>
        <v>50.549974959366494</v>
      </c>
      <c r="N118">
        <f t="shared" si="18"/>
        <v>1843.1904656281504</v>
      </c>
      <c r="O118">
        <f t="shared" si="19"/>
        <v>871.9551873567159</v>
      </c>
      <c r="P118">
        <f t="shared" si="20"/>
        <v>523.6941378167046</v>
      </c>
      <c r="Q118">
        <f t="shared" si="21"/>
        <v>39.355374826579371</v>
      </c>
      <c r="R118">
        <f t="shared" si="22"/>
        <v>1435.0047</v>
      </c>
    </row>
    <row r="119" spans="1:18" x14ac:dyDescent="0.3">
      <c r="A119" t="s">
        <v>0</v>
      </c>
      <c r="B119" t="s">
        <v>0</v>
      </c>
      <c r="C119">
        <v>31</v>
      </c>
      <c r="D119">
        <v>30</v>
      </c>
      <c r="E119">
        <v>5</v>
      </c>
      <c r="F119">
        <v>20260228</v>
      </c>
      <c r="G119">
        <v>20260505</v>
      </c>
      <c r="H119">
        <v>211.0153</v>
      </c>
      <c r="I119">
        <f t="shared" si="13"/>
        <v>66</v>
      </c>
      <c r="J119">
        <f t="shared" si="14"/>
        <v>3.197201515151515</v>
      </c>
      <c r="K119">
        <f t="shared" si="15"/>
        <v>159.70103032565527</v>
      </c>
      <c r="L119">
        <f t="shared" si="16"/>
        <v>95.916045454545454</v>
      </c>
      <c r="M119">
        <f t="shared" si="17"/>
        <v>12.013411544902132</v>
      </c>
      <c r="N119">
        <f t="shared" si="18"/>
        <v>267.63048732510282</v>
      </c>
      <c r="O119">
        <f t="shared" si="19"/>
        <v>125.91749602705431</v>
      </c>
      <c r="P119">
        <f t="shared" si="20"/>
        <v>75.625737966909597</v>
      </c>
      <c r="Q119">
        <f t="shared" si="21"/>
        <v>9.472066006036119</v>
      </c>
      <c r="R119">
        <f t="shared" si="22"/>
        <v>211.01530000000002</v>
      </c>
    </row>
    <row r="120" spans="1:18" x14ac:dyDescent="0.3">
      <c r="A120" t="s">
        <v>0</v>
      </c>
      <c r="B120" t="s">
        <v>0</v>
      </c>
      <c r="C120">
        <v>31</v>
      </c>
      <c r="D120">
        <v>30</v>
      </c>
      <c r="E120">
        <v>3</v>
      </c>
      <c r="F120">
        <v>20260226</v>
      </c>
      <c r="G120">
        <v>20260503</v>
      </c>
      <c r="H120">
        <v>168.83199999999999</v>
      </c>
      <c r="I120">
        <f t="shared" si="13"/>
        <v>64</v>
      </c>
      <c r="J120">
        <f t="shared" si="14"/>
        <v>2.6379999999999999</v>
      </c>
      <c r="K120">
        <f t="shared" si="15"/>
        <v>131.76877215983481</v>
      </c>
      <c r="L120">
        <f t="shared" si="16"/>
        <v>79.14</v>
      </c>
      <c r="M120">
        <f t="shared" si="17"/>
        <v>5.9473347873632489</v>
      </c>
      <c r="N120">
        <f t="shared" si="18"/>
        <v>216.85610694719807</v>
      </c>
      <c r="O120">
        <f t="shared" si="19"/>
        <v>102.58777423642519</v>
      </c>
      <c r="P120">
        <f t="shared" si="20"/>
        <v>61.613964522812985</v>
      </c>
      <c r="Q120">
        <f t="shared" si="21"/>
        <v>4.6302612407618229</v>
      </c>
      <c r="R120">
        <f t="shared" si="22"/>
        <v>168.83199999999999</v>
      </c>
    </row>
    <row r="121" spans="1:18" x14ac:dyDescent="0.3">
      <c r="A121" t="s">
        <v>0</v>
      </c>
      <c r="B121" t="s">
        <v>0</v>
      </c>
      <c r="C121">
        <v>0</v>
      </c>
      <c r="D121">
        <v>27</v>
      </c>
      <c r="E121">
        <v>4</v>
      </c>
      <c r="F121">
        <v>20260404</v>
      </c>
      <c r="G121">
        <v>20260504</v>
      </c>
      <c r="H121">
        <v>84.354799999999997</v>
      </c>
      <c r="I121">
        <f t="shared" si="13"/>
        <v>31</v>
      </c>
      <c r="J121">
        <f t="shared" si="14"/>
        <v>2.7211225806451611</v>
      </c>
      <c r="K121">
        <f t="shared" si="15"/>
        <v>0</v>
      </c>
      <c r="L121">
        <f t="shared" si="16"/>
        <v>73.470309677419351</v>
      </c>
      <c r="M121">
        <f t="shared" si="17"/>
        <v>8.1796446725047396</v>
      </c>
      <c r="N121">
        <f t="shared" si="18"/>
        <v>81.649954349924087</v>
      </c>
      <c r="O121">
        <f t="shared" si="19"/>
        <v>0</v>
      </c>
      <c r="P121">
        <f t="shared" si="20"/>
        <v>75.904185472242531</v>
      </c>
      <c r="Q121">
        <f t="shared" si="21"/>
        <v>8.4506145277574714</v>
      </c>
      <c r="R121">
        <f t="shared" si="22"/>
        <v>84.354799999999997</v>
      </c>
    </row>
    <row r="122" spans="1:18" x14ac:dyDescent="0.3">
      <c r="A122" t="s">
        <v>0</v>
      </c>
      <c r="B122" t="s">
        <v>0</v>
      </c>
      <c r="C122">
        <v>0</v>
      </c>
      <c r="D122">
        <v>27</v>
      </c>
      <c r="E122">
        <v>8</v>
      </c>
      <c r="F122">
        <v>20260404</v>
      </c>
      <c r="G122">
        <v>20260508</v>
      </c>
      <c r="H122">
        <v>253.09979999999999</v>
      </c>
      <c r="I122">
        <f t="shared" si="13"/>
        <v>35</v>
      </c>
      <c r="J122">
        <f t="shared" si="14"/>
        <v>7.2314228571428565</v>
      </c>
      <c r="K122">
        <f t="shared" si="15"/>
        <v>0</v>
      </c>
      <c r="L122">
        <f t="shared" si="16"/>
        <v>195.24841714285714</v>
      </c>
      <c r="M122">
        <f t="shared" si="17"/>
        <v>43.475049502572105</v>
      </c>
      <c r="N122">
        <f t="shared" si="18"/>
        <v>238.72346664542926</v>
      </c>
      <c r="O122">
        <f t="shared" si="19"/>
        <v>0</v>
      </c>
      <c r="P122">
        <f t="shared" si="20"/>
        <v>207.00660904263844</v>
      </c>
      <c r="Q122">
        <f t="shared" si="21"/>
        <v>46.093190957361543</v>
      </c>
      <c r="R122">
        <f t="shared" si="22"/>
        <v>253.09979999999999</v>
      </c>
    </row>
    <row r="123" spans="1:18" x14ac:dyDescent="0.3">
      <c r="A123" t="s">
        <v>0</v>
      </c>
      <c r="B123" t="s">
        <v>0</v>
      </c>
      <c r="C123">
        <v>22</v>
      </c>
      <c r="D123">
        <v>30</v>
      </c>
      <c r="E123">
        <v>12</v>
      </c>
      <c r="F123">
        <v>20260310</v>
      </c>
      <c r="G123">
        <v>20260512</v>
      </c>
      <c r="H123">
        <v>168.57900000000001</v>
      </c>
      <c r="I123">
        <f t="shared" si="13"/>
        <v>64</v>
      </c>
      <c r="J123">
        <f t="shared" si="14"/>
        <v>2.6340468750000001</v>
      </c>
      <c r="K123">
        <f t="shared" si="15"/>
        <v>93.373189557881062</v>
      </c>
      <c r="L123">
        <f t="shared" si="16"/>
        <v>79.021406249999998</v>
      </c>
      <c r="M123">
        <f t="shared" si="17"/>
        <v>23.753690085266047</v>
      </c>
      <c r="N123">
        <f t="shared" si="18"/>
        <v>196.14828589314709</v>
      </c>
      <c r="O123">
        <f t="shared" si="19"/>
        <v>80.249281051851256</v>
      </c>
      <c r="P123">
        <f t="shared" si="20"/>
        <v>67.91468803084841</v>
      </c>
      <c r="Q123">
        <f t="shared" si="21"/>
        <v>20.415030917300346</v>
      </c>
      <c r="R123">
        <f t="shared" si="22"/>
        <v>168.57900000000004</v>
      </c>
    </row>
    <row r="124" spans="1:18" x14ac:dyDescent="0.3">
      <c r="A124" t="s">
        <v>0</v>
      </c>
      <c r="B124" t="s">
        <v>0</v>
      </c>
      <c r="C124">
        <v>30</v>
      </c>
      <c r="D124">
        <v>29</v>
      </c>
      <c r="E124">
        <v>0</v>
      </c>
      <c r="F124">
        <v>20260302</v>
      </c>
      <c r="G124">
        <v>20260429</v>
      </c>
      <c r="H124">
        <v>2404.8984</v>
      </c>
      <c r="I124">
        <f t="shared" si="13"/>
        <v>59</v>
      </c>
      <c r="J124">
        <f t="shared" si="14"/>
        <v>40.760989830508478</v>
      </c>
      <c r="K124">
        <f t="shared" si="15"/>
        <v>1970.3437044140044</v>
      </c>
      <c r="L124">
        <f t="shared" si="16"/>
        <v>1182.0687050847459</v>
      </c>
      <c r="M124">
        <f t="shared" si="17"/>
        <v>0</v>
      </c>
      <c r="N124">
        <f t="shared" si="18"/>
        <v>3152.4124094987501</v>
      </c>
      <c r="O124">
        <f t="shared" si="19"/>
        <v>1503.1270679932243</v>
      </c>
      <c r="P124">
        <f t="shared" si="20"/>
        <v>901.77133200677576</v>
      </c>
      <c r="Q124">
        <f t="shared" si="21"/>
        <v>0</v>
      </c>
      <c r="R124">
        <f t="shared" si="22"/>
        <v>2404.8984</v>
      </c>
    </row>
    <row r="125" spans="1:18" x14ac:dyDescent="0.3">
      <c r="A125" t="s">
        <v>0</v>
      </c>
      <c r="B125" t="s">
        <v>0</v>
      </c>
      <c r="C125">
        <v>30</v>
      </c>
      <c r="D125">
        <v>30</v>
      </c>
      <c r="E125">
        <v>0</v>
      </c>
      <c r="F125">
        <v>20260302</v>
      </c>
      <c r="G125">
        <v>20260430</v>
      </c>
      <c r="H125">
        <v>4134.7376000000004</v>
      </c>
      <c r="I125">
        <f t="shared" si="13"/>
        <v>60</v>
      </c>
      <c r="J125">
        <f t="shared" si="14"/>
        <v>68.912293333333338</v>
      </c>
      <c r="K125">
        <f t="shared" si="15"/>
        <v>3331.1483330180627</v>
      </c>
      <c r="L125">
        <f t="shared" si="16"/>
        <v>2067.3688000000002</v>
      </c>
      <c r="M125">
        <f t="shared" si="17"/>
        <v>0</v>
      </c>
      <c r="N125">
        <f t="shared" si="18"/>
        <v>5398.5171330180629</v>
      </c>
      <c r="O125">
        <f t="shared" si="19"/>
        <v>2551.3347321743181</v>
      </c>
      <c r="P125">
        <f t="shared" si="20"/>
        <v>1583.4028678256825</v>
      </c>
      <c r="Q125">
        <f t="shared" si="21"/>
        <v>0</v>
      </c>
      <c r="R125">
        <f t="shared" si="22"/>
        <v>4134.7376000000004</v>
      </c>
    </row>
    <row r="126" spans="1:18" x14ac:dyDescent="0.3">
      <c r="A126" t="s">
        <v>0</v>
      </c>
      <c r="B126" t="s">
        <v>0</v>
      </c>
      <c r="C126">
        <v>26</v>
      </c>
      <c r="D126">
        <v>30</v>
      </c>
      <c r="E126">
        <v>0</v>
      </c>
      <c r="F126">
        <v>20260306</v>
      </c>
      <c r="G126">
        <v>20260430</v>
      </c>
      <c r="H126">
        <v>1222.7424000000001</v>
      </c>
      <c r="I126">
        <f t="shared" si="13"/>
        <v>56</v>
      </c>
      <c r="J126">
        <f t="shared" si="14"/>
        <v>21.834685714285715</v>
      </c>
      <c r="K126">
        <f t="shared" si="15"/>
        <v>914.73712861344336</v>
      </c>
      <c r="L126">
        <f t="shared" si="16"/>
        <v>655.04057142857141</v>
      </c>
      <c r="M126">
        <f t="shared" si="17"/>
        <v>0</v>
      </c>
      <c r="N126">
        <f t="shared" si="18"/>
        <v>1569.7777000420147</v>
      </c>
      <c r="O126">
        <f t="shared" si="19"/>
        <v>712.51354378392205</v>
      </c>
      <c r="P126">
        <f t="shared" si="20"/>
        <v>510.2288562160781</v>
      </c>
      <c r="Q126">
        <f t="shared" si="21"/>
        <v>0</v>
      </c>
      <c r="R126">
        <f t="shared" si="22"/>
        <v>1222.7424000000001</v>
      </c>
    </row>
    <row r="127" spans="1:18" x14ac:dyDescent="0.3">
      <c r="A127" t="s">
        <v>0</v>
      </c>
      <c r="B127" t="s">
        <v>0</v>
      </c>
      <c r="C127">
        <v>26</v>
      </c>
      <c r="D127">
        <v>27</v>
      </c>
      <c r="E127">
        <v>0</v>
      </c>
      <c r="F127">
        <v>20260306</v>
      </c>
      <c r="G127">
        <v>20260427</v>
      </c>
      <c r="H127">
        <v>674.60059999999999</v>
      </c>
      <c r="I127">
        <f t="shared" si="13"/>
        <v>53</v>
      </c>
      <c r="J127">
        <f t="shared" si="14"/>
        <v>12.728313207547169</v>
      </c>
      <c r="K127">
        <f t="shared" si="15"/>
        <v>533.2369253177111</v>
      </c>
      <c r="L127">
        <f t="shared" si="16"/>
        <v>343.66445660377354</v>
      </c>
      <c r="M127">
        <f t="shared" si="17"/>
        <v>0</v>
      </c>
      <c r="N127">
        <f t="shared" si="18"/>
        <v>876.9013819214847</v>
      </c>
      <c r="O127">
        <f t="shared" si="19"/>
        <v>410.21938974854027</v>
      </c>
      <c r="P127">
        <f t="shared" si="20"/>
        <v>264.38121025145966</v>
      </c>
      <c r="Q127">
        <f t="shared" si="21"/>
        <v>0</v>
      </c>
      <c r="R127">
        <f t="shared" si="22"/>
        <v>674.60059999999999</v>
      </c>
    </row>
    <row r="128" spans="1:18" x14ac:dyDescent="0.3">
      <c r="A128" t="s">
        <v>0</v>
      </c>
      <c r="B128" t="s">
        <v>0</v>
      </c>
      <c r="C128">
        <v>25</v>
      </c>
      <c r="D128">
        <v>18</v>
      </c>
      <c r="E128">
        <v>0</v>
      </c>
      <c r="F128">
        <v>20260307</v>
      </c>
      <c r="G128">
        <v>20260418</v>
      </c>
      <c r="H128">
        <v>210.69909999999999</v>
      </c>
      <c r="I128">
        <f t="shared" si="13"/>
        <v>43</v>
      </c>
      <c r="J128">
        <f t="shared" si="14"/>
        <v>4.8999790697674417</v>
      </c>
      <c r="K128">
        <f t="shared" si="15"/>
        <v>197.38322826192416</v>
      </c>
      <c r="L128">
        <f t="shared" si="16"/>
        <v>88.199623255813947</v>
      </c>
      <c r="M128">
        <f t="shared" si="17"/>
        <v>0</v>
      </c>
      <c r="N128">
        <f t="shared" si="18"/>
        <v>285.58285151773811</v>
      </c>
      <c r="O128">
        <f t="shared" si="19"/>
        <v>145.62663104195121</v>
      </c>
      <c r="P128">
        <f t="shared" si="20"/>
        <v>65.072468958048773</v>
      </c>
      <c r="Q128">
        <f t="shared" si="21"/>
        <v>0</v>
      </c>
      <c r="R128">
        <f t="shared" si="22"/>
        <v>210.69909999999999</v>
      </c>
    </row>
    <row r="129" spans="1:18" x14ac:dyDescent="0.3">
      <c r="A129" t="s">
        <v>0</v>
      </c>
      <c r="B129" t="s">
        <v>0</v>
      </c>
      <c r="C129">
        <v>29</v>
      </c>
      <c r="D129">
        <v>16</v>
      </c>
      <c r="E129">
        <v>0</v>
      </c>
      <c r="F129">
        <v>20260303</v>
      </c>
      <c r="G129">
        <v>20260416</v>
      </c>
      <c r="H129">
        <v>590.45540000000005</v>
      </c>
      <c r="I129">
        <f t="shared" si="13"/>
        <v>45</v>
      </c>
      <c r="J129">
        <f t="shared" si="14"/>
        <v>13.121231111111113</v>
      </c>
      <c r="K129">
        <f t="shared" si="15"/>
        <v>613.12439616228755</v>
      </c>
      <c r="L129">
        <f t="shared" si="16"/>
        <v>209.93969777777781</v>
      </c>
      <c r="M129">
        <f t="shared" si="17"/>
        <v>0</v>
      </c>
      <c r="N129">
        <f t="shared" si="18"/>
        <v>823.06409394006539</v>
      </c>
      <c r="O129">
        <f t="shared" si="19"/>
        <v>439.84741073168976</v>
      </c>
      <c r="P129">
        <f t="shared" si="20"/>
        <v>150.60798926831032</v>
      </c>
      <c r="Q129">
        <f t="shared" si="21"/>
        <v>0</v>
      </c>
      <c r="R129">
        <f t="shared" si="22"/>
        <v>590.45540000000005</v>
      </c>
    </row>
    <row r="130" spans="1:18" x14ac:dyDescent="0.3">
      <c r="A130" t="s">
        <v>0</v>
      </c>
      <c r="B130" t="s">
        <v>0</v>
      </c>
      <c r="C130">
        <v>28</v>
      </c>
      <c r="D130">
        <v>16</v>
      </c>
      <c r="E130">
        <v>0</v>
      </c>
      <c r="F130">
        <v>20260304</v>
      </c>
      <c r="G130">
        <v>20260416</v>
      </c>
      <c r="H130">
        <v>801.18209999999999</v>
      </c>
      <c r="I130">
        <f t="shared" si="13"/>
        <v>44</v>
      </c>
      <c r="J130">
        <f t="shared" si="14"/>
        <v>18.208684090909092</v>
      </c>
      <c r="K130">
        <f t="shared" si="15"/>
        <v>821.50953151888586</v>
      </c>
      <c r="L130">
        <f t="shared" si="16"/>
        <v>291.33894545454547</v>
      </c>
      <c r="M130">
        <f t="shared" si="17"/>
        <v>0</v>
      </c>
      <c r="N130">
        <f t="shared" si="18"/>
        <v>1112.8484769734314</v>
      </c>
      <c r="O130">
        <f t="shared" si="19"/>
        <v>591.43607171242127</v>
      </c>
      <c r="P130">
        <f t="shared" si="20"/>
        <v>209.74602828757867</v>
      </c>
      <c r="Q130">
        <f t="shared" si="21"/>
        <v>0</v>
      </c>
      <c r="R130">
        <f t="shared" si="22"/>
        <v>801.18209999999999</v>
      </c>
    </row>
    <row r="131" spans="1:18" x14ac:dyDescent="0.3">
      <c r="A131" t="s">
        <v>0</v>
      </c>
      <c r="B131" t="s">
        <v>0</v>
      </c>
      <c r="C131">
        <v>30</v>
      </c>
      <c r="D131">
        <v>15</v>
      </c>
      <c r="E131">
        <v>0</v>
      </c>
      <c r="F131">
        <v>20260302</v>
      </c>
      <c r="G131">
        <v>20260415</v>
      </c>
      <c r="H131">
        <v>2699.7307999999998</v>
      </c>
      <c r="I131">
        <f t="shared" si="13"/>
        <v>45</v>
      </c>
      <c r="J131">
        <f t="shared" si="14"/>
        <v>59.994017777777771</v>
      </c>
      <c r="K131">
        <f t="shared" si="15"/>
        <v>2900.0482010490882</v>
      </c>
      <c r="L131">
        <f t="shared" si="16"/>
        <v>899.91026666666653</v>
      </c>
      <c r="M131">
        <f t="shared" si="17"/>
        <v>0</v>
      </c>
      <c r="N131">
        <f t="shared" si="18"/>
        <v>3799.9584677157545</v>
      </c>
      <c r="O131">
        <f t="shared" si="19"/>
        <v>2060.3776373806586</v>
      </c>
      <c r="P131">
        <f t="shared" si="20"/>
        <v>639.35316261934111</v>
      </c>
      <c r="Q131">
        <f t="shared" si="21"/>
        <v>0</v>
      </c>
      <c r="R131">
        <f t="shared" si="22"/>
        <v>2699.7307999999998</v>
      </c>
    </row>
    <row r="132" spans="1:18" x14ac:dyDescent="0.3">
      <c r="A132" t="s">
        <v>0</v>
      </c>
      <c r="B132" t="s">
        <v>0</v>
      </c>
      <c r="C132">
        <v>27</v>
      </c>
      <c r="D132">
        <v>16</v>
      </c>
      <c r="E132">
        <v>0</v>
      </c>
      <c r="F132">
        <v>20260305</v>
      </c>
      <c r="G132">
        <v>20260416</v>
      </c>
      <c r="H132">
        <v>505.91489999999999</v>
      </c>
      <c r="I132">
        <f t="shared" si="13"/>
        <v>43</v>
      </c>
      <c r="J132">
        <f t="shared" si="14"/>
        <v>11.765462790697674</v>
      </c>
      <c r="K132">
        <f t="shared" si="15"/>
        <v>511.85717206591391</v>
      </c>
      <c r="L132">
        <f t="shared" si="16"/>
        <v>188.24740465116278</v>
      </c>
      <c r="M132">
        <f t="shared" si="17"/>
        <v>0</v>
      </c>
      <c r="N132">
        <f t="shared" si="18"/>
        <v>700.10457671707672</v>
      </c>
      <c r="O132">
        <f t="shared" si="19"/>
        <v>369.88212708779065</v>
      </c>
      <c r="P132">
        <f t="shared" si="20"/>
        <v>136.03277291220937</v>
      </c>
      <c r="Q132">
        <f t="shared" si="21"/>
        <v>0</v>
      </c>
      <c r="R132">
        <f t="shared" si="22"/>
        <v>505.91489999999999</v>
      </c>
    </row>
    <row r="133" spans="1:18" x14ac:dyDescent="0.3">
      <c r="A133" t="s">
        <v>0</v>
      </c>
      <c r="B133" t="s">
        <v>0</v>
      </c>
      <c r="C133">
        <v>30</v>
      </c>
      <c r="D133">
        <v>8</v>
      </c>
      <c r="E133">
        <v>0</v>
      </c>
      <c r="F133">
        <v>20260302</v>
      </c>
      <c r="G133">
        <v>20260408</v>
      </c>
      <c r="H133">
        <v>1602.9653000000001</v>
      </c>
      <c r="I133">
        <f t="shared" si="13"/>
        <v>38</v>
      </c>
      <c r="J133">
        <f t="shared" si="14"/>
        <v>42.183297368421051</v>
      </c>
      <c r="K133">
        <f t="shared" si="15"/>
        <v>2039.0965662733372</v>
      </c>
      <c r="L133">
        <f t="shared" si="16"/>
        <v>337.46637894736841</v>
      </c>
      <c r="M133">
        <f t="shared" si="17"/>
        <v>0</v>
      </c>
      <c r="N133">
        <f t="shared" si="18"/>
        <v>2376.5629452207058</v>
      </c>
      <c r="O133">
        <f t="shared" si="19"/>
        <v>1375.3479770685235</v>
      </c>
      <c r="P133">
        <f t="shared" si="20"/>
        <v>227.61732293147642</v>
      </c>
      <c r="Q133">
        <f t="shared" si="21"/>
        <v>0</v>
      </c>
      <c r="R133">
        <f t="shared" si="22"/>
        <v>1602.9652999999998</v>
      </c>
    </row>
    <row r="134" spans="1:18" x14ac:dyDescent="0.3">
      <c r="A134" t="s">
        <v>0</v>
      </c>
      <c r="B134" t="s">
        <v>0</v>
      </c>
      <c r="C134">
        <v>29</v>
      </c>
      <c r="D134">
        <v>10</v>
      </c>
      <c r="E134">
        <v>0</v>
      </c>
      <c r="F134">
        <v>20260303</v>
      </c>
      <c r="G134">
        <v>20260410</v>
      </c>
      <c r="H134">
        <v>210.8621</v>
      </c>
      <c r="I134">
        <f t="shared" si="13"/>
        <v>39</v>
      </c>
      <c r="J134">
        <f t="shared" si="14"/>
        <v>5.4067205128205131</v>
      </c>
      <c r="K134">
        <f t="shared" si="15"/>
        <v>252.64338548493228</v>
      </c>
      <c r="L134">
        <f t="shared" si="16"/>
        <v>54.067205128205131</v>
      </c>
      <c r="M134">
        <f t="shared" si="17"/>
        <v>0</v>
      </c>
      <c r="N134">
        <f t="shared" si="18"/>
        <v>306.71059061313741</v>
      </c>
      <c r="O134">
        <f t="shared" si="19"/>
        <v>173.69114874046505</v>
      </c>
      <c r="P134">
        <f t="shared" si="20"/>
        <v>37.170951259534931</v>
      </c>
      <c r="Q134">
        <f t="shared" si="21"/>
        <v>0</v>
      </c>
      <c r="R134">
        <f t="shared" si="22"/>
        <v>210.8621</v>
      </c>
    </row>
    <row r="135" spans="1:18" x14ac:dyDescent="0.3">
      <c r="A135" t="s">
        <v>0</v>
      </c>
      <c r="B135" t="s">
        <v>0</v>
      </c>
      <c r="C135">
        <v>24</v>
      </c>
      <c r="D135">
        <v>9</v>
      </c>
      <c r="E135">
        <v>0</v>
      </c>
      <c r="F135">
        <v>20260308</v>
      </c>
      <c r="G135">
        <v>20260409</v>
      </c>
      <c r="H135">
        <v>379.07150000000001</v>
      </c>
      <c r="I135">
        <f t="shared" si="13"/>
        <v>33</v>
      </c>
      <c r="J135">
        <f t="shared" si="14"/>
        <v>11.487015151515152</v>
      </c>
      <c r="K135">
        <f t="shared" si="15"/>
        <v>444.21625834720447</v>
      </c>
      <c r="L135">
        <f t="shared" si="16"/>
        <v>103.38313636363637</v>
      </c>
      <c r="M135">
        <f t="shared" si="17"/>
        <v>0</v>
      </c>
      <c r="N135">
        <f t="shared" si="18"/>
        <v>547.5993947108409</v>
      </c>
      <c r="O135">
        <f t="shared" si="19"/>
        <v>307.50531319520593</v>
      </c>
      <c r="P135">
        <f t="shared" si="20"/>
        <v>71.566186804794029</v>
      </c>
      <c r="Q135">
        <f t="shared" si="21"/>
        <v>0</v>
      </c>
      <c r="R135">
        <f t="shared" si="22"/>
        <v>379.07149999999996</v>
      </c>
    </row>
    <row r="136" spans="1:18" x14ac:dyDescent="0.3">
      <c r="A136" t="s">
        <v>0</v>
      </c>
      <c r="B136" t="s">
        <v>0</v>
      </c>
      <c r="C136">
        <v>26</v>
      </c>
      <c r="D136">
        <v>3</v>
      </c>
      <c r="E136">
        <v>0</v>
      </c>
      <c r="F136">
        <v>20260306</v>
      </c>
      <c r="G136">
        <v>20260403</v>
      </c>
      <c r="H136">
        <v>84.313199999999995</v>
      </c>
      <c r="I136">
        <f t="shared" si="13"/>
        <v>29</v>
      </c>
      <c r="J136">
        <f t="shared" si="14"/>
        <v>2.9073517241379307</v>
      </c>
      <c r="K136">
        <f t="shared" si="15"/>
        <v>121.79990144155252</v>
      </c>
      <c r="L136">
        <f t="shared" si="16"/>
        <v>8.7220551724137927</v>
      </c>
      <c r="M136">
        <f t="shared" si="17"/>
        <v>0</v>
      </c>
      <c r="N136">
        <f t="shared" si="18"/>
        <v>130.52195661396632</v>
      </c>
      <c r="O136">
        <f t="shared" si="19"/>
        <v>78.679018585314779</v>
      </c>
      <c r="P136">
        <f t="shared" si="20"/>
        <v>5.6341814146852114</v>
      </c>
      <c r="Q136">
        <f t="shared" si="21"/>
        <v>0</v>
      </c>
      <c r="R136">
        <f t="shared" si="22"/>
        <v>84.313199999999995</v>
      </c>
    </row>
    <row r="137" spans="1:18" x14ac:dyDescent="0.3">
      <c r="A137" t="s">
        <v>0</v>
      </c>
      <c r="B137" t="s">
        <v>0</v>
      </c>
      <c r="C137">
        <v>28</v>
      </c>
      <c r="D137">
        <v>1</v>
      </c>
      <c r="E137">
        <v>0</v>
      </c>
      <c r="F137">
        <v>20260304</v>
      </c>
      <c r="G137">
        <v>20260401</v>
      </c>
      <c r="H137">
        <v>42.187199999999997</v>
      </c>
      <c r="I137">
        <f t="shared" si="13"/>
        <v>29</v>
      </c>
      <c r="J137">
        <f t="shared" si="14"/>
        <v>1.4547310344827584</v>
      </c>
      <c r="K137">
        <f t="shared" si="15"/>
        <v>65.632167852292582</v>
      </c>
      <c r="L137">
        <f t="shared" si="16"/>
        <v>1.4547310344827584</v>
      </c>
      <c r="M137">
        <f t="shared" si="17"/>
        <v>0</v>
      </c>
      <c r="N137">
        <f t="shared" si="18"/>
        <v>67.086898886775344</v>
      </c>
      <c r="O137">
        <f t="shared" si="19"/>
        <v>41.272400983853657</v>
      </c>
      <c r="P137">
        <f t="shared" si="20"/>
        <v>0.91479901614633929</v>
      </c>
      <c r="Q137">
        <f t="shared" si="21"/>
        <v>0</v>
      </c>
      <c r="R137">
        <f t="shared" si="22"/>
        <v>42.187199999999997</v>
      </c>
    </row>
    <row r="138" spans="1:18" x14ac:dyDescent="0.3">
      <c r="A138" t="s">
        <v>0</v>
      </c>
      <c r="B138" t="s">
        <v>0</v>
      </c>
      <c r="C138">
        <v>28</v>
      </c>
      <c r="D138">
        <v>30</v>
      </c>
      <c r="E138">
        <v>2</v>
      </c>
      <c r="F138">
        <v>20260304</v>
      </c>
      <c r="G138">
        <v>20260502</v>
      </c>
      <c r="H138">
        <v>178372.25510000001</v>
      </c>
      <c r="I138">
        <f t="shared" si="13"/>
        <v>60</v>
      </c>
      <c r="J138">
        <f t="shared" si="14"/>
        <v>2972.8709183333335</v>
      </c>
      <c r="K138">
        <f t="shared" si="15"/>
        <v>134125.11212743021</v>
      </c>
      <c r="L138">
        <f t="shared" si="16"/>
        <v>89186.127550000005</v>
      </c>
      <c r="M138">
        <f t="shared" si="17"/>
        <v>4468.1977839131578</v>
      </c>
      <c r="N138">
        <f t="shared" si="18"/>
        <v>227779.43746134336</v>
      </c>
      <c r="O138">
        <f t="shared" si="19"/>
        <v>105032.30222337467</v>
      </c>
      <c r="P138">
        <f t="shared" si="20"/>
        <v>69840.94294038089</v>
      </c>
      <c r="Q138">
        <f t="shared" si="21"/>
        <v>3499.009936244453</v>
      </c>
      <c r="R138">
        <f t="shared" si="22"/>
        <v>178372.25510000001</v>
      </c>
    </row>
    <row r="139" spans="1:18" x14ac:dyDescent="0.3">
      <c r="A139" t="s">
        <v>0</v>
      </c>
      <c r="B139" t="s">
        <v>0</v>
      </c>
      <c r="C139">
        <v>29</v>
      </c>
      <c r="D139">
        <v>7</v>
      </c>
      <c r="E139">
        <v>0</v>
      </c>
      <c r="F139">
        <v>20260303</v>
      </c>
      <c r="G139">
        <v>20260407</v>
      </c>
      <c r="H139">
        <v>463.91840000000002</v>
      </c>
      <c r="I139">
        <f t="shared" ref="I139:I202" si="23">IF(C139&lt;0,0,C139)+D139+E139</f>
        <v>36</v>
      </c>
      <c r="J139">
        <f t="shared" ref="J139:J202" si="24">H139/I139</f>
        <v>12.886622222222222</v>
      </c>
      <c r="K139">
        <f t="shared" ref="K139:K202" si="25">IF(C139&lt;0,0,C139)*$J139*$B$6</f>
        <v>602.16167230533949</v>
      </c>
      <c r="L139">
        <f t="shared" ref="L139:L202" si="26">IF(D139&lt;0,0,D139)*$J139*$C$6</f>
        <v>90.206355555555547</v>
      </c>
      <c r="M139">
        <f t="shared" ref="M139:M202" si="27">IF(E139&lt;0,0,E139)*$J139*$D$6</f>
        <v>0</v>
      </c>
      <c r="N139">
        <f t="shared" ref="N139:N202" si="28">K139+L139+M139</f>
        <v>692.36802786089504</v>
      </c>
      <c r="O139">
        <f t="shared" ref="O139:O202" si="29">K139/$N139*$H139</f>
        <v>403.475995880825</v>
      </c>
      <c r="P139">
        <f t="shared" ref="P139:P202" si="30">L139/$N139*$H139</f>
        <v>60.442404119175009</v>
      </c>
      <c r="Q139">
        <f t="shared" ref="Q139:Q202" si="31">M139/$N139*$H139</f>
        <v>0</v>
      </c>
      <c r="R139">
        <f t="shared" ref="R139:R202" si="32">O139+P139+Q139</f>
        <v>463.91840000000002</v>
      </c>
    </row>
    <row r="140" spans="1:18" x14ac:dyDescent="0.3">
      <c r="A140" t="s">
        <v>0</v>
      </c>
      <c r="B140" t="s">
        <v>0</v>
      </c>
      <c r="C140">
        <v>26</v>
      </c>
      <c r="D140">
        <v>6</v>
      </c>
      <c r="E140">
        <v>0</v>
      </c>
      <c r="F140">
        <v>20260306</v>
      </c>
      <c r="G140">
        <v>20260406</v>
      </c>
      <c r="H140">
        <v>168.57509999999999</v>
      </c>
      <c r="I140">
        <f t="shared" si="23"/>
        <v>32</v>
      </c>
      <c r="J140">
        <f t="shared" si="24"/>
        <v>5.2679718749999997</v>
      </c>
      <c r="K140">
        <f t="shared" si="25"/>
        <v>220.69516042546419</v>
      </c>
      <c r="L140">
        <f t="shared" si="26"/>
        <v>31.607831249999997</v>
      </c>
      <c r="M140">
        <f t="shared" si="27"/>
        <v>0</v>
      </c>
      <c r="N140">
        <f t="shared" si="28"/>
        <v>252.3029916754642</v>
      </c>
      <c r="O140">
        <f t="shared" si="29"/>
        <v>147.45647085347909</v>
      </c>
      <c r="P140">
        <f t="shared" si="30"/>
        <v>21.118629146520885</v>
      </c>
      <c r="Q140">
        <f t="shared" si="31"/>
        <v>0</v>
      </c>
      <c r="R140">
        <f t="shared" si="32"/>
        <v>168.57509999999996</v>
      </c>
    </row>
    <row r="141" spans="1:18" x14ac:dyDescent="0.3">
      <c r="A141" t="s">
        <v>0</v>
      </c>
      <c r="B141" t="s">
        <v>0</v>
      </c>
      <c r="C141">
        <v>22</v>
      </c>
      <c r="D141">
        <v>1</v>
      </c>
      <c r="E141">
        <v>0</v>
      </c>
      <c r="F141">
        <v>20260310</v>
      </c>
      <c r="G141">
        <v>20260401</v>
      </c>
      <c r="H141">
        <v>294.7919</v>
      </c>
      <c r="I141">
        <f t="shared" si="23"/>
        <v>23</v>
      </c>
      <c r="J141">
        <f t="shared" si="24"/>
        <v>12.817039130434782</v>
      </c>
      <c r="K141">
        <f t="shared" si="25"/>
        <v>454.34568217274642</v>
      </c>
      <c r="L141">
        <f t="shared" si="26"/>
        <v>12.817039130434782</v>
      </c>
      <c r="M141">
        <f t="shared" si="27"/>
        <v>0</v>
      </c>
      <c r="N141">
        <f t="shared" si="28"/>
        <v>467.16272130318123</v>
      </c>
      <c r="O141">
        <f t="shared" si="29"/>
        <v>286.70401296334768</v>
      </c>
      <c r="P141">
        <f t="shared" si="30"/>
        <v>8.0878870366523152</v>
      </c>
      <c r="Q141">
        <f t="shared" si="31"/>
        <v>0</v>
      </c>
      <c r="R141">
        <f t="shared" si="32"/>
        <v>294.7919</v>
      </c>
    </row>
    <row r="142" spans="1:18" x14ac:dyDescent="0.3">
      <c r="A142" t="s">
        <v>0</v>
      </c>
      <c r="B142" t="s">
        <v>0</v>
      </c>
      <c r="C142">
        <v>26</v>
      </c>
      <c r="D142">
        <v>30</v>
      </c>
      <c r="E142">
        <v>4</v>
      </c>
      <c r="F142">
        <v>20260306</v>
      </c>
      <c r="G142">
        <v>20260504</v>
      </c>
      <c r="H142">
        <v>337948.6127</v>
      </c>
      <c r="I142">
        <f t="shared" si="23"/>
        <v>60</v>
      </c>
      <c r="J142">
        <f t="shared" si="24"/>
        <v>5632.4768783333329</v>
      </c>
      <c r="K142">
        <f t="shared" si="25"/>
        <v>235965.64631554583</v>
      </c>
      <c r="L142">
        <f t="shared" si="26"/>
        <v>168974.30635</v>
      </c>
      <c r="M142">
        <f t="shared" si="27"/>
        <v>16931.122404615107</v>
      </c>
      <c r="N142">
        <f t="shared" si="28"/>
        <v>421871.07507016096</v>
      </c>
      <c r="O142">
        <f t="shared" si="29"/>
        <v>189025.19639189623</v>
      </c>
      <c r="P142">
        <f t="shared" si="30"/>
        <v>135360.38801292618</v>
      </c>
      <c r="Q142">
        <f t="shared" si="31"/>
        <v>13563.028295177546</v>
      </c>
      <c r="R142">
        <f t="shared" si="32"/>
        <v>337948.6127</v>
      </c>
    </row>
    <row r="143" spans="1:18" x14ac:dyDescent="0.3">
      <c r="A143" t="s">
        <v>0</v>
      </c>
      <c r="B143" t="s">
        <v>0</v>
      </c>
      <c r="C143">
        <v>27</v>
      </c>
      <c r="D143">
        <v>30</v>
      </c>
      <c r="E143">
        <v>5</v>
      </c>
      <c r="F143">
        <v>20260305</v>
      </c>
      <c r="G143">
        <v>20260505</v>
      </c>
      <c r="H143">
        <v>163755.51759999999</v>
      </c>
      <c r="I143">
        <f t="shared" si="23"/>
        <v>62</v>
      </c>
      <c r="J143">
        <f t="shared" si="24"/>
        <v>2641.2180258064514</v>
      </c>
      <c r="K143">
        <f t="shared" si="25"/>
        <v>114906.3503534857</v>
      </c>
      <c r="L143">
        <f t="shared" si="26"/>
        <v>79236.540774193534</v>
      </c>
      <c r="M143">
        <f t="shared" si="27"/>
        <v>9924.3163039484407</v>
      </c>
      <c r="N143">
        <f t="shared" si="28"/>
        <v>204067.20743162767</v>
      </c>
      <c r="O143">
        <f t="shared" si="29"/>
        <v>92207.607064777621</v>
      </c>
      <c r="P143">
        <f t="shared" si="30"/>
        <v>63584.056010855915</v>
      </c>
      <c r="Q143">
        <f t="shared" si="31"/>
        <v>7963.8545243664548</v>
      </c>
      <c r="R143">
        <f t="shared" si="32"/>
        <v>163755.51759999996</v>
      </c>
    </row>
    <row r="144" spans="1:18" x14ac:dyDescent="0.3">
      <c r="A144" t="s">
        <v>0</v>
      </c>
      <c r="B144" t="s">
        <v>0</v>
      </c>
      <c r="C144">
        <v>25</v>
      </c>
      <c r="D144">
        <v>30</v>
      </c>
      <c r="E144">
        <v>5</v>
      </c>
      <c r="F144">
        <v>20260307</v>
      </c>
      <c r="G144">
        <v>20260505</v>
      </c>
      <c r="H144">
        <v>134560.74969999999</v>
      </c>
      <c r="I144">
        <f t="shared" si="23"/>
        <v>60</v>
      </c>
      <c r="J144">
        <f t="shared" si="24"/>
        <v>2242.6791616666665</v>
      </c>
      <c r="K144">
        <f t="shared" si="25"/>
        <v>90340.641578806128</v>
      </c>
      <c r="L144">
        <f t="shared" si="26"/>
        <v>67280.374849999993</v>
      </c>
      <c r="M144">
        <f t="shared" si="27"/>
        <v>8426.8156400523221</v>
      </c>
      <c r="N144">
        <f t="shared" si="28"/>
        <v>166047.83206885844</v>
      </c>
      <c r="O144">
        <f t="shared" si="29"/>
        <v>73209.654758889228</v>
      </c>
      <c r="P144">
        <f t="shared" si="30"/>
        <v>54522.227523926405</v>
      </c>
      <c r="Q144">
        <f t="shared" si="31"/>
        <v>6828.8674171843486</v>
      </c>
      <c r="R144">
        <f t="shared" si="32"/>
        <v>134560.74969999999</v>
      </c>
    </row>
    <row r="145" spans="1:18" x14ac:dyDescent="0.3">
      <c r="A145" t="s">
        <v>0</v>
      </c>
      <c r="B145" t="s">
        <v>0</v>
      </c>
      <c r="C145">
        <v>27</v>
      </c>
      <c r="D145">
        <v>30</v>
      </c>
      <c r="E145">
        <v>6</v>
      </c>
      <c r="F145">
        <v>20260305</v>
      </c>
      <c r="G145">
        <v>20260506</v>
      </c>
      <c r="H145">
        <v>103701.9862</v>
      </c>
      <c r="I145">
        <f t="shared" si="23"/>
        <v>63</v>
      </c>
      <c r="J145">
        <f t="shared" si="24"/>
        <v>1646.0632730158729</v>
      </c>
      <c r="K145">
        <f t="shared" si="25"/>
        <v>71612.082495694616</v>
      </c>
      <c r="L145">
        <f t="shared" si="26"/>
        <v>49381.898190476189</v>
      </c>
      <c r="M145">
        <f t="shared" si="27"/>
        <v>7422.0541059956868</v>
      </c>
      <c r="N145">
        <f t="shared" si="28"/>
        <v>128416.03479216649</v>
      </c>
      <c r="O145">
        <f t="shared" si="29"/>
        <v>57830.123806118303</v>
      </c>
      <c r="P145">
        <f t="shared" si="30"/>
        <v>39878.204719267291</v>
      </c>
      <c r="Q145">
        <f t="shared" si="31"/>
        <v>5993.6576746143965</v>
      </c>
      <c r="R145">
        <f t="shared" si="32"/>
        <v>103701.98619999998</v>
      </c>
    </row>
    <row r="146" spans="1:18" x14ac:dyDescent="0.3">
      <c r="A146" t="s">
        <v>0</v>
      </c>
      <c r="B146" t="s">
        <v>0</v>
      </c>
      <c r="C146">
        <v>24</v>
      </c>
      <c r="D146">
        <v>30</v>
      </c>
      <c r="E146">
        <v>7</v>
      </c>
      <c r="F146">
        <v>20260308</v>
      </c>
      <c r="G146">
        <v>20260507</v>
      </c>
      <c r="H146">
        <v>50372.428699999997</v>
      </c>
      <c r="I146">
        <f t="shared" si="23"/>
        <v>61</v>
      </c>
      <c r="J146">
        <f t="shared" si="24"/>
        <v>825.77751967213112</v>
      </c>
      <c r="K146">
        <f t="shared" si="25"/>
        <v>31933.778721237657</v>
      </c>
      <c r="L146">
        <f t="shared" si="26"/>
        <v>24773.325590163935</v>
      </c>
      <c r="M146">
        <f t="shared" si="27"/>
        <v>4343.976192264372</v>
      </c>
      <c r="N146">
        <f t="shared" si="28"/>
        <v>61051.080503665966</v>
      </c>
      <c r="O146">
        <f t="shared" si="29"/>
        <v>26348.133046728461</v>
      </c>
      <c r="P146">
        <f t="shared" si="30"/>
        <v>20440.139087751042</v>
      </c>
      <c r="Q146">
        <f t="shared" si="31"/>
        <v>3584.1565655204936</v>
      </c>
      <c r="R146">
        <f t="shared" si="32"/>
        <v>50372.428699999989</v>
      </c>
    </row>
    <row r="147" spans="1:18" x14ac:dyDescent="0.3">
      <c r="A147" t="s">
        <v>0</v>
      </c>
      <c r="B147" t="s">
        <v>0</v>
      </c>
      <c r="C147">
        <v>30</v>
      </c>
      <c r="D147">
        <v>30</v>
      </c>
      <c r="E147">
        <v>9</v>
      </c>
      <c r="F147">
        <v>20260302</v>
      </c>
      <c r="G147">
        <v>20260509</v>
      </c>
      <c r="H147">
        <v>69240.623200000002</v>
      </c>
      <c r="I147">
        <f t="shared" si="23"/>
        <v>69</v>
      </c>
      <c r="J147">
        <f t="shared" si="24"/>
        <v>1003.4872927536233</v>
      </c>
      <c r="K147">
        <f t="shared" si="25"/>
        <v>48507.52834899666</v>
      </c>
      <c r="L147">
        <f t="shared" si="26"/>
        <v>30104.618782608697</v>
      </c>
      <c r="M147">
        <f t="shared" si="27"/>
        <v>6787.0449790037064</v>
      </c>
      <c r="N147">
        <f t="shared" si="28"/>
        <v>85399.192110609074</v>
      </c>
      <c r="O147">
        <f t="shared" si="29"/>
        <v>39329.312254219185</v>
      </c>
      <c r="P147">
        <f t="shared" si="30"/>
        <v>24408.457670260566</v>
      </c>
      <c r="Q147">
        <f t="shared" si="31"/>
        <v>5502.8532755202423</v>
      </c>
      <c r="R147">
        <f t="shared" si="32"/>
        <v>69240.623200000002</v>
      </c>
    </row>
    <row r="148" spans="1:18" x14ac:dyDescent="0.3">
      <c r="A148" t="s">
        <v>0</v>
      </c>
      <c r="B148" t="s">
        <v>0</v>
      </c>
      <c r="C148">
        <v>28</v>
      </c>
      <c r="D148">
        <v>30</v>
      </c>
      <c r="E148">
        <v>7</v>
      </c>
      <c r="F148">
        <v>20260304</v>
      </c>
      <c r="G148">
        <v>20260507</v>
      </c>
      <c r="H148">
        <v>97813.889299999995</v>
      </c>
      <c r="I148">
        <f t="shared" si="23"/>
        <v>65</v>
      </c>
      <c r="J148">
        <f t="shared" si="24"/>
        <v>1504.829066153846</v>
      </c>
      <c r="K148">
        <f t="shared" si="25"/>
        <v>67892.40864304149</v>
      </c>
      <c r="L148">
        <f t="shared" si="26"/>
        <v>45144.871984615384</v>
      </c>
      <c r="M148">
        <f t="shared" si="27"/>
        <v>7916.1051022497904</v>
      </c>
      <c r="N148">
        <f t="shared" si="28"/>
        <v>120953.38572990666</v>
      </c>
      <c r="O148">
        <f t="shared" si="29"/>
        <v>54903.965715767721</v>
      </c>
      <c r="P148">
        <f t="shared" si="30"/>
        <v>36508.242279604085</v>
      </c>
      <c r="Q148">
        <f t="shared" si="31"/>
        <v>6401.681304628195</v>
      </c>
      <c r="R148">
        <f t="shared" si="32"/>
        <v>97813.889299999995</v>
      </c>
    </row>
    <row r="149" spans="1:18" x14ac:dyDescent="0.3">
      <c r="A149" t="s">
        <v>0</v>
      </c>
      <c r="B149" t="s">
        <v>0</v>
      </c>
      <c r="C149">
        <v>26</v>
      </c>
      <c r="D149">
        <v>30</v>
      </c>
      <c r="E149">
        <v>7</v>
      </c>
      <c r="F149">
        <v>20260306</v>
      </c>
      <c r="G149">
        <v>20260507</v>
      </c>
      <c r="H149">
        <v>53129.783499999998</v>
      </c>
      <c r="I149">
        <f t="shared" si="23"/>
        <v>63</v>
      </c>
      <c r="J149">
        <f t="shared" si="24"/>
        <v>843.32989682539676</v>
      </c>
      <c r="K149">
        <f t="shared" si="25"/>
        <v>35330.262060571673</v>
      </c>
      <c r="L149">
        <f t="shared" si="26"/>
        <v>25299.896904761903</v>
      </c>
      <c r="M149">
        <f t="shared" si="27"/>
        <v>4436.3099100697491</v>
      </c>
      <c r="N149">
        <f t="shared" si="28"/>
        <v>65066.468875403327</v>
      </c>
      <c r="O149">
        <f t="shared" si="29"/>
        <v>28848.794267150115</v>
      </c>
      <c r="P149">
        <f t="shared" si="30"/>
        <v>20658.536852465513</v>
      </c>
      <c r="Q149">
        <f t="shared" si="31"/>
        <v>3622.452380384369</v>
      </c>
      <c r="R149">
        <f t="shared" si="32"/>
        <v>53129.783499999998</v>
      </c>
    </row>
    <row r="150" spans="1:18" x14ac:dyDescent="0.3">
      <c r="A150" t="s">
        <v>0</v>
      </c>
      <c r="B150" t="s">
        <v>0</v>
      </c>
      <c r="C150">
        <v>30</v>
      </c>
      <c r="D150">
        <v>30</v>
      </c>
      <c r="E150">
        <v>10</v>
      </c>
      <c r="F150">
        <v>20260302</v>
      </c>
      <c r="G150">
        <v>20260510</v>
      </c>
      <c r="H150">
        <v>14598.839</v>
      </c>
      <c r="I150">
        <f t="shared" si="23"/>
        <v>70</v>
      </c>
      <c r="J150">
        <f t="shared" si="24"/>
        <v>208.55484285714286</v>
      </c>
      <c r="K150">
        <f t="shared" si="25"/>
        <v>10081.32342608269</v>
      </c>
      <c r="L150">
        <f t="shared" si="26"/>
        <v>6256.6452857142858</v>
      </c>
      <c r="M150">
        <f t="shared" si="27"/>
        <v>1567.2801010833482</v>
      </c>
      <c r="N150">
        <f t="shared" si="28"/>
        <v>17905.248812880323</v>
      </c>
      <c r="O150">
        <f t="shared" si="29"/>
        <v>8219.6912839567649</v>
      </c>
      <c r="P150">
        <f t="shared" si="30"/>
        <v>5101.283883893625</v>
      </c>
      <c r="Q150">
        <f t="shared" si="31"/>
        <v>1277.8638321496112</v>
      </c>
      <c r="R150">
        <f t="shared" si="32"/>
        <v>14598.839</v>
      </c>
    </row>
    <row r="151" spans="1:18" x14ac:dyDescent="0.3">
      <c r="A151" t="s">
        <v>0</v>
      </c>
      <c r="B151" t="s">
        <v>0</v>
      </c>
      <c r="C151">
        <v>23</v>
      </c>
      <c r="D151">
        <v>30</v>
      </c>
      <c r="E151">
        <v>5</v>
      </c>
      <c r="F151">
        <v>20260309</v>
      </c>
      <c r="G151">
        <v>20260505</v>
      </c>
      <c r="H151">
        <v>21578.1142</v>
      </c>
      <c r="I151">
        <f t="shared" si="23"/>
        <v>58</v>
      </c>
      <c r="J151">
        <f t="shared" si="24"/>
        <v>372.03645172413792</v>
      </c>
      <c r="K151">
        <f t="shared" si="25"/>
        <v>13787.621220560542</v>
      </c>
      <c r="L151">
        <f t="shared" si="26"/>
        <v>11161.093551724138</v>
      </c>
      <c r="M151">
        <f t="shared" si="27"/>
        <v>1397.9184555889269</v>
      </c>
      <c r="N151">
        <f t="shared" si="28"/>
        <v>26346.633227873604</v>
      </c>
      <c r="O151">
        <f t="shared" si="29"/>
        <v>11292.177739387402</v>
      </c>
      <c r="P151">
        <f t="shared" si="30"/>
        <v>9141.0294883975384</v>
      </c>
      <c r="Q151">
        <f t="shared" si="31"/>
        <v>1144.9069722150612</v>
      </c>
      <c r="R151">
        <f t="shared" si="32"/>
        <v>21578.1142</v>
      </c>
    </row>
    <row r="152" spans="1:18" x14ac:dyDescent="0.3">
      <c r="A152" t="s">
        <v>0</v>
      </c>
      <c r="B152" t="s">
        <v>0</v>
      </c>
      <c r="C152">
        <v>23</v>
      </c>
      <c r="D152">
        <v>3</v>
      </c>
      <c r="E152">
        <v>0</v>
      </c>
      <c r="F152">
        <v>20260309</v>
      </c>
      <c r="G152">
        <v>20260403</v>
      </c>
      <c r="H152">
        <v>126.35720000000001</v>
      </c>
      <c r="I152">
        <f t="shared" si="23"/>
        <v>26</v>
      </c>
      <c r="J152">
        <f t="shared" si="24"/>
        <v>4.8598923076923075</v>
      </c>
      <c r="K152">
        <f t="shared" si="25"/>
        <v>180.10695995149985</v>
      </c>
      <c r="L152">
        <f t="shared" si="26"/>
        <v>14.579676923076923</v>
      </c>
      <c r="M152">
        <f t="shared" si="27"/>
        <v>0</v>
      </c>
      <c r="N152">
        <f t="shared" si="28"/>
        <v>194.68663687457678</v>
      </c>
      <c r="O152">
        <f t="shared" si="29"/>
        <v>116.89457235138819</v>
      </c>
      <c r="P152">
        <f t="shared" si="30"/>
        <v>9.4626276486117984</v>
      </c>
      <c r="Q152">
        <f t="shared" si="31"/>
        <v>0</v>
      </c>
      <c r="R152">
        <f t="shared" si="32"/>
        <v>126.35719999999999</v>
      </c>
    </row>
    <row r="153" spans="1:18" x14ac:dyDescent="0.3">
      <c r="A153" t="s">
        <v>0</v>
      </c>
      <c r="B153" t="s">
        <v>0</v>
      </c>
      <c r="C153">
        <v>24</v>
      </c>
      <c r="D153">
        <v>30</v>
      </c>
      <c r="E153">
        <v>9</v>
      </c>
      <c r="F153">
        <v>20260308</v>
      </c>
      <c r="G153">
        <v>20260509</v>
      </c>
      <c r="H153">
        <v>27907.022400000002</v>
      </c>
      <c r="I153">
        <f t="shared" si="23"/>
        <v>63</v>
      </c>
      <c r="J153">
        <f t="shared" si="24"/>
        <v>442.96860952380956</v>
      </c>
      <c r="K153">
        <f t="shared" si="25"/>
        <v>17130.112191240194</v>
      </c>
      <c r="L153">
        <f t="shared" si="26"/>
        <v>13289.058285714287</v>
      </c>
      <c r="M153">
        <f t="shared" si="27"/>
        <v>2995.9999482155572</v>
      </c>
      <c r="N153">
        <f t="shared" si="28"/>
        <v>33415.170425170036</v>
      </c>
      <c r="O153">
        <f t="shared" si="29"/>
        <v>14306.388941094876</v>
      </c>
      <c r="P153">
        <f t="shared" si="30"/>
        <v>11098.493365007193</v>
      </c>
      <c r="Q153">
        <f t="shared" si="31"/>
        <v>2502.1400938979336</v>
      </c>
      <c r="R153">
        <f t="shared" si="32"/>
        <v>27907.022400000002</v>
      </c>
    </row>
    <row r="154" spans="1:18" x14ac:dyDescent="0.3">
      <c r="A154" t="s">
        <v>0</v>
      </c>
      <c r="B154" t="s">
        <v>0</v>
      </c>
      <c r="C154">
        <v>25</v>
      </c>
      <c r="D154">
        <v>30</v>
      </c>
      <c r="E154">
        <v>2</v>
      </c>
      <c r="F154">
        <v>20260307</v>
      </c>
      <c r="G154">
        <v>20260502</v>
      </c>
      <c r="H154">
        <v>15344.287200000001</v>
      </c>
      <c r="I154">
        <f t="shared" si="23"/>
        <v>57</v>
      </c>
      <c r="J154">
        <f t="shared" si="24"/>
        <v>269.19802105263159</v>
      </c>
      <c r="K154">
        <f t="shared" si="25"/>
        <v>10843.959470139471</v>
      </c>
      <c r="L154">
        <f t="shared" si="26"/>
        <v>8075.9406315789474</v>
      </c>
      <c r="M154">
        <f t="shared" si="27"/>
        <v>404.60216206612591</v>
      </c>
      <c r="N154">
        <f t="shared" si="28"/>
        <v>19324.502263784547</v>
      </c>
      <c r="O154">
        <f t="shared" si="29"/>
        <v>8610.4586924762116</v>
      </c>
      <c r="P154">
        <f t="shared" si="30"/>
        <v>6412.5611500654568</v>
      </c>
      <c r="Q154">
        <f t="shared" si="31"/>
        <v>321.26735745833025</v>
      </c>
      <c r="R154">
        <f t="shared" si="32"/>
        <v>15344.287199999997</v>
      </c>
    </row>
    <row r="155" spans="1:18" x14ac:dyDescent="0.3">
      <c r="A155" t="s">
        <v>0</v>
      </c>
      <c r="B155" t="s">
        <v>0</v>
      </c>
      <c r="C155">
        <v>24</v>
      </c>
      <c r="D155">
        <v>30</v>
      </c>
      <c r="E155">
        <v>13</v>
      </c>
      <c r="F155">
        <v>20260308</v>
      </c>
      <c r="G155">
        <v>20260513</v>
      </c>
      <c r="H155">
        <v>421.53649999999999</v>
      </c>
      <c r="I155">
        <f t="shared" si="23"/>
        <v>67</v>
      </c>
      <c r="J155">
        <f t="shared" si="24"/>
        <v>6.2915895522388059</v>
      </c>
      <c r="K155">
        <f t="shared" si="25"/>
        <v>243.30309772275743</v>
      </c>
      <c r="L155">
        <f t="shared" si="26"/>
        <v>188.74768656716418</v>
      </c>
      <c r="M155">
        <f t="shared" si="27"/>
        <v>61.465309875402234</v>
      </c>
      <c r="N155">
        <f t="shared" si="28"/>
        <v>493.51609416532381</v>
      </c>
      <c r="O155">
        <f t="shared" si="29"/>
        <v>207.81720690724222</v>
      </c>
      <c r="P155">
        <f t="shared" si="30"/>
        <v>161.21873251810527</v>
      </c>
      <c r="Q155">
        <f t="shared" si="31"/>
        <v>52.500560574652503</v>
      </c>
      <c r="R155">
        <f t="shared" si="32"/>
        <v>421.53649999999999</v>
      </c>
    </row>
    <row r="156" spans="1:18" x14ac:dyDescent="0.3">
      <c r="A156" t="s">
        <v>0</v>
      </c>
      <c r="B156" t="s">
        <v>0</v>
      </c>
      <c r="C156">
        <v>26</v>
      </c>
      <c r="D156">
        <v>30</v>
      </c>
      <c r="E156">
        <v>12</v>
      </c>
      <c r="F156">
        <v>20260306</v>
      </c>
      <c r="G156">
        <v>20260512</v>
      </c>
      <c r="H156">
        <v>337.34780000000001</v>
      </c>
      <c r="I156">
        <f t="shared" si="23"/>
        <v>68</v>
      </c>
      <c r="J156">
        <f t="shared" si="24"/>
        <v>4.9609970588235299</v>
      </c>
      <c r="K156">
        <f t="shared" si="25"/>
        <v>207.834830509097</v>
      </c>
      <c r="L156">
        <f t="shared" si="26"/>
        <v>148.82991176470591</v>
      </c>
      <c r="M156">
        <f t="shared" si="27"/>
        <v>44.737999071945325</v>
      </c>
      <c r="N156">
        <f t="shared" si="28"/>
        <v>401.40274134574827</v>
      </c>
      <c r="O156">
        <f t="shared" si="29"/>
        <v>174.66901845402509</v>
      </c>
      <c r="P156">
        <f t="shared" si="30"/>
        <v>125.07997115239299</v>
      </c>
      <c r="Q156">
        <f t="shared" si="31"/>
        <v>37.598810393581921</v>
      </c>
      <c r="R156">
        <f t="shared" si="32"/>
        <v>337.34780000000001</v>
      </c>
    </row>
    <row r="157" spans="1:18" x14ac:dyDescent="0.3">
      <c r="A157" t="s">
        <v>0</v>
      </c>
      <c r="B157" t="s">
        <v>0</v>
      </c>
      <c r="C157">
        <v>29</v>
      </c>
      <c r="D157">
        <v>30</v>
      </c>
      <c r="E157">
        <v>9</v>
      </c>
      <c r="F157">
        <v>20260303</v>
      </c>
      <c r="G157">
        <v>20260509</v>
      </c>
      <c r="H157">
        <v>5568.8468999999996</v>
      </c>
      <c r="I157">
        <f t="shared" si="23"/>
        <v>68</v>
      </c>
      <c r="J157">
        <f t="shared" si="24"/>
        <v>81.894807352941172</v>
      </c>
      <c r="K157">
        <f t="shared" si="25"/>
        <v>3826.7525266420653</v>
      </c>
      <c r="L157">
        <f t="shared" si="26"/>
        <v>2456.8442205882352</v>
      </c>
      <c r="M157">
        <f t="shared" si="27"/>
        <v>553.89215694604843</v>
      </c>
      <c r="N157">
        <f t="shared" si="28"/>
        <v>6837.4889041763481</v>
      </c>
      <c r="O157">
        <f t="shared" si="29"/>
        <v>3116.7288523190564</v>
      </c>
      <c r="P157">
        <f t="shared" si="30"/>
        <v>2000.9962009954929</v>
      </c>
      <c r="Q157">
        <f t="shared" si="31"/>
        <v>451.12184668545098</v>
      </c>
      <c r="R157">
        <f t="shared" si="32"/>
        <v>5568.8468999999996</v>
      </c>
    </row>
    <row r="158" spans="1:18" x14ac:dyDescent="0.3">
      <c r="A158" t="s">
        <v>0</v>
      </c>
      <c r="B158" t="s">
        <v>0</v>
      </c>
      <c r="C158">
        <v>24</v>
      </c>
      <c r="D158">
        <v>30</v>
      </c>
      <c r="E158">
        <v>10</v>
      </c>
      <c r="F158">
        <v>20260308</v>
      </c>
      <c r="G158">
        <v>20260510</v>
      </c>
      <c r="H158">
        <v>13068.2433</v>
      </c>
      <c r="I158">
        <f t="shared" si="23"/>
        <v>64</v>
      </c>
      <c r="J158">
        <f t="shared" si="24"/>
        <v>204.1913015625</v>
      </c>
      <c r="K158">
        <f t="shared" si="25"/>
        <v>7896.3155154518381</v>
      </c>
      <c r="L158">
        <f t="shared" si="26"/>
        <v>6125.739046875</v>
      </c>
      <c r="M158">
        <f t="shared" si="27"/>
        <v>1534.4882879196816</v>
      </c>
      <c r="N158">
        <f t="shared" si="28"/>
        <v>15556.542850246518</v>
      </c>
      <c r="O158">
        <f t="shared" si="29"/>
        <v>6633.2843564824761</v>
      </c>
      <c r="P158">
        <f t="shared" si="30"/>
        <v>5145.9150678586684</v>
      </c>
      <c r="Q158">
        <f t="shared" si="31"/>
        <v>1289.0438756588567</v>
      </c>
      <c r="R158">
        <f t="shared" si="32"/>
        <v>13068.243300000002</v>
      </c>
    </row>
    <row r="159" spans="1:18" x14ac:dyDescent="0.3">
      <c r="A159" t="s">
        <v>0</v>
      </c>
      <c r="B159" t="s">
        <v>0</v>
      </c>
      <c r="C159">
        <v>22</v>
      </c>
      <c r="D159">
        <v>30</v>
      </c>
      <c r="E159">
        <v>11</v>
      </c>
      <c r="F159">
        <v>20260310</v>
      </c>
      <c r="G159">
        <v>20260511</v>
      </c>
      <c r="H159">
        <v>14497.795400000001</v>
      </c>
      <c r="I159">
        <f t="shared" si="23"/>
        <v>63</v>
      </c>
      <c r="J159">
        <f t="shared" si="24"/>
        <v>230.12373650793651</v>
      </c>
      <c r="K159">
        <f t="shared" si="25"/>
        <v>8157.5569040408327</v>
      </c>
      <c r="L159">
        <f t="shared" si="26"/>
        <v>6903.7120952380956</v>
      </c>
      <c r="M159">
        <f t="shared" si="27"/>
        <v>1902.3062849189178</v>
      </c>
      <c r="N159">
        <f t="shared" si="28"/>
        <v>16963.575284197846</v>
      </c>
      <c r="O159">
        <f t="shared" si="29"/>
        <v>6971.7962739146642</v>
      </c>
      <c r="P159">
        <f t="shared" si="30"/>
        <v>5900.2069894135593</v>
      </c>
      <c r="Q159">
        <f t="shared" si="31"/>
        <v>1625.7921366717778</v>
      </c>
      <c r="R159">
        <f t="shared" si="32"/>
        <v>14497.795400000003</v>
      </c>
    </row>
    <row r="160" spans="1:18" x14ac:dyDescent="0.3">
      <c r="A160" t="s">
        <v>0</v>
      </c>
      <c r="B160" t="s">
        <v>0</v>
      </c>
      <c r="C160">
        <v>23</v>
      </c>
      <c r="D160">
        <v>30</v>
      </c>
      <c r="E160">
        <v>9</v>
      </c>
      <c r="F160">
        <v>20260309</v>
      </c>
      <c r="G160">
        <v>20260509</v>
      </c>
      <c r="H160">
        <v>22634.916499999999</v>
      </c>
      <c r="I160">
        <f t="shared" si="23"/>
        <v>62</v>
      </c>
      <c r="J160">
        <f t="shared" si="24"/>
        <v>365.07929838709674</v>
      </c>
      <c r="K160">
        <f t="shared" si="25"/>
        <v>13529.790046921657</v>
      </c>
      <c r="L160">
        <f t="shared" si="26"/>
        <v>10952.378951612902</v>
      </c>
      <c r="M160">
        <f t="shared" si="27"/>
        <v>2469.1987999739367</v>
      </c>
      <c r="N160">
        <f t="shared" si="28"/>
        <v>26951.367798508494</v>
      </c>
      <c r="O160">
        <f t="shared" si="29"/>
        <v>11362.898917195238</v>
      </c>
      <c r="P160">
        <f t="shared" si="30"/>
        <v>9198.2783545343791</v>
      </c>
      <c r="Q160">
        <f t="shared" si="31"/>
        <v>2073.7392282703831</v>
      </c>
      <c r="R160">
        <f t="shared" si="32"/>
        <v>22634.916500000003</v>
      </c>
    </row>
    <row r="161" spans="1:18" x14ac:dyDescent="0.3">
      <c r="A161" t="s">
        <v>0</v>
      </c>
      <c r="B161" t="s">
        <v>0</v>
      </c>
      <c r="C161">
        <v>24</v>
      </c>
      <c r="D161">
        <v>30</v>
      </c>
      <c r="E161">
        <v>3</v>
      </c>
      <c r="F161">
        <v>20260308</v>
      </c>
      <c r="G161">
        <v>20260503</v>
      </c>
      <c r="H161">
        <v>9778.9583999999995</v>
      </c>
      <c r="I161">
        <f t="shared" si="23"/>
        <v>57</v>
      </c>
      <c r="J161">
        <f t="shared" si="24"/>
        <v>171.56067368421051</v>
      </c>
      <c r="K161">
        <f t="shared" si="25"/>
        <v>6634.45112053095</v>
      </c>
      <c r="L161">
        <f t="shared" si="26"/>
        <v>5146.8202105263153</v>
      </c>
      <c r="M161">
        <f t="shared" si="27"/>
        <v>386.78118375495825</v>
      </c>
      <c r="N161">
        <f t="shared" si="28"/>
        <v>12168.052514812223</v>
      </c>
      <c r="O161">
        <f t="shared" si="29"/>
        <v>5331.8328003211072</v>
      </c>
      <c r="P161">
        <f t="shared" si="30"/>
        <v>4136.2856274451879</v>
      </c>
      <c r="Q161">
        <f t="shared" si="31"/>
        <v>310.83997223370471</v>
      </c>
      <c r="R161">
        <f t="shared" si="32"/>
        <v>9778.9583999999995</v>
      </c>
    </row>
    <row r="162" spans="1:18" x14ac:dyDescent="0.3">
      <c r="A162" t="s">
        <v>0</v>
      </c>
      <c r="B162" t="s">
        <v>0</v>
      </c>
      <c r="C162">
        <v>23</v>
      </c>
      <c r="D162">
        <v>30</v>
      </c>
      <c r="E162">
        <v>14</v>
      </c>
      <c r="F162">
        <v>20260309</v>
      </c>
      <c r="G162">
        <v>20260514</v>
      </c>
      <c r="H162">
        <v>42.146700000000003</v>
      </c>
      <c r="I162">
        <f t="shared" si="23"/>
        <v>67</v>
      </c>
      <c r="J162">
        <f t="shared" si="24"/>
        <v>0.62905522388059709</v>
      </c>
      <c r="K162">
        <f t="shared" si="25"/>
        <v>23.312702595367391</v>
      </c>
      <c r="L162">
        <f t="shared" si="26"/>
        <v>18.871656716417913</v>
      </c>
      <c r="M162">
        <f t="shared" si="27"/>
        <v>6.6182497126872795</v>
      </c>
      <c r="N162">
        <f t="shared" si="28"/>
        <v>48.802609024472581</v>
      </c>
      <c r="O162">
        <f t="shared" si="29"/>
        <v>20.133216279143173</v>
      </c>
      <c r="P162">
        <f t="shared" si="30"/>
        <v>16.297859274921148</v>
      </c>
      <c r="Q162">
        <f t="shared" si="31"/>
        <v>5.7156244459356857</v>
      </c>
      <c r="R162">
        <f t="shared" si="32"/>
        <v>42.14670000000001</v>
      </c>
    </row>
    <row r="163" spans="1:18" x14ac:dyDescent="0.3">
      <c r="A163" t="s">
        <v>0</v>
      </c>
      <c r="B163" t="s">
        <v>0</v>
      </c>
      <c r="C163">
        <v>22</v>
      </c>
      <c r="D163">
        <v>30</v>
      </c>
      <c r="E163">
        <v>3</v>
      </c>
      <c r="F163">
        <v>20260310</v>
      </c>
      <c r="G163">
        <v>20260503</v>
      </c>
      <c r="H163">
        <v>2064.8024999999998</v>
      </c>
      <c r="I163">
        <f t="shared" si="23"/>
        <v>55</v>
      </c>
      <c r="J163">
        <f t="shared" si="24"/>
        <v>37.54186363636363</v>
      </c>
      <c r="K163">
        <f t="shared" si="25"/>
        <v>1330.8053030279891</v>
      </c>
      <c r="L163">
        <f t="shared" si="26"/>
        <v>1126.255909090909</v>
      </c>
      <c r="M163">
        <f t="shared" si="27"/>
        <v>84.637616219481728</v>
      </c>
      <c r="N163">
        <f t="shared" si="28"/>
        <v>2541.6988283383794</v>
      </c>
      <c r="O163">
        <f t="shared" si="29"/>
        <v>1081.107677301736</v>
      </c>
      <c r="P163">
        <f t="shared" si="30"/>
        <v>914.93767507103144</v>
      </c>
      <c r="Q163">
        <f t="shared" si="31"/>
        <v>68.757147627232726</v>
      </c>
      <c r="R163">
        <f t="shared" si="32"/>
        <v>2064.8025000000002</v>
      </c>
    </row>
    <row r="164" spans="1:18" x14ac:dyDescent="0.3">
      <c r="A164" t="s">
        <v>0</v>
      </c>
      <c r="B164" t="s">
        <v>0</v>
      </c>
      <c r="C164">
        <v>0</v>
      </c>
      <c r="D164">
        <v>9</v>
      </c>
      <c r="E164">
        <v>4</v>
      </c>
      <c r="F164">
        <v>20260422</v>
      </c>
      <c r="G164">
        <v>20260504</v>
      </c>
      <c r="H164">
        <v>84.386399999999995</v>
      </c>
      <c r="I164">
        <f t="shared" si="23"/>
        <v>13</v>
      </c>
      <c r="J164">
        <f t="shared" si="24"/>
        <v>6.4912615384615382</v>
      </c>
      <c r="K164">
        <f t="shared" si="25"/>
        <v>0</v>
      </c>
      <c r="L164">
        <f t="shared" si="26"/>
        <v>58.421353846153842</v>
      </c>
      <c r="M164">
        <f t="shared" si="27"/>
        <v>19.512613374559209</v>
      </c>
      <c r="N164">
        <f t="shared" si="28"/>
        <v>77.933967220713043</v>
      </c>
      <c r="O164">
        <f t="shared" si="29"/>
        <v>0</v>
      </c>
      <c r="P164">
        <f t="shared" si="30"/>
        <v>63.258267351399567</v>
      </c>
      <c r="Q164">
        <f t="shared" si="31"/>
        <v>21.128132648600431</v>
      </c>
      <c r="R164">
        <f t="shared" si="32"/>
        <v>84.386399999999995</v>
      </c>
    </row>
    <row r="165" spans="1:18" x14ac:dyDescent="0.3">
      <c r="A165" t="s">
        <v>0</v>
      </c>
      <c r="B165" t="s">
        <v>0</v>
      </c>
      <c r="C165">
        <v>0</v>
      </c>
      <c r="D165">
        <v>7</v>
      </c>
      <c r="E165">
        <v>1</v>
      </c>
      <c r="F165">
        <v>20260424</v>
      </c>
      <c r="G165">
        <v>20260501</v>
      </c>
      <c r="H165">
        <v>126.4935</v>
      </c>
      <c r="I165">
        <f t="shared" si="23"/>
        <v>8</v>
      </c>
      <c r="J165">
        <f t="shared" si="24"/>
        <v>15.8116875</v>
      </c>
      <c r="K165">
        <f t="shared" si="25"/>
        <v>0</v>
      </c>
      <c r="L165">
        <f t="shared" si="26"/>
        <v>110.68181249999999</v>
      </c>
      <c r="M165">
        <f t="shared" si="27"/>
        <v>11.882410805618733</v>
      </c>
      <c r="N165">
        <f t="shared" si="28"/>
        <v>122.56422330561873</v>
      </c>
      <c r="O165">
        <f t="shared" si="29"/>
        <v>0</v>
      </c>
      <c r="P165">
        <f t="shared" si="30"/>
        <v>114.23015193069739</v>
      </c>
      <c r="Q165">
        <f t="shared" si="31"/>
        <v>12.263348069302607</v>
      </c>
      <c r="R165">
        <f t="shared" si="32"/>
        <v>126.4935</v>
      </c>
    </row>
    <row r="166" spans="1:18" x14ac:dyDescent="0.3">
      <c r="A166" t="s">
        <v>0</v>
      </c>
      <c r="B166" t="s">
        <v>0</v>
      </c>
      <c r="C166">
        <v>0</v>
      </c>
      <c r="D166">
        <v>7</v>
      </c>
      <c r="E166">
        <v>4</v>
      </c>
      <c r="F166">
        <v>20260424</v>
      </c>
      <c r="G166">
        <v>20260504</v>
      </c>
      <c r="H166">
        <v>84.338899999999995</v>
      </c>
      <c r="I166">
        <f t="shared" si="23"/>
        <v>11</v>
      </c>
      <c r="J166">
        <f t="shared" si="24"/>
        <v>7.6671727272727273</v>
      </c>
      <c r="K166">
        <f t="shared" si="25"/>
        <v>0</v>
      </c>
      <c r="L166">
        <f t="shared" si="26"/>
        <v>53.67020909090909</v>
      </c>
      <c r="M166">
        <f t="shared" si="27"/>
        <v>23.047380885333258</v>
      </c>
      <c r="N166">
        <f t="shared" si="28"/>
        <v>76.717589976242351</v>
      </c>
      <c r="O166">
        <f t="shared" si="29"/>
        <v>0</v>
      </c>
      <c r="P166">
        <f t="shared" si="30"/>
        <v>59.001936829598272</v>
      </c>
      <c r="Q166">
        <f t="shared" si="31"/>
        <v>25.336963170401727</v>
      </c>
      <c r="R166">
        <f t="shared" si="32"/>
        <v>84.338899999999995</v>
      </c>
    </row>
    <row r="167" spans="1:18" x14ac:dyDescent="0.3">
      <c r="A167" t="s">
        <v>0</v>
      </c>
      <c r="B167" t="s">
        <v>0</v>
      </c>
      <c r="C167">
        <v>0</v>
      </c>
      <c r="D167">
        <v>22</v>
      </c>
      <c r="E167">
        <v>6</v>
      </c>
      <c r="F167">
        <v>20260409</v>
      </c>
      <c r="G167">
        <v>20260506</v>
      </c>
      <c r="H167">
        <v>42.207000000000001</v>
      </c>
      <c r="I167">
        <f t="shared" si="23"/>
        <v>28</v>
      </c>
      <c r="J167">
        <f t="shared" si="24"/>
        <v>1.5073928571428572</v>
      </c>
      <c r="K167">
        <f t="shared" si="25"/>
        <v>0</v>
      </c>
      <c r="L167">
        <f t="shared" si="26"/>
        <v>33.162642857142856</v>
      </c>
      <c r="M167">
        <f t="shared" si="27"/>
        <v>6.7967930079670928</v>
      </c>
      <c r="N167">
        <f t="shared" si="28"/>
        <v>39.959435865109953</v>
      </c>
      <c r="O167">
        <f t="shared" si="29"/>
        <v>0</v>
      </c>
      <c r="P167">
        <f t="shared" si="30"/>
        <v>35.027913602092518</v>
      </c>
      <c r="Q167">
        <f t="shared" si="31"/>
        <v>7.1790863979074784</v>
      </c>
      <c r="R167">
        <f t="shared" si="32"/>
        <v>42.206999999999994</v>
      </c>
    </row>
    <row r="168" spans="1:18" x14ac:dyDescent="0.3">
      <c r="A168" t="s">
        <v>0</v>
      </c>
      <c r="B168" t="s">
        <v>0</v>
      </c>
      <c r="C168">
        <v>0</v>
      </c>
      <c r="D168">
        <v>22</v>
      </c>
      <c r="E168">
        <v>5</v>
      </c>
      <c r="F168">
        <v>20260409</v>
      </c>
      <c r="G168">
        <v>20260505</v>
      </c>
      <c r="H168">
        <v>295.46289999999999</v>
      </c>
      <c r="I168">
        <f t="shared" si="23"/>
        <v>27</v>
      </c>
      <c r="J168">
        <f t="shared" si="24"/>
        <v>10.94307037037037</v>
      </c>
      <c r="K168">
        <f t="shared" si="25"/>
        <v>0</v>
      </c>
      <c r="L168">
        <f t="shared" si="26"/>
        <v>240.74754814814813</v>
      </c>
      <c r="M168">
        <f t="shared" si="27"/>
        <v>41.118336551849723</v>
      </c>
      <c r="N168">
        <f t="shared" si="28"/>
        <v>281.86588469999788</v>
      </c>
      <c r="O168">
        <f t="shared" si="29"/>
        <v>0</v>
      </c>
      <c r="P168">
        <f t="shared" si="30"/>
        <v>252.36104333608986</v>
      </c>
      <c r="Q168">
        <f t="shared" si="31"/>
        <v>43.101856663910098</v>
      </c>
      <c r="R168">
        <f t="shared" si="32"/>
        <v>295.46289999999999</v>
      </c>
    </row>
    <row r="169" spans="1:18" x14ac:dyDescent="0.3">
      <c r="A169" t="s">
        <v>0</v>
      </c>
      <c r="B169" t="s">
        <v>0</v>
      </c>
      <c r="C169">
        <v>0</v>
      </c>
      <c r="D169">
        <v>22</v>
      </c>
      <c r="E169">
        <v>1</v>
      </c>
      <c r="F169">
        <v>20260409</v>
      </c>
      <c r="G169">
        <v>20260501</v>
      </c>
      <c r="H169">
        <v>42.212899999999998</v>
      </c>
      <c r="I169">
        <f t="shared" si="23"/>
        <v>23</v>
      </c>
      <c r="J169">
        <f t="shared" si="24"/>
        <v>1.8353434782608695</v>
      </c>
      <c r="K169">
        <f t="shared" si="25"/>
        <v>0</v>
      </c>
      <c r="L169">
        <f t="shared" si="26"/>
        <v>40.37755652173913</v>
      </c>
      <c r="M169">
        <f t="shared" si="27"/>
        <v>1.3792522258050461</v>
      </c>
      <c r="N169">
        <f t="shared" si="28"/>
        <v>41.756808747544177</v>
      </c>
      <c r="O169">
        <f t="shared" si="29"/>
        <v>0</v>
      </c>
      <c r="P169">
        <f t="shared" si="30"/>
        <v>40.818582808887776</v>
      </c>
      <c r="Q169">
        <f t="shared" si="31"/>
        <v>1.3943171911122165</v>
      </c>
      <c r="R169">
        <f t="shared" si="32"/>
        <v>42.212899999999991</v>
      </c>
    </row>
    <row r="170" spans="1:18" x14ac:dyDescent="0.3">
      <c r="A170" t="s">
        <v>0</v>
      </c>
      <c r="B170" t="s">
        <v>0</v>
      </c>
      <c r="C170">
        <v>13</v>
      </c>
      <c r="D170">
        <v>30</v>
      </c>
      <c r="E170">
        <v>6</v>
      </c>
      <c r="F170">
        <v>20260319</v>
      </c>
      <c r="G170">
        <v>20260506</v>
      </c>
      <c r="H170">
        <v>84.344800000000006</v>
      </c>
      <c r="I170">
        <f t="shared" si="23"/>
        <v>49</v>
      </c>
      <c r="J170">
        <f t="shared" si="24"/>
        <v>1.721322448979592</v>
      </c>
      <c r="K170">
        <f t="shared" si="25"/>
        <v>36.056336578439307</v>
      </c>
      <c r="L170">
        <f t="shared" si="26"/>
        <v>51.639673469387759</v>
      </c>
      <c r="M170">
        <f t="shared" si="27"/>
        <v>7.7613956642044197</v>
      </c>
      <c r="N170">
        <f t="shared" si="28"/>
        <v>95.457405712031473</v>
      </c>
      <c r="O170">
        <f t="shared" si="29"/>
        <v>31.858863906436952</v>
      </c>
      <c r="P170">
        <f t="shared" si="30"/>
        <v>45.628077762560068</v>
      </c>
      <c r="Q170">
        <f t="shared" si="31"/>
        <v>6.8578583310030066</v>
      </c>
      <c r="R170">
        <f t="shared" si="32"/>
        <v>84.344800000000021</v>
      </c>
    </row>
    <row r="171" spans="1:18" x14ac:dyDescent="0.3">
      <c r="A171" t="s">
        <v>0</v>
      </c>
      <c r="B171" t="s">
        <v>0</v>
      </c>
      <c r="C171">
        <v>7</v>
      </c>
      <c r="D171">
        <v>30</v>
      </c>
      <c r="E171">
        <v>5</v>
      </c>
      <c r="F171">
        <v>20260325</v>
      </c>
      <c r="G171">
        <v>20260505</v>
      </c>
      <c r="H171">
        <v>42.193199999999997</v>
      </c>
      <c r="I171">
        <f t="shared" si="23"/>
        <v>42</v>
      </c>
      <c r="J171">
        <f t="shared" si="24"/>
        <v>1.0045999999999999</v>
      </c>
      <c r="K171">
        <f t="shared" si="25"/>
        <v>11.330973606378125</v>
      </c>
      <c r="L171">
        <f t="shared" si="26"/>
        <v>30.137999999999998</v>
      </c>
      <c r="M171">
        <f t="shared" si="27"/>
        <v>3.7747615159117514</v>
      </c>
      <c r="N171">
        <f t="shared" si="28"/>
        <v>45.24373512228987</v>
      </c>
      <c r="O171">
        <f t="shared" si="29"/>
        <v>10.566988651056279</v>
      </c>
      <c r="P171">
        <f t="shared" si="30"/>
        <v>28.105961149381802</v>
      </c>
      <c r="Q171">
        <f t="shared" si="31"/>
        <v>3.5202501995619229</v>
      </c>
      <c r="R171">
        <f t="shared" si="32"/>
        <v>42.193200000000004</v>
      </c>
    </row>
    <row r="172" spans="1:18" x14ac:dyDescent="0.3">
      <c r="A172" t="s">
        <v>0</v>
      </c>
      <c r="B172" t="s">
        <v>0</v>
      </c>
      <c r="C172">
        <v>4</v>
      </c>
      <c r="D172">
        <v>30</v>
      </c>
      <c r="E172">
        <v>3</v>
      </c>
      <c r="F172">
        <v>20260328</v>
      </c>
      <c r="G172">
        <v>20260503</v>
      </c>
      <c r="H172">
        <v>759.24590000000001</v>
      </c>
      <c r="I172">
        <f t="shared" si="23"/>
        <v>37</v>
      </c>
      <c r="J172">
        <f t="shared" si="24"/>
        <v>20.52015945945946</v>
      </c>
      <c r="K172">
        <f t="shared" si="25"/>
        <v>132.25641206666793</v>
      </c>
      <c r="L172">
        <f t="shared" si="26"/>
        <v>615.60478378378377</v>
      </c>
      <c r="M172">
        <f t="shared" si="27"/>
        <v>46.262417814815883</v>
      </c>
      <c r="N172">
        <f t="shared" si="28"/>
        <v>794.12361366526761</v>
      </c>
      <c r="O172">
        <f t="shared" si="29"/>
        <v>126.44774299918288</v>
      </c>
      <c r="P172">
        <f t="shared" si="30"/>
        <v>588.56757319048438</v>
      </c>
      <c r="Q172">
        <f t="shared" si="31"/>
        <v>44.230583810332746</v>
      </c>
      <c r="R172">
        <f t="shared" si="32"/>
        <v>759.24590000000001</v>
      </c>
    </row>
    <row r="173" spans="1:18" x14ac:dyDescent="0.3">
      <c r="A173" t="s">
        <v>0</v>
      </c>
      <c r="B173" t="s">
        <v>0</v>
      </c>
      <c r="C173">
        <v>9</v>
      </c>
      <c r="D173">
        <v>30</v>
      </c>
      <c r="E173">
        <v>5</v>
      </c>
      <c r="F173">
        <v>20260323</v>
      </c>
      <c r="G173">
        <v>20260505</v>
      </c>
      <c r="H173">
        <v>506.3655</v>
      </c>
      <c r="I173">
        <f t="shared" si="23"/>
        <v>44</v>
      </c>
      <c r="J173">
        <f t="shared" si="24"/>
        <v>11.508306818181818</v>
      </c>
      <c r="K173">
        <f t="shared" si="25"/>
        <v>166.88986196329407</v>
      </c>
      <c r="L173">
        <f t="shared" si="26"/>
        <v>345.24920454545457</v>
      </c>
      <c r="M173">
        <f t="shared" si="27"/>
        <v>43.242199572543846</v>
      </c>
      <c r="N173">
        <f t="shared" si="28"/>
        <v>555.38126608129255</v>
      </c>
      <c r="O173">
        <f t="shared" si="29"/>
        <v>152.16081916887137</v>
      </c>
      <c r="P173">
        <f t="shared" si="30"/>
        <v>314.77886770972248</v>
      </c>
      <c r="Q173">
        <f t="shared" si="31"/>
        <v>39.425813121406087</v>
      </c>
      <c r="R173">
        <f t="shared" si="32"/>
        <v>506.36549999999994</v>
      </c>
    </row>
    <row r="174" spans="1:18" x14ac:dyDescent="0.3">
      <c r="A174" t="s">
        <v>0</v>
      </c>
      <c r="B174" t="s">
        <v>0</v>
      </c>
      <c r="C174">
        <v>12</v>
      </c>
      <c r="D174">
        <v>30</v>
      </c>
      <c r="E174">
        <v>4</v>
      </c>
      <c r="F174">
        <v>20260320</v>
      </c>
      <c r="G174">
        <v>20260504</v>
      </c>
      <c r="H174">
        <v>84.364599999999996</v>
      </c>
      <c r="I174">
        <f t="shared" si="23"/>
        <v>46</v>
      </c>
      <c r="J174">
        <f t="shared" si="24"/>
        <v>1.8340130434782609</v>
      </c>
      <c r="K174">
        <f t="shared" si="25"/>
        <v>35.461710513475829</v>
      </c>
      <c r="L174">
        <f t="shared" si="26"/>
        <v>55.020391304347825</v>
      </c>
      <c r="M174">
        <f t="shared" si="27"/>
        <v>5.5130096406147127</v>
      </c>
      <c r="N174">
        <f t="shared" si="28"/>
        <v>95.995111458438373</v>
      </c>
      <c r="O174">
        <f t="shared" si="29"/>
        <v>31.165264327865923</v>
      </c>
      <c r="P174">
        <f t="shared" si="30"/>
        <v>48.354267563348415</v>
      </c>
      <c r="Q174">
        <f t="shared" si="31"/>
        <v>4.8450681087856529</v>
      </c>
      <c r="R174">
        <f t="shared" si="32"/>
        <v>84.364599999999996</v>
      </c>
    </row>
    <row r="175" spans="1:18" x14ac:dyDescent="0.3">
      <c r="A175" t="s">
        <v>0</v>
      </c>
      <c r="B175" t="s">
        <v>0</v>
      </c>
      <c r="C175">
        <v>31</v>
      </c>
      <c r="D175">
        <v>30</v>
      </c>
      <c r="E175">
        <v>1</v>
      </c>
      <c r="F175">
        <v>20260228</v>
      </c>
      <c r="G175">
        <v>20260501</v>
      </c>
      <c r="H175">
        <v>2067.9499000000001</v>
      </c>
      <c r="I175">
        <f t="shared" si="23"/>
        <v>62</v>
      </c>
      <c r="J175">
        <f t="shared" si="24"/>
        <v>33.354030645161295</v>
      </c>
      <c r="K175">
        <f t="shared" si="25"/>
        <v>1666.0423293003814</v>
      </c>
      <c r="L175">
        <f t="shared" si="26"/>
        <v>1000.6209193548389</v>
      </c>
      <c r="M175">
        <f t="shared" si="27"/>
        <v>25.065401409495532</v>
      </c>
      <c r="N175">
        <f t="shared" si="28"/>
        <v>2691.728650064716</v>
      </c>
      <c r="O175">
        <f t="shared" si="29"/>
        <v>1279.9551946626036</v>
      </c>
      <c r="P175">
        <f t="shared" si="30"/>
        <v>768.73793726124563</v>
      </c>
      <c r="Q175">
        <f t="shared" si="31"/>
        <v>19.256768076150589</v>
      </c>
      <c r="R175">
        <f t="shared" si="32"/>
        <v>2067.9498999999996</v>
      </c>
    </row>
    <row r="176" spans="1:18" x14ac:dyDescent="0.3">
      <c r="A176" t="s">
        <v>0</v>
      </c>
      <c r="B176" t="s">
        <v>0</v>
      </c>
      <c r="C176">
        <v>0</v>
      </c>
      <c r="D176">
        <v>25</v>
      </c>
      <c r="E176">
        <v>2</v>
      </c>
      <c r="F176">
        <v>20260406</v>
      </c>
      <c r="G176">
        <v>20260502</v>
      </c>
      <c r="H176">
        <v>253.1472</v>
      </c>
      <c r="I176">
        <f t="shared" si="23"/>
        <v>27</v>
      </c>
      <c r="J176">
        <f t="shared" si="24"/>
        <v>9.3758222222222223</v>
      </c>
      <c r="K176">
        <f t="shared" si="25"/>
        <v>0</v>
      </c>
      <c r="L176">
        <f t="shared" si="26"/>
        <v>234.39555555555555</v>
      </c>
      <c r="M176">
        <f t="shared" si="27"/>
        <v>14.091774996804556</v>
      </c>
      <c r="N176">
        <f t="shared" si="28"/>
        <v>248.48733055236011</v>
      </c>
      <c r="O176">
        <f t="shared" si="29"/>
        <v>0</v>
      </c>
      <c r="P176">
        <f t="shared" si="30"/>
        <v>238.79116271012538</v>
      </c>
      <c r="Q176">
        <f t="shared" si="31"/>
        <v>14.356037289874619</v>
      </c>
      <c r="R176">
        <f t="shared" si="32"/>
        <v>253.1472</v>
      </c>
    </row>
    <row r="177" spans="1:18" x14ac:dyDescent="0.3">
      <c r="A177" t="s">
        <v>0</v>
      </c>
      <c r="B177" t="s">
        <v>0</v>
      </c>
      <c r="C177">
        <v>30</v>
      </c>
      <c r="D177">
        <v>24</v>
      </c>
      <c r="E177">
        <v>0</v>
      </c>
      <c r="F177">
        <v>20260302</v>
      </c>
      <c r="G177">
        <v>20260424</v>
      </c>
      <c r="H177">
        <v>2447.2042000000001</v>
      </c>
      <c r="I177">
        <f t="shared" si="23"/>
        <v>54</v>
      </c>
      <c r="J177">
        <f t="shared" si="24"/>
        <v>45.318596296296299</v>
      </c>
      <c r="K177">
        <f t="shared" si="25"/>
        <v>2190.6536440009054</v>
      </c>
      <c r="L177">
        <f t="shared" si="26"/>
        <v>1087.6463111111111</v>
      </c>
      <c r="M177">
        <f t="shared" si="27"/>
        <v>0</v>
      </c>
      <c r="N177">
        <f t="shared" si="28"/>
        <v>3278.2999551120165</v>
      </c>
      <c r="O177">
        <f t="shared" si="29"/>
        <v>1635.2917279532894</v>
      </c>
      <c r="P177">
        <f t="shared" si="30"/>
        <v>811.9124720467106</v>
      </c>
      <c r="Q177">
        <f t="shared" si="31"/>
        <v>0</v>
      </c>
      <c r="R177">
        <f t="shared" si="32"/>
        <v>2447.2042000000001</v>
      </c>
    </row>
    <row r="178" spans="1:18" x14ac:dyDescent="0.3">
      <c r="A178" t="s">
        <v>0</v>
      </c>
      <c r="B178" t="s">
        <v>0</v>
      </c>
      <c r="C178">
        <v>29</v>
      </c>
      <c r="D178">
        <v>29</v>
      </c>
      <c r="E178">
        <v>0</v>
      </c>
      <c r="F178">
        <v>20260303</v>
      </c>
      <c r="G178">
        <v>20260429</v>
      </c>
      <c r="H178">
        <v>253.11160000000001</v>
      </c>
      <c r="I178">
        <f t="shared" si="23"/>
        <v>58</v>
      </c>
      <c r="J178">
        <f t="shared" si="24"/>
        <v>4.3639931034482764</v>
      </c>
      <c r="K178">
        <f t="shared" si="25"/>
        <v>203.91917600950896</v>
      </c>
      <c r="L178">
        <f t="shared" si="26"/>
        <v>126.55580000000002</v>
      </c>
      <c r="M178">
        <f t="shared" si="27"/>
        <v>0</v>
      </c>
      <c r="N178">
        <f t="shared" si="28"/>
        <v>330.47497600950896</v>
      </c>
      <c r="O178">
        <f t="shared" si="29"/>
        <v>156.18220033992316</v>
      </c>
      <c r="P178">
        <f t="shared" si="30"/>
        <v>96.929399660076854</v>
      </c>
      <c r="Q178">
        <f t="shared" si="31"/>
        <v>0</v>
      </c>
      <c r="R178">
        <f t="shared" si="32"/>
        <v>253.11160000000001</v>
      </c>
    </row>
    <row r="179" spans="1:18" x14ac:dyDescent="0.3">
      <c r="A179" t="s">
        <v>0</v>
      </c>
      <c r="B179" t="s">
        <v>0</v>
      </c>
      <c r="C179">
        <v>25</v>
      </c>
      <c r="D179">
        <v>28</v>
      </c>
      <c r="E179">
        <v>0</v>
      </c>
      <c r="F179">
        <v>20260307</v>
      </c>
      <c r="G179">
        <v>20260428</v>
      </c>
      <c r="H179">
        <v>84.305300000000003</v>
      </c>
      <c r="I179">
        <f t="shared" si="23"/>
        <v>53</v>
      </c>
      <c r="J179">
        <f t="shared" si="24"/>
        <v>1.590666037735849</v>
      </c>
      <c r="K179">
        <f t="shared" si="25"/>
        <v>64.075946681504291</v>
      </c>
      <c r="L179">
        <f t="shared" si="26"/>
        <v>44.538649056603774</v>
      </c>
      <c r="M179">
        <f t="shared" si="27"/>
        <v>0</v>
      </c>
      <c r="N179">
        <f t="shared" si="28"/>
        <v>108.61459573810806</v>
      </c>
      <c r="O179">
        <f t="shared" si="29"/>
        <v>49.73495386194142</v>
      </c>
      <c r="P179">
        <f t="shared" si="30"/>
        <v>34.570346138058582</v>
      </c>
      <c r="Q179">
        <f t="shared" si="31"/>
        <v>0</v>
      </c>
      <c r="R179">
        <f t="shared" si="32"/>
        <v>84.305300000000003</v>
      </c>
    </row>
    <row r="180" spans="1:18" x14ac:dyDescent="0.3">
      <c r="A180" t="s">
        <v>0</v>
      </c>
      <c r="B180" t="s">
        <v>0</v>
      </c>
      <c r="C180">
        <v>28</v>
      </c>
      <c r="D180">
        <v>15</v>
      </c>
      <c r="E180">
        <v>0</v>
      </c>
      <c r="F180">
        <v>20260304</v>
      </c>
      <c r="G180">
        <v>20260415</v>
      </c>
      <c r="H180">
        <v>1054.1871000000001</v>
      </c>
      <c r="I180">
        <f t="shared" si="23"/>
        <v>43</v>
      </c>
      <c r="J180">
        <f t="shared" si="24"/>
        <v>24.515979069767443</v>
      </c>
      <c r="K180">
        <f t="shared" si="25"/>
        <v>1106.0717171971071</v>
      </c>
      <c r="L180">
        <f t="shared" si="26"/>
        <v>367.73968604651162</v>
      </c>
      <c r="M180">
        <f t="shared" si="27"/>
        <v>0</v>
      </c>
      <c r="N180">
        <f t="shared" si="28"/>
        <v>1473.8114032436188</v>
      </c>
      <c r="O180">
        <f t="shared" si="29"/>
        <v>791.15043714402543</v>
      </c>
      <c r="P180">
        <f t="shared" si="30"/>
        <v>263.03666285597461</v>
      </c>
      <c r="Q180">
        <f t="shared" si="31"/>
        <v>0</v>
      </c>
      <c r="R180">
        <f t="shared" si="32"/>
        <v>1054.1871000000001</v>
      </c>
    </row>
    <row r="181" spans="1:18" x14ac:dyDescent="0.3">
      <c r="A181" t="s">
        <v>0</v>
      </c>
      <c r="B181" t="s">
        <v>0</v>
      </c>
      <c r="C181">
        <v>28</v>
      </c>
      <c r="D181">
        <v>22</v>
      </c>
      <c r="E181">
        <v>0</v>
      </c>
      <c r="F181">
        <v>20260304</v>
      </c>
      <c r="G181">
        <v>20260422</v>
      </c>
      <c r="H181">
        <v>295.24849999999998</v>
      </c>
      <c r="I181">
        <f t="shared" si="23"/>
        <v>50</v>
      </c>
      <c r="J181">
        <f t="shared" si="24"/>
        <v>5.9049699999999996</v>
      </c>
      <c r="K181">
        <f t="shared" si="25"/>
        <v>266.41074742765136</v>
      </c>
      <c r="L181">
        <f t="shared" si="26"/>
        <v>129.90933999999999</v>
      </c>
      <c r="M181">
        <f t="shared" si="27"/>
        <v>0</v>
      </c>
      <c r="N181">
        <f t="shared" si="28"/>
        <v>396.32008742765134</v>
      </c>
      <c r="O181">
        <f t="shared" si="29"/>
        <v>198.46930816054564</v>
      </c>
      <c r="P181">
        <f t="shared" si="30"/>
        <v>96.77919183945437</v>
      </c>
      <c r="Q181">
        <f t="shared" si="31"/>
        <v>0</v>
      </c>
      <c r="R181">
        <f t="shared" si="32"/>
        <v>295.24850000000004</v>
      </c>
    </row>
    <row r="182" spans="1:18" x14ac:dyDescent="0.3">
      <c r="A182" t="s">
        <v>0</v>
      </c>
      <c r="B182" t="s">
        <v>0</v>
      </c>
      <c r="C182">
        <v>27</v>
      </c>
      <c r="D182">
        <v>20</v>
      </c>
      <c r="E182">
        <v>0</v>
      </c>
      <c r="F182">
        <v>20260305</v>
      </c>
      <c r="G182">
        <v>20260420</v>
      </c>
      <c r="H182">
        <v>42.167499999999997</v>
      </c>
      <c r="I182">
        <f t="shared" si="23"/>
        <v>47</v>
      </c>
      <c r="J182">
        <f t="shared" si="24"/>
        <v>0.89718085106382972</v>
      </c>
      <c r="K182">
        <f t="shared" si="25"/>
        <v>39.031907322872954</v>
      </c>
      <c r="L182">
        <f t="shared" si="26"/>
        <v>17.943617021276594</v>
      </c>
      <c r="M182">
        <f t="shared" si="27"/>
        <v>0</v>
      </c>
      <c r="N182">
        <f t="shared" si="28"/>
        <v>56.975524344149548</v>
      </c>
      <c r="O182">
        <f t="shared" si="29"/>
        <v>28.88745599067488</v>
      </c>
      <c r="P182">
        <f t="shared" si="30"/>
        <v>13.28004400932512</v>
      </c>
      <c r="Q182">
        <f t="shared" si="31"/>
        <v>0</v>
      </c>
      <c r="R182">
        <f t="shared" si="32"/>
        <v>42.167500000000004</v>
      </c>
    </row>
    <row r="183" spans="1:18" x14ac:dyDescent="0.3">
      <c r="A183" t="s">
        <v>0</v>
      </c>
      <c r="B183" t="s">
        <v>0</v>
      </c>
      <c r="C183">
        <v>29</v>
      </c>
      <c r="D183">
        <v>11</v>
      </c>
      <c r="E183">
        <v>0</v>
      </c>
      <c r="F183">
        <v>20260303</v>
      </c>
      <c r="G183">
        <v>20260411</v>
      </c>
      <c r="H183">
        <v>463.89670000000001</v>
      </c>
      <c r="I183">
        <f t="shared" si="23"/>
        <v>40</v>
      </c>
      <c r="J183">
        <f t="shared" si="24"/>
        <v>11.597417500000001</v>
      </c>
      <c r="K183">
        <f t="shared" si="25"/>
        <v>541.92015532049516</v>
      </c>
      <c r="L183">
        <f t="shared" si="26"/>
        <v>127.57159250000001</v>
      </c>
      <c r="M183">
        <f t="shared" si="27"/>
        <v>0</v>
      </c>
      <c r="N183">
        <f t="shared" si="28"/>
        <v>669.49174782049522</v>
      </c>
      <c r="O183">
        <f t="shared" si="29"/>
        <v>375.50122542222795</v>
      </c>
      <c r="P183">
        <f t="shared" si="30"/>
        <v>88.395474577772049</v>
      </c>
      <c r="Q183">
        <f t="shared" si="31"/>
        <v>0</v>
      </c>
      <c r="R183">
        <f t="shared" si="32"/>
        <v>463.89670000000001</v>
      </c>
    </row>
    <row r="184" spans="1:18" x14ac:dyDescent="0.3">
      <c r="A184" t="s">
        <v>0</v>
      </c>
      <c r="B184" t="s">
        <v>0</v>
      </c>
      <c r="C184">
        <v>29</v>
      </c>
      <c r="D184">
        <v>13</v>
      </c>
      <c r="E184">
        <v>0</v>
      </c>
      <c r="F184">
        <v>20260303</v>
      </c>
      <c r="G184">
        <v>20260413</v>
      </c>
      <c r="H184">
        <v>674.79039999999998</v>
      </c>
      <c r="I184">
        <f t="shared" si="23"/>
        <v>42</v>
      </c>
      <c r="J184">
        <f t="shared" si="24"/>
        <v>16.066438095238095</v>
      </c>
      <c r="K184">
        <f t="shared" si="25"/>
        <v>750.74702001704668</v>
      </c>
      <c r="L184">
        <f t="shared" si="26"/>
        <v>208.86369523809523</v>
      </c>
      <c r="M184">
        <f t="shared" si="27"/>
        <v>0</v>
      </c>
      <c r="N184">
        <f t="shared" si="28"/>
        <v>959.61071525514194</v>
      </c>
      <c r="O184">
        <f t="shared" si="29"/>
        <v>527.91915917843471</v>
      </c>
      <c r="P184">
        <f t="shared" si="30"/>
        <v>146.87124082156518</v>
      </c>
      <c r="Q184">
        <f t="shared" si="31"/>
        <v>0</v>
      </c>
      <c r="R184">
        <f t="shared" si="32"/>
        <v>674.79039999999986</v>
      </c>
    </row>
    <row r="185" spans="1:18" x14ac:dyDescent="0.3">
      <c r="A185" t="s">
        <v>0</v>
      </c>
      <c r="B185" t="s">
        <v>0</v>
      </c>
      <c r="C185">
        <v>24</v>
      </c>
      <c r="D185">
        <v>3</v>
      </c>
      <c r="E185">
        <v>0</v>
      </c>
      <c r="F185">
        <v>20260308</v>
      </c>
      <c r="G185">
        <v>20260403</v>
      </c>
      <c r="H185">
        <v>126.39279999999999</v>
      </c>
      <c r="I185">
        <f t="shared" si="23"/>
        <v>27</v>
      </c>
      <c r="J185">
        <f t="shared" si="24"/>
        <v>4.6812148148148145</v>
      </c>
      <c r="K185">
        <f t="shared" si="25"/>
        <v>181.02803053082536</v>
      </c>
      <c r="L185">
        <f t="shared" si="26"/>
        <v>14.043644444444443</v>
      </c>
      <c r="M185">
        <f t="shared" si="27"/>
        <v>0</v>
      </c>
      <c r="N185">
        <f t="shared" si="28"/>
        <v>195.07167497526981</v>
      </c>
      <c r="O185">
        <f t="shared" si="29"/>
        <v>117.29350076159029</v>
      </c>
      <c r="P185">
        <f t="shared" si="30"/>
        <v>9.0992992384097011</v>
      </c>
      <c r="Q185">
        <f t="shared" si="31"/>
        <v>0</v>
      </c>
      <c r="R185">
        <f t="shared" si="32"/>
        <v>126.39279999999999</v>
      </c>
    </row>
    <row r="186" spans="1:18" x14ac:dyDescent="0.3">
      <c r="A186" t="s">
        <v>0</v>
      </c>
      <c r="B186" t="s">
        <v>0</v>
      </c>
      <c r="C186">
        <v>29</v>
      </c>
      <c r="D186">
        <v>8</v>
      </c>
      <c r="E186">
        <v>0</v>
      </c>
      <c r="F186">
        <v>20260303</v>
      </c>
      <c r="G186">
        <v>20260408</v>
      </c>
      <c r="H186">
        <v>674.79039999999998</v>
      </c>
      <c r="I186">
        <f t="shared" si="23"/>
        <v>37</v>
      </c>
      <c r="J186">
        <f t="shared" si="24"/>
        <v>18.237578378378377</v>
      </c>
      <c r="K186">
        <f t="shared" si="25"/>
        <v>852.19932001935024</v>
      </c>
      <c r="L186">
        <f t="shared" si="26"/>
        <v>145.90062702702701</v>
      </c>
      <c r="M186">
        <f t="shared" si="27"/>
        <v>0</v>
      </c>
      <c r="N186">
        <f t="shared" si="28"/>
        <v>998.09994704637722</v>
      </c>
      <c r="O186">
        <f t="shared" si="29"/>
        <v>576.15063675468275</v>
      </c>
      <c r="P186">
        <f t="shared" si="30"/>
        <v>98.639763245317283</v>
      </c>
      <c r="Q186">
        <f t="shared" si="31"/>
        <v>0</v>
      </c>
      <c r="R186">
        <f t="shared" si="32"/>
        <v>674.79040000000009</v>
      </c>
    </row>
    <row r="187" spans="1:18" x14ac:dyDescent="0.3">
      <c r="A187" t="s">
        <v>0</v>
      </c>
      <c r="B187" t="s">
        <v>0</v>
      </c>
      <c r="C187">
        <v>29</v>
      </c>
      <c r="D187">
        <v>30</v>
      </c>
      <c r="E187">
        <v>6</v>
      </c>
      <c r="F187">
        <v>20260303</v>
      </c>
      <c r="G187">
        <v>20260506</v>
      </c>
      <c r="H187">
        <v>331441.90179999999</v>
      </c>
      <c r="I187">
        <f t="shared" si="23"/>
        <v>65</v>
      </c>
      <c r="J187">
        <f t="shared" si="24"/>
        <v>5099.106181538461</v>
      </c>
      <c r="K187">
        <f t="shared" si="25"/>
        <v>238269.28830448844</v>
      </c>
      <c r="L187">
        <f t="shared" si="26"/>
        <v>152973.18544615383</v>
      </c>
      <c r="M187">
        <f t="shared" si="27"/>
        <v>22991.729778561545</v>
      </c>
      <c r="N187">
        <f t="shared" si="28"/>
        <v>414234.20352920383</v>
      </c>
      <c r="O187">
        <f t="shared" si="29"/>
        <v>190646.80169657822</v>
      </c>
      <c r="P187">
        <f t="shared" si="30"/>
        <v>122398.6891393984</v>
      </c>
      <c r="Q187">
        <f t="shared" si="31"/>
        <v>18396.410964023366</v>
      </c>
      <c r="R187">
        <f t="shared" si="32"/>
        <v>331441.90179999999</v>
      </c>
    </row>
    <row r="188" spans="1:18" x14ac:dyDescent="0.3">
      <c r="A188" t="s">
        <v>0</v>
      </c>
      <c r="B188" t="s">
        <v>0</v>
      </c>
      <c r="C188">
        <v>28</v>
      </c>
      <c r="D188">
        <v>30</v>
      </c>
      <c r="E188">
        <v>5</v>
      </c>
      <c r="F188">
        <v>20260304</v>
      </c>
      <c r="G188">
        <v>20260505</v>
      </c>
      <c r="H188">
        <v>183686.73050000001</v>
      </c>
      <c r="I188">
        <f t="shared" si="23"/>
        <v>63</v>
      </c>
      <c r="J188">
        <f t="shared" si="24"/>
        <v>2915.6623888888889</v>
      </c>
      <c r="K188">
        <f t="shared" si="25"/>
        <v>131544.07156523748</v>
      </c>
      <c r="L188">
        <f t="shared" si="26"/>
        <v>87469.871666666673</v>
      </c>
      <c r="M188">
        <f t="shared" si="27"/>
        <v>10955.534719260504</v>
      </c>
      <c r="N188">
        <f t="shared" si="28"/>
        <v>229969.47795116465</v>
      </c>
      <c r="O188">
        <f t="shared" si="29"/>
        <v>105070.03206576667</v>
      </c>
      <c r="P188">
        <f t="shared" si="30"/>
        <v>69866.03129619018</v>
      </c>
      <c r="Q188">
        <f t="shared" si="31"/>
        <v>8750.6671380431599</v>
      </c>
      <c r="R188">
        <f t="shared" si="32"/>
        <v>183686.73050000001</v>
      </c>
    </row>
    <row r="189" spans="1:18" x14ac:dyDescent="0.3">
      <c r="A189" t="s">
        <v>0</v>
      </c>
      <c r="B189" t="s">
        <v>0</v>
      </c>
      <c r="C189">
        <v>29</v>
      </c>
      <c r="D189">
        <v>30</v>
      </c>
      <c r="E189">
        <v>1</v>
      </c>
      <c r="F189">
        <v>20260303</v>
      </c>
      <c r="G189">
        <v>20260501</v>
      </c>
      <c r="H189">
        <v>1087704.9842999999</v>
      </c>
      <c r="I189">
        <f t="shared" si="23"/>
        <v>60</v>
      </c>
      <c r="J189">
        <f t="shared" si="24"/>
        <v>18128.416405</v>
      </c>
      <c r="K189">
        <f t="shared" si="25"/>
        <v>847098.4366918077</v>
      </c>
      <c r="L189">
        <f t="shared" si="26"/>
        <v>543852.49214999995</v>
      </c>
      <c r="M189">
        <f t="shared" si="27"/>
        <v>13623.421976909669</v>
      </c>
      <c r="N189">
        <f t="shared" si="28"/>
        <v>1404574.3508187174</v>
      </c>
      <c r="O189">
        <f t="shared" si="29"/>
        <v>655994.60167084995</v>
      </c>
      <c r="P189">
        <f t="shared" si="30"/>
        <v>421160.37936384091</v>
      </c>
      <c r="Q189">
        <f t="shared" si="31"/>
        <v>10550.003265309047</v>
      </c>
      <c r="R189">
        <f t="shared" si="32"/>
        <v>1087704.9843000001</v>
      </c>
    </row>
    <row r="190" spans="1:18" x14ac:dyDescent="0.3">
      <c r="A190" t="s">
        <v>0</v>
      </c>
      <c r="B190" t="s">
        <v>0</v>
      </c>
      <c r="C190">
        <v>24</v>
      </c>
      <c r="D190">
        <v>30</v>
      </c>
      <c r="E190">
        <v>5</v>
      </c>
      <c r="F190">
        <v>20260308</v>
      </c>
      <c r="G190">
        <v>20260505</v>
      </c>
      <c r="H190">
        <v>39453.038500000002</v>
      </c>
      <c r="I190">
        <f t="shared" si="23"/>
        <v>59</v>
      </c>
      <c r="J190">
        <f t="shared" si="24"/>
        <v>668.69556779661025</v>
      </c>
      <c r="K190">
        <f t="shared" si="25"/>
        <v>25859.236640842155</v>
      </c>
      <c r="L190">
        <f t="shared" si="26"/>
        <v>20060.867033898307</v>
      </c>
      <c r="M190">
        <f t="shared" si="27"/>
        <v>2512.6082970131415</v>
      </c>
      <c r="N190">
        <f t="shared" si="28"/>
        <v>48432.711971753597</v>
      </c>
      <c r="O190">
        <f t="shared" si="29"/>
        <v>21064.801396352967</v>
      </c>
      <c r="P190">
        <f t="shared" si="30"/>
        <v>16341.479285598518</v>
      </c>
      <c r="Q190">
        <f t="shared" si="31"/>
        <v>2046.7578180485218</v>
      </c>
      <c r="R190">
        <f t="shared" si="32"/>
        <v>39453.038500000002</v>
      </c>
    </row>
    <row r="191" spans="1:18" x14ac:dyDescent="0.3">
      <c r="A191" t="s">
        <v>0</v>
      </c>
      <c r="B191" t="s">
        <v>0</v>
      </c>
      <c r="C191">
        <v>25</v>
      </c>
      <c r="D191">
        <v>30</v>
      </c>
      <c r="E191">
        <v>8</v>
      </c>
      <c r="F191">
        <v>20260307</v>
      </c>
      <c r="G191">
        <v>20260508</v>
      </c>
      <c r="H191">
        <v>34359.249600000003</v>
      </c>
      <c r="I191">
        <f t="shared" si="23"/>
        <v>63</v>
      </c>
      <c r="J191">
        <f t="shared" si="24"/>
        <v>545.38491428571433</v>
      </c>
      <c r="K191">
        <f t="shared" si="25"/>
        <v>21969.447929126822</v>
      </c>
      <c r="L191">
        <f t="shared" si="26"/>
        <v>16361.54742857143</v>
      </c>
      <c r="M191">
        <f t="shared" si="27"/>
        <v>3278.8341402421561</v>
      </c>
      <c r="N191">
        <f t="shared" si="28"/>
        <v>41609.829497940409</v>
      </c>
      <c r="O191">
        <f t="shared" si="29"/>
        <v>18141.236195366655</v>
      </c>
      <c r="P191">
        <f t="shared" si="30"/>
        <v>13510.521401399881</v>
      </c>
      <c r="Q191">
        <f t="shared" si="31"/>
        <v>2707.4920032334662</v>
      </c>
      <c r="R191">
        <f t="shared" si="32"/>
        <v>34359.249600000003</v>
      </c>
    </row>
    <row r="192" spans="1:18" x14ac:dyDescent="0.3">
      <c r="A192" t="s">
        <v>0</v>
      </c>
      <c r="B192" t="s">
        <v>0</v>
      </c>
      <c r="C192">
        <v>23</v>
      </c>
      <c r="D192">
        <v>30</v>
      </c>
      <c r="E192">
        <v>7</v>
      </c>
      <c r="F192">
        <v>20260309</v>
      </c>
      <c r="G192">
        <v>20260507</v>
      </c>
      <c r="H192">
        <v>24487.250700000001</v>
      </c>
      <c r="I192">
        <f t="shared" si="23"/>
        <v>60</v>
      </c>
      <c r="J192">
        <f t="shared" si="24"/>
        <v>408.12084500000003</v>
      </c>
      <c r="K192">
        <f t="shared" si="25"/>
        <v>15124.904016791044</v>
      </c>
      <c r="L192">
        <f t="shared" si="26"/>
        <v>12243.62535</v>
      </c>
      <c r="M192">
        <f t="shared" si="27"/>
        <v>2146.9066328552053</v>
      </c>
      <c r="N192">
        <f t="shared" si="28"/>
        <v>29515.435999646252</v>
      </c>
      <c r="O192">
        <f t="shared" si="29"/>
        <v>12548.258358000819</v>
      </c>
      <c r="P192">
        <f t="shared" si="30"/>
        <v>10157.828040416498</v>
      </c>
      <c r="Q192">
        <f t="shared" si="31"/>
        <v>1781.1643015826821</v>
      </c>
      <c r="R192">
        <f t="shared" si="32"/>
        <v>24487.250700000001</v>
      </c>
    </row>
    <row r="193" spans="1:18" x14ac:dyDescent="0.3">
      <c r="A193" t="s">
        <v>0</v>
      </c>
      <c r="B193" t="s">
        <v>0</v>
      </c>
      <c r="C193">
        <v>25</v>
      </c>
      <c r="D193">
        <v>30</v>
      </c>
      <c r="E193">
        <v>6</v>
      </c>
      <c r="F193">
        <v>20260307</v>
      </c>
      <c r="G193">
        <v>20260506</v>
      </c>
      <c r="H193">
        <v>63950.080399999999</v>
      </c>
      <c r="I193">
        <f t="shared" si="23"/>
        <v>61</v>
      </c>
      <c r="J193">
        <f t="shared" si="24"/>
        <v>1048.3619737704919</v>
      </c>
      <c r="K193">
        <f t="shared" si="25"/>
        <v>42230.602993102868</v>
      </c>
      <c r="L193">
        <f t="shared" si="26"/>
        <v>31450.859213114756</v>
      </c>
      <c r="M193">
        <f t="shared" si="27"/>
        <v>4727.0353573571219</v>
      </c>
      <c r="N193">
        <f t="shared" si="28"/>
        <v>78408.49756357474</v>
      </c>
      <c r="O193">
        <f t="shared" si="29"/>
        <v>34443.338932233499</v>
      </c>
      <c r="P193">
        <f t="shared" si="30"/>
        <v>25651.364811537049</v>
      </c>
      <c r="Q193">
        <f t="shared" si="31"/>
        <v>3855.3766562294618</v>
      </c>
      <c r="R193">
        <f t="shared" si="32"/>
        <v>63950.080400000006</v>
      </c>
    </row>
    <row r="194" spans="1:18" x14ac:dyDescent="0.3">
      <c r="A194" t="s">
        <v>0</v>
      </c>
      <c r="B194" t="s">
        <v>0</v>
      </c>
      <c r="C194">
        <v>30</v>
      </c>
      <c r="D194">
        <v>30</v>
      </c>
      <c r="E194">
        <v>11</v>
      </c>
      <c r="F194">
        <v>20260302</v>
      </c>
      <c r="G194">
        <v>20260511</v>
      </c>
      <c r="H194">
        <v>10928.0327</v>
      </c>
      <c r="I194">
        <f t="shared" si="23"/>
        <v>71</v>
      </c>
      <c r="J194">
        <f t="shared" si="24"/>
        <v>153.91595352112677</v>
      </c>
      <c r="K194">
        <f t="shared" si="25"/>
        <v>7440.1365445311985</v>
      </c>
      <c r="L194">
        <f t="shared" si="26"/>
        <v>4617.4786056338035</v>
      </c>
      <c r="M194">
        <f t="shared" si="27"/>
        <v>1272.3384826598692</v>
      </c>
      <c r="N194">
        <f t="shared" si="28"/>
        <v>13329.953632824871</v>
      </c>
      <c r="O194">
        <f t="shared" si="29"/>
        <v>6099.5002451386363</v>
      </c>
      <c r="P194">
        <f t="shared" si="30"/>
        <v>3785.4563176918705</v>
      </c>
      <c r="Q194">
        <f t="shared" si="31"/>
        <v>1043.0761371694941</v>
      </c>
      <c r="R194">
        <f t="shared" si="32"/>
        <v>10928.0327</v>
      </c>
    </row>
    <row r="195" spans="1:18" x14ac:dyDescent="0.3">
      <c r="A195" t="s">
        <v>0</v>
      </c>
      <c r="B195" t="s">
        <v>0</v>
      </c>
      <c r="C195">
        <v>26</v>
      </c>
      <c r="D195">
        <v>30</v>
      </c>
      <c r="E195">
        <v>10</v>
      </c>
      <c r="F195">
        <v>20260306</v>
      </c>
      <c r="G195">
        <v>20260510</v>
      </c>
      <c r="H195">
        <v>12524.0358</v>
      </c>
      <c r="I195">
        <f t="shared" si="23"/>
        <v>66</v>
      </c>
      <c r="J195">
        <f t="shared" si="24"/>
        <v>189.75811818181819</v>
      </c>
      <c r="K195">
        <f t="shared" si="25"/>
        <v>7949.681457661648</v>
      </c>
      <c r="L195">
        <f t="shared" si="26"/>
        <v>5692.7435454545457</v>
      </c>
      <c r="M195">
        <f t="shared" si="27"/>
        <v>1426.0235752430049</v>
      </c>
      <c r="N195">
        <f t="shared" si="28"/>
        <v>15068.448578359199</v>
      </c>
      <c r="O195">
        <f t="shared" si="29"/>
        <v>6607.3222240900377</v>
      </c>
      <c r="P195">
        <f t="shared" si="30"/>
        <v>4731.4840404927127</v>
      </c>
      <c r="Q195">
        <f t="shared" si="31"/>
        <v>1185.2295354172495</v>
      </c>
      <c r="R195">
        <f t="shared" si="32"/>
        <v>12524.0358</v>
      </c>
    </row>
    <row r="196" spans="1:18" x14ac:dyDescent="0.3">
      <c r="A196" t="s">
        <v>0</v>
      </c>
      <c r="B196" t="s">
        <v>0</v>
      </c>
      <c r="C196">
        <v>25</v>
      </c>
      <c r="D196">
        <v>30</v>
      </c>
      <c r="E196">
        <v>3</v>
      </c>
      <c r="F196">
        <v>20260307</v>
      </c>
      <c r="G196">
        <v>20260503</v>
      </c>
      <c r="H196">
        <v>14670.1567</v>
      </c>
      <c r="I196">
        <f t="shared" si="23"/>
        <v>58</v>
      </c>
      <c r="J196">
        <f t="shared" si="24"/>
        <v>252.93373620689655</v>
      </c>
      <c r="K196">
        <f t="shared" si="25"/>
        <v>10188.794008713319</v>
      </c>
      <c r="L196">
        <f t="shared" si="26"/>
        <v>7588.012086206897</v>
      </c>
      <c r="M196">
        <f t="shared" si="27"/>
        <v>570.23563617931586</v>
      </c>
      <c r="N196">
        <f t="shared" si="28"/>
        <v>18347.041731099533</v>
      </c>
      <c r="O196">
        <f t="shared" si="29"/>
        <v>8146.8831260399484</v>
      </c>
      <c r="P196">
        <f t="shared" si="30"/>
        <v>6067.3174442863092</v>
      </c>
      <c r="Q196">
        <f t="shared" si="31"/>
        <v>455.95612967374086</v>
      </c>
      <c r="R196">
        <f t="shared" si="32"/>
        <v>14670.1567</v>
      </c>
    </row>
    <row r="197" spans="1:18" x14ac:dyDescent="0.3">
      <c r="A197" t="s">
        <v>0</v>
      </c>
      <c r="B197" t="s">
        <v>0</v>
      </c>
      <c r="C197">
        <v>23</v>
      </c>
      <c r="D197">
        <v>30</v>
      </c>
      <c r="E197">
        <v>4</v>
      </c>
      <c r="F197">
        <v>20260309</v>
      </c>
      <c r="G197">
        <v>20260504</v>
      </c>
      <c r="H197">
        <v>25876.879499999999</v>
      </c>
      <c r="I197">
        <f t="shared" si="23"/>
        <v>57</v>
      </c>
      <c r="J197">
        <f t="shared" si="24"/>
        <v>453.98034210526316</v>
      </c>
      <c r="K197">
        <f t="shared" si="25"/>
        <v>16824.450855608873</v>
      </c>
      <c r="L197">
        <f t="shared" si="26"/>
        <v>13619.410263157895</v>
      </c>
      <c r="M197">
        <f t="shared" si="27"/>
        <v>1364.656599131514</v>
      </c>
      <c r="N197">
        <f t="shared" si="28"/>
        <v>31808.517717898285</v>
      </c>
      <c r="O197">
        <f t="shared" si="29"/>
        <v>13687.034752936263</v>
      </c>
      <c r="P197">
        <f t="shared" si="30"/>
        <v>11079.668702779352</v>
      </c>
      <c r="Q197">
        <f t="shared" si="31"/>
        <v>1110.1760442843818</v>
      </c>
      <c r="R197">
        <f t="shared" si="32"/>
        <v>25876.879499999995</v>
      </c>
    </row>
    <row r="198" spans="1:18" x14ac:dyDescent="0.3">
      <c r="A198" t="s">
        <v>0</v>
      </c>
      <c r="B198" t="s">
        <v>0</v>
      </c>
      <c r="C198">
        <v>26</v>
      </c>
      <c r="D198">
        <v>30</v>
      </c>
      <c r="E198">
        <v>14</v>
      </c>
      <c r="F198">
        <v>20260306</v>
      </c>
      <c r="G198">
        <v>20260514</v>
      </c>
      <c r="H198">
        <v>42.165500000000002</v>
      </c>
      <c r="I198">
        <f t="shared" si="23"/>
        <v>70</v>
      </c>
      <c r="J198">
        <f t="shared" si="24"/>
        <v>0.60236428571428569</v>
      </c>
      <c r="K198">
        <f t="shared" si="25"/>
        <v>25.235306076930115</v>
      </c>
      <c r="L198">
        <f t="shared" si="26"/>
        <v>18.070928571428571</v>
      </c>
      <c r="M198">
        <f t="shared" si="27"/>
        <v>6.3374360620815029</v>
      </c>
      <c r="N198">
        <f t="shared" si="28"/>
        <v>49.643670710440183</v>
      </c>
      <c r="O198">
        <f t="shared" si="29"/>
        <v>21.433936756876896</v>
      </c>
      <c r="P198">
        <f t="shared" si="30"/>
        <v>15.34877916508151</v>
      </c>
      <c r="Q198">
        <f t="shared" si="31"/>
        <v>5.3827840780416016</v>
      </c>
      <c r="R198">
        <f t="shared" si="32"/>
        <v>42.165500000000009</v>
      </c>
    </row>
    <row r="199" spans="1:18" x14ac:dyDescent="0.3">
      <c r="A199" t="s">
        <v>0</v>
      </c>
      <c r="B199" t="s">
        <v>0</v>
      </c>
      <c r="C199">
        <v>29</v>
      </c>
      <c r="D199">
        <v>30</v>
      </c>
      <c r="E199">
        <v>14</v>
      </c>
      <c r="F199">
        <v>20260303</v>
      </c>
      <c r="G199">
        <v>20260514</v>
      </c>
      <c r="H199">
        <v>42.183300000000003</v>
      </c>
      <c r="I199">
        <f t="shared" si="23"/>
        <v>73</v>
      </c>
      <c r="J199">
        <f t="shared" si="24"/>
        <v>0.57785342465753431</v>
      </c>
      <c r="K199">
        <f t="shared" si="25"/>
        <v>27.001737036964567</v>
      </c>
      <c r="L199">
        <f t="shared" si="26"/>
        <v>17.335602739726028</v>
      </c>
      <c r="M199">
        <f t="shared" si="27"/>
        <v>6.0795588630879953</v>
      </c>
      <c r="N199">
        <f t="shared" si="28"/>
        <v>50.416898639778594</v>
      </c>
      <c r="O199">
        <f t="shared" si="29"/>
        <v>22.592075369203819</v>
      </c>
      <c r="P199">
        <f t="shared" si="30"/>
        <v>14.504520325129945</v>
      </c>
      <c r="Q199">
        <f t="shared" si="31"/>
        <v>5.0867043056662338</v>
      </c>
      <c r="R199">
        <f t="shared" si="32"/>
        <v>42.183299999999996</v>
      </c>
    </row>
    <row r="200" spans="1:18" x14ac:dyDescent="0.3">
      <c r="A200" t="s">
        <v>0</v>
      </c>
      <c r="B200" t="s">
        <v>0</v>
      </c>
      <c r="C200">
        <v>22</v>
      </c>
      <c r="D200">
        <v>30</v>
      </c>
      <c r="E200">
        <v>10</v>
      </c>
      <c r="F200">
        <v>20260310</v>
      </c>
      <c r="G200">
        <v>20260510</v>
      </c>
      <c r="H200">
        <v>11463.373100000001</v>
      </c>
      <c r="I200">
        <f t="shared" si="23"/>
        <v>62</v>
      </c>
      <c r="J200">
        <f t="shared" si="24"/>
        <v>184.89311451612903</v>
      </c>
      <c r="K200">
        <f t="shared" si="25"/>
        <v>6554.1961282148886</v>
      </c>
      <c r="L200">
        <f t="shared" si="26"/>
        <v>5546.7934354838708</v>
      </c>
      <c r="M200">
        <f t="shared" si="27"/>
        <v>1389.4632953066857</v>
      </c>
      <c r="N200">
        <f t="shared" si="28"/>
        <v>13490.452859005447</v>
      </c>
      <c r="O200">
        <f t="shared" si="29"/>
        <v>5569.3605228491733</v>
      </c>
      <c r="P200">
        <f t="shared" si="30"/>
        <v>4713.3304807582308</v>
      </c>
      <c r="Q200">
        <f t="shared" si="31"/>
        <v>1180.6820963925943</v>
      </c>
      <c r="R200">
        <f t="shared" si="32"/>
        <v>11463.373099999999</v>
      </c>
    </row>
    <row r="201" spans="1:18" x14ac:dyDescent="0.3">
      <c r="A201" t="s">
        <v>0</v>
      </c>
      <c r="B201" t="s">
        <v>0</v>
      </c>
      <c r="C201">
        <v>0</v>
      </c>
      <c r="D201">
        <v>13</v>
      </c>
      <c r="E201">
        <v>1</v>
      </c>
      <c r="F201">
        <v>20260418</v>
      </c>
      <c r="G201">
        <v>20260501</v>
      </c>
      <c r="H201">
        <v>84.457599999999999</v>
      </c>
      <c r="I201">
        <f t="shared" si="23"/>
        <v>14</v>
      </c>
      <c r="J201">
        <f t="shared" si="24"/>
        <v>6.032685714285714</v>
      </c>
      <c r="K201">
        <f t="shared" si="25"/>
        <v>0</v>
      </c>
      <c r="L201">
        <f t="shared" si="26"/>
        <v>78.42491428571428</v>
      </c>
      <c r="M201">
        <f t="shared" si="27"/>
        <v>4.5335357101087617</v>
      </c>
      <c r="N201">
        <f t="shared" si="28"/>
        <v>82.958449995823045</v>
      </c>
      <c r="O201">
        <f t="shared" si="29"/>
        <v>0</v>
      </c>
      <c r="P201">
        <f t="shared" si="30"/>
        <v>79.842138336849828</v>
      </c>
      <c r="Q201">
        <f t="shared" si="31"/>
        <v>4.615461663150171</v>
      </c>
      <c r="R201">
        <f t="shared" si="32"/>
        <v>84.457599999999999</v>
      </c>
    </row>
    <row r="202" spans="1:18" x14ac:dyDescent="0.3">
      <c r="A202" t="s">
        <v>0</v>
      </c>
      <c r="B202" t="s">
        <v>0</v>
      </c>
      <c r="C202">
        <v>0</v>
      </c>
      <c r="D202">
        <v>15</v>
      </c>
      <c r="E202">
        <v>1</v>
      </c>
      <c r="F202">
        <v>20260416</v>
      </c>
      <c r="G202">
        <v>20260501</v>
      </c>
      <c r="H202">
        <v>84.455500000000001</v>
      </c>
      <c r="I202">
        <f t="shared" si="23"/>
        <v>16</v>
      </c>
      <c r="J202">
        <f t="shared" si="24"/>
        <v>5.27846875</v>
      </c>
      <c r="K202">
        <f t="shared" si="25"/>
        <v>0</v>
      </c>
      <c r="L202">
        <f t="shared" si="26"/>
        <v>79.177031249999999</v>
      </c>
      <c r="M202">
        <f t="shared" si="27"/>
        <v>3.9667451125707363</v>
      </c>
      <c r="N202">
        <f t="shared" si="28"/>
        <v>83.143776362570733</v>
      </c>
      <c r="O202">
        <f t="shared" si="29"/>
        <v>0</v>
      </c>
      <c r="P202">
        <f t="shared" si="30"/>
        <v>80.426173254077355</v>
      </c>
      <c r="Q202">
        <f t="shared" si="31"/>
        <v>4.0293267459226518</v>
      </c>
      <c r="R202">
        <f t="shared" si="32"/>
        <v>84.455500000000001</v>
      </c>
    </row>
    <row r="203" spans="1:18" x14ac:dyDescent="0.3">
      <c r="A203" t="s">
        <v>0</v>
      </c>
      <c r="B203" t="s">
        <v>0</v>
      </c>
      <c r="C203">
        <v>0</v>
      </c>
      <c r="D203">
        <v>9</v>
      </c>
      <c r="E203">
        <v>1</v>
      </c>
      <c r="F203">
        <v>20260422</v>
      </c>
      <c r="G203">
        <v>20260501</v>
      </c>
      <c r="H203">
        <v>126.5826</v>
      </c>
      <c r="I203">
        <f t="shared" ref="I203:I266" si="33">IF(C203&lt;0,0,C203)+D203+E203</f>
        <v>10</v>
      </c>
      <c r="J203">
        <f t="shared" ref="J203:J266" si="34">H203/I203</f>
        <v>12.65826</v>
      </c>
      <c r="K203">
        <f t="shared" ref="K203:K266" si="35">IF(C203&lt;0,0,C203)*$J203*$B$6</f>
        <v>0</v>
      </c>
      <c r="L203">
        <f t="shared" ref="L203:L266" si="36">IF(D203&lt;0,0,D203)*$J203*$C$6</f>
        <v>113.92434</v>
      </c>
      <c r="M203">
        <f t="shared" ref="M203:M266" si="37">IF(E203&lt;0,0,E203)*$J203*$D$6</f>
        <v>9.5126244687248835</v>
      </c>
      <c r="N203">
        <f t="shared" ref="N203:N266" si="38">K203+L203+M203</f>
        <v>123.43696446872488</v>
      </c>
      <c r="O203">
        <f t="shared" ref="O203:O266" si="39">K203/$N203*$H203</f>
        <v>0</v>
      </c>
      <c r="P203">
        <f t="shared" ref="P203:P266" si="40">L203/$N203*$H203</f>
        <v>116.82755828087295</v>
      </c>
      <c r="Q203">
        <f t="shared" ref="Q203:Q266" si="41">M203/$N203*$H203</f>
        <v>9.755041719127048</v>
      </c>
      <c r="R203">
        <f t="shared" ref="R203:R266" si="42">O203+P203+Q203</f>
        <v>126.5826</v>
      </c>
    </row>
    <row r="204" spans="1:18" x14ac:dyDescent="0.3">
      <c r="A204" t="s">
        <v>0</v>
      </c>
      <c r="B204" t="s">
        <v>0</v>
      </c>
      <c r="C204">
        <v>0</v>
      </c>
      <c r="D204">
        <v>7</v>
      </c>
      <c r="E204">
        <v>8</v>
      </c>
      <c r="F204">
        <v>20260424</v>
      </c>
      <c r="G204">
        <v>20260508</v>
      </c>
      <c r="H204">
        <v>42.186300000000003</v>
      </c>
      <c r="I204">
        <f t="shared" si="33"/>
        <v>15</v>
      </c>
      <c r="J204">
        <f t="shared" si="34"/>
        <v>2.8124200000000004</v>
      </c>
      <c r="K204">
        <f t="shared" si="35"/>
        <v>0</v>
      </c>
      <c r="L204">
        <f t="shared" si="36"/>
        <v>19.686940000000003</v>
      </c>
      <c r="M204">
        <f t="shared" si="37"/>
        <v>16.90816608812348</v>
      </c>
      <c r="N204">
        <f t="shared" si="38"/>
        <v>36.595106088123487</v>
      </c>
      <c r="O204">
        <f t="shared" si="39"/>
        <v>0</v>
      </c>
      <c r="P204">
        <f t="shared" si="40"/>
        <v>22.694814845516611</v>
      </c>
      <c r="Q204">
        <f t="shared" si="41"/>
        <v>19.491485154483389</v>
      </c>
      <c r="R204">
        <f t="shared" si="42"/>
        <v>42.186300000000003</v>
      </c>
    </row>
    <row r="205" spans="1:18" x14ac:dyDescent="0.3">
      <c r="A205" t="s">
        <v>0</v>
      </c>
      <c r="B205" t="s">
        <v>0</v>
      </c>
      <c r="C205">
        <v>0</v>
      </c>
      <c r="D205">
        <v>10</v>
      </c>
      <c r="E205">
        <v>4</v>
      </c>
      <c r="F205">
        <v>20260421</v>
      </c>
      <c r="G205">
        <v>20260504</v>
      </c>
      <c r="H205">
        <v>84.406099999999995</v>
      </c>
      <c r="I205">
        <f t="shared" si="33"/>
        <v>14</v>
      </c>
      <c r="J205">
        <f t="shared" si="34"/>
        <v>6.0290071428571421</v>
      </c>
      <c r="K205">
        <f t="shared" si="35"/>
        <v>0</v>
      </c>
      <c r="L205">
        <f t="shared" si="36"/>
        <v>60.290071428571423</v>
      </c>
      <c r="M205">
        <f t="shared" si="37"/>
        <v>18.123085122049932</v>
      </c>
      <c r="N205">
        <f t="shared" si="38"/>
        <v>78.413156550621352</v>
      </c>
      <c r="O205">
        <f t="shared" si="39"/>
        <v>0</v>
      </c>
      <c r="P205">
        <f t="shared" si="40"/>
        <v>64.897907721925748</v>
      </c>
      <c r="Q205">
        <f t="shared" si="41"/>
        <v>19.508192278074247</v>
      </c>
      <c r="R205">
        <f t="shared" si="42"/>
        <v>84.406099999999995</v>
      </c>
    </row>
    <row r="206" spans="1:18" x14ac:dyDescent="0.3">
      <c r="A206" t="s">
        <v>0</v>
      </c>
      <c r="B206" t="s">
        <v>0</v>
      </c>
      <c r="C206">
        <v>0</v>
      </c>
      <c r="D206">
        <v>7</v>
      </c>
      <c r="E206">
        <v>3</v>
      </c>
      <c r="F206">
        <v>20260424</v>
      </c>
      <c r="G206">
        <v>20260503</v>
      </c>
      <c r="H206">
        <v>84.340900000000005</v>
      </c>
      <c r="I206">
        <f t="shared" si="33"/>
        <v>10</v>
      </c>
      <c r="J206">
        <f t="shared" si="34"/>
        <v>8.4340900000000012</v>
      </c>
      <c r="K206">
        <f t="shared" si="35"/>
        <v>0</v>
      </c>
      <c r="L206">
        <f t="shared" si="36"/>
        <v>59.038630000000012</v>
      </c>
      <c r="M206">
        <f t="shared" si="37"/>
        <v>19.014540127654477</v>
      </c>
      <c r="N206">
        <f t="shared" si="38"/>
        <v>78.053170127654482</v>
      </c>
      <c r="O206">
        <f t="shared" si="39"/>
        <v>0</v>
      </c>
      <c r="P206">
        <f t="shared" si="40"/>
        <v>63.794605405819318</v>
      </c>
      <c r="Q206">
        <f t="shared" si="41"/>
        <v>20.546294594180697</v>
      </c>
      <c r="R206">
        <f t="shared" si="42"/>
        <v>84.340900000000019</v>
      </c>
    </row>
    <row r="207" spans="1:18" x14ac:dyDescent="0.3">
      <c r="A207" t="s">
        <v>0</v>
      </c>
      <c r="B207" t="s">
        <v>0</v>
      </c>
      <c r="C207">
        <v>0</v>
      </c>
      <c r="D207">
        <v>18</v>
      </c>
      <c r="E207">
        <v>5</v>
      </c>
      <c r="F207">
        <v>20260413</v>
      </c>
      <c r="G207">
        <v>20260505</v>
      </c>
      <c r="H207">
        <v>42.220799999999997</v>
      </c>
      <c r="I207">
        <f t="shared" si="33"/>
        <v>23</v>
      </c>
      <c r="J207">
        <f t="shared" si="34"/>
        <v>1.8356869565217391</v>
      </c>
      <c r="K207">
        <f t="shared" si="35"/>
        <v>0</v>
      </c>
      <c r="L207">
        <f t="shared" si="36"/>
        <v>33.042365217391307</v>
      </c>
      <c r="M207">
        <f t="shared" si="37"/>
        <v>6.8975517407320615</v>
      </c>
      <c r="N207">
        <f t="shared" si="38"/>
        <v>39.939916958123369</v>
      </c>
      <c r="O207">
        <f t="shared" si="39"/>
        <v>0</v>
      </c>
      <c r="P207">
        <f t="shared" si="40"/>
        <v>34.929343865014992</v>
      </c>
      <c r="Q207">
        <f t="shared" si="41"/>
        <v>7.2914561349850038</v>
      </c>
      <c r="R207">
        <f t="shared" si="42"/>
        <v>42.220799999999997</v>
      </c>
    </row>
    <row r="208" spans="1:18" x14ac:dyDescent="0.3">
      <c r="A208" t="s">
        <v>0</v>
      </c>
      <c r="B208" t="s">
        <v>0</v>
      </c>
      <c r="C208">
        <v>0</v>
      </c>
      <c r="D208">
        <v>23</v>
      </c>
      <c r="E208">
        <v>6</v>
      </c>
      <c r="F208">
        <v>20260408</v>
      </c>
      <c r="G208">
        <v>20260506</v>
      </c>
      <c r="H208">
        <v>84.4101</v>
      </c>
      <c r="I208">
        <f t="shared" si="33"/>
        <v>29</v>
      </c>
      <c r="J208">
        <f t="shared" si="34"/>
        <v>2.9106931034482759</v>
      </c>
      <c r="K208">
        <f t="shared" si="35"/>
        <v>0</v>
      </c>
      <c r="L208">
        <f t="shared" si="36"/>
        <v>66.945941379310341</v>
      </c>
      <c r="M208">
        <f t="shared" si="37"/>
        <v>13.124235291490697</v>
      </c>
      <c r="N208">
        <f t="shared" si="38"/>
        <v>80.070176670801033</v>
      </c>
      <c r="O208">
        <f t="shared" si="39"/>
        <v>0</v>
      </c>
      <c r="P208">
        <f t="shared" si="40"/>
        <v>70.574511526991884</v>
      </c>
      <c r="Q208">
        <f t="shared" si="41"/>
        <v>13.835588473008125</v>
      </c>
      <c r="R208">
        <f t="shared" si="42"/>
        <v>84.410100000000014</v>
      </c>
    </row>
    <row r="209" spans="1:18" x14ac:dyDescent="0.3">
      <c r="A209" t="s">
        <v>0</v>
      </c>
      <c r="B209" t="s">
        <v>0</v>
      </c>
      <c r="C209">
        <v>0</v>
      </c>
      <c r="D209">
        <v>24</v>
      </c>
      <c r="E209">
        <v>6</v>
      </c>
      <c r="F209">
        <v>20260407</v>
      </c>
      <c r="G209">
        <v>20260506</v>
      </c>
      <c r="H209">
        <v>210.99549999999999</v>
      </c>
      <c r="I209">
        <f t="shared" si="33"/>
        <v>30</v>
      </c>
      <c r="J209">
        <f t="shared" si="34"/>
        <v>7.0331833333333327</v>
      </c>
      <c r="K209">
        <f t="shared" si="35"/>
        <v>0</v>
      </c>
      <c r="L209">
        <f t="shared" si="36"/>
        <v>168.79639999999998</v>
      </c>
      <c r="M209">
        <f t="shared" si="37"/>
        <v>31.712430556661669</v>
      </c>
      <c r="N209">
        <f t="shared" si="38"/>
        <v>200.50883055666165</v>
      </c>
      <c r="O209">
        <f t="shared" si="39"/>
        <v>0</v>
      </c>
      <c r="P209">
        <f t="shared" si="40"/>
        <v>177.62450021439577</v>
      </c>
      <c r="Q209">
        <f t="shared" si="41"/>
        <v>33.370999785604212</v>
      </c>
      <c r="R209">
        <f t="shared" si="42"/>
        <v>210.99549999999999</v>
      </c>
    </row>
    <row r="210" spans="1:18" x14ac:dyDescent="0.3">
      <c r="A210" t="s">
        <v>0</v>
      </c>
      <c r="B210" t="s">
        <v>0</v>
      </c>
      <c r="C210">
        <v>5</v>
      </c>
      <c r="D210">
        <v>30</v>
      </c>
      <c r="E210">
        <v>1</v>
      </c>
      <c r="F210">
        <v>20260327</v>
      </c>
      <c r="G210">
        <v>20260501</v>
      </c>
      <c r="H210">
        <v>506.21140000000003</v>
      </c>
      <c r="I210">
        <f t="shared" si="33"/>
        <v>36</v>
      </c>
      <c r="J210">
        <f t="shared" si="34"/>
        <v>14.061427777777778</v>
      </c>
      <c r="K210">
        <f t="shared" si="35"/>
        <v>113.28579037711684</v>
      </c>
      <c r="L210">
        <f t="shared" si="36"/>
        <v>421.84283333333337</v>
      </c>
      <c r="M210">
        <f t="shared" si="37"/>
        <v>10.567098633153106</v>
      </c>
      <c r="N210">
        <f t="shared" si="38"/>
        <v>545.69572234360339</v>
      </c>
      <c r="O210">
        <f t="shared" si="39"/>
        <v>105.08889148080576</v>
      </c>
      <c r="P210">
        <f t="shared" si="40"/>
        <v>391.32000215162856</v>
      </c>
      <c r="Q210">
        <f t="shared" si="41"/>
        <v>9.8025063675656714</v>
      </c>
      <c r="R210">
        <f t="shared" si="42"/>
        <v>506.21140000000003</v>
      </c>
    </row>
    <row r="211" spans="1:18" x14ac:dyDescent="0.3">
      <c r="A211" t="s">
        <v>0</v>
      </c>
      <c r="B211" t="s">
        <v>0</v>
      </c>
      <c r="C211">
        <v>12</v>
      </c>
      <c r="D211">
        <v>30</v>
      </c>
      <c r="E211">
        <v>1</v>
      </c>
      <c r="F211">
        <v>20260320</v>
      </c>
      <c r="G211">
        <v>20260501</v>
      </c>
      <c r="H211">
        <v>126.54689999999999</v>
      </c>
      <c r="I211">
        <f t="shared" si="33"/>
        <v>43</v>
      </c>
      <c r="J211">
        <f t="shared" si="34"/>
        <v>2.9429511627906977</v>
      </c>
      <c r="K211">
        <f t="shared" si="35"/>
        <v>56.903675009996093</v>
      </c>
      <c r="L211">
        <f t="shared" si="36"/>
        <v>88.288534883720928</v>
      </c>
      <c r="M211">
        <f t="shared" si="37"/>
        <v>2.2116143325721813</v>
      </c>
      <c r="N211">
        <f t="shared" si="38"/>
        <v>147.40382422628917</v>
      </c>
      <c r="O211">
        <f t="shared" si="39"/>
        <v>48.852081748352589</v>
      </c>
      <c r="P211">
        <f t="shared" si="40"/>
        <v>75.796136590899422</v>
      </c>
      <c r="Q211">
        <f t="shared" si="41"/>
        <v>1.8986816607480104</v>
      </c>
      <c r="R211">
        <f t="shared" si="42"/>
        <v>126.54690000000002</v>
      </c>
    </row>
    <row r="212" spans="1:18" x14ac:dyDescent="0.3">
      <c r="A212" t="s">
        <v>0</v>
      </c>
      <c r="B212" t="s">
        <v>0</v>
      </c>
      <c r="C212">
        <v>20</v>
      </c>
      <c r="D212">
        <v>30</v>
      </c>
      <c r="E212">
        <v>1</v>
      </c>
      <c r="F212">
        <v>20260312</v>
      </c>
      <c r="G212">
        <v>20260501</v>
      </c>
      <c r="H212">
        <v>758.53440000000001</v>
      </c>
      <c r="I212">
        <f t="shared" si="33"/>
        <v>51</v>
      </c>
      <c r="J212">
        <f t="shared" si="34"/>
        <v>14.873223529411765</v>
      </c>
      <c r="K212">
        <f t="shared" si="35"/>
        <v>479.30406772710342</v>
      </c>
      <c r="L212">
        <f t="shared" si="36"/>
        <v>446.19670588235294</v>
      </c>
      <c r="M212">
        <f t="shared" si="37"/>
        <v>11.177159425916123</v>
      </c>
      <c r="N212">
        <f t="shared" si="38"/>
        <v>936.67793303537246</v>
      </c>
      <c r="O212">
        <f t="shared" si="39"/>
        <v>388.14688657473476</v>
      </c>
      <c r="P212">
        <f t="shared" si="40"/>
        <v>361.3360992520208</v>
      </c>
      <c r="Q212">
        <f t="shared" si="41"/>
        <v>9.0514141732443907</v>
      </c>
      <c r="R212">
        <f t="shared" si="42"/>
        <v>758.53440000000001</v>
      </c>
    </row>
    <row r="213" spans="1:18" x14ac:dyDescent="0.3">
      <c r="A213" t="s">
        <v>0</v>
      </c>
      <c r="B213" t="s">
        <v>0</v>
      </c>
      <c r="C213">
        <v>18</v>
      </c>
      <c r="D213">
        <v>30</v>
      </c>
      <c r="E213">
        <v>1</v>
      </c>
      <c r="F213">
        <v>20260314</v>
      </c>
      <c r="G213">
        <v>20260501</v>
      </c>
      <c r="H213">
        <v>1222.1980000000001</v>
      </c>
      <c r="I213">
        <f t="shared" si="33"/>
        <v>49</v>
      </c>
      <c r="J213">
        <f t="shared" si="34"/>
        <v>24.942816326530615</v>
      </c>
      <c r="K213">
        <f t="shared" si="35"/>
        <v>723.42582440257729</v>
      </c>
      <c r="L213">
        <f t="shared" si="36"/>
        <v>748.28448979591849</v>
      </c>
      <c r="M213">
        <f t="shared" si="37"/>
        <v>18.744412336819249</v>
      </c>
      <c r="N213">
        <f t="shared" si="38"/>
        <v>1490.4547265353151</v>
      </c>
      <c r="O213">
        <f t="shared" si="39"/>
        <v>593.22137062727586</v>
      </c>
      <c r="P213">
        <f t="shared" si="40"/>
        <v>613.60589528642925</v>
      </c>
      <c r="Q213">
        <f t="shared" si="41"/>
        <v>15.370734086294968</v>
      </c>
      <c r="R213">
        <f t="shared" si="42"/>
        <v>1222.1980000000001</v>
      </c>
    </row>
    <row r="214" spans="1:18" x14ac:dyDescent="0.3">
      <c r="A214" t="s">
        <v>0</v>
      </c>
      <c r="B214" t="s">
        <v>0</v>
      </c>
      <c r="C214">
        <v>19</v>
      </c>
      <c r="D214">
        <v>30</v>
      </c>
      <c r="E214">
        <v>1</v>
      </c>
      <c r="F214">
        <v>20260313</v>
      </c>
      <c r="G214">
        <v>20260501</v>
      </c>
      <c r="H214">
        <v>1601.463</v>
      </c>
      <c r="I214">
        <f t="shared" si="33"/>
        <v>50</v>
      </c>
      <c r="J214">
        <f t="shared" si="34"/>
        <v>32.029260000000001</v>
      </c>
      <c r="K214">
        <f t="shared" si="35"/>
        <v>980.56529878908873</v>
      </c>
      <c r="L214">
        <f t="shared" si="36"/>
        <v>960.87779999999998</v>
      </c>
      <c r="M214">
        <f t="shared" si="37"/>
        <v>24.06984233150142</v>
      </c>
      <c r="N214">
        <f t="shared" si="38"/>
        <v>1965.5129411205901</v>
      </c>
      <c r="O214">
        <f t="shared" si="39"/>
        <v>798.9461744268034</v>
      </c>
      <c r="P214">
        <f t="shared" si="40"/>
        <v>782.9051704661299</v>
      </c>
      <c r="Q214">
        <f t="shared" si="41"/>
        <v>19.611655107066671</v>
      </c>
      <c r="R214">
        <f t="shared" si="42"/>
        <v>1601.4630000000002</v>
      </c>
    </row>
    <row r="215" spans="1:18" x14ac:dyDescent="0.3">
      <c r="A215" t="s">
        <v>0</v>
      </c>
      <c r="B215" t="s">
        <v>0</v>
      </c>
      <c r="C215">
        <v>19</v>
      </c>
      <c r="D215">
        <v>30</v>
      </c>
      <c r="E215">
        <v>2</v>
      </c>
      <c r="F215">
        <v>20260313</v>
      </c>
      <c r="G215">
        <v>20260502</v>
      </c>
      <c r="H215">
        <v>210.71879999999999</v>
      </c>
      <c r="I215">
        <f t="shared" si="33"/>
        <v>51</v>
      </c>
      <c r="J215">
        <f t="shared" si="34"/>
        <v>4.1317411764705883</v>
      </c>
      <c r="K215">
        <f t="shared" si="35"/>
        <v>126.49190213027288</v>
      </c>
      <c r="L215">
        <f t="shared" si="36"/>
        <v>123.95223529411764</v>
      </c>
      <c r="M215">
        <f t="shared" si="37"/>
        <v>6.2099691764479878</v>
      </c>
      <c r="N215">
        <f t="shared" si="38"/>
        <v>256.65410660083853</v>
      </c>
      <c r="O215">
        <f t="shared" si="39"/>
        <v>103.85269957149971</v>
      </c>
      <c r="P215">
        <f t="shared" si="40"/>
        <v>101.76757591927337</v>
      </c>
      <c r="Q215">
        <f t="shared" si="41"/>
        <v>5.0985245092268974</v>
      </c>
      <c r="R215">
        <f t="shared" si="42"/>
        <v>210.71879999999999</v>
      </c>
    </row>
    <row r="216" spans="1:18" x14ac:dyDescent="0.3">
      <c r="A216" t="s">
        <v>0</v>
      </c>
      <c r="B216" t="s">
        <v>0</v>
      </c>
      <c r="C216">
        <v>0</v>
      </c>
      <c r="D216">
        <v>30</v>
      </c>
      <c r="E216">
        <v>5</v>
      </c>
      <c r="F216">
        <v>20260401</v>
      </c>
      <c r="G216">
        <v>20260505</v>
      </c>
      <c r="H216">
        <v>42.166499999999999</v>
      </c>
      <c r="I216">
        <f t="shared" si="33"/>
        <v>35</v>
      </c>
      <c r="J216">
        <f t="shared" si="34"/>
        <v>1.2047571428571429</v>
      </c>
      <c r="K216">
        <f t="shared" si="35"/>
        <v>0</v>
      </c>
      <c r="L216">
        <f t="shared" si="36"/>
        <v>36.142714285714284</v>
      </c>
      <c r="M216">
        <f t="shared" si="37"/>
        <v>4.5268474008331072</v>
      </c>
      <c r="N216">
        <f t="shared" si="38"/>
        <v>40.669561686547389</v>
      </c>
      <c r="O216">
        <f t="shared" si="39"/>
        <v>0</v>
      </c>
      <c r="P216">
        <f t="shared" si="40"/>
        <v>37.473031395680898</v>
      </c>
      <c r="Q216">
        <f t="shared" si="41"/>
        <v>4.6934686043191025</v>
      </c>
      <c r="R216">
        <f t="shared" si="42"/>
        <v>42.166499999999999</v>
      </c>
    </row>
    <row r="217" spans="1:18" x14ac:dyDescent="0.3">
      <c r="A217" t="s">
        <v>0</v>
      </c>
      <c r="B217" t="s">
        <v>0</v>
      </c>
      <c r="C217">
        <v>13</v>
      </c>
      <c r="D217">
        <v>30</v>
      </c>
      <c r="E217">
        <v>4</v>
      </c>
      <c r="F217">
        <v>20260319</v>
      </c>
      <c r="G217">
        <v>20260504</v>
      </c>
      <c r="H217">
        <v>84.344800000000006</v>
      </c>
      <c r="I217">
        <f t="shared" si="33"/>
        <v>47</v>
      </c>
      <c r="J217">
        <f t="shared" si="34"/>
        <v>1.7945702127659575</v>
      </c>
      <c r="K217">
        <f t="shared" si="35"/>
        <v>37.590648773266508</v>
      </c>
      <c r="L217">
        <f t="shared" si="36"/>
        <v>53.837106382978725</v>
      </c>
      <c r="M217">
        <f t="shared" si="37"/>
        <v>5.394445213418674</v>
      </c>
      <c r="N217">
        <f t="shared" si="38"/>
        <v>96.822200369663918</v>
      </c>
      <c r="O217">
        <f t="shared" si="39"/>
        <v>32.746371602238504</v>
      </c>
      <c r="P217">
        <f t="shared" si="40"/>
        <v>46.899161071677121</v>
      </c>
      <c r="Q217">
        <f t="shared" si="41"/>
        <v>4.6992673260843674</v>
      </c>
      <c r="R217">
        <f t="shared" si="42"/>
        <v>84.344799999999992</v>
      </c>
    </row>
    <row r="218" spans="1:18" x14ac:dyDescent="0.3">
      <c r="A218" t="s">
        <v>0</v>
      </c>
      <c r="B218" t="s">
        <v>0</v>
      </c>
      <c r="C218">
        <v>6</v>
      </c>
      <c r="D218">
        <v>30</v>
      </c>
      <c r="E218">
        <v>6</v>
      </c>
      <c r="F218">
        <v>20260326</v>
      </c>
      <c r="G218">
        <v>20260506</v>
      </c>
      <c r="H218">
        <v>168.749</v>
      </c>
      <c r="I218">
        <f t="shared" si="33"/>
        <v>42</v>
      </c>
      <c r="J218">
        <f t="shared" si="34"/>
        <v>4.0178333333333329</v>
      </c>
      <c r="K218">
        <f t="shared" si="35"/>
        <v>38.843573949682529</v>
      </c>
      <c r="L218">
        <f t="shared" si="36"/>
        <v>120.53499999999998</v>
      </c>
      <c r="M218">
        <f t="shared" si="37"/>
        <v>18.116300191934023</v>
      </c>
      <c r="N218">
        <f t="shared" si="38"/>
        <v>177.49487414161652</v>
      </c>
      <c r="O218">
        <f t="shared" si="39"/>
        <v>36.929597500405201</v>
      </c>
      <c r="P218">
        <f t="shared" si="40"/>
        <v>114.59576403750872</v>
      </c>
      <c r="Q218">
        <f t="shared" si="41"/>
        <v>17.223638462086083</v>
      </c>
      <c r="R218">
        <f t="shared" si="42"/>
        <v>168.749</v>
      </c>
    </row>
    <row r="219" spans="1:18" x14ac:dyDescent="0.3">
      <c r="A219" t="s">
        <v>0</v>
      </c>
      <c r="B219" t="s">
        <v>0</v>
      </c>
      <c r="C219">
        <v>11</v>
      </c>
      <c r="D219">
        <v>30</v>
      </c>
      <c r="E219">
        <v>6</v>
      </c>
      <c r="F219">
        <v>20260321</v>
      </c>
      <c r="G219">
        <v>20260506</v>
      </c>
      <c r="H219">
        <v>42.187199999999997</v>
      </c>
      <c r="I219">
        <f t="shared" si="33"/>
        <v>47</v>
      </c>
      <c r="J219">
        <f t="shared" si="34"/>
        <v>0.89759999999999995</v>
      </c>
      <c r="K219">
        <f t="shared" si="35"/>
        <v>15.90931728334448</v>
      </c>
      <c r="L219">
        <f t="shared" si="36"/>
        <v>26.927999999999997</v>
      </c>
      <c r="M219">
        <f t="shared" si="37"/>
        <v>4.0472537567378719</v>
      </c>
      <c r="N219">
        <f t="shared" si="38"/>
        <v>46.884571040082349</v>
      </c>
      <c r="O219">
        <f t="shared" si="39"/>
        <v>14.315360793684492</v>
      </c>
      <c r="P219">
        <f t="shared" si="40"/>
        <v>24.230080309976628</v>
      </c>
      <c r="Q219">
        <f t="shared" si="41"/>
        <v>3.6417588963388763</v>
      </c>
      <c r="R219">
        <f t="shared" si="42"/>
        <v>42.187199999999997</v>
      </c>
    </row>
    <row r="220" spans="1:18" x14ac:dyDescent="0.3">
      <c r="A220" t="s">
        <v>0</v>
      </c>
      <c r="B220" t="s">
        <v>0</v>
      </c>
      <c r="C220">
        <v>11</v>
      </c>
      <c r="D220">
        <v>30</v>
      </c>
      <c r="E220">
        <v>4</v>
      </c>
      <c r="F220">
        <v>20260321</v>
      </c>
      <c r="G220">
        <v>20260504</v>
      </c>
      <c r="H220">
        <v>84.378399999999999</v>
      </c>
      <c r="I220">
        <f t="shared" si="33"/>
        <v>45</v>
      </c>
      <c r="J220">
        <f t="shared" si="34"/>
        <v>1.8750755555555556</v>
      </c>
      <c r="K220">
        <f t="shared" si="35"/>
        <v>33.234371594893886</v>
      </c>
      <c r="L220">
        <f t="shared" si="36"/>
        <v>56.252266666666671</v>
      </c>
      <c r="M220">
        <f t="shared" si="37"/>
        <v>5.636442800348763</v>
      </c>
      <c r="N220">
        <f t="shared" si="38"/>
        <v>95.123081061909318</v>
      </c>
      <c r="O220">
        <f t="shared" si="39"/>
        <v>29.480364480177897</v>
      </c>
      <c r="P220">
        <f t="shared" si="40"/>
        <v>49.898260282564856</v>
      </c>
      <c r="Q220">
        <f t="shared" si="41"/>
        <v>4.9997752372572473</v>
      </c>
      <c r="R220">
        <f t="shared" si="42"/>
        <v>84.378400000000013</v>
      </c>
    </row>
    <row r="221" spans="1:18" x14ac:dyDescent="0.3">
      <c r="A221" t="s">
        <v>0</v>
      </c>
      <c r="B221" t="s">
        <v>0</v>
      </c>
      <c r="C221">
        <v>18</v>
      </c>
      <c r="D221">
        <v>30</v>
      </c>
      <c r="E221">
        <v>3</v>
      </c>
      <c r="F221">
        <v>20260314</v>
      </c>
      <c r="G221">
        <v>20260503</v>
      </c>
      <c r="H221">
        <v>379.31169999999997</v>
      </c>
      <c r="I221">
        <f t="shared" si="33"/>
        <v>51</v>
      </c>
      <c r="J221">
        <f t="shared" si="34"/>
        <v>7.4374843137254896</v>
      </c>
      <c r="K221">
        <f t="shared" si="35"/>
        <v>215.71213734253112</v>
      </c>
      <c r="L221">
        <f t="shared" si="36"/>
        <v>223.12452941176468</v>
      </c>
      <c r="M221">
        <f t="shared" si="37"/>
        <v>16.767706288661138</v>
      </c>
      <c r="N221">
        <f t="shared" si="38"/>
        <v>455.60437304295698</v>
      </c>
      <c r="O221">
        <f t="shared" si="39"/>
        <v>179.59032521910035</v>
      </c>
      <c r="P221">
        <f t="shared" si="40"/>
        <v>185.76148424039974</v>
      </c>
      <c r="Q221">
        <f t="shared" si="41"/>
        <v>13.959890540499863</v>
      </c>
      <c r="R221">
        <f t="shared" si="42"/>
        <v>379.31169999999997</v>
      </c>
    </row>
    <row r="222" spans="1:18" x14ac:dyDescent="0.3">
      <c r="A222" t="s">
        <v>0</v>
      </c>
      <c r="B222" t="s">
        <v>0</v>
      </c>
      <c r="C222">
        <v>19</v>
      </c>
      <c r="D222">
        <v>30</v>
      </c>
      <c r="E222">
        <v>5</v>
      </c>
      <c r="F222">
        <v>20260313</v>
      </c>
      <c r="G222">
        <v>20260505</v>
      </c>
      <c r="H222">
        <v>42.145699999999998</v>
      </c>
      <c r="I222">
        <f t="shared" si="33"/>
        <v>54</v>
      </c>
      <c r="J222">
        <f t="shared" si="34"/>
        <v>0.78047592592592585</v>
      </c>
      <c r="K222">
        <f t="shared" si="35"/>
        <v>23.894014707278476</v>
      </c>
      <c r="L222">
        <f t="shared" si="36"/>
        <v>23.414277777777777</v>
      </c>
      <c r="M222">
        <f t="shared" si="37"/>
        <v>2.9326204352784946</v>
      </c>
      <c r="N222">
        <f t="shared" si="38"/>
        <v>50.24091292033475</v>
      </c>
      <c r="O222">
        <f t="shared" si="39"/>
        <v>20.044022234336357</v>
      </c>
      <c r="P222">
        <f t="shared" si="40"/>
        <v>19.641584310055045</v>
      </c>
      <c r="Q222">
        <f t="shared" si="41"/>
        <v>2.4600934556085954</v>
      </c>
      <c r="R222">
        <f t="shared" si="42"/>
        <v>42.145699999999998</v>
      </c>
    </row>
    <row r="223" spans="1:18" x14ac:dyDescent="0.3">
      <c r="A223" t="s">
        <v>0</v>
      </c>
      <c r="B223" t="s">
        <v>0</v>
      </c>
      <c r="C223">
        <v>9</v>
      </c>
      <c r="D223">
        <v>30</v>
      </c>
      <c r="E223">
        <v>4</v>
      </c>
      <c r="F223">
        <v>20260323</v>
      </c>
      <c r="G223">
        <v>20260504</v>
      </c>
      <c r="H223">
        <v>675.16989999999998</v>
      </c>
      <c r="I223">
        <f t="shared" si="33"/>
        <v>43</v>
      </c>
      <c r="J223">
        <f t="shared" si="34"/>
        <v>15.701625581395348</v>
      </c>
      <c r="K223">
        <f t="shared" si="35"/>
        <v>227.70005764344023</v>
      </c>
      <c r="L223">
        <f t="shared" si="36"/>
        <v>471.04876744186043</v>
      </c>
      <c r="M223">
        <f t="shared" si="37"/>
        <v>47.198799109621056</v>
      </c>
      <c r="N223">
        <f t="shared" si="38"/>
        <v>745.94762419492179</v>
      </c>
      <c r="O223">
        <f t="shared" si="39"/>
        <v>206.09520047072814</v>
      </c>
      <c r="P223">
        <f t="shared" si="40"/>
        <v>426.35426254235028</v>
      </c>
      <c r="Q223">
        <f t="shared" si="41"/>
        <v>42.720436986921477</v>
      </c>
      <c r="R223">
        <f t="shared" si="42"/>
        <v>675.16989999999998</v>
      </c>
    </row>
    <row r="224" spans="1:18" x14ac:dyDescent="0.3">
      <c r="A224" t="s">
        <v>0</v>
      </c>
      <c r="B224" t="s">
        <v>0</v>
      </c>
      <c r="C224">
        <v>31</v>
      </c>
      <c r="D224">
        <v>30</v>
      </c>
      <c r="E224">
        <v>6</v>
      </c>
      <c r="F224">
        <v>20260227</v>
      </c>
      <c r="G224">
        <v>20260506</v>
      </c>
      <c r="H224">
        <v>379.83640000000003</v>
      </c>
      <c r="I224">
        <f t="shared" si="33"/>
        <v>67</v>
      </c>
      <c r="J224">
        <f t="shared" si="34"/>
        <v>5.6692</v>
      </c>
      <c r="K224">
        <f t="shared" si="35"/>
        <v>283.17798450664731</v>
      </c>
      <c r="L224">
        <f t="shared" si="36"/>
        <v>170.07599999999999</v>
      </c>
      <c r="M224">
        <f t="shared" si="37"/>
        <v>25.56226715429851</v>
      </c>
      <c r="N224">
        <f t="shared" si="38"/>
        <v>478.8162516609458</v>
      </c>
      <c r="O224">
        <f t="shared" si="39"/>
        <v>224.6400489146844</v>
      </c>
      <c r="P224">
        <f t="shared" si="40"/>
        <v>134.91826006804925</v>
      </c>
      <c r="Q224">
        <f t="shared" si="41"/>
        <v>20.278091017266394</v>
      </c>
      <c r="R224">
        <f t="shared" si="42"/>
        <v>379.83640000000003</v>
      </c>
    </row>
    <row r="225" spans="1:18" x14ac:dyDescent="0.3">
      <c r="A225" t="s">
        <v>0</v>
      </c>
      <c r="B225" t="s">
        <v>0</v>
      </c>
      <c r="C225">
        <v>31</v>
      </c>
      <c r="D225">
        <v>30</v>
      </c>
      <c r="E225">
        <v>6</v>
      </c>
      <c r="F225">
        <v>20260228</v>
      </c>
      <c r="G225">
        <v>20260506</v>
      </c>
      <c r="H225">
        <v>464.22269999999997</v>
      </c>
      <c r="I225">
        <f t="shared" si="33"/>
        <v>67</v>
      </c>
      <c r="J225">
        <f t="shared" si="34"/>
        <v>6.9286970149253726</v>
      </c>
      <c r="K225">
        <f t="shared" si="35"/>
        <v>346.09018132078432</v>
      </c>
      <c r="L225">
        <f t="shared" si="36"/>
        <v>207.86091044776117</v>
      </c>
      <c r="M225">
        <f t="shared" si="37"/>
        <v>31.24130461559179</v>
      </c>
      <c r="N225">
        <f t="shared" si="38"/>
        <v>585.19239638413728</v>
      </c>
      <c r="O225">
        <f t="shared" si="39"/>
        <v>274.54717356026657</v>
      </c>
      <c r="P225">
        <f t="shared" si="40"/>
        <v>164.89235620412367</v>
      </c>
      <c r="Q225">
        <f t="shared" si="41"/>
        <v>24.783170235609731</v>
      </c>
      <c r="R225">
        <f t="shared" si="42"/>
        <v>464.22270000000003</v>
      </c>
    </row>
    <row r="226" spans="1:18" x14ac:dyDescent="0.3">
      <c r="A226" t="s">
        <v>0</v>
      </c>
      <c r="B226" t="s">
        <v>0</v>
      </c>
      <c r="C226">
        <v>0</v>
      </c>
      <c r="D226">
        <v>25</v>
      </c>
      <c r="E226">
        <v>1</v>
      </c>
      <c r="F226">
        <v>20260406</v>
      </c>
      <c r="G226">
        <v>20260501</v>
      </c>
      <c r="H226">
        <v>970.42039999999997</v>
      </c>
      <c r="I226">
        <f t="shared" si="33"/>
        <v>26</v>
      </c>
      <c r="J226">
        <f t="shared" si="34"/>
        <v>37.323861538461536</v>
      </c>
      <c r="K226">
        <f t="shared" si="35"/>
        <v>0</v>
      </c>
      <c r="L226">
        <f t="shared" si="36"/>
        <v>933.09653846153844</v>
      </c>
      <c r="M226">
        <f t="shared" si="37"/>
        <v>28.048711160781085</v>
      </c>
      <c r="N226">
        <f t="shared" si="38"/>
        <v>961.14524962231951</v>
      </c>
      <c r="O226">
        <f t="shared" si="39"/>
        <v>0</v>
      </c>
      <c r="P226">
        <f t="shared" si="40"/>
        <v>942.10101589564601</v>
      </c>
      <c r="Q226">
        <f t="shared" si="41"/>
        <v>28.319384104353968</v>
      </c>
      <c r="R226">
        <f t="shared" si="42"/>
        <v>970.42039999999997</v>
      </c>
    </row>
    <row r="227" spans="1:18" x14ac:dyDescent="0.3">
      <c r="A227" t="s">
        <v>0</v>
      </c>
      <c r="B227" t="s">
        <v>0</v>
      </c>
      <c r="C227">
        <v>0</v>
      </c>
      <c r="D227">
        <v>28</v>
      </c>
      <c r="E227">
        <v>1</v>
      </c>
      <c r="F227">
        <v>20260403</v>
      </c>
      <c r="G227">
        <v>20260501</v>
      </c>
      <c r="H227">
        <v>463.85320000000002</v>
      </c>
      <c r="I227">
        <f t="shared" si="33"/>
        <v>29</v>
      </c>
      <c r="J227">
        <f t="shared" si="34"/>
        <v>15.994937931034483</v>
      </c>
      <c r="K227">
        <f t="shared" si="35"/>
        <v>0</v>
      </c>
      <c r="L227">
        <f t="shared" si="36"/>
        <v>447.85826206896553</v>
      </c>
      <c r="M227">
        <f t="shared" si="37"/>
        <v>12.020122666029485</v>
      </c>
      <c r="N227">
        <f t="shared" si="38"/>
        <v>459.878384734995</v>
      </c>
      <c r="O227">
        <f t="shared" si="39"/>
        <v>0</v>
      </c>
      <c r="P227">
        <f t="shared" si="40"/>
        <v>451.7291851558511</v>
      </c>
      <c r="Q227">
        <f t="shared" si="41"/>
        <v>12.12401484414892</v>
      </c>
      <c r="R227">
        <f t="shared" si="42"/>
        <v>463.85320000000002</v>
      </c>
    </row>
    <row r="228" spans="1:18" x14ac:dyDescent="0.3">
      <c r="A228" t="s">
        <v>0</v>
      </c>
      <c r="B228" t="s">
        <v>0</v>
      </c>
      <c r="C228">
        <v>0</v>
      </c>
      <c r="D228">
        <v>27</v>
      </c>
      <c r="E228">
        <v>1</v>
      </c>
      <c r="F228">
        <v>20260404</v>
      </c>
      <c r="G228">
        <v>20260501</v>
      </c>
      <c r="H228">
        <v>210.8869</v>
      </c>
      <c r="I228">
        <f t="shared" si="33"/>
        <v>28</v>
      </c>
      <c r="J228">
        <f t="shared" si="34"/>
        <v>7.5316749999999999</v>
      </c>
      <c r="K228">
        <f t="shared" si="35"/>
        <v>0</v>
      </c>
      <c r="L228">
        <f t="shared" si="36"/>
        <v>203.35522499999999</v>
      </c>
      <c r="M228">
        <f t="shared" si="37"/>
        <v>5.6600192992941754</v>
      </c>
      <c r="N228">
        <f t="shared" si="38"/>
        <v>209.01524429929415</v>
      </c>
      <c r="O228">
        <f t="shared" si="39"/>
        <v>0</v>
      </c>
      <c r="P228">
        <f t="shared" si="40"/>
        <v>205.17619728082829</v>
      </c>
      <c r="Q228">
        <f t="shared" si="41"/>
        <v>5.7107027191717217</v>
      </c>
      <c r="R228">
        <f t="shared" si="42"/>
        <v>210.88690000000003</v>
      </c>
    </row>
    <row r="229" spans="1:18" x14ac:dyDescent="0.3">
      <c r="A229" t="s">
        <v>0</v>
      </c>
      <c r="B229" t="s">
        <v>0</v>
      </c>
      <c r="C229">
        <v>0</v>
      </c>
      <c r="D229">
        <v>27</v>
      </c>
      <c r="E229">
        <v>5</v>
      </c>
      <c r="F229">
        <v>20260404</v>
      </c>
      <c r="G229">
        <v>20260505</v>
      </c>
      <c r="H229">
        <v>253.0642</v>
      </c>
      <c r="I229">
        <f t="shared" si="33"/>
        <v>32</v>
      </c>
      <c r="J229">
        <f t="shared" si="34"/>
        <v>7.90825625</v>
      </c>
      <c r="K229">
        <f t="shared" si="35"/>
        <v>0</v>
      </c>
      <c r="L229">
        <f t="shared" si="36"/>
        <v>213.52291875</v>
      </c>
      <c r="M229">
        <f t="shared" si="37"/>
        <v>29.715091927601613</v>
      </c>
      <c r="N229">
        <f t="shared" si="38"/>
        <v>243.23801067760161</v>
      </c>
      <c r="O229">
        <f t="shared" si="39"/>
        <v>0</v>
      </c>
      <c r="P229">
        <f t="shared" si="40"/>
        <v>222.14869487135434</v>
      </c>
      <c r="Q229">
        <f t="shared" si="41"/>
        <v>30.915505128645659</v>
      </c>
      <c r="R229">
        <f t="shared" si="42"/>
        <v>253.0642</v>
      </c>
    </row>
    <row r="230" spans="1:18" x14ac:dyDescent="0.3">
      <c r="A230" t="s">
        <v>0</v>
      </c>
      <c r="B230" t="s">
        <v>0</v>
      </c>
      <c r="C230">
        <v>0</v>
      </c>
      <c r="D230">
        <v>28</v>
      </c>
      <c r="E230">
        <v>11</v>
      </c>
      <c r="F230">
        <v>20260403</v>
      </c>
      <c r="G230">
        <v>20260511</v>
      </c>
      <c r="H230">
        <v>126.5351</v>
      </c>
      <c r="I230">
        <f t="shared" si="33"/>
        <v>39</v>
      </c>
      <c r="J230">
        <f t="shared" si="34"/>
        <v>3.2444897435897437</v>
      </c>
      <c r="K230">
        <f t="shared" si="35"/>
        <v>0</v>
      </c>
      <c r="L230">
        <f t="shared" si="36"/>
        <v>90.84571282051283</v>
      </c>
      <c r="M230">
        <f t="shared" si="37"/>
        <v>26.820411158989145</v>
      </c>
      <c r="N230">
        <f t="shared" si="38"/>
        <v>117.66612397950198</v>
      </c>
      <c r="O230">
        <f t="shared" si="39"/>
        <v>0</v>
      </c>
      <c r="P230">
        <f t="shared" si="40"/>
        <v>97.693124984021651</v>
      </c>
      <c r="Q230">
        <f t="shared" si="41"/>
        <v>28.841975015978353</v>
      </c>
      <c r="R230">
        <f t="shared" si="42"/>
        <v>126.5351</v>
      </c>
    </row>
    <row r="231" spans="1:18" x14ac:dyDescent="0.3">
      <c r="A231" t="s">
        <v>0</v>
      </c>
      <c r="B231" t="s">
        <v>0</v>
      </c>
      <c r="C231">
        <v>26</v>
      </c>
      <c r="D231">
        <v>24</v>
      </c>
      <c r="E231">
        <v>0</v>
      </c>
      <c r="F231">
        <v>20260306</v>
      </c>
      <c r="G231">
        <v>20260424</v>
      </c>
      <c r="H231">
        <v>674.63229999999999</v>
      </c>
      <c r="I231">
        <f t="shared" si="33"/>
        <v>50</v>
      </c>
      <c r="J231">
        <f t="shared" si="34"/>
        <v>13.492646000000001</v>
      </c>
      <c r="K231">
        <f t="shared" si="35"/>
        <v>565.25770148193862</v>
      </c>
      <c r="L231">
        <f t="shared" si="36"/>
        <v>323.82350400000001</v>
      </c>
      <c r="M231">
        <f t="shared" si="37"/>
        <v>0</v>
      </c>
      <c r="N231">
        <f t="shared" si="38"/>
        <v>889.0812054819387</v>
      </c>
      <c r="O231">
        <f t="shared" si="39"/>
        <v>428.91594253953718</v>
      </c>
      <c r="P231">
        <f t="shared" si="40"/>
        <v>245.7163574604628</v>
      </c>
      <c r="Q231">
        <f t="shared" si="41"/>
        <v>0</v>
      </c>
      <c r="R231">
        <f t="shared" si="42"/>
        <v>674.63229999999999</v>
      </c>
    </row>
    <row r="232" spans="1:18" x14ac:dyDescent="0.3">
      <c r="A232" t="s">
        <v>0</v>
      </c>
      <c r="B232" t="s">
        <v>0</v>
      </c>
      <c r="C232">
        <v>25</v>
      </c>
      <c r="D232">
        <v>23</v>
      </c>
      <c r="E232">
        <v>0</v>
      </c>
      <c r="F232">
        <v>20260307</v>
      </c>
      <c r="G232">
        <v>20260423</v>
      </c>
      <c r="H232">
        <v>42.153599999999997</v>
      </c>
      <c r="I232">
        <f t="shared" si="33"/>
        <v>48</v>
      </c>
      <c r="J232">
        <f t="shared" si="34"/>
        <v>0.87819999999999998</v>
      </c>
      <c r="K232">
        <f t="shared" si="35"/>
        <v>35.376059487504868</v>
      </c>
      <c r="L232">
        <f t="shared" si="36"/>
        <v>20.198599999999999</v>
      </c>
      <c r="M232">
        <f t="shared" si="37"/>
        <v>0</v>
      </c>
      <c r="N232">
        <f t="shared" si="38"/>
        <v>55.574659487504867</v>
      </c>
      <c r="O232">
        <f t="shared" si="39"/>
        <v>26.832881658011157</v>
      </c>
      <c r="P232">
        <f t="shared" si="40"/>
        <v>15.320718341988838</v>
      </c>
      <c r="Q232">
        <f t="shared" si="41"/>
        <v>0</v>
      </c>
      <c r="R232">
        <f t="shared" si="42"/>
        <v>42.153599999999997</v>
      </c>
    </row>
    <row r="233" spans="1:18" x14ac:dyDescent="0.3">
      <c r="A233" t="s">
        <v>0</v>
      </c>
      <c r="B233" t="s">
        <v>0</v>
      </c>
      <c r="C233">
        <v>24</v>
      </c>
      <c r="D233">
        <v>25</v>
      </c>
      <c r="E233">
        <v>0</v>
      </c>
      <c r="F233">
        <v>20260308</v>
      </c>
      <c r="G233">
        <v>20260425</v>
      </c>
      <c r="H233">
        <v>505.77260000000001</v>
      </c>
      <c r="I233">
        <f t="shared" si="33"/>
        <v>49</v>
      </c>
      <c r="J233">
        <f t="shared" si="34"/>
        <v>10.321889795918368</v>
      </c>
      <c r="K233">
        <f t="shared" si="35"/>
        <v>399.15950346859785</v>
      </c>
      <c r="L233">
        <f t="shared" si="36"/>
        <v>258.04724489795922</v>
      </c>
      <c r="M233">
        <f t="shared" si="37"/>
        <v>0</v>
      </c>
      <c r="N233">
        <f t="shared" si="38"/>
        <v>657.20674836655712</v>
      </c>
      <c r="O233">
        <f t="shared" si="39"/>
        <v>307.18482484513527</v>
      </c>
      <c r="P233">
        <f t="shared" si="40"/>
        <v>198.58777515486466</v>
      </c>
      <c r="Q233">
        <f t="shared" si="41"/>
        <v>0</v>
      </c>
      <c r="R233">
        <f t="shared" si="42"/>
        <v>505.7725999999999</v>
      </c>
    </row>
    <row r="234" spans="1:18" x14ac:dyDescent="0.3">
      <c r="A234" t="s">
        <v>0</v>
      </c>
      <c r="B234" t="s">
        <v>0</v>
      </c>
      <c r="C234">
        <v>28</v>
      </c>
      <c r="D234">
        <v>24</v>
      </c>
      <c r="E234">
        <v>0</v>
      </c>
      <c r="F234">
        <v>20260304</v>
      </c>
      <c r="G234">
        <v>20260424</v>
      </c>
      <c r="H234">
        <v>801.42619999999999</v>
      </c>
      <c r="I234">
        <f t="shared" si="33"/>
        <v>52</v>
      </c>
      <c r="J234">
        <f t="shared" si="34"/>
        <v>15.412042307692307</v>
      </c>
      <c r="K234">
        <f t="shared" si="35"/>
        <v>695.33523634817664</v>
      </c>
      <c r="L234">
        <f t="shared" si="36"/>
        <v>369.88901538461539</v>
      </c>
      <c r="M234">
        <f t="shared" si="37"/>
        <v>0</v>
      </c>
      <c r="N234">
        <f t="shared" si="38"/>
        <v>1065.224251732792</v>
      </c>
      <c r="O234">
        <f t="shared" si="39"/>
        <v>523.13855536628159</v>
      </c>
      <c r="P234">
        <f t="shared" si="40"/>
        <v>278.28764463371846</v>
      </c>
      <c r="Q234">
        <f t="shared" si="41"/>
        <v>0</v>
      </c>
      <c r="R234">
        <f t="shared" si="42"/>
        <v>801.42620000000011</v>
      </c>
    </row>
    <row r="235" spans="1:18" x14ac:dyDescent="0.3">
      <c r="A235" t="s">
        <v>0</v>
      </c>
      <c r="B235" t="s">
        <v>0</v>
      </c>
      <c r="C235">
        <v>29</v>
      </c>
      <c r="D235">
        <v>18</v>
      </c>
      <c r="E235">
        <v>0</v>
      </c>
      <c r="F235">
        <v>20260303</v>
      </c>
      <c r="G235">
        <v>20260418</v>
      </c>
      <c r="H235">
        <v>168.70949999999999</v>
      </c>
      <c r="I235">
        <f t="shared" si="33"/>
        <v>47</v>
      </c>
      <c r="J235">
        <f t="shared" si="34"/>
        <v>3.5895638297872337</v>
      </c>
      <c r="K235">
        <f t="shared" si="35"/>
        <v>167.73190998522981</v>
      </c>
      <c r="L235">
        <f t="shared" si="36"/>
        <v>64.6121489361702</v>
      </c>
      <c r="M235">
        <f t="shared" si="37"/>
        <v>0</v>
      </c>
      <c r="N235">
        <f t="shared" si="38"/>
        <v>232.34405892140001</v>
      </c>
      <c r="O235">
        <f t="shared" si="39"/>
        <v>121.79337315109092</v>
      </c>
      <c r="P235">
        <f t="shared" si="40"/>
        <v>46.916126848909066</v>
      </c>
      <c r="Q235">
        <f t="shared" si="41"/>
        <v>0</v>
      </c>
      <c r="R235">
        <f t="shared" si="42"/>
        <v>168.70949999999999</v>
      </c>
    </row>
    <row r="236" spans="1:18" x14ac:dyDescent="0.3">
      <c r="A236" t="s">
        <v>0</v>
      </c>
      <c r="B236" t="s">
        <v>0</v>
      </c>
      <c r="C236">
        <v>30</v>
      </c>
      <c r="D236">
        <v>1</v>
      </c>
      <c r="E236">
        <v>0</v>
      </c>
      <c r="F236">
        <v>20260302</v>
      </c>
      <c r="G236">
        <v>20260401</v>
      </c>
      <c r="H236">
        <v>801.93299999999999</v>
      </c>
      <c r="I236">
        <f t="shared" si="33"/>
        <v>31</v>
      </c>
      <c r="J236">
        <f t="shared" si="34"/>
        <v>25.868806451612905</v>
      </c>
      <c r="K236">
        <f t="shared" si="35"/>
        <v>1250.4711034885099</v>
      </c>
      <c r="L236">
        <f t="shared" si="36"/>
        <v>25.868806451612905</v>
      </c>
      <c r="M236">
        <f t="shared" si="37"/>
        <v>0</v>
      </c>
      <c r="N236">
        <f t="shared" si="38"/>
        <v>1276.3399099401229</v>
      </c>
      <c r="O236">
        <f t="shared" si="39"/>
        <v>785.67945390103444</v>
      </c>
      <c r="P236">
        <f t="shared" si="40"/>
        <v>16.253546098965522</v>
      </c>
      <c r="Q236">
        <f t="shared" si="41"/>
        <v>0</v>
      </c>
      <c r="R236">
        <f t="shared" si="42"/>
        <v>801.93299999999999</v>
      </c>
    </row>
    <row r="237" spans="1:18" x14ac:dyDescent="0.3">
      <c r="A237" t="s">
        <v>0</v>
      </c>
      <c r="B237" t="s">
        <v>0</v>
      </c>
      <c r="C237">
        <v>30</v>
      </c>
      <c r="D237">
        <v>10</v>
      </c>
      <c r="E237">
        <v>0</v>
      </c>
      <c r="F237">
        <v>20260302</v>
      </c>
      <c r="G237">
        <v>20260410</v>
      </c>
      <c r="H237">
        <v>1602.8901000000001</v>
      </c>
      <c r="I237">
        <f t="shared" si="33"/>
        <v>40</v>
      </c>
      <c r="J237">
        <f t="shared" si="34"/>
        <v>40.072252500000005</v>
      </c>
      <c r="K237">
        <f t="shared" si="35"/>
        <v>1937.0508607219074</v>
      </c>
      <c r="L237">
        <f t="shared" si="36"/>
        <v>400.72252500000002</v>
      </c>
      <c r="M237">
        <f t="shared" si="37"/>
        <v>0</v>
      </c>
      <c r="N237">
        <f t="shared" si="38"/>
        <v>2337.7733857219073</v>
      </c>
      <c r="O237">
        <f t="shared" si="39"/>
        <v>1328.1354244217446</v>
      </c>
      <c r="P237">
        <f t="shared" si="40"/>
        <v>274.7546755782555</v>
      </c>
      <c r="Q237">
        <f t="shared" si="41"/>
        <v>0</v>
      </c>
      <c r="R237">
        <f t="shared" si="42"/>
        <v>1602.8901000000001</v>
      </c>
    </row>
    <row r="238" spans="1:18" x14ac:dyDescent="0.3">
      <c r="A238" t="s">
        <v>0</v>
      </c>
      <c r="B238" t="s">
        <v>0</v>
      </c>
      <c r="C238">
        <v>30</v>
      </c>
      <c r="D238">
        <v>4</v>
      </c>
      <c r="E238">
        <v>0</v>
      </c>
      <c r="F238">
        <v>20260302</v>
      </c>
      <c r="G238">
        <v>20260404</v>
      </c>
      <c r="H238">
        <v>801.68899999999996</v>
      </c>
      <c r="I238">
        <f t="shared" si="33"/>
        <v>34</v>
      </c>
      <c r="J238">
        <f t="shared" si="34"/>
        <v>23.579088235294115</v>
      </c>
      <c r="K238">
        <f t="shared" si="35"/>
        <v>1139.7885147887371</v>
      </c>
      <c r="L238">
        <f t="shared" si="36"/>
        <v>94.316352941176461</v>
      </c>
      <c r="M238">
        <f t="shared" si="37"/>
        <v>0</v>
      </c>
      <c r="N238">
        <f t="shared" si="38"/>
        <v>1234.1048677299136</v>
      </c>
      <c r="O238">
        <f t="shared" si="39"/>
        <v>740.41999065548225</v>
      </c>
      <c r="P238">
        <f t="shared" si="40"/>
        <v>61.26900934451767</v>
      </c>
      <c r="Q238">
        <f t="shared" si="41"/>
        <v>0</v>
      </c>
      <c r="R238">
        <f t="shared" si="42"/>
        <v>801.68899999999996</v>
      </c>
    </row>
    <row r="239" spans="1:18" x14ac:dyDescent="0.3">
      <c r="A239" t="s">
        <v>0</v>
      </c>
      <c r="B239" t="s">
        <v>0</v>
      </c>
      <c r="C239">
        <v>27</v>
      </c>
      <c r="D239">
        <v>9</v>
      </c>
      <c r="E239">
        <v>0</v>
      </c>
      <c r="F239">
        <v>20260305</v>
      </c>
      <c r="G239">
        <v>20260409</v>
      </c>
      <c r="H239">
        <v>252.92779999999999</v>
      </c>
      <c r="I239">
        <f t="shared" si="33"/>
        <v>36</v>
      </c>
      <c r="J239">
        <f t="shared" si="34"/>
        <v>7.0257722222222219</v>
      </c>
      <c r="K239">
        <f t="shared" si="35"/>
        <v>305.65664651026191</v>
      </c>
      <c r="L239">
        <f t="shared" si="36"/>
        <v>63.231949999999998</v>
      </c>
      <c r="M239">
        <f t="shared" si="37"/>
        <v>0</v>
      </c>
      <c r="N239">
        <f t="shared" si="38"/>
        <v>368.88859651026189</v>
      </c>
      <c r="O239">
        <f t="shared" si="39"/>
        <v>209.57292767673724</v>
      </c>
      <c r="P239">
        <f t="shared" si="40"/>
        <v>43.354872323262761</v>
      </c>
      <c r="Q239">
        <f t="shared" si="41"/>
        <v>0</v>
      </c>
      <c r="R239">
        <f t="shared" si="42"/>
        <v>252.92779999999999</v>
      </c>
    </row>
    <row r="240" spans="1:18" x14ac:dyDescent="0.3">
      <c r="A240" t="s">
        <v>0</v>
      </c>
      <c r="B240" t="s">
        <v>0</v>
      </c>
      <c r="C240">
        <v>27</v>
      </c>
      <c r="D240">
        <v>8</v>
      </c>
      <c r="E240">
        <v>0</v>
      </c>
      <c r="F240">
        <v>20260305</v>
      </c>
      <c r="G240">
        <v>20260408</v>
      </c>
      <c r="H240">
        <v>1096.0205000000001</v>
      </c>
      <c r="I240">
        <f t="shared" si="33"/>
        <v>35</v>
      </c>
      <c r="J240">
        <f t="shared" si="34"/>
        <v>31.314871428571433</v>
      </c>
      <c r="K240">
        <f t="shared" si="35"/>
        <v>1362.3553801648445</v>
      </c>
      <c r="L240">
        <f t="shared" si="36"/>
        <v>250.51897142857146</v>
      </c>
      <c r="M240">
        <f t="shared" si="37"/>
        <v>0</v>
      </c>
      <c r="N240">
        <f t="shared" si="38"/>
        <v>1612.8743515934159</v>
      </c>
      <c r="O240">
        <f t="shared" si="39"/>
        <v>925.78161682018685</v>
      </c>
      <c r="P240">
        <f t="shared" si="40"/>
        <v>170.23888317981329</v>
      </c>
      <c r="Q240">
        <f t="shared" si="41"/>
        <v>0</v>
      </c>
      <c r="R240">
        <f t="shared" si="42"/>
        <v>1096.0205000000001</v>
      </c>
    </row>
    <row r="241" spans="1:18" x14ac:dyDescent="0.3">
      <c r="A241" t="s">
        <v>0</v>
      </c>
      <c r="B241" t="s">
        <v>0</v>
      </c>
      <c r="C241">
        <v>29</v>
      </c>
      <c r="D241">
        <v>2</v>
      </c>
      <c r="E241">
        <v>0</v>
      </c>
      <c r="F241">
        <v>20260303</v>
      </c>
      <c r="G241">
        <v>20260402</v>
      </c>
      <c r="H241">
        <v>717.30079999999998</v>
      </c>
      <c r="I241">
        <f t="shared" si="33"/>
        <v>31</v>
      </c>
      <c r="J241">
        <f t="shared" si="34"/>
        <v>23.138735483870967</v>
      </c>
      <c r="K241">
        <f t="shared" si="35"/>
        <v>1081.2189116533234</v>
      </c>
      <c r="L241">
        <f t="shared" si="36"/>
        <v>46.277470967741934</v>
      </c>
      <c r="M241">
        <f t="shared" si="37"/>
        <v>0</v>
      </c>
      <c r="N241">
        <f t="shared" si="38"/>
        <v>1127.4963826210653</v>
      </c>
      <c r="O241">
        <f t="shared" si="39"/>
        <v>687.85958186502853</v>
      </c>
      <c r="P241">
        <f t="shared" si="40"/>
        <v>29.441218134971489</v>
      </c>
      <c r="Q241">
        <f t="shared" si="41"/>
        <v>0</v>
      </c>
      <c r="R241">
        <f t="shared" si="42"/>
        <v>717.30079999999998</v>
      </c>
    </row>
    <row r="242" spans="1:18" x14ac:dyDescent="0.3">
      <c r="A242" t="s">
        <v>0</v>
      </c>
      <c r="B242" t="s">
        <v>0</v>
      </c>
      <c r="C242">
        <v>28</v>
      </c>
      <c r="D242">
        <v>3</v>
      </c>
      <c r="E242">
        <v>0</v>
      </c>
      <c r="F242">
        <v>20260304</v>
      </c>
      <c r="G242">
        <v>20260403</v>
      </c>
      <c r="H242">
        <v>337.43470000000002</v>
      </c>
      <c r="I242">
        <f t="shared" si="33"/>
        <v>31</v>
      </c>
      <c r="J242">
        <f t="shared" si="34"/>
        <v>10.884990322580645</v>
      </c>
      <c r="K242">
        <f t="shared" si="35"/>
        <v>491.09113299160902</v>
      </c>
      <c r="L242">
        <f t="shared" si="36"/>
        <v>32.654970967741932</v>
      </c>
      <c r="M242">
        <f t="shared" si="37"/>
        <v>0</v>
      </c>
      <c r="N242">
        <f t="shared" si="38"/>
        <v>523.74610395935099</v>
      </c>
      <c r="O242">
        <f t="shared" si="39"/>
        <v>316.396032125033</v>
      </c>
      <c r="P242">
        <f t="shared" si="40"/>
        <v>21.038667874966972</v>
      </c>
      <c r="Q242">
        <f t="shared" si="41"/>
        <v>0</v>
      </c>
      <c r="R242">
        <f t="shared" si="42"/>
        <v>337.43469999999996</v>
      </c>
    </row>
    <row r="243" spans="1:18" x14ac:dyDescent="0.3">
      <c r="A243" t="s">
        <v>0</v>
      </c>
      <c r="B243" t="s">
        <v>0</v>
      </c>
      <c r="C243">
        <v>30</v>
      </c>
      <c r="D243">
        <v>30</v>
      </c>
      <c r="E243">
        <v>2</v>
      </c>
      <c r="F243">
        <v>20260302</v>
      </c>
      <c r="G243">
        <v>20260502</v>
      </c>
      <c r="H243">
        <v>679320.51119999995</v>
      </c>
      <c r="I243">
        <f t="shared" si="33"/>
        <v>62</v>
      </c>
      <c r="J243">
        <f t="shared" si="34"/>
        <v>10956.782438709677</v>
      </c>
      <c r="K243">
        <f t="shared" si="35"/>
        <v>529639.42702360579</v>
      </c>
      <c r="L243">
        <f t="shared" si="36"/>
        <v>328703.47316129028</v>
      </c>
      <c r="M243">
        <f t="shared" si="37"/>
        <v>16467.94373396735</v>
      </c>
      <c r="N243">
        <f t="shared" si="38"/>
        <v>874810.84391886345</v>
      </c>
      <c r="O243">
        <f t="shared" si="39"/>
        <v>411283.11202178133</v>
      </c>
      <c r="P243">
        <f t="shared" si="40"/>
        <v>255249.47818531297</v>
      </c>
      <c r="Q243">
        <f t="shared" si="41"/>
        <v>12787.920992905641</v>
      </c>
      <c r="R243">
        <f t="shared" si="42"/>
        <v>679320.51119999995</v>
      </c>
    </row>
    <row r="244" spans="1:18" x14ac:dyDescent="0.3">
      <c r="A244" t="s">
        <v>0</v>
      </c>
      <c r="B244" t="s">
        <v>0</v>
      </c>
      <c r="C244">
        <v>27</v>
      </c>
      <c r="D244">
        <v>30</v>
      </c>
      <c r="E244">
        <v>1</v>
      </c>
      <c r="F244">
        <v>20260305</v>
      </c>
      <c r="G244">
        <v>20260501</v>
      </c>
      <c r="H244">
        <v>366731.38909999997</v>
      </c>
      <c r="I244">
        <f t="shared" si="33"/>
        <v>58</v>
      </c>
      <c r="J244">
        <f t="shared" si="34"/>
        <v>6322.9549844827579</v>
      </c>
      <c r="K244">
        <f t="shared" si="35"/>
        <v>275080.53996960568</v>
      </c>
      <c r="L244">
        <f t="shared" si="36"/>
        <v>189688.64953448274</v>
      </c>
      <c r="M244">
        <f t="shared" si="37"/>
        <v>4751.6717384566791</v>
      </c>
      <c r="N244">
        <f t="shared" si="38"/>
        <v>469520.86124254513</v>
      </c>
      <c r="O244">
        <f t="shared" si="39"/>
        <v>214858.75679828125</v>
      </c>
      <c r="P244">
        <f t="shared" si="40"/>
        <v>148161.21642856704</v>
      </c>
      <c r="Q244">
        <f t="shared" si="41"/>
        <v>3711.4158731516804</v>
      </c>
      <c r="R244">
        <f t="shared" si="42"/>
        <v>366731.38909999997</v>
      </c>
    </row>
    <row r="245" spans="1:18" x14ac:dyDescent="0.3">
      <c r="A245" t="s">
        <v>0</v>
      </c>
      <c r="B245" t="s">
        <v>0</v>
      </c>
      <c r="C245">
        <v>29</v>
      </c>
      <c r="D245">
        <v>30</v>
      </c>
      <c r="E245">
        <v>2</v>
      </c>
      <c r="F245">
        <v>20260303</v>
      </c>
      <c r="G245">
        <v>20260502</v>
      </c>
      <c r="H245">
        <v>332124.62599999999</v>
      </c>
      <c r="I245">
        <f t="shared" si="33"/>
        <v>61</v>
      </c>
      <c r="J245">
        <f t="shared" si="34"/>
        <v>5444.6660000000002</v>
      </c>
      <c r="K245">
        <f t="shared" si="35"/>
        <v>254416.48922169261</v>
      </c>
      <c r="L245">
        <f t="shared" si="36"/>
        <v>163339.98000000001</v>
      </c>
      <c r="M245">
        <f t="shared" si="37"/>
        <v>8183.2831709309867</v>
      </c>
      <c r="N245">
        <f t="shared" si="38"/>
        <v>425939.75239262363</v>
      </c>
      <c r="O245">
        <f t="shared" si="39"/>
        <v>198380.12502082443</v>
      </c>
      <c r="P245">
        <f t="shared" si="40"/>
        <v>127363.6223517863</v>
      </c>
      <c r="Q245">
        <f t="shared" si="41"/>
        <v>6380.8786273892183</v>
      </c>
      <c r="R245">
        <f t="shared" si="42"/>
        <v>332124.62599999993</v>
      </c>
    </row>
    <row r="246" spans="1:18" x14ac:dyDescent="0.3">
      <c r="A246" t="s">
        <v>0</v>
      </c>
      <c r="B246" t="s">
        <v>0</v>
      </c>
      <c r="C246">
        <v>29</v>
      </c>
      <c r="D246">
        <v>30</v>
      </c>
      <c r="E246">
        <v>3</v>
      </c>
      <c r="F246">
        <v>20260303</v>
      </c>
      <c r="G246">
        <v>20260503</v>
      </c>
      <c r="H246">
        <v>349800.25339999999</v>
      </c>
      <c r="I246">
        <f t="shared" si="33"/>
        <v>62</v>
      </c>
      <c r="J246">
        <f t="shared" si="34"/>
        <v>5641.9395709677419</v>
      </c>
      <c r="K246">
        <f t="shared" si="35"/>
        <v>263634.62112213229</v>
      </c>
      <c r="L246">
        <f t="shared" si="36"/>
        <v>169258.18712903225</v>
      </c>
      <c r="M246">
        <f t="shared" si="37"/>
        <v>12719.675314108317</v>
      </c>
      <c r="N246">
        <f t="shared" si="38"/>
        <v>445612.48356527282</v>
      </c>
      <c r="O246">
        <f t="shared" si="39"/>
        <v>206949.89632180415</v>
      </c>
      <c r="P246">
        <f t="shared" si="40"/>
        <v>132865.57026871888</v>
      </c>
      <c r="Q246">
        <f t="shared" si="41"/>
        <v>9984.7868094769801</v>
      </c>
      <c r="R246">
        <f t="shared" si="42"/>
        <v>349800.25339999999</v>
      </c>
    </row>
    <row r="247" spans="1:18" x14ac:dyDescent="0.3">
      <c r="A247" t="s">
        <v>0</v>
      </c>
      <c r="B247" t="s">
        <v>0</v>
      </c>
      <c r="C247">
        <v>26</v>
      </c>
      <c r="D247">
        <v>30</v>
      </c>
      <c r="E247">
        <v>2</v>
      </c>
      <c r="F247">
        <v>20260306</v>
      </c>
      <c r="G247">
        <v>20260502</v>
      </c>
      <c r="H247">
        <v>70583.403399999996</v>
      </c>
      <c r="I247">
        <f t="shared" si="33"/>
        <v>58</v>
      </c>
      <c r="J247">
        <f t="shared" si="34"/>
        <v>1216.9552310344827</v>
      </c>
      <c r="K247">
        <f t="shared" si="35"/>
        <v>50982.832922539674</v>
      </c>
      <c r="L247">
        <f t="shared" si="36"/>
        <v>36508.656931034478</v>
      </c>
      <c r="M247">
        <f t="shared" si="37"/>
        <v>1829.0725752325143</v>
      </c>
      <c r="N247">
        <f t="shared" si="38"/>
        <v>89320.562428806661</v>
      </c>
      <c r="O247">
        <f t="shared" si="39"/>
        <v>40287.944509022229</v>
      </c>
      <c r="P247">
        <f t="shared" si="40"/>
        <v>28850.0787465299</v>
      </c>
      <c r="Q247">
        <f t="shared" si="41"/>
        <v>1445.3801444478684</v>
      </c>
      <c r="R247">
        <f t="shared" si="42"/>
        <v>70583.40340000001</v>
      </c>
    </row>
    <row r="248" spans="1:18" x14ac:dyDescent="0.3">
      <c r="A248" t="s">
        <v>0</v>
      </c>
      <c r="B248" t="s">
        <v>0</v>
      </c>
      <c r="C248">
        <v>27</v>
      </c>
      <c r="D248">
        <v>30</v>
      </c>
      <c r="E248">
        <v>9</v>
      </c>
      <c r="F248">
        <v>20260305</v>
      </c>
      <c r="G248">
        <v>20260509</v>
      </c>
      <c r="H248">
        <v>10797.152099999999</v>
      </c>
      <c r="I248">
        <f t="shared" si="33"/>
        <v>66</v>
      </c>
      <c r="J248">
        <f t="shared" si="34"/>
        <v>163.59321363636363</v>
      </c>
      <c r="K248">
        <f t="shared" si="35"/>
        <v>7117.1326781373955</v>
      </c>
      <c r="L248">
        <f t="shared" si="36"/>
        <v>4907.796409090909</v>
      </c>
      <c r="M248">
        <f t="shared" si="37"/>
        <v>1106.4559633465806</v>
      </c>
      <c r="N248">
        <f t="shared" si="38"/>
        <v>13131.385050574885</v>
      </c>
      <c r="O248">
        <f t="shared" si="39"/>
        <v>5851.9922876197716</v>
      </c>
      <c r="P248">
        <f t="shared" si="40"/>
        <v>4035.38728783743</v>
      </c>
      <c r="Q248">
        <f t="shared" si="41"/>
        <v>909.77252454279687</v>
      </c>
      <c r="R248">
        <f t="shared" si="42"/>
        <v>10797.152099999999</v>
      </c>
    </row>
    <row r="249" spans="1:18" x14ac:dyDescent="0.3">
      <c r="A249" t="s">
        <v>0</v>
      </c>
      <c r="B249" t="s">
        <v>0</v>
      </c>
      <c r="C249">
        <v>25</v>
      </c>
      <c r="D249">
        <v>30</v>
      </c>
      <c r="E249">
        <v>1</v>
      </c>
      <c r="F249">
        <v>20260307</v>
      </c>
      <c r="G249">
        <v>20260501</v>
      </c>
      <c r="H249">
        <v>54632.406999999999</v>
      </c>
      <c r="I249">
        <f t="shared" si="33"/>
        <v>56</v>
      </c>
      <c r="J249">
        <f t="shared" si="34"/>
        <v>975.57869642857145</v>
      </c>
      <c r="K249">
        <f t="shared" si="35"/>
        <v>39298.713276701885</v>
      </c>
      <c r="L249">
        <f t="shared" si="36"/>
        <v>29267.360892857145</v>
      </c>
      <c r="M249">
        <f t="shared" si="37"/>
        <v>733.14292634320623</v>
      </c>
      <c r="N249">
        <f t="shared" si="38"/>
        <v>69299.217095902233</v>
      </c>
      <c r="O249">
        <f t="shared" si="39"/>
        <v>30981.349981745112</v>
      </c>
      <c r="P249">
        <f t="shared" si="40"/>
        <v>23073.079886338324</v>
      </c>
      <c r="Q249">
        <f t="shared" si="41"/>
        <v>577.97713191656646</v>
      </c>
      <c r="R249">
        <f t="shared" si="42"/>
        <v>54632.406999999999</v>
      </c>
    </row>
    <row r="250" spans="1:18" x14ac:dyDescent="0.3">
      <c r="A250" t="s">
        <v>0</v>
      </c>
      <c r="B250" t="s">
        <v>0</v>
      </c>
      <c r="C250">
        <v>30</v>
      </c>
      <c r="D250">
        <v>30</v>
      </c>
      <c r="E250">
        <v>6</v>
      </c>
      <c r="F250">
        <v>20260302</v>
      </c>
      <c r="G250">
        <v>20260506</v>
      </c>
      <c r="H250">
        <v>191374.79689999999</v>
      </c>
      <c r="I250">
        <f t="shared" si="33"/>
        <v>66</v>
      </c>
      <c r="J250">
        <f t="shared" si="34"/>
        <v>2899.6181348484847</v>
      </c>
      <c r="K250">
        <f t="shared" si="35"/>
        <v>140164.5141828029</v>
      </c>
      <c r="L250">
        <f t="shared" si="36"/>
        <v>86988.544045454546</v>
      </c>
      <c r="M250">
        <f t="shared" si="37"/>
        <v>13074.298562133234</v>
      </c>
      <c r="N250">
        <f t="shared" si="38"/>
        <v>240227.35679039068</v>
      </c>
      <c r="O250">
        <f t="shared" si="39"/>
        <v>111660.70256405558</v>
      </c>
      <c r="P250">
        <f t="shared" si="40"/>
        <v>69298.581026519794</v>
      </c>
      <c r="Q250">
        <f t="shared" si="41"/>
        <v>10415.513309424614</v>
      </c>
      <c r="R250">
        <f t="shared" si="42"/>
        <v>191374.79690000002</v>
      </c>
    </row>
    <row r="251" spans="1:18" x14ac:dyDescent="0.3">
      <c r="A251" t="s">
        <v>0</v>
      </c>
      <c r="B251" t="s">
        <v>0</v>
      </c>
      <c r="C251">
        <v>27</v>
      </c>
      <c r="D251">
        <v>30</v>
      </c>
      <c r="E251">
        <v>2</v>
      </c>
      <c r="F251">
        <v>20260305</v>
      </c>
      <c r="G251">
        <v>20260502</v>
      </c>
      <c r="H251">
        <v>57101.459699999999</v>
      </c>
      <c r="I251">
        <f t="shared" si="33"/>
        <v>59</v>
      </c>
      <c r="J251">
        <f t="shared" si="34"/>
        <v>967.82135084745767</v>
      </c>
      <c r="K251">
        <f t="shared" si="35"/>
        <v>42105.126548992877</v>
      </c>
      <c r="L251">
        <f t="shared" si="36"/>
        <v>29034.640525423729</v>
      </c>
      <c r="M251">
        <f t="shared" si="37"/>
        <v>1454.626633269643</v>
      </c>
      <c r="N251">
        <f t="shared" si="38"/>
        <v>72594.393707686249</v>
      </c>
      <c r="O251">
        <f t="shared" si="39"/>
        <v>33119.14411024491</v>
      </c>
      <c r="P251">
        <f t="shared" si="40"/>
        <v>22838.132136516902</v>
      </c>
      <c r="Q251">
        <f t="shared" si="41"/>
        <v>1144.1834532381902</v>
      </c>
      <c r="R251">
        <f t="shared" si="42"/>
        <v>57101.459700000007</v>
      </c>
    </row>
    <row r="252" spans="1:18" x14ac:dyDescent="0.3">
      <c r="A252" t="s">
        <v>0</v>
      </c>
      <c r="B252" t="s">
        <v>0</v>
      </c>
      <c r="C252">
        <v>24</v>
      </c>
      <c r="D252">
        <v>30</v>
      </c>
      <c r="E252">
        <v>8</v>
      </c>
      <c r="F252">
        <v>20260308</v>
      </c>
      <c r="G252">
        <v>20260508</v>
      </c>
      <c r="H252">
        <v>25882.946100000001</v>
      </c>
      <c r="I252">
        <f t="shared" si="33"/>
        <v>62</v>
      </c>
      <c r="J252">
        <f t="shared" si="34"/>
        <v>417.4668725806452</v>
      </c>
      <c r="K252">
        <f t="shared" si="35"/>
        <v>16143.930313979161</v>
      </c>
      <c r="L252">
        <f t="shared" si="36"/>
        <v>12524.006177419356</v>
      </c>
      <c r="M252">
        <f t="shared" si="37"/>
        <v>2509.7955560986729</v>
      </c>
      <c r="N252">
        <f t="shared" si="38"/>
        <v>31177.732047497193</v>
      </c>
      <c r="O252">
        <f t="shared" si="39"/>
        <v>13402.273055727992</v>
      </c>
      <c r="P252">
        <f t="shared" si="40"/>
        <v>10397.105740481024</v>
      </c>
      <c r="Q252">
        <f t="shared" si="41"/>
        <v>2083.5673037909837</v>
      </c>
      <c r="R252">
        <f t="shared" si="42"/>
        <v>25882.946099999997</v>
      </c>
    </row>
    <row r="253" spans="1:18" x14ac:dyDescent="0.3">
      <c r="A253" t="s">
        <v>0</v>
      </c>
      <c r="B253" t="s">
        <v>0</v>
      </c>
      <c r="C253">
        <v>23</v>
      </c>
      <c r="D253">
        <v>30</v>
      </c>
      <c r="E253">
        <v>10</v>
      </c>
      <c r="F253">
        <v>20260309</v>
      </c>
      <c r="G253">
        <v>20260510</v>
      </c>
      <c r="H253">
        <v>13782.950500000001</v>
      </c>
      <c r="I253">
        <f t="shared" si="33"/>
        <v>63</v>
      </c>
      <c r="J253">
        <f t="shared" si="34"/>
        <v>218.77699206349209</v>
      </c>
      <c r="K253">
        <f t="shared" si="35"/>
        <v>8107.8461112236837</v>
      </c>
      <c r="L253">
        <f t="shared" si="36"/>
        <v>6563.309761904763</v>
      </c>
      <c r="M253">
        <f t="shared" si="37"/>
        <v>1644.0990846271163</v>
      </c>
      <c r="N253">
        <f t="shared" si="38"/>
        <v>16315.254957755562</v>
      </c>
      <c r="O253">
        <f t="shared" si="39"/>
        <v>6849.4204903302743</v>
      </c>
      <c r="P253">
        <f t="shared" si="40"/>
        <v>5544.6129281294834</v>
      </c>
      <c r="Q253">
        <f t="shared" si="41"/>
        <v>1388.9170815402442</v>
      </c>
      <c r="R253">
        <f t="shared" si="42"/>
        <v>13782.950500000003</v>
      </c>
    </row>
    <row r="254" spans="1:18" x14ac:dyDescent="0.3">
      <c r="A254" t="s">
        <v>0</v>
      </c>
      <c r="B254" t="s">
        <v>0</v>
      </c>
      <c r="C254">
        <v>29</v>
      </c>
      <c r="D254">
        <v>30</v>
      </c>
      <c r="E254">
        <v>7</v>
      </c>
      <c r="F254">
        <v>20260303</v>
      </c>
      <c r="G254">
        <v>20260507</v>
      </c>
      <c r="H254">
        <v>31977.183300000001</v>
      </c>
      <c r="I254">
        <f t="shared" si="33"/>
        <v>66</v>
      </c>
      <c r="J254">
        <f t="shared" si="34"/>
        <v>484.50277727272726</v>
      </c>
      <c r="K254">
        <f t="shared" si="35"/>
        <v>22639.679938473164</v>
      </c>
      <c r="L254">
        <f t="shared" si="36"/>
        <v>14535.083318181818</v>
      </c>
      <c r="M254">
        <f t="shared" si="37"/>
        <v>2548.7113410332822</v>
      </c>
      <c r="N254">
        <f t="shared" si="38"/>
        <v>39723.474597688262</v>
      </c>
      <c r="O254">
        <f t="shared" si="39"/>
        <v>18224.820526853411</v>
      </c>
      <c r="P254">
        <f t="shared" si="40"/>
        <v>11700.663858174206</v>
      </c>
      <c r="Q254">
        <f t="shared" si="41"/>
        <v>2051.698914972384</v>
      </c>
      <c r="R254">
        <f t="shared" si="42"/>
        <v>31977.183300000001</v>
      </c>
    </row>
    <row r="255" spans="1:18" x14ac:dyDescent="0.3">
      <c r="A255" t="s">
        <v>0</v>
      </c>
      <c r="B255" t="s">
        <v>0</v>
      </c>
      <c r="C255">
        <v>23</v>
      </c>
      <c r="D255">
        <v>30</v>
      </c>
      <c r="E255">
        <v>3</v>
      </c>
      <c r="F255">
        <v>20260309</v>
      </c>
      <c r="G255">
        <v>20260503</v>
      </c>
      <c r="H255">
        <v>5183.8050999999996</v>
      </c>
      <c r="I255">
        <f t="shared" si="33"/>
        <v>56</v>
      </c>
      <c r="J255">
        <f t="shared" si="34"/>
        <v>92.567948214285707</v>
      </c>
      <c r="K255">
        <f t="shared" si="35"/>
        <v>3430.5557996488883</v>
      </c>
      <c r="L255">
        <f t="shared" si="36"/>
        <v>2777.0384464285712</v>
      </c>
      <c r="M255">
        <f t="shared" si="37"/>
        <v>208.69316854043259</v>
      </c>
      <c r="N255">
        <f t="shared" si="38"/>
        <v>6416.287414617892</v>
      </c>
      <c r="O255">
        <f t="shared" si="39"/>
        <v>2771.5922777305218</v>
      </c>
      <c r="P255">
        <f t="shared" si="40"/>
        <v>2243.6067980208772</v>
      </c>
      <c r="Q255">
        <f t="shared" si="41"/>
        <v>168.60602424860042</v>
      </c>
      <c r="R255">
        <f t="shared" si="42"/>
        <v>5183.8050999999996</v>
      </c>
    </row>
    <row r="256" spans="1:18" x14ac:dyDescent="0.3">
      <c r="A256" t="s">
        <v>0</v>
      </c>
      <c r="B256" t="s">
        <v>0</v>
      </c>
      <c r="C256">
        <v>22</v>
      </c>
      <c r="D256">
        <v>30</v>
      </c>
      <c r="E256">
        <v>4</v>
      </c>
      <c r="F256">
        <v>20260310</v>
      </c>
      <c r="G256">
        <v>20260504</v>
      </c>
      <c r="H256">
        <v>15886.336600000001</v>
      </c>
      <c r="I256">
        <f t="shared" si="33"/>
        <v>56</v>
      </c>
      <c r="J256">
        <f t="shared" si="34"/>
        <v>283.68458214285715</v>
      </c>
      <c r="K256">
        <f t="shared" si="35"/>
        <v>10056.212178484213</v>
      </c>
      <c r="L256">
        <f t="shared" si="36"/>
        <v>8510.537464285715</v>
      </c>
      <c r="M256">
        <f t="shared" si="37"/>
        <v>852.75066162083476</v>
      </c>
      <c r="N256">
        <f t="shared" si="38"/>
        <v>19419.500304390764</v>
      </c>
      <c r="O256">
        <f t="shared" si="39"/>
        <v>8226.5953852735565</v>
      </c>
      <c r="P256">
        <f t="shared" si="40"/>
        <v>6962.13912229164</v>
      </c>
      <c r="Q256">
        <f t="shared" si="41"/>
        <v>697.60209243480256</v>
      </c>
      <c r="R256">
        <f t="shared" si="42"/>
        <v>15886.336600000001</v>
      </c>
    </row>
    <row r="257" spans="1:18" x14ac:dyDescent="0.3">
      <c r="A257" t="s">
        <v>0</v>
      </c>
      <c r="B257" t="s">
        <v>0</v>
      </c>
      <c r="C257">
        <v>24</v>
      </c>
      <c r="D257">
        <v>30</v>
      </c>
      <c r="E257">
        <v>2</v>
      </c>
      <c r="F257">
        <v>20260308</v>
      </c>
      <c r="G257">
        <v>20260502</v>
      </c>
      <c r="H257">
        <v>12349.8609</v>
      </c>
      <c r="I257">
        <f t="shared" si="33"/>
        <v>56</v>
      </c>
      <c r="J257">
        <f t="shared" si="34"/>
        <v>220.53323035714286</v>
      </c>
      <c r="K257">
        <f t="shared" si="35"/>
        <v>8528.2769403808525</v>
      </c>
      <c r="L257">
        <f t="shared" si="36"/>
        <v>6615.9969107142861</v>
      </c>
      <c r="M257">
        <f t="shared" si="37"/>
        <v>331.45942700849855</v>
      </c>
      <c r="N257">
        <f t="shared" si="38"/>
        <v>15475.733278103637</v>
      </c>
      <c r="O257">
        <f t="shared" si="39"/>
        <v>6805.6894001527526</v>
      </c>
      <c r="P257">
        <f t="shared" si="40"/>
        <v>5279.6620421054004</v>
      </c>
      <c r="Q257">
        <f t="shared" si="41"/>
        <v>264.50945774184771</v>
      </c>
      <c r="R257">
        <f t="shared" si="42"/>
        <v>12349.860900000001</v>
      </c>
    </row>
    <row r="258" spans="1:18" x14ac:dyDescent="0.3">
      <c r="A258" t="s">
        <v>0</v>
      </c>
      <c r="B258" t="s">
        <v>0</v>
      </c>
      <c r="C258">
        <v>29</v>
      </c>
      <c r="D258">
        <v>30</v>
      </c>
      <c r="E258">
        <v>12</v>
      </c>
      <c r="F258">
        <v>20260303</v>
      </c>
      <c r="G258">
        <v>20260512</v>
      </c>
      <c r="H258">
        <v>759.37040000000002</v>
      </c>
      <c r="I258">
        <f t="shared" si="33"/>
        <v>71</v>
      </c>
      <c r="J258">
        <f t="shared" si="34"/>
        <v>10.695357746478873</v>
      </c>
      <c r="K258">
        <f t="shared" si="35"/>
        <v>499.7690159192847</v>
      </c>
      <c r="L258">
        <f t="shared" si="36"/>
        <v>320.86073239436621</v>
      </c>
      <c r="M258">
        <f t="shared" si="37"/>
        <v>96.450148883895082</v>
      </c>
      <c r="N258">
        <f t="shared" si="38"/>
        <v>917.07989719754596</v>
      </c>
      <c r="O258">
        <f t="shared" si="39"/>
        <v>413.82413755437966</v>
      </c>
      <c r="P258">
        <f t="shared" si="40"/>
        <v>265.68256860407257</v>
      </c>
      <c r="Q258">
        <f t="shared" si="41"/>
        <v>79.863693841547814</v>
      </c>
      <c r="R258">
        <f t="shared" si="42"/>
        <v>759.37040000000013</v>
      </c>
    </row>
    <row r="259" spans="1:18" x14ac:dyDescent="0.3">
      <c r="A259" t="s">
        <v>0</v>
      </c>
      <c r="B259" t="s">
        <v>0</v>
      </c>
      <c r="C259">
        <v>24</v>
      </c>
      <c r="D259">
        <v>30</v>
      </c>
      <c r="E259">
        <v>14</v>
      </c>
      <c r="F259">
        <v>20260308</v>
      </c>
      <c r="G259">
        <v>20260514</v>
      </c>
      <c r="H259">
        <v>84.305300000000003</v>
      </c>
      <c r="I259">
        <f t="shared" si="33"/>
        <v>68</v>
      </c>
      <c r="J259">
        <f t="shared" si="34"/>
        <v>1.2397838235294119</v>
      </c>
      <c r="K259">
        <f t="shared" si="35"/>
        <v>47.943884811102031</v>
      </c>
      <c r="L259">
        <f t="shared" si="36"/>
        <v>37.193514705882357</v>
      </c>
      <c r="M259">
        <f t="shared" si="37"/>
        <v>13.043686185849593</v>
      </c>
      <c r="N259">
        <f t="shared" si="38"/>
        <v>98.181085702833983</v>
      </c>
      <c r="O259">
        <f t="shared" si="39"/>
        <v>41.168047422078267</v>
      </c>
      <c r="P259">
        <f t="shared" si="40"/>
        <v>31.937011012736392</v>
      </c>
      <c r="Q259">
        <f t="shared" si="41"/>
        <v>11.200241565185344</v>
      </c>
      <c r="R259">
        <f t="shared" si="42"/>
        <v>84.305299999999988</v>
      </c>
    </row>
    <row r="260" spans="1:18" x14ac:dyDescent="0.3">
      <c r="A260" t="s">
        <v>0</v>
      </c>
      <c r="B260" t="s">
        <v>0</v>
      </c>
      <c r="C260">
        <v>0</v>
      </c>
      <c r="D260">
        <v>14</v>
      </c>
      <c r="E260">
        <v>1</v>
      </c>
      <c r="F260">
        <v>20260417</v>
      </c>
      <c r="G260">
        <v>20260501</v>
      </c>
      <c r="H260">
        <v>295.62189999999998</v>
      </c>
      <c r="I260">
        <f t="shared" si="33"/>
        <v>15</v>
      </c>
      <c r="J260">
        <f t="shared" si="34"/>
        <v>19.708126666666665</v>
      </c>
      <c r="K260">
        <f t="shared" si="35"/>
        <v>0</v>
      </c>
      <c r="L260">
        <f t="shared" si="36"/>
        <v>275.91377333333332</v>
      </c>
      <c r="M260">
        <f t="shared" si="37"/>
        <v>14.810567010162746</v>
      </c>
      <c r="N260">
        <f t="shared" si="38"/>
        <v>290.72434034349607</v>
      </c>
      <c r="O260">
        <f t="shared" si="39"/>
        <v>0</v>
      </c>
      <c r="P260">
        <f t="shared" si="40"/>
        <v>280.56183329059218</v>
      </c>
      <c r="Q260">
        <f t="shared" si="41"/>
        <v>15.060066709407806</v>
      </c>
      <c r="R260">
        <f t="shared" si="42"/>
        <v>295.62189999999998</v>
      </c>
    </row>
    <row r="261" spans="1:18" x14ac:dyDescent="0.3">
      <c r="A261" t="s">
        <v>0</v>
      </c>
      <c r="B261" t="s">
        <v>0</v>
      </c>
      <c r="C261">
        <v>0</v>
      </c>
      <c r="D261">
        <v>14</v>
      </c>
      <c r="E261">
        <v>6</v>
      </c>
      <c r="F261">
        <v>20260417</v>
      </c>
      <c r="G261">
        <v>20260506</v>
      </c>
      <c r="H261">
        <v>168.87549999999999</v>
      </c>
      <c r="I261">
        <f t="shared" si="33"/>
        <v>20</v>
      </c>
      <c r="J261">
        <f t="shared" si="34"/>
        <v>8.4437749999999987</v>
      </c>
      <c r="K261">
        <f t="shared" si="35"/>
        <v>0</v>
      </c>
      <c r="L261">
        <f t="shared" si="36"/>
        <v>118.21284999999997</v>
      </c>
      <c r="M261">
        <f t="shared" si="37"/>
        <v>38.072749654411005</v>
      </c>
      <c r="N261">
        <f t="shared" si="38"/>
        <v>156.28559965441099</v>
      </c>
      <c r="O261">
        <f t="shared" si="39"/>
        <v>0</v>
      </c>
      <c r="P261">
        <f t="shared" si="40"/>
        <v>127.73572353639142</v>
      </c>
      <c r="Q261">
        <f t="shared" si="41"/>
        <v>41.139776463608548</v>
      </c>
      <c r="R261">
        <f t="shared" si="42"/>
        <v>168.87549999999996</v>
      </c>
    </row>
    <row r="262" spans="1:18" x14ac:dyDescent="0.3">
      <c r="A262" t="s">
        <v>0</v>
      </c>
      <c r="B262" t="s">
        <v>0</v>
      </c>
      <c r="C262">
        <v>0</v>
      </c>
      <c r="D262">
        <v>10</v>
      </c>
      <c r="E262">
        <v>8</v>
      </c>
      <c r="F262">
        <v>20260421</v>
      </c>
      <c r="G262">
        <v>20260508</v>
      </c>
      <c r="H262">
        <v>84.418000000000006</v>
      </c>
      <c r="I262">
        <f t="shared" si="33"/>
        <v>18</v>
      </c>
      <c r="J262">
        <f t="shared" si="34"/>
        <v>4.6898888888888894</v>
      </c>
      <c r="K262">
        <f t="shared" si="35"/>
        <v>0</v>
      </c>
      <c r="L262">
        <f t="shared" si="36"/>
        <v>46.898888888888891</v>
      </c>
      <c r="M262">
        <f t="shared" si="37"/>
        <v>28.195440321210281</v>
      </c>
      <c r="N262">
        <f t="shared" si="38"/>
        <v>75.094329210099175</v>
      </c>
      <c r="O262">
        <f t="shared" si="39"/>
        <v>0</v>
      </c>
      <c r="P262">
        <f t="shared" si="40"/>
        <v>52.721829249521754</v>
      </c>
      <c r="Q262">
        <f t="shared" si="41"/>
        <v>31.696170750478249</v>
      </c>
      <c r="R262">
        <f t="shared" si="42"/>
        <v>84.418000000000006</v>
      </c>
    </row>
    <row r="263" spans="1:18" x14ac:dyDescent="0.3">
      <c r="A263" t="s">
        <v>0</v>
      </c>
      <c r="B263" t="s">
        <v>0</v>
      </c>
      <c r="C263">
        <v>0</v>
      </c>
      <c r="D263">
        <v>6</v>
      </c>
      <c r="E263">
        <v>1</v>
      </c>
      <c r="F263">
        <v>20260425</v>
      </c>
      <c r="G263">
        <v>20260501</v>
      </c>
      <c r="H263">
        <v>84.327100000000002</v>
      </c>
      <c r="I263">
        <f t="shared" si="33"/>
        <v>7</v>
      </c>
      <c r="J263">
        <f t="shared" si="34"/>
        <v>12.046728571428572</v>
      </c>
      <c r="K263">
        <f t="shared" si="35"/>
        <v>0</v>
      </c>
      <c r="L263">
        <f t="shared" si="36"/>
        <v>72.280371428571428</v>
      </c>
      <c r="M263">
        <f t="shared" si="37"/>
        <v>9.053061398380077</v>
      </c>
      <c r="N263">
        <f t="shared" si="38"/>
        <v>81.333432826951508</v>
      </c>
      <c r="O263">
        <f t="shared" si="39"/>
        <v>0</v>
      </c>
      <c r="P263">
        <f t="shared" si="40"/>
        <v>74.940819508536933</v>
      </c>
      <c r="Q263">
        <f t="shared" si="41"/>
        <v>9.3862804914630651</v>
      </c>
      <c r="R263">
        <f t="shared" si="42"/>
        <v>84.327100000000002</v>
      </c>
    </row>
    <row r="264" spans="1:18" x14ac:dyDescent="0.3">
      <c r="A264" t="s">
        <v>0</v>
      </c>
      <c r="B264" t="s">
        <v>0</v>
      </c>
      <c r="C264">
        <v>0</v>
      </c>
      <c r="D264">
        <v>18</v>
      </c>
      <c r="E264">
        <v>1</v>
      </c>
      <c r="F264">
        <v>20260413</v>
      </c>
      <c r="G264">
        <v>20260501</v>
      </c>
      <c r="H264">
        <v>380.04989999999998</v>
      </c>
      <c r="I264">
        <f t="shared" si="33"/>
        <v>19</v>
      </c>
      <c r="J264">
        <f t="shared" si="34"/>
        <v>20.002626315789474</v>
      </c>
      <c r="K264">
        <f t="shared" si="35"/>
        <v>0</v>
      </c>
      <c r="L264">
        <f t="shared" si="36"/>
        <v>360.04727368421055</v>
      </c>
      <c r="M264">
        <f t="shared" si="37"/>
        <v>15.031882148916139</v>
      </c>
      <c r="N264">
        <f t="shared" si="38"/>
        <v>375.07915583312672</v>
      </c>
      <c r="O264">
        <f t="shared" si="39"/>
        <v>0</v>
      </c>
      <c r="P264">
        <f t="shared" si="40"/>
        <v>364.81880752615155</v>
      </c>
      <c r="Q264">
        <f t="shared" si="41"/>
        <v>15.231092473848443</v>
      </c>
      <c r="R264">
        <f t="shared" si="42"/>
        <v>380.04989999999998</v>
      </c>
    </row>
    <row r="265" spans="1:18" x14ac:dyDescent="0.3">
      <c r="A265" t="s">
        <v>0</v>
      </c>
      <c r="B265" t="s">
        <v>0</v>
      </c>
      <c r="C265">
        <v>0</v>
      </c>
      <c r="D265">
        <v>17</v>
      </c>
      <c r="E265">
        <v>1</v>
      </c>
      <c r="F265">
        <v>20260414</v>
      </c>
      <c r="G265">
        <v>20260501</v>
      </c>
      <c r="H265">
        <v>380.04079999999999</v>
      </c>
      <c r="I265">
        <f t="shared" si="33"/>
        <v>18</v>
      </c>
      <c r="J265">
        <f t="shared" si="34"/>
        <v>21.113377777777778</v>
      </c>
      <c r="K265">
        <f t="shared" si="35"/>
        <v>0</v>
      </c>
      <c r="L265">
        <f t="shared" si="36"/>
        <v>358.92742222222222</v>
      </c>
      <c r="M265">
        <f t="shared" si="37"/>
        <v>15.866606790058119</v>
      </c>
      <c r="N265">
        <f t="shared" si="38"/>
        <v>374.79402901228036</v>
      </c>
      <c r="O265">
        <f t="shared" si="39"/>
        <v>0</v>
      </c>
      <c r="P265">
        <f t="shared" si="40"/>
        <v>363.95207533789613</v>
      </c>
      <c r="Q265">
        <f t="shared" si="41"/>
        <v>16.088724662103793</v>
      </c>
      <c r="R265">
        <f t="shared" si="42"/>
        <v>380.04079999999993</v>
      </c>
    </row>
    <row r="266" spans="1:18" x14ac:dyDescent="0.3">
      <c r="A266" t="s">
        <v>0</v>
      </c>
      <c r="B266" t="s">
        <v>0</v>
      </c>
      <c r="C266">
        <v>0</v>
      </c>
      <c r="D266">
        <v>21</v>
      </c>
      <c r="E266">
        <v>2</v>
      </c>
      <c r="F266">
        <v>20260410</v>
      </c>
      <c r="G266">
        <v>20260502</v>
      </c>
      <c r="H266">
        <v>42.2179</v>
      </c>
      <c r="I266">
        <f t="shared" si="33"/>
        <v>23</v>
      </c>
      <c r="J266">
        <f t="shared" si="34"/>
        <v>1.8355608695652175</v>
      </c>
      <c r="K266">
        <f t="shared" si="35"/>
        <v>0</v>
      </c>
      <c r="L266">
        <f t="shared" si="36"/>
        <v>38.546778260869566</v>
      </c>
      <c r="M266">
        <f t="shared" si="37"/>
        <v>2.7588311887510621</v>
      </c>
      <c r="N266">
        <f t="shared" si="38"/>
        <v>41.305609449620626</v>
      </c>
      <c r="O266">
        <f t="shared" si="39"/>
        <v>0</v>
      </c>
      <c r="P266">
        <f t="shared" si="40"/>
        <v>39.398136273099148</v>
      </c>
      <c r="Q266">
        <f t="shared" si="41"/>
        <v>2.819763726900856</v>
      </c>
      <c r="R266">
        <f t="shared" si="42"/>
        <v>42.2179</v>
      </c>
    </row>
    <row r="267" spans="1:18" x14ac:dyDescent="0.3">
      <c r="A267" t="s">
        <v>0</v>
      </c>
      <c r="B267" t="s">
        <v>0</v>
      </c>
      <c r="C267">
        <v>5</v>
      </c>
      <c r="D267">
        <v>30</v>
      </c>
      <c r="E267">
        <v>3</v>
      </c>
      <c r="F267">
        <v>20260327</v>
      </c>
      <c r="G267">
        <v>20260503</v>
      </c>
      <c r="H267">
        <v>295.29000000000002</v>
      </c>
      <c r="I267">
        <f t="shared" ref="I267:I330" si="43">IF(C267&lt;0,0,C267)+D267+E267</f>
        <v>38</v>
      </c>
      <c r="J267">
        <f t="shared" ref="J267:J330" si="44">H267/I267</f>
        <v>7.7707894736842107</v>
      </c>
      <c r="K267">
        <f t="shared" ref="K267:K330" si="45">IF(C267&lt;0,0,C267)*$J267*$B$6</f>
        <v>62.605308741956115</v>
      </c>
      <c r="L267">
        <f t="shared" ref="L267:L330" si="46">IF(D267&lt;0,0,D267)*$J267*$C$6</f>
        <v>233.12368421052633</v>
      </c>
      <c r="M267">
        <f t="shared" ref="M267:M330" si="47">IF(E267&lt;0,0,E267)*$J267*$D$6</f>
        <v>17.519138196405709</v>
      </c>
      <c r="N267">
        <f t="shared" ref="N267:N330" si="48">K267+L267+M267</f>
        <v>313.24813114888815</v>
      </c>
      <c r="O267">
        <f t="shared" ref="O267:O330" si="49">K267/$N267*$H267</f>
        <v>59.016223179398338</v>
      </c>
      <c r="P267">
        <f t="shared" ref="P267:P330" si="50">L267/$N267*$H267</f>
        <v>219.75898932915524</v>
      </c>
      <c r="Q267">
        <f t="shared" ref="Q267:Q330" si="51">M267/$N267*$H267</f>
        <v>16.514787491446473</v>
      </c>
      <c r="R267">
        <f t="shared" ref="R267:R330" si="52">O267+P267+Q267</f>
        <v>295.29000000000008</v>
      </c>
    </row>
    <row r="268" spans="1:18" x14ac:dyDescent="0.3">
      <c r="A268" t="s">
        <v>0</v>
      </c>
      <c r="B268" t="s">
        <v>0</v>
      </c>
      <c r="C268">
        <v>1</v>
      </c>
      <c r="D268">
        <v>30</v>
      </c>
      <c r="E268">
        <v>7</v>
      </c>
      <c r="F268">
        <v>20260331</v>
      </c>
      <c r="G268">
        <v>20260507</v>
      </c>
      <c r="H268">
        <v>379.56060000000002</v>
      </c>
      <c r="I268">
        <f t="shared" si="43"/>
        <v>38</v>
      </c>
      <c r="J268">
        <f t="shared" si="44"/>
        <v>9.9884368421052638</v>
      </c>
      <c r="K268">
        <f t="shared" si="45"/>
        <v>16.094353719585566</v>
      </c>
      <c r="L268">
        <f t="shared" si="46"/>
        <v>299.6531052631579</v>
      </c>
      <c r="M268">
        <f t="shared" si="47"/>
        <v>52.543852074429303</v>
      </c>
      <c r="N268">
        <f t="shared" si="48"/>
        <v>368.29131105717278</v>
      </c>
      <c r="O268">
        <f t="shared" si="49"/>
        <v>16.586822363207517</v>
      </c>
      <c r="P268">
        <f t="shared" si="50"/>
        <v>308.82214434836658</v>
      </c>
      <c r="Q268">
        <f t="shared" si="51"/>
        <v>54.151633288425941</v>
      </c>
      <c r="R268">
        <f t="shared" si="52"/>
        <v>379.56060000000002</v>
      </c>
    </row>
    <row r="269" spans="1:18" x14ac:dyDescent="0.3">
      <c r="A269" t="s">
        <v>0</v>
      </c>
      <c r="B269" t="s">
        <v>0</v>
      </c>
      <c r="C269">
        <v>14</v>
      </c>
      <c r="D269">
        <v>30</v>
      </c>
      <c r="E269">
        <v>10</v>
      </c>
      <c r="F269">
        <v>20260318</v>
      </c>
      <c r="G269">
        <v>20260510</v>
      </c>
      <c r="H269">
        <v>716.93119999999999</v>
      </c>
      <c r="I269">
        <f t="shared" si="43"/>
        <v>54</v>
      </c>
      <c r="J269">
        <f t="shared" si="44"/>
        <v>13.276503703703703</v>
      </c>
      <c r="K269">
        <f t="shared" si="45"/>
        <v>299.49375483107326</v>
      </c>
      <c r="L269">
        <f t="shared" si="46"/>
        <v>398.29511111111111</v>
      </c>
      <c r="M269">
        <f t="shared" si="47"/>
        <v>99.772317831177716</v>
      </c>
      <c r="N269">
        <f t="shared" si="48"/>
        <v>797.56118377336213</v>
      </c>
      <c r="O269">
        <f t="shared" si="49"/>
        <v>269.21623244964957</v>
      </c>
      <c r="P269">
        <f t="shared" si="50"/>
        <v>358.02919922964207</v>
      </c>
      <c r="Q269">
        <f t="shared" si="51"/>
        <v>89.685768320708334</v>
      </c>
      <c r="R269">
        <f t="shared" si="52"/>
        <v>716.93119999999999</v>
      </c>
    </row>
    <row r="270" spans="1:18" x14ac:dyDescent="0.3">
      <c r="A270" t="s">
        <v>0</v>
      </c>
      <c r="B270" t="s">
        <v>0</v>
      </c>
      <c r="C270">
        <v>15</v>
      </c>
      <c r="D270">
        <v>30</v>
      </c>
      <c r="E270">
        <v>7</v>
      </c>
      <c r="F270">
        <v>20260317</v>
      </c>
      <c r="G270">
        <v>20260507</v>
      </c>
      <c r="H270">
        <v>252.9752</v>
      </c>
      <c r="I270">
        <f t="shared" si="43"/>
        <v>52</v>
      </c>
      <c r="J270">
        <f t="shared" si="44"/>
        <v>4.8649076923076926</v>
      </c>
      <c r="K270">
        <f t="shared" si="45"/>
        <v>117.58228006670255</v>
      </c>
      <c r="L270">
        <f t="shared" si="46"/>
        <v>145.94723076923077</v>
      </c>
      <c r="M270">
        <f t="shared" si="47"/>
        <v>25.591691090524165</v>
      </c>
      <c r="N270">
        <f t="shared" si="48"/>
        <v>289.1212019264575</v>
      </c>
      <c r="O270">
        <f t="shared" si="49"/>
        <v>102.88211524485949</v>
      </c>
      <c r="P270">
        <f t="shared" si="50"/>
        <v>127.70087301547586</v>
      </c>
      <c r="Q270">
        <f t="shared" si="51"/>
        <v>22.392211739664628</v>
      </c>
      <c r="R270">
        <f t="shared" si="52"/>
        <v>252.97519999999997</v>
      </c>
    </row>
    <row r="271" spans="1:18" x14ac:dyDescent="0.3">
      <c r="A271" t="s">
        <v>0</v>
      </c>
      <c r="B271" t="s">
        <v>0</v>
      </c>
      <c r="C271">
        <v>15</v>
      </c>
      <c r="D271">
        <v>30</v>
      </c>
      <c r="E271">
        <v>5</v>
      </c>
      <c r="F271">
        <v>20260317</v>
      </c>
      <c r="G271">
        <v>20260505</v>
      </c>
      <c r="H271">
        <v>210.80279999999999</v>
      </c>
      <c r="I271">
        <f t="shared" si="43"/>
        <v>50</v>
      </c>
      <c r="J271">
        <f t="shared" si="44"/>
        <v>4.216056</v>
      </c>
      <c r="K271">
        <f t="shared" si="45"/>
        <v>101.8998732807915</v>
      </c>
      <c r="L271">
        <f t="shared" si="46"/>
        <v>126.48168</v>
      </c>
      <c r="M271">
        <f t="shared" si="47"/>
        <v>15.841733961505909</v>
      </c>
      <c r="N271">
        <f t="shared" si="48"/>
        <v>244.22328724229737</v>
      </c>
      <c r="O271">
        <f t="shared" si="49"/>
        <v>87.955488806129495</v>
      </c>
      <c r="P271">
        <f t="shared" si="50"/>
        <v>109.17342319715631</v>
      </c>
      <c r="Q271">
        <f t="shared" si="51"/>
        <v>13.673887996714216</v>
      </c>
      <c r="R271">
        <f t="shared" si="52"/>
        <v>210.80280000000002</v>
      </c>
    </row>
    <row r="272" spans="1:18" x14ac:dyDescent="0.3">
      <c r="A272" t="s">
        <v>0</v>
      </c>
      <c r="B272" t="s">
        <v>0</v>
      </c>
      <c r="C272">
        <v>6</v>
      </c>
      <c r="D272">
        <v>30</v>
      </c>
      <c r="E272">
        <v>7</v>
      </c>
      <c r="F272">
        <v>20260326</v>
      </c>
      <c r="G272">
        <v>20260507</v>
      </c>
      <c r="H272">
        <v>295.3245</v>
      </c>
      <c r="I272">
        <f t="shared" si="43"/>
        <v>43</v>
      </c>
      <c r="J272">
        <f t="shared" si="44"/>
        <v>6.8680116279069772</v>
      </c>
      <c r="K272">
        <f t="shared" si="45"/>
        <v>66.398502730962164</v>
      </c>
      <c r="L272">
        <f t="shared" si="46"/>
        <v>206.04034883720931</v>
      </c>
      <c r="M272">
        <f t="shared" si="47"/>
        <v>36.128955183556386</v>
      </c>
      <c r="N272">
        <f t="shared" si="48"/>
        <v>308.56780675172786</v>
      </c>
      <c r="O272">
        <f t="shared" si="49"/>
        <v>63.548770126714565</v>
      </c>
      <c r="P272">
        <f t="shared" si="50"/>
        <v>197.19737985866115</v>
      </c>
      <c r="Q272">
        <f t="shared" si="51"/>
        <v>34.578350014624306</v>
      </c>
      <c r="R272">
        <f t="shared" si="52"/>
        <v>295.32450000000006</v>
      </c>
    </row>
    <row r="273" spans="1:18" x14ac:dyDescent="0.3">
      <c r="A273" t="s">
        <v>0</v>
      </c>
      <c r="B273" t="s">
        <v>0</v>
      </c>
      <c r="C273">
        <v>20</v>
      </c>
      <c r="D273">
        <v>30</v>
      </c>
      <c r="E273">
        <v>5</v>
      </c>
      <c r="F273">
        <v>20260312</v>
      </c>
      <c r="G273">
        <v>20260505</v>
      </c>
      <c r="H273">
        <v>42.141800000000003</v>
      </c>
      <c r="I273">
        <f t="shared" si="43"/>
        <v>55</v>
      </c>
      <c r="J273">
        <f t="shared" si="44"/>
        <v>0.76621454545454548</v>
      </c>
      <c r="K273">
        <f t="shared" si="45"/>
        <v>24.692007597532683</v>
      </c>
      <c r="L273">
        <f t="shared" si="46"/>
        <v>22.986436363636365</v>
      </c>
      <c r="M273">
        <f t="shared" si="47"/>
        <v>2.8790336244412043</v>
      </c>
      <c r="N273">
        <f t="shared" si="48"/>
        <v>50.557477585610258</v>
      </c>
      <c r="O273">
        <f t="shared" si="49"/>
        <v>20.581834685318046</v>
      </c>
      <c r="P273">
        <f t="shared" si="50"/>
        <v>19.160168786284562</v>
      </c>
      <c r="Q273">
        <f t="shared" si="51"/>
        <v>2.3997965283973897</v>
      </c>
      <c r="R273">
        <f t="shared" si="52"/>
        <v>42.141799999999996</v>
      </c>
    </row>
    <row r="274" spans="1:18" x14ac:dyDescent="0.3">
      <c r="A274" t="s">
        <v>0</v>
      </c>
      <c r="B274" t="s">
        <v>0</v>
      </c>
      <c r="C274">
        <v>6</v>
      </c>
      <c r="D274">
        <v>30</v>
      </c>
      <c r="E274">
        <v>1</v>
      </c>
      <c r="F274">
        <v>20260326</v>
      </c>
      <c r="G274">
        <v>20260501</v>
      </c>
      <c r="H274">
        <v>379.69409999999999</v>
      </c>
      <c r="I274">
        <f t="shared" si="43"/>
        <v>37</v>
      </c>
      <c r="J274">
        <f t="shared" si="44"/>
        <v>10.262002702702702</v>
      </c>
      <c r="K274">
        <f t="shared" si="45"/>
        <v>99.210899951285782</v>
      </c>
      <c r="L274">
        <f t="shared" si="46"/>
        <v>307.86008108108103</v>
      </c>
      <c r="M274">
        <f t="shared" si="47"/>
        <v>7.7118480745260882</v>
      </c>
      <c r="N274">
        <f t="shared" si="48"/>
        <v>414.7828291068929</v>
      </c>
      <c r="O274">
        <f t="shared" si="49"/>
        <v>90.818111849769181</v>
      </c>
      <c r="P274">
        <f t="shared" si="50"/>
        <v>281.81652712987284</v>
      </c>
      <c r="Q274">
        <f t="shared" si="51"/>
        <v>7.0594610203579808</v>
      </c>
      <c r="R274">
        <f t="shared" si="52"/>
        <v>379.69409999999999</v>
      </c>
    </row>
    <row r="275" spans="1:18" x14ac:dyDescent="0.3">
      <c r="A275" t="s">
        <v>0</v>
      </c>
      <c r="B275" t="s">
        <v>0</v>
      </c>
      <c r="C275">
        <v>7</v>
      </c>
      <c r="D275">
        <v>30</v>
      </c>
      <c r="E275">
        <v>6</v>
      </c>
      <c r="F275">
        <v>20260325</v>
      </c>
      <c r="G275">
        <v>20260506</v>
      </c>
      <c r="H275">
        <v>126.5766</v>
      </c>
      <c r="I275">
        <f t="shared" si="43"/>
        <v>43</v>
      </c>
      <c r="J275">
        <f t="shared" si="44"/>
        <v>2.9436418604651164</v>
      </c>
      <c r="K275">
        <f t="shared" si="45"/>
        <v>33.201600863587529</v>
      </c>
      <c r="L275">
        <f t="shared" si="46"/>
        <v>88.309255813953499</v>
      </c>
      <c r="M275">
        <f t="shared" si="47"/>
        <v>13.2728003322842</v>
      </c>
      <c r="N275">
        <f t="shared" si="48"/>
        <v>134.78365700982522</v>
      </c>
      <c r="O275">
        <f t="shared" si="49"/>
        <v>31.179935647269339</v>
      </c>
      <c r="P275">
        <f t="shared" si="50"/>
        <v>82.932052723911767</v>
      </c>
      <c r="Q275">
        <f t="shared" si="51"/>
        <v>12.46461162881889</v>
      </c>
      <c r="R275">
        <f t="shared" si="52"/>
        <v>126.57659999999998</v>
      </c>
    </row>
    <row r="276" spans="1:18" x14ac:dyDescent="0.3">
      <c r="A276" t="s">
        <v>0</v>
      </c>
      <c r="B276" t="s">
        <v>0</v>
      </c>
      <c r="C276">
        <v>31</v>
      </c>
      <c r="D276">
        <v>30</v>
      </c>
      <c r="E276">
        <v>3</v>
      </c>
      <c r="F276">
        <v>20260228</v>
      </c>
      <c r="G276">
        <v>20260503</v>
      </c>
      <c r="H276">
        <v>970.67039999999997</v>
      </c>
      <c r="I276">
        <f t="shared" si="43"/>
        <v>64</v>
      </c>
      <c r="J276">
        <f t="shared" si="44"/>
        <v>15.166725</v>
      </c>
      <c r="K276">
        <f t="shared" si="45"/>
        <v>757.58177821678191</v>
      </c>
      <c r="L276">
        <f t="shared" si="46"/>
        <v>455.00175000000002</v>
      </c>
      <c r="M276">
        <f t="shared" si="47"/>
        <v>34.193173314204657</v>
      </c>
      <c r="N276">
        <f t="shared" si="48"/>
        <v>1246.7767015309864</v>
      </c>
      <c r="O276">
        <f t="shared" si="49"/>
        <v>589.81067483167021</v>
      </c>
      <c r="P276">
        <f t="shared" si="50"/>
        <v>354.23883854331348</v>
      </c>
      <c r="Q276">
        <f t="shared" si="51"/>
        <v>26.62088662501645</v>
      </c>
      <c r="R276">
        <f t="shared" si="52"/>
        <v>970.67040000000009</v>
      </c>
    </row>
    <row r="277" spans="1:18" x14ac:dyDescent="0.3">
      <c r="A277" t="s">
        <v>0</v>
      </c>
      <c r="B277" t="s">
        <v>0</v>
      </c>
      <c r="C277">
        <v>31</v>
      </c>
      <c r="D277">
        <v>30</v>
      </c>
      <c r="E277">
        <v>4</v>
      </c>
      <c r="F277">
        <v>20260228</v>
      </c>
      <c r="G277">
        <v>20260504</v>
      </c>
      <c r="H277">
        <v>633.04589999999996</v>
      </c>
      <c r="I277">
        <f t="shared" si="43"/>
        <v>65</v>
      </c>
      <c r="J277">
        <f t="shared" si="44"/>
        <v>9.7391676923076922</v>
      </c>
      <c r="K277">
        <f t="shared" si="45"/>
        <v>486.47390776122683</v>
      </c>
      <c r="L277">
        <f t="shared" si="46"/>
        <v>292.17503076923077</v>
      </c>
      <c r="M277">
        <f t="shared" si="47"/>
        <v>29.275759826346118</v>
      </c>
      <c r="N277">
        <f t="shared" si="48"/>
        <v>807.92469835680367</v>
      </c>
      <c r="O277">
        <f t="shared" si="49"/>
        <v>381.17452454612095</v>
      </c>
      <c r="P277">
        <f t="shared" si="50"/>
        <v>228.93248057277663</v>
      </c>
      <c r="Q277">
        <f t="shared" si="51"/>
        <v>22.938894881102446</v>
      </c>
      <c r="R277">
        <f t="shared" si="52"/>
        <v>633.04590000000007</v>
      </c>
    </row>
    <row r="278" spans="1:18" x14ac:dyDescent="0.3">
      <c r="A278" t="s">
        <v>0</v>
      </c>
      <c r="B278" t="s">
        <v>0</v>
      </c>
      <c r="C278">
        <v>31</v>
      </c>
      <c r="D278">
        <v>30</v>
      </c>
      <c r="E278">
        <v>5</v>
      </c>
      <c r="F278">
        <v>20260226</v>
      </c>
      <c r="G278">
        <v>20260505</v>
      </c>
      <c r="H278">
        <v>590.8981</v>
      </c>
      <c r="I278">
        <f t="shared" si="43"/>
        <v>66</v>
      </c>
      <c r="J278">
        <f t="shared" si="44"/>
        <v>8.9530015151515148</v>
      </c>
      <c r="K278">
        <f t="shared" si="45"/>
        <v>447.20470689789829</v>
      </c>
      <c r="L278">
        <f t="shared" si="46"/>
        <v>268.59004545454542</v>
      </c>
      <c r="M278">
        <f t="shared" si="47"/>
        <v>33.640698358842862</v>
      </c>
      <c r="N278">
        <f t="shared" si="48"/>
        <v>749.43545071128665</v>
      </c>
      <c r="O278">
        <f t="shared" si="49"/>
        <v>352.60196373980432</v>
      </c>
      <c r="P278">
        <f t="shared" si="50"/>
        <v>211.77187092947634</v>
      </c>
      <c r="Q278">
        <f t="shared" si="51"/>
        <v>26.524265330719288</v>
      </c>
      <c r="R278">
        <f t="shared" si="52"/>
        <v>590.89809999999989</v>
      </c>
    </row>
    <row r="279" spans="1:18" x14ac:dyDescent="0.3">
      <c r="A279" t="s">
        <v>0</v>
      </c>
      <c r="B279" t="s">
        <v>0</v>
      </c>
      <c r="C279">
        <v>27</v>
      </c>
      <c r="D279">
        <v>25</v>
      </c>
      <c r="E279">
        <v>0</v>
      </c>
      <c r="F279">
        <v>20260305</v>
      </c>
      <c r="G279">
        <v>20260425</v>
      </c>
      <c r="H279">
        <v>1433.8624</v>
      </c>
      <c r="I279">
        <f t="shared" si="43"/>
        <v>52</v>
      </c>
      <c r="J279">
        <f t="shared" si="44"/>
        <v>27.574276923076923</v>
      </c>
      <c r="K279">
        <f t="shared" si="45"/>
        <v>1199.6205894057823</v>
      </c>
      <c r="L279">
        <f t="shared" si="46"/>
        <v>689.35692307692307</v>
      </c>
      <c r="M279">
        <f t="shared" si="47"/>
        <v>0</v>
      </c>
      <c r="N279">
        <f t="shared" si="48"/>
        <v>1888.9775124827054</v>
      </c>
      <c r="O279">
        <f t="shared" si="49"/>
        <v>910.59361270746626</v>
      </c>
      <c r="P279">
        <f t="shared" si="50"/>
        <v>523.26878729253372</v>
      </c>
      <c r="Q279">
        <f t="shared" si="51"/>
        <v>0</v>
      </c>
      <c r="R279">
        <f t="shared" si="52"/>
        <v>1433.8624</v>
      </c>
    </row>
    <row r="280" spans="1:18" x14ac:dyDescent="0.3">
      <c r="A280" t="s">
        <v>0</v>
      </c>
      <c r="B280" t="s">
        <v>0</v>
      </c>
      <c r="C280">
        <v>30</v>
      </c>
      <c r="D280">
        <v>25</v>
      </c>
      <c r="E280">
        <v>0</v>
      </c>
      <c r="F280">
        <v>20260302</v>
      </c>
      <c r="G280">
        <v>20260425</v>
      </c>
      <c r="H280">
        <v>3797.2968000000001</v>
      </c>
      <c r="I280">
        <f t="shared" si="43"/>
        <v>55</v>
      </c>
      <c r="J280">
        <f t="shared" si="44"/>
        <v>69.041759999999996</v>
      </c>
      <c r="K280">
        <f t="shared" si="45"/>
        <v>3337.4066165548174</v>
      </c>
      <c r="L280">
        <f t="shared" si="46"/>
        <v>1726.0439999999999</v>
      </c>
      <c r="M280">
        <f t="shared" si="47"/>
        <v>0</v>
      </c>
      <c r="N280">
        <f t="shared" si="48"/>
        <v>5063.4506165548173</v>
      </c>
      <c r="O280">
        <f t="shared" si="49"/>
        <v>2502.8630523042912</v>
      </c>
      <c r="P280">
        <f t="shared" si="50"/>
        <v>1294.4337476957087</v>
      </c>
      <c r="Q280">
        <f t="shared" si="51"/>
        <v>0</v>
      </c>
      <c r="R280">
        <f t="shared" si="52"/>
        <v>3797.2968000000001</v>
      </c>
    </row>
    <row r="281" spans="1:18" x14ac:dyDescent="0.3">
      <c r="A281" t="s">
        <v>0</v>
      </c>
      <c r="B281" t="s">
        <v>0</v>
      </c>
      <c r="C281">
        <v>29</v>
      </c>
      <c r="D281">
        <v>23</v>
      </c>
      <c r="E281">
        <v>0</v>
      </c>
      <c r="F281">
        <v>20260303</v>
      </c>
      <c r="G281">
        <v>20260423</v>
      </c>
      <c r="H281">
        <v>295.3107</v>
      </c>
      <c r="I281">
        <f t="shared" si="43"/>
        <v>52</v>
      </c>
      <c r="J281">
        <f t="shared" si="44"/>
        <v>5.6790519230769227</v>
      </c>
      <c r="K281">
        <f t="shared" si="45"/>
        <v>265.36879440849674</v>
      </c>
      <c r="L281">
        <f t="shared" si="46"/>
        <v>130.61819423076923</v>
      </c>
      <c r="M281">
        <f t="shared" si="47"/>
        <v>0</v>
      </c>
      <c r="N281">
        <f t="shared" si="48"/>
        <v>395.98698863926597</v>
      </c>
      <c r="O281">
        <f t="shared" si="49"/>
        <v>197.9010590833299</v>
      </c>
      <c r="P281">
        <f t="shared" si="50"/>
        <v>97.409640916670099</v>
      </c>
      <c r="Q281">
        <f t="shared" si="51"/>
        <v>0</v>
      </c>
      <c r="R281">
        <f t="shared" si="52"/>
        <v>295.3107</v>
      </c>
    </row>
    <row r="282" spans="1:18" x14ac:dyDescent="0.3">
      <c r="A282" t="s">
        <v>0</v>
      </c>
      <c r="B282" t="s">
        <v>0</v>
      </c>
      <c r="C282">
        <v>25</v>
      </c>
      <c r="D282">
        <v>30</v>
      </c>
      <c r="E282">
        <v>0</v>
      </c>
      <c r="F282">
        <v>20260307</v>
      </c>
      <c r="G282">
        <v>20260430</v>
      </c>
      <c r="H282">
        <v>547.99739999999997</v>
      </c>
      <c r="I282">
        <f t="shared" si="43"/>
        <v>55</v>
      </c>
      <c r="J282">
        <f t="shared" si="44"/>
        <v>9.9635890909090907</v>
      </c>
      <c r="K282">
        <f t="shared" si="45"/>
        <v>401.35791435783938</v>
      </c>
      <c r="L282">
        <f t="shared" si="46"/>
        <v>298.90767272727271</v>
      </c>
      <c r="M282">
        <f t="shared" si="47"/>
        <v>0</v>
      </c>
      <c r="N282">
        <f t="shared" si="48"/>
        <v>700.26558708511209</v>
      </c>
      <c r="O282">
        <f t="shared" si="49"/>
        <v>314.08525221558</v>
      </c>
      <c r="P282">
        <f t="shared" si="50"/>
        <v>233.91214778441997</v>
      </c>
      <c r="Q282">
        <f t="shared" si="51"/>
        <v>0</v>
      </c>
      <c r="R282">
        <f t="shared" si="52"/>
        <v>547.99739999999997</v>
      </c>
    </row>
    <row r="283" spans="1:18" x14ac:dyDescent="0.3">
      <c r="A283" t="s">
        <v>0</v>
      </c>
      <c r="B283" t="s">
        <v>0</v>
      </c>
      <c r="C283">
        <v>24</v>
      </c>
      <c r="D283">
        <v>29</v>
      </c>
      <c r="E283">
        <v>0</v>
      </c>
      <c r="F283">
        <v>20260308</v>
      </c>
      <c r="G283">
        <v>20260429</v>
      </c>
      <c r="H283">
        <v>210.74350000000001</v>
      </c>
      <c r="I283">
        <f t="shared" si="43"/>
        <v>53</v>
      </c>
      <c r="J283">
        <f t="shared" si="44"/>
        <v>3.9762924528301888</v>
      </c>
      <c r="K283">
        <f t="shared" si="45"/>
        <v>153.767861554311</v>
      </c>
      <c r="L283">
        <f t="shared" si="46"/>
        <v>115.31248113207548</v>
      </c>
      <c r="M283">
        <f t="shared" si="47"/>
        <v>0</v>
      </c>
      <c r="N283">
        <f t="shared" si="48"/>
        <v>269.08034268638647</v>
      </c>
      <c r="O283">
        <f t="shared" si="49"/>
        <v>120.43086093895639</v>
      </c>
      <c r="P283">
        <f t="shared" si="50"/>
        <v>90.312639061043612</v>
      </c>
      <c r="Q283">
        <f t="shared" si="51"/>
        <v>0</v>
      </c>
      <c r="R283">
        <f t="shared" si="52"/>
        <v>210.74349999999998</v>
      </c>
    </row>
    <row r="284" spans="1:18" x14ac:dyDescent="0.3">
      <c r="A284" t="s">
        <v>0</v>
      </c>
      <c r="B284" t="s">
        <v>0</v>
      </c>
      <c r="C284">
        <v>30</v>
      </c>
      <c r="D284">
        <v>18</v>
      </c>
      <c r="E284">
        <v>0</v>
      </c>
      <c r="F284">
        <v>20260302</v>
      </c>
      <c r="G284">
        <v>20260418</v>
      </c>
      <c r="H284">
        <v>2235.8193999999999</v>
      </c>
      <c r="I284">
        <f t="shared" si="43"/>
        <v>48</v>
      </c>
      <c r="J284">
        <f t="shared" si="44"/>
        <v>46.579570833333328</v>
      </c>
      <c r="K284">
        <f t="shared" si="45"/>
        <v>2251.6078369880843</v>
      </c>
      <c r="L284">
        <f t="shared" si="46"/>
        <v>838.43227499999989</v>
      </c>
      <c r="M284">
        <f t="shared" si="47"/>
        <v>0</v>
      </c>
      <c r="N284">
        <f t="shared" si="48"/>
        <v>3090.0401119880844</v>
      </c>
      <c r="O284">
        <f t="shared" si="49"/>
        <v>1629.1660627962128</v>
      </c>
      <c r="P284">
        <f t="shared" si="50"/>
        <v>606.6533372037868</v>
      </c>
      <c r="Q284">
        <f t="shared" si="51"/>
        <v>0</v>
      </c>
      <c r="R284">
        <f t="shared" si="52"/>
        <v>2235.8193999999994</v>
      </c>
    </row>
    <row r="285" spans="1:18" x14ac:dyDescent="0.3">
      <c r="A285" t="s">
        <v>0</v>
      </c>
      <c r="B285" t="s">
        <v>0</v>
      </c>
      <c r="C285">
        <v>30</v>
      </c>
      <c r="D285">
        <v>20</v>
      </c>
      <c r="E285">
        <v>0</v>
      </c>
      <c r="F285">
        <v>20260302</v>
      </c>
      <c r="G285">
        <v>20260420</v>
      </c>
      <c r="H285">
        <v>1054.7306000000001</v>
      </c>
      <c r="I285">
        <f t="shared" si="43"/>
        <v>50</v>
      </c>
      <c r="J285">
        <f t="shared" si="44"/>
        <v>21.094612000000001</v>
      </c>
      <c r="K285">
        <f t="shared" si="45"/>
        <v>1019.6915267289922</v>
      </c>
      <c r="L285">
        <f t="shared" si="46"/>
        <v>421.89224000000002</v>
      </c>
      <c r="M285">
        <f t="shared" si="47"/>
        <v>0</v>
      </c>
      <c r="N285">
        <f t="shared" si="48"/>
        <v>1441.5837667289923</v>
      </c>
      <c r="O285">
        <f t="shared" si="49"/>
        <v>746.05436092148545</v>
      </c>
      <c r="P285">
        <f t="shared" si="50"/>
        <v>308.67623907851464</v>
      </c>
      <c r="Q285">
        <f t="shared" si="51"/>
        <v>0</v>
      </c>
      <c r="R285">
        <f t="shared" si="52"/>
        <v>1054.7306000000001</v>
      </c>
    </row>
    <row r="286" spans="1:18" x14ac:dyDescent="0.3">
      <c r="A286" t="s">
        <v>0</v>
      </c>
      <c r="B286" t="s">
        <v>0</v>
      </c>
      <c r="C286">
        <v>30</v>
      </c>
      <c r="D286">
        <v>17</v>
      </c>
      <c r="E286">
        <v>0</v>
      </c>
      <c r="F286">
        <v>20260302</v>
      </c>
      <c r="G286">
        <v>20260417</v>
      </c>
      <c r="H286">
        <v>1813.9241</v>
      </c>
      <c r="I286">
        <f t="shared" si="43"/>
        <v>47</v>
      </c>
      <c r="J286">
        <f t="shared" si="44"/>
        <v>38.594129787234039</v>
      </c>
      <c r="K286">
        <f t="shared" si="45"/>
        <v>1865.5999515668527</v>
      </c>
      <c r="L286">
        <f t="shared" si="46"/>
        <v>656.10020638297863</v>
      </c>
      <c r="M286">
        <f t="shared" si="47"/>
        <v>0</v>
      </c>
      <c r="N286">
        <f t="shared" si="48"/>
        <v>2521.7001579498315</v>
      </c>
      <c r="O286">
        <f t="shared" si="49"/>
        <v>1341.974263846349</v>
      </c>
      <c r="P286">
        <f t="shared" si="50"/>
        <v>471.94983615365101</v>
      </c>
      <c r="Q286">
        <f t="shared" si="51"/>
        <v>0</v>
      </c>
      <c r="R286">
        <f t="shared" si="52"/>
        <v>1813.9241</v>
      </c>
    </row>
    <row r="287" spans="1:18" x14ac:dyDescent="0.3">
      <c r="A287" t="s">
        <v>0</v>
      </c>
      <c r="B287" t="s">
        <v>0</v>
      </c>
      <c r="C287">
        <v>28</v>
      </c>
      <c r="D287">
        <v>23</v>
      </c>
      <c r="E287">
        <v>0</v>
      </c>
      <c r="F287">
        <v>20260304</v>
      </c>
      <c r="G287">
        <v>20260423</v>
      </c>
      <c r="H287">
        <v>253.08199999999999</v>
      </c>
      <c r="I287">
        <f t="shared" si="43"/>
        <v>51</v>
      </c>
      <c r="J287">
        <f t="shared" si="44"/>
        <v>4.9623921568627454</v>
      </c>
      <c r="K287">
        <f t="shared" si="45"/>
        <v>223.88506690786215</v>
      </c>
      <c r="L287">
        <f t="shared" si="46"/>
        <v>114.13501960784315</v>
      </c>
      <c r="M287">
        <f t="shared" si="47"/>
        <v>0</v>
      </c>
      <c r="N287">
        <f t="shared" si="48"/>
        <v>338.02008651570532</v>
      </c>
      <c r="O287">
        <f t="shared" si="49"/>
        <v>167.62696290400169</v>
      </c>
      <c r="P287">
        <f t="shared" si="50"/>
        <v>85.455037095998321</v>
      </c>
      <c r="Q287">
        <f t="shared" si="51"/>
        <v>0</v>
      </c>
      <c r="R287">
        <f t="shared" si="52"/>
        <v>253.08199999999999</v>
      </c>
    </row>
    <row r="288" spans="1:18" x14ac:dyDescent="0.3">
      <c r="A288" t="s">
        <v>0</v>
      </c>
      <c r="B288" t="s">
        <v>0</v>
      </c>
      <c r="C288">
        <v>30</v>
      </c>
      <c r="D288">
        <v>27</v>
      </c>
      <c r="E288">
        <v>0</v>
      </c>
      <c r="F288">
        <v>20260302</v>
      </c>
      <c r="G288">
        <v>20260427</v>
      </c>
      <c r="H288">
        <v>210.95599999999999</v>
      </c>
      <c r="I288">
        <f t="shared" si="43"/>
        <v>57</v>
      </c>
      <c r="J288">
        <f t="shared" si="44"/>
        <v>3.7009824561403506</v>
      </c>
      <c r="K288">
        <f t="shared" si="45"/>
        <v>178.90162905574985</v>
      </c>
      <c r="L288">
        <f t="shared" si="46"/>
        <v>99.926526315789459</v>
      </c>
      <c r="M288">
        <f t="shared" si="47"/>
        <v>0</v>
      </c>
      <c r="N288">
        <f t="shared" si="48"/>
        <v>278.82815537153931</v>
      </c>
      <c r="O288">
        <f t="shared" si="49"/>
        <v>135.35351911931423</v>
      </c>
      <c r="P288">
        <f t="shared" si="50"/>
        <v>75.602480880685761</v>
      </c>
      <c r="Q288">
        <f t="shared" si="51"/>
        <v>0</v>
      </c>
      <c r="R288">
        <f t="shared" si="52"/>
        <v>210.95599999999999</v>
      </c>
    </row>
    <row r="289" spans="1:18" x14ac:dyDescent="0.3">
      <c r="A289" t="s">
        <v>0</v>
      </c>
      <c r="B289" t="s">
        <v>0</v>
      </c>
      <c r="C289">
        <v>29</v>
      </c>
      <c r="D289">
        <v>15</v>
      </c>
      <c r="E289">
        <v>0</v>
      </c>
      <c r="F289">
        <v>20260303</v>
      </c>
      <c r="G289">
        <v>20260415</v>
      </c>
      <c r="H289">
        <v>126.5262</v>
      </c>
      <c r="I289">
        <f t="shared" si="43"/>
        <v>44</v>
      </c>
      <c r="J289">
        <f t="shared" si="44"/>
        <v>2.8755954545454547</v>
      </c>
      <c r="K289">
        <f t="shared" si="45"/>
        <v>134.36984012744065</v>
      </c>
      <c r="L289">
        <f t="shared" si="46"/>
        <v>43.133931818181821</v>
      </c>
      <c r="M289">
        <f t="shared" si="47"/>
        <v>0</v>
      </c>
      <c r="N289">
        <f t="shared" si="48"/>
        <v>177.50377194562247</v>
      </c>
      <c r="O289">
        <f t="shared" si="49"/>
        <v>95.779966135823074</v>
      </c>
      <c r="P289">
        <f t="shared" si="50"/>
        <v>30.746233864176933</v>
      </c>
      <c r="Q289">
        <f t="shared" si="51"/>
        <v>0</v>
      </c>
      <c r="R289">
        <f t="shared" si="52"/>
        <v>126.5262</v>
      </c>
    </row>
    <row r="290" spans="1:18" x14ac:dyDescent="0.3">
      <c r="A290" t="s">
        <v>0</v>
      </c>
      <c r="B290" t="s">
        <v>0</v>
      </c>
      <c r="C290">
        <v>29</v>
      </c>
      <c r="D290">
        <v>21</v>
      </c>
      <c r="E290">
        <v>0</v>
      </c>
      <c r="F290">
        <v>20260303</v>
      </c>
      <c r="G290">
        <v>20260421</v>
      </c>
      <c r="H290">
        <v>1138.9756</v>
      </c>
      <c r="I290">
        <f t="shared" si="43"/>
        <v>50</v>
      </c>
      <c r="J290">
        <f t="shared" si="44"/>
        <v>22.779512</v>
      </c>
      <c r="K290">
        <f t="shared" si="45"/>
        <v>1064.4332396557322</v>
      </c>
      <c r="L290">
        <f t="shared" si="46"/>
        <v>478.36975200000001</v>
      </c>
      <c r="M290">
        <f t="shared" si="47"/>
        <v>0</v>
      </c>
      <c r="N290">
        <f t="shared" si="48"/>
        <v>1542.8029916557323</v>
      </c>
      <c r="O290">
        <f t="shared" si="49"/>
        <v>785.81873016445604</v>
      </c>
      <c r="P290">
        <f t="shared" si="50"/>
        <v>353.15686983554389</v>
      </c>
      <c r="Q290">
        <f t="shared" si="51"/>
        <v>0</v>
      </c>
      <c r="R290">
        <f t="shared" si="52"/>
        <v>1138.9756</v>
      </c>
    </row>
    <row r="291" spans="1:18" x14ac:dyDescent="0.3">
      <c r="A291" t="s">
        <v>0</v>
      </c>
      <c r="B291" t="s">
        <v>0</v>
      </c>
      <c r="C291">
        <v>25</v>
      </c>
      <c r="D291">
        <v>16</v>
      </c>
      <c r="E291">
        <v>0</v>
      </c>
      <c r="F291">
        <v>20260307</v>
      </c>
      <c r="G291">
        <v>20260416</v>
      </c>
      <c r="H291">
        <v>252.8152</v>
      </c>
      <c r="I291">
        <f t="shared" si="43"/>
        <v>41</v>
      </c>
      <c r="J291">
        <f t="shared" si="44"/>
        <v>6.1662243902439027</v>
      </c>
      <c r="K291">
        <f t="shared" si="45"/>
        <v>248.39070922633994</v>
      </c>
      <c r="L291">
        <f t="shared" si="46"/>
        <v>98.659590243902443</v>
      </c>
      <c r="M291">
        <f t="shared" si="47"/>
        <v>0</v>
      </c>
      <c r="N291">
        <f t="shared" si="48"/>
        <v>347.05029947024241</v>
      </c>
      <c r="O291">
        <f t="shared" si="49"/>
        <v>180.94479943413347</v>
      </c>
      <c r="P291">
        <f t="shared" si="50"/>
        <v>71.87040056586649</v>
      </c>
      <c r="Q291">
        <f t="shared" si="51"/>
        <v>0</v>
      </c>
      <c r="R291">
        <f t="shared" si="52"/>
        <v>252.81519999999995</v>
      </c>
    </row>
    <row r="292" spans="1:18" x14ac:dyDescent="0.3">
      <c r="A292" t="s">
        <v>0</v>
      </c>
      <c r="B292" t="s">
        <v>0</v>
      </c>
      <c r="C292">
        <v>22</v>
      </c>
      <c r="D292">
        <v>20</v>
      </c>
      <c r="E292">
        <v>0</v>
      </c>
      <c r="F292">
        <v>20260310</v>
      </c>
      <c r="G292">
        <v>20260420</v>
      </c>
      <c r="H292">
        <v>126.375</v>
      </c>
      <c r="I292">
        <f t="shared" si="43"/>
        <v>42</v>
      </c>
      <c r="J292">
        <f t="shared" si="44"/>
        <v>3.0089285714285716</v>
      </c>
      <c r="K292">
        <f t="shared" si="45"/>
        <v>106.66220883640283</v>
      </c>
      <c r="L292">
        <f t="shared" si="46"/>
        <v>60.178571428571431</v>
      </c>
      <c r="M292">
        <f t="shared" si="47"/>
        <v>0</v>
      </c>
      <c r="N292">
        <f t="shared" si="48"/>
        <v>166.84078026497426</v>
      </c>
      <c r="O292">
        <f t="shared" si="49"/>
        <v>80.792217707760344</v>
      </c>
      <c r="P292">
        <f t="shared" si="50"/>
        <v>45.582782292239649</v>
      </c>
      <c r="Q292">
        <f t="shared" si="51"/>
        <v>0</v>
      </c>
      <c r="R292">
        <f t="shared" si="52"/>
        <v>126.375</v>
      </c>
    </row>
    <row r="293" spans="1:18" x14ac:dyDescent="0.3">
      <c r="A293" t="s">
        <v>0</v>
      </c>
      <c r="B293" t="s">
        <v>0</v>
      </c>
      <c r="C293">
        <v>30</v>
      </c>
      <c r="D293">
        <v>13</v>
      </c>
      <c r="E293">
        <v>0</v>
      </c>
      <c r="F293">
        <v>20260302</v>
      </c>
      <c r="G293">
        <v>20260413</v>
      </c>
      <c r="H293">
        <v>928.01059999999995</v>
      </c>
      <c r="I293">
        <f t="shared" si="43"/>
        <v>43</v>
      </c>
      <c r="J293">
        <f t="shared" si="44"/>
        <v>21.581641860465115</v>
      </c>
      <c r="K293">
        <f t="shared" si="45"/>
        <v>1043.2340418499282</v>
      </c>
      <c r="L293">
        <f t="shared" si="46"/>
        <v>280.56134418604648</v>
      </c>
      <c r="M293">
        <f t="shared" si="47"/>
        <v>0</v>
      </c>
      <c r="N293">
        <f t="shared" si="48"/>
        <v>1323.7953860359746</v>
      </c>
      <c r="O293">
        <f t="shared" si="49"/>
        <v>731.33073232457059</v>
      </c>
      <c r="P293">
        <f t="shared" si="50"/>
        <v>196.67986767542942</v>
      </c>
      <c r="Q293">
        <f t="shared" si="51"/>
        <v>0</v>
      </c>
      <c r="R293">
        <f t="shared" si="52"/>
        <v>928.01060000000007</v>
      </c>
    </row>
    <row r="294" spans="1:18" x14ac:dyDescent="0.3">
      <c r="A294" t="s">
        <v>0</v>
      </c>
      <c r="B294" t="s">
        <v>0</v>
      </c>
      <c r="C294">
        <v>24</v>
      </c>
      <c r="D294">
        <v>8</v>
      </c>
      <c r="E294">
        <v>0</v>
      </c>
      <c r="F294">
        <v>20260308</v>
      </c>
      <c r="G294">
        <v>20260408</v>
      </c>
      <c r="H294">
        <v>42.119100000000003</v>
      </c>
      <c r="I294">
        <f t="shared" si="43"/>
        <v>32</v>
      </c>
      <c r="J294">
        <f t="shared" si="44"/>
        <v>1.3162218750000001</v>
      </c>
      <c r="K294">
        <f t="shared" si="45"/>
        <v>50.899833312235245</v>
      </c>
      <c r="L294">
        <f t="shared" si="46"/>
        <v>10.529775000000001</v>
      </c>
      <c r="M294">
        <f t="shared" si="47"/>
        <v>0</v>
      </c>
      <c r="N294">
        <f t="shared" si="48"/>
        <v>61.429608312235246</v>
      </c>
      <c r="O294">
        <f t="shared" si="49"/>
        <v>34.899378787579948</v>
      </c>
      <c r="P294">
        <f t="shared" si="50"/>
        <v>7.2197212124200538</v>
      </c>
      <c r="Q294">
        <f t="shared" si="51"/>
        <v>0</v>
      </c>
      <c r="R294">
        <f t="shared" si="52"/>
        <v>42.119100000000003</v>
      </c>
    </row>
    <row r="295" spans="1:18" x14ac:dyDescent="0.3">
      <c r="A295" t="s">
        <v>0</v>
      </c>
      <c r="B295" t="s">
        <v>0</v>
      </c>
      <c r="C295">
        <v>30</v>
      </c>
      <c r="D295">
        <v>30</v>
      </c>
      <c r="E295">
        <v>1</v>
      </c>
      <c r="F295">
        <v>20260302</v>
      </c>
      <c r="G295">
        <v>20260501</v>
      </c>
      <c r="H295">
        <v>6650176.9435999999</v>
      </c>
      <c r="I295">
        <f t="shared" si="43"/>
        <v>61</v>
      </c>
      <c r="J295">
        <f t="shared" si="44"/>
        <v>109019.29415737705</v>
      </c>
      <c r="K295">
        <f t="shared" si="45"/>
        <v>5269878.8914559269</v>
      </c>
      <c r="L295">
        <f t="shared" si="46"/>
        <v>3270578.8247213117</v>
      </c>
      <c r="M295">
        <f t="shared" si="47"/>
        <v>81927.500712150068</v>
      </c>
      <c r="N295">
        <f t="shared" si="48"/>
        <v>8622385.2168893889</v>
      </c>
      <c r="O295">
        <f t="shared" si="49"/>
        <v>4064493.3180296477</v>
      </c>
      <c r="P295">
        <f t="shared" si="50"/>
        <v>2522495.4980884693</v>
      </c>
      <c r="Q295">
        <f t="shared" si="51"/>
        <v>63188.127481883326</v>
      </c>
      <c r="R295">
        <f t="shared" si="52"/>
        <v>6650176.9436000008</v>
      </c>
    </row>
    <row r="296" spans="1:18" x14ac:dyDescent="0.3">
      <c r="A296" t="s">
        <v>0</v>
      </c>
      <c r="B296" t="s">
        <v>0</v>
      </c>
      <c r="C296">
        <v>26</v>
      </c>
      <c r="D296">
        <v>1</v>
      </c>
      <c r="E296">
        <v>0</v>
      </c>
      <c r="F296">
        <v>20260306</v>
      </c>
      <c r="G296">
        <v>20260401</v>
      </c>
      <c r="H296">
        <v>252.9812</v>
      </c>
      <c r="I296">
        <f t="shared" si="43"/>
        <v>27</v>
      </c>
      <c r="J296">
        <f t="shared" si="44"/>
        <v>9.3696740740740747</v>
      </c>
      <c r="K296">
        <f t="shared" si="45"/>
        <v>392.53089651548129</v>
      </c>
      <c r="L296">
        <f t="shared" si="46"/>
        <v>9.3696740740740747</v>
      </c>
      <c r="M296">
        <f t="shared" si="47"/>
        <v>0</v>
      </c>
      <c r="N296">
        <f t="shared" si="48"/>
        <v>401.90057058955534</v>
      </c>
      <c r="O296">
        <f t="shared" si="49"/>
        <v>247.08334474841121</v>
      </c>
      <c r="P296">
        <f t="shared" si="50"/>
        <v>5.8978552515888101</v>
      </c>
      <c r="Q296">
        <f t="shared" si="51"/>
        <v>0</v>
      </c>
      <c r="R296">
        <f t="shared" si="52"/>
        <v>252.98120000000003</v>
      </c>
    </row>
    <row r="297" spans="1:18" x14ac:dyDescent="0.3">
      <c r="A297" t="s">
        <v>0</v>
      </c>
      <c r="B297" t="s">
        <v>0</v>
      </c>
      <c r="C297">
        <v>29</v>
      </c>
      <c r="D297">
        <v>6</v>
      </c>
      <c r="E297">
        <v>0</v>
      </c>
      <c r="F297">
        <v>20260303</v>
      </c>
      <c r="G297">
        <v>20260406</v>
      </c>
      <c r="H297">
        <v>168.7055</v>
      </c>
      <c r="I297">
        <f t="shared" si="43"/>
        <v>35</v>
      </c>
      <c r="J297">
        <f t="shared" si="44"/>
        <v>4.820157142857143</v>
      </c>
      <c r="K297">
        <f t="shared" si="45"/>
        <v>225.23465310499833</v>
      </c>
      <c r="L297">
        <f t="shared" si="46"/>
        <v>28.920942857142858</v>
      </c>
      <c r="M297">
        <f t="shared" si="47"/>
        <v>0</v>
      </c>
      <c r="N297">
        <f t="shared" si="48"/>
        <v>254.15559596214118</v>
      </c>
      <c r="O297">
        <f t="shared" si="49"/>
        <v>149.50811775580775</v>
      </c>
      <c r="P297">
        <f t="shared" si="50"/>
        <v>19.197382244192273</v>
      </c>
      <c r="Q297">
        <f t="shared" si="51"/>
        <v>0</v>
      </c>
      <c r="R297">
        <f t="shared" si="52"/>
        <v>168.70550000000003</v>
      </c>
    </row>
    <row r="298" spans="1:18" x14ac:dyDescent="0.3">
      <c r="A298" t="s">
        <v>0</v>
      </c>
      <c r="B298" t="s">
        <v>0</v>
      </c>
      <c r="C298">
        <v>29</v>
      </c>
      <c r="D298">
        <v>30</v>
      </c>
      <c r="E298">
        <v>4</v>
      </c>
      <c r="F298">
        <v>20260303</v>
      </c>
      <c r="G298">
        <v>20260504</v>
      </c>
      <c r="H298">
        <v>561401.56270000001</v>
      </c>
      <c r="I298">
        <f t="shared" si="43"/>
        <v>63</v>
      </c>
      <c r="J298">
        <f t="shared" si="44"/>
        <v>8911.1359158730156</v>
      </c>
      <c r="K298">
        <f t="shared" si="45"/>
        <v>416396.50893071212</v>
      </c>
      <c r="L298">
        <f t="shared" si="46"/>
        <v>267334.07747619046</v>
      </c>
      <c r="M298">
        <f t="shared" si="47"/>
        <v>26786.711461912386</v>
      </c>
      <c r="N298">
        <f t="shared" si="48"/>
        <v>710517.29786881502</v>
      </c>
      <c r="O298">
        <f t="shared" si="49"/>
        <v>329007.68428538268</v>
      </c>
      <c r="P298">
        <f t="shared" si="50"/>
        <v>211228.87410097406</v>
      </c>
      <c r="Q298">
        <f t="shared" si="51"/>
        <v>21165.00431364325</v>
      </c>
      <c r="R298">
        <f t="shared" si="52"/>
        <v>561401.56270000001</v>
      </c>
    </row>
    <row r="299" spans="1:18" x14ac:dyDescent="0.3">
      <c r="A299" t="s">
        <v>0</v>
      </c>
      <c r="B299" t="s">
        <v>0</v>
      </c>
      <c r="C299">
        <v>29</v>
      </c>
      <c r="D299">
        <v>30</v>
      </c>
      <c r="E299">
        <v>5</v>
      </c>
      <c r="F299">
        <v>20260303</v>
      </c>
      <c r="G299">
        <v>20260505</v>
      </c>
      <c r="H299">
        <v>281628.8578</v>
      </c>
      <c r="I299">
        <f t="shared" si="43"/>
        <v>64</v>
      </c>
      <c r="J299">
        <f t="shared" si="44"/>
        <v>4400.450903125</v>
      </c>
      <c r="K299">
        <f t="shared" si="45"/>
        <v>205622.76359385293</v>
      </c>
      <c r="L299">
        <f t="shared" si="46"/>
        <v>132013.52709374999</v>
      </c>
      <c r="M299">
        <f t="shared" si="47"/>
        <v>16534.593591255583</v>
      </c>
      <c r="N299">
        <f t="shared" si="48"/>
        <v>354170.88427885855</v>
      </c>
      <c r="O299">
        <f t="shared" si="49"/>
        <v>163506.67606832692</v>
      </c>
      <c r="P299">
        <f t="shared" si="50"/>
        <v>104974.23842522639</v>
      </c>
      <c r="Q299">
        <f t="shared" si="51"/>
        <v>13147.943306446652</v>
      </c>
      <c r="R299">
        <f t="shared" si="52"/>
        <v>281628.8578</v>
      </c>
    </row>
    <row r="300" spans="1:18" x14ac:dyDescent="0.3">
      <c r="A300" t="s">
        <v>0</v>
      </c>
      <c r="B300" t="s">
        <v>0</v>
      </c>
      <c r="C300">
        <v>28</v>
      </c>
      <c r="D300">
        <v>30</v>
      </c>
      <c r="E300">
        <v>4</v>
      </c>
      <c r="F300">
        <v>20260304</v>
      </c>
      <c r="G300">
        <v>20260504</v>
      </c>
      <c r="H300">
        <v>502862.09299999999</v>
      </c>
      <c r="I300">
        <f t="shared" si="43"/>
        <v>62</v>
      </c>
      <c r="J300">
        <f t="shared" si="44"/>
        <v>8110.6789193548384</v>
      </c>
      <c r="K300">
        <f t="shared" si="45"/>
        <v>365924.3032650493</v>
      </c>
      <c r="L300">
        <f t="shared" si="46"/>
        <v>243320.36758064516</v>
      </c>
      <c r="M300">
        <f t="shared" si="47"/>
        <v>24380.552381204347</v>
      </c>
      <c r="N300">
        <f t="shared" si="48"/>
        <v>633625.22322689882</v>
      </c>
      <c r="O300">
        <f t="shared" si="49"/>
        <v>290407.4116278296</v>
      </c>
      <c r="P300">
        <f t="shared" si="50"/>
        <v>193105.61642101349</v>
      </c>
      <c r="Q300">
        <f t="shared" si="51"/>
        <v>19349.064951156895</v>
      </c>
      <c r="R300">
        <f t="shared" si="52"/>
        <v>502862.09299999999</v>
      </c>
    </row>
    <row r="301" spans="1:18" x14ac:dyDescent="0.3">
      <c r="A301" t="s">
        <v>0</v>
      </c>
      <c r="B301" t="s">
        <v>0</v>
      </c>
      <c r="C301">
        <v>26</v>
      </c>
      <c r="D301">
        <v>30</v>
      </c>
      <c r="E301">
        <v>5</v>
      </c>
      <c r="F301">
        <v>20260306</v>
      </c>
      <c r="G301">
        <v>20260505</v>
      </c>
      <c r="H301">
        <v>363921.951</v>
      </c>
      <c r="I301">
        <f t="shared" si="43"/>
        <v>61</v>
      </c>
      <c r="J301">
        <f t="shared" si="44"/>
        <v>5965.9336229508199</v>
      </c>
      <c r="K301">
        <f t="shared" si="45"/>
        <v>249935.40384169234</v>
      </c>
      <c r="L301">
        <f t="shared" si="46"/>
        <v>178978.0086885246</v>
      </c>
      <c r="M301">
        <f t="shared" si="47"/>
        <v>22416.85909456373</v>
      </c>
      <c r="N301">
        <f t="shared" si="48"/>
        <v>451330.27162478073</v>
      </c>
      <c r="O301">
        <f t="shared" si="49"/>
        <v>201530.86444345536</v>
      </c>
      <c r="P301">
        <f t="shared" si="50"/>
        <v>144315.66017839112</v>
      </c>
      <c r="Q301">
        <f t="shared" si="51"/>
        <v>18075.426378153457</v>
      </c>
      <c r="R301">
        <f t="shared" si="52"/>
        <v>363921.95099999994</v>
      </c>
    </row>
    <row r="302" spans="1:18" x14ac:dyDescent="0.3">
      <c r="A302" t="s">
        <v>0</v>
      </c>
      <c r="B302" t="s">
        <v>0</v>
      </c>
      <c r="C302">
        <v>23</v>
      </c>
      <c r="D302">
        <v>30</v>
      </c>
      <c r="E302">
        <v>8</v>
      </c>
      <c r="F302">
        <v>20260309</v>
      </c>
      <c r="G302">
        <v>20260508</v>
      </c>
      <c r="H302">
        <v>27312.3616</v>
      </c>
      <c r="I302">
        <f t="shared" si="43"/>
        <v>61</v>
      </c>
      <c r="J302">
        <f t="shared" si="44"/>
        <v>447.74363278688526</v>
      </c>
      <c r="K302">
        <f t="shared" si="45"/>
        <v>16593.319241096287</v>
      </c>
      <c r="L302">
        <f t="shared" si="46"/>
        <v>13432.308983606557</v>
      </c>
      <c r="M302">
        <f t="shared" si="47"/>
        <v>2691.8183301428749</v>
      </c>
      <c r="N302">
        <f t="shared" si="48"/>
        <v>32717.446554845719</v>
      </c>
      <c r="O302">
        <f t="shared" si="49"/>
        <v>13852.020343254335</v>
      </c>
      <c r="P302">
        <f t="shared" si="50"/>
        <v>11213.224707747086</v>
      </c>
      <c r="Q302">
        <f t="shared" si="51"/>
        <v>2247.1165489985797</v>
      </c>
      <c r="R302">
        <f t="shared" si="52"/>
        <v>27312.3616</v>
      </c>
    </row>
    <row r="303" spans="1:18" x14ac:dyDescent="0.3">
      <c r="A303" t="s">
        <v>0</v>
      </c>
      <c r="B303" t="s">
        <v>0</v>
      </c>
      <c r="C303">
        <v>22</v>
      </c>
      <c r="D303">
        <v>30</v>
      </c>
      <c r="E303">
        <v>1</v>
      </c>
      <c r="F303">
        <v>20260310</v>
      </c>
      <c r="G303">
        <v>20260501</v>
      </c>
      <c r="H303">
        <v>18666.623100000001</v>
      </c>
      <c r="I303">
        <f t="shared" si="43"/>
        <v>53</v>
      </c>
      <c r="J303">
        <f t="shared" si="44"/>
        <v>352.20043584905659</v>
      </c>
      <c r="K303">
        <f t="shared" si="45"/>
        <v>12485.001072314739</v>
      </c>
      <c r="L303">
        <f t="shared" si="46"/>
        <v>10566.013075471697</v>
      </c>
      <c r="M303">
        <f t="shared" si="47"/>
        <v>264.67701595269051</v>
      </c>
      <c r="N303">
        <f t="shared" si="48"/>
        <v>23315.691163739128</v>
      </c>
      <c r="O303">
        <f t="shared" si="49"/>
        <v>9995.5351005181401</v>
      </c>
      <c r="P303">
        <f t="shared" si="50"/>
        <v>8459.1866637965904</v>
      </c>
      <c r="Q303">
        <f t="shared" si="51"/>
        <v>211.90133568526969</v>
      </c>
      <c r="R303">
        <f t="shared" si="52"/>
        <v>18666.623100000001</v>
      </c>
    </row>
    <row r="304" spans="1:18" x14ac:dyDescent="0.3">
      <c r="A304" t="s">
        <v>0</v>
      </c>
      <c r="B304" t="s">
        <v>0</v>
      </c>
      <c r="C304">
        <v>30</v>
      </c>
      <c r="D304">
        <v>30</v>
      </c>
      <c r="E304">
        <v>8</v>
      </c>
      <c r="F304">
        <v>20260302</v>
      </c>
      <c r="G304">
        <v>20260508</v>
      </c>
      <c r="H304">
        <v>23754.758600000001</v>
      </c>
      <c r="I304">
        <f t="shared" si="43"/>
        <v>68</v>
      </c>
      <c r="J304">
        <f t="shared" si="44"/>
        <v>349.33468529411766</v>
      </c>
      <c r="K304">
        <f t="shared" si="45"/>
        <v>16886.474071528351</v>
      </c>
      <c r="L304">
        <f t="shared" si="46"/>
        <v>10480.04055882353</v>
      </c>
      <c r="M304">
        <f t="shared" si="47"/>
        <v>2100.1873401893345</v>
      </c>
      <c r="N304">
        <f t="shared" si="48"/>
        <v>29466.701970541217</v>
      </c>
      <c r="O304">
        <f t="shared" si="49"/>
        <v>13613.132395180886</v>
      </c>
      <c r="P304">
        <f t="shared" si="50"/>
        <v>8448.5475789569518</v>
      </c>
      <c r="Q304">
        <f t="shared" si="51"/>
        <v>1693.0786258621597</v>
      </c>
      <c r="R304">
        <f t="shared" si="52"/>
        <v>23754.758599999997</v>
      </c>
    </row>
    <row r="305" spans="1:18" x14ac:dyDescent="0.3">
      <c r="A305" t="s">
        <v>0</v>
      </c>
      <c r="B305" t="s">
        <v>0</v>
      </c>
      <c r="C305">
        <v>26</v>
      </c>
      <c r="D305">
        <v>30</v>
      </c>
      <c r="E305">
        <v>3</v>
      </c>
      <c r="F305">
        <v>20260306</v>
      </c>
      <c r="G305">
        <v>20260503</v>
      </c>
      <c r="H305">
        <v>66493.444699999993</v>
      </c>
      <c r="I305">
        <f t="shared" si="43"/>
        <v>59</v>
      </c>
      <c r="J305">
        <f t="shared" si="44"/>
        <v>1127.0075372881354</v>
      </c>
      <c r="K305">
        <f t="shared" si="45"/>
        <v>47214.585640230354</v>
      </c>
      <c r="L305">
        <f t="shared" si="46"/>
        <v>33810.226118644059</v>
      </c>
      <c r="M305">
        <f t="shared" si="47"/>
        <v>2540.8230220372675</v>
      </c>
      <c r="N305">
        <f t="shared" si="48"/>
        <v>83565.634780911685</v>
      </c>
      <c r="O305">
        <f t="shared" si="49"/>
        <v>37568.797838165839</v>
      </c>
      <c r="P305">
        <f t="shared" si="50"/>
        <v>26902.905801034914</v>
      </c>
      <c r="Q305">
        <f t="shared" si="51"/>
        <v>2021.7410607992358</v>
      </c>
      <c r="R305">
        <f t="shared" si="52"/>
        <v>66493.444699999993</v>
      </c>
    </row>
    <row r="306" spans="1:18" x14ac:dyDescent="0.3">
      <c r="A306" t="s">
        <v>0</v>
      </c>
      <c r="B306" t="s">
        <v>0</v>
      </c>
      <c r="C306">
        <v>29</v>
      </c>
      <c r="D306">
        <v>1</v>
      </c>
      <c r="E306">
        <v>0</v>
      </c>
      <c r="F306">
        <v>20260303</v>
      </c>
      <c r="G306">
        <v>20260401</v>
      </c>
      <c r="H306">
        <v>42.197099999999999</v>
      </c>
      <c r="I306">
        <f t="shared" si="43"/>
        <v>30</v>
      </c>
      <c r="J306">
        <f t="shared" si="44"/>
        <v>1.4065699999999999</v>
      </c>
      <c r="K306">
        <f t="shared" si="45"/>
        <v>65.725721512496108</v>
      </c>
      <c r="L306">
        <f t="shared" si="46"/>
        <v>1.4065699999999999</v>
      </c>
      <c r="M306">
        <f t="shared" si="47"/>
        <v>0</v>
      </c>
      <c r="N306">
        <f t="shared" si="48"/>
        <v>67.13229151249611</v>
      </c>
      <c r="O306">
        <f t="shared" si="49"/>
        <v>41.312977417413165</v>
      </c>
      <c r="P306">
        <f t="shared" si="50"/>
        <v>0.88412258258683007</v>
      </c>
      <c r="Q306">
        <f t="shared" si="51"/>
        <v>0</v>
      </c>
      <c r="R306">
        <f t="shared" si="52"/>
        <v>42.197099999999999</v>
      </c>
    </row>
    <row r="307" spans="1:18" x14ac:dyDescent="0.3">
      <c r="A307" t="s">
        <v>0</v>
      </c>
      <c r="B307" t="s">
        <v>0</v>
      </c>
      <c r="C307">
        <v>28</v>
      </c>
      <c r="D307">
        <v>30</v>
      </c>
      <c r="E307">
        <v>8</v>
      </c>
      <c r="F307">
        <v>20260304</v>
      </c>
      <c r="G307">
        <v>20260508</v>
      </c>
      <c r="H307">
        <v>20204.8511</v>
      </c>
      <c r="I307">
        <f t="shared" si="43"/>
        <v>66</v>
      </c>
      <c r="J307">
        <f t="shared" si="44"/>
        <v>306.13410757575758</v>
      </c>
      <c r="K307">
        <f t="shared" si="45"/>
        <v>13811.656352590207</v>
      </c>
      <c r="L307">
        <f t="shared" si="46"/>
        <v>9184.023227272728</v>
      </c>
      <c r="M307">
        <f t="shared" si="47"/>
        <v>1840.4670483535065</v>
      </c>
      <c r="N307">
        <f t="shared" si="48"/>
        <v>24836.14662821644</v>
      </c>
      <c r="O307">
        <f t="shared" si="49"/>
        <v>11236.141589348257</v>
      </c>
      <c r="P307">
        <f t="shared" si="50"/>
        <v>7471.4417088828686</v>
      </c>
      <c r="Q307">
        <f t="shared" si="51"/>
        <v>1497.2678017688754</v>
      </c>
      <c r="R307">
        <f t="shared" si="52"/>
        <v>20204.8511</v>
      </c>
    </row>
    <row r="308" spans="1:18" x14ac:dyDescent="0.3">
      <c r="A308" t="s">
        <v>0</v>
      </c>
      <c r="B308" t="s">
        <v>0</v>
      </c>
      <c r="C308">
        <v>22</v>
      </c>
      <c r="D308">
        <v>30</v>
      </c>
      <c r="E308">
        <v>9</v>
      </c>
      <c r="F308">
        <v>20260310</v>
      </c>
      <c r="G308">
        <v>20260509</v>
      </c>
      <c r="H308">
        <v>8766.1090999999997</v>
      </c>
      <c r="I308">
        <f t="shared" si="43"/>
        <v>61</v>
      </c>
      <c r="J308">
        <f t="shared" si="44"/>
        <v>143.70670655737703</v>
      </c>
      <c r="K308">
        <f t="shared" si="45"/>
        <v>5094.1969482303748</v>
      </c>
      <c r="L308">
        <f t="shared" si="46"/>
        <v>4311.2011967213111</v>
      </c>
      <c r="M308">
        <f t="shared" si="47"/>
        <v>971.95439168243831</v>
      </c>
      <c r="N308">
        <f t="shared" si="48"/>
        <v>10377.352536634125</v>
      </c>
      <c r="O308">
        <f t="shared" si="49"/>
        <v>4303.2445960979849</v>
      </c>
      <c r="P308">
        <f t="shared" si="50"/>
        <v>3641.8209662912241</v>
      </c>
      <c r="Q308">
        <f t="shared" si="51"/>
        <v>821.04353761078983</v>
      </c>
      <c r="R308">
        <f t="shared" si="52"/>
        <v>8766.1090999999979</v>
      </c>
    </row>
    <row r="309" spans="1:18" x14ac:dyDescent="0.3">
      <c r="A309" t="s">
        <v>0</v>
      </c>
      <c r="B309" t="s">
        <v>0</v>
      </c>
      <c r="C309">
        <v>27</v>
      </c>
      <c r="D309">
        <v>30</v>
      </c>
      <c r="E309">
        <v>10</v>
      </c>
      <c r="F309">
        <v>20260305</v>
      </c>
      <c r="G309">
        <v>20260510</v>
      </c>
      <c r="H309">
        <v>4344.0649000000003</v>
      </c>
      <c r="I309">
        <f t="shared" si="43"/>
        <v>67</v>
      </c>
      <c r="J309">
        <f t="shared" si="44"/>
        <v>64.836789552238812</v>
      </c>
      <c r="K309">
        <f t="shared" si="45"/>
        <v>2820.7284606161934</v>
      </c>
      <c r="L309">
        <f t="shared" si="46"/>
        <v>1945.1036865671645</v>
      </c>
      <c r="M309">
        <f t="shared" si="47"/>
        <v>487.24550670328529</v>
      </c>
      <c r="N309">
        <f t="shared" si="48"/>
        <v>5253.077653886643</v>
      </c>
      <c r="O309">
        <f t="shared" si="49"/>
        <v>2332.6187628556727</v>
      </c>
      <c r="P309">
        <f t="shared" si="50"/>
        <v>1608.515466247733</v>
      </c>
      <c r="Q309">
        <f t="shared" si="51"/>
        <v>402.93067089659502</v>
      </c>
      <c r="R309">
        <f t="shared" si="52"/>
        <v>4344.0649000000003</v>
      </c>
    </row>
    <row r="310" spans="1:18" x14ac:dyDescent="0.3">
      <c r="A310" t="s">
        <v>0</v>
      </c>
      <c r="B310" t="s">
        <v>0</v>
      </c>
      <c r="C310">
        <v>26</v>
      </c>
      <c r="D310">
        <v>30</v>
      </c>
      <c r="E310">
        <v>11</v>
      </c>
      <c r="F310">
        <v>20260306</v>
      </c>
      <c r="G310">
        <v>20260511</v>
      </c>
      <c r="H310">
        <v>11596.329400000001</v>
      </c>
      <c r="I310">
        <f t="shared" si="43"/>
        <v>67</v>
      </c>
      <c r="J310">
        <f t="shared" si="44"/>
        <v>173.0795432835821</v>
      </c>
      <c r="K310">
        <f t="shared" si="45"/>
        <v>7250.953208882921</v>
      </c>
      <c r="L310">
        <f t="shared" si="46"/>
        <v>5192.3862985074629</v>
      </c>
      <c r="M310">
        <f t="shared" si="47"/>
        <v>1430.7533328614229</v>
      </c>
      <c r="N310">
        <f t="shared" si="48"/>
        <v>13874.092840251808</v>
      </c>
      <c r="O310">
        <f t="shared" si="49"/>
        <v>6060.5361981034057</v>
      </c>
      <c r="P310">
        <f t="shared" si="50"/>
        <v>4339.9321730678603</v>
      </c>
      <c r="Q310">
        <f t="shared" si="51"/>
        <v>1195.8610288287343</v>
      </c>
      <c r="R310">
        <f t="shared" si="52"/>
        <v>11596.329400000001</v>
      </c>
    </row>
    <row r="311" spans="1:18" x14ac:dyDescent="0.3">
      <c r="A311" t="s">
        <v>0</v>
      </c>
      <c r="B311" t="s">
        <v>0</v>
      </c>
      <c r="C311">
        <v>22</v>
      </c>
      <c r="D311">
        <v>30</v>
      </c>
      <c r="E311">
        <v>5</v>
      </c>
      <c r="F311">
        <v>20260310</v>
      </c>
      <c r="G311">
        <v>20260505</v>
      </c>
      <c r="H311">
        <v>6531.5173000000004</v>
      </c>
      <c r="I311">
        <f t="shared" si="43"/>
        <v>57</v>
      </c>
      <c r="J311">
        <f t="shared" si="44"/>
        <v>114.58802280701755</v>
      </c>
      <c r="K311">
        <f t="shared" si="45"/>
        <v>4061.9813095097056</v>
      </c>
      <c r="L311">
        <f t="shared" si="46"/>
        <v>3437.6406842105266</v>
      </c>
      <c r="M311">
        <f t="shared" si="47"/>
        <v>430.5618740556917</v>
      </c>
      <c r="N311">
        <f t="shared" si="48"/>
        <v>7930.1838677759242</v>
      </c>
      <c r="O311">
        <f t="shared" si="49"/>
        <v>3345.5594016107066</v>
      </c>
      <c r="P311">
        <f t="shared" si="50"/>
        <v>2831.3353100603449</v>
      </c>
      <c r="Q311">
        <f t="shared" si="51"/>
        <v>354.62258832894867</v>
      </c>
      <c r="R311">
        <f t="shared" si="52"/>
        <v>6531.5173000000004</v>
      </c>
    </row>
    <row r="312" spans="1:18" x14ac:dyDescent="0.3">
      <c r="A312" t="s">
        <v>0</v>
      </c>
      <c r="B312" t="s">
        <v>0</v>
      </c>
      <c r="C312">
        <v>19</v>
      </c>
      <c r="D312">
        <v>30</v>
      </c>
      <c r="E312">
        <v>4</v>
      </c>
      <c r="F312">
        <v>20260313</v>
      </c>
      <c r="G312">
        <v>20260504</v>
      </c>
      <c r="H312">
        <v>379.31169999999997</v>
      </c>
      <c r="I312">
        <f t="shared" si="43"/>
        <v>53</v>
      </c>
      <c r="J312">
        <f t="shared" si="44"/>
        <v>7.1568245283018861</v>
      </c>
      <c r="K312">
        <f t="shared" si="45"/>
        <v>219.1038376152124</v>
      </c>
      <c r="L312">
        <f t="shared" si="46"/>
        <v>214.70473584905659</v>
      </c>
      <c r="M312">
        <f t="shared" si="47"/>
        <v>21.513283540169009</v>
      </c>
      <c r="N312">
        <f t="shared" si="48"/>
        <v>455.32185700443802</v>
      </c>
      <c r="O312">
        <f t="shared" si="49"/>
        <v>182.52725592643819</v>
      </c>
      <c r="P312">
        <f t="shared" si="50"/>
        <v>178.86252790224123</v>
      </c>
      <c r="Q312">
        <f t="shared" si="51"/>
        <v>17.921916171320515</v>
      </c>
      <c r="R312">
        <f t="shared" si="52"/>
        <v>379.31169999999992</v>
      </c>
    </row>
    <row r="313" spans="1:18" x14ac:dyDescent="0.3">
      <c r="A313" t="s">
        <v>0</v>
      </c>
      <c r="B313" t="s">
        <v>0</v>
      </c>
      <c r="C313">
        <v>22</v>
      </c>
      <c r="D313">
        <v>30</v>
      </c>
      <c r="E313">
        <v>13</v>
      </c>
      <c r="F313">
        <v>20260310</v>
      </c>
      <c r="G313">
        <v>20260513</v>
      </c>
      <c r="H313">
        <v>716.44399999999996</v>
      </c>
      <c r="I313">
        <f t="shared" si="43"/>
        <v>65</v>
      </c>
      <c r="J313">
        <f t="shared" si="44"/>
        <v>11.022215384615384</v>
      </c>
      <c r="K313">
        <f t="shared" si="45"/>
        <v>390.72175071124548</v>
      </c>
      <c r="L313">
        <f t="shared" si="46"/>
        <v>330.66646153846153</v>
      </c>
      <c r="M313">
        <f t="shared" si="47"/>
        <v>107.68087754353488</v>
      </c>
      <c r="N313">
        <f t="shared" si="48"/>
        <v>829.06908979324191</v>
      </c>
      <c r="O313">
        <f t="shared" si="49"/>
        <v>337.64406056481755</v>
      </c>
      <c r="P313">
        <f t="shared" si="50"/>
        <v>285.74699658570319</v>
      </c>
      <c r="Q313">
        <f t="shared" si="51"/>
        <v>93.052942849479223</v>
      </c>
      <c r="R313">
        <f t="shared" si="52"/>
        <v>716.44399999999996</v>
      </c>
    </row>
    <row r="314" spans="1:18" x14ac:dyDescent="0.3">
      <c r="A314" t="s">
        <v>0</v>
      </c>
      <c r="B314" t="s">
        <v>0</v>
      </c>
      <c r="C314">
        <v>0</v>
      </c>
      <c r="D314">
        <v>11</v>
      </c>
      <c r="E314">
        <v>1</v>
      </c>
      <c r="F314">
        <v>20260420</v>
      </c>
      <c r="G314">
        <v>20260501</v>
      </c>
      <c r="H314">
        <v>84.437799999999996</v>
      </c>
      <c r="I314">
        <f t="shared" si="43"/>
        <v>12</v>
      </c>
      <c r="J314">
        <f t="shared" si="44"/>
        <v>7.036483333333333</v>
      </c>
      <c r="K314">
        <f t="shared" si="45"/>
        <v>0</v>
      </c>
      <c r="L314">
        <f t="shared" si="46"/>
        <v>77.401316666666659</v>
      </c>
      <c r="M314">
        <f t="shared" si="47"/>
        <v>5.2878850276769072</v>
      </c>
      <c r="N314">
        <f t="shared" si="48"/>
        <v>82.689201694343566</v>
      </c>
      <c r="O314">
        <f t="shared" si="49"/>
        <v>0</v>
      </c>
      <c r="P314">
        <f t="shared" si="50"/>
        <v>79.038094001622696</v>
      </c>
      <c r="Q314">
        <f t="shared" si="51"/>
        <v>5.3997059983772964</v>
      </c>
      <c r="R314">
        <f t="shared" si="52"/>
        <v>84.437799999999996</v>
      </c>
    </row>
    <row r="315" spans="1:18" x14ac:dyDescent="0.3">
      <c r="A315" t="s">
        <v>0</v>
      </c>
      <c r="B315" t="s">
        <v>0</v>
      </c>
      <c r="C315">
        <v>0</v>
      </c>
      <c r="D315">
        <v>14</v>
      </c>
      <c r="E315">
        <v>4</v>
      </c>
      <c r="F315">
        <v>20260417</v>
      </c>
      <c r="G315">
        <v>20260504</v>
      </c>
      <c r="H315">
        <v>84.451599999999999</v>
      </c>
      <c r="I315">
        <f t="shared" si="43"/>
        <v>18</v>
      </c>
      <c r="J315">
        <f t="shared" si="44"/>
        <v>4.6917555555555559</v>
      </c>
      <c r="K315">
        <f t="shared" si="45"/>
        <v>0</v>
      </c>
      <c r="L315">
        <f t="shared" si="46"/>
        <v>65.684577777777776</v>
      </c>
      <c r="M315">
        <f t="shared" si="47"/>
        <v>14.103331326439397</v>
      </c>
      <c r="N315">
        <f t="shared" si="48"/>
        <v>79.787909104217178</v>
      </c>
      <c r="O315">
        <f t="shared" si="49"/>
        <v>0</v>
      </c>
      <c r="P315">
        <f t="shared" si="50"/>
        <v>69.523913471804249</v>
      </c>
      <c r="Q315">
        <f t="shared" si="51"/>
        <v>14.927686528195744</v>
      </c>
      <c r="R315">
        <f t="shared" si="52"/>
        <v>84.451599999999999</v>
      </c>
    </row>
    <row r="316" spans="1:18" x14ac:dyDescent="0.3">
      <c r="A316" t="s">
        <v>0</v>
      </c>
      <c r="B316" t="s">
        <v>0</v>
      </c>
      <c r="C316">
        <v>0</v>
      </c>
      <c r="D316">
        <v>11</v>
      </c>
      <c r="E316">
        <v>3</v>
      </c>
      <c r="F316">
        <v>20260420</v>
      </c>
      <c r="G316">
        <v>20260503</v>
      </c>
      <c r="H316">
        <v>126.6507</v>
      </c>
      <c r="I316">
        <f t="shared" si="43"/>
        <v>14</v>
      </c>
      <c r="J316">
        <f t="shared" si="44"/>
        <v>9.0464785714285707</v>
      </c>
      <c r="K316">
        <f t="shared" si="45"/>
        <v>0</v>
      </c>
      <c r="L316">
        <f t="shared" si="46"/>
        <v>99.511264285714276</v>
      </c>
      <c r="M316">
        <f t="shared" si="47"/>
        <v>20.395161755494058</v>
      </c>
      <c r="N316">
        <f t="shared" si="48"/>
        <v>119.90642604120833</v>
      </c>
      <c r="O316">
        <f t="shared" si="49"/>
        <v>0</v>
      </c>
      <c r="P316">
        <f t="shared" si="50"/>
        <v>105.10838906448076</v>
      </c>
      <c r="Q316">
        <f t="shared" si="51"/>
        <v>21.542310935519239</v>
      </c>
      <c r="R316">
        <f t="shared" si="52"/>
        <v>126.6507</v>
      </c>
    </row>
    <row r="317" spans="1:18" x14ac:dyDescent="0.3">
      <c r="A317" t="s">
        <v>0</v>
      </c>
      <c r="B317" t="s">
        <v>0</v>
      </c>
      <c r="C317">
        <v>0</v>
      </c>
      <c r="D317">
        <v>6</v>
      </c>
      <c r="E317">
        <v>6</v>
      </c>
      <c r="F317">
        <v>20260425</v>
      </c>
      <c r="G317">
        <v>20260506</v>
      </c>
      <c r="H317">
        <v>84.332999999999998</v>
      </c>
      <c r="I317">
        <f t="shared" si="43"/>
        <v>12</v>
      </c>
      <c r="J317">
        <f t="shared" si="44"/>
        <v>7.0277500000000002</v>
      </c>
      <c r="K317">
        <f t="shared" si="45"/>
        <v>0</v>
      </c>
      <c r="L317">
        <f t="shared" si="46"/>
        <v>42.166499999999999</v>
      </c>
      <c r="M317">
        <f t="shared" si="47"/>
        <v>31.687931805831749</v>
      </c>
      <c r="N317">
        <f t="shared" si="48"/>
        <v>73.854431805831751</v>
      </c>
      <c r="O317">
        <f t="shared" si="49"/>
        <v>0</v>
      </c>
      <c r="P317">
        <f t="shared" si="50"/>
        <v>48.149140918842008</v>
      </c>
      <c r="Q317">
        <f t="shared" si="51"/>
        <v>36.183859081157991</v>
      </c>
      <c r="R317">
        <f t="shared" si="52"/>
        <v>84.332999999999998</v>
      </c>
    </row>
    <row r="318" spans="1:18" x14ac:dyDescent="0.3">
      <c r="A318" t="s">
        <v>0</v>
      </c>
      <c r="B318" t="s">
        <v>0</v>
      </c>
      <c r="C318">
        <v>0</v>
      </c>
      <c r="D318">
        <v>24</v>
      </c>
      <c r="E318">
        <v>5</v>
      </c>
      <c r="F318">
        <v>20260407</v>
      </c>
      <c r="G318">
        <v>20260505</v>
      </c>
      <c r="H318">
        <v>337.6087</v>
      </c>
      <c r="I318">
        <f t="shared" si="43"/>
        <v>29</v>
      </c>
      <c r="J318">
        <f t="shared" si="44"/>
        <v>11.641679310344827</v>
      </c>
      <c r="K318">
        <f t="shared" si="45"/>
        <v>0</v>
      </c>
      <c r="L318">
        <f t="shared" si="46"/>
        <v>279.40030344827585</v>
      </c>
      <c r="M318">
        <f t="shared" si="47"/>
        <v>43.743343660437702</v>
      </c>
      <c r="N318">
        <f t="shared" si="48"/>
        <v>323.14364710871354</v>
      </c>
      <c r="O318">
        <f t="shared" si="49"/>
        <v>0</v>
      </c>
      <c r="P318">
        <f t="shared" si="50"/>
        <v>291.90724951817992</v>
      </c>
      <c r="Q318">
        <f t="shared" si="51"/>
        <v>45.701450481820075</v>
      </c>
      <c r="R318">
        <f t="shared" si="52"/>
        <v>337.6087</v>
      </c>
    </row>
    <row r="319" spans="1:18" x14ac:dyDescent="0.3">
      <c r="A319" t="s">
        <v>0</v>
      </c>
      <c r="B319" t="s">
        <v>0</v>
      </c>
      <c r="C319">
        <v>0</v>
      </c>
      <c r="D319">
        <v>22</v>
      </c>
      <c r="E319">
        <v>8</v>
      </c>
      <c r="F319">
        <v>20260409</v>
      </c>
      <c r="G319">
        <v>20260508</v>
      </c>
      <c r="H319">
        <v>42.213900000000002</v>
      </c>
      <c r="I319">
        <f t="shared" si="43"/>
        <v>30</v>
      </c>
      <c r="J319">
        <f t="shared" si="44"/>
        <v>1.40713</v>
      </c>
      <c r="K319">
        <f t="shared" si="45"/>
        <v>0</v>
      </c>
      <c r="L319">
        <f t="shared" si="46"/>
        <v>30.956859999999999</v>
      </c>
      <c r="M319">
        <f t="shared" si="47"/>
        <v>8.4596140503840775</v>
      </c>
      <c r="N319">
        <f t="shared" si="48"/>
        <v>39.416474050384075</v>
      </c>
      <c r="O319">
        <f t="shared" si="49"/>
        <v>0</v>
      </c>
      <c r="P319">
        <f t="shared" si="50"/>
        <v>33.153898816103428</v>
      </c>
      <c r="Q319">
        <f t="shared" si="51"/>
        <v>9.0600011838965777</v>
      </c>
      <c r="R319">
        <f t="shared" si="52"/>
        <v>42.21390000000001</v>
      </c>
    </row>
    <row r="320" spans="1:18" x14ac:dyDescent="0.3">
      <c r="A320" t="s">
        <v>0</v>
      </c>
      <c r="B320" t="s">
        <v>0</v>
      </c>
      <c r="C320">
        <v>28</v>
      </c>
      <c r="D320">
        <v>6</v>
      </c>
      <c r="E320">
        <v>0</v>
      </c>
      <c r="F320">
        <v>20260304</v>
      </c>
      <c r="G320">
        <v>20260406</v>
      </c>
      <c r="H320">
        <v>379.4984</v>
      </c>
      <c r="I320">
        <f t="shared" si="43"/>
        <v>34</v>
      </c>
      <c r="J320">
        <f t="shared" si="44"/>
        <v>11.161717647058824</v>
      </c>
      <c r="K320">
        <f t="shared" si="45"/>
        <v>503.57606235583711</v>
      </c>
      <c r="L320">
        <f t="shared" si="46"/>
        <v>66.970305882352946</v>
      </c>
      <c r="M320">
        <f t="shared" si="47"/>
        <v>0</v>
      </c>
      <c r="N320">
        <f t="shared" si="48"/>
        <v>570.5463682381901</v>
      </c>
      <c r="O320">
        <f t="shared" si="49"/>
        <v>334.953161707898</v>
      </c>
      <c r="P320">
        <f t="shared" si="50"/>
        <v>44.545238292101963</v>
      </c>
      <c r="Q320">
        <f t="shared" si="51"/>
        <v>0</v>
      </c>
      <c r="R320">
        <f t="shared" si="52"/>
        <v>379.49839999999995</v>
      </c>
    </row>
    <row r="321" spans="1:18" x14ac:dyDescent="0.3">
      <c r="A321" t="s">
        <v>0</v>
      </c>
      <c r="B321" t="s">
        <v>0</v>
      </c>
      <c r="C321">
        <v>4</v>
      </c>
      <c r="D321">
        <v>30</v>
      </c>
      <c r="E321">
        <v>1</v>
      </c>
      <c r="F321">
        <v>20260328</v>
      </c>
      <c r="G321">
        <v>20260501</v>
      </c>
      <c r="H321">
        <v>379.62290000000002</v>
      </c>
      <c r="I321">
        <f t="shared" si="43"/>
        <v>35</v>
      </c>
      <c r="J321">
        <f t="shared" si="44"/>
        <v>10.846368571428572</v>
      </c>
      <c r="K321">
        <f t="shared" si="45"/>
        <v>69.906951456389962</v>
      </c>
      <c r="L321">
        <f t="shared" si="46"/>
        <v>325.39105714285716</v>
      </c>
      <c r="M321">
        <f t="shared" si="47"/>
        <v>8.1509963509502885</v>
      </c>
      <c r="N321">
        <f t="shared" si="48"/>
        <v>403.44900495019738</v>
      </c>
      <c r="O321">
        <f t="shared" si="49"/>
        <v>65.778522976676882</v>
      </c>
      <c r="P321">
        <f t="shared" si="50"/>
        <v>306.174746327322</v>
      </c>
      <c r="Q321">
        <f t="shared" si="51"/>
        <v>7.6696306960011817</v>
      </c>
      <c r="R321">
        <f t="shared" si="52"/>
        <v>379.62290000000007</v>
      </c>
    </row>
    <row r="322" spans="1:18" x14ac:dyDescent="0.3">
      <c r="A322" t="s">
        <v>0</v>
      </c>
      <c r="B322" t="s">
        <v>0</v>
      </c>
      <c r="C322">
        <v>1</v>
      </c>
      <c r="D322">
        <v>30</v>
      </c>
      <c r="E322">
        <v>1</v>
      </c>
      <c r="F322">
        <v>20260331</v>
      </c>
      <c r="G322">
        <v>20260501</v>
      </c>
      <c r="H322">
        <v>1180.7724000000001</v>
      </c>
      <c r="I322">
        <f t="shared" si="43"/>
        <v>32</v>
      </c>
      <c r="J322">
        <f t="shared" si="44"/>
        <v>36.899137500000002</v>
      </c>
      <c r="K322">
        <f t="shared" si="45"/>
        <v>59.455526451269499</v>
      </c>
      <c r="L322">
        <f t="shared" si="46"/>
        <v>1106.974125</v>
      </c>
      <c r="M322">
        <f t="shared" si="47"/>
        <v>27.729532989316379</v>
      </c>
      <c r="N322">
        <f t="shared" si="48"/>
        <v>1194.1591844405857</v>
      </c>
      <c r="O322">
        <f t="shared" si="49"/>
        <v>58.789017055558119</v>
      </c>
      <c r="P322">
        <f t="shared" si="50"/>
        <v>1094.5647040569932</v>
      </c>
      <c r="Q322">
        <f t="shared" si="51"/>
        <v>27.418678887448895</v>
      </c>
      <c r="R322">
        <f t="shared" si="52"/>
        <v>1180.7724000000003</v>
      </c>
    </row>
    <row r="323" spans="1:18" x14ac:dyDescent="0.3">
      <c r="A323" t="s">
        <v>0</v>
      </c>
      <c r="B323" t="s">
        <v>0</v>
      </c>
      <c r="C323">
        <v>0</v>
      </c>
      <c r="D323">
        <v>30</v>
      </c>
      <c r="E323">
        <v>1</v>
      </c>
      <c r="F323">
        <v>20260401</v>
      </c>
      <c r="G323">
        <v>20260501</v>
      </c>
      <c r="H323">
        <v>548.15150000000006</v>
      </c>
      <c r="I323">
        <f t="shared" si="43"/>
        <v>31</v>
      </c>
      <c r="J323">
        <f t="shared" si="44"/>
        <v>17.682306451612906</v>
      </c>
      <c r="K323">
        <f t="shared" si="45"/>
        <v>0</v>
      </c>
      <c r="L323">
        <f t="shared" si="46"/>
        <v>530.46919354838712</v>
      </c>
      <c r="M323">
        <f t="shared" si="47"/>
        <v>13.288172388235413</v>
      </c>
      <c r="N323">
        <f t="shared" si="48"/>
        <v>543.75736593662259</v>
      </c>
      <c r="O323">
        <f t="shared" si="49"/>
        <v>0</v>
      </c>
      <c r="P323">
        <f t="shared" si="50"/>
        <v>534.7559451382773</v>
      </c>
      <c r="Q323">
        <f t="shared" si="51"/>
        <v>13.395554861722646</v>
      </c>
      <c r="R323">
        <f t="shared" si="52"/>
        <v>548.15149999999994</v>
      </c>
    </row>
    <row r="324" spans="1:18" x14ac:dyDescent="0.3">
      <c r="A324" t="s">
        <v>0</v>
      </c>
      <c r="B324" t="s">
        <v>0</v>
      </c>
      <c r="C324">
        <v>0</v>
      </c>
      <c r="D324">
        <v>30</v>
      </c>
      <c r="E324">
        <v>4</v>
      </c>
      <c r="F324">
        <v>20260401</v>
      </c>
      <c r="G324">
        <v>20260504</v>
      </c>
      <c r="H324">
        <v>84.334999999999994</v>
      </c>
      <c r="I324">
        <f t="shared" si="43"/>
        <v>34</v>
      </c>
      <c r="J324">
        <f t="shared" si="44"/>
        <v>2.4804411764705883</v>
      </c>
      <c r="K324">
        <f t="shared" si="45"/>
        <v>0</v>
      </c>
      <c r="L324">
        <f t="shared" si="46"/>
        <v>74.413235294117641</v>
      </c>
      <c r="M324">
        <f t="shared" si="47"/>
        <v>7.4561607767661124</v>
      </c>
      <c r="N324">
        <f t="shared" si="48"/>
        <v>81.869396070883752</v>
      </c>
      <c r="O324">
        <f t="shared" si="49"/>
        <v>0</v>
      </c>
      <c r="P324">
        <f t="shared" si="50"/>
        <v>76.654287190488944</v>
      </c>
      <c r="Q324">
        <f t="shared" si="51"/>
        <v>7.6807128095110446</v>
      </c>
      <c r="R324">
        <f t="shared" si="52"/>
        <v>84.334999999999994</v>
      </c>
    </row>
    <row r="325" spans="1:18" x14ac:dyDescent="0.3">
      <c r="A325" t="s">
        <v>0</v>
      </c>
      <c r="B325" t="s">
        <v>0</v>
      </c>
      <c r="C325">
        <v>14</v>
      </c>
      <c r="D325">
        <v>30</v>
      </c>
      <c r="E325">
        <v>3</v>
      </c>
      <c r="F325">
        <v>20260318</v>
      </c>
      <c r="G325">
        <v>20260503</v>
      </c>
      <c r="H325">
        <v>1096.3544999999999</v>
      </c>
      <c r="I325">
        <f t="shared" si="43"/>
        <v>47</v>
      </c>
      <c r="J325">
        <f t="shared" si="44"/>
        <v>23.3266914893617</v>
      </c>
      <c r="K325">
        <f t="shared" si="45"/>
        <v>526.20769577957924</v>
      </c>
      <c r="L325">
        <f t="shared" si="46"/>
        <v>699.80074468085104</v>
      </c>
      <c r="M325">
        <f t="shared" si="47"/>
        <v>52.589705750102759</v>
      </c>
      <c r="N325">
        <f t="shared" si="48"/>
        <v>1278.5981462105331</v>
      </c>
      <c r="O325">
        <f t="shared" si="49"/>
        <v>451.20523356959336</v>
      </c>
      <c r="P325">
        <f t="shared" si="50"/>
        <v>600.05537925116823</v>
      </c>
      <c r="Q325">
        <f t="shared" si="51"/>
        <v>45.093887179238315</v>
      </c>
      <c r="R325">
        <f t="shared" si="52"/>
        <v>1096.3544999999999</v>
      </c>
    </row>
    <row r="326" spans="1:18" x14ac:dyDescent="0.3">
      <c r="A326" t="s">
        <v>0</v>
      </c>
      <c r="B326" t="s">
        <v>0</v>
      </c>
      <c r="C326">
        <v>16</v>
      </c>
      <c r="D326">
        <v>30</v>
      </c>
      <c r="E326">
        <v>1</v>
      </c>
      <c r="F326">
        <v>20260316</v>
      </c>
      <c r="G326">
        <v>20260501</v>
      </c>
      <c r="H326">
        <v>1180.3021000000001</v>
      </c>
      <c r="I326">
        <f t="shared" si="43"/>
        <v>47</v>
      </c>
      <c r="J326">
        <f t="shared" si="44"/>
        <v>25.112810638297876</v>
      </c>
      <c r="K326">
        <f t="shared" si="45"/>
        <v>647.4277626336567</v>
      </c>
      <c r="L326">
        <f t="shared" si="46"/>
        <v>753.38431914893624</v>
      </c>
      <c r="M326">
        <f t="shared" si="47"/>
        <v>18.872162284257627</v>
      </c>
      <c r="N326">
        <f t="shared" si="48"/>
        <v>1419.6842440668506</v>
      </c>
      <c r="O326">
        <f t="shared" si="49"/>
        <v>538.26077948557099</v>
      </c>
      <c r="P326">
        <f t="shared" si="50"/>
        <v>626.35131559344677</v>
      </c>
      <c r="Q326">
        <f t="shared" si="51"/>
        <v>15.690004920982409</v>
      </c>
      <c r="R326">
        <f t="shared" si="52"/>
        <v>1180.3021000000001</v>
      </c>
    </row>
    <row r="327" spans="1:18" x14ac:dyDescent="0.3">
      <c r="A327" t="s">
        <v>0</v>
      </c>
      <c r="B327" t="s">
        <v>0</v>
      </c>
      <c r="C327">
        <v>21</v>
      </c>
      <c r="D327">
        <v>30</v>
      </c>
      <c r="E327">
        <v>4</v>
      </c>
      <c r="F327">
        <v>20260311</v>
      </c>
      <c r="G327">
        <v>20260504</v>
      </c>
      <c r="H327">
        <v>294.9649</v>
      </c>
      <c r="I327">
        <f t="shared" si="43"/>
        <v>55</v>
      </c>
      <c r="J327">
        <f t="shared" si="44"/>
        <v>5.362998181818182</v>
      </c>
      <c r="K327">
        <f t="shared" si="45"/>
        <v>181.46921416255933</v>
      </c>
      <c r="L327">
        <f t="shared" si="46"/>
        <v>160.88994545454545</v>
      </c>
      <c r="M327">
        <f t="shared" si="47"/>
        <v>16.121074375179749</v>
      </c>
      <c r="N327">
        <f t="shared" si="48"/>
        <v>358.48023399228452</v>
      </c>
      <c r="O327">
        <f t="shared" si="49"/>
        <v>149.31659693596924</v>
      </c>
      <c r="P327">
        <f t="shared" si="50"/>
        <v>132.38355192835223</v>
      </c>
      <c r="Q327">
        <f t="shared" si="51"/>
        <v>13.264751135678519</v>
      </c>
      <c r="R327">
        <f t="shared" si="52"/>
        <v>294.9649</v>
      </c>
    </row>
    <row r="328" spans="1:18" x14ac:dyDescent="0.3">
      <c r="A328" t="s">
        <v>0</v>
      </c>
      <c r="B328" t="s">
        <v>0</v>
      </c>
      <c r="C328">
        <v>4</v>
      </c>
      <c r="D328">
        <v>30</v>
      </c>
      <c r="E328">
        <v>4</v>
      </c>
      <c r="F328">
        <v>20260328</v>
      </c>
      <c r="G328">
        <v>20260504</v>
      </c>
      <c r="H328">
        <v>210.9016</v>
      </c>
      <c r="I328">
        <f t="shared" si="43"/>
        <v>38</v>
      </c>
      <c r="J328">
        <f t="shared" si="44"/>
        <v>5.5500421052631577</v>
      </c>
      <c r="K328">
        <f t="shared" si="45"/>
        <v>35.771099006867907</v>
      </c>
      <c r="L328">
        <f t="shared" si="46"/>
        <v>166.50126315789473</v>
      </c>
      <c r="M328">
        <f t="shared" si="47"/>
        <v>16.683324985576114</v>
      </c>
      <c r="N328">
        <f t="shared" si="48"/>
        <v>218.95568715033875</v>
      </c>
      <c r="O328">
        <f t="shared" si="49"/>
        <v>34.455291445007717</v>
      </c>
      <c r="P328">
        <f t="shared" si="50"/>
        <v>160.37666460752959</v>
      </c>
      <c r="Q328">
        <f t="shared" si="51"/>
        <v>16.069643947462708</v>
      </c>
      <c r="R328">
        <f t="shared" si="52"/>
        <v>210.9016</v>
      </c>
    </row>
    <row r="329" spans="1:18" x14ac:dyDescent="0.3">
      <c r="A329" t="s">
        <v>0</v>
      </c>
      <c r="B329" t="s">
        <v>0</v>
      </c>
      <c r="C329">
        <v>18</v>
      </c>
      <c r="D329">
        <v>30</v>
      </c>
      <c r="E329">
        <v>9</v>
      </c>
      <c r="F329">
        <v>20260314</v>
      </c>
      <c r="G329">
        <v>20260509</v>
      </c>
      <c r="H329">
        <v>295.0686</v>
      </c>
      <c r="I329">
        <f t="shared" si="43"/>
        <v>57</v>
      </c>
      <c r="J329">
        <f t="shared" si="44"/>
        <v>5.1766421052631584</v>
      </c>
      <c r="K329">
        <f t="shared" si="45"/>
        <v>150.14008577105966</v>
      </c>
      <c r="L329">
        <f t="shared" si="46"/>
        <v>155.29926315789476</v>
      </c>
      <c r="M329">
        <f t="shared" si="47"/>
        <v>35.012005694875938</v>
      </c>
      <c r="N329">
        <f t="shared" si="48"/>
        <v>340.45135462383035</v>
      </c>
      <c r="O329">
        <f t="shared" si="49"/>
        <v>130.12615256383987</v>
      </c>
      <c r="P329">
        <f t="shared" si="50"/>
        <v>134.59760267854747</v>
      </c>
      <c r="Q329">
        <f t="shared" si="51"/>
        <v>30.34484475761267</v>
      </c>
      <c r="R329">
        <f t="shared" si="52"/>
        <v>295.06860000000006</v>
      </c>
    </row>
    <row r="330" spans="1:18" x14ac:dyDescent="0.3">
      <c r="A330" t="s">
        <v>0</v>
      </c>
      <c r="B330" t="s">
        <v>0</v>
      </c>
      <c r="C330">
        <v>7</v>
      </c>
      <c r="D330">
        <v>30</v>
      </c>
      <c r="E330">
        <v>4</v>
      </c>
      <c r="F330">
        <v>20260325</v>
      </c>
      <c r="G330">
        <v>20260504</v>
      </c>
      <c r="H330">
        <v>253.16499999999999</v>
      </c>
      <c r="I330">
        <f t="shared" si="43"/>
        <v>41</v>
      </c>
      <c r="J330">
        <f t="shared" si="44"/>
        <v>6.1747560975609757</v>
      </c>
      <c r="K330">
        <f t="shared" si="45"/>
        <v>69.64562847629486</v>
      </c>
      <c r="L330">
        <f t="shared" si="46"/>
        <v>185.24268292682927</v>
      </c>
      <c r="M330">
        <f t="shared" si="47"/>
        <v>18.561203812235398</v>
      </c>
      <c r="N330">
        <f t="shared" si="48"/>
        <v>273.44951521535955</v>
      </c>
      <c r="O330">
        <f t="shared" si="49"/>
        <v>64.479308070138472</v>
      </c>
      <c r="P330">
        <f t="shared" si="50"/>
        <v>171.50136026475042</v>
      </c>
      <c r="Q330">
        <f t="shared" si="51"/>
        <v>17.18433166511107</v>
      </c>
      <c r="R330">
        <f t="shared" si="52"/>
        <v>253.16499999999996</v>
      </c>
    </row>
    <row r="331" spans="1:18" x14ac:dyDescent="0.3">
      <c r="A331" t="s">
        <v>0</v>
      </c>
      <c r="B331" t="s">
        <v>0</v>
      </c>
      <c r="C331">
        <v>8</v>
      </c>
      <c r="D331">
        <v>30</v>
      </c>
      <c r="E331">
        <v>7</v>
      </c>
      <c r="F331">
        <v>20260324</v>
      </c>
      <c r="G331">
        <v>20260507</v>
      </c>
      <c r="H331">
        <v>253.19460000000001</v>
      </c>
      <c r="I331">
        <f t="shared" ref="I331:I394" si="53">IF(C331&lt;0,0,C331)+D331+E331</f>
        <v>45</v>
      </c>
      <c r="J331">
        <f t="shared" ref="J331:J394" si="54">H331/I331</f>
        <v>5.626546666666667</v>
      </c>
      <c r="K331">
        <f t="shared" ref="K331:K394" si="55">IF(C331&lt;0,0,C331)*$J331*$B$6</f>
        <v>72.528371519643727</v>
      </c>
      <c r="L331">
        <f t="shared" ref="L331:L394" si="56">IF(D331&lt;0,0,D331)*$J331*$C$6</f>
        <v>168.79640000000001</v>
      </c>
      <c r="M331">
        <f t="shared" ref="M331:M394" si="57">IF(E331&lt;0,0,E331)*$J331*$D$6</f>
        <v>29.598268519550896</v>
      </c>
      <c r="N331">
        <f t="shared" ref="N331:N394" si="58">K331+L331+M331</f>
        <v>270.92304003919463</v>
      </c>
      <c r="O331">
        <f t="shared" ref="O331:O394" si="59">K331/$N331*$H331</f>
        <v>67.782319336557279</v>
      </c>
      <c r="P331">
        <f t="shared" ref="P331:P394" si="60">L331/$N331*$H331</f>
        <v>157.75083940168773</v>
      </c>
      <c r="Q331">
        <f t="shared" ref="Q331:Q394" si="61">M331/$N331*$H331</f>
        <v>27.661441261755005</v>
      </c>
      <c r="R331">
        <f t="shared" ref="R331:R394" si="62">O331+P331+Q331</f>
        <v>253.19460000000001</v>
      </c>
    </row>
    <row r="332" spans="1:18" x14ac:dyDescent="0.3">
      <c r="A332" t="s">
        <v>0</v>
      </c>
      <c r="B332" t="s">
        <v>0</v>
      </c>
      <c r="C332">
        <v>9</v>
      </c>
      <c r="D332">
        <v>30</v>
      </c>
      <c r="E332">
        <v>2</v>
      </c>
      <c r="F332">
        <v>20260323</v>
      </c>
      <c r="G332">
        <v>20260502</v>
      </c>
      <c r="H332">
        <v>210.9906</v>
      </c>
      <c r="I332">
        <f t="shared" si="53"/>
        <v>41</v>
      </c>
      <c r="J332">
        <f t="shared" si="54"/>
        <v>5.1461121951219511</v>
      </c>
      <c r="K332">
        <f t="shared" si="55"/>
        <v>74.627307688274911</v>
      </c>
      <c r="L332">
        <f t="shared" si="56"/>
        <v>154.38336585365852</v>
      </c>
      <c r="M332">
        <f t="shared" si="57"/>
        <v>7.734559534425836</v>
      </c>
      <c r="N332">
        <f t="shared" si="58"/>
        <v>236.74523307635928</v>
      </c>
      <c r="O332">
        <f t="shared" si="59"/>
        <v>66.508880541874163</v>
      </c>
      <c r="P332">
        <f t="shared" si="60"/>
        <v>137.58857387838833</v>
      </c>
      <c r="Q332">
        <f t="shared" si="61"/>
        <v>6.8931455797374905</v>
      </c>
      <c r="R332">
        <f t="shared" si="62"/>
        <v>210.99059999999997</v>
      </c>
    </row>
    <row r="333" spans="1:18" x14ac:dyDescent="0.3">
      <c r="A333" t="s">
        <v>0</v>
      </c>
      <c r="B333" t="s">
        <v>0</v>
      </c>
      <c r="C333">
        <v>31</v>
      </c>
      <c r="D333">
        <v>30</v>
      </c>
      <c r="E333">
        <v>2</v>
      </c>
      <c r="F333">
        <v>20260227</v>
      </c>
      <c r="G333">
        <v>20260502</v>
      </c>
      <c r="H333">
        <v>253.23609999999999</v>
      </c>
      <c r="I333">
        <f t="shared" si="53"/>
        <v>63</v>
      </c>
      <c r="J333">
        <f t="shared" si="54"/>
        <v>4.0196206349206349</v>
      </c>
      <c r="K333">
        <f t="shared" si="55"/>
        <v>200.78107490971482</v>
      </c>
      <c r="L333">
        <f t="shared" si="56"/>
        <v>120.58861904761905</v>
      </c>
      <c r="M333">
        <f t="shared" si="57"/>
        <v>6.0414530285738293</v>
      </c>
      <c r="N333">
        <f t="shared" si="58"/>
        <v>327.41114698590769</v>
      </c>
      <c r="O333">
        <f t="shared" si="59"/>
        <v>155.29409072358948</v>
      </c>
      <c r="P333">
        <f t="shared" si="60"/>
        <v>93.26924838426207</v>
      </c>
      <c r="Q333">
        <f t="shared" si="61"/>
        <v>4.6727608921484736</v>
      </c>
      <c r="R333">
        <f t="shared" si="62"/>
        <v>253.23610000000002</v>
      </c>
    </row>
    <row r="334" spans="1:18" x14ac:dyDescent="0.3">
      <c r="A334" t="s">
        <v>0</v>
      </c>
      <c r="B334" t="s">
        <v>0</v>
      </c>
      <c r="C334">
        <v>0</v>
      </c>
      <c r="D334">
        <v>25</v>
      </c>
      <c r="E334">
        <v>3</v>
      </c>
      <c r="F334">
        <v>20260406</v>
      </c>
      <c r="G334">
        <v>20260503</v>
      </c>
      <c r="H334">
        <v>168.7688</v>
      </c>
      <c r="I334">
        <f t="shared" si="53"/>
        <v>28</v>
      </c>
      <c r="J334">
        <f t="shared" si="54"/>
        <v>6.0274571428571431</v>
      </c>
      <c r="K334">
        <f t="shared" si="55"/>
        <v>0</v>
      </c>
      <c r="L334">
        <f t="shared" si="56"/>
        <v>150.68642857142856</v>
      </c>
      <c r="M334">
        <f t="shared" si="57"/>
        <v>13.588819387814777</v>
      </c>
      <c r="N334">
        <f t="shared" si="58"/>
        <v>164.27524795924333</v>
      </c>
      <c r="O334">
        <f t="shared" si="59"/>
        <v>0</v>
      </c>
      <c r="P334">
        <f t="shared" si="60"/>
        <v>154.80827478400874</v>
      </c>
      <c r="Q334">
        <f t="shared" si="61"/>
        <v>13.960525215991268</v>
      </c>
      <c r="R334">
        <f t="shared" si="62"/>
        <v>168.7688</v>
      </c>
    </row>
    <row r="335" spans="1:18" x14ac:dyDescent="0.3">
      <c r="A335" t="s">
        <v>0</v>
      </c>
      <c r="B335" t="s">
        <v>0</v>
      </c>
      <c r="C335">
        <v>0</v>
      </c>
      <c r="D335">
        <v>25</v>
      </c>
      <c r="E335">
        <v>4</v>
      </c>
      <c r="F335">
        <v>20260406</v>
      </c>
      <c r="G335">
        <v>20260504</v>
      </c>
      <c r="H335">
        <v>210.95599999999999</v>
      </c>
      <c r="I335">
        <f t="shared" si="53"/>
        <v>29</v>
      </c>
      <c r="J335">
        <f t="shared" si="54"/>
        <v>7.2743448275862068</v>
      </c>
      <c r="K335">
        <f t="shared" si="55"/>
        <v>0</v>
      </c>
      <c r="L335">
        <f t="shared" si="56"/>
        <v>181.85862068965517</v>
      </c>
      <c r="M335">
        <f t="shared" si="57"/>
        <v>21.866547408834656</v>
      </c>
      <c r="N335">
        <f t="shared" si="58"/>
        <v>203.72516809848983</v>
      </c>
      <c r="O335">
        <f t="shared" si="59"/>
        <v>0</v>
      </c>
      <c r="P335">
        <f t="shared" si="60"/>
        <v>188.31334166655316</v>
      </c>
      <c r="Q335">
        <f t="shared" si="61"/>
        <v>22.642658333446814</v>
      </c>
      <c r="R335">
        <f t="shared" si="62"/>
        <v>210.95599999999996</v>
      </c>
    </row>
    <row r="336" spans="1:18" x14ac:dyDescent="0.3">
      <c r="A336" t="s">
        <v>0</v>
      </c>
      <c r="B336" t="s">
        <v>0</v>
      </c>
      <c r="C336">
        <v>0</v>
      </c>
      <c r="D336">
        <v>24</v>
      </c>
      <c r="E336">
        <v>4</v>
      </c>
      <c r="F336">
        <v>20260407</v>
      </c>
      <c r="G336">
        <v>20260504</v>
      </c>
      <c r="H336">
        <v>253.2124</v>
      </c>
      <c r="I336">
        <f t="shared" si="53"/>
        <v>28</v>
      </c>
      <c r="J336">
        <f t="shared" si="54"/>
        <v>9.0433000000000003</v>
      </c>
      <c r="K336">
        <f t="shared" si="55"/>
        <v>0</v>
      </c>
      <c r="L336">
        <f t="shared" si="56"/>
        <v>217.03919999999999</v>
      </c>
      <c r="M336">
        <f t="shared" si="57"/>
        <v>27.183994279788767</v>
      </c>
      <c r="N336">
        <f t="shared" si="58"/>
        <v>244.22319427978877</v>
      </c>
      <c r="O336">
        <f t="shared" si="59"/>
        <v>0</v>
      </c>
      <c r="P336">
        <f t="shared" si="60"/>
        <v>225.02783524778462</v>
      </c>
      <c r="Q336">
        <f t="shared" si="61"/>
        <v>28.184564752215387</v>
      </c>
      <c r="R336">
        <f t="shared" si="62"/>
        <v>253.2124</v>
      </c>
    </row>
    <row r="337" spans="1:18" x14ac:dyDescent="0.3">
      <c r="A337" t="s">
        <v>0</v>
      </c>
      <c r="B337" t="s">
        <v>0</v>
      </c>
      <c r="C337">
        <v>23</v>
      </c>
      <c r="D337">
        <v>30</v>
      </c>
      <c r="E337">
        <v>0</v>
      </c>
      <c r="F337">
        <v>20260309</v>
      </c>
      <c r="G337">
        <v>20260430</v>
      </c>
      <c r="H337">
        <v>589.99890000000005</v>
      </c>
      <c r="I337">
        <f t="shared" si="53"/>
        <v>53</v>
      </c>
      <c r="J337">
        <f t="shared" si="54"/>
        <v>11.132054716981132</v>
      </c>
      <c r="K337">
        <f t="shared" si="55"/>
        <v>412.55246127897635</v>
      </c>
      <c r="L337">
        <f t="shared" si="56"/>
        <v>333.96164150943395</v>
      </c>
      <c r="M337">
        <f t="shared" si="57"/>
        <v>0</v>
      </c>
      <c r="N337">
        <f t="shared" si="58"/>
        <v>746.51410278841036</v>
      </c>
      <c r="O337">
        <f t="shared" si="59"/>
        <v>326.05612866215171</v>
      </c>
      <c r="P337">
        <f t="shared" si="60"/>
        <v>263.94277133784828</v>
      </c>
      <c r="Q337">
        <f t="shared" si="61"/>
        <v>0</v>
      </c>
      <c r="R337">
        <f t="shared" si="62"/>
        <v>589.99890000000005</v>
      </c>
    </row>
    <row r="338" spans="1:18" x14ac:dyDescent="0.3">
      <c r="A338" t="s">
        <v>0</v>
      </c>
      <c r="B338" t="s">
        <v>0</v>
      </c>
      <c r="C338">
        <v>29</v>
      </c>
      <c r="D338">
        <v>24</v>
      </c>
      <c r="E338">
        <v>0</v>
      </c>
      <c r="F338">
        <v>20260303</v>
      </c>
      <c r="G338">
        <v>20260424</v>
      </c>
      <c r="H338">
        <v>1181.2429</v>
      </c>
      <c r="I338">
        <f t="shared" si="53"/>
        <v>53</v>
      </c>
      <c r="J338">
        <f t="shared" si="54"/>
        <v>22.287601886792451</v>
      </c>
      <c r="K338">
        <f t="shared" si="55"/>
        <v>1041.447432259115</v>
      </c>
      <c r="L338">
        <f t="shared" si="56"/>
        <v>534.90244528301878</v>
      </c>
      <c r="M338">
        <f t="shared" si="57"/>
        <v>0</v>
      </c>
      <c r="N338">
        <f t="shared" si="58"/>
        <v>1576.3498775421338</v>
      </c>
      <c r="O338">
        <f t="shared" si="59"/>
        <v>780.41201550854873</v>
      </c>
      <c r="P338">
        <f t="shared" si="60"/>
        <v>400.83088449145129</v>
      </c>
      <c r="Q338">
        <f t="shared" si="61"/>
        <v>0</v>
      </c>
      <c r="R338">
        <f t="shared" si="62"/>
        <v>1181.2429</v>
      </c>
    </row>
    <row r="339" spans="1:18" x14ac:dyDescent="0.3">
      <c r="A339" t="s">
        <v>0</v>
      </c>
      <c r="B339" t="s">
        <v>0</v>
      </c>
      <c r="C339">
        <v>30</v>
      </c>
      <c r="D339">
        <v>28</v>
      </c>
      <c r="E339">
        <v>0</v>
      </c>
      <c r="F339">
        <v>20260302</v>
      </c>
      <c r="G339">
        <v>20260428</v>
      </c>
      <c r="H339">
        <v>1476.692</v>
      </c>
      <c r="I339">
        <f t="shared" si="53"/>
        <v>58</v>
      </c>
      <c r="J339">
        <f t="shared" si="54"/>
        <v>25.460206896551725</v>
      </c>
      <c r="K339">
        <f t="shared" si="55"/>
        <v>1230.7198274697275</v>
      </c>
      <c r="L339">
        <f t="shared" si="56"/>
        <v>712.88579310344835</v>
      </c>
      <c r="M339">
        <f t="shared" si="57"/>
        <v>0</v>
      </c>
      <c r="N339">
        <f t="shared" si="58"/>
        <v>1943.6056205731759</v>
      </c>
      <c r="O339">
        <f t="shared" si="59"/>
        <v>935.06321664678626</v>
      </c>
      <c r="P339">
        <f t="shared" si="60"/>
        <v>541.62878335321375</v>
      </c>
      <c r="Q339">
        <f t="shared" si="61"/>
        <v>0</v>
      </c>
      <c r="R339">
        <f t="shared" si="62"/>
        <v>1476.692</v>
      </c>
    </row>
    <row r="340" spans="1:18" x14ac:dyDescent="0.3">
      <c r="A340" t="s">
        <v>0</v>
      </c>
      <c r="B340" t="s">
        <v>0</v>
      </c>
      <c r="C340">
        <v>28</v>
      </c>
      <c r="D340">
        <v>17</v>
      </c>
      <c r="E340">
        <v>0</v>
      </c>
      <c r="F340">
        <v>20260304</v>
      </c>
      <c r="G340">
        <v>20260417</v>
      </c>
      <c r="H340">
        <v>42.168500000000002</v>
      </c>
      <c r="I340">
        <f t="shared" si="53"/>
        <v>45</v>
      </c>
      <c r="J340">
        <f t="shared" si="54"/>
        <v>0.93707777777777779</v>
      </c>
      <c r="K340">
        <f t="shared" si="55"/>
        <v>42.277537595554314</v>
      </c>
      <c r="L340">
        <f t="shared" si="56"/>
        <v>15.930322222222223</v>
      </c>
      <c r="M340">
        <f t="shared" si="57"/>
        <v>0</v>
      </c>
      <c r="N340">
        <f t="shared" si="58"/>
        <v>58.207859817776537</v>
      </c>
      <c r="O340">
        <f t="shared" si="59"/>
        <v>30.627828435528141</v>
      </c>
      <c r="P340">
        <f t="shared" si="60"/>
        <v>11.540671564471859</v>
      </c>
      <c r="Q340">
        <f t="shared" si="61"/>
        <v>0</v>
      </c>
      <c r="R340">
        <f t="shared" si="62"/>
        <v>42.168500000000002</v>
      </c>
    </row>
    <row r="341" spans="1:18" x14ac:dyDescent="0.3">
      <c r="A341" t="s">
        <v>0</v>
      </c>
      <c r="B341" t="s">
        <v>0</v>
      </c>
      <c r="C341">
        <v>30</v>
      </c>
      <c r="D341">
        <v>22</v>
      </c>
      <c r="E341">
        <v>0</v>
      </c>
      <c r="F341">
        <v>20260302</v>
      </c>
      <c r="G341">
        <v>20260422</v>
      </c>
      <c r="H341">
        <v>1561.1477</v>
      </c>
      <c r="I341">
        <f t="shared" si="53"/>
        <v>52</v>
      </c>
      <c r="J341">
        <f t="shared" si="54"/>
        <v>30.022071153846152</v>
      </c>
      <c r="K341">
        <f t="shared" si="55"/>
        <v>1451.235584254018</v>
      </c>
      <c r="L341">
        <f t="shared" si="56"/>
        <v>660.48556538461537</v>
      </c>
      <c r="M341">
        <f t="shared" si="57"/>
        <v>0</v>
      </c>
      <c r="N341">
        <f t="shared" si="58"/>
        <v>2111.7211496386335</v>
      </c>
      <c r="O341">
        <f t="shared" si="59"/>
        <v>1072.8656550624662</v>
      </c>
      <c r="P341">
        <f t="shared" si="60"/>
        <v>488.28204493753384</v>
      </c>
      <c r="Q341">
        <f t="shared" si="61"/>
        <v>0</v>
      </c>
      <c r="R341">
        <f t="shared" si="62"/>
        <v>1561.1477</v>
      </c>
    </row>
    <row r="342" spans="1:18" x14ac:dyDescent="0.3">
      <c r="A342" t="s">
        <v>0</v>
      </c>
      <c r="B342" t="s">
        <v>0</v>
      </c>
      <c r="C342">
        <v>30</v>
      </c>
      <c r="D342">
        <v>21</v>
      </c>
      <c r="E342">
        <v>0</v>
      </c>
      <c r="F342">
        <v>20260302</v>
      </c>
      <c r="G342">
        <v>20260421</v>
      </c>
      <c r="H342">
        <v>1434.5008</v>
      </c>
      <c r="I342">
        <f t="shared" si="53"/>
        <v>51</v>
      </c>
      <c r="J342">
        <f t="shared" si="54"/>
        <v>28.127466666666667</v>
      </c>
      <c r="K342">
        <f t="shared" si="55"/>
        <v>1359.6523808236989</v>
      </c>
      <c r="L342">
        <f t="shared" si="56"/>
        <v>590.67679999999996</v>
      </c>
      <c r="M342">
        <f t="shared" si="57"/>
        <v>0</v>
      </c>
      <c r="N342">
        <f t="shared" si="58"/>
        <v>1950.3291808236988</v>
      </c>
      <c r="O342">
        <f t="shared" si="59"/>
        <v>1000.0478110006858</v>
      </c>
      <c r="P342">
        <f t="shared" si="60"/>
        <v>434.45298899931419</v>
      </c>
      <c r="Q342">
        <f t="shared" si="61"/>
        <v>0</v>
      </c>
      <c r="R342">
        <f t="shared" si="62"/>
        <v>1434.5008</v>
      </c>
    </row>
    <row r="343" spans="1:18" x14ac:dyDescent="0.3">
      <c r="A343" t="s">
        <v>0</v>
      </c>
      <c r="B343" t="s">
        <v>0</v>
      </c>
      <c r="C343">
        <v>28</v>
      </c>
      <c r="D343">
        <v>21</v>
      </c>
      <c r="E343">
        <v>0</v>
      </c>
      <c r="F343">
        <v>20260304</v>
      </c>
      <c r="G343">
        <v>20260421</v>
      </c>
      <c r="H343">
        <v>632.64559999999994</v>
      </c>
      <c r="I343">
        <f t="shared" si="53"/>
        <v>49</v>
      </c>
      <c r="J343">
        <f t="shared" si="54"/>
        <v>12.91113469387755</v>
      </c>
      <c r="K343">
        <f t="shared" si="55"/>
        <v>582.5033901840311</v>
      </c>
      <c r="L343">
        <f t="shared" si="56"/>
        <v>271.13382857142852</v>
      </c>
      <c r="M343">
        <f t="shared" si="57"/>
        <v>0</v>
      </c>
      <c r="N343">
        <f t="shared" si="58"/>
        <v>853.63721875545957</v>
      </c>
      <c r="O343">
        <f t="shared" si="59"/>
        <v>431.70353715631444</v>
      </c>
      <c r="P343">
        <f t="shared" si="60"/>
        <v>200.94206284368556</v>
      </c>
      <c r="Q343">
        <f t="shared" si="61"/>
        <v>0</v>
      </c>
      <c r="R343">
        <f t="shared" si="62"/>
        <v>632.64560000000006</v>
      </c>
    </row>
    <row r="344" spans="1:18" x14ac:dyDescent="0.3">
      <c r="A344" t="s">
        <v>0</v>
      </c>
      <c r="B344" t="s">
        <v>0</v>
      </c>
      <c r="C344">
        <v>23</v>
      </c>
      <c r="D344">
        <v>15</v>
      </c>
      <c r="E344">
        <v>0</v>
      </c>
      <c r="F344">
        <v>20260309</v>
      </c>
      <c r="G344">
        <v>20260415</v>
      </c>
      <c r="H344">
        <v>42.12</v>
      </c>
      <c r="I344">
        <f t="shared" si="53"/>
        <v>38</v>
      </c>
      <c r="J344">
        <f t="shared" si="54"/>
        <v>1.108421052631579</v>
      </c>
      <c r="K344">
        <f t="shared" si="55"/>
        <v>41.077936196185043</v>
      </c>
      <c r="L344">
        <f t="shared" si="56"/>
        <v>16.626315789473686</v>
      </c>
      <c r="M344">
        <f t="shared" si="57"/>
        <v>0</v>
      </c>
      <c r="N344">
        <f t="shared" si="58"/>
        <v>57.704251985658729</v>
      </c>
      <c r="O344">
        <f t="shared" si="59"/>
        <v>29.983971943927497</v>
      </c>
      <c r="P344">
        <f t="shared" si="60"/>
        <v>12.136028056072501</v>
      </c>
      <c r="Q344">
        <f t="shared" si="61"/>
        <v>0</v>
      </c>
      <c r="R344">
        <f t="shared" si="62"/>
        <v>42.12</v>
      </c>
    </row>
    <row r="345" spans="1:18" x14ac:dyDescent="0.3">
      <c r="A345" t="s">
        <v>0</v>
      </c>
      <c r="B345" t="s">
        <v>0</v>
      </c>
      <c r="C345">
        <v>26</v>
      </c>
      <c r="D345">
        <v>15</v>
      </c>
      <c r="E345">
        <v>0</v>
      </c>
      <c r="F345">
        <v>20260306</v>
      </c>
      <c r="G345">
        <v>20260415</v>
      </c>
      <c r="H345">
        <v>421.47719999999998</v>
      </c>
      <c r="I345">
        <f t="shared" si="53"/>
        <v>41</v>
      </c>
      <c r="J345">
        <f t="shared" si="54"/>
        <v>10.279931707317072</v>
      </c>
      <c r="K345">
        <f t="shared" si="55"/>
        <v>430.6650132427211</v>
      </c>
      <c r="L345">
        <f t="shared" si="56"/>
        <v>154.19897560975608</v>
      </c>
      <c r="M345">
        <f t="shared" si="57"/>
        <v>0</v>
      </c>
      <c r="N345">
        <f t="shared" si="58"/>
        <v>584.86398885247718</v>
      </c>
      <c r="O345">
        <f t="shared" si="59"/>
        <v>310.35503532307484</v>
      </c>
      <c r="P345">
        <f t="shared" si="60"/>
        <v>111.12216467692514</v>
      </c>
      <c r="Q345">
        <f t="shared" si="61"/>
        <v>0</v>
      </c>
      <c r="R345">
        <f t="shared" si="62"/>
        <v>421.47719999999998</v>
      </c>
    </row>
    <row r="346" spans="1:18" x14ac:dyDescent="0.3">
      <c r="A346" t="s">
        <v>0</v>
      </c>
      <c r="B346" t="s">
        <v>0</v>
      </c>
      <c r="C346">
        <v>24</v>
      </c>
      <c r="D346">
        <v>18</v>
      </c>
      <c r="E346">
        <v>0</v>
      </c>
      <c r="F346">
        <v>20260308</v>
      </c>
      <c r="G346">
        <v>20260418</v>
      </c>
      <c r="H346">
        <v>168.53550000000001</v>
      </c>
      <c r="I346">
        <f t="shared" si="53"/>
        <v>42</v>
      </c>
      <c r="J346">
        <f t="shared" si="54"/>
        <v>4.0127500000000005</v>
      </c>
      <c r="K346">
        <f t="shared" si="55"/>
        <v>155.17771737661784</v>
      </c>
      <c r="L346">
        <f t="shared" si="56"/>
        <v>72.229500000000002</v>
      </c>
      <c r="M346">
        <f t="shared" si="57"/>
        <v>0</v>
      </c>
      <c r="N346">
        <f t="shared" si="58"/>
        <v>227.40721737661784</v>
      </c>
      <c r="O346">
        <f t="shared" si="59"/>
        <v>115.00494350455934</v>
      </c>
      <c r="P346">
        <f t="shared" si="60"/>
        <v>53.530556495440685</v>
      </c>
      <c r="Q346">
        <f t="shared" si="61"/>
        <v>0</v>
      </c>
      <c r="R346">
        <f t="shared" si="62"/>
        <v>168.53550000000001</v>
      </c>
    </row>
    <row r="347" spans="1:18" x14ac:dyDescent="0.3">
      <c r="A347" t="s">
        <v>0</v>
      </c>
      <c r="B347" t="s">
        <v>0</v>
      </c>
      <c r="C347">
        <v>27</v>
      </c>
      <c r="D347">
        <v>1</v>
      </c>
      <c r="E347">
        <v>0</v>
      </c>
      <c r="F347">
        <v>20260305</v>
      </c>
      <c r="G347">
        <v>20260401</v>
      </c>
      <c r="H347">
        <v>126.5321</v>
      </c>
      <c r="I347">
        <f t="shared" si="53"/>
        <v>28</v>
      </c>
      <c r="J347">
        <f t="shared" si="54"/>
        <v>4.5190035714285717</v>
      </c>
      <c r="K347">
        <f t="shared" si="55"/>
        <v>196.59952436856346</v>
      </c>
      <c r="L347">
        <f t="shared" si="56"/>
        <v>4.5190035714285717</v>
      </c>
      <c r="M347">
        <f t="shared" si="57"/>
        <v>0</v>
      </c>
      <c r="N347">
        <f t="shared" si="58"/>
        <v>201.11852793999205</v>
      </c>
      <c r="O347">
        <f t="shared" si="59"/>
        <v>123.68900534503631</v>
      </c>
      <c r="P347">
        <f t="shared" si="60"/>
        <v>2.8430946549636911</v>
      </c>
      <c r="Q347">
        <f t="shared" si="61"/>
        <v>0</v>
      </c>
      <c r="R347">
        <f t="shared" si="62"/>
        <v>126.5321</v>
      </c>
    </row>
    <row r="348" spans="1:18" x14ac:dyDescent="0.3">
      <c r="A348" t="s">
        <v>0</v>
      </c>
      <c r="B348" t="s">
        <v>0</v>
      </c>
      <c r="C348">
        <v>25</v>
      </c>
      <c r="D348">
        <v>2</v>
      </c>
      <c r="E348">
        <v>0</v>
      </c>
      <c r="F348">
        <v>20260307</v>
      </c>
      <c r="G348">
        <v>20260402</v>
      </c>
      <c r="H348">
        <v>126.43429999999999</v>
      </c>
      <c r="I348">
        <f t="shared" si="53"/>
        <v>27</v>
      </c>
      <c r="J348">
        <f t="shared" si="54"/>
        <v>4.6827518518518518</v>
      </c>
      <c r="K348">
        <f t="shared" si="55"/>
        <v>188.63278077469221</v>
      </c>
      <c r="L348">
        <f t="shared" si="56"/>
        <v>9.3655037037037037</v>
      </c>
      <c r="M348">
        <f t="shared" si="57"/>
        <v>0</v>
      </c>
      <c r="N348">
        <f t="shared" si="58"/>
        <v>197.9982844783959</v>
      </c>
      <c r="O348">
        <f t="shared" si="59"/>
        <v>120.45383957305934</v>
      </c>
      <c r="P348">
        <f t="shared" si="60"/>
        <v>5.980460426940656</v>
      </c>
      <c r="Q348">
        <f t="shared" si="61"/>
        <v>0</v>
      </c>
      <c r="R348">
        <f t="shared" si="62"/>
        <v>126.43429999999999</v>
      </c>
    </row>
    <row r="349" spans="1:18" x14ac:dyDescent="0.3">
      <c r="A349" t="s">
        <v>0</v>
      </c>
      <c r="B349" t="s">
        <v>0</v>
      </c>
      <c r="C349">
        <v>30</v>
      </c>
      <c r="D349">
        <v>2</v>
      </c>
      <c r="E349">
        <v>0</v>
      </c>
      <c r="F349">
        <v>20260302</v>
      </c>
      <c r="G349">
        <v>20260402</v>
      </c>
      <c r="H349">
        <v>1392.7334000000001</v>
      </c>
      <c r="I349">
        <f t="shared" si="53"/>
        <v>32</v>
      </c>
      <c r="J349">
        <f t="shared" si="54"/>
        <v>43.522918750000002</v>
      </c>
      <c r="K349">
        <f t="shared" si="55"/>
        <v>2103.8524656385894</v>
      </c>
      <c r="L349">
        <f t="shared" si="56"/>
        <v>87.045837500000005</v>
      </c>
      <c r="M349">
        <f t="shared" si="57"/>
        <v>0</v>
      </c>
      <c r="N349">
        <f t="shared" si="58"/>
        <v>2190.8983031385892</v>
      </c>
      <c r="O349">
        <f t="shared" si="59"/>
        <v>1337.3991815912539</v>
      </c>
      <c r="P349">
        <f t="shared" si="60"/>
        <v>55.334218408746374</v>
      </c>
      <c r="Q349">
        <f t="shared" si="61"/>
        <v>0</v>
      </c>
      <c r="R349">
        <f t="shared" si="62"/>
        <v>1392.7334000000003</v>
      </c>
    </row>
    <row r="350" spans="1:18" x14ac:dyDescent="0.3">
      <c r="A350" t="s">
        <v>0</v>
      </c>
      <c r="B350" t="s">
        <v>0</v>
      </c>
      <c r="C350">
        <v>27</v>
      </c>
      <c r="D350">
        <v>11</v>
      </c>
      <c r="E350">
        <v>0</v>
      </c>
      <c r="F350">
        <v>20260305</v>
      </c>
      <c r="G350">
        <v>20260411</v>
      </c>
      <c r="H350">
        <v>337.23700000000002</v>
      </c>
      <c r="I350">
        <f t="shared" si="53"/>
        <v>38</v>
      </c>
      <c r="J350">
        <f t="shared" si="54"/>
        <v>8.874657894736842</v>
      </c>
      <c r="K350">
        <f t="shared" si="55"/>
        <v>386.09252979355779</v>
      </c>
      <c r="L350">
        <f t="shared" si="56"/>
        <v>97.621236842105262</v>
      </c>
      <c r="M350">
        <f t="shared" si="57"/>
        <v>0</v>
      </c>
      <c r="N350">
        <f t="shared" si="58"/>
        <v>483.71376663566303</v>
      </c>
      <c r="O350">
        <f t="shared" si="59"/>
        <v>269.17713625475795</v>
      </c>
      <c r="P350">
        <f t="shared" si="60"/>
        <v>68.059863745242083</v>
      </c>
      <c r="Q350">
        <f t="shared" si="61"/>
        <v>0</v>
      </c>
      <c r="R350">
        <f t="shared" si="62"/>
        <v>337.23700000000002</v>
      </c>
    </row>
    <row r="351" spans="1:18" x14ac:dyDescent="0.3">
      <c r="A351" t="s">
        <v>0</v>
      </c>
      <c r="B351" t="s">
        <v>0</v>
      </c>
      <c r="C351">
        <v>30</v>
      </c>
      <c r="D351">
        <v>7</v>
      </c>
      <c r="E351">
        <v>0</v>
      </c>
      <c r="F351">
        <v>20260302</v>
      </c>
      <c r="G351">
        <v>20260407</v>
      </c>
      <c r="H351">
        <v>1476.4154000000001</v>
      </c>
      <c r="I351">
        <f t="shared" si="53"/>
        <v>37</v>
      </c>
      <c r="J351">
        <f t="shared" si="54"/>
        <v>39.903118918918921</v>
      </c>
      <c r="K351">
        <f t="shared" si="55"/>
        <v>1928.8751199444182</v>
      </c>
      <c r="L351">
        <f t="shared" si="56"/>
        <v>279.32183243243242</v>
      </c>
      <c r="M351">
        <f t="shared" si="57"/>
        <v>0</v>
      </c>
      <c r="N351">
        <f t="shared" si="58"/>
        <v>2208.1969523768507</v>
      </c>
      <c r="O351">
        <f t="shared" si="59"/>
        <v>1289.6589358559977</v>
      </c>
      <c r="P351">
        <f t="shared" si="60"/>
        <v>186.75646414400242</v>
      </c>
      <c r="Q351">
        <f t="shared" si="61"/>
        <v>0</v>
      </c>
      <c r="R351">
        <f t="shared" si="62"/>
        <v>1476.4154000000001</v>
      </c>
    </row>
    <row r="352" spans="1:18" x14ac:dyDescent="0.3">
      <c r="A352" t="s">
        <v>0</v>
      </c>
      <c r="B352" t="s">
        <v>0</v>
      </c>
      <c r="C352">
        <v>24</v>
      </c>
      <c r="D352">
        <v>1</v>
      </c>
      <c r="E352">
        <v>0</v>
      </c>
      <c r="F352">
        <v>20260308</v>
      </c>
      <c r="G352">
        <v>20260401</v>
      </c>
      <c r="H352">
        <v>42.137799999999999</v>
      </c>
      <c r="I352">
        <f t="shared" si="53"/>
        <v>25</v>
      </c>
      <c r="J352">
        <f t="shared" si="54"/>
        <v>1.6855119999999999</v>
      </c>
      <c r="K352">
        <f t="shared" si="55"/>
        <v>65.180712671085374</v>
      </c>
      <c r="L352">
        <f t="shared" si="56"/>
        <v>1.6855119999999999</v>
      </c>
      <c r="M352">
        <f t="shared" si="57"/>
        <v>0</v>
      </c>
      <c r="N352">
        <f t="shared" si="58"/>
        <v>66.866224671085376</v>
      </c>
      <c r="O352">
        <f t="shared" si="59"/>
        <v>41.07562297560591</v>
      </c>
      <c r="P352">
        <f t="shared" si="60"/>
        <v>1.0621770243940876</v>
      </c>
      <c r="Q352">
        <f t="shared" si="61"/>
        <v>0</v>
      </c>
      <c r="R352">
        <f t="shared" si="62"/>
        <v>42.137799999999999</v>
      </c>
    </row>
    <row r="353" spans="1:18" x14ac:dyDescent="0.3">
      <c r="A353" t="s">
        <v>0</v>
      </c>
      <c r="B353" t="s">
        <v>0</v>
      </c>
      <c r="C353">
        <v>26</v>
      </c>
      <c r="D353">
        <v>11</v>
      </c>
      <c r="E353">
        <v>0</v>
      </c>
      <c r="F353">
        <v>20260306</v>
      </c>
      <c r="G353">
        <v>20260411</v>
      </c>
      <c r="H353">
        <v>42.143799999999999</v>
      </c>
      <c r="I353">
        <f t="shared" si="53"/>
        <v>37</v>
      </c>
      <c r="J353">
        <f t="shared" si="54"/>
        <v>1.1390216216216216</v>
      </c>
      <c r="K353">
        <f t="shared" si="55"/>
        <v>47.7179008310207</v>
      </c>
      <c r="L353">
        <f t="shared" si="56"/>
        <v>12.529237837837837</v>
      </c>
      <c r="M353">
        <f t="shared" si="57"/>
        <v>0</v>
      </c>
      <c r="N353">
        <f t="shared" si="58"/>
        <v>60.24713866885854</v>
      </c>
      <c r="O353">
        <f t="shared" si="59"/>
        <v>33.37940545352162</v>
      </c>
      <c r="P353">
        <f t="shared" si="60"/>
        <v>8.7643945464783748</v>
      </c>
      <c r="Q353">
        <f t="shared" si="61"/>
        <v>0</v>
      </c>
      <c r="R353">
        <f t="shared" si="62"/>
        <v>42.143799999999999</v>
      </c>
    </row>
    <row r="354" spans="1:18" x14ac:dyDescent="0.3">
      <c r="A354" t="s">
        <v>0</v>
      </c>
      <c r="B354" t="s">
        <v>0</v>
      </c>
      <c r="C354">
        <v>30</v>
      </c>
      <c r="D354">
        <v>9</v>
      </c>
      <c r="E354">
        <v>0</v>
      </c>
      <c r="F354">
        <v>20260302</v>
      </c>
      <c r="G354">
        <v>20260409</v>
      </c>
      <c r="H354">
        <v>379.63189999999997</v>
      </c>
      <c r="I354">
        <f t="shared" si="53"/>
        <v>39</v>
      </c>
      <c r="J354">
        <f t="shared" si="54"/>
        <v>9.7341512820512808</v>
      </c>
      <c r="K354">
        <f t="shared" si="55"/>
        <v>470.53871302329935</v>
      </c>
      <c r="L354">
        <f t="shared" si="56"/>
        <v>87.607361538461532</v>
      </c>
      <c r="M354">
        <f t="shared" si="57"/>
        <v>0</v>
      </c>
      <c r="N354">
        <f t="shared" si="58"/>
        <v>558.14607456176088</v>
      </c>
      <c r="O354">
        <f t="shared" si="59"/>
        <v>320.04436435183356</v>
      </c>
      <c r="P354">
        <f t="shared" si="60"/>
        <v>59.587535648166408</v>
      </c>
      <c r="Q354">
        <f t="shared" si="61"/>
        <v>0</v>
      </c>
      <c r="R354">
        <f t="shared" si="62"/>
        <v>379.63189999999997</v>
      </c>
    </row>
    <row r="355" spans="1:18" x14ac:dyDescent="0.3">
      <c r="A355" t="s">
        <v>0</v>
      </c>
      <c r="B355" t="s">
        <v>0</v>
      </c>
      <c r="C355">
        <v>30</v>
      </c>
      <c r="D355">
        <v>30</v>
      </c>
      <c r="E355">
        <v>7</v>
      </c>
      <c r="F355">
        <v>20260302</v>
      </c>
      <c r="G355">
        <v>20260507</v>
      </c>
      <c r="H355">
        <v>61810.108</v>
      </c>
      <c r="I355">
        <f t="shared" si="53"/>
        <v>67</v>
      </c>
      <c r="J355">
        <f t="shared" si="54"/>
        <v>922.53892537313436</v>
      </c>
      <c r="K355">
        <f t="shared" si="55"/>
        <v>44594.568759105648</v>
      </c>
      <c r="L355">
        <f t="shared" si="56"/>
        <v>27676.167761194032</v>
      </c>
      <c r="M355">
        <f t="shared" si="57"/>
        <v>4852.986467649539</v>
      </c>
      <c r="N355">
        <f t="shared" si="58"/>
        <v>77123.722987949222</v>
      </c>
      <c r="O355">
        <f t="shared" si="59"/>
        <v>35739.912499354316</v>
      </c>
      <c r="P355">
        <f t="shared" si="60"/>
        <v>22180.813530135434</v>
      </c>
      <c r="Q355">
        <f t="shared" si="61"/>
        <v>3889.3819705102487</v>
      </c>
      <c r="R355">
        <f t="shared" si="62"/>
        <v>61810.108</v>
      </c>
    </row>
    <row r="356" spans="1:18" x14ac:dyDescent="0.3">
      <c r="A356" t="s">
        <v>0</v>
      </c>
      <c r="B356" t="s">
        <v>0</v>
      </c>
      <c r="C356">
        <v>27</v>
      </c>
      <c r="D356">
        <v>3</v>
      </c>
      <c r="E356">
        <v>0</v>
      </c>
      <c r="F356">
        <v>20260305</v>
      </c>
      <c r="G356">
        <v>20260403</v>
      </c>
      <c r="H356">
        <v>126.50839999999999</v>
      </c>
      <c r="I356">
        <f t="shared" si="53"/>
        <v>30</v>
      </c>
      <c r="J356">
        <f t="shared" si="54"/>
        <v>4.2169466666666668</v>
      </c>
      <c r="K356">
        <f t="shared" si="55"/>
        <v>183.45852041276044</v>
      </c>
      <c r="L356">
        <f t="shared" si="56"/>
        <v>12.650840000000001</v>
      </c>
      <c r="M356">
        <f t="shared" si="57"/>
        <v>0</v>
      </c>
      <c r="N356">
        <f t="shared" si="58"/>
        <v>196.10936041276042</v>
      </c>
      <c r="O356">
        <f t="shared" si="59"/>
        <v>118.34745590387178</v>
      </c>
      <c r="P356">
        <f t="shared" si="60"/>
        <v>8.1609440961282296</v>
      </c>
      <c r="Q356">
        <f t="shared" si="61"/>
        <v>0</v>
      </c>
      <c r="R356">
        <f t="shared" si="62"/>
        <v>126.50840000000001</v>
      </c>
    </row>
    <row r="357" spans="1:18" x14ac:dyDescent="0.3">
      <c r="A357" t="s">
        <v>0</v>
      </c>
      <c r="B357" t="s">
        <v>0</v>
      </c>
      <c r="C357">
        <v>30</v>
      </c>
      <c r="D357">
        <v>30</v>
      </c>
      <c r="E357">
        <v>3</v>
      </c>
      <c r="F357">
        <v>20260302</v>
      </c>
      <c r="G357">
        <v>20260503</v>
      </c>
      <c r="H357">
        <v>560130.37120000005</v>
      </c>
      <c r="I357">
        <f t="shared" si="53"/>
        <v>63</v>
      </c>
      <c r="J357">
        <f t="shared" si="54"/>
        <v>8890.9582730158745</v>
      </c>
      <c r="K357">
        <f t="shared" si="55"/>
        <v>429779.64304322447</v>
      </c>
      <c r="L357">
        <f t="shared" si="56"/>
        <v>266728.74819047621</v>
      </c>
      <c r="M357">
        <f t="shared" si="57"/>
        <v>20044.543377597573</v>
      </c>
      <c r="N357">
        <f t="shared" si="58"/>
        <v>716552.93461129826</v>
      </c>
      <c r="O357">
        <f t="shared" si="59"/>
        <v>335959.31209547387</v>
      </c>
      <c r="P357">
        <f t="shared" si="60"/>
        <v>208502.21318915949</v>
      </c>
      <c r="Q357">
        <f t="shared" si="61"/>
        <v>15668.845915366657</v>
      </c>
      <c r="R357">
        <f t="shared" si="62"/>
        <v>560130.37120000005</v>
      </c>
    </row>
    <row r="358" spans="1:18" x14ac:dyDescent="0.3">
      <c r="A358" t="s">
        <v>0</v>
      </c>
      <c r="B358" t="s">
        <v>0</v>
      </c>
      <c r="C358">
        <v>28</v>
      </c>
      <c r="D358">
        <v>30</v>
      </c>
      <c r="E358">
        <v>3</v>
      </c>
      <c r="F358">
        <v>20260304</v>
      </c>
      <c r="G358">
        <v>20260503</v>
      </c>
      <c r="H358">
        <v>348907.49859999999</v>
      </c>
      <c r="I358">
        <f t="shared" si="53"/>
        <v>61</v>
      </c>
      <c r="J358">
        <f t="shared" si="54"/>
        <v>5719.7950590163937</v>
      </c>
      <c r="K358">
        <f t="shared" si="55"/>
        <v>258056.3282803375</v>
      </c>
      <c r="L358">
        <f t="shared" si="56"/>
        <v>171593.8517704918</v>
      </c>
      <c r="M358">
        <f t="shared" si="57"/>
        <v>12895.19944316779</v>
      </c>
      <c r="N358">
        <f t="shared" si="58"/>
        <v>442545.37949399708</v>
      </c>
      <c r="O358">
        <f t="shared" si="59"/>
        <v>203454.3623552041</v>
      </c>
      <c r="P358">
        <f t="shared" si="60"/>
        <v>135286.42342811669</v>
      </c>
      <c r="Q358">
        <f t="shared" si="61"/>
        <v>10166.712816679214</v>
      </c>
      <c r="R358">
        <f t="shared" si="62"/>
        <v>348907.49859999999</v>
      </c>
    </row>
    <row r="359" spans="1:18" x14ac:dyDescent="0.3">
      <c r="A359" t="s">
        <v>0</v>
      </c>
      <c r="B359" t="s">
        <v>0</v>
      </c>
      <c r="C359">
        <v>23</v>
      </c>
      <c r="D359">
        <v>30</v>
      </c>
      <c r="E359">
        <v>6</v>
      </c>
      <c r="F359">
        <v>20260309</v>
      </c>
      <c r="G359">
        <v>20260506</v>
      </c>
      <c r="H359">
        <v>55041.048300000002</v>
      </c>
      <c r="I359">
        <f t="shared" si="53"/>
        <v>59</v>
      </c>
      <c r="J359">
        <f t="shared" si="54"/>
        <v>932.89912372881361</v>
      </c>
      <c r="K359">
        <f t="shared" si="55"/>
        <v>34573.116949580894</v>
      </c>
      <c r="L359">
        <f t="shared" si="56"/>
        <v>27986.973711864408</v>
      </c>
      <c r="M359">
        <f t="shared" si="57"/>
        <v>4206.4165365072522</v>
      </c>
      <c r="N359">
        <f t="shared" si="58"/>
        <v>66766.507197952553</v>
      </c>
      <c r="O359">
        <f t="shared" si="59"/>
        <v>28501.425037279558</v>
      </c>
      <c r="P359">
        <f t="shared" si="60"/>
        <v>23071.932867154654</v>
      </c>
      <c r="Q359">
        <f t="shared" si="61"/>
        <v>3467.6903955657917</v>
      </c>
      <c r="R359">
        <f t="shared" si="62"/>
        <v>55041.048300000002</v>
      </c>
    </row>
    <row r="360" spans="1:18" x14ac:dyDescent="0.3">
      <c r="A360" t="s">
        <v>0</v>
      </c>
      <c r="B360" t="s">
        <v>0</v>
      </c>
      <c r="C360">
        <v>23</v>
      </c>
      <c r="D360">
        <v>30</v>
      </c>
      <c r="E360">
        <v>1</v>
      </c>
      <c r="F360">
        <v>20260309</v>
      </c>
      <c r="G360">
        <v>20260501</v>
      </c>
      <c r="H360">
        <v>28488.517800000001</v>
      </c>
      <c r="I360">
        <f t="shared" si="53"/>
        <v>54</v>
      </c>
      <c r="J360">
        <f t="shared" si="54"/>
        <v>527.56514444444451</v>
      </c>
      <c r="K360">
        <f t="shared" si="55"/>
        <v>19551.493804063659</v>
      </c>
      <c r="L360">
        <f t="shared" si="56"/>
        <v>15826.954333333335</v>
      </c>
      <c r="M360">
        <f t="shared" si="57"/>
        <v>396.46279203370767</v>
      </c>
      <c r="N360">
        <f t="shared" si="58"/>
        <v>35774.910929430698</v>
      </c>
      <c r="O360">
        <f t="shared" si="59"/>
        <v>15569.377107671276</v>
      </c>
      <c r="P360">
        <f t="shared" si="60"/>
        <v>12603.426773986073</v>
      </c>
      <c r="Q360">
        <f t="shared" si="61"/>
        <v>315.71391834265336</v>
      </c>
      <c r="R360">
        <f t="shared" si="62"/>
        <v>28488.517800000001</v>
      </c>
    </row>
    <row r="361" spans="1:18" x14ac:dyDescent="0.3">
      <c r="A361" t="s">
        <v>0</v>
      </c>
      <c r="B361" t="s">
        <v>0</v>
      </c>
      <c r="C361">
        <v>29</v>
      </c>
      <c r="D361">
        <v>30</v>
      </c>
      <c r="E361">
        <v>11</v>
      </c>
      <c r="F361">
        <v>20260303</v>
      </c>
      <c r="G361">
        <v>20260511</v>
      </c>
      <c r="H361">
        <v>3374.9796999999999</v>
      </c>
      <c r="I361">
        <f t="shared" si="53"/>
        <v>70</v>
      </c>
      <c r="J361">
        <f t="shared" si="54"/>
        <v>48.213995714285716</v>
      </c>
      <c r="K361">
        <f t="shared" si="55"/>
        <v>2252.9270888201968</v>
      </c>
      <c r="L361">
        <f t="shared" si="56"/>
        <v>1446.4198714285715</v>
      </c>
      <c r="M361">
        <f t="shared" si="57"/>
        <v>398.55856879490705</v>
      </c>
      <c r="N361">
        <f t="shared" si="58"/>
        <v>4097.9055290436754</v>
      </c>
      <c r="O361">
        <f t="shared" si="59"/>
        <v>1855.4803512326703</v>
      </c>
      <c r="P361">
        <f t="shared" si="60"/>
        <v>1191.2518893248528</v>
      </c>
      <c r="Q361">
        <f t="shared" si="61"/>
        <v>328.24745944247667</v>
      </c>
      <c r="R361">
        <f t="shared" si="62"/>
        <v>3374.9796999999999</v>
      </c>
    </row>
    <row r="362" spans="1:18" x14ac:dyDescent="0.3">
      <c r="A362" t="s">
        <v>0</v>
      </c>
      <c r="B362" t="s">
        <v>0</v>
      </c>
      <c r="C362">
        <v>22</v>
      </c>
      <c r="D362">
        <v>30</v>
      </c>
      <c r="E362">
        <v>7</v>
      </c>
      <c r="F362">
        <v>20260310</v>
      </c>
      <c r="G362">
        <v>20260507</v>
      </c>
      <c r="H362">
        <v>20943.977599999998</v>
      </c>
      <c r="I362">
        <f t="shared" si="53"/>
        <v>59</v>
      </c>
      <c r="J362">
        <f t="shared" si="54"/>
        <v>354.98267118644065</v>
      </c>
      <c r="K362">
        <f t="shared" si="55"/>
        <v>12583.627330646683</v>
      </c>
      <c r="L362">
        <f t="shared" si="56"/>
        <v>10649.48013559322</v>
      </c>
      <c r="M362">
        <f t="shared" si="57"/>
        <v>1867.3749715450767</v>
      </c>
      <c r="N362">
        <f t="shared" si="58"/>
        <v>25100.48243778498</v>
      </c>
      <c r="O362">
        <f t="shared" si="59"/>
        <v>10499.846351282691</v>
      </c>
      <c r="P362">
        <f t="shared" si="60"/>
        <v>8885.9835249920397</v>
      </c>
      <c r="Q362">
        <f t="shared" si="61"/>
        <v>1558.1477237252675</v>
      </c>
      <c r="R362">
        <f t="shared" si="62"/>
        <v>20943.977599999998</v>
      </c>
    </row>
    <row r="363" spans="1:18" x14ac:dyDescent="0.3">
      <c r="A363" t="s">
        <v>0</v>
      </c>
      <c r="B363" t="s">
        <v>0</v>
      </c>
      <c r="C363">
        <v>22</v>
      </c>
      <c r="D363">
        <v>30</v>
      </c>
      <c r="E363">
        <v>2</v>
      </c>
      <c r="F363">
        <v>20260310</v>
      </c>
      <c r="G363">
        <v>20260502</v>
      </c>
      <c r="H363">
        <v>4213.7835999999998</v>
      </c>
      <c r="I363">
        <f t="shared" si="53"/>
        <v>54</v>
      </c>
      <c r="J363">
        <f t="shared" si="54"/>
        <v>78.033029629629624</v>
      </c>
      <c r="K363">
        <f t="shared" si="55"/>
        <v>2766.1591509768241</v>
      </c>
      <c r="L363">
        <f t="shared" si="56"/>
        <v>2340.9908888888885</v>
      </c>
      <c r="M363">
        <f t="shared" si="57"/>
        <v>117.28292941107996</v>
      </c>
      <c r="N363">
        <f t="shared" si="58"/>
        <v>5224.4329692767924</v>
      </c>
      <c r="O363">
        <f t="shared" si="59"/>
        <v>2231.0547640138602</v>
      </c>
      <c r="P363">
        <f t="shared" si="60"/>
        <v>1888.1339034032881</v>
      </c>
      <c r="Q363">
        <f t="shared" si="61"/>
        <v>94.594932582851783</v>
      </c>
      <c r="R363">
        <f t="shared" si="62"/>
        <v>4213.7835999999998</v>
      </c>
    </row>
    <row r="364" spans="1:18" x14ac:dyDescent="0.3">
      <c r="A364" t="s">
        <v>0</v>
      </c>
      <c r="B364" t="s">
        <v>0</v>
      </c>
      <c r="C364">
        <v>29</v>
      </c>
      <c r="D364">
        <v>30</v>
      </c>
      <c r="E364">
        <v>10</v>
      </c>
      <c r="F364">
        <v>20260303</v>
      </c>
      <c r="G364">
        <v>20260510</v>
      </c>
      <c r="H364">
        <v>3164.0435000000002</v>
      </c>
      <c r="I364">
        <f t="shared" si="53"/>
        <v>69</v>
      </c>
      <c r="J364">
        <f t="shared" si="54"/>
        <v>45.855702898550724</v>
      </c>
      <c r="K364">
        <f t="shared" si="55"/>
        <v>2142.7295893342707</v>
      </c>
      <c r="L364">
        <f t="shared" si="56"/>
        <v>1375.6710869565218</v>
      </c>
      <c r="M364">
        <f t="shared" si="57"/>
        <v>344.60350903151948</v>
      </c>
      <c r="N364">
        <f t="shared" si="58"/>
        <v>3863.004185322312</v>
      </c>
      <c r="O364">
        <f t="shared" si="59"/>
        <v>1755.0303608654001</v>
      </c>
      <c r="P364">
        <f t="shared" si="60"/>
        <v>1126.7611817147306</v>
      </c>
      <c r="Q364">
        <f t="shared" si="61"/>
        <v>282.25195741986943</v>
      </c>
      <c r="R364">
        <f t="shared" si="62"/>
        <v>3164.0435000000002</v>
      </c>
    </row>
    <row r="365" spans="1:18" x14ac:dyDescent="0.3">
      <c r="A365" t="s">
        <v>0</v>
      </c>
      <c r="B365" t="s">
        <v>0</v>
      </c>
      <c r="C365">
        <v>0</v>
      </c>
      <c r="D365">
        <v>10</v>
      </c>
      <c r="E365">
        <v>3</v>
      </c>
      <c r="F365">
        <v>20260421</v>
      </c>
      <c r="G365">
        <v>20260503</v>
      </c>
      <c r="H365">
        <v>84.4101</v>
      </c>
      <c r="I365">
        <f t="shared" si="53"/>
        <v>13</v>
      </c>
      <c r="J365">
        <f t="shared" si="54"/>
        <v>6.4930846153846158</v>
      </c>
      <c r="K365">
        <f t="shared" si="55"/>
        <v>0</v>
      </c>
      <c r="L365">
        <f t="shared" si="56"/>
        <v>64.930846153846161</v>
      </c>
      <c r="M365">
        <f t="shared" si="57"/>
        <v>14.638570132816545</v>
      </c>
      <c r="N365">
        <f t="shared" si="58"/>
        <v>79.569416286662701</v>
      </c>
      <c r="O365">
        <f t="shared" si="59"/>
        <v>0</v>
      </c>
      <c r="P365">
        <f t="shared" si="60"/>
        <v>68.880978052989136</v>
      </c>
      <c r="Q365">
        <f t="shared" si="61"/>
        <v>15.529121947010868</v>
      </c>
      <c r="R365">
        <f t="shared" si="62"/>
        <v>84.4101</v>
      </c>
    </row>
    <row r="366" spans="1:18" x14ac:dyDescent="0.3">
      <c r="A366" t="s">
        <v>0</v>
      </c>
      <c r="B366" t="s">
        <v>0</v>
      </c>
      <c r="C366">
        <v>0</v>
      </c>
      <c r="D366">
        <v>7</v>
      </c>
      <c r="E366">
        <v>6</v>
      </c>
      <c r="F366">
        <v>20260424</v>
      </c>
      <c r="G366">
        <v>20260506</v>
      </c>
      <c r="H366">
        <v>210.83250000000001</v>
      </c>
      <c r="I366">
        <f t="shared" si="53"/>
        <v>13</v>
      </c>
      <c r="J366">
        <f t="shared" si="54"/>
        <v>16.217884615384616</v>
      </c>
      <c r="K366">
        <f t="shared" si="55"/>
        <v>0</v>
      </c>
      <c r="L366">
        <f t="shared" si="56"/>
        <v>113.52519230769231</v>
      </c>
      <c r="M366">
        <f t="shared" si="57"/>
        <v>73.125996474996342</v>
      </c>
      <c r="N366">
        <f t="shared" si="58"/>
        <v>186.65118878268865</v>
      </c>
      <c r="O366">
        <f t="shared" si="59"/>
        <v>0</v>
      </c>
      <c r="P366">
        <f t="shared" si="60"/>
        <v>128.23277613880069</v>
      </c>
      <c r="Q366">
        <f t="shared" si="61"/>
        <v>82.599723861199323</v>
      </c>
      <c r="R366">
        <f t="shared" si="62"/>
        <v>210.83250000000001</v>
      </c>
    </row>
    <row r="367" spans="1:18" x14ac:dyDescent="0.3">
      <c r="A367" t="s">
        <v>0</v>
      </c>
      <c r="B367" t="s">
        <v>0</v>
      </c>
      <c r="C367">
        <v>0</v>
      </c>
      <c r="D367">
        <v>7</v>
      </c>
      <c r="E367">
        <v>5</v>
      </c>
      <c r="F367">
        <v>20260424</v>
      </c>
      <c r="G367">
        <v>20260505</v>
      </c>
      <c r="H367">
        <v>42.167499999999997</v>
      </c>
      <c r="I367">
        <f t="shared" si="53"/>
        <v>12</v>
      </c>
      <c r="J367">
        <f t="shared" si="54"/>
        <v>3.5139583333333331</v>
      </c>
      <c r="K367">
        <f t="shared" si="55"/>
        <v>0</v>
      </c>
      <c r="L367">
        <f t="shared" si="56"/>
        <v>24.59770833333333</v>
      </c>
      <c r="M367">
        <f t="shared" si="57"/>
        <v>13.203618042189992</v>
      </c>
      <c r="N367">
        <f t="shared" si="58"/>
        <v>37.801326375523324</v>
      </c>
      <c r="O367">
        <f t="shared" si="59"/>
        <v>0</v>
      </c>
      <c r="P367">
        <f t="shared" si="60"/>
        <v>27.438822009627795</v>
      </c>
      <c r="Q367">
        <f t="shared" si="61"/>
        <v>14.728677990372198</v>
      </c>
      <c r="R367">
        <f t="shared" si="62"/>
        <v>42.16749999999999</v>
      </c>
    </row>
    <row r="368" spans="1:18" x14ac:dyDescent="0.3">
      <c r="A368" t="s">
        <v>0</v>
      </c>
      <c r="B368" t="s">
        <v>0</v>
      </c>
      <c r="C368">
        <v>0</v>
      </c>
      <c r="D368">
        <v>10</v>
      </c>
      <c r="E368">
        <v>1</v>
      </c>
      <c r="F368">
        <v>20260421</v>
      </c>
      <c r="G368">
        <v>20260501</v>
      </c>
      <c r="H368">
        <v>42.206000000000003</v>
      </c>
      <c r="I368">
        <f t="shared" si="53"/>
        <v>11</v>
      </c>
      <c r="J368">
        <f t="shared" si="54"/>
        <v>3.8369090909090913</v>
      </c>
      <c r="K368">
        <f t="shared" si="55"/>
        <v>0</v>
      </c>
      <c r="L368">
        <f t="shared" si="56"/>
        <v>38.369090909090914</v>
      </c>
      <c r="M368">
        <f t="shared" si="57"/>
        <v>2.883419625008079</v>
      </c>
      <c r="N368">
        <f t="shared" si="58"/>
        <v>41.252510534098995</v>
      </c>
      <c r="O368">
        <f t="shared" si="59"/>
        <v>0</v>
      </c>
      <c r="P368">
        <f t="shared" si="60"/>
        <v>39.255934485987304</v>
      </c>
      <c r="Q368">
        <f t="shared" si="61"/>
        <v>2.9500655140126981</v>
      </c>
      <c r="R368">
        <f t="shared" si="62"/>
        <v>42.206000000000003</v>
      </c>
    </row>
    <row r="369" spans="1:18" x14ac:dyDescent="0.3">
      <c r="A369" t="s">
        <v>0</v>
      </c>
      <c r="B369" t="s">
        <v>0</v>
      </c>
      <c r="C369">
        <v>0</v>
      </c>
      <c r="D369">
        <v>18</v>
      </c>
      <c r="E369">
        <v>3</v>
      </c>
      <c r="F369">
        <v>20260413</v>
      </c>
      <c r="G369">
        <v>20260503</v>
      </c>
      <c r="H369">
        <v>126.67740000000001</v>
      </c>
      <c r="I369">
        <f t="shared" si="53"/>
        <v>21</v>
      </c>
      <c r="J369">
        <f t="shared" si="54"/>
        <v>6.0322571428571434</v>
      </c>
      <c r="K369">
        <f t="shared" si="55"/>
        <v>0</v>
      </c>
      <c r="L369">
        <f t="shared" si="56"/>
        <v>108.58062857142858</v>
      </c>
      <c r="M369">
        <f t="shared" si="57"/>
        <v>13.599640921923703</v>
      </c>
      <c r="N369">
        <f t="shared" si="58"/>
        <v>122.18026949335228</v>
      </c>
      <c r="O369">
        <f t="shared" si="59"/>
        <v>0</v>
      </c>
      <c r="P369">
        <f t="shared" si="60"/>
        <v>112.57719249459234</v>
      </c>
      <c r="Q369">
        <f t="shared" si="61"/>
        <v>14.100207505407671</v>
      </c>
      <c r="R369">
        <f t="shared" si="62"/>
        <v>126.67740000000001</v>
      </c>
    </row>
    <row r="370" spans="1:18" x14ac:dyDescent="0.3">
      <c r="A370" t="s">
        <v>0</v>
      </c>
      <c r="B370" t="s">
        <v>0</v>
      </c>
      <c r="C370">
        <v>0</v>
      </c>
      <c r="D370">
        <v>18</v>
      </c>
      <c r="E370">
        <v>7</v>
      </c>
      <c r="F370">
        <v>20260413</v>
      </c>
      <c r="G370">
        <v>20260507</v>
      </c>
      <c r="H370">
        <v>126.66249999999999</v>
      </c>
      <c r="I370">
        <f t="shared" si="53"/>
        <v>25</v>
      </c>
      <c r="J370">
        <f t="shared" si="54"/>
        <v>5.0664999999999996</v>
      </c>
      <c r="K370">
        <f t="shared" si="55"/>
        <v>0</v>
      </c>
      <c r="L370">
        <f t="shared" si="56"/>
        <v>91.196999999999989</v>
      </c>
      <c r="M370">
        <f t="shared" si="57"/>
        <v>26.652160968060564</v>
      </c>
      <c r="N370">
        <f t="shared" si="58"/>
        <v>117.84916096806054</v>
      </c>
      <c r="O370">
        <f t="shared" si="59"/>
        <v>0</v>
      </c>
      <c r="P370">
        <f t="shared" si="60"/>
        <v>98.017159542023492</v>
      </c>
      <c r="Q370">
        <f t="shared" si="61"/>
        <v>28.645340457976509</v>
      </c>
      <c r="R370">
        <f t="shared" si="62"/>
        <v>126.66249999999999</v>
      </c>
    </row>
    <row r="371" spans="1:18" x14ac:dyDescent="0.3">
      <c r="A371" t="s">
        <v>0</v>
      </c>
      <c r="B371" t="s">
        <v>0</v>
      </c>
      <c r="C371">
        <v>0</v>
      </c>
      <c r="D371">
        <v>16</v>
      </c>
      <c r="E371">
        <v>2</v>
      </c>
      <c r="F371">
        <v>20260415</v>
      </c>
      <c r="G371">
        <v>20260502</v>
      </c>
      <c r="H371">
        <v>126.67740000000001</v>
      </c>
      <c r="I371">
        <f t="shared" si="53"/>
        <v>18</v>
      </c>
      <c r="J371">
        <f t="shared" si="54"/>
        <v>7.0376333333333339</v>
      </c>
      <c r="K371">
        <f t="shared" si="55"/>
        <v>0</v>
      </c>
      <c r="L371">
        <f t="shared" si="56"/>
        <v>112.60213333333334</v>
      </c>
      <c r="M371">
        <f t="shared" si="57"/>
        <v>10.577498494829547</v>
      </c>
      <c r="N371">
        <f t="shared" si="58"/>
        <v>123.17963182816288</v>
      </c>
      <c r="O371">
        <f t="shared" si="59"/>
        <v>0</v>
      </c>
      <c r="P371">
        <f t="shared" si="60"/>
        <v>115.79954634885304</v>
      </c>
      <c r="Q371">
        <f t="shared" si="61"/>
        <v>10.877853651146966</v>
      </c>
      <c r="R371">
        <f t="shared" si="62"/>
        <v>126.67740000000001</v>
      </c>
    </row>
    <row r="372" spans="1:18" x14ac:dyDescent="0.3">
      <c r="A372" t="s">
        <v>0</v>
      </c>
      <c r="B372" t="s">
        <v>0</v>
      </c>
      <c r="C372">
        <v>0</v>
      </c>
      <c r="D372">
        <v>24</v>
      </c>
      <c r="E372">
        <v>1</v>
      </c>
      <c r="F372">
        <v>20260407</v>
      </c>
      <c r="G372">
        <v>20260501</v>
      </c>
      <c r="H372">
        <v>422.04039999999998</v>
      </c>
      <c r="I372">
        <f t="shared" si="53"/>
        <v>25</v>
      </c>
      <c r="J372">
        <f t="shared" si="54"/>
        <v>16.881615999999998</v>
      </c>
      <c r="K372">
        <f t="shared" si="55"/>
        <v>0</v>
      </c>
      <c r="L372">
        <f t="shared" si="56"/>
        <v>405.15878399999997</v>
      </c>
      <c r="M372">
        <f t="shared" si="57"/>
        <v>12.686457177622948</v>
      </c>
      <c r="N372">
        <f t="shared" si="58"/>
        <v>417.84524117762294</v>
      </c>
      <c r="O372">
        <f t="shared" si="59"/>
        <v>0</v>
      </c>
      <c r="P372">
        <f t="shared" si="60"/>
        <v>409.22657101696069</v>
      </c>
      <c r="Q372">
        <f t="shared" si="61"/>
        <v>12.813828983039272</v>
      </c>
      <c r="R372">
        <f t="shared" si="62"/>
        <v>422.04039999999998</v>
      </c>
    </row>
    <row r="373" spans="1:18" x14ac:dyDescent="0.3">
      <c r="A373" t="s">
        <v>0</v>
      </c>
      <c r="B373" t="s">
        <v>0</v>
      </c>
      <c r="C373">
        <v>0</v>
      </c>
      <c r="D373">
        <v>22</v>
      </c>
      <c r="E373">
        <v>4</v>
      </c>
      <c r="F373">
        <v>20260409</v>
      </c>
      <c r="G373">
        <v>20260504</v>
      </c>
      <c r="H373">
        <v>42.210999999999999</v>
      </c>
      <c r="I373">
        <f t="shared" si="53"/>
        <v>26</v>
      </c>
      <c r="J373">
        <f t="shared" si="54"/>
        <v>1.6234999999999999</v>
      </c>
      <c r="K373">
        <f t="shared" si="55"/>
        <v>0</v>
      </c>
      <c r="L373">
        <f t="shared" si="56"/>
        <v>35.716999999999999</v>
      </c>
      <c r="M373">
        <f t="shared" si="57"/>
        <v>4.8802112849553883</v>
      </c>
      <c r="N373">
        <f t="shared" si="58"/>
        <v>40.597211284955385</v>
      </c>
      <c r="O373">
        <f t="shared" si="59"/>
        <v>0</v>
      </c>
      <c r="P373">
        <f t="shared" si="60"/>
        <v>37.136794358057514</v>
      </c>
      <c r="Q373">
        <f t="shared" si="61"/>
        <v>5.0742056419424886</v>
      </c>
      <c r="R373">
        <f t="shared" si="62"/>
        <v>42.211000000000006</v>
      </c>
    </row>
    <row r="374" spans="1:18" x14ac:dyDescent="0.3">
      <c r="A374" t="s">
        <v>0</v>
      </c>
      <c r="B374" t="s">
        <v>0</v>
      </c>
      <c r="C374">
        <v>0</v>
      </c>
      <c r="D374">
        <v>23</v>
      </c>
      <c r="E374">
        <v>4</v>
      </c>
      <c r="F374">
        <v>20260408</v>
      </c>
      <c r="G374">
        <v>20260504</v>
      </c>
      <c r="H374">
        <v>42.209000000000003</v>
      </c>
      <c r="I374">
        <f t="shared" si="53"/>
        <v>27</v>
      </c>
      <c r="J374">
        <f t="shared" si="54"/>
        <v>1.5632962962962964</v>
      </c>
      <c r="K374">
        <f t="shared" si="55"/>
        <v>0</v>
      </c>
      <c r="L374">
        <f t="shared" si="56"/>
        <v>35.955814814814815</v>
      </c>
      <c r="M374">
        <f t="shared" si="57"/>
        <v>4.6992400535350463</v>
      </c>
      <c r="N374">
        <f t="shared" si="58"/>
        <v>40.655054868349865</v>
      </c>
      <c r="O374">
        <f t="shared" si="59"/>
        <v>0</v>
      </c>
      <c r="P374">
        <f t="shared" si="60"/>
        <v>37.330142400078834</v>
      </c>
      <c r="Q374">
        <f t="shared" si="61"/>
        <v>4.878857599921167</v>
      </c>
      <c r="R374">
        <f t="shared" si="62"/>
        <v>42.209000000000003</v>
      </c>
    </row>
    <row r="375" spans="1:18" x14ac:dyDescent="0.3">
      <c r="A375" t="s">
        <v>0</v>
      </c>
      <c r="B375" t="s">
        <v>0</v>
      </c>
      <c r="C375">
        <v>0</v>
      </c>
      <c r="D375">
        <v>20</v>
      </c>
      <c r="E375">
        <v>1</v>
      </c>
      <c r="F375">
        <v>20260411</v>
      </c>
      <c r="G375">
        <v>20260501</v>
      </c>
      <c r="H375">
        <v>42.223799999999997</v>
      </c>
      <c r="I375">
        <f t="shared" si="53"/>
        <v>21</v>
      </c>
      <c r="J375">
        <f t="shared" si="54"/>
        <v>2.0106571428571427</v>
      </c>
      <c r="K375">
        <f t="shared" si="55"/>
        <v>0</v>
      </c>
      <c r="L375">
        <f t="shared" si="56"/>
        <v>40.213142857142856</v>
      </c>
      <c r="M375">
        <f t="shared" si="57"/>
        <v>1.510999642554294</v>
      </c>
      <c r="N375">
        <f t="shared" si="58"/>
        <v>41.724142499697152</v>
      </c>
      <c r="O375">
        <f t="shared" si="59"/>
        <v>0</v>
      </c>
      <c r="P375">
        <f t="shared" si="60"/>
        <v>40.694705742215142</v>
      </c>
      <c r="Q375">
        <f t="shared" si="61"/>
        <v>1.5290942577848563</v>
      </c>
      <c r="R375">
        <f t="shared" si="62"/>
        <v>42.223799999999997</v>
      </c>
    </row>
    <row r="376" spans="1:18" x14ac:dyDescent="0.3">
      <c r="A376" t="s">
        <v>0</v>
      </c>
      <c r="B376" t="s">
        <v>0</v>
      </c>
      <c r="C376">
        <v>0</v>
      </c>
      <c r="D376">
        <v>20</v>
      </c>
      <c r="E376">
        <v>4</v>
      </c>
      <c r="F376">
        <v>20260411</v>
      </c>
      <c r="G376">
        <v>20260504</v>
      </c>
      <c r="H376">
        <v>168.88329999999999</v>
      </c>
      <c r="I376">
        <f t="shared" si="53"/>
        <v>24</v>
      </c>
      <c r="J376">
        <f t="shared" si="54"/>
        <v>7.0368041666666663</v>
      </c>
      <c r="K376">
        <f t="shared" si="55"/>
        <v>0</v>
      </c>
      <c r="L376">
        <f t="shared" si="56"/>
        <v>140.73608333333334</v>
      </c>
      <c r="M376">
        <f t="shared" si="57"/>
        <v>21.152504529835394</v>
      </c>
      <c r="N376">
        <f t="shared" si="58"/>
        <v>161.88858786316874</v>
      </c>
      <c r="O376">
        <f t="shared" si="59"/>
        <v>0</v>
      </c>
      <c r="P376">
        <f t="shared" si="60"/>
        <v>146.81686026254962</v>
      </c>
      <c r="Q376">
        <f t="shared" si="61"/>
        <v>22.066439737450352</v>
      </c>
      <c r="R376">
        <f t="shared" si="62"/>
        <v>168.88329999999996</v>
      </c>
    </row>
    <row r="377" spans="1:18" x14ac:dyDescent="0.3">
      <c r="A377" t="s">
        <v>0</v>
      </c>
      <c r="B377" t="s">
        <v>0</v>
      </c>
      <c r="C377">
        <v>0</v>
      </c>
      <c r="D377">
        <v>20</v>
      </c>
      <c r="E377">
        <v>5</v>
      </c>
      <c r="F377">
        <v>20260411</v>
      </c>
      <c r="G377">
        <v>20260505</v>
      </c>
      <c r="H377">
        <v>168.8715</v>
      </c>
      <c r="I377">
        <f t="shared" si="53"/>
        <v>25</v>
      </c>
      <c r="J377">
        <f t="shared" si="54"/>
        <v>6.7548599999999999</v>
      </c>
      <c r="K377">
        <f t="shared" si="55"/>
        <v>0</v>
      </c>
      <c r="L377">
        <f t="shared" si="56"/>
        <v>135.09719999999999</v>
      </c>
      <c r="M377">
        <f t="shared" si="57"/>
        <v>25.381231906601286</v>
      </c>
      <c r="N377">
        <f t="shared" si="58"/>
        <v>160.47843190660126</v>
      </c>
      <c r="O377">
        <f t="shared" si="59"/>
        <v>0</v>
      </c>
      <c r="P377">
        <f t="shared" si="60"/>
        <v>142.16282237277733</v>
      </c>
      <c r="Q377">
        <f t="shared" si="61"/>
        <v>26.708677627222677</v>
      </c>
      <c r="R377">
        <f t="shared" si="62"/>
        <v>168.8715</v>
      </c>
    </row>
    <row r="378" spans="1:18" x14ac:dyDescent="0.3">
      <c r="A378" t="s">
        <v>0</v>
      </c>
      <c r="B378" t="s">
        <v>0</v>
      </c>
      <c r="C378">
        <v>2</v>
      </c>
      <c r="D378">
        <v>30</v>
      </c>
      <c r="E378">
        <v>6</v>
      </c>
      <c r="F378">
        <v>20260330</v>
      </c>
      <c r="G378">
        <v>20260506</v>
      </c>
      <c r="H378">
        <v>42.172400000000003</v>
      </c>
      <c r="I378">
        <f t="shared" si="53"/>
        <v>38</v>
      </c>
      <c r="J378">
        <f t="shared" si="54"/>
        <v>1.1098000000000001</v>
      </c>
      <c r="K378">
        <f t="shared" si="55"/>
        <v>3.5764382436103768</v>
      </c>
      <c r="L378">
        <f t="shared" si="56"/>
        <v>33.294000000000004</v>
      </c>
      <c r="M378">
        <f t="shared" si="57"/>
        <v>5.0040577308686389</v>
      </c>
      <c r="N378">
        <f t="shared" si="58"/>
        <v>41.874495974479018</v>
      </c>
      <c r="O378">
        <f t="shared" si="59"/>
        <v>3.6018817820937552</v>
      </c>
      <c r="P378">
        <f t="shared" si="60"/>
        <v>33.530860561420027</v>
      </c>
      <c r="Q378">
        <f t="shared" si="61"/>
        <v>5.0396576564862201</v>
      </c>
      <c r="R378">
        <f t="shared" si="62"/>
        <v>42.172400000000003</v>
      </c>
    </row>
    <row r="379" spans="1:18" x14ac:dyDescent="0.3">
      <c r="A379" t="s">
        <v>0</v>
      </c>
      <c r="B379" t="s">
        <v>0</v>
      </c>
      <c r="C379">
        <v>14</v>
      </c>
      <c r="D379">
        <v>30</v>
      </c>
      <c r="E379">
        <v>1</v>
      </c>
      <c r="F379">
        <v>20260318</v>
      </c>
      <c r="G379">
        <v>20260501</v>
      </c>
      <c r="H379">
        <v>1813.2017000000001</v>
      </c>
      <c r="I379">
        <f t="shared" si="53"/>
        <v>45</v>
      </c>
      <c r="J379">
        <f t="shared" si="54"/>
        <v>40.293371111111114</v>
      </c>
      <c r="K379">
        <f t="shared" si="55"/>
        <v>908.94510167628675</v>
      </c>
      <c r="L379">
        <f t="shared" si="56"/>
        <v>1208.8011333333334</v>
      </c>
      <c r="M379">
        <f t="shared" si="57"/>
        <v>30.280284016837062</v>
      </c>
      <c r="N379">
        <f t="shared" si="58"/>
        <v>2148.0265190264572</v>
      </c>
      <c r="O379">
        <f t="shared" si="59"/>
        <v>767.26278235758423</v>
      </c>
      <c r="P379">
        <f t="shared" si="60"/>
        <v>1020.3785896066634</v>
      </c>
      <c r="Q379">
        <f t="shared" si="61"/>
        <v>25.560328035752494</v>
      </c>
      <c r="R379">
        <f t="shared" si="62"/>
        <v>1813.2017000000001</v>
      </c>
    </row>
    <row r="380" spans="1:18" x14ac:dyDescent="0.3">
      <c r="A380" t="s">
        <v>0</v>
      </c>
      <c r="B380" t="s">
        <v>0</v>
      </c>
      <c r="C380">
        <v>16</v>
      </c>
      <c r="D380">
        <v>30</v>
      </c>
      <c r="E380">
        <v>3</v>
      </c>
      <c r="F380">
        <v>20260316</v>
      </c>
      <c r="G380">
        <v>20260503</v>
      </c>
      <c r="H380">
        <v>84.311199999999999</v>
      </c>
      <c r="I380">
        <f t="shared" si="53"/>
        <v>49</v>
      </c>
      <c r="J380">
        <f t="shared" si="54"/>
        <v>1.7206367346938776</v>
      </c>
      <c r="K380">
        <f t="shared" si="55"/>
        <v>44.359351388142471</v>
      </c>
      <c r="L380">
        <f t="shared" si="56"/>
        <v>51.61910204081633</v>
      </c>
      <c r="M380">
        <f t="shared" si="57"/>
        <v>3.8791518986580771</v>
      </c>
      <c r="N380">
        <f t="shared" si="58"/>
        <v>99.857605327616881</v>
      </c>
      <c r="O380">
        <f t="shared" si="59"/>
        <v>37.453232875809974</v>
      </c>
      <c r="P380">
        <f t="shared" si="60"/>
        <v>43.582743865179133</v>
      </c>
      <c r="Q380">
        <f t="shared" si="61"/>
        <v>3.2752232590108932</v>
      </c>
      <c r="R380">
        <f t="shared" si="62"/>
        <v>84.311199999999985</v>
      </c>
    </row>
    <row r="381" spans="1:18" x14ac:dyDescent="0.3">
      <c r="A381" t="s">
        <v>0</v>
      </c>
      <c r="B381" t="s">
        <v>0</v>
      </c>
      <c r="C381">
        <v>5</v>
      </c>
      <c r="D381">
        <v>30</v>
      </c>
      <c r="E381">
        <v>10</v>
      </c>
      <c r="F381">
        <v>20260327</v>
      </c>
      <c r="G381">
        <v>20260510</v>
      </c>
      <c r="H381">
        <v>253.1353</v>
      </c>
      <c r="I381">
        <f t="shared" si="53"/>
        <v>45</v>
      </c>
      <c r="J381">
        <f t="shared" si="54"/>
        <v>5.6252288888888886</v>
      </c>
      <c r="K381">
        <f t="shared" si="55"/>
        <v>45.31961553271789</v>
      </c>
      <c r="L381">
        <f t="shared" si="56"/>
        <v>168.75686666666667</v>
      </c>
      <c r="M381">
        <f t="shared" si="57"/>
        <v>42.273337702514034</v>
      </c>
      <c r="N381">
        <f t="shared" si="58"/>
        <v>256.34981990189857</v>
      </c>
      <c r="O381">
        <f t="shared" si="59"/>
        <v>44.751326441927567</v>
      </c>
      <c r="P381">
        <f t="shared" si="60"/>
        <v>166.64072589196419</v>
      </c>
      <c r="Q381">
        <f t="shared" si="61"/>
        <v>41.74324766610826</v>
      </c>
      <c r="R381">
        <f t="shared" si="62"/>
        <v>253.13530000000003</v>
      </c>
    </row>
    <row r="382" spans="1:18" x14ac:dyDescent="0.3">
      <c r="A382" t="s">
        <v>0</v>
      </c>
      <c r="B382" t="s">
        <v>0</v>
      </c>
      <c r="C382">
        <v>0</v>
      </c>
      <c r="D382">
        <v>30</v>
      </c>
      <c r="E382">
        <v>2</v>
      </c>
      <c r="F382">
        <v>20260401</v>
      </c>
      <c r="G382">
        <v>20260502</v>
      </c>
      <c r="H382">
        <v>210.82749999999999</v>
      </c>
      <c r="I382">
        <f t="shared" si="53"/>
        <v>32</v>
      </c>
      <c r="J382">
        <f t="shared" si="54"/>
        <v>6.5883593749999996</v>
      </c>
      <c r="K382">
        <f t="shared" si="55"/>
        <v>0</v>
      </c>
      <c r="L382">
        <f t="shared" si="56"/>
        <v>197.65078124999999</v>
      </c>
      <c r="M382">
        <f t="shared" si="57"/>
        <v>9.9022438470023477</v>
      </c>
      <c r="N382">
        <f t="shared" si="58"/>
        <v>207.55302509700235</v>
      </c>
      <c r="O382">
        <f t="shared" si="59"/>
        <v>0</v>
      </c>
      <c r="P382">
        <f t="shared" si="60"/>
        <v>200.76903270626534</v>
      </c>
      <c r="Q382">
        <f t="shared" si="61"/>
        <v>10.058467293734662</v>
      </c>
      <c r="R382">
        <f t="shared" si="62"/>
        <v>210.82749999999999</v>
      </c>
    </row>
    <row r="383" spans="1:18" x14ac:dyDescent="0.3">
      <c r="A383" t="s">
        <v>0</v>
      </c>
      <c r="B383" t="s">
        <v>0</v>
      </c>
      <c r="C383">
        <v>18</v>
      </c>
      <c r="D383">
        <v>30</v>
      </c>
      <c r="E383">
        <v>4</v>
      </c>
      <c r="F383">
        <v>20260314</v>
      </c>
      <c r="G383">
        <v>20260504</v>
      </c>
      <c r="H383">
        <v>590.0403</v>
      </c>
      <c r="I383">
        <f t="shared" si="53"/>
        <v>52</v>
      </c>
      <c r="J383">
        <f t="shared" si="54"/>
        <v>11.346928846153846</v>
      </c>
      <c r="K383">
        <f t="shared" si="55"/>
        <v>329.09921828815402</v>
      </c>
      <c r="L383">
        <f t="shared" si="56"/>
        <v>340.40786538461538</v>
      </c>
      <c r="M383">
        <f t="shared" si="57"/>
        <v>34.108660427832348</v>
      </c>
      <c r="N383">
        <f t="shared" si="58"/>
        <v>703.61574410060166</v>
      </c>
      <c r="O383">
        <f t="shared" si="59"/>
        <v>275.97705582429967</v>
      </c>
      <c r="P383">
        <f t="shared" si="60"/>
        <v>285.46029661493799</v>
      </c>
      <c r="Q383">
        <f t="shared" si="61"/>
        <v>28.602947560762402</v>
      </c>
      <c r="R383">
        <f t="shared" si="62"/>
        <v>590.04030000000012</v>
      </c>
    </row>
    <row r="384" spans="1:18" x14ac:dyDescent="0.3">
      <c r="A384" t="s">
        <v>0</v>
      </c>
      <c r="B384" t="s">
        <v>0</v>
      </c>
      <c r="C384">
        <v>7</v>
      </c>
      <c r="D384">
        <v>30</v>
      </c>
      <c r="E384">
        <v>1</v>
      </c>
      <c r="F384">
        <v>20260325</v>
      </c>
      <c r="G384">
        <v>20260501</v>
      </c>
      <c r="H384">
        <v>886.07740000000001</v>
      </c>
      <c r="I384">
        <f t="shared" si="53"/>
        <v>38</v>
      </c>
      <c r="J384">
        <f t="shared" si="54"/>
        <v>23.317826315789475</v>
      </c>
      <c r="K384">
        <f t="shared" si="55"/>
        <v>263.00385680103506</v>
      </c>
      <c r="L384">
        <f t="shared" si="56"/>
        <v>699.53478947368421</v>
      </c>
      <c r="M384">
        <f t="shared" si="57"/>
        <v>17.523239779326381</v>
      </c>
      <c r="N384">
        <f t="shared" si="58"/>
        <v>980.06188605404554</v>
      </c>
      <c r="O384">
        <f t="shared" si="59"/>
        <v>237.78271243922487</v>
      </c>
      <c r="P384">
        <f t="shared" si="60"/>
        <v>632.45186481234953</v>
      </c>
      <c r="Q384">
        <f t="shared" si="61"/>
        <v>15.842822748425766</v>
      </c>
      <c r="R384">
        <f t="shared" si="62"/>
        <v>886.07740000000013</v>
      </c>
    </row>
    <row r="385" spans="1:18" x14ac:dyDescent="0.3">
      <c r="A385" t="s">
        <v>0</v>
      </c>
      <c r="B385" t="s">
        <v>0</v>
      </c>
      <c r="C385">
        <v>9</v>
      </c>
      <c r="D385">
        <v>30</v>
      </c>
      <c r="E385">
        <v>6</v>
      </c>
      <c r="F385">
        <v>20260323</v>
      </c>
      <c r="G385">
        <v>20260506</v>
      </c>
      <c r="H385">
        <v>337.577</v>
      </c>
      <c r="I385">
        <f t="shared" si="53"/>
        <v>45</v>
      </c>
      <c r="J385">
        <f t="shared" si="54"/>
        <v>7.5017111111111108</v>
      </c>
      <c r="K385">
        <f t="shared" si="55"/>
        <v>108.78746557607316</v>
      </c>
      <c r="L385">
        <f t="shared" si="56"/>
        <v>225.05133333333333</v>
      </c>
      <c r="M385">
        <f t="shared" si="57"/>
        <v>33.825009443412071</v>
      </c>
      <c r="N385">
        <f t="shared" si="58"/>
        <v>367.66380835281853</v>
      </c>
      <c r="O385">
        <f t="shared" si="59"/>
        <v>99.885127207116142</v>
      </c>
      <c r="P385">
        <f t="shared" si="60"/>
        <v>206.63484473228885</v>
      </c>
      <c r="Q385">
        <f t="shared" si="61"/>
        <v>31.057028060595027</v>
      </c>
      <c r="R385">
        <f t="shared" si="62"/>
        <v>337.577</v>
      </c>
    </row>
    <row r="386" spans="1:18" x14ac:dyDescent="0.3">
      <c r="A386" t="s">
        <v>0</v>
      </c>
      <c r="B386" t="s">
        <v>0</v>
      </c>
      <c r="C386">
        <v>18</v>
      </c>
      <c r="D386">
        <v>30</v>
      </c>
      <c r="E386">
        <v>7</v>
      </c>
      <c r="F386">
        <v>20260314</v>
      </c>
      <c r="G386">
        <v>20260507</v>
      </c>
      <c r="H386">
        <v>84.295400000000001</v>
      </c>
      <c r="I386">
        <f t="shared" si="53"/>
        <v>55</v>
      </c>
      <c r="J386">
        <f t="shared" si="54"/>
        <v>1.5326436363636364</v>
      </c>
      <c r="K386">
        <f t="shared" si="55"/>
        <v>44.451836217564292</v>
      </c>
      <c r="L386">
        <f t="shared" si="56"/>
        <v>45.979309090909091</v>
      </c>
      <c r="M386">
        <f t="shared" si="57"/>
        <v>8.0624227579270347</v>
      </c>
      <c r="N386">
        <f t="shared" si="58"/>
        <v>98.493568066400428</v>
      </c>
      <c r="O386">
        <f t="shared" si="59"/>
        <v>38.04395950167968</v>
      </c>
      <c r="P386">
        <f t="shared" si="60"/>
        <v>39.351242194098184</v>
      </c>
      <c r="Q386">
        <f t="shared" si="61"/>
        <v>6.9001983042221244</v>
      </c>
      <c r="R386">
        <f t="shared" si="62"/>
        <v>84.295400000000001</v>
      </c>
    </row>
    <row r="387" spans="1:18" x14ac:dyDescent="0.3">
      <c r="A387" t="s">
        <v>0</v>
      </c>
      <c r="B387" t="s">
        <v>0</v>
      </c>
      <c r="C387">
        <v>7</v>
      </c>
      <c r="D387">
        <v>30</v>
      </c>
      <c r="E387">
        <v>3</v>
      </c>
      <c r="F387">
        <v>20260325</v>
      </c>
      <c r="G387">
        <v>20260503</v>
      </c>
      <c r="H387">
        <v>168.77670000000001</v>
      </c>
      <c r="I387">
        <f t="shared" si="53"/>
        <v>40</v>
      </c>
      <c r="J387">
        <f t="shared" si="54"/>
        <v>4.2194175000000005</v>
      </c>
      <c r="K387">
        <f t="shared" si="55"/>
        <v>47.591188858042983</v>
      </c>
      <c r="L387">
        <f t="shared" si="56"/>
        <v>126.58252500000002</v>
      </c>
      <c r="M387">
        <f t="shared" si="57"/>
        <v>9.5126188325092027</v>
      </c>
      <c r="N387">
        <f t="shared" si="58"/>
        <v>183.68633269055221</v>
      </c>
      <c r="O387">
        <f t="shared" si="59"/>
        <v>43.728260491045219</v>
      </c>
      <c r="P387">
        <f t="shared" si="60"/>
        <v>116.30795026627671</v>
      </c>
      <c r="Q387">
        <f t="shared" si="61"/>
        <v>8.7404892426780663</v>
      </c>
      <c r="R387">
        <f t="shared" si="62"/>
        <v>168.77670000000001</v>
      </c>
    </row>
    <row r="388" spans="1:18" x14ac:dyDescent="0.3">
      <c r="A388" t="s">
        <v>0</v>
      </c>
      <c r="B388" t="s">
        <v>0</v>
      </c>
      <c r="C388">
        <v>8</v>
      </c>
      <c r="D388">
        <v>30</v>
      </c>
      <c r="E388">
        <v>5</v>
      </c>
      <c r="F388">
        <v>20260324</v>
      </c>
      <c r="G388">
        <v>20260505</v>
      </c>
      <c r="H388">
        <v>126.5943</v>
      </c>
      <c r="I388">
        <f t="shared" si="53"/>
        <v>43</v>
      </c>
      <c r="J388">
        <f t="shared" si="54"/>
        <v>2.9440534883720932</v>
      </c>
      <c r="K388">
        <f t="shared" si="55"/>
        <v>37.949992744813443</v>
      </c>
      <c r="L388">
        <f t="shared" si="56"/>
        <v>88.321604651162801</v>
      </c>
      <c r="M388">
        <f t="shared" si="57"/>
        <v>11.062213626013063</v>
      </c>
      <c r="N388">
        <f t="shared" si="58"/>
        <v>137.33381102198931</v>
      </c>
      <c r="O388">
        <f t="shared" si="59"/>
        <v>34.982301377812199</v>
      </c>
      <c r="P388">
        <f t="shared" si="60"/>
        <v>81.414850665583316</v>
      </c>
      <c r="Q388">
        <f t="shared" si="61"/>
        <v>10.197147956604491</v>
      </c>
      <c r="R388">
        <f t="shared" si="62"/>
        <v>126.59430000000002</v>
      </c>
    </row>
    <row r="389" spans="1:18" x14ac:dyDescent="0.3">
      <c r="A389" t="s">
        <v>0</v>
      </c>
      <c r="B389" t="s">
        <v>0</v>
      </c>
      <c r="C389">
        <v>0</v>
      </c>
      <c r="D389">
        <v>29</v>
      </c>
      <c r="E389">
        <v>3</v>
      </c>
      <c r="F389">
        <v>20260402</v>
      </c>
      <c r="G389">
        <v>20260503</v>
      </c>
      <c r="H389">
        <v>42.166499999999999</v>
      </c>
      <c r="I389">
        <f t="shared" si="53"/>
        <v>32</v>
      </c>
      <c r="J389">
        <f t="shared" si="54"/>
        <v>1.317703125</v>
      </c>
      <c r="K389">
        <f t="shared" si="55"/>
        <v>0</v>
      </c>
      <c r="L389">
        <f t="shared" si="56"/>
        <v>38.213390625000002</v>
      </c>
      <c r="M389">
        <f t="shared" si="57"/>
        <v>2.9707436067967263</v>
      </c>
      <c r="N389">
        <f t="shared" si="58"/>
        <v>41.184134231796726</v>
      </c>
      <c r="O389">
        <f t="shared" si="59"/>
        <v>0</v>
      </c>
      <c r="P389">
        <f t="shared" si="60"/>
        <v>39.124895201633713</v>
      </c>
      <c r="Q389">
        <f t="shared" si="61"/>
        <v>3.0416047983662864</v>
      </c>
      <c r="R389">
        <f t="shared" si="62"/>
        <v>42.166499999999999</v>
      </c>
    </row>
    <row r="390" spans="1:18" x14ac:dyDescent="0.3">
      <c r="A390" t="s">
        <v>0</v>
      </c>
      <c r="B390" t="s">
        <v>0</v>
      </c>
      <c r="C390">
        <v>31</v>
      </c>
      <c r="D390">
        <v>30</v>
      </c>
      <c r="E390">
        <v>5</v>
      </c>
      <c r="F390">
        <v>20260227</v>
      </c>
      <c r="G390">
        <v>20260505</v>
      </c>
      <c r="H390">
        <v>801.89559999999994</v>
      </c>
      <c r="I390">
        <f t="shared" si="53"/>
        <v>66</v>
      </c>
      <c r="J390">
        <f t="shared" si="54"/>
        <v>12.149933333333333</v>
      </c>
      <c r="K390">
        <f t="shared" si="55"/>
        <v>606.89226579119872</v>
      </c>
      <c r="L390">
        <f t="shared" si="56"/>
        <v>364.49799999999999</v>
      </c>
      <c r="M390">
        <f t="shared" si="57"/>
        <v>45.653096523551717</v>
      </c>
      <c r="N390">
        <f t="shared" si="58"/>
        <v>1017.0433623147505</v>
      </c>
      <c r="O390">
        <f t="shared" si="59"/>
        <v>478.50883811321881</v>
      </c>
      <c r="P390">
        <f t="shared" si="60"/>
        <v>287.39122955737201</v>
      </c>
      <c r="Q390">
        <f t="shared" si="61"/>
        <v>35.995532329408981</v>
      </c>
      <c r="R390">
        <f t="shared" si="62"/>
        <v>801.89559999999983</v>
      </c>
    </row>
    <row r="391" spans="1:18" x14ac:dyDescent="0.3">
      <c r="A391" t="s">
        <v>0</v>
      </c>
      <c r="B391" t="s">
        <v>0</v>
      </c>
      <c r="C391">
        <v>0</v>
      </c>
      <c r="D391">
        <v>25</v>
      </c>
      <c r="E391">
        <v>6</v>
      </c>
      <c r="F391">
        <v>20260406</v>
      </c>
      <c r="G391">
        <v>20260506</v>
      </c>
      <c r="H391">
        <v>379.70299999999997</v>
      </c>
      <c r="I391">
        <f t="shared" si="53"/>
        <v>31</v>
      </c>
      <c r="J391">
        <f t="shared" si="54"/>
        <v>12.248483870967741</v>
      </c>
      <c r="K391">
        <f t="shared" si="55"/>
        <v>0</v>
      </c>
      <c r="L391">
        <f t="shared" si="56"/>
        <v>306.21209677419353</v>
      </c>
      <c r="M391">
        <f t="shared" si="57"/>
        <v>55.228077496788572</v>
      </c>
      <c r="N391">
        <f t="shared" si="58"/>
        <v>361.44017427098208</v>
      </c>
      <c r="O391">
        <f t="shared" si="59"/>
        <v>0</v>
      </c>
      <c r="P391">
        <f t="shared" si="60"/>
        <v>321.68436177844717</v>
      </c>
      <c r="Q391">
        <f t="shared" si="61"/>
        <v>58.018638221552806</v>
      </c>
      <c r="R391">
        <f t="shared" si="62"/>
        <v>379.70299999999997</v>
      </c>
    </row>
    <row r="392" spans="1:18" x14ac:dyDescent="0.3">
      <c r="A392" t="s">
        <v>0</v>
      </c>
      <c r="B392" t="s">
        <v>0</v>
      </c>
      <c r="C392">
        <v>27</v>
      </c>
      <c r="D392">
        <v>23</v>
      </c>
      <c r="E392">
        <v>0</v>
      </c>
      <c r="F392">
        <v>20260305</v>
      </c>
      <c r="G392">
        <v>20260423</v>
      </c>
      <c r="H392">
        <v>759.12139999999999</v>
      </c>
      <c r="I392">
        <f t="shared" si="53"/>
        <v>50</v>
      </c>
      <c r="J392">
        <f t="shared" si="54"/>
        <v>15.182428</v>
      </c>
      <c r="K392">
        <f t="shared" si="55"/>
        <v>660.51245067203411</v>
      </c>
      <c r="L392">
        <f t="shared" si="56"/>
        <v>349.19584400000002</v>
      </c>
      <c r="M392">
        <f t="shared" si="57"/>
        <v>0</v>
      </c>
      <c r="N392">
        <f t="shared" si="58"/>
        <v>1009.7082946720341</v>
      </c>
      <c r="O392">
        <f t="shared" si="59"/>
        <v>496.58811254437546</v>
      </c>
      <c r="P392">
        <f t="shared" si="60"/>
        <v>262.53328745562459</v>
      </c>
      <c r="Q392">
        <f t="shared" si="61"/>
        <v>0</v>
      </c>
      <c r="R392">
        <f t="shared" si="62"/>
        <v>759.12139999999999</v>
      </c>
    </row>
    <row r="393" spans="1:18" x14ac:dyDescent="0.3">
      <c r="A393" t="s">
        <v>0</v>
      </c>
      <c r="B393" t="s">
        <v>0</v>
      </c>
      <c r="C393">
        <v>29</v>
      </c>
      <c r="D393">
        <v>30</v>
      </c>
      <c r="E393">
        <v>0</v>
      </c>
      <c r="F393">
        <v>20260303</v>
      </c>
      <c r="G393">
        <v>20260430</v>
      </c>
      <c r="H393">
        <v>885.89070000000004</v>
      </c>
      <c r="I393">
        <f t="shared" si="53"/>
        <v>59</v>
      </c>
      <c r="J393">
        <f t="shared" si="54"/>
        <v>15.015096610169492</v>
      </c>
      <c r="K393">
        <f t="shared" si="55"/>
        <v>701.62029496095067</v>
      </c>
      <c r="L393">
        <f t="shared" si="56"/>
        <v>450.45289830508477</v>
      </c>
      <c r="M393">
        <f t="shared" si="57"/>
        <v>0</v>
      </c>
      <c r="N393">
        <f t="shared" si="58"/>
        <v>1152.0731932660356</v>
      </c>
      <c r="O393">
        <f t="shared" si="59"/>
        <v>539.51337282234056</v>
      </c>
      <c r="P393">
        <f t="shared" si="60"/>
        <v>346.37732717765937</v>
      </c>
      <c r="Q393">
        <f t="shared" si="61"/>
        <v>0</v>
      </c>
      <c r="R393">
        <f t="shared" si="62"/>
        <v>885.89069999999992</v>
      </c>
    </row>
    <row r="394" spans="1:18" x14ac:dyDescent="0.3">
      <c r="A394" t="s">
        <v>0</v>
      </c>
      <c r="B394" t="s">
        <v>0</v>
      </c>
      <c r="C394">
        <v>27</v>
      </c>
      <c r="D394">
        <v>28</v>
      </c>
      <c r="E394">
        <v>0</v>
      </c>
      <c r="F394">
        <v>20260305</v>
      </c>
      <c r="G394">
        <v>20260428</v>
      </c>
      <c r="H394">
        <v>463.88580000000002</v>
      </c>
      <c r="I394">
        <f t="shared" si="53"/>
        <v>55</v>
      </c>
      <c r="J394">
        <f t="shared" si="54"/>
        <v>8.4342872727272731</v>
      </c>
      <c r="K394">
        <f t="shared" si="55"/>
        <v>366.93417918273929</v>
      </c>
      <c r="L394">
        <f t="shared" si="56"/>
        <v>236.16004363636364</v>
      </c>
      <c r="M394">
        <f t="shared" si="57"/>
        <v>0</v>
      </c>
      <c r="N394">
        <f t="shared" si="58"/>
        <v>603.09422281910292</v>
      </c>
      <c r="O394">
        <f t="shared" si="59"/>
        <v>282.23708471600503</v>
      </c>
      <c r="P394">
        <f t="shared" si="60"/>
        <v>181.64871528399499</v>
      </c>
      <c r="Q394">
        <f t="shared" si="61"/>
        <v>0</v>
      </c>
      <c r="R394">
        <f t="shared" si="62"/>
        <v>463.88580000000002</v>
      </c>
    </row>
    <row r="395" spans="1:18" x14ac:dyDescent="0.3">
      <c r="A395" t="s">
        <v>0</v>
      </c>
      <c r="B395" t="s">
        <v>0</v>
      </c>
      <c r="C395">
        <v>26</v>
      </c>
      <c r="D395">
        <v>25</v>
      </c>
      <c r="E395">
        <v>0</v>
      </c>
      <c r="F395">
        <v>20260306</v>
      </c>
      <c r="G395">
        <v>20260425</v>
      </c>
      <c r="H395">
        <v>758.94349999999997</v>
      </c>
      <c r="I395">
        <f t="shared" ref="I395:I439" si="63">IF(C395&lt;0,0,C395)+D395+E395</f>
        <v>51</v>
      </c>
      <c r="J395">
        <f t="shared" ref="J395:J439" si="64">H395/I395</f>
        <v>14.881245098039216</v>
      </c>
      <c r="K395">
        <f t="shared" ref="K395:K439" si="65">IF(C395&lt;0,0,C395)*$J395*$B$6</f>
        <v>623.43134173289752</v>
      </c>
      <c r="L395">
        <f t="shared" ref="L395:L439" si="66">IF(D395&lt;0,0,D395)*$J395*$C$6</f>
        <v>372.03112745098042</v>
      </c>
      <c r="M395">
        <f t="shared" ref="M395:M439" si="67">IF(E395&lt;0,0,E395)*$J395*$D$6</f>
        <v>0</v>
      </c>
      <c r="N395">
        <f t="shared" ref="N395:N439" si="68">K395+L395+M395</f>
        <v>995.46246918387794</v>
      </c>
      <c r="O395">
        <f t="shared" ref="O395:O439" si="69">K395/$N395*$H395</f>
        <v>475.30587958014013</v>
      </c>
      <c r="P395">
        <f t="shared" ref="P395:P439" si="70">L395/$N395*$H395</f>
        <v>283.63762041985979</v>
      </c>
      <c r="Q395">
        <f t="shared" ref="Q395:Q439" si="71">M395/$N395*$H395</f>
        <v>0</v>
      </c>
      <c r="R395">
        <f t="shared" ref="R395:R439" si="72">O395+P395+Q395</f>
        <v>758.94349999999986</v>
      </c>
    </row>
    <row r="396" spans="1:18" x14ac:dyDescent="0.3">
      <c r="A396" t="s">
        <v>0</v>
      </c>
      <c r="B396" t="s">
        <v>0</v>
      </c>
      <c r="C396">
        <v>31</v>
      </c>
      <c r="D396">
        <v>22</v>
      </c>
      <c r="E396">
        <v>0</v>
      </c>
      <c r="F396">
        <v>20260228</v>
      </c>
      <c r="G396">
        <v>20260422</v>
      </c>
      <c r="H396">
        <v>379.85419999999999</v>
      </c>
      <c r="I396">
        <f t="shared" si="63"/>
        <v>53</v>
      </c>
      <c r="J396">
        <f t="shared" si="64"/>
        <v>7.1670603773584904</v>
      </c>
      <c r="K396">
        <f t="shared" si="65"/>
        <v>357.99649200907152</v>
      </c>
      <c r="L396">
        <f t="shared" si="66"/>
        <v>157.67532830188679</v>
      </c>
      <c r="M396">
        <f t="shared" si="67"/>
        <v>0</v>
      </c>
      <c r="N396">
        <f t="shared" si="68"/>
        <v>515.67182031095831</v>
      </c>
      <c r="O396">
        <f t="shared" si="69"/>
        <v>263.70739241269814</v>
      </c>
      <c r="P396">
        <f t="shared" si="70"/>
        <v>116.14680758730184</v>
      </c>
      <c r="Q396">
        <f t="shared" si="71"/>
        <v>0</v>
      </c>
      <c r="R396">
        <f t="shared" si="72"/>
        <v>379.85419999999999</v>
      </c>
    </row>
    <row r="397" spans="1:18" x14ac:dyDescent="0.3">
      <c r="A397" t="s">
        <v>0</v>
      </c>
      <c r="B397" t="s">
        <v>0</v>
      </c>
      <c r="C397">
        <v>28</v>
      </c>
      <c r="D397">
        <v>10</v>
      </c>
      <c r="E397">
        <v>0</v>
      </c>
      <c r="F397">
        <v>20260304</v>
      </c>
      <c r="G397">
        <v>20260410</v>
      </c>
      <c r="H397">
        <v>210.8176</v>
      </c>
      <c r="I397">
        <f t="shared" si="63"/>
        <v>38</v>
      </c>
      <c r="J397">
        <f t="shared" si="64"/>
        <v>5.5478315789473687</v>
      </c>
      <c r="K397">
        <f t="shared" si="65"/>
        <v>250.29796214885016</v>
      </c>
      <c r="L397">
        <f t="shared" si="66"/>
        <v>55.478315789473683</v>
      </c>
      <c r="M397">
        <f t="shared" si="67"/>
        <v>0</v>
      </c>
      <c r="N397">
        <f t="shared" si="68"/>
        <v>305.77627793832386</v>
      </c>
      <c r="O397">
        <f t="shared" si="69"/>
        <v>172.56804883914103</v>
      </c>
      <c r="P397">
        <f t="shared" si="70"/>
        <v>38.249551160858957</v>
      </c>
      <c r="Q397">
        <f t="shared" si="71"/>
        <v>0</v>
      </c>
      <c r="R397">
        <f t="shared" si="72"/>
        <v>210.81759999999997</v>
      </c>
    </row>
    <row r="398" spans="1:18" x14ac:dyDescent="0.3">
      <c r="A398" t="s">
        <v>0</v>
      </c>
      <c r="B398" t="s">
        <v>0</v>
      </c>
      <c r="C398">
        <v>28</v>
      </c>
      <c r="D398">
        <v>8</v>
      </c>
      <c r="E398">
        <v>0</v>
      </c>
      <c r="F398">
        <v>20260304</v>
      </c>
      <c r="G398">
        <v>20260408</v>
      </c>
      <c r="H398">
        <v>168.65809999999999</v>
      </c>
      <c r="I398">
        <f t="shared" si="63"/>
        <v>36</v>
      </c>
      <c r="J398">
        <f t="shared" si="64"/>
        <v>4.6849472222222222</v>
      </c>
      <c r="K398">
        <f t="shared" si="65"/>
        <v>211.36776158580338</v>
      </c>
      <c r="L398">
        <f t="shared" si="66"/>
        <v>37.479577777777777</v>
      </c>
      <c r="M398">
        <f t="shared" si="67"/>
        <v>0</v>
      </c>
      <c r="N398">
        <f t="shared" si="68"/>
        <v>248.84733936358117</v>
      </c>
      <c r="O398">
        <f t="shared" si="69"/>
        <v>143.25604268659421</v>
      </c>
      <c r="P398">
        <f t="shared" si="70"/>
        <v>25.402057313405759</v>
      </c>
      <c r="Q398">
        <f t="shared" si="71"/>
        <v>0</v>
      </c>
      <c r="R398">
        <f t="shared" si="72"/>
        <v>168.65809999999996</v>
      </c>
    </row>
    <row r="399" spans="1:18" x14ac:dyDescent="0.3">
      <c r="A399" t="s">
        <v>0</v>
      </c>
      <c r="B399" t="s">
        <v>0</v>
      </c>
      <c r="C399">
        <v>27</v>
      </c>
      <c r="D399">
        <v>14</v>
      </c>
      <c r="E399">
        <v>0</v>
      </c>
      <c r="F399">
        <v>20260305</v>
      </c>
      <c r="G399">
        <v>20260414</v>
      </c>
      <c r="H399">
        <v>42.157600000000002</v>
      </c>
      <c r="I399">
        <f t="shared" si="63"/>
        <v>41</v>
      </c>
      <c r="J399">
        <f t="shared" si="64"/>
        <v>1.0282341463414635</v>
      </c>
      <c r="K399">
        <f t="shared" si="65"/>
        <v>44.733388879872642</v>
      </c>
      <c r="L399">
        <f t="shared" si="66"/>
        <v>14.395278048780488</v>
      </c>
      <c r="M399">
        <f t="shared" si="67"/>
        <v>0</v>
      </c>
      <c r="N399">
        <f t="shared" si="68"/>
        <v>59.128666928653132</v>
      </c>
      <c r="O399">
        <f t="shared" si="69"/>
        <v>31.894044175182557</v>
      </c>
      <c r="P399">
        <f t="shared" si="70"/>
        <v>10.263555824817443</v>
      </c>
      <c r="Q399">
        <f t="shared" si="71"/>
        <v>0</v>
      </c>
      <c r="R399">
        <f t="shared" si="72"/>
        <v>42.157600000000002</v>
      </c>
    </row>
    <row r="400" spans="1:18" x14ac:dyDescent="0.3">
      <c r="A400" t="s">
        <v>0</v>
      </c>
      <c r="B400" t="s">
        <v>0</v>
      </c>
      <c r="C400">
        <v>25</v>
      </c>
      <c r="D400">
        <v>10</v>
      </c>
      <c r="E400">
        <v>0</v>
      </c>
      <c r="F400">
        <v>20260307</v>
      </c>
      <c r="G400">
        <v>20260410</v>
      </c>
      <c r="H400">
        <v>252.76769999999999</v>
      </c>
      <c r="I400">
        <f t="shared" si="63"/>
        <v>35</v>
      </c>
      <c r="J400">
        <f t="shared" si="64"/>
        <v>7.2219342857142852</v>
      </c>
      <c r="K400">
        <f t="shared" si="65"/>
        <v>290.9173046074693</v>
      </c>
      <c r="L400">
        <f t="shared" si="66"/>
        <v>72.219342857142848</v>
      </c>
      <c r="M400">
        <f t="shared" si="67"/>
        <v>0</v>
      </c>
      <c r="N400">
        <f t="shared" si="68"/>
        <v>363.13664746461217</v>
      </c>
      <c r="O400">
        <f t="shared" si="69"/>
        <v>202.49814632932467</v>
      </c>
      <c r="P400">
        <f t="shared" si="70"/>
        <v>50.269553670675322</v>
      </c>
      <c r="Q400">
        <f t="shared" si="71"/>
        <v>0</v>
      </c>
      <c r="R400">
        <f t="shared" si="72"/>
        <v>252.76769999999999</v>
      </c>
    </row>
    <row r="401" spans="1:18" x14ac:dyDescent="0.3">
      <c r="A401" t="s">
        <v>0</v>
      </c>
      <c r="B401" t="s">
        <v>0</v>
      </c>
      <c r="C401">
        <v>27</v>
      </c>
      <c r="D401">
        <v>30</v>
      </c>
      <c r="E401">
        <v>4</v>
      </c>
      <c r="F401">
        <v>20260305</v>
      </c>
      <c r="G401">
        <v>20260504</v>
      </c>
      <c r="H401">
        <v>458329.88770000002</v>
      </c>
      <c r="I401">
        <f t="shared" si="63"/>
        <v>61</v>
      </c>
      <c r="J401">
        <f t="shared" si="64"/>
        <v>7513.6047163934427</v>
      </c>
      <c r="K401">
        <f t="shared" si="65"/>
        <v>326879.8287471534</v>
      </c>
      <c r="L401">
        <f t="shared" si="66"/>
        <v>225408.14149180328</v>
      </c>
      <c r="M401">
        <f t="shared" si="67"/>
        <v>22585.75825539717</v>
      </c>
      <c r="N401">
        <f t="shared" si="68"/>
        <v>574873.72849435383</v>
      </c>
      <c r="O401">
        <f t="shared" si="69"/>
        <v>260611.65743904668</v>
      </c>
      <c r="P401">
        <f t="shared" si="70"/>
        <v>179711.27059012681</v>
      </c>
      <c r="Q401">
        <f t="shared" si="71"/>
        <v>18006.959670826571</v>
      </c>
      <c r="R401">
        <f t="shared" si="72"/>
        <v>458329.88770000008</v>
      </c>
    </row>
    <row r="402" spans="1:18" x14ac:dyDescent="0.3">
      <c r="A402" t="s">
        <v>0</v>
      </c>
      <c r="B402" t="s">
        <v>0</v>
      </c>
      <c r="C402">
        <v>27</v>
      </c>
      <c r="D402">
        <v>30</v>
      </c>
      <c r="E402">
        <v>8</v>
      </c>
      <c r="F402">
        <v>20260305</v>
      </c>
      <c r="G402">
        <v>20260508</v>
      </c>
      <c r="H402">
        <v>23576.0422</v>
      </c>
      <c r="I402">
        <f t="shared" si="63"/>
        <v>65</v>
      </c>
      <c r="J402">
        <f t="shared" si="64"/>
        <v>362.70834153846153</v>
      </c>
      <c r="K402">
        <f t="shared" si="65"/>
        <v>15779.648390149347</v>
      </c>
      <c r="L402">
        <f t="shared" si="66"/>
        <v>10881.250246153846</v>
      </c>
      <c r="M402">
        <f t="shared" si="67"/>
        <v>2180.5892719722242</v>
      </c>
      <c r="N402">
        <f t="shared" si="68"/>
        <v>28841.48790827542</v>
      </c>
      <c r="O402">
        <f t="shared" si="69"/>
        <v>12898.837172702863</v>
      </c>
      <c r="P402">
        <f t="shared" si="70"/>
        <v>8894.7149955629011</v>
      </c>
      <c r="Q402">
        <f t="shared" si="71"/>
        <v>1782.490031734236</v>
      </c>
      <c r="R402">
        <f t="shared" si="72"/>
        <v>23576.0422</v>
      </c>
    </row>
    <row r="403" spans="1:18" x14ac:dyDescent="0.3">
      <c r="A403" t="s">
        <v>0</v>
      </c>
      <c r="B403" t="s">
        <v>0</v>
      </c>
      <c r="C403">
        <v>30</v>
      </c>
      <c r="D403">
        <v>30</v>
      </c>
      <c r="E403">
        <v>4</v>
      </c>
      <c r="F403">
        <v>20260302</v>
      </c>
      <c r="G403">
        <v>20260504</v>
      </c>
      <c r="H403">
        <v>679868.99670000002</v>
      </c>
      <c r="I403">
        <f t="shared" si="63"/>
        <v>64</v>
      </c>
      <c r="J403">
        <f t="shared" si="64"/>
        <v>10622.9530734375</v>
      </c>
      <c r="K403">
        <f t="shared" si="65"/>
        <v>513502.46393837081</v>
      </c>
      <c r="L403">
        <f t="shared" si="66"/>
        <v>318688.59220312501</v>
      </c>
      <c r="M403">
        <f t="shared" si="67"/>
        <v>31932.402506030929</v>
      </c>
      <c r="N403">
        <f t="shared" si="68"/>
        <v>864123.4586475268</v>
      </c>
      <c r="O403">
        <f t="shared" si="69"/>
        <v>404009.86857499578</v>
      </c>
      <c r="P403">
        <f t="shared" si="70"/>
        <v>250735.57634922583</v>
      </c>
      <c r="Q403">
        <f t="shared" si="71"/>
        <v>25123.551775778364</v>
      </c>
      <c r="R403">
        <f t="shared" si="72"/>
        <v>679868.99670000002</v>
      </c>
    </row>
    <row r="404" spans="1:18" x14ac:dyDescent="0.3">
      <c r="A404" t="s">
        <v>0</v>
      </c>
      <c r="B404" t="s">
        <v>0</v>
      </c>
      <c r="C404">
        <v>27</v>
      </c>
      <c r="D404">
        <v>30</v>
      </c>
      <c r="E404">
        <v>14</v>
      </c>
      <c r="F404">
        <v>20260305</v>
      </c>
      <c r="G404">
        <v>20260514</v>
      </c>
      <c r="H404">
        <v>379.55180000000001</v>
      </c>
      <c r="I404">
        <f t="shared" si="63"/>
        <v>71</v>
      </c>
      <c r="J404">
        <f t="shared" si="64"/>
        <v>5.3458000000000006</v>
      </c>
      <c r="K404">
        <f t="shared" si="65"/>
        <v>232.56935312339766</v>
      </c>
      <c r="L404">
        <f t="shared" si="66"/>
        <v>160.37400000000002</v>
      </c>
      <c r="M404">
        <f t="shared" si="67"/>
        <v>56.24281934394876</v>
      </c>
      <c r="N404">
        <f t="shared" si="68"/>
        <v>449.18617246734647</v>
      </c>
      <c r="O404">
        <f t="shared" si="69"/>
        <v>196.51565879231987</v>
      </c>
      <c r="P404">
        <f t="shared" si="70"/>
        <v>135.51227554233088</v>
      </c>
      <c r="Q404">
        <f t="shared" si="71"/>
        <v>47.523865665349248</v>
      </c>
      <c r="R404">
        <f t="shared" si="72"/>
        <v>379.55180000000001</v>
      </c>
    </row>
    <row r="405" spans="1:18" x14ac:dyDescent="0.3">
      <c r="A405" t="s">
        <v>0</v>
      </c>
      <c r="B405" t="s">
        <v>0</v>
      </c>
      <c r="C405">
        <v>28</v>
      </c>
      <c r="D405">
        <v>30</v>
      </c>
      <c r="E405">
        <v>6</v>
      </c>
      <c r="F405">
        <v>20260304</v>
      </c>
      <c r="G405">
        <v>20260506</v>
      </c>
      <c r="H405">
        <v>159307.6421</v>
      </c>
      <c r="I405">
        <f t="shared" si="63"/>
        <v>64</v>
      </c>
      <c r="J405">
        <f t="shared" si="64"/>
        <v>2489.1819078125</v>
      </c>
      <c r="K405">
        <f t="shared" si="65"/>
        <v>112302.82500058683</v>
      </c>
      <c r="L405">
        <f t="shared" si="66"/>
        <v>74675.457234375004</v>
      </c>
      <c r="M405">
        <f t="shared" si="67"/>
        <v>11223.652882796438</v>
      </c>
      <c r="N405">
        <f t="shared" si="68"/>
        <v>198201.93511775829</v>
      </c>
      <c r="O405">
        <f t="shared" si="69"/>
        <v>90265.002919285165</v>
      </c>
      <c r="P405">
        <f t="shared" si="70"/>
        <v>60021.467538546705</v>
      </c>
      <c r="Q405">
        <f t="shared" si="71"/>
        <v>9021.1716421681267</v>
      </c>
      <c r="R405">
        <f t="shared" si="72"/>
        <v>159307.6421</v>
      </c>
    </row>
    <row r="406" spans="1:18" x14ac:dyDescent="0.3">
      <c r="A406" t="s">
        <v>0</v>
      </c>
      <c r="B406" t="s">
        <v>0</v>
      </c>
      <c r="C406">
        <v>25</v>
      </c>
      <c r="D406">
        <v>30</v>
      </c>
      <c r="E406">
        <v>11</v>
      </c>
      <c r="F406">
        <v>20260307</v>
      </c>
      <c r="G406">
        <v>20260511</v>
      </c>
      <c r="H406">
        <v>17496.224399999999</v>
      </c>
      <c r="I406">
        <f t="shared" si="63"/>
        <v>66</v>
      </c>
      <c r="J406">
        <f t="shared" si="64"/>
        <v>265.09430909090906</v>
      </c>
      <c r="K406">
        <f t="shared" si="65"/>
        <v>10678.651842631522</v>
      </c>
      <c r="L406">
        <f t="shared" si="66"/>
        <v>7952.8292727272719</v>
      </c>
      <c r="M406">
        <f t="shared" si="67"/>
        <v>2191.388762986136</v>
      </c>
      <c r="N406">
        <f t="shared" si="68"/>
        <v>20822.869878344929</v>
      </c>
      <c r="O406">
        <f t="shared" si="69"/>
        <v>8972.6387390269247</v>
      </c>
      <c r="P406">
        <f t="shared" si="70"/>
        <v>6682.291460469175</v>
      </c>
      <c r="Q406">
        <f t="shared" si="71"/>
        <v>1841.2942005038992</v>
      </c>
      <c r="R406">
        <f t="shared" si="72"/>
        <v>17496.224399999999</v>
      </c>
    </row>
    <row r="407" spans="1:18" x14ac:dyDescent="0.3">
      <c r="A407" t="s">
        <v>0</v>
      </c>
      <c r="B407" t="s">
        <v>0</v>
      </c>
      <c r="C407">
        <v>23</v>
      </c>
      <c r="D407">
        <v>30</v>
      </c>
      <c r="E407">
        <v>11</v>
      </c>
      <c r="F407">
        <v>20260309</v>
      </c>
      <c r="G407">
        <v>20260511</v>
      </c>
      <c r="H407">
        <v>21581.149399999998</v>
      </c>
      <c r="I407">
        <f t="shared" si="63"/>
        <v>64</v>
      </c>
      <c r="J407">
        <f t="shared" si="64"/>
        <v>337.20545937499998</v>
      </c>
      <c r="K407">
        <f t="shared" si="65"/>
        <v>12496.789295300037</v>
      </c>
      <c r="L407">
        <f t="shared" si="66"/>
        <v>10116.163781249999</v>
      </c>
      <c r="M407">
        <f t="shared" si="67"/>
        <v>2787.4919572058584</v>
      </c>
      <c r="N407">
        <f t="shared" si="68"/>
        <v>25400.445033755896</v>
      </c>
      <c r="O407">
        <f t="shared" si="69"/>
        <v>10617.730376132378</v>
      </c>
      <c r="P407">
        <f t="shared" si="70"/>
        <v>8595.0636545104262</v>
      </c>
      <c r="Q407">
        <f t="shared" si="71"/>
        <v>2368.3553693571935</v>
      </c>
      <c r="R407">
        <f t="shared" si="72"/>
        <v>21581.149399999998</v>
      </c>
    </row>
    <row r="408" spans="1:18" x14ac:dyDescent="0.3">
      <c r="A408" t="s">
        <v>0</v>
      </c>
      <c r="B408" t="s">
        <v>0</v>
      </c>
      <c r="C408">
        <v>28</v>
      </c>
      <c r="D408">
        <v>30</v>
      </c>
      <c r="E408">
        <v>11</v>
      </c>
      <c r="F408">
        <v>20260304</v>
      </c>
      <c r="G408">
        <v>20260511</v>
      </c>
      <c r="H408">
        <v>6749.0106999999998</v>
      </c>
      <c r="I408">
        <f t="shared" si="63"/>
        <v>69</v>
      </c>
      <c r="J408">
        <f t="shared" si="64"/>
        <v>97.811749275362317</v>
      </c>
      <c r="K408">
        <f t="shared" si="65"/>
        <v>4412.9100116775044</v>
      </c>
      <c r="L408">
        <f t="shared" si="66"/>
        <v>2934.3524782608697</v>
      </c>
      <c r="M408">
        <f t="shared" si="67"/>
        <v>808.55590218099053</v>
      </c>
      <c r="N408">
        <f t="shared" si="68"/>
        <v>8155.818392119364</v>
      </c>
      <c r="O408">
        <f t="shared" si="69"/>
        <v>3651.721440453663</v>
      </c>
      <c r="P408">
        <f t="shared" si="70"/>
        <v>2428.2022135865486</v>
      </c>
      <c r="Q408">
        <f t="shared" si="71"/>
        <v>669.08704595978861</v>
      </c>
      <c r="R408">
        <f t="shared" si="72"/>
        <v>6749.0107000000007</v>
      </c>
    </row>
    <row r="409" spans="1:18" x14ac:dyDescent="0.3">
      <c r="A409" t="s">
        <v>0</v>
      </c>
      <c r="B409" t="s">
        <v>0</v>
      </c>
      <c r="C409">
        <v>29</v>
      </c>
      <c r="D409">
        <v>30</v>
      </c>
      <c r="E409">
        <v>8</v>
      </c>
      <c r="F409">
        <v>20260303</v>
      </c>
      <c r="G409">
        <v>20260508</v>
      </c>
      <c r="H409">
        <v>7593.7043999999996</v>
      </c>
      <c r="I409">
        <f t="shared" si="63"/>
        <v>67</v>
      </c>
      <c r="J409">
        <f t="shared" si="64"/>
        <v>113.33887164179104</v>
      </c>
      <c r="K409">
        <f t="shared" si="65"/>
        <v>5296.0599999067945</v>
      </c>
      <c r="L409">
        <f t="shared" si="66"/>
        <v>3400.1661492537314</v>
      </c>
      <c r="M409">
        <f t="shared" si="67"/>
        <v>681.38914741038354</v>
      </c>
      <c r="N409">
        <f t="shared" si="68"/>
        <v>9377.6152965709098</v>
      </c>
      <c r="O409">
        <f t="shared" si="69"/>
        <v>4288.5864745019098</v>
      </c>
      <c r="P409">
        <f t="shared" si="70"/>
        <v>2753.3499543066773</v>
      </c>
      <c r="Q409">
        <f t="shared" si="71"/>
        <v>551.76797119141156</v>
      </c>
      <c r="R409">
        <f t="shared" si="72"/>
        <v>7593.7043999999987</v>
      </c>
    </row>
    <row r="410" spans="1:18" x14ac:dyDescent="0.3">
      <c r="A410" t="s">
        <v>0</v>
      </c>
      <c r="B410" t="s">
        <v>0</v>
      </c>
      <c r="C410">
        <v>22</v>
      </c>
      <c r="D410">
        <v>30</v>
      </c>
      <c r="E410">
        <v>6</v>
      </c>
      <c r="F410">
        <v>20260310</v>
      </c>
      <c r="G410">
        <v>20260506</v>
      </c>
      <c r="H410">
        <v>20942.9954</v>
      </c>
      <c r="I410">
        <f t="shared" si="63"/>
        <v>58</v>
      </c>
      <c r="J410">
        <f t="shared" si="64"/>
        <v>361.08612758620689</v>
      </c>
      <c r="K410">
        <f t="shared" si="65"/>
        <v>12799.986119392093</v>
      </c>
      <c r="L410">
        <f t="shared" si="66"/>
        <v>10832.583827586206</v>
      </c>
      <c r="M410">
        <f t="shared" si="67"/>
        <v>1628.127435805711</v>
      </c>
      <c r="N410">
        <f t="shared" si="68"/>
        <v>25260.697382784012</v>
      </c>
      <c r="O410">
        <f t="shared" si="69"/>
        <v>10612.139734558197</v>
      </c>
      <c r="P410">
        <f t="shared" si="70"/>
        <v>8981.0170255184403</v>
      </c>
      <c r="Q410">
        <f t="shared" si="71"/>
        <v>1349.8386399233618</v>
      </c>
      <c r="R410">
        <f t="shared" si="72"/>
        <v>20942.995399999996</v>
      </c>
    </row>
    <row r="411" spans="1:18" x14ac:dyDescent="0.3">
      <c r="A411" t="s">
        <v>0</v>
      </c>
      <c r="B411" t="s">
        <v>0</v>
      </c>
      <c r="C411">
        <v>26</v>
      </c>
      <c r="D411">
        <v>30</v>
      </c>
      <c r="E411">
        <v>9</v>
      </c>
      <c r="F411">
        <v>20260306</v>
      </c>
      <c r="G411">
        <v>20260509</v>
      </c>
      <c r="H411">
        <v>16783.4447</v>
      </c>
      <c r="I411">
        <f t="shared" si="63"/>
        <v>65</v>
      </c>
      <c r="J411">
        <f t="shared" si="64"/>
        <v>258.20684153846156</v>
      </c>
      <c r="K411">
        <f t="shared" si="65"/>
        <v>10817.255989295349</v>
      </c>
      <c r="L411">
        <f t="shared" si="66"/>
        <v>7746.2052461538469</v>
      </c>
      <c r="M411">
        <f t="shared" si="67"/>
        <v>1746.3713392913751</v>
      </c>
      <c r="N411">
        <f t="shared" si="68"/>
        <v>20309.832574740569</v>
      </c>
      <c r="O411">
        <f t="shared" si="69"/>
        <v>8939.0602819581036</v>
      </c>
      <c r="P411">
        <f t="shared" si="70"/>
        <v>6401.2348159563126</v>
      </c>
      <c r="Q411">
        <f t="shared" si="71"/>
        <v>1443.1496020855864</v>
      </c>
      <c r="R411">
        <f t="shared" si="72"/>
        <v>16783.4447</v>
      </c>
    </row>
    <row r="412" spans="1:18" x14ac:dyDescent="0.3">
      <c r="A412" t="s">
        <v>0</v>
      </c>
      <c r="B412" t="s">
        <v>0</v>
      </c>
      <c r="C412">
        <v>25</v>
      </c>
      <c r="D412">
        <v>30</v>
      </c>
      <c r="E412">
        <v>10</v>
      </c>
      <c r="F412">
        <v>20260307</v>
      </c>
      <c r="G412">
        <v>20260510</v>
      </c>
      <c r="H412">
        <v>5818.0214999999998</v>
      </c>
      <c r="I412">
        <f t="shared" si="63"/>
        <v>65</v>
      </c>
      <c r="J412">
        <f t="shared" si="64"/>
        <v>89.508023076923081</v>
      </c>
      <c r="K412">
        <f t="shared" si="65"/>
        <v>3605.603676814153</v>
      </c>
      <c r="L412">
        <f t="shared" si="66"/>
        <v>2685.2406923076924</v>
      </c>
      <c r="M412">
        <f t="shared" si="67"/>
        <v>672.64869774260444</v>
      </c>
      <c r="N412">
        <f t="shared" si="68"/>
        <v>6963.4930668644502</v>
      </c>
      <c r="O412">
        <f t="shared" si="69"/>
        <v>3012.4938031466468</v>
      </c>
      <c r="P412">
        <f t="shared" si="70"/>
        <v>2243.5274840527313</v>
      </c>
      <c r="Q412">
        <f t="shared" si="71"/>
        <v>562.00021280062163</v>
      </c>
      <c r="R412">
        <f t="shared" si="72"/>
        <v>5818.0214999999998</v>
      </c>
    </row>
    <row r="413" spans="1:18" x14ac:dyDescent="0.3">
      <c r="A413" t="s">
        <v>0</v>
      </c>
      <c r="B413" t="s">
        <v>0</v>
      </c>
      <c r="C413">
        <v>24</v>
      </c>
      <c r="D413">
        <v>30</v>
      </c>
      <c r="E413">
        <v>11</v>
      </c>
      <c r="F413">
        <v>20260308</v>
      </c>
      <c r="G413">
        <v>20260511</v>
      </c>
      <c r="H413">
        <v>8304.6576000000005</v>
      </c>
      <c r="I413">
        <f t="shared" si="63"/>
        <v>65</v>
      </c>
      <c r="J413">
        <f t="shared" si="64"/>
        <v>127.76396307692309</v>
      </c>
      <c r="K413">
        <f t="shared" si="65"/>
        <v>4940.7812979296996</v>
      </c>
      <c r="L413">
        <f t="shared" si="66"/>
        <v>3832.9188923076927</v>
      </c>
      <c r="M413">
        <f t="shared" si="67"/>
        <v>1056.1543699730305</v>
      </c>
      <c r="N413">
        <f t="shared" si="68"/>
        <v>9829.8545602104223</v>
      </c>
      <c r="O413">
        <f t="shared" si="69"/>
        <v>4174.1713170282555</v>
      </c>
      <c r="P413">
        <f t="shared" si="70"/>
        <v>3238.2044733432226</v>
      </c>
      <c r="Q413">
        <f t="shared" si="71"/>
        <v>892.28180962852252</v>
      </c>
      <c r="R413">
        <f t="shared" si="72"/>
        <v>8304.6576000000005</v>
      </c>
    </row>
    <row r="414" spans="1:18" x14ac:dyDescent="0.3">
      <c r="A414" t="s">
        <v>0</v>
      </c>
      <c r="B414" t="s">
        <v>0</v>
      </c>
      <c r="C414">
        <v>20</v>
      </c>
      <c r="D414">
        <v>30</v>
      </c>
      <c r="E414">
        <v>9</v>
      </c>
      <c r="F414">
        <v>20260312</v>
      </c>
      <c r="G414">
        <v>20260509</v>
      </c>
      <c r="H414">
        <v>126.4461</v>
      </c>
      <c r="I414">
        <f t="shared" si="63"/>
        <v>59</v>
      </c>
      <c r="J414">
        <f t="shared" si="64"/>
        <v>2.1431542372881358</v>
      </c>
      <c r="K414">
        <f t="shared" si="65"/>
        <v>69.065225952360038</v>
      </c>
      <c r="L414">
        <f t="shared" si="66"/>
        <v>64.294627118644073</v>
      </c>
      <c r="M414">
        <f t="shared" si="67"/>
        <v>14.49513542468766</v>
      </c>
      <c r="N414">
        <f t="shared" si="68"/>
        <v>147.85498849569177</v>
      </c>
      <c r="O414">
        <f t="shared" si="69"/>
        <v>59.06482125592386</v>
      </c>
      <c r="P414">
        <f t="shared" si="70"/>
        <v>54.984988554130986</v>
      </c>
      <c r="Q414">
        <f t="shared" si="71"/>
        <v>12.396290189945161</v>
      </c>
      <c r="R414">
        <f t="shared" si="72"/>
        <v>126.44610000000002</v>
      </c>
    </row>
    <row r="415" spans="1:18" x14ac:dyDescent="0.3">
      <c r="A415" t="s">
        <v>0</v>
      </c>
      <c r="B415" t="s">
        <v>0</v>
      </c>
      <c r="C415">
        <v>21</v>
      </c>
      <c r="D415">
        <v>30</v>
      </c>
      <c r="E415">
        <v>8</v>
      </c>
      <c r="F415">
        <v>20260311</v>
      </c>
      <c r="G415">
        <v>20260508</v>
      </c>
      <c r="H415">
        <v>716.42719999999997</v>
      </c>
      <c r="I415">
        <f t="shared" si="63"/>
        <v>59</v>
      </c>
      <c r="J415">
        <f t="shared" si="64"/>
        <v>12.142833898305085</v>
      </c>
      <c r="K415">
        <f t="shared" si="65"/>
        <v>410.88034165338001</v>
      </c>
      <c r="L415">
        <f t="shared" si="66"/>
        <v>364.28501694915258</v>
      </c>
      <c r="M415">
        <f t="shared" si="67"/>
        <v>73.002272894175917</v>
      </c>
      <c r="N415">
        <f t="shared" si="68"/>
        <v>848.16763149670851</v>
      </c>
      <c r="O415">
        <f t="shared" si="69"/>
        <v>347.06093674705005</v>
      </c>
      <c r="P415">
        <f t="shared" si="70"/>
        <v>307.70296460652742</v>
      </c>
      <c r="Q415">
        <f t="shared" si="71"/>
        <v>61.663298646422476</v>
      </c>
      <c r="R415">
        <f t="shared" si="72"/>
        <v>716.42719999999997</v>
      </c>
    </row>
    <row r="416" spans="1:18" x14ac:dyDescent="0.3">
      <c r="A416" t="s">
        <v>0</v>
      </c>
      <c r="B416" t="s">
        <v>0</v>
      </c>
      <c r="C416">
        <v>0</v>
      </c>
      <c r="D416">
        <v>15</v>
      </c>
      <c r="E416">
        <v>4</v>
      </c>
      <c r="F416">
        <v>20260416</v>
      </c>
      <c r="G416">
        <v>20260504</v>
      </c>
      <c r="H416">
        <v>84.445599999999999</v>
      </c>
      <c r="I416">
        <f t="shared" si="63"/>
        <v>19</v>
      </c>
      <c r="J416">
        <f t="shared" si="64"/>
        <v>4.444505263157895</v>
      </c>
      <c r="K416">
        <f t="shared" si="65"/>
        <v>0</v>
      </c>
      <c r="L416">
        <f t="shared" si="66"/>
        <v>66.667578947368426</v>
      </c>
      <c r="M416">
        <f t="shared" si="67"/>
        <v>13.360101472933032</v>
      </c>
      <c r="N416">
        <f t="shared" si="68"/>
        <v>80.027680420301465</v>
      </c>
      <c r="O416">
        <f t="shared" si="69"/>
        <v>0</v>
      </c>
      <c r="P416">
        <f t="shared" si="70"/>
        <v>70.347955547262472</v>
      </c>
      <c r="Q416">
        <f t="shared" si="71"/>
        <v>14.097644452737516</v>
      </c>
      <c r="R416">
        <f t="shared" si="72"/>
        <v>84.445599999999985</v>
      </c>
    </row>
    <row r="417" spans="1:18" x14ac:dyDescent="0.3">
      <c r="A417" t="s">
        <v>0</v>
      </c>
      <c r="B417" t="s">
        <v>0</v>
      </c>
      <c r="C417">
        <v>0</v>
      </c>
      <c r="D417">
        <v>10</v>
      </c>
      <c r="E417">
        <v>5</v>
      </c>
      <c r="F417">
        <v>20260421</v>
      </c>
      <c r="G417">
        <v>20260505</v>
      </c>
      <c r="H417">
        <v>84.398200000000003</v>
      </c>
      <c r="I417">
        <f t="shared" si="63"/>
        <v>15</v>
      </c>
      <c r="J417">
        <f t="shared" si="64"/>
        <v>5.626546666666667</v>
      </c>
      <c r="K417">
        <f t="shared" si="65"/>
        <v>0</v>
      </c>
      <c r="L417">
        <f t="shared" si="66"/>
        <v>56.265466666666669</v>
      </c>
      <c r="M417">
        <f t="shared" si="67"/>
        <v>21.141620371107784</v>
      </c>
      <c r="N417">
        <f t="shared" si="68"/>
        <v>77.40708703777446</v>
      </c>
      <c r="O417">
        <f t="shared" si="69"/>
        <v>0</v>
      </c>
      <c r="P417">
        <f t="shared" si="70"/>
        <v>61.347149086094809</v>
      </c>
      <c r="Q417">
        <f t="shared" si="71"/>
        <v>23.051050913905183</v>
      </c>
      <c r="R417">
        <f t="shared" si="72"/>
        <v>84.398199999999989</v>
      </c>
    </row>
    <row r="418" spans="1:18" x14ac:dyDescent="0.3">
      <c r="A418" t="s">
        <v>0</v>
      </c>
      <c r="B418" t="s">
        <v>0</v>
      </c>
      <c r="C418">
        <v>0</v>
      </c>
      <c r="D418">
        <v>7</v>
      </c>
      <c r="E418">
        <v>7</v>
      </c>
      <c r="F418">
        <v>20260424</v>
      </c>
      <c r="G418">
        <v>20260507</v>
      </c>
      <c r="H418">
        <v>42.177399999999999</v>
      </c>
      <c r="I418">
        <f t="shared" si="63"/>
        <v>14</v>
      </c>
      <c r="J418">
        <f t="shared" si="64"/>
        <v>3.0126714285714287</v>
      </c>
      <c r="K418">
        <f t="shared" si="65"/>
        <v>0</v>
      </c>
      <c r="L418">
        <f t="shared" si="66"/>
        <v>21.088699999999999</v>
      </c>
      <c r="M418">
        <f t="shared" si="67"/>
        <v>15.848061552977931</v>
      </c>
      <c r="N418">
        <f t="shared" si="68"/>
        <v>36.936761552977927</v>
      </c>
      <c r="O418">
        <f t="shared" si="69"/>
        <v>0</v>
      </c>
      <c r="P418">
        <f t="shared" si="70"/>
        <v>24.080793712904406</v>
      </c>
      <c r="Q418">
        <f t="shared" si="71"/>
        <v>18.0966062870956</v>
      </c>
      <c r="R418">
        <f t="shared" si="72"/>
        <v>42.177400000000006</v>
      </c>
    </row>
    <row r="419" spans="1:18" x14ac:dyDescent="0.3">
      <c r="A419" t="s">
        <v>0</v>
      </c>
      <c r="B419" t="s">
        <v>0</v>
      </c>
      <c r="C419">
        <v>0</v>
      </c>
      <c r="D419">
        <v>17</v>
      </c>
      <c r="E419">
        <v>3</v>
      </c>
      <c r="F419">
        <v>20260414</v>
      </c>
      <c r="G419">
        <v>20260503</v>
      </c>
      <c r="H419">
        <v>253.34880000000001</v>
      </c>
      <c r="I419">
        <f t="shared" si="63"/>
        <v>20</v>
      </c>
      <c r="J419">
        <f t="shared" si="64"/>
        <v>12.667440000000001</v>
      </c>
      <c r="K419">
        <f t="shared" si="65"/>
        <v>0</v>
      </c>
      <c r="L419">
        <f t="shared" si="66"/>
        <v>215.34648000000001</v>
      </c>
      <c r="M419">
        <f t="shared" si="67"/>
        <v>28.558569590157973</v>
      </c>
      <c r="N419">
        <f t="shared" si="68"/>
        <v>243.905049590158</v>
      </c>
      <c r="O419">
        <f t="shared" si="69"/>
        <v>0</v>
      </c>
      <c r="P419">
        <f t="shared" si="70"/>
        <v>223.68447223171188</v>
      </c>
      <c r="Q419">
        <f t="shared" si="71"/>
        <v>29.664327768288118</v>
      </c>
      <c r="R419">
        <f t="shared" si="72"/>
        <v>253.34879999999998</v>
      </c>
    </row>
    <row r="420" spans="1:18" x14ac:dyDescent="0.3">
      <c r="A420" t="s">
        <v>0</v>
      </c>
      <c r="B420" t="s">
        <v>0</v>
      </c>
      <c r="C420">
        <v>0</v>
      </c>
      <c r="D420">
        <v>23</v>
      </c>
      <c r="E420">
        <v>7</v>
      </c>
      <c r="F420">
        <v>20260408</v>
      </c>
      <c r="G420">
        <v>20260507</v>
      </c>
      <c r="H420">
        <v>42.207999999999998</v>
      </c>
      <c r="I420">
        <f t="shared" si="63"/>
        <v>30</v>
      </c>
      <c r="J420">
        <f t="shared" si="64"/>
        <v>1.4069333333333334</v>
      </c>
      <c r="K420">
        <f t="shared" si="65"/>
        <v>0</v>
      </c>
      <c r="L420">
        <f t="shared" si="66"/>
        <v>32.35946666666667</v>
      </c>
      <c r="M420">
        <f t="shared" si="67"/>
        <v>7.4011277353853773</v>
      </c>
      <c r="N420">
        <f t="shared" si="68"/>
        <v>39.76059440205205</v>
      </c>
      <c r="O420">
        <f t="shared" si="69"/>
        <v>0</v>
      </c>
      <c r="P420">
        <f t="shared" si="70"/>
        <v>34.351306604112949</v>
      </c>
      <c r="Q420">
        <f t="shared" si="71"/>
        <v>7.8566933958870511</v>
      </c>
      <c r="R420">
        <f t="shared" si="72"/>
        <v>42.207999999999998</v>
      </c>
    </row>
    <row r="421" spans="1:18" x14ac:dyDescent="0.3">
      <c r="A421" t="s">
        <v>0</v>
      </c>
      <c r="B421" t="s">
        <v>0</v>
      </c>
      <c r="C421">
        <v>0</v>
      </c>
      <c r="D421">
        <v>21</v>
      </c>
      <c r="E421">
        <v>4</v>
      </c>
      <c r="F421">
        <v>20260410</v>
      </c>
      <c r="G421">
        <v>20260504</v>
      </c>
      <c r="H421">
        <v>84.431799999999996</v>
      </c>
      <c r="I421">
        <f t="shared" si="63"/>
        <v>25</v>
      </c>
      <c r="J421">
        <f t="shared" si="64"/>
        <v>3.3772719999999996</v>
      </c>
      <c r="K421">
        <f t="shared" si="65"/>
        <v>0</v>
      </c>
      <c r="L421">
        <f t="shared" si="66"/>
        <v>70.92271199999999</v>
      </c>
      <c r="M421">
        <f t="shared" si="67"/>
        <v>10.1520178175324</v>
      </c>
      <c r="N421">
        <f t="shared" si="68"/>
        <v>81.074729817532386</v>
      </c>
      <c r="O421">
        <f t="shared" si="69"/>
        <v>0</v>
      </c>
      <c r="P421">
        <f t="shared" si="70"/>
        <v>73.859416473154454</v>
      </c>
      <c r="Q421">
        <f t="shared" si="71"/>
        <v>10.572383526845536</v>
      </c>
      <c r="R421">
        <f t="shared" si="72"/>
        <v>84.431799999999996</v>
      </c>
    </row>
    <row r="422" spans="1:18" x14ac:dyDescent="0.3">
      <c r="A422" t="s">
        <v>0</v>
      </c>
      <c r="B422" t="s">
        <v>0</v>
      </c>
      <c r="C422">
        <v>2</v>
      </c>
      <c r="D422">
        <v>30</v>
      </c>
      <c r="E422">
        <v>1</v>
      </c>
      <c r="F422">
        <v>20260330</v>
      </c>
      <c r="G422">
        <v>20260501</v>
      </c>
      <c r="H422">
        <v>801.29480000000001</v>
      </c>
      <c r="I422">
        <f t="shared" si="63"/>
        <v>33</v>
      </c>
      <c r="J422">
        <f t="shared" si="64"/>
        <v>24.281660606060605</v>
      </c>
      <c r="K422">
        <f t="shared" si="65"/>
        <v>78.25000865911214</v>
      </c>
      <c r="L422">
        <f t="shared" si="66"/>
        <v>728.44981818181816</v>
      </c>
      <c r="M422">
        <f t="shared" si="67"/>
        <v>18.247556838181961</v>
      </c>
      <c r="N422">
        <f t="shared" si="68"/>
        <v>824.94738367911225</v>
      </c>
      <c r="O422">
        <f t="shared" si="69"/>
        <v>76.00645359812556</v>
      </c>
      <c r="P422">
        <f t="shared" si="70"/>
        <v>707.56397670701017</v>
      </c>
      <c r="Q422">
        <f t="shared" si="71"/>
        <v>17.724369694864297</v>
      </c>
      <c r="R422">
        <f t="shared" si="72"/>
        <v>801.29480000000001</v>
      </c>
    </row>
    <row r="423" spans="1:18" x14ac:dyDescent="0.3">
      <c r="A423" t="s">
        <v>0</v>
      </c>
      <c r="B423" t="s">
        <v>0</v>
      </c>
      <c r="C423">
        <v>14</v>
      </c>
      <c r="D423">
        <v>30</v>
      </c>
      <c r="E423">
        <v>4</v>
      </c>
      <c r="F423">
        <v>20260318</v>
      </c>
      <c r="G423">
        <v>20260504</v>
      </c>
      <c r="H423">
        <v>548.17719999999997</v>
      </c>
      <c r="I423">
        <f t="shared" si="63"/>
        <v>48</v>
      </c>
      <c r="J423">
        <f t="shared" si="64"/>
        <v>11.420358333333333</v>
      </c>
      <c r="K423">
        <f t="shared" si="65"/>
        <v>257.62249422731531</v>
      </c>
      <c r="L423">
        <f t="shared" si="66"/>
        <v>342.61075</v>
      </c>
      <c r="M423">
        <f t="shared" si="67"/>
        <v>34.329388122308373</v>
      </c>
      <c r="N423">
        <f t="shared" si="68"/>
        <v>634.56263234962364</v>
      </c>
      <c r="O423">
        <f t="shared" si="69"/>
        <v>222.55136111566154</v>
      </c>
      <c r="P423">
        <f t="shared" si="70"/>
        <v>295.96984135274755</v>
      </c>
      <c r="Q423">
        <f t="shared" si="71"/>
        <v>29.655997531590899</v>
      </c>
      <c r="R423">
        <f t="shared" si="72"/>
        <v>548.17719999999997</v>
      </c>
    </row>
    <row r="424" spans="1:18" x14ac:dyDescent="0.3">
      <c r="A424" t="s">
        <v>0</v>
      </c>
      <c r="B424" t="s">
        <v>0</v>
      </c>
      <c r="C424">
        <v>1</v>
      </c>
      <c r="D424">
        <v>30</v>
      </c>
      <c r="E424">
        <v>6</v>
      </c>
      <c r="F424">
        <v>20260331</v>
      </c>
      <c r="G424">
        <v>20260506</v>
      </c>
      <c r="H424">
        <v>506.04539999999997</v>
      </c>
      <c r="I424">
        <f t="shared" si="63"/>
        <v>37</v>
      </c>
      <c r="J424">
        <f t="shared" si="64"/>
        <v>13.676902702702701</v>
      </c>
      <c r="K424">
        <f t="shared" si="65"/>
        <v>22.037573382629329</v>
      </c>
      <c r="L424">
        <f t="shared" si="66"/>
        <v>410.30708108108104</v>
      </c>
      <c r="M424">
        <f t="shared" si="67"/>
        <v>61.668778792392885</v>
      </c>
      <c r="N424">
        <f t="shared" si="68"/>
        <v>494.01343325610321</v>
      </c>
      <c r="O424">
        <f t="shared" si="69"/>
        <v>22.5743105079911</v>
      </c>
      <c r="P424">
        <f t="shared" si="70"/>
        <v>420.30033394024696</v>
      </c>
      <c r="Q424">
        <f t="shared" si="71"/>
        <v>63.170755551761971</v>
      </c>
      <c r="R424">
        <f t="shared" si="72"/>
        <v>506.04540000000009</v>
      </c>
    </row>
    <row r="425" spans="1:18" x14ac:dyDescent="0.3">
      <c r="A425" t="s">
        <v>0</v>
      </c>
      <c r="B425" t="s">
        <v>0</v>
      </c>
      <c r="C425">
        <v>21</v>
      </c>
      <c r="D425">
        <v>30</v>
      </c>
      <c r="E425">
        <v>3</v>
      </c>
      <c r="F425">
        <v>20260311</v>
      </c>
      <c r="G425">
        <v>20260503</v>
      </c>
      <c r="H425">
        <v>126.4135</v>
      </c>
      <c r="I425">
        <f t="shared" si="63"/>
        <v>54</v>
      </c>
      <c r="J425">
        <f t="shared" si="64"/>
        <v>2.3409907407407409</v>
      </c>
      <c r="K425">
        <f t="shared" si="65"/>
        <v>79.212734310498433</v>
      </c>
      <c r="L425">
        <f t="shared" si="66"/>
        <v>70.229722222222222</v>
      </c>
      <c r="M425">
        <f t="shared" si="67"/>
        <v>5.2777314895006322</v>
      </c>
      <c r="N425">
        <f t="shared" si="68"/>
        <v>154.72018802222129</v>
      </c>
      <c r="O425">
        <f t="shared" si="69"/>
        <v>64.720442217417826</v>
      </c>
      <c r="P425">
        <f t="shared" si="70"/>
        <v>57.380908746464364</v>
      </c>
      <c r="Q425">
        <f t="shared" si="71"/>
        <v>4.3121490361178116</v>
      </c>
      <c r="R425">
        <f t="shared" si="72"/>
        <v>126.41350000000001</v>
      </c>
    </row>
    <row r="426" spans="1:18" x14ac:dyDescent="0.3">
      <c r="A426" t="s">
        <v>0</v>
      </c>
      <c r="B426" t="s">
        <v>0</v>
      </c>
      <c r="C426">
        <v>13</v>
      </c>
      <c r="D426">
        <v>30</v>
      </c>
      <c r="E426">
        <v>1</v>
      </c>
      <c r="F426">
        <v>20260319</v>
      </c>
      <c r="G426">
        <v>20260501</v>
      </c>
      <c r="H426">
        <v>927.79319999999996</v>
      </c>
      <c r="I426">
        <f t="shared" si="63"/>
        <v>44</v>
      </c>
      <c r="J426">
        <f t="shared" si="64"/>
        <v>21.08620909090909</v>
      </c>
      <c r="K426">
        <f t="shared" si="65"/>
        <v>441.69031351207275</v>
      </c>
      <c r="L426">
        <f t="shared" si="66"/>
        <v>632.58627272727267</v>
      </c>
      <c r="M426">
        <f t="shared" si="67"/>
        <v>15.846189646193938</v>
      </c>
      <c r="N426">
        <f t="shared" si="68"/>
        <v>1090.1227758855393</v>
      </c>
      <c r="O426">
        <f t="shared" si="69"/>
        <v>375.91845473504452</v>
      </c>
      <c r="P426">
        <f t="shared" si="70"/>
        <v>538.38820290030651</v>
      </c>
      <c r="Q426">
        <f t="shared" si="71"/>
        <v>13.486542364649043</v>
      </c>
      <c r="R426">
        <f t="shared" si="72"/>
        <v>927.79320000000007</v>
      </c>
    </row>
    <row r="427" spans="1:18" x14ac:dyDescent="0.3">
      <c r="A427" t="s">
        <v>0</v>
      </c>
      <c r="B427" t="s">
        <v>0</v>
      </c>
      <c r="C427">
        <v>11</v>
      </c>
      <c r="D427">
        <v>30</v>
      </c>
      <c r="E427">
        <v>1</v>
      </c>
      <c r="F427">
        <v>20260321</v>
      </c>
      <c r="G427">
        <v>20260501</v>
      </c>
      <c r="H427">
        <v>928.16279999999995</v>
      </c>
      <c r="I427">
        <f t="shared" si="63"/>
        <v>42</v>
      </c>
      <c r="J427">
        <f t="shared" si="64"/>
        <v>22.099114285714286</v>
      </c>
      <c r="K427">
        <f t="shared" si="65"/>
        <v>391.69097688538238</v>
      </c>
      <c r="L427">
        <f t="shared" si="66"/>
        <v>662.9734285714286</v>
      </c>
      <c r="M427">
        <f t="shared" si="67"/>
        <v>16.607383265269739</v>
      </c>
      <c r="N427">
        <f t="shared" si="68"/>
        <v>1071.2717887220808</v>
      </c>
      <c r="O427">
        <f t="shared" si="69"/>
        <v>339.36578715878795</v>
      </c>
      <c r="P427">
        <f t="shared" si="70"/>
        <v>574.40817565307532</v>
      </c>
      <c r="Q427">
        <f t="shared" si="71"/>
        <v>14.388837188136611</v>
      </c>
      <c r="R427">
        <f t="shared" si="72"/>
        <v>928.16279999999983</v>
      </c>
    </row>
    <row r="428" spans="1:18" x14ac:dyDescent="0.3">
      <c r="A428" t="s">
        <v>0</v>
      </c>
      <c r="B428" t="s">
        <v>0</v>
      </c>
      <c r="C428">
        <v>14</v>
      </c>
      <c r="D428">
        <v>30</v>
      </c>
      <c r="E428">
        <v>5</v>
      </c>
      <c r="F428">
        <v>20260318</v>
      </c>
      <c r="G428">
        <v>20260505</v>
      </c>
      <c r="H428">
        <v>84.334999999999994</v>
      </c>
      <c r="I428">
        <f t="shared" si="63"/>
        <v>49</v>
      </c>
      <c r="J428">
        <f t="shared" si="64"/>
        <v>1.7211224489795918</v>
      </c>
      <c r="K428">
        <f t="shared" si="65"/>
        <v>38.825389294709609</v>
      </c>
      <c r="L428">
        <f t="shared" si="66"/>
        <v>51.633673469387752</v>
      </c>
      <c r="M428">
        <f t="shared" si="67"/>
        <v>6.4670782247461176</v>
      </c>
      <c r="N428">
        <f t="shared" si="68"/>
        <v>96.926140988843471</v>
      </c>
      <c r="O428">
        <f t="shared" si="69"/>
        <v>33.781796868877947</v>
      </c>
      <c r="P428">
        <f t="shared" si="70"/>
        <v>44.926227410023849</v>
      </c>
      <c r="Q428">
        <f t="shared" si="71"/>
        <v>5.626975721098205</v>
      </c>
      <c r="R428">
        <f t="shared" si="72"/>
        <v>84.335000000000008</v>
      </c>
    </row>
    <row r="429" spans="1:18" x14ac:dyDescent="0.3">
      <c r="A429" t="s">
        <v>0</v>
      </c>
      <c r="B429" t="s">
        <v>0</v>
      </c>
      <c r="C429">
        <v>5</v>
      </c>
      <c r="D429">
        <v>30</v>
      </c>
      <c r="E429">
        <v>4</v>
      </c>
      <c r="F429">
        <v>20260327</v>
      </c>
      <c r="G429">
        <v>20260504</v>
      </c>
      <c r="H429">
        <v>126.5528</v>
      </c>
      <c r="I429">
        <f t="shared" si="63"/>
        <v>39</v>
      </c>
      <c r="J429">
        <f t="shared" si="64"/>
        <v>3.2449435897435897</v>
      </c>
      <c r="K429">
        <f t="shared" si="65"/>
        <v>26.142864373574774</v>
      </c>
      <c r="L429">
        <f t="shared" si="66"/>
        <v>97.348307692307685</v>
      </c>
      <c r="M429">
        <f t="shared" si="67"/>
        <v>9.7542410383186411</v>
      </c>
      <c r="N429">
        <f t="shared" si="68"/>
        <v>133.24541310420111</v>
      </c>
      <c r="O429">
        <f t="shared" si="69"/>
        <v>24.829767940370633</v>
      </c>
      <c r="P429">
        <f t="shared" si="70"/>
        <v>92.45872429461248</v>
      </c>
      <c r="Q429">
        <f t="shared" si="71"/>
        <v>9.2643077650168735</v>
      </c>
      <c r="R429">
        <f t="shared" si="72"/>
        <v>126.55279999999999</v>
      </c>
    </row>
    <row r="430" spans="1:18" x14ac:dyDescent="0.3">
      <c r="A430" t="s">
        <v>0</v>
      </c>
      <c r="B430" t="s">
        <v>0</v>
      </c>
      <c r="C430">
        <v>19</v>
      </c>
      <c r="D430">
        <v>30</v>
      </c>
      <c r="E430">
        <v>3</v>
      </c>
      <c r="F430">
        <v>20260313</v>
      </c>
      <c r="G430">
        <v>20260503</v>
      </c>
      <c r="H430">
        <v>505.73700000000002</v>
      </c>
      <c r="I430">
        <f t="shared" si="63"/>
        <v>52</v>
      </c>
      <c r="J430">
        <f t="shared" si="64"/>
        <v>9.7257115384615389</v>
      </c>
      <c r="K430">
        <f t="shared" si="65"/>
        <v>297.74947159715919</v>
      </c>
      <c r="L430">
        <f t="shared" si="66"/>
        <v>291.77134615384614</v>
      </c>
      <c r="M430">
        <f t="shared" si="67"/>
        <v>21.926483155630198</v>
      </c>
      <c r="N430">
        <f t="shared" si="68"/>
        <v>611.44730090663552</v>
      </c>
      <c r="O430">
        <f t="shared" si="69"/>
        <v>246.27294011086926</v>
      </c>
      <c r="P430">
        <f t="shared" si="70"/>
        <v>241.32834517547278</v>
      </c>
      <c r="Q430">
        <f t="shared" si="71"/>
        <v>18.135714713658015</v>
      </c>
      <c r="R430">
        <f t="shared" si="72"/>
        <v>505.73700000000002</v>
      </c>
    </row>
    <row r="431" spans="1:18" x14ac:dyDescent="0.3">
      <c r="A431" t="s">
        <v>0</v>
      </c>
      <c r="B431" t="s">
        <v>0</v>
      </c>
      <c r="C431">
        <v>4</v>
      </c>
      <c r="D431">
        <v>30</v>
      </c>
      <c r="E431">
        <v>5</v>
      </c>
      <c r="F431">
        <v>20260328</v>
      </c>
      <c r="G431">
        <v>20260505</v>
      </c>
      <c r="H431">
        <v>42.179299999999998</v>
      </c>
      <c r="I431">
        <f t="shared" si="63"/>
        <v>39</v>
      </c>
      <c r="J431">
        <f t="shared" si="64"/>
        <v>1.0815205128205128</v>
      </c>
      <c r="K431">
        <f t="shared" si="65"/>
        <v>6.9706097013883364</v>
      </c>
      <c r="L431">
        <f t="shared" si="66"/>
        <v>32.44561538461538</v>
      </c>
      <c r="M431">
        <f t="shared" si="67"/>
        <v>4.0637885829822951</v>
      </c>
      <c r="N431">
        <f t="shared" si="68"/>
        <v>43.480013668986011</v>
      </c>
      <c r="O431">
        <f t="shared" si="69"/>
        <v>6.7620824596816584</v>
      </c>
      <c r="P431">
        <f t="shared" si="70"/>
        <v>31.474998039581408</v>
      </c>
      <c r="Q431">
        <f t="shared" si="71"/>
        <v>3.9422195007369343</v>
      </c>
      <c r="R431">
        <f t="shared" si="72"/>
        <v>42.179299999999998</v>
      </c>
    </row>
    <row r="432" spans="1:18" x14ac:dyDescent="0.3">
      <c r="A432" t="s">
        <v>0</v>
      </c>
      <c r="B432" t="s">
        <v>0</v>
      </c>
      <c r="C432">
        <v>0</v>
      </c>
      <c r="D432">
        <v>28</v>
      </c>
      <c r="E432">
        <v>4</v>
      </c>
      <c r="F432">
        <v>20260403</v>
      </c>
      <c r="G432">
        <v>20260504</v>
      </c>
      <c r="H432">
        <v>337.36360000000002</v>
      </c>
      <c r="I432">
        <f t="shared" si="63"/>
        <v>32</v>
      </c>
      <c r="J432">
        <f t="shared" si="64"/>
        <v>10.542612500000001</v>
      </c>
      <c r="K432">
        <f t="shared" si="65"/>
        <v>0</v>
      </c>
      <c r="L432">
        <f t="shared" si="66"/>
        <v>295.19315</v>
      </c>
      <c r="M432">
        <f t="shared" si="67"/>
        <v>31.690900212757462</v>
      </c>
      <c r="N432">
        <f t="shared" si="68"/>
        <v>326.88405021275747</v>
      </c>
      <c r="O432">
        <f t="shared" si="69"/>
        <v>0</v>
      </c>
      <c r="P432">
        <f t="shared" si="70"/>
        <v>304.65672373589967</v>
      </c>
      <c r="Q432">
        <f t="shared" si="71"/>
        <v>32.706876264100352</v>
      </c>
      <c r="R432">
        <f t="shared" si="72"/>
        <v>337.36360000000002</v>
      </c>
    </row>
    <row r="433" spans="1:18" x14ac:dyDescent="0.3">
      <c r="A433" t="s">
        <v>0</v>
      </c>
      <c r="B433" t="s">
        <v>0</v>
      </c>
      <c r="C433">
        <v>20</v>
      </c>
      <c r="D433">
        <v>30</v>
      </c>
      <c r="E433">
        <v>6</v>
      </c>
      <c r="F433">
        <v>20260312</v>
      </c>
      <c r="G433">
        <v>20260506</v>
      </c>
      <c r="H433">
        <v>42.141800000000003</v>
      </c>
      <c r="I433">
        <f t="shared" si="63"/>
        <v>56</v>
      </c>
      <c r="J433">
        <f t="shared" si="64"/>
        <v>0.75253214285714287</v>
      </c>
      <c r="K433">
        <f t="shared" si="65"/>
        <v>24.251078890433888</v>
      </c>
      <c r="L433">
        <f t="shared" si="66"/>
        <v>22.575964285714285</v>
      </c>
      <c r="M433">
        <f t="shared" si="67"/>
        <v>3.3931467716628476</v>
      </c>
      <c r="N433">
        <f t="shared" si="68"/>
        <v>50.220189947811022</v>
      </c>
      <c r="O433">
        <f t="shared" si="69"/>
        <v>20.350064733863732</v>
      </c>
      <c r="P433">
        <f t="shared" si="70"/>
        <v>18.944408070228402</v>
      </c>
      <c r="Q433">
        <f t="shared" si="71"/>
        <v>2.8473271959078708</v>
      </c>
      <c r="R433">
        <f t="shared" si="72"/>
        <v>42.141800000000011</v>
      </c>
    </row>
    <row r="434" spans="1:18" x14ac:dyDescent="0.3">
      <c r="A434" t="s">
        <v>0</v>
      </c>
      <c r="B434" t="s">
        <v>0</v>
      </c>
      <c r="C434">
        <v>0</v>
      </c>
      <c r="D434">
        <v>28</v>
      </c>
      <c r="E434">
        <v>3</v>
      </c>
      <c r="F434">
        <v>20260403</v>
      </c>
      <c r="G434">
        <v>20260503</v>
      </c>
      <c r="H434">
        <v>168.68170000000001</v>
      </c>
      <c r="I434">
        <f t="shared" si="63"/>
        <v>31</v>
      </c>
      <c r="J434">
        <f t="shared" si="64"/>
        <v>5.4413451612903225</v>
      </c>
      <c r="K434">
        <f t="shared" si="65"/>
        <v>0</v>
      </c>
      <c r="L434">
        <f t="shared" si="66"/>
        <v>152.35766451612903</v>
      </c>
      <c r="M434">
        <f t="shared" si="67"/>
        <v>12.267437971111686</v>
      </c>
      <c r="N434">
        <f t="shared" si="68"/>
        <v>164.62510248724072</v>
      </c>
      <c r="O434">
        <f t="shared" si="69"/>
        <v>0</v>
      </c>
      <c r="P434">
        <f t="shared" si="70"/>
        <v>156.11197484661974</v>
      </c>
      <c r="Q434">
        <f t="shared" si="71"/>
        <v>12.569725153380242</v>
      </c>
      <c r="R434">
        <f t="shared" si="72"/>
        <v>168.68169999999998</v>
      </c>
    </row>
    <row r="435" spans="1:18" x14ac:dyDescent="0.3">
      <c r="A435" t="s">
        <v>0</v>
      </c>
      <c r="B435" t="s">
        <v>0</v>
      </c>
      <c r="C435">
        <v>31</v>
      </c>
      <c r="D435">
        <v>30</v>
      </c>
      <c r="E435">
        <v>1</v>
      </c>
      <c r="F435">
        <v>20260227</v>
      </c>
      <c r="G435">
        <v>20260501</v>
      </c>
      <c r="H435">
        <v>1899.271</v>
      </c>
      <c r="I435">
        <f t="shared" si="63"/>
        <v>62</v>
      </c>
      <c r="J435">
        <f t="shared" si="64"/>
        <v>30.63340322580645</v>
      </c>
      <c r="K435">
        <f t="shared" si="65"/>
        <v>1530.1462964903862</v>
      </c>
      <c r="L435">
        <f t="shared" si="66"/>
        <v>919.00209677419355</v>
      </c>
      <c r="M435">
        <f t="shared" si="67"/>
        <v>23.020862352813278</v>
      </c>
      <c r="N435">
        <f t="shared" si="68"/>
        <v>2472.169255617393</v>
      </c>
      <c r="O435">
        <f t="shared" si="69"/>
        <v>1175.5515849402532</v>
      </c>
      <c r="P435">
        <f t="shared" si="70"/>
        <v>706.0333864181639</v>
      </c>
      <c r="Q435">
        <f t="shared" si="71"/>
        <v>17.686028641582954</v>
      </c>
      <c r="R435">
        <f t="shared" si="72"/>
        <v>1899.271</v>
      </c>
    </row>
    <row r="436" spans="1:18" x14ac:dyDescent="0.3">
      <c r="A436" t="s">
        <v>0</v>
      </c>
      <c r="B436" t="s">
        <v>0</v>
      </c>
      <c r="C436">
        <v>31</v>
      </c>
      <c r="D436">
        <v>30</v>
      </c>
      <c r="E436">
        <v>6</v>
      </c>
      <c r="F436">
        <v>20260226</v>
      </c>
      <c r="G436">
        <v>20260506</v>
      </c>
      <c r="H436">
        <v>464.2663</v>
      </c>
      <c r="I436">
        <f t="shared" si="63"/>
        <v>67</v>
      </c>
      <c r="J436">
        <f t="shared" si="64"/>
        <v>6.9293477611940295</v>
      </c>
      <c r="K436">
        <f t="shared" si="65"/>
        <v>346.12268626271322</v>
      </c>
      <c r="L436">
        <f t="shared" si="66"/>
        <v>207.8804328358209</v>
      </c>
      <c r="M436">
        <f t="shared" si="67"/>
        <v>31.244238812651176</v>
      </c>
      <c r="N436">
        <f t="shared" si="68"/>
        <v>585.2473579111853</v>
      </c>
      <c r="O436">
        <f t="shared" si="69"/>
        <v>274.57295915146494</v>
      </c>
      <c r="P436">
        <f t="shared" si="70"/>
        <v>164.90784296668505</v>
      </c>
      <c r="Q436">
        <f t="shared" si="71"/>
        <v>24.785497881849935</v>
      </c>
      <c r="R436">
        <f t="shared" si="72"/>
        <v>464.26629999999994</v>
      </c>
    </row>
    <row r="437" spans="1:18" x14ac:dyDescent="0.3">
      <c r="A437" t="s">
        <v>0</v>
      </c>
      <c r="B437" t="s">
        <v>0</v>
      </c>
      <c r="C437">
        <v>31</v>
      </c>
      <c r="D437">
        <v>30</v>
      </c>
      <c r="E437">
        <v>4</v>
      </c>
      <c r="F437">
        <v>20260227</v>
      </c>
      <c r="G437">
        <v>20260504</v>
      </c>
      <c r="H437">
        <v>801.89559999999994</v>
      </c>
      <c r="I437">
        <f t="shared" si="63"/>
        <v>65</v>
      </c>
      <c r="J437">
        <f t="shared" si="64"/>
        <v>12.336855384615383</v>
      </c>
      <c r="K437">
        <f t="shared" si="65"/>
        <v>616.22906988029399</v>
      </c>
      <c r="L437">
        <f t="shared" si="66"/>
        <v>370.1056615384615</v>
      </c>
      <c r="M437">
        <f t="shared" si="67"/>
        <v>37.084361483746619</v>
      </c>
      <c r="N437">
        <f t="shared" si="68"/>
        <v>1023.4190929025021</v>
      </c>
      <c r="O437">
        <f t="shared" si="69"/>
        <v>482.84362013185199</v>
      </c>
      <c r="P437">
        <f t="shared" si="70"/>
        <v>289.99468896077684</v>
      </c>
      <c r="Q437">
        <f t="shared" si="71"/>
        <v>29.057290907371126</v>
      </c>
      <c r="R437">
        <f t="shared" si="72"/>
        <v>801.89559999999994</v>
      </c>
    </row>
    <row r="438" spans="1:18" x14ac:dyDescent="0.3">
      <c r="A438" t="s">
        <v>0</v>
      </c>
      <c r="B438" t="s">
        <v>0</v>
      </c>
      <c r="C438">
        <v>31</v>
      </c>
      <c r="D438">
        <v>30</v>
      </c>
      <c r="E438">
        <v>7</v>
      </c>
      <c r="F438">
        <v>20260228</v>
      </c>
      <c r="G438">
        <v>20260507</v>
      </c>
      <c r="H438">
        <v>253.2183</v>
      </c>
      <c r="I438">
        <f t="shared" si="63"/>
        <v>68</v>
      </c>
      <c r="J438">
        <f t="shared" si="64"/>
        <v>3.7237985294117646</v>
      </c>
      <c r="K438">
        <f t="shared" si="65"/>
        <v>186.0046853643619</v>
      </c>
      <c r="L438">
        <f t="shared" si="66"/>
        <v>111.71395588235293</v>
      </c>
      <c r="M438">
        <f t="shared" si="67"/>
        <v>19.58892288927456</v>
      </c>
      <c r="N438">
        <f t="shared" si="68"/>
        <v>317.30756413598937</v>
      </c>
      <c r="O438">
        <f t="shared" si="69"/>
        <v>148.43576246991992</v>
      </c>
      <c r="P438">
        <f t="shared" si="70"/>
        <v>89.150153327832228</v>
      </c>
      <c r="Q438">
        <f t="shared" si="71"/>
        <v>15.632384202247868</v>
      </c>
      <c r="R438">
        <f t="shared" si="72"/>
        <v>253.2183</v>
      </c>
    </row>
    <row r="439" spans="1:18" x14ac:dyDescent="0.3">
      <c r="A439" t="s">
        <v>0</v>
      </c>
      <c r="B439" t="s">
        <v>0</v>
      </c>
      <c r="C439">
        <v>0</v>
      </c>
      <c r="D439">
        <v>24</v>
      </c>
      <c r="E439">
        <v>2</v>
      </c>
      <c r="F439">
        <v>20260407</v>
      </c>
      <c r="G439">
        <v>20260502</v>
      </c>
      <c r="H439">
        <v>211.0153</v>
      </c>
      <c r="I439">
        <f t="shared" si="63"/>
        <v>26</v>
      </c>
      <c r="J439">
        <f t="shared" si="64"/>
        <v>8.1159730769230762</v>
      </c>
      <c r="K439">
        <f t="shared" si="65"/>
        <v>0</v>
      </c>
      <c r="L439">
        <f t="shared" si="66"/>
        <v>194.78335384615383</v>
      </c>
      <c r="M439">
        <f t="shared" si="67"/>
        <v>12.198233260977549</v>
      </c>
      <c r="N439">
        <f t="shared" si="68"/>
        <v>206.98158710713139</v>
      </c>
      <c r="O439">
        <f t="shared" si="69"/>
        <v>0</v>
      </c>
      <c r="P439">
        <f t="shared" si="70"/>
        <v>198.57934428523936</v>
      </c>
      <c r="Q439">
        <f t="shared" si="71"/>
        <v>12.435955714760629</v>
      </c>
      <c r="R439">
        <f t="shared" si="72"/>
        <v>211.0153</v>
      </c>
    </row>
  </sheetData>
  <autoFilter ref="A9:R9" xr:uid="{201CD250-BD35-43B0-BC0C-0A915CDB444C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4월검증</vt:lpstr>
      <vt:lpstr>4월계산내역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JEONSOOHWAN</dc:creator>
  <cp:lastModifiedBy>user</cp:lastModifiedBy>
  <dcterms:created xsi:type="dcterms:W3CDTF">2024-10-08T06:05:57Z</dcterms:created>
  <dcterms:modified xsi:type="dcterms:W3CDTF">2026-06-10T07:57:33Z</dcterms:modified>
</cp:coreProperties>
</file>
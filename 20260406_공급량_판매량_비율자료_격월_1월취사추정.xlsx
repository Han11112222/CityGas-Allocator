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2. 공급량_판매량_비율자료_격월\"/>
    </mc:Choice>
  </mc:AlternateContent>
  <xr:revisionPtr revIDLastSave="0" documentId="13_ncr:1_{214DD2BC-54BF-4318-A34F-4A2D149D5BD1}" xr6:coauthVersionLast="36" xr6:coauthVersionMax="47" xr10:uidLastSave="{00000000-0000-0000-0000-000000000000}"/>
  <bookViews>
    <workbookView xWindow="0" yWindow="0" windowWidth="28800" windowHeight="11400" xr2:uid="{58A216BF-962C-407C-A8DE-E93F3C3D5282}"/>
  </bookViews>
  <sheets>
    <sheet name="2월검증" sheetId="22" r:id="rId1"/>
    <sheet name="2월계산내역" sheetId="1" r:id="rId2"/>
  </sheets>
  <definedNames>
    <definedName name="_xlnm._FilterDatabase" localSheetId="1" hidden="1">'2월계산내역'!$A$9:$R$9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2" l="1"/>
  <c r="D6" i="22" s="1"/>
  <c r="C5" i="22"/>
  <c r="B5" i="22"/>
  <c r="B6" i="22" s="1"/>
  <c r="I11" i="1"/>
  <c r="J11" i="1"/>
  <c r="K11" i="1" s="1"/>
  <c r="M11" i="1"/>
  <c r="I12" i="1"/>
  <c r="J12" i="1"/>
  <c r="K12" i="1"/>
  <c r="L12" i="1"/>
  <c r="M12" i="1"/>
  <c r="N12" i="1"/>
  <c r="P12" i="1"/>
  <c r="I13" i="1"/>
  <c r="J13" i="1" s="1"/>
  <c r="I14" i="1"/>
  <c r="J14" i="1"/>
  <c r="L14" i="1"/>
  <c r="I15" i="1"/>
  <c r="J15" i="1"/>
  <c r="K15" i="1" s="1"/>
  <c r="I16" i="1"/>
  <c r="J16" i="1"/>
  <c r="M16" i="1" s="1"/>
  <c r="K16" i="1"/>
  <c r="L16" i="1"/>
  <c r="I17" i="1"/>
  <c r="J17" i="1"/>
  <c r="I18" i="1"/>
  <c r="J18" i="1"/>
  <c r="L18" i="1"/>
  <c r="I19" i="1"/>
  <c r="J19" i="1"/>
  <c r="I20" i="1"/>
  <c r="J20" i="1" s="1"/>
  <c r="I21" i="1"/>
  <c r="J21" i="1"/>
  <c r="K21" i="1"/>
  <c r="I22" i="1"/>
  <c r="J22" i="1" s="1"/>
  <c r="I23" i="1"/>
  <c r="J23" i="1" s="1"/>
  <c r="I24" i="1"/>
  <c r="J24" i="1"/>
  <c r="K24" i="1"/>
  <c r="L24" i="1"/>
  <c r="M24" i="1"/>
  <c r="I25" i="1"/>
  <c r="J25" i="1"/>
  <c r="I26" i="1"/>
  <c r="J26" i="1" s="1"/>
  <c r="K26" i="1" s="1"/>
  <c r="L26" i="1"/>
  <c r="I27" i="1"/>
  <c r="J27" i="1"/>
  <c r="I28" i="1"/>
  <c r="J28" i="1"/>
  <c r="M28" i="1"/>
  <c r="I29" i="1"/>
  <c r="J29" i="1" s="1"/>
  <c r="M29" i="1" s="1"/>
  <c r="K29" i="1"/>
  <c r="L29" i="1"/>
  <c r="I30" i="1"/>
  <c r="J30" i="1"/>
  <c r="I31" i="1"/>
  <c r="J31" i="1"/>
  <c r="M31" i="1" s="1"/>
  <c r="K31" i="1"/>
  <c r="L31" i="1"/>
  <c r="I32" i="1"/>
  <c r="J32" i="1"/>
  <c r="M32" i="1" s="1"/>
  <c r="K32" i="1"/>
  <c r="L32" i="1"/>
  <c r="N32" i="1"/>
  <c r="Q32" i="1"/>
  <c r="I33" i="1"/>
  <c r="J33" i="1" s="1"/>
  <c r="I34" i="1"/>
  <c r="J34" i="1"/>
  <c r="L34" i="1"/>
  <c r="I35" i="1"/>
  <c r="J35" i="1"/>
  <c r="I36" i="1"/>
  <c r="J36" i="1" s="1"/>
  <c r="K36" i="1"/>
  <c r="L36" i="1"/>
  <c r="M36" i="1"/>
  <c r="N36" i="1"/>
  <c r="P36" i="1"/>
  <c r="I37" i="1"/>
  <c r="J37" i="1"/>
  <c r="K37" i="1"/>
  <c r="I38" i="1"/>
  <c r="J38" i="1"/>
  <c r="I39" i="1"/>
  <c r="J39" i="1"/>
  <c r="K39" i="1"/>
  <c r="I40" i="1"/>
  <c r="J40" i="1"/>
  <c r="K40" i="1"/>
  <c r="L40" i="1"/>
  <c r="M40" i="1"/>
  <c r="N40" i="1"/>
  <c r="O40" i="1"/>
  <c r="I41" i="1"/>
  <c r="J41" i="1"/>
  <c r="I42" i="1"/>
  <c r="J42" i="1"/>
  <c r="K42" i="1"/>
  <c r="L42" i="1"/>
  <c r="M42" i="1"/>
  <c r="I43" i="1"/>
  <c r="J43" i="1"/>
  <c r="M43" i="1"/>
  <c r="I44" i="1"/>
  <c r="J44" i="1"/>
  <c r="K44" i="1"/>
  <c r="L44" i="1"/>
  <c r="M44" i="1"/>
  <c r="I45" i="1"/>
  <c r="J45" i="1" s="1"/>
  <c r="K45" i="1"/>
  <c r="L45" i="1"/>
  <c r="M45" i="1"/>
  <c r="I46" i="1"/>
  <c r="J46" i="1"/>
  <c r="L46" i="1"/>
  <c r="I47" i="1"/>
  <c r="J47" i="1"/>
  <c r="L47" i="1" s="1"/>
  <c r="K47" i="1"/>
  <c r="M47" i="1"/>
  <c r="I48" i="1"/>
  <c r="J48" i="1"/>
  <c r="I49" i="1"/>
  <c r="J49" i="1" s="1"/>
  <c r="K49" i="1"/>
  <c r="I50" i="1"/>
  <c r="J50" i="1"/>
  <c r="L50" i="1"/>
  <c r="I51" i="1"/>
  <c r="J51" i="1"/>
  <c r="L51" i="1"/>
  <c r="I52" i="1"/>
  <c r="J52" i="1" s="1"/>
  <c r="L52" i="1"/>
  <c r="I53" i="1"/>
  <c r="J53" i="1" s="1"/>
  <c r="K53" i="1" s="1"/>
  <c r="L53" i="1"/>
  <c r="M53" i="1"/>
  <c r="I54" i="1"/>
  <c r="J54" i="1"/>
  <c r="L54" i="1"/>
  <c r="I55" i="1"/>
  <c r="J55" i="1" s="1"/>
  <c r="I56" i="1"/>
  <c r="J56" i="1"/>
  <c r="K56" i="1"/>
  <c r="L56" i="1"/>
  <c r="M56" i="1"/>
  <c r="N56" i="1"/>
  <c r="P56" i="1" s="1"/>
  <c r="R56" i="1" s="1"/>
  <c r="O56" i="1"/>
  <c r="Q56" i="1"/>
  <c r="I57" i="1"/>
  <c r="J57" i="1" s="1"/>
  <c r="L57" i="1"/>
  <c r="I58" i="1"/>
  <c r="J58" i="1"/>
  <c r="K58" i="1"/>
  <c r="L58" i="1"/>
  <c r="M58" i="1"/>
  <c r="N58" i="1"/>
  <c r="O58" i="1"/>
  <c r="P58" i="1"/>
  <c r="Q58" i="1"/>
  <c r="R58" i="1"/>
  <c r="I59" i="1"/>
  <c r="J59" i="1"/>
  <c r="M59" i="1"/>
  <c r="I60" i="1"/>
  <c r="J60" i="1"/>
  <c r="M60" i="1"/>
  <c r="I61" i="1"/>
  <c r="J61" i="1" s="1"/>
  <c r="K61" i="1"/>
  <c r="L61" i="1"/>
  <c r="M61" i="1"/>
  <c r="N61" i="1"/>
  <c r="I62" i="1"/>
  <c r="J62" i="1" s="1"/>
  <c r="I63" i="1"/>
  <c r="J63" i="1"/>
  <c r="K63" i="1"/>
  <c r="L63" i="1"/>
  <c r="M63" i="1"/>
  <c r="N63" i="1"/>
  <c r="I64" i="1"/>
  <c r="J64" i="1"/>
  <c r="M64" i="1" s="1"/>
  <c r="K64" i="1"/>
  <c r="L64" i="1"/>
  <c r="N64" i="1"/>
  <c r="P64" i="1"/>
  <c r="Q64" i="1"/>
  <c r="I65" i="1"/>
  <c r="J65" i="1" s="1"/>
  <c r="L65" i="1"/>
  <c r="I66" i="1"/>
  <c r="J66" i="1"/>
  <c r="L66" i="1"/>
  <c r="I67" i="1"/>
  <c r="J67" i="1"/>
  <c r="K67" i="1" s="1"/>
  <c r="L67" i="1"/>
  <c r="M67" i="1"/>
  <c r="I68" i="1"/>
  <c r="J68" i="1" s="1"/>
  <c r="K68" i="1"/>
  <c r="L68" i="1"/>
  <c r="M68" i="1"/>
  <c r="I69" i="1"/>
  <c r="J69" i="1"/>
  <c r="M69" i="1" s="1"/>
  <c r="K69" i="1"/>
  <c r="L69" i="1"/>
  <c r="I70" i="1"/>
  <c r="J70" i="1"/>
  <c r="I71" i="1"/>
  <c r="J71" i="1"/>
  <c r="K71" i="1"/>
  <c r="L71" i="1"/>
  <c r="M71" i="1"/>
  <c r="I72" i="1"/>
  <c r="J72" i="1"/>
  <c r="K72" i="1"/>
  <c r="L72" i="1"/>
  <c r="M72" i="1"/>
  <c r="I73" i="1"/>
  <c r="J73" i="1" s="1"/>
  <c r="I74" i="1"/>
  <c r="J74" i="1" s="1"/>
  <c r="K74" i="1"/>
  <c r="L74" i="1"/>
  <c r="M74" i="1"/>
  <c r="N74" i="1"/>
  <c r="Q74" i="1"/>
  <c r="I75" i="1"/>
  <c r="J75" i="1"/>
  <c r="M75" i="1"/>
  <c r="I76" i="1"/>
  <c r="J76" i="1"/>
  <c r="K76" i="1"/>
  <c r="L76" i="1"/>
  <c r="M76" i="1"/>
  <c r="N76" i="1"/>
  <c r="P76" i="1"/>
  <c r="I77" i="1"/>
  <c r="J77" i="1" s="1"/>
  <c r="K77" i="1"/>
  <c r="L77" i="1"/>
  <c r="M77" i="1"/>
  <c r="N77" i="1"/>
  <c r="O77" i="1"/>
  <c r="I78" i="1"/>
  <c r="J78" i="1" s="1"/>
  <c r="L78" i="1"/>
  <c r="I79" i="1"/>
  <c r="J79" i="1"/>
  <c r="M79" i="1" s="1"/>
  <c r="K79" i="1"/>
  <c r="L79" i="1"/>
  <c r="I80" i="1"/>
  <c r="J80" i="1"/>
  <c r="M80" i="1" s="1"/>
  <c r="K80" i="1"/>
  <c r="L80" i="1"/>
  <c r="N80" i="1"/>
  <c r="P80" i="1"/>
  <c r="I81" i="1"/>
  <c r="J81" i="1"/>
  <c r="M81" i="1" s="1"/>
  <c r="K81" i="1"/>
  <c r="L81" i="1"/>
  <c r="N81" i="1"/>
  <c r="I82" i="1"/>
  <c r="J82" i="1"/>
  <c r="L82" i="1"/>
  <c r="I83" i="1"/>
  <c r="J83" i="1"/>
  <c r="K83" i="1" s="1"/>
  <c r="L83" i="1"/>
  <c r="I84" i="1"/>
  <c r="J84" i="1" s="1"/>
  <c r="K84" i="1"/>
  <c r="L84" i="1"/>
  <c r="M84" i="1"/>
  <c r="N84" i="1"/>
  <c r="P84" i="1"/>
  <c r="I85" i="1"/>
  <c r="J85" i="1"/>
  <c r="M85" i="1" s="1"/>
  <c r="K85" i="1"/>
  <c r="L85" i="1"/>
  <c r="N85" i="1"/>
  <c r="I86" i="1"/>
  <c r="J86" i="1" s="1"/>
  <c r="L86" i="1"/>
  <c r="I87" i="1"/>
  <c r="J87" i="1"/>
  <c r="K87" i="1"/>
  <c r="L87" i="1"/>
  <c r="M87" i="1"/>
  <c r="I88" i="1"/>
  <c r="J88" i="1"/>
  <c r="K88" i="1" s="1"/>
  <c r="L88" i="1"/>
  <c r="M88" i="1"/>
  <c r="I89" i="1"/>
  <c r="J89" i="1"/>
  <c r="I90" i="1"/>
  <c r="J90" i="1"/>
  <c r="K90" i="1" s="1"/>
  <c r="L90" i="1"/>
  <c r="M90" i="1"/>
  <c r="I91" i="1"/>
  <c r="J91" i="1"/>
  <c r="M91" i="1"/>
  <c r="I92" i="1"/>
  <c r="J92" i="1"/>
  <c r="K92" i="1"/>
  <c r="L92" i="1"/>
  <c r="M92" i="1"/>
  <c r="N92" i="1"/>
  <c r="P92" i="1"/>
  <c r="I93" i="1"/>
  <c r="J93" i="1" s="1"/>
  <c r="K93" i="1"/>
  <c r="L93" i="1"/>
  <c r="M93" i="1"/>
  <c r="N93" i="1"/>
  <c r="O93" i="1"/>
  <c r="P93" i="1"/>
  <c r="I94" i="1"/>
  <c r="J94" i="1"/>
  <c r="L94" i="1"/>
  <c r="I95" i="1"/>
  <c r="J95" i="1"/>
  <c r="K95" i="1"/>
  <c r="I96" i="1"/>
  <c r="J96" i="1"/>
  <c r="M96" i="1" s="1"/>
  <c r="K96" i="1"/>
  <c r="L96" i="1"/>
  <c r="I97" i="1"/>
  <c r="J97" i="1" s="1"/>
  <c r="I98" i="1"/>
  <c r="J98" i="1" s="1"/>
  <c r="L98" i="1"/>
  <c r="I99" i="1"/>
  <c r="J99" i="1"/>
  <c r="K99" i="1" s="1"/>
  <c r="M99" i="1"/>
  <c r="I100" i="1"/>
  <c r="J100" i="1" s="1"/>
  <c r="K100" i="1" s="1"/>
  <c r="L100" i="1"/>
  <c r="M100" i="1"/>
  <c r="I101" i="1"/>
  <c r="J101" i="1"/>
  <c r="K101" i="1"/>
  <c r="L101" i="1"/>
  <c r="M101" i="1"/>
  <c r="N101" i="1"/>
  <c r="O101" i="1"/>
  <c r="Q101" i="1"/>
  <c r="I102" i="1"/>
  <c r="J102" i="1"/>
  <c r="L102" i="1" s="1"/>
  <c r="I103" i="1"/>
  <c r="J103" i="1" s="1"/>
  <c r="K103" i="1" s="1"/>
  <c r="L103" i="1"/>
  <c r="M103" i="1"/>
  <c r="I104" i="1"/>
  <c r="J104" i="1"/>
  <c r="L104" i="1" s="1"/>
  <c r="K104" i="1"/>
  <c r="M104" i="1"/>
  <c r="N104" i="1"/>
  <c r="O104" i="1"/>
  <c r="P104" i="1"/>
  <c r="Q104" i="1"/>
  <c r="I105" i="1"/>
  <c r="J105" i="1" s="1"/>
  <c r="I106" i="1"/>
  <c r="J106" i="1" s="1"/>
  <c r="M106" i="1"/>
  <c r="I107" i="1"/>
  <c r="J107" i="1"/>
  <c r="M107" i="1" s="1"/>
  <c r="I108" i="1"/>
  <c r="J108" i="1" s="1"/>
  <c r="K108" i="1"/>
  <c r="L108" i="1"/>
  <c r="M108" i="1"/>
  <c r="I109" i="1"/>
  <c r="J109" i="1" s="1"/>
  <c r="K109" i="1"/>
  <c r="L109" i="1"/>
  <c r="M109" i="1"/>
  <c r="N109" i="1"/>
  <c r="O109" i="1"/>
  <c r="P109" i="1"/>
  <c r="Q109" i="1"/>
  <c r="I110" i="1"/>
  <c r="J110" i="1" s="1"/>
  <c r="L110" i="1"/>
  <c r="I111" i="1"/>
  <c r="J111" i="1"/>
  <c r="M111" i="1"/>
  <c r="I112" i="1"/>
  <c r="J112" i="1"/>
  <c r="M112" i="1" s="1"/>
  <c r="L112" i="1"/>
  <c r="I113" i="1"/>
  <c r="J113" i="1"/>
  <c r="I114" i="1"/>
  <c r="J114" i="1"/>
  <c r="L114" i="1" s="1"/>
  <c r="I115" i="1"/>
  <c r="J115" i="1"/>
  <c r="I116" i="1"/>
  <c r="J116" i="1" s="1"/>
  <c r="L116" i="1" s="1"/>
  <c r="K116" i="1"/>
  <c r="M116" i="1"/>
  <c r="I117" i="1"/>
  <c r="J117" i="1" s="1"/>
  <c r="I118" i="1"/>
  <c r="J118" i="1" s="1"/>
  <c r="I119" i="1"/>
  <c r="J119" i="1"/>
  <c r="K119" i="1"/>
  <c r="L119" i="1"/>
  <c r="M119" i="1"/>
  <c r="I120" i="1"/>
  <c r="J120" i="1"/>
  <c r="I121" i="1"/>
  <c r="J121" i="1"/>
  <c r="L121" i="1"/>
  <c r="I122" i="1"/>
  <c r="J122" i="1" s="1"/>
  <c r="M122" i="1"/>
  <c r="I123" i="1"/>
  <c r="J123" i="1"/>
  <c r="I124" i="1"/>
  <c r="J124" i="1"/>
  <c r="K124" i="1"/>
  <c r="L124" i="1"/>
  <c r="M124" i="1"/>
  <c r="I125" i="1"/>
  <c r="J125" i="1"/>
  <c r="I126" i="1"/>
  <c r="J126" i="1"/>
  <c r="L126" i="1"/>
  <c r="I127" i="1"/>
  <c r="J127" i="1"/>
  <c r="K127" i="1"/>
  <c r="L127" i="1"/>
  <c r="M127" i="1"/>
  <c r="N127" i="1"/>
  <c r="I128" i="1"/>
  <c r="J128" i="1"/>
  <c r="I129" i="1"/>
  <c r="J129" i="1" s="1"/>
  <c r="L129" i="1"/>
  <c r="I130" i="1"/>
  <c r="J130" i="1"/>
  <c r="K130" i="1" s="1"/>
  <c r="L130" i="1"/>
  <c r="M130" i="1"/>
  <c r="I131" i="1"/>
  <c r="J131" i="1"/>
  <c r="L131" i="1"/>
  <c r="I132" i="1"/>
  <c r="J132" i="1"/>
  <c r="K132" i="1"/>
  <c r="I133" i="1"/>
  <c r="J133" i="1"/>
  <c r="I134" i="1"/>
  <c r="J134" i="1"/>
  <c r="L134" i="1"/>
  <c r="I135" i="1"/>
  <c r="J135" i="1"/>
  <c r="I136" i="1"/>
  <c r="J136" i="1"/>
  <c r="K136" i="1"/>
  <c r="I137" i="1"/>
  <c r="J137" i="1"/>
  <c r="L137" i="1" s="1"/>
  <c r="I138" i="1"/>
  <c r="J138" i="1" s="1"/>
  <c r="I139" i="1"/>
  <c r="J139" i="1"/>
  <c r="K139" i="1" s="1"/>
  <c r="L139" i="1"/>
  <c r="M139" i="1"/>
  <c r="N139" i="1"/>
  <c r="O139" i="1"/>
  <c r="I140" i="1"/>
  <c r="J140" i="1" s="1"/>
  <c r="I141" i="1"/>
  <c r="J141" i="1" s="1"/>
  <c r="K141" i="1"/>
  <c r="L141" i="1"/>
  <c r="M141" i="1"/>
  <c r="N141" i="1"/>
  <c r="O141" i="1"/>
  <c r="P141" i="1"/>
  <c r="Q141" i="1"/>
  <c r="R141" i="1"/>
  <c r="I142" i="1"/>
  <c r="J142" i="1"/>
  <c r="I143" i="1"/>
  <c r="J143" i="1"/>
  <c r="K143" i="1"/>
  <c r="L143" i="1"/>
  <c r="M143" i="1"/>
  <c r="I144" i="1"/>
  <c r="J144" i="1"/>
  <c r="M144" i="1" s="1"/>
  <c r="K144" i="1"/>
  <c r="L144" i="1"/>
  <c r="I145" i="1"/>
  <c r="J145" i="1"/>
  <c r="L145" i="1"/>
  <c r="I146" i="1"/>
  <c r="J146" i="1"/>
  <c r="L146" i="1"/>
  <c r="I147" i="1"/>
  <c r="J147" i="1"/>
  <c r="K147" i="1" s="1"/>
  <c r="L147" i="1"/>
  <c r="M147" i="1"/>
  <c r="I148" i="1"/>
  <c r="J148" i="1"/>
  <c r="K148" i="1"/>
  <c r="I149" i="1"/>
  <c r="J149" i="1"/>
  <c r="K149" i="1"/>
  <c r="I150" i="1"/>
  <c r="J150" i="1"/>
  <c r="I151" i="1"/>
  <c r="J151" i="1"/>
  <c r="K151" i="1" s="1"/>
  <c r="L151" i="1"/>
  <c r="M151" i="1"/>
  <c r="I152" i="1"/>
  <c r="J152" i="1"/>
  <c r="I153" i="1"/>
  <c r="J153" i="1"/>
  <c r="L153" i="1"/>
  <c r="I154" i="1"/>
  <c r="J154" i="1" s="1"/>
  <c r="M154" i="1"/>
  <c r="I155" i="1"/>
  <c r="J155" i="1"/>
  <c r="K155" i="1" s="1"/>
  <c r="L155" i="1"/>
  <c r="I156" i="1"/>
  <c r="J156" i="1"/>
  <c r="K156" i="1"/>
  <c r="L156" i="1"/>
  <c r="M156" i="1"/>
  <c r="N156" i="1"/>
  <c r="P156" i="1"/>
  <c r="I157" i="1"/>
  <c r="J157" i="1"/>
  <c r="L157" i="1" s="1"/>
  <c r="M157" i="1"/>
  <c r="I158" i="1"/>
  <c r="J158" i="1"/>
  <c r="L158" i="1"/>
  <c r="I159" i="1"/>
  <c r="J159" i="1"/>
  <c r="K159" i="1"/>
  <c r="L159" i="1"/>
  <c r="M159" i="1"/>
  <c r="N159" i="1"/>
  <c r="I160" i="1"/>
  <c r="J160" i="1"/>
  <c r="M160" i="1" s="1"/>
  <c r="K160" i="1"/>
  <c r="I161" i="1"/>
  <c r="J161" i="1"/>
  <c r="M161" i="1" s="1"/>
  <c r="K161" i="1"/>
  <c r="L161" i="1"/>
  <c r="I162" i="1"/>
  <c r="J162" i="1"/>
  <c r="K162" i="1" s="1"/>
  <c r="L162" i="1"/>
  <c r="M162" i="1"/>
  <c r="N162" i="1"/>
  <c r="P162" i="1"/>
  <c r="I163" i="1"/>
  <c r="J163" i="1"/>
  <c r="L163" i="1"/>
  <c r="I164" i="1"/>
  <c r="J164" i="1"/>
  <c r="K164" i="1"/>
  <c r="L164" i="1"/>
  <c r="M164" i="1"/>
  <c r="N164" i="1"/>
  <c r="P164" i="1"/>
  <c r="I165" i="1"/>
  <c r="J165" i="1"/>
  <c r="I166" i="1"/>
  <c r="J166" i="1"/>
  <c r="L166" i="1"/>
  <c r="I167" i="1"/>
  <c r="J167" i="1"/>
  <c r="I168" i="1"/>
  <c r="J168" i="1"/>
  <c r="M168" i="1"/>
  <c r="I169" i="1"/>
  <c r="J169" i="1"/>
  <c r="L169" i="1" s="1"/>
  <c r="I170" i="1"/>
  <c r="J170" i="1"/>
  <c r="L170" i="1" s="1"/>
  <c r="K170" i="1"/>
  <c r="M170" i="1"/>
  <c r="N170" i="1"/>
  <c r="O170" i="1" s="1"/>
  <c r="R170" i="1" s="1"/>
  <c r="P170" i="1"/>
  <c r="Q170" i="1"/>
  <c r="I171" i="1"/>
  <c r="J171" i="1"/>
  <c r="K171" i="1" s="1"/>
  <c r="L171" i="1"/>
  <c r="M171" i="1"/>
  <c r="N171" i="1"/>
  <c r="O171" i="1" s="1"/>
  <c r="I172" i="1"/>
  <c r="J172" i="1" s="1"/>
  <c r="K172" i="1"/>
  <c r="I173" i="1"/>
  <c r="J173" i="1" s="1"/>
  <c r="K173" i="1"/>
  <c r="L173" i="1"/>
  <c r="M173" i="1"/>
  <c r="I174" i="1"/>
  <c r="J174" i="1"/>
  <c r="L174" i="1"/>
  <c r="I175" i="1"/>
  <c r="J175" i="1"/>
  <c r="K175" i="1"/>
  <c r="L175" i="1"/>
  <c r="M175" i="1"/>
  <c r="N175" i="1"/>
  <c r="O175" i="1"/>
  <c r="P175" i="1"/>
  <c r="I176" i="1"/>
  <c r="J176" i="1"/>
  <c r="M176" i="1" s="1"/>
  <c r="K176" i="1"/>
  <c r="L176" i="1"/>
  <c r="N176" i="1"/>
  <c r="I177" i="1"/>
  <c r="J177" i="1"/>
  <c r="I178" i="1"/>
  <c r="J178" i="1"/>
  <c r="I179" i="1"/>
  <c r="J179" i="1"/>
  <c r="L179" i="1"/>
  <c r="I180" i="1"/>
  <c r="J180" i="1" s="1"/>
  <c r="I181" i="1"/>
  <c r="J181" i="1"/>
  <c r="K181" i="1"/>
  <c r="L181" i="1"/>
  <c r="M181" i="1"/>
  <c r="N181" i="1"/>
  <c r="O181" i="1"/>
  <c r="P181" i="1"/>
  <c r="I182" i="1"/>
  <c r="J182" i="1"/>
  <c r="K182" i="1" s="1"/>
  <c r="L182" i="1"/>
  <c r="M182" i="1"/>
  <c r="I183" i="1"/>
  <c r="J183" i="1"/>
  <c r="K183" i="1"/>
  <c r="L183" i="1"/>
  <c r="M183" i="1"/>
  <c r="N183" i="1"/>
  <c r="I184" i="1"/>
  <c r="J184" i="1"/>
  <c r="I185" i="1"/>
  <c r="J185" i="1" s="1"/>
  <c r="I186" i="1"/>
  <c r="J186" i="1" s="1"/>
  <c r="I187" i="1"/>
  <c r="J187" i="1"/>
  <c r="K187" i="1"/>
  <c r="L187" i="1"/>
  <c r="M187" i="1"/>
  <c r="N187" i="1"/>
  <c r="I188" i="1"/>
  <c r="J188" i="1"/>
  <c r="M188" i="1" s="1"/>
  <c r="K188" i="1"/>
  <c r="L188" i="1"/>
  <c r="N188" i="1"/>
  <c r="P188" i="1"/>
  <c r="Q188" i="1"/>
  <c r="I189" i="1"/>
  <c r="J189" i="1" s="1"/>
  <c r="I190" i="1"/>
  <c r="J190" i="1"/>
  <c r="I191" i="1"/>
  <c r="J191" i="1"/>
  <c r="M191" i="1" s="1"/>
  <c r="L191" i="1"/>
  <c r="I192" i="1"/>
  <c r="J192" i="1" s="1"/>
  <c r="K192" i="1"/>
  <c r="I193" i="1"/>
  <c r="J193" i="1"/>
  <c r="L193" i="1"/>
  <c r="I194" i="1"/>
  <c r="J194" i="1" s="1"/>
  <c r="K194" i="1"/>
  <c r="I195" i="1"/>
  <c r="J195" i="1"/>
  <c r="M195" i="1"/>
  <c r="I196" i="1"/>
  <c r="J196" i="1"/>
  <c r="I197" i="1"/>
  <c r="J197" i="1"/>
  <c r="K197" i="1"/>
  <c r="L197" i="1"/>
  <c r="M197" i="1"/>
  <c r="N197" i="1"/>
  <c r="P197" i="1" s="1"/>
  <c r="O197" i="1"/>
  <c r="I198" i="1"/>
  <c r="J198" i="1"/>
  <c r="K198" i="1" s="1"/>
  <c r="L198" i="1"/>
  <c r="M198" i="1"/>
  <c r="N198" i="1"/>
  <c r="O198" i="1" s="1"/>
  <c r="I199" i="1"/>
  <c r="J199" i="1"/>
  <c r="K199" i="1"/>
  <c r="L199" i="1"/>
  <c r="M199" i="1"/>
  <c r="N199" i="1"/>
  <c r="P199" i="1"/>
  <c r="I200" i="1"/>
  <c r="J200" i="1" s="1"/>
  <c r="L200" i="1"/>
  <c r="I201" i="1"/>
  <c r="J201" i="1" s="1"/>
  <c r="I202" i="1"/>
  <c r="J202" i="1" s="1"/>
  <c r="I203" i="1"/>
  <c r="J203" i="1"/>
  <c r="K203" i="1"/>
  <c r="L203" i="1"/>
  <c r="M203" i="1"/>
  <c r="I204" i="1"/>
  <c r="J204" i="1"/>
  <c r="M204" i="1" s="1"/>
  <c r="K204" i="1"/>
  <c r="L204" i="1"/>
  <c r="N204" i="1"/>
  <c r="P204" i="1"/>
  <c r="Q204" i="1"/>
  <c r="I205" i="1"/>
  <c r="J205" i="1"/>
  <c r="M205" i="1" s="1"/>
  <c r="K205" i="1"/>
  <c r="L205" i="1"/>
  <c r="I206" i="1"/>
  <c r="J206" i="1"/>
  <c r="K206" i="1" s="1"/>
  <c r="L206" i="1"/>
  <c r="M206" i="1"/>
  <c r="N206" i="1"/>
  <c r="I207" i="1"/>
  <c r="J207" i="1"/>
  <c r="M207" i="1" s="1"/>
  <c r="K207" i="1"/>
  <c r="L207" i="1"/>
  <c r="I208" i="1"/>
  <c r="J208" i="1" s="1"/>
  <c r="K208" i="1" s="1"/>
  <c r="L208" i="1"/>
  <c r="M208" i="1"/>
  <c r="N208" i="1"/>
  <c r="O208" i="1"/>
  <c r="P208" i="1"/>
  <c r="Q208" i="1"/>
  <c r="R208" i="1"/>
  <c r="I209" i="1"/>
  <c r="J209" i="1"/>
  <c r="L209" i="1" s="1"/>
  <c r="I210" i="1"/>
  <c r="J210" i="1" s="1"/>
  <c r="L210" i="1"/>
  <c r="I211" i="1"/>
  <c r="J211" i="1"/>
  <c r="M211" i="1"/>
  <c r="I212" i="1"/>
  <c r="J212" i="1"/>
  <c r="M212" i="1" s="1"/>
  <c r="K212" i="1"/>
  <c r="L212" i="1"/>
  <c r="I213" i="1"/>
  <c r="J213" i="1"/>
  <c r="K213" i="1"/>
  <c r="L213" i="1"/>
  <c r="M213" i="1"/>
  <c r="N213" i="1"/>
  <c r="P213" i="1"/>
  <c r="I214" i="1"/>
  <c r="J214" i="1"/>
  <c r="K214" i="1" s="1"/>
  <c r="L214" i="1"/>
  <c r="M214" i="1"/>
  <c r="N214" i="1"/>
  <c r="I215" i="1"/>
  <c r="J215" i="1"/>
  <c r="K215" i="1"/>
  <c r="L215" i="1"/>
  <c r="M215" i="1"/>
  <c r="I216" i="1"/>
  <c r="J216" i="1"/>
  <c r="K216" i="1"/>
  <c r="L216" i="1"/>
  <c r="M216" i="1"/>
  <c r="I217" i="1"/>
  <c r="J217" i="1"/>
  <c r="L217" i="1"/>
  <c r="I218" i="1"/>
  <c r="J218" i="1"/>
  <c r="K218" i="1"/>
  <c r="I219" i="1"/>
  <c r="J219" i="1"/>
  <c r="K219" i="1"/>
  <c r="I220" i="1"/>
  <c r="J220" i="1"/>
  <c r="M220" i="1" s="1"/>
  <c r="K220" i="1"/>
  <c r="L220" i="1"/>
  <c r="I221" i="1"/>
  <c r="J221" i="1" s="1"/>
  <c r="I222" i="1"/>
  <c r="J222" i="1"/>
  <c r="K222" i="1" s="1"/>
  <c r="L222" i="1"/>
  <c r="M222" i="1"/>
  <c r="N222" i="1"/>
  <c r="O222" i="1"/>
  <c r="P222" i="1"/>
  <c r="R222" i="1" s="1"/>
  <c r="Q222" i="1"/>
  <c r="I223" i="1"/>
  <c r="J223" i="1"/>
  <c r="I224" i="1"/>
  <c r="J224" i="1"/>
  <c r="I225" i="1"/>
  <c r="J225" i="1"/>
  <c r="L225" i="1"/>
  <c r="I226" i="1"/>
  <c r="J226" i="1"/>
  <c r="M226" i="1" s="1"/>
  <c r="K226" i="1"/>
  <c r="L226" i="1"/>
  <c r="I227" i="1"/>
  <c r="J227" i="1"/>
  <c r="I228" i="1"/>
  <c r="J228" i="1"/>
  <c r="M228" i="1" s="1"/>
  <c r="K228" i="1"/>
  <c r="L228" i="1"/>
  <c r="N228" i="1"/>
  <c r="P228" i="1"/>
  <c r="I229" i="1"/>
  <c r="J229" i="1"/>
  <c r="K229" i="1"/>
  <c r="L229" i="1"/>
  <c r="M229" i="1"/>
  <c r="N229" i="1"/>
  <c r="Q229" i="1"/>
  <c r="I230" i="1"/>
  <c r="J230" i="1"/>
  <c r="K230" i="1" s="1"/>
  <c r="L230" i="1"/>
  <c r="M230" i="1"/>
  <c r="N230" i="1"/>
  <c r="O230" i="1"/>
  <c r="I231" i="1"/>
  <c r="J231" i="1"/>
  <c r="L231" i="1" s="1"/>
  <c r="K231" i="1"/>
  <c r="M231" i="1"/>
  <c r="I232" i="1"/>
  <c r="J232" i="1"/>
  <c r="K232" i="1"/>
  <c r="L232" i="1"/>
  <c r="M232" i="1"/>
  <c r="I233" i="1"/>
  <c r="J233" i="1"/>
  <c r="I234" i="1"/>
  <c r="J234" i="1"/>
  <c r="K234" i="1"/>
  <c r="I235" i="1"/>
  <c r="J235" i="1"/>
  <c r="M235" i="1" s="1"/>
  <c r="K235" i="1"/>
  <c r="L235" i="1"/>
  <c r="I236" i="1"/>
  <c r="J236" i="1"/>
  <c r="M236" i="1" s="1"/>
  <c r="K236" i="1"/>
  <c r="L236" i="1"/>
  <c r="N236" i="1"/>
  <c r="P236" i="1"/>
  <c r="Q236" i="1"/>
  <c r="I237" i="1"/>
  <c r="J237" i="1"/>
  <c r="I238" i="1"/>
  <c r="J238" i="1"/>
  <c r="I239" i="1"/>
  <c r="J239" i="1" s="1"/>
  <c r="K239" i="1"/>
  <c r="I240" i="1"/>
  <c r="J240" i="1"/>
  <c r="K240" i="1"/>
  <c r="L240" i="1"/>
  <c r="M240" i="1"/>
  <c r="N240" i="1"/>
  <c r="I241" i="1"/>
  <c r="J241" i="1" s="1"/>
  <c r="L241" i="1"/>
  <c r="I242" i="1"/>
  <c r="J242" i="1" s="1"/>
  <c r="I243" i="1"/>
  <c r="J243" i="1"/>
  <c r="I244" i="1"/>
  <c r="J244" i="1"/>
  <c r="M244" i="1" s="1"/>
  <c r="L244" i="1"/>
  <c r="I245" i="1"/>
  <c r="J245" i="1"/>
  <c r="K245" i="1"/>
  <c r="L245" i="1"/>
  <c r="N245" i="1" s="1"/>
  <c r="M245" i="1"/>
  <c r="O245" i="1"/>
  <c r="P245" i="1"/>
  <c r="Q245" i="1"/>
  <c r="R245" i="1"/>
  <c r="I246" i="1"/>
  <c r="J246" i="1"/>
  <c r="K246" i="1" s="1"/>
  <c r="L246" i="1"/>
  <c r="M246" i="1"/>
  <c r="N246" i="1"/>
  <c r="I247" i="1"/>
  <c r="J247" i="1" s="1"/>
  <c r="K247" i="1"/>
  <c r="I248" i="1"/>
  <c r="J248" i="1"/>
  <c r="K248" i="1"/>
  <c r="L248" i="1"/>
  <c r="M248" i="1"/>
  <c r="I249" i="1"/>
  <c r="J249" i="1" s="1"/>
  <c r="L249" i="1"/>
  <c r="I250" i="1"/>
  <c r="J250" i="1" s="1"/>
  <c r="I251" i="1"/>
  <c r="J251" i="1"/>
  <c r="L251" i="1"/>
  <c r="I252" i="1"/>
  <c r="J252" i="1"/>
  <c r="M252" i="1" s="1"/>
  <c r="K252" i="1"/>
  <c r="L252" i="1"/>
  <c r="I253" i="1"/>
  <c r="J253" i="1"/>
  <c r="I254" i="1"/>
  <c r="J254" i="1"/>
  <c r="K254" i="1" s="1"/>
  <c r="L254" i="1"/>
  <c r="M254" i="1"/>
  <c r="N254" i="1"/>
  <c r="I255" i="1"/>
  <c r="J255" i="1" s="1"/>
  <c r="K255" i="1" s="1"/>
  <c r="L255" i="1"/>
  <c r="M255" i="1"/>
  <c r="I256" i="1"/>
  <c r="J256" i="1"/>
  <c r="K256" i="1"/>
  <c r="I257" i="1"/>
  <c r="J257" i="1" s="1"/>
  <c r="I258" i="1"/>
  <c r="J258" i="1"/>
  <c r="K258" i="1"/>
  <c r="L258" i="1"/>
  <c r="M258" i="1"/>
  <c r="N258" i="1"/>
  <c r="O258" i="1"/>
  <c r="I259" i="1"/>
  <c r="J259" i="1"/>
  <c r="I260" i="1"/>
  <c r="J260" i="1"/>
  <c r="M260" i="1" s="1"/>
  <c r="K260" i="1"/>
  <c r="L260" i="1"/>
  <c r="N260" i="1"/>
  <c r="P260" i="1"/>
  <c r="Q260" i="1"/>
  <c r="I261" i="1"/>
  <c r="J261" i="1"/>
  <c r="K261" i="1"/>
  <c r="L261" i="1"/>
  <c r="M261" i="1"/>
  <c r="I262" i="1"/>
  <c r="J262" i="1"/>
  <c r="K262" i="1" s="1"/>
  <c r="L262" i="1"/>
  <c r="M262" i="1"/>
  <c r="N262" i="1"/>
  <c r="Q262" i="1"/>
  <c r="I263" i="1"/>
  <c r="J263" i="1"/>
  <c r="K263" i="1"/>
  <c r="L263" i="1"/>
  <c r="M263" i="1"/>
  <c r="I264" i="1"/>
  <c r="J264" i="1"/>
  <c r="K264" i="1"/>
  <c r="L264" i="1"/>
  <c r="M264" i="1"/>
  <c r="I265" i="1"/>
  <c r="J265" i="1"/>
  <c r="L265" i="1" s="1"/>
  <c r="I266" i="1"/>
  <c r="J266" i="1"/>
  <c r="L266" i="1" s="1"/>
  <c r="K266" i="1"/>
  <c r="M266" i="1"/>
  <c r="I267" i="1"/>
  <c r="J267" i="1"/>
  <c r="K267" i="1"/>
  <c r="L267" i="1"/>
  <c r="M267" i="1"/>
  <c r="I268" i="1"/>
  <c r="J268" i="1"/>
  <c r="L268" i="1"/>
  <c r="I269" i="1"/>
  <c r="J269" i="1"/>
  <c r="K269" i="1"/>
  <c r="L269" i="1"/>
  <c r="M269" i="1"/>
  <c r="N269" i="1"/>
  <c r="O269" i="1"/>
  <c r="P269" i="1"/>
  <c r="I270" i="1"/>
  <c r="J270" i="1"/>
  <c r="K270" i="1" s="1"/>
  <c r="L270" i="1"/>
  <c r="I271" i="1"/>
  <c r="J271" i="1"/>
  <c r="K271" i="1"/>
  <c r="L271" i="1"/>
  <c r="M271" i="1"/>
  <c r="I272" i="1"/>
  <c r="J272" i="1" s="1"/>
  <c r="K272" i="1" s="1"/>
  <c r="I273" i="1"/>
  <c r="J273" i="1"/>
  <c r="L273" i="1"/>
  <c r="I274" i="1"/>
  <c r="J274" i="1"/>
  <c r="M274" i="1"/>
  <c r="I275" i="1"/>
  <c r="J275" i="1"/>
  <c r="K275" i="1" s="1"/>
  <c r="L275" i="1"/>
  <c r="M275" i="1"/>
  <c r="N275" i="1"/>
  <c r="O275" i="1"/>
  <c r="P275" i="1"/>
  <c r="I276" i="1"/>
  <c r="J276" i="1"/>
  <c r="M276" i="1" s="1"/>
  <c r="K276" i="1"/>
  <c r="L276" i="1"/>
  <c r="N276" i="1"/>
  <c r="P276" i="1"/>
  <c r="Q276" i="1"/>
  <c r="I277" i="1"/>
  <c r="J277" i="1"/>
  <c r="K277" i="1"/>
  <c r="L277" i="1"/>
  <c r="M277" i="1"/>
  <c r="N277" i="1"/>
  <c r="P277" i="1"/>
  <c r="I278" i="1"/>
  <c r="J278" i="1"/>
  <c r="K278" i="1" s="1"/>
  <c r="L278" i="1"/>
  <c r="M278" i="1"/>
  <c r="N278" i="1"/>
  <c r="O278" i="1"/>
  <c r="Q278" i="1"/>
  <c r="I279" i="1"/>
  <c r="J279" i="1"/>
  <c r="M279" i="1" s="1"/>
  <c r="K279" i="1"/>
  <c r="L279" i="1"/>
  <c r="N279" i="1"/>
  <c r="I280" i="1"/>
  <c r="J280" i="1"/>
  <c r="K280" i="1"/>
  <c r="L280" i="1"/>
  <c r="M280" i="1"/>
  <c r="I281" i="1"/>
  <c r="J281" i="1"/>
  <c r="I282" i="1"/>
  <c r="J282" i="1"/>
  <c r="L282" i="1" s="1"/>
  <c r="K282" i="1"/>
  <c r="M282" i="1"/>
  <c r="N282" i="1"/>
  <c r="P282" i="1" s="1"/>
  <c r="O282" i="1"/>
  <c r="I283" i="1"/>
  <c r="J283" i="1"/>
  <c r="L283" i="1" s="1"/>
  <c r="K283" i="1"/>
  <c r="M283" i="1"/>
  <c r="I284" i="1"/>
  <c r="J284" i="1"/>
  <c r="M284" i="1" s="1"/>
  <c r="K284" i="1"/>
  <c r="L284" i="1"/>
  <c r="N284" i="1"/>
  <c r="P284" i="1"/>
  <c r="Q284" i="1"/>
  <c r="I285" i="1"/>
  <c r="J285" i="1" s="1"/>
  <c r="I286" i="1"/>
  <c r="J286" i="1"/>
  <c r="K286" i="1" s="1"/>
  <c r="L286" i="1"/>
  <c r="M286" i="1"/>
  <c r="N286" i="1"/>
  <c r="O286" i="1"/>
  <c r="P286" i="1"/>
  <c r="Q286" i="1"/>
  <c r="I287" i="1"/>
  <c r="J287" i="1" s="1"/>
  <c r="K287" i="1" s="1"/>
  <c r="L287" i="1"/>
  <c r="M287" i="1"/>
  <c r="I288" i="1"/>
  <c r="J288" i="1"/>
  <c r="K288" i="1"/>
  <c r="I289" i="1"/>
  <c r="J289" i="1"/>
  <c r="L289" i="1"/>
  <c r="I290" i="1"/>
  <c r="J290" i="1" s="1"/>
  <c r="I291" i="1"/>
  <c r="J291" i="1"/>
  <c r="K291" i="1" s="1"/>
  <c r="L291" i="1"/>
  <c r="M291" i="1"/>
  <c r="N291" i="1"/>
  <c r="O291" i="1"/>
  <c r="P291" i="1"/>
  <c r="Q291" i="1"/>
  <c r="R291" i="1"/>
  <c r="I292" i="1"/>
  <c r="J292" i="1"/>
  <c r="I293" i="1"/>
  <c r="J293" i="1"/>
  <c r="K293" i="1"/>
  <c r="I294" i="1"/>
  <c r="J294" i="1"/>
  <c r="I295" i="1"/>
  <c r="J295" i="1"/>
  <c r="K295" i="1"/>
  <c r="L295" i="1"/>
  <c r="M295" i="1"/>
  <c r="N295" i="1"/>
  <c r="P295" i="1"/>
  <c r="I296" i="1"/>
  <c r="J296" i="1" s="1"/>
  <c r="I297" i="1"/>
  <c r="J297" i="1"/>
  <c r="L297" i="1"/>
  <c r="I298" i="1"/>
  <c r="J298" i="1"/>
  <c r="M298" i="1"/>
  <c r="I299" i="1"/>
  <c r="J299" i="1"/>
  <c r="I300" i="1"/>
  <c r="J300" i="1"/>
  <c r="M300" i="1"/>
  <c r="I301" i="1"/>
  <c r="J301" i="1" s="1"/>
  <c r="I302" i="1"/>
  <c r="J302" i="1"/>
  <c r="K302" i="1" s="1"/>
  <c r="L302" i="1"/>
  <c r="M302" i="1"/>
  <c r="N302" i="1"/>
  <c r="O302" i="1"/>
  <c r="P302" i="1"/>
  <c r="Q302" i="1"/>
  <c r="R302" i="1"/>
  <c r="I303" i="1"/>
  <c r="J303" i="1"/>
  <c r="M303" i="1" s="1"/>
  <c r="K303" i="1"/>
  <c r="L303" i="1"/>
  <c r="N303" i="1"/>
  <c r="I304" i="1"/>
  <c r="J304" i="1" s="1"/>
  <c r="I305" i="1"/>
  <c r="J305" i="1" s="1"/>
  <c r="K305" i="1"/>
  <c r="I306" i="1"/>
  <c r="J306" i="1"/>
  <c r="K306" i="1"/>
  <c r="L306" i="1"/>
  <c r="M306" i="1"/>
  <c r="I307" i="1"/>
  <c r="J307" i="1"/>
  <c r="K307" i="1"/>
  <c r="L307" i="1"/>
  <c r="M307" i="1"/>
  <c r="N307" i="1"/>
  <c r="O307" i="1"/>
  <c r="P307" i="1"/>
  <c r="Q307" i="1"/>
  <c r="R307" i="1"/>
  <c r="I308" i="1"/>
  <c r="J308" i="1"/>
  <c r="I309" i="1"/>
  <c r="J309" i="1" s="1"/>
  <c r="I310" i="1"/>
  <c r="J310" i="1" s="1"/>
  <c r="L310" i="1"/>
  <c r="I311" i="1"/>
  <c r="J311" i="1" s="1"/>
  <c r="I312" i="1"/>
  <c r="J312" i="1" s="1"/>
  <c r="K312" i="1" s="1"/>
  <c r="L312" i="1"/>
  <c r="M312" i="1"/>
  <c r="N312" i="1"/>
  <c r="O312" i="1"/>
  <c r="P312" i="1"/>
  <c r="Q312" i="1"/>
  <c r="R312" i="1"/>
  <c r="I313" i="1"/>
  <c r="J313" i="1" s="1"/>
  <c r="I314" i="1"/>
  <c r="J314" i="1"/>
  <c r="K314" i="1"/>
  <c r="L314" i="1"/>
  <c r="M314" i="1"/>
  <c r="I315" i="1"/>
  <c r="J315" i="1"/>
  <c r="L315" i="1"/>
  <c r="I316" i="1"/>
  <c r="J316" i="1"/>
  <c r="K316" i="1" s="1"/>
  <c r="L316" i="1"/>
  <c r="M316" i="1"/>
  <c r="I317" i="1"/>
  <c r="J317" i="1" s="1"/>
  <c r="L317" i="1" s="1"/>
  <c r="I318" i="1"/>
  <c r="J318" i="1"/>
  <c r="K318" i="1" s="1"/>
  <c r="L318" i="1"/>
  <c r="M318" i="1"/>
  <c r="N318" i="1"/>
  <c r="P318" i="1"/>
  <c r="I319" i="1"/>
  <c r="J319" i="1"/>
  <c r="I320" i="1"/>
  <c r="J320" i="1"/>
  <c r="I321" i="1"/>
  <c r="J321" i="1"/>
  <c r="M321" i="1" s="1"/>
  <c r="K321" i="1"/>
  <c r="L321" i="1"/>
  <c r="I322" i="1"/>
  <c r="J322" i="1"/>
  <c r="M322" i="1"/>
  <c r="I323" i="1"/>
  <c r="J323" i="1"/>
  <c r="K323" i="1"/>
  <c r="I324" i="1"/>
  <c r="J324" i="1"/>
  <c r="K324" i="1"/>
  <c r="L324" i="1"/>
  <c r="M324" i="1"/>
  <c r="N324" i="1"/>
  <c r="P324" i="1"/>
  <c r="Q324" i="1"/>
  <c r="I325" i="1"/>
  <c r="J325" i="1"/>
  <c r="I326" i="1"/>
  <c r="J326" i="1"/>
  <c r="K326" i="1" s="1"/>
  <c r="M326" i="1"/>
  <c r="I327" i="1"/>
  <c r="J327" i="1"/>
  <c r="M327" i="1"/>
  <c r="I328" i="1"/>
  <c r="J328" i="1"/>
  <c r="M328" i="1" s="1"/>
  <c r="K328" i="1"/>
  <c r="L328" i="1"/>
  <c r="I329" i="1"/>
  <c r="J329" i="1"/>
  <c r="M329" i="1" s="1"/>
  <c r="K329" i="1"/>
  <c r="L329" i="1"/>
  <c r="I330" i="1"/>
  <c r="J330" i="1"/>
  <c r="M330" i="1" s="1"/>
  <c r="K330" i="1"/>
  <c r="L330" i="1"/>
  <c r="I331" i="1"/>
  <c r="J331" i="1"/>
  <c r="M331" i="1" s="1"/>
  <c r="K331" i="1"/>
  <c r="L331" i="1"/>
  <c r="I332" i="1"/>
  <c r="J332" i="1"/>
  <c r="M332" i="1"/>
  <c r="I333" i="1"/>
  <c r="J333" i="1"/>
  <c r="K333" i="1"/>
  <c r="I334" i="1"/>
  <c r="J334" i="1"/>
  <c r="I335" i="1"/>
  <c r="J335" i="1"/>
  <c r="I336" i="1"/>
  <c r="J336" i="1"/>
  <c r="K336" i="1"/>
  <c r="L336" i="1"/>
  <c r="M336" i="1"/>
  <c r="N336" i="1"/>
  <c r="O336" i="1"/>
  <c r="I337" i="1"/>
  <c r="J337" i="1" s="1"/>
  <c r="K337" i="1"/>
  <c r="I338" i="1"/>
  <c r="J338" i="1"/>
  <c r="K338" i="1"/>
  <c r="L338" i="1"/>
  <c r="M338" i="1"/>
  <c r="N338" i="1"/>
  <c r="O338" i="1" s="1"/>
  <c r="P338" i="1"/>
  <c r="I339" i="1"/>
  <c r="J339" i="1"/>
  <c r="K339" i="1"/>
  <c r="L339" i="1"/>
  <c r="M339" i="1"/>
  <c r="I340" i="1"/>
  <c r="J340" i="1"/>
  <c r="M340" i="1" s="1"/>
  <c r="K340" i="1"/>
  <c r="L340" i="1"/>
  <c r="N340" i="1"/>
  <c r="I341" i="1"/>
  <c r="J341" i="1"/>
  <c r="K341" i="1" s="1"/>
  <c r="I342" i="1"/>
  <c r="J342" i="1" s="1"/>
  <c r="L342" i="1"/>
  <c r="I343" i="1"/>
  <c r="J343" i="1"/>
  <c r="K343" i="1"/>
  <c r="I344" i="1"/>
  <c r="J344" i="1" s="1"/>
  <c r="K344" i="1" s="1"/>
  <c r="L344" i="1"/>
  <c r="M344" i="1"/>
  <c r="N344" i="1"/>
  <c r="O344" i="1"/>
  <c r="P344" i="1"/>
  <c r="I345" i="1"/>
  <c r="J345" i="1" s="1"/>
  <c r="I346" i="1"/>
  <c r="J346" i="1"/>
  <c r="K346" i="1"/>
  <c r="L346" i="1"/>
  <c r="M346" i="1"/>
  <c r="N346" i="1"/>
  <c r="O346" i="1"/>
  <c r="P346" i="1"/>
  <c r="Q346" i="1"/>
  <c r="R346" i="1"/>
  <c r="I347" i="1"/>
  <c r="J347" i="1"/>
  <c r="I348" i="1"/>
  <c r="J348" i="1"/>
  <c r="K348" i="1"/>
  <c r="L348" i="1"/>
  <c r="M348" i="1"/>
  <c r="N348" i="1"/>
  <c r="P348" i="1"/>
  <c r="Q348" i="1"/>
  <c r="I349" i="1"/>
  <c r="J349" i="1" s="1"/>
  <c r="K349" i="1" s="1"/>
  <c r="L349" i="1"/>
  <c r="M349" i="1"/>
  <c r="N349" i="1"/>
  <c r="I350" i="1"/>
  <c r="J350" i="1"/>
  <c r="L350" i="1"/>
  <c r="I351" i="1"/>
  <c r="J351" i="1"/>
  <c r="K351" i="1"/>
  <c r="L351" i="1"/>
  <c r="M351" i="1"/>
  <c r="N351" i="1"/>
  <c r="I352" i="1"/>
  <c r="J352" i="1"/>
  <c r="L352" i="1" s="1"/>
  <c r="K352" i="1"/>
  <c r="M352" i="1"/>
  <c r="I353" i="1"/>
  <c r="J353" i="1"/>
  <c r="M353" i="1" s="1"/>
  <c r="L353" i="1"/>
  <c r="I354" i="1"/>
  <c r="J354" i="1"/>
  <c r="M354" i="1"/>
  <c r="I355" i="1"/>
  <c r="J355" i="1"/>
  <c r="I356" i="1"/>
  <c r="J356" i="1"/>
  <c r="K356" i="1"/>
  <c r="L356" i="1"/>
  <c r="M356" i="1"/>
  <c r="N356" i="1"/>
  <c r="P356" i="1"/>
  <c r="Q356" i="1"/>
  <c r="I357" i="1"/>
  <c r="J357" i="1"/>
  <c r="L357" i="1" s="1"/>
  <c r="M357" i="1"/>
  <c r="I358" i="1"/>
  <c r="J358" i="1"/>
  <c r="K358" i="1" s="1"/>
  <c r="L358" i="1"/>
  <c r="M358" i="1"/>
  <c r="N358" i="1"/>
  <c r="O358" i="1"/>
  <c r="P358" i="1"/>
  <c r="Q358" i="1"/>
  <c r="R358" i="1"/>
  <c r="I359" i="1"/>
  <c r="J359" i="1"/>
  <c r="I360" i="1"/>
  <c r="J360" i="1"/>
  <c r="K360" i="1"/>
  <c r="L360" i="1"/>
  <c r="M360" i="1"/>
  <c r="N360" i="1"/>
  <c r="O360" i="1"/>
  <c r="Q360" i="1"/>
  <c r="I361" i="1"/>
  <c r="J361" i="1"/>
  <c r="M361" i="1" s="1"/>
  <c r="K361" i="1"/>
  <c r="L361" i="1"/>
  <c r="N361" i="1"/>
  <c r="O361" i="1"/>
  <c r="I362" i="1"/>
  <c r="J362" i="1"/>
  <c r="M362" i="1" s="1"/>
  <c r="K362" i="1"/>
  <c r="L362" i="1"/>
  <c r="I363" i="1"/>
  <c r="J363" i="1"/>
  <c r="K363" i="1"/>
  <c r="L363" i="1"/>
  <c r="M363" i="1"/>
  <c r="N363" i="1"/>
  <c r="I364" i="1"/>
  <c r="J364" i="1"/>
  <c r="M364" i="1"/>
  <c r="I365" i="1"/>
  <c r="J365" i="1" s="1"/>
  <c r="I366" i="1"/>
  <c r="J366" i="1"/>
  <c r="K366" i="1" s="1"/>
  <c r="L366" i="1"/>
  <c r="M366" i="1"/>
  <c r="N366" i="1"/>
  <c r="O366" i="1"/>
  <c r="P366" i="1"/>
  <c r="Q366" i="1"/>
  <c r="R366" i="1"/>
  <c r="I367" i="1"/>
  <c r="J367" i="1" s="1"/>
  <c r="I368" i="1"/>
  <c r="J368" i="1"/>
  <c r="K368" i="1"/>
  <c r="L368" i="1"/>
  <c r="M368" i="1"/>
  <c r="N368" i="1"/>
  <c r="O368" i="1"/>
  <c r="P368" i="1"/>
  <c r="Q368" i="1"/>
  <c r="R368" i="1"/>
  <c r="I369" i="1"/>
  <c r="J369" i="1" s="1"/>
  <c r="K369" i="1"/>
  <c r="I370" i="1"/>
  <c r="J370" i="1"/>
  <c r="K370" i="1"/>
  <c r="L370" i="1"/>
  <c r="M370" i="1"/>
  <c r="N370" i="1"/>
  <c r="O370" i="1"/>
  <c r="P370" i="1"/>
  <c r="I371" i="1"/>
  <c r="J371" i="1"/>
  <c r="K371" i="1"/>
  <c r="L371" i="1"/>
  <c r="M371" i="1"/>
  <c r="I372" i="1"/>
  <c r="J372" i="1" s="1"/>
  <c r="I373" i="1"/>
  <c r="J373" i="1"/>
  <c r="K373" i="1"/>
  <c r="L373" i="1"/>
  <c r="M373" i="1"/>
  <c r="I374" i="1"/>
  <c r="J374" i="1" s="1"/>
  <c r="L374" i="1"/>
  <c r="I375" i="1"/>
  <c r="J375" i="1"/>
  <c r="K375" i="1" s="1"/>
  <c r="L375" i="1"/>
  <c r="M375" i="1"/>
  <c r="I376" i="1"/>
  <c r="J376" i="1" s="1"/>
  <c r="K376" i="1" s="1"/>
  <c r="L376" i="1"/>
  <c r="M376" i="1"/>
  <c r="N376" i="1"/>
  <c r="O376" i="1"/>
  <c r="P376" i="1"/>
  <c r="Q376" i="1"/>
  <c r="R376" i="1"/>
  <c r="I377" i="1"/>
  <c r="J377" i="1"/>
  <c r="I378" i="1"/>
  <c r="J378" i="1"/>
  <c r="K378" i="1"/>
  <c r="L378" i="1"/>
  <c r="M378" i="1"/>
  <c r="N378" i="1"/>
  <c r="O378" i="1"/>
  <c r="P378" i="1"/>
  <c r="Q378" i="1"/>
  <c r="R378" i="1"/>
  <c r="I379" i="1"/>
  <c r="J379" i="1"/>
  <c r="L379" i="1"/>
  <c r="I380" i="1"/>
  <c r="J380" i="1"/>
  <c r="K380" i="1"/>
  <c r="L380" i="1"/>
  <c r="M380" i="1"/>
  <c r="N380" i="1"/>
  <c r="P380" i="1"/>
  <c r="Q380" i="1"/>
  <c r="I381" i="1"/>
  <c r="J381" i="1" s="1"/>
  <c r="K381" i="1" s="1"/>
  <c r="L381" i="1"/>
  <c r="M381" i="1"/>
  <c r="N381" i="1"/>
  <c r="O381" i="1"/>
  <c r="P381" i="1"/>
  <c r="I382" i="1"/>
  <c r="J382" i="1"/>
  <c r="K382" i="1"/>
  <c r="L382" i="1"/>
  <c r="M382" i="1"/>
  <c r="I383" i="1"/>
  <c r="J383" i="1"/>
  <c r="K383" i="1"/>
  <c r="L383" i="1"/>
  <c r="M383" i="1"/>
  <c r="N383" i="1"/>
  <c r="O383" i="1"/>
  <c r="I384" i="1"/>
  <c r="J384" i="1" s="1"/>
  <c r="K384" i="1"/>
  <c r="I385" i="1"/>
  <c r="J385" i="1"/>
  <c r="K385" i="1"/>
  <c r="L385" i="1"/>
  <c r="M385" i="1"/>
  <c r="N385" i="1"/>
  <c r="I386" i="1"/>
  <c r="J386" i="1"/>
  <c r="K386" i="1"/>
  <c r="L386" i="1"/>
  <c r="M386" i="1"/>
  <c r="N386" i="1"/>
  <c r="O386" i="1" s="1"/>
  <c r="I387" i="1"/>
  <c r="J387" i="1"/>
  <c r="L387" i="1" s="1"/>
  <c r="K387" i="1"/>
  <c r="M387" i="1"/>
  <c r="I388" i="1"/>
  <c r="J388" i="1"/>
  <c r="K388" i="1"/>
  <c r="L388" i="1"/>
  <c r="M388" i="1"/>
  <c r="I389" i="1"/>
  <c r="J389" i="1" s="1"/>
  <c r="K389" i="1" s="1"/>
  <c r="M389" i="1"/>
  <c r="I390" i="1"/>
  <c r="J390" i="1"/>
  <c r="K390" i="1"/>
  <c r="L390" i="1"/>
  <c r="M390" i="1"/>
  <c r="I391" i="1"/>
  <c r="J391" i="1"/>
  <c r="K391" i="1"/>
  <c r="I392" i="1"/>
  <c r="J392" i="1" s="1"/>
  <c r="K392" i="1" s="1"/>
  <c r="I393" i="1"/>
  <c r="J393" i="1"/>
  <c r="M393" i="1" s="1"/>
  <c r="K393" i="1"/>
  <c r="L393" i="1"/>
  <c r="I394" i="1"/>
  <c r="J394" i="1"/>
  <c r="M394" i="1" s="1"/>
  <c r="K394" i="1"/>
  <c r="L394" i="1"/>
  <c r="I395" i="1"/>
  <c r="J395" i="1"/>
  <c r="I396" i="1"/>
  <c r="J396" i="1"/>
  <c r="M396" i="1" s="1"/>
  <c r="K396" i="1"/>
  <c r="L396" i="1"/>
  <c r="I397" i="1"/>
  <c r="J397" i="1" s="1"/>
  <c r="L397" i="1" s="1"/>
  <c r="I398" i="1"/>
  <c r="J398" i="1"/>
  <c r="K398" i="1"/>
  <c r="L398" i="1"/>
  <c r="M398" i="1"/>
  <c r="I399" i="1"/>
  <c r="J399" i="1"/>
  <c r="I400" i="1"/>
  <c r="J400" i="1" s="1"/>
  <c r="K400" i="1"/>
  <c r="I401" i="1"/>
  <c r="J401" i="1"/>
  <c r="I402" i="1"/>
  <c r="J402" i="1"/>
  <c r="K402" i="1"/>
  <c r="L402" i="1"/>
  <c r="M402" i="1"/>
  <c r="N402" i="1"/>
  <c r="I403" i="1"/>
  <c r="J403" i="1"/>
  <c r="L403" i="1" s="1"/>
  <c r="K403" i="1"/>
  <c r="M403" i="1"/>
  <c r="I404" i="1"/>
  <c r="J404" i="1"/>
  <c r="K404" i="1"/>
  <c r="L404" i="1"/>
  <c r="M404" i="1"/>
  <c r="N404" i="1"/>
  <c r="I405" i="1"/>
  <c r="J405" i="1" s="1"/>
  <c r="K405" i="1" s="1"/>
  <c r="L405" i="1"/>
  <c r="M405" i="1"/>
  <c r="N405" i="1"/>
  <c r="O405" i="1"/>
  <c r="P405" i="1"/>
  <c r="Q405" i="1"/>
  <c r="R405" i="1"/>
  <c r="I406" i="1"/>
  <c r="J406" i="1"/>
  <c r="K406" i="1"/>
  <c r="L406" i="1"/>
  <c r="M406" i="1"/>
  <c r="I407" i="1"/>
  <c r="J407" i="1" s="1"/>
  <c r="I408" i="1"/>
  <c r="J408" i="1" s="1"/>
  <c r="K408" i="1"/>
  <c r="I409" i="1"/>
  <c r="J409" i="1"/>
  <c r="K409" i="1"/>
  <c r="L409" i="1"/>
  <c r="M409" i="1"/>
  <c r="N409" i="1"/>
  <c r="O409" i="1"/>
  <c r="Q409" i="1"/>
  <c r="I410" i="1"/>
  <c r="J410" i="1"/>
  <c r="K410" i="1"/>
  <c r="L410" i="1"/>
  <c r="M410" i="1"/>
  <c r="N410" i="1"/>
  <c r="O410" i="1"/>
  <c r="P410" i="1"/>
  <c r="I411" i="1"/>
  <c r="J411" i="1"/>
  <c r="L411" i="1" s="1"/>
  <c r="K411" i="1"/>
  <c r="M411" i="1"/>
  <c r="I412" i="1"/>
  <c r="J412" i="1"/>
  <c r="K412" i="1"/>
  <c r="L412" i="1"/>
  <c r="M412" i="1"/>
  <c r="N412" i="1"/>
  <c r="O412" i="1"/>
  <c r="I413" i="1"/>
  <c r="J413" i="1" s="1"/>
  <c r="K413" i="1" s="1"/>
  <c r="L413" i="1"/>
  <c r="M413" i="1"/>
  <c r="N413" i="1"/>
  <c r="I414" i="1"/>
  <c r="J414" i="1"/>
  <c r="K414" i="1"/>
  <c r="L414" i="1"/>
  <c r="M414" i="1"/>
  <c r="I415" i="1"/>
  <c r="J415" i="1"/>
  <c r="K415" i="1"/>
  <c r="L415" i="1"/>
  <c r="M415" i="1"/>
  <c r="N415" i="1"/>
  <c r="I416" i="1"/>
  <c r="J416" i="1" s="1"/>
  <c r="K416" i="1"/>
  <c r="I417" i="1"/>
  <c r="J417" i="1"/>
  <c r="K417" i="1"/>
  <c r="L417" i="1"/>
  <c r="M417" i="1"/>
  <c r="I418" i="1"/>
  <c r="J418" i="1"/>
  <c r="K418" i="1"/>
  <c r="L418" i="1"/>
  <c r="M418" i="1"/>
  <c r="N418" i="1"/>
  <c r="I419" i="1"/>
  <c r="J419" i="1"/>
  <c r="L419" i="1" s="1"/>
  <c r="K419" i="1"/>
  <c r="M419" i="1"/>
  <c r="I420" i="1"/>
  <c r="J420" i="1" s="1"/>
  <c r="I421" i="1"/>
  <c r="J421" i="1" s="1"/>
  <c r="K421" i="1" s="1"/>
  <c r="L421" i="1"/>
  <c r="M421" i="1"/>
  <c r="N421" i="1"/>
  <c r="O421" i="1"/>
  <c r="P421" i="1"/>
  <c r="Q421" i="1"/>
  <c r="R421" i="1"/>
  <c r="I422" i="1"/>
  <c r="J422" i="1"/>
  <c r="M422" i="1" s="1"/>
  <c r="K422" i="1"/>
  <c r="L422" i="1"/>
  <c r="I423" i="1"/>
  <c r="J423" i="1"/>
  <c r="K423" i="1"/>
  <c r="L423" i="1"/>
  <c r="M423" i="1"/>
  <c r="N423" i="1"/>
  <c r="O423" i="1"/>
  <c r="P423" i="1"/>
  <c r="Q423" i="1"/>
  <c r="R423" i="1"/>
  <c r="I424" i="1"/>
  <c r="J424" i="1" s="1"/>
  <c r="K424" i="1"/>
  <c r="I425" i="1"/>
  <c r="J425" i="1"/>
  <c r="M425" i="1" s="1"/>
  <c r="K425" i="1"/>
  <c r="L425" i="1"/>
  <c r="D5" i="1"/>
  <c r="C5" i="1"/>
  <c r="B5" i="1"/>
  <c r="I10" i="1"/>
  <c r="J10" i="1" s="1"/>
  <c r="L10" i="1" s="1"/>
  <c r="M55" i="1" l="1"/>
  <c r="K55" i="1"/>
  <c r="L55" i="1"/>
  <c r="K379" i="1"/>
  <c r="M379" i="1"/>
  <c r="K350" i="1"/>
  <c r="M350" i="1"/>
  <c r="Q267" i="1"/>
  <c r="Q263" i="1"/>
  <c r="N220" i="1"/>
  <c r="Q220" i="1" s="1"/>
  <c r="R175" i="1"/>
  <c r="P116" i="1"/>
  <c r="N116" i="1"/>
  <c r="L99" i="1"/>
  <c r="L399" i="1"/>
  <c r="M399" i="1"/>
  <c r="K359" i="1"/>
  <c r="L359" i="1"/>
  <c r="N341" i="1"/>
  <c r="O341" i="1"/>
  <c r="L325" i="1"/>
  <c r="M325" i="1"/>
  <c r="M292" i="1"/>
  <c r="K292" i="1"/>
  <c r="L292" i="1"/>
  <c r="K237" i="1"/>
  <c r="M237" i="1"/>
  <c r="K178" i="1"/>
  <c r="L178" i="1"/>
  <c r="M178" i="1"/>
  <c r="L333" i="1"/>
  <c r="M333" i="1"/>
  <c r="L296" i="1"/>
  <c r="K296" i="1"/>
  <c r="M296" i="1"/>
  <c r="K227" i="1"/>
  <c r="L227" i="1"/>
  <c r="M227" i="1"/>
  <c r="Q77" i="1"/>
  <c r="P361" i="1"/>
  <c r="K301" i="1"/>
  <c r="L301" i="1"/>
  <c r="M301" i="1"/>
  <c r="R258" i="1"/>
  <c r="Q203" i="1"/>
  <c r="P124" i="1"/>
  <c r="K62" i="1"/>
  <c r="M62" i="1"/>
  <c r="L62" i="1"/>
  <c r="Q417" i="1"/>
  <c r="K304" i="1"/>
  <c r="L304" i="1"/>
  <c r="M304" i="1"/>
  <c r="M189" i="1"/>
  <c r="K189" i="1"/>
  <c r="L189" i="1"/>
  <c r="P74" i="1"/>
  <c r="N417" i="1"/>
  <c r="O417" i="1" s="1"/>
  <c r="Q402" i="1"/>
  <c r="M377" i="1"/>
  <c r="L377" i="1"/>
  <c r="K377" i="1"/>
  <c r="K364" i="1"/>
  <c r="L364" i="1"/>
  <c r="Q264" i="1"/>
  <c r="Q258" i="1"/>
  <c r="N203" i="1"/>
  <c r="P203" i="1" s="1"/>
  <c r="L194" i="1"/>
  <c r="M194" i="1"/>
  <c r="O74" i="1"/>
  <c r="K13" i="1"/>
  <c r="L13" i="1"/>
  <c r="M13" i="1"/>
  <c r="P402" i="1"/>
  <c r="K374" i="1"/>
  <c r="M374" i="1"/>
  <c r="M367" i="1"/>
  <c r="K367" i="1"/>
  <c r="L367" i="1"/>
  <c r="O316" i="1"/>
  <c r="N316" i="1"/>
  <c r="P316" i="1" s="1"/>
  <c r="N261" i="1"/>
  <c r="O261" i="1" s="1"/>
  <c r="P261" i="1"/>
  <c r="K253" i="1"/>
  <c r="L253" i="1"/>
  <c r="M253" i="1"/>
  <c r="N388" i="1"/>
  <c r="Q388" i="1" s="1"/>
  <c r="O388" i="1"/>
  <c r="Q373" i="1"/>
  <c r="M25" i="1"/>
  <c r="K25" i="1"/>
  <c r="L25" i="1"/>
  <c r="Q344" i="1"/>
  <c r="R344" i="1" s="1"/>
  <c r="K311" i="1"/>
  <c r="L311" i="1"/>
  <c r="M311" i="1"/>
  <c r="P47" i="1"/>
  <c r="N425" i="1"/>
  <c r="P425" i="1" s="1"/>
  <c r="O425" i="1"/>
  <c r="M391" i="1"/>
  <c r="L391" i="1"/>
  <c r="N419" i="1"/>
  <c r="O419" i="1"/>
  <c r="N396" i="1"/>
  <c r="P396" i="1" s="1"/>
  <c r="O396" i="1"/>
  <c r="M319" i="1"/>
  <c r="K319" i="1"/>
  <c r="L319" i="1"/>
  <c r="L290" i="1"/>
  <c r="M290" i="1"/>
  <c r="K290" i="1"/>
  <c r="Q422" i="1"/>
  <c r="Q396" i="1"/>
  <c r="P314" i="1"/>
  <c r="K163" i="1"/>
  <c r="M163" i="1"/>
  <c r="M105" i="1"/>
  <c r="K105" i="1"/>
  <c r="L105" i="1"/>
  <c r="Q390" i="1"/>
  <c r="N330" i="1"/>
  <c r="Q330" i="1" s="1"/>
  <c r="L293" i="1"/>
  <c r="N293" i="1" s="1"/>
  <c r="O293" i="1" s="1"/>
  <c r="M293" i="1"/>
  <c r="P182" i="1"/>
  <c r="M125" i="1"/>
  <c r="K125" i="1"/>
  <c r="L125" i="1"/>
  <c r="K249" i="1"/>
  <c r="M249" i="1"/>
  <c r="L186" i="1"/>
  <c r="M186" i="1"/>
  <c r="K186" i="1"/>
  <c r="O206" i="1"/>
  <c r="P206" i="1"/>
  <c r="K185" i="1"/>
  <c r="L185" i="1"/>
  <c r="M185" i="1"/>
  <c r="R139" i="1"/>
  <c r="P77" i="1"/>
  <c r="R77" i="1" s="1"/>
  <c r="Q206" i="1"/>
  <c r="N194" i="1"/>
  <c r="O194" i="1"/>
  <c r="N272" i="1"/>
  <c r="O272" i="1"/>
  <c r="Q139" i="1"/>
  <c r="K420" i="1"/>
  <c r="L420" i="1"/>
  <c r="M420" i="1"/>
  <c r="P258" i="1"/>
  <c r="O413" i="1"/>
  <c r="P413" i="1"/>
  <c r="Q413" i="1"/>
  <c r="K347" i="1"/>
  <c r="M347" i="1"/>
  <c r="L347" i="1"/>
  <c r="Q410" i="1"/>
  <c r="R410" i="1" s="1"/>
  <c r="P220" i="1"/>
  <c r="Q156" i="1"/>
  <c r="N422" i="1"/>
  <c r="P422" i="1" s="1"/>
  <c r="O422" i="1"/>
  <c r="Q314" i="1"/>
  <c r="P267" i="1"/>
  <c r="K179" i="1"/>
  <c r="M179" i="1"/>
  <c r="Q159" i="1"/>
  <c r="R109" i="1"/>
  <c r="P330" i="1"/>
  <c r="N314" i="1"/>
  <c r="O314" i="1"/>
  <c r="R282" i="1"/>
  <c r="L223" i="1"/>
  <c r="K223" i="1"/>
  <c r="M223" i="1"/>
  <c r="Q182" i="1"/>
  <c r="K51" i="1"/>
  <c r="M51" i="1"/>
  <c r="N29" i="1"/>
  <c r="O29" i="1"/>
  <c r="K399" i="1"/>
  <c r="M359" i="1"/>
  <c r="K325" i="1"/>
  <c r="Q282" i="1"/>
  <c r="K242" i="1"/>
  <c r="L242" i="1"/>
  <c r="M242" i="1"/>
  <c r="L237" i="1"/>
  <c r="N71" i="1"/>
  <c r="Q71" i="1" s="1"/>
  <c r="O71" i="1"/>
  <c r="K18" i="1"/>
  <c r="M18" i="1"/>
  <c r="Q415" i="1"/>
  <c r="K355" i="1"/>
  <c r="L355" i="1"/>
  <c r="M355" i="1"/>
  <c r="N406" i="1"/>
  <c r="O406" i="1"/>
  <c r="N362" i="1"/>
  <c r="Q362" i="1" s="1"/>
  <c r="K357" i="1"/>
  <c r="K327" i="1"/>
  <c r="L327" i="1"/>
  <c r="N287" i="1"/>
  <c r="O287" i="1" s="1"/>
  <c r="R287" i="1" s="1"/>
  <c r="Q246" i="1"/>
  <c r="K244" i="1"/>
  <c r="O214" i="1"/>
  <c r="Q199" i="1"/>
  <c r="K191" i="1"/>
  <c r="M26" i="1"/>
  <c r="K22" i="1"/>
  <c r="M22" i="1"/>
  <c r="L22" i="1"/>
  <c r="P390" i="1"/>
  <c r="Q381" i="1"/>
  <c r="R381" i="1" s="1"/>
  <c r="R336" i="1"/>
  <c r="K322" i="1"/>
  <c r="L322" i="1"/>
  <c r="P306" i="1"/>
  <c r="L285" i="1"/>
  <c r="M285" i="1"/>
  <c r="K285" i="1"/>
  <c r="N267" i="1"/>
  <c r="O267" i="1"/>
  <c r="N151" i="1"/>
  <c r="O151" i="1"/>
  <c r="P139" i="1"/>
  <c r="M113" i="1"/>
  <c r="K113" i="1"/>
  <c r="L113" i="1"/>
  <c r="N37" i="1"/>
  <c r="O37" i="1"/>
  <c r="O402" i="1"/>
  <c r="R402" i="1" s="1"/>
  <c r="N394" i="1"/>
  <c r="P394" i="1" s="1"/>
  <c r="O394" i="1"/>
  <c r="R383" i="1"/>
  <c r="Q349" i="1"/>
  <c r="K310" i="1"/>
  <c r="M310" i="1"/>
  <c r="N306" i="1"/>
  <c r="Q306" i="1" s="1"/>
  <c r="O306" i="1"/>
  <c r="Q295" i="1"/>
  <c r="Q240" i="1"/>
  <c r="N218" i="1"/>
  <c r="O218" i="1" s="1"/>
  <c r="N205" i="1"/>
  <c r="P205" i="1" s="1"/>
  <c r="R197" i="1"/>
  <c r="O159" i="1"/>
  <c r="R159" i="1" s="1"/>
  <c r="K146" i="1"/>
  <c r="M146" i="1"/>
  <c r="K142" i="1"/>
  <c r="M142" i="1"/>
  <c r="L142" i="1"/>
  <c r="M128" i="1"/>
  <c r="K128" i="1"/>
  <c r="L128" i="1"/>
  <c r="P90" i="1"/>
  <c r="M37" i="1"/>
  <c r="L37" i="1"/>
  <c r="L424" i="1"/>
  <c r="M424" i="1"/>
  <c r="O415" i="1"/>
  <c r="P415" i="1"/>
  <c r="Q394" i="1"/>
  <c r="R386" i="1"/>
  <c r="Q336" i="1"/>
  <c r="M313" i="1"/>
  <c r="K313" i="1"/>
  <c r="L313" i="1"/>
  <c r="P240" i="1"/>
  <c r="K166" i="1"/>
  <c r="M166" i="1"/>
  <c r="N132" i="1"/>
  <c r="O132" i="1" s="1"/>
  <c r="Q404" i="1"/>
  <c r="Q386" i="1"/>
  <c r="Q383" i="1"/>
  <c r="M372" i="1"/>
  <c r="K372" i="1"/>
  <c r="L372" i="1"/>
  <c r="O349" i="1"/>
  <c r="P336" i="1"/>
  <c r="N328" i="1"/>
  <c r="P328" i="1" s="1"/>
  <c r="O328" i="1"/>
  <c r="M308" i="1"/>
  <c r="K308" i="1"/>
  <c r="L308" i="1"/>
  <c r="O295" i="1"/>
  <c r="R295" i="1" s="1"/>
  <c r="L256" i="1"/>
  <c r="M256" i="1"/>
  <c r="Q226" i="1"/>
  <c r="Q197" i="1"/>
  <c r="M184" i="1"/>
  <c r="K184" i="1"/>
  <c r="L184" i="1"/>
  <c r="Q162" i="1"/>
  <c r="L132" i="1"/>
  <c r="M132" i="1"/>
  <c r="Q412" i="1"/>
  <c r="P404" i="1"/>
  <c r="P393" i="1"/>
  <c r="P386" i="1"/>
  <c r="P383" i="1"/>
  <c r="M369" i="1"/>
  <c r="L369" i="1"/>
  <c r="N369" i="1" s="1"/>
  <c r="O369" i="1" s="1"/>
  <c r="N352" i="1"/>
  <c r="O352" i="1" s="1"/>
  <c r="K200" i="1"/>
  <c r="M200" i="1"/>
  <c r="Q173" i="1"/>
  <c r="L165" i="1"/>
  <c r="M165" i="1"/>
  <c r="K165" i="1"/>
  <c r="Q127" i="1"/>
  <c r="M117" i="1"/>
  <c r="K117" i="1"/>
  <c r="L117" i="1"/>
  <c r="P96" i="1"/>
  <c r="M89" i="1"/>
  <c r="K89" i="1"/>
  <c r="L89" i="1"/>
  <c r="P412" i="1"/>
  <c r="O404" i="1"/>
  <c r="K401" i="1"/>
  <c r="L401" i="1"/>
  <c r="M401" i="1"/>
  <c r="N393" i="1"/>
  <c r="Q393" i="1" s="1"/>
  <c r="O393" i="1"/>
  <c r="P371" i="1"/>
  <c r="Q316" i="1"/>
  <c r="Q287" i="1"/>
  <c r="N232" i="1"/>
  <c r="O232" i="1" s="1"/>
  <c r="Q214" i="1"/>
  <c r="P127" i="1"/>
  <c r="N96" i="1"/>
  <c r="Q96" i="1" s="1"/>
  <c r="N68" i="1"/>
  <c r="O68" i="1" s="1"/>
  <c r="R68" i="1" s="1"/>
  <c r="P68" i="1"/>
  <c r="N44" i="1"/>
  <c r="P44" i="1" s="1"/>
  <c r="P16" i="1"/>
  <c r="P406" i="1"/>
  <c r="N375" i="1"/>
  <c r="O375" i="1" s="1"/>
  <c r="R375" i="1" s="1"/>
  <c r="N371" i="1"/>
  <c r="Q371" i="1" s="1"/>
  <c r="O371" i="1"/>
  <c r="L320" i="1"/>
  <c r="K320" i="1"/>
  <c r="M320" i="1"/>
  <c r="L298" i="1"/>
  <c r="K298" i="1"/>
  <c r="P287" i="1"/>
  <c r="Q269" i="1"/>
  <c r="R269" i="1" s="1"/>
  <c r="M221" i="1"/>
  <c r="K221" i="1"/>
  <c r="L221" i="1"/>
  <c r="P214" i="1"/>
  <c r="N173" i="1"/>
  <c r="P173" i="1" s="1"/>
  <c r="O173" i="1"/>
  <c r="L149" i="1"/>
  <c r="M149" i="1"/>
  <c r="M145" i="1"/>
  <c r="K145" i="1"/>
  <c r="K131" i="1"/>
  <c r="M131" i="1"/>
  <c r="Q47" i="1"/>
  <c r="N392" i="1"/>
  <c r="O392" i="1" s="1"/>
  <c r="M345" i="1"/>
  <c r="L345" i="1"/>
  <c r="K345" i="1"/>
  <c r="L341" i="1"/>
  <c r="M341" i="1"/>
  <c r="L272" i="1"/>
  <c r="M272" i="1"/>
  <c r="P246" i="1"/>
  <c r="N235" i="1"/>
  <c r="P235" i="1" s="1"/>
  <c r="L180" i="1"/>
  <c r="M180" i="1"/>
  <c r="K180" i="1"/>
  <c r="Q116" i="1"/>
  <c r="N47" i="1"/>
  <c r="O47" i="1"/>
  <c r="P159" i="1"/>
  <c r="N252" i="1"/>
  <c r="P226" i="1"/>
  <c r="R412" i="1"/>
  <c r="P349" i="1"/>
  <c r="N226" i="1"/>
  <c r="O226" i="1" s="1"/>
  <c r="R226" i="1" s="1"/>
  <c r="K281" i="1"/>
  <c r="M281" i="1"/>
  <c r="L281" i="1"/>
  <c r="Q406" i="1"/>
  <c r="Q414" i="1"/>
  <c r="Q385" i="1"/>
  <c r="M365" i="1"/>
  <c r="K365" i="1"/>
  <c r="L365" i="1"/>
  <c r="Q338" i="1"/>
  <c r="R338" i="1" s="1"/>
  <c r="K334" i="1"/>
  <c r="L334" i="1"/>
  <c r="M334" i="1"/>
  <c r="O246" i="1"/>
  <c r="N15" i="1"/>
  <c r="O15" i="1"/>
  <c r="Q12" i="1"/>
  <c r="P414" i="1"/>
  <c r="L408" i="1"/>
  <c r="M408" i="1"/>
  <c r="P398" i="1"/>
  <c r="L395" i="1"/>
  <c r="K395" i="1"/>
  <c r="M395" i="1"/>
  <c r="N390" i="1"/>
  <c r="O390" i="1" s="1"/>
  <c r="P385" i="1"/>
  <c r="N373" i="1"/>
  <c r="P373" i="1" s="1"/>
  <c r="O373" i="1"/>
  <c r="P363" i="1"/>
  <c r="Q351" i="1"/>
  <c r="L343" i="1"/>
  <c r="M343" i="1"/>
  <c r="O340" i="1"/>
  <c r="N321" i="1"/>
  <c r="O321" i="1"/>
  <c r="K274" i="1"/>
  <c r="L274" i="1"/>
  <c r="O263" i="1"/>
  <c r="N263" i="1"/>
  <c r="P263" i="1" s="1"/>
  <c r="Q254" i="1"/>
  <c r="K225" i="1"/>
  <c r="M225" i="1"/>
  <c r="L219" i="1"/>
  <c r="M219" i="1"/>
  <c r="Q187" i="1"/>
  <c r="Q181" i="1"/>
  <c r="R181" i="1" s="1"/>
  <c r="P171" i="1"/>
  <c r="R171" i="1" s="1"/>
  <c r="O162" i="1"/>
  <c r="R162" i="1" s="1"/>
  <c r="K152" i="1"/>
  <c r="L152" i="1"/>
  <c r="M152" i="1"/>
  <c r="P144" i="1"/>
  <c r="Q119" i="1"/>
  <c r="O85" i="1"/>
  <c r="O32" i="1"/>
  <c r="N414" i="1"/>
  <c r="O414" i="1" s="1"/>
  <c r="N387" i="1"/>
  <c r="O387" i="1"/>
  <c r="P351" i="1"/>
  <c r="N271" i="1"/>
  <c r="P271" i="1" s="1"/>
  <c r="P418" i="1"/>
  <c r="Q375" i="1"/>
  <c r="K309" i="1"/>
  <c r="L309" i="1"/>
  <c r="M309" i="1"/>
  <c r="N283" i="1"/>
  <c r="P283" i="1" s="1"/>
  <c r="O283" i="1"/>
  <c r="P278" i="1"/>
  <c r="R278" i="1" s="1"/>
  <c r="K251" i="1"/>
  <c r="M251" i="1"/>
  <c r="N239" i="1"/>
  <c r="O239" i="1" s="1"/>
  <c r="K233" i="1"/>
  <c r="M233" i="1"/>
  <c r="L233" i="1"/>
  <c r="Q230" i="1"/>
  <c r="Q228" i="1"/>
  <c r="O213" i="1"/>
  <c r="K201" i="1"/>
  <c r="M201" i="1"/>
  <c r="L201" i="1"/>
  <c r="P198" i="1"/>
  <c r="K174" i="1"/>
  <c r="M174" i="1"/>
  <c r="K168" i="1"/>
  <c r="L168" i="1"/>
  <c r="Q151" i="1"/>
  <c r="K126" i="1"/>
  <c r="M126" i="1"/>
  <c r="R93" i="1"/>
  <c r="P79" i="1"/>
  <c r="K66" i="1"/>
  <c r="M66" i="1"/>
  <c r="K54" i="1"/>
  <c r="M54" i="1"/>
  <c r="N42" i="1"/>
  <c r="P42" i="1" s="1"/>
  <c r="O42" i="1"/>
  <c r="K28" i="1"/>
  <c r="L28" i="1"/>
  <c r="O418" i="1"/>
  <c r="Q382" i="1"/>
  <c r="P375" i="1"/>
  <c r="O348" i="1"/>
  <c r="R348" i="1" s="1"/>
  <c r="M337" i="1"/>
  <c r="N337" i="1" s="1"/>
  <c r="O337" i="1" s="1"/>
  <c r="L337" i="1"/>
  <c r="L288" i="1"/>
  <c r="N288" i="1" s="1"/>
  <c r="O288" i="1" s="1"/>
  <c r="M288" i="1"/>
  <c r="L239" i="1"/>
  <c r="M239" i="1"/>
  <c r="P230" i="1"/>
  <c r="R230" i="1" s="1"/>
  <c r="K224" i="1"/>
  <c r="L224" i="1"/>
  <c r="M224" i="1"/>
  <c r="P176" i="1"/>
  <c r="P151" i="1"/>
  <c r="Q147" i="1"/>
  <c r="Q143" i="1"/>
  <c r="K91" i="1"/>
  <c r="L91" i="1"/>
  <c r="K38" i="1"/>
  <c r="M38" i="1"/>
  <c r="L38" i="1"/>
  <c r="K407" i="1"/>
  <c r="L407" i="1"/>
  <c r="M407" i="1"/>
  <c r="L389" i="1"/>
  <c r="P382" i="1"/>
  <c r="P360" i="1"/>
  <c r="R360" i="1" s="1"/>
  <c r="K353" i="1"/>
  <c r="P331" i="1"/>
  <c r="L326" i="1"/>
  <c r="L323" i="1"/>
  <c r="M323" i="1"/>
  <c r="L250" i="1"/>
  <c r="M250" i="1"/>
  <c r="K250" i="1"/>
  <c r="L247" i="1"/>
  <c r="M247" i="1"/>
  <c r="O176" i="1"/>
  <c r="K157" i="1"/>
  <c r="N143" i="1"/>
  <c r="O143" i="1" s="1"/>
  <c r="P143" i="1"/>
  <c r="K140" i="1"/>
  <c r="L140" i="1"/>
  <c r="M140" i="1"/>
  <c r="K122" i="1"/>
  <c r="L122" i="1"/>
  <c r="N72" i="1"/>
  <c r="O72" i="1" s="1"/>
  <c r="K59" i="1"/>
  <c r="L59" i="1"/>
  <c r="Q53" i="1"/>
  <c r="Q363" i="1"/>
  <c r="Q361" i="1"/>
  <c r="R361" i="1" s="1"/>
  <c r="N343" i="1"/>
  <c r="O343" i="1"/>
  <c r="P340" i="1"/>
  <c r="M335" i="1"/>
  <c r="K335" i="1"/>
  <c r="L335" i="1"/>
  <c r="P321" i="1"/>
  <c r="O240" i="1"/>
  <c r="N219" i="1"/>
  <c r="O219" i="1" s="1"/>
  <c r="K211" i="1"/>
  <c r="L211" i="1"/>
  <c r="Q205" i="1"/>
  <c r="Q171" i="1"/>
  <c r="O127" i="1"/>
  <c r="R127" i="1" s="1"/>
  <c r="K123" i="1"/>
  <c r="L123" i="1"/>
  <c r="M123" i="1"/>
  <c r="Q108" i="1"/>
  <c r="R104" i="1"/>
  <c r="P85" i="1"/>
  <c r="O80" i="1"/>
  <c r="R80" i="1" s="1"/>
  <c r="P32" i="1"/>
  <c r="L21" i="1"/>
  <c r="M21" i="1"/>
  <c r="N16" i="1"/>
  <c r="Q16" i="1" s="1"/>
  <c r="Q387" i="1"/>
  <c r="Q318" i="1"/>
  <c r="N148" i="1"/>
  <c r="O148" i="1" s="1"/>
  <c r="K94" i="1"/>
  <c r="M94" i="1"/>
  <c r="P88" i="1"/>
  <c r="N88" i="1"/>
  <c r="Q88" i="1" s="1"/>
  <c r="Q80" i="1"/>
  <c r="Q63" i="1"/>
  <c r="N398" i="1"/>
  <c r="O398" i="1" s="1"/>
  <c r="O385" i="1"/>
  <c r="O363" i="1"/>
  <c r="R363" i="1" s="1"/>
  <c r="Q340" i="1"/>
  <c r="N329" i="1"/>
  <c r="P329" i="1" s="1"/>
  <c r="O329" i="1"/>
  <c r="O324" i="1"/>
  <c r="R324" i="1" s="1"/>
  <c r="Q321" i="1"/>
  <c r="K300" i="1"/>
  <c r="L300" i="1"/>
  <c r="K294" i="1"/>
  <c r="M294" i="1"/>
  <c r="L294" i="1"/>
  <c r="O276" i="1"/>
  <c r="R276" i="1" s="1"/>
  <c r="P254" i="1"/>
  <c r="N216" i="1"/>
  <c r="O216" i="1"/>
  <c r="Q213" i="1"/>
  <c r="N207" i="1"/>
  <c r="P207" i="1" s="1"/>
  <c r="R198" i="1"/>
  <c r="M196" i="1"/>
  <c r="K196" i="1"/>
  <c r="L196" i="1"/>
  <c r="K193" i="1"/>
  <c r="M193" i="1"/>
  <c r="P187" i="1"/>
  <c r="L148" i="1"/>
  <c r="M148" i="1"/>
  <c r="N144" i="1"/>
  <c r="O144" i="1" s="1"/>
  <c r="R144" i="1" s="1"/>
  <c r="P119" i="1"/>
  <c r="K115" i="1"/>
  <c r="M115" i="1"/>
  <c r="L115" i="1"/>
  <c r="N108" i="1"/>
  <c r="P108" i="1" s="1"/>
  <c r="P101" i="1"/>
  <c r="R101" i="1" s="1"/>
  <c r="Q85" i="1"/>
  <c r="Q76" i="1"/>
  <c r="P63" i="1"/>
  <c r="Q42" i="1"/>
  <c r="M39" i="1"/>
  <c r="L39" i="1"/>
  <c r="K20" i="1"/>
  <c r="L20" i="1"/>
  <c r="M20" i="1"/>
  <c r="O12" i="1"/>
  <c r="R12" i="1" s="1"/>
  <c r="Q418" i="1"/>
  <c r="P387" i="1"/>
  <c r="Q370" i="1"/>
  <c r="R370" i="1" s="1"/>
  <c r="O351" i="1"/>
  <c r="K332" i="1"/>
  <c r="L332" i="1"/>
  <c r="O318" i="1"/>
  <c r="Q283" i="1"/>
  <c r="O260" i="1"/>
  <c r="R260" i="1" s="1"/>
  <c r="O254" i="1"/>
  <c r="R254" i="1" s="1"/>
  <c r="O228" i="1"/>
  <c r="K210" i="1"/>
  <c r="M210" i="1"/>
  <c r="Q207" i="1"/>
  <c r="L202" i="1"/>
  <c r="M202" i="1"/>
  <c r="K202" i="1"/>
  <c r="Q198" i="1"/>
  <c r="O187" i="1"/>
  <c r="Q183" i="1"/>
  <c r="N119" i="1"/>
  <c r="O119" i="1" s="1"/>
  <c r="K111" i="1"/>
  <c r="L111" i="1"/>
  <c r="M97" i="1"/>
  <c r="L97" i="1"/>
  <c r="K97" i="1"/>
  <c r="N69" i="1"/>
  <c r="Q69" i="1" s="1"/>
  <c r="O63" i="1"/>
  <c r="R63" i="1" s="1"/>
  <c r="M57" i="1"/>
  <c r="K57" i="1"/>
  <c r="K50" i="1"/>
  <c r="M50" i="1"/>
  <c r="K35" i="1"/>
  <c r="M35" i="1"/>
  <c r="L35" i="1"/>
  <c r="L416" i="1"/>
  <c r="M416" i="1"/>
  <c r="K397" i="1"/>
  <c r="M397" i="1"/>
  <c r="L392" i="1"/>
  <c r="M392" i="1"/>
  <c r="N331" i="1"/>
  <c r="O331" i="1" s="1"/>
  <c r="R331" i="1" s="1"/>
  <c r="K317" i="1"/>
  <c r="M317" i="1"/>
  <c r="K299" i="1"/>
  <c r="L299" i="1"/>
  <c r="M299" i="1"/>
  <c r="N280" i="1"/>
  <c r="K265" i="1"/>
  <c r="M265" i="1"/>
  <c r="P262" i="1"/>
  <c r="K259" i="1"/>
  <c r="L259" i="1"/>
  <c r="M259" i="1"/>
  <c r="P212" i="1"/>
  <c r="K209" i="1"/>
  <c r="M209" i="1"/>
  <c r="O204" i="1"/>
  <c r="R204" i="1" s="1"/>
  <c r="L133" i="1"/>
  <c r="M133" i="1"/>
  <c r="K133" i="1"/>
  <c r="K107" i="1"/>
  <c r="L107" i="1"/>
  <c r="P53" i="1"/>
  <c r="M48" i="1"/>
  <c r="K48" i="1"/>
  <c r="L48" i="1"/>
  <c r="M41" i="1"/>
  <c r="K41" i="1"/>
  <c r="L41" i="1"/>
  <c r="N31" i="1"/>
  <c r="P31" i="1" s="1"/>
  <c r="L23" i="1"/>
  <c r="M23" i="1"/>
  <c r="K23" i="1"/>
  <c r="L15" i="1"/>
  <c r="M15" i="1"/>
  <c r="L400" i="1"/>
  <c r="M400" i="1"/>
  <c r="P362" i="1"/>
  <c r="K342" i="1"/>
  <c r="M342" i="1"/>
  <c r="N339" i="1"/>
  <c r="O339" i="1"/>
  <c r="Q331" i="1"/>
  <c r="O262" i="1"/>
  <c r="R262" i="1" s="1"/>
  <c r="K238" i="1"/>
  <c r="L238" i="1"/>
  <c r="M238" i="1"/>
  <c r="L218" i="1"/>
  <c r="M218" i="1"/>
  <c r="N212" i="1"/>
  <c r="Q212" i="1" s="1"/>
  <c r="N100" i="1"/>
  <c r="O100" i="1" s="1"/>
  <c r="Q90" i="1"/>
  <c r="R286" i="1"/>
  <c r="Q277" i="1"/>
  <c r="N264" i="1"/>
  <c r="P264" i="1" s="1"/>
  <c r="O264" i="1"/>
  <c r="Q255" i="1"/>
  <c r="P229" i="1"/>
  <c r="K195" i="1"/>
  <c r="L195" i="1"/>
  <c r="K190" i="1"/>
  <c r="L190" i="1"/>
  <c r="M190" i="1"/>
  <c r="P183" i="1"/>
  <c r="K150" i="1"/>
  <c r="M150" i="1"/>
  <c r="L150" i="1"/>
  <c r="N147" i="1"/>
  <c r="O147" i="1" s="1"/>
  <c r="P147" i="1"/>
  <c r="Q144" i="1"/>
  <c r="L136" i="1"/>
  <c r="M136" i="1"/>
  <c r="N130" i="1"/>
  <c r="O130" i="1" s="1"/>
  <c r="O124" i="1"/>
  <c r="N124" i="1"/>
  <c r="Q124" i="1" s="1"/>
  <c r="N90" i="1"/>
  <c r="O90" i="1" s="1"/>
  <c r="Q87" i="1"/>
  <c r="K82" i="1"/>
  <c r="M82" i="1"/>
  <c r="N79" i="1"/>
  <c r="O79" i="1" s="1"/>
  <c r="O76" i="1"/>
  <c r="R76" i="1" s="1"/>
  <c r="M73" i="1"/>
  <c r="K73" i="1"/>
  <c r="L73" i="1"/>
  <c r="Q67" i="1"/>
  <c r="N49" i="1"/>
  <c r="O49" i="1" s="1"/>
  <c r="K46" i="1"/>
  <c r="M46" i="1"/>
  <c r="Q40" i="1"/>
  <c r="Q31" i="1"/>
  <c r="N411" i="1"/>
  <c r="O411" i="1"/>
  <c r="N382" i="1"/>
  <c r="O382" i="1" s="1"/>
  <c r="O380" i="1"/>
  <c r="R380" i="1" s="1"/>
  <c r="O356" i="1"/>
  <c r="R356" i="1" s="1"/>
  <c r="K354" i="1"/>
  <c r="L354" i="1"/>
  <c r="Q275" i="1"/>
  <c r="R275" i="1" s="1"/>
  <c r="K273" i="1"/>
  <c r="M273" i="1"/>
  <c r="Q266" i="1"/>
  <c r="N248" i="1"/>
  <c r="O248" i="1" s="1"/>
  <c r="K241" i="1"/>
  <c r="M241" i="1"/>
  <c r="L234" i="1"/>
  <c r="M234" i="1"/>
  <c r="O229" i="1"/>
  <c r="R229" i="1" s="1"/>
  <c r="N215" i="1"/>
  <c r="P215" i="1" s="1"/>
  <c r="O199" i="1"/>
  <c r="R199" i="1" s="1"/>
  <c r="O183" i="1"/>
  <c r="R183" i="1" s="1"/>
  <c r="Q175" i="1"/>
  <c r="Q164" i="1"/>
  <c r="L95" i="1"/>
  <c r="M95" i="1"/>
  <c r="M49" i="1"/>
  <c r="L49" i="1"/>
  <c r="P40" i="1"/>
  <c r="R40" i="1" s="1"/>
  <c r="K34" i="1"/>
  <c r="M34" i="1"/>
  <c r="K27" i="1"/>
  <c r="L27" i="1"/>
  <c r="M27" i="1"/>
  <c r="P24" i="1"/>
  <c r="P409" i="1"/>
  <c r="R409" i="1" s="1"/>
  <c r="L384" i="1"/>
  <c r="M384" i="1"/>
  <c r="P303" i="1"/>
  <c r="P279" i="1"/>
  <c r="O277" i="1"/>
  <c r="N266" i="1"/>
  <c r="O266" i="1" s="1"/>
  <c r="N255" i="1"/>
  <c r="P255" i="1" s="1"/>
  <c r="O236" i="1"/>
  <c r="R236" i="1" s="1"/>
  <c r="N231" i="1"/>
  <c r="Q231" i="1" s="1"/>
  <c r="K167" i="1"/>
  <c r="L167" i="1"/>
  <c r="M167" i="1"/>
  <c r="P161" i="1"/>
  <c r="M121" i="1"/>
  <c r="K121" i="1"/>
  <c r="Q92" i="1"/>
  <c r="N87" i="1"/>
  <c r="O87" i="1" s="1"/>
  <c r="Q84" i="1"/>
  <c r="K70" i="1"/>
  <c r="M70" i="1"/>
  <c r="L70" i="1"/>
  <c r="N67" i="1"/>
  <c r="P67" i="1" s="1"/>
  <c r="Q61" i="1"/>
  <c r="N24" i="1"/>
  <c r="O24" i="1" s="1"/>
  <c r="N403" i="1"/>
  <c r="O403" i="1"/>
  <c r="O303" i="1"/>
  <c r="R303" i="1" s="1"/>
  <c r="K297" i="1"/>
  <c r="M297" i="1"/>
  <c r="O279" i="1"/>
  <c r="L172" i="1"/>
  <c r="M172" i="1"/>
  <c r="O164" i="1"/>
  <c r="N161" i="1"/>
  <c r="O161" i="1" s="1"/>
  <c r="R161" i="1" s="1"/>
  <c r="N155" i="1"/>
  <c r="K135" i="1"/>
  <c r="L135" i="1"/>
  <c r="M135" i="1"/>
  <c r="K106" i="1"/>
  <c r="L106" i="1"/>
  <c r="P81" i="1"/>
  <c r="O64" i="1"/>
  <c r="R64" i="1" s="1"/>
  <c r="P61" i="1"/>
  <c r="K30" i="1"/>
  <c r="M30" i="1"/>
  <c r="L30" i="1"/>
  <c r="M17" i="1"/>
  <c r="K17" i="1"/>
  <c r="L17" i="1"/>
  <c r="O284" i="1"/>
  <c r="R284" i="1" s="1"/>
  <c r="Q303" i="1"/>
  <c r="Q279" i="1"/>
  <c r="M268" i="1"/>
  <c r="K268" i="1"/>
  <c r="K243" i="1"/>
  <c r="L243" i="1"/>
  <c r="M243" i="1"/>
  <c r="K217" i="1"/>
  <c r="M217" i="1"/>
  <c r="L192" i="1"/>
  <c r="M192" i="1"/>
  <c r="Q161" i="1"/>
  <c r="K158" i="1"/>
  <c r="M158" i="1"/>
  <c r="L138" i="1"/>
  <c r="M138" i="1"/>
  <c r="K138" i="1"/>
  <c r="M129" i="1"/>
  <c r="K129" i="1"/>
  <c r="N103" i="1"/>
  <c r="O103" i="1" s="1"/>
  <c r="O92" i="1"/>
  <c r="R92" i="1" s="1"/>
  <c r="O81" i="1"/>
  <c r="O61" i="1"/>
  <c r="K52" i="1"/>
  <c r="M52" i="1"/>
  <c r="N45" i="1"/>
  <c r="Q45" i="1" s="1"/>
  <c r="O45" i="1"/>
  <c r="Q36" i="1"/>
  <c r="K14" i="1"/>
  <c r="M14" i="1"/>
  <c r="N53" i="1"/>
  <c r="O53" i="1"/>
  <c r="K315" i="1"/>
  <c r="M315" i="1"/>
  <c r="M305" i="1"/>
  <c r="L305" i="1"/>
  <c r="N270" i="1"/>
  <c r="K257" i="1"/>
  <c r="M257" i="1"/>
  <c r="L257" i="1"/>
  <c r="M177" i="1"/>
  <c r="K177" i="1"/>
  <c r="L177" i="1"/>
  <c r="Q100" i="1"/>
  <c r="K78" i="1"/>
  <c r="M78" i="1"/>
  <c r="K75" i="1"/>
  <c r="L75" i="1"/>
  <c r="K289" i="1"/>
  <c r="M289" i="1"/>
  <c r="N182" i="1"/>
  <c r="O182" i="1"/>
  <c r="M153" i="1"/>
  <c r="K153" i="1"/>
  <c r="Q93" i="1"/>
  <c r="K86" i="1"/>
  <c r="M86" i="1"/>
  <c r="Q81" i="1"/>
  <c r="K60" i="1"/>
  <c r="L60" i="1"/>
  <c r="O36" i="1"/>
  <c r="R36" i="1" s="1"/>
  <c r="M33" i="1"/>
  <c r="L33" i="1"/>
  <c r="K33" i="1"/>
  <c r="M270" i="1"/>
  <c r="O188" i="1"/>
  <c r="R188" i="1" s="1"/>
  <c r="L160" i="1"/>
  <c r="M155" i="1"/>
  <c r="K118" i="1"/>
  <c r="M118" i="1"/>
  <c r="L118" i="1"/>
  <c r="M83" i="1"/>
  <c r="N83" i="1" s="1"/>
  <c r="Q68" i="1"/>
  <c r="K19" i="1"/>
  <c r="L19" i="1"/>
  <c r="M19" i="1"/>
  <c r="K110" i="1"/>
  <c r="M110" i="1"/>
  <c r="K98" i="1"/>
  <c r="M98" i="1"/>
  <c r="O88" i="1"/>
  <c r="R88" i="1" s="1"/>
  <c r="M65" i="1"/>
  <c r="K65" i="1"/>
  <c r="O16" i="1"/>
  <c r="Q176" i="1"/>
  <c r="O156" i="1"/>
  <c r="R156" i="1" s="1"/>
  <c r="K154" i="1"/>
  <c r="L154" i="1"/>
  <c r="K134" i="1"/>
  <c r="M134" i="1"/>
  <c r="K43" i="1"/>
  <c r="L43" i="1"/>
  <c r="K120" i="1"/>
  <c r="L120" i="1"/>
  <c r="M120" i="1"/>
  <c r="O84" i="1"/>
  <c r="R84" i="1" s="1"/>
  <c r="K112" i="1"/>
  <c r="M169" i="1"/>
  <c r="K169" i="1"/>
  <c r="M137" i="1"/>
  <c r="K137" i="1"/>
  <c r="O116" i="1"/>
  <c r="R116" i="1" s="1"/>
  <c r="K114" i="1"/>
  <c r="M114" i="1"/>
  <c r="K102" i="1"/>
  <c r="M102" i="1"/>
  <c r="L11" i="1"/>
  <c r="B6" i="1"/>
  <c r="D6" i="1"/>
  <c r="R352" i="1" l="1"/>
  <c r="R369" i="1"/>
  <c r="R288" i="1"/>
  <c r="O83" i="1"/>
  <c r="P83" i="1"/>
  <c r="R248" i="1"/>
  <c r="N202" i="1"/>
  <c r="O202" i="1" s="1"/>
  <c r="R202" i="1" s="1"/>
  <c r="P323" i="1"/>
  <c r="N395" i="1"/>
  <c r="O395" i="1"/>
  <c r="N227" i="1"/>
  <c r="O227" i="1" s="1"/>
  <c r="R227" i="1" s="1"/>
  <c r="N300" i="1"/>
  <c r="Q300" i="1" s="1"/>
  <c r="Q369" i="1"/>
  <c r="Q296" i="1"/>
  <c r="P177" i="1"/>
  <c r="P136" i="1"/>
  <c r="O108" i="1"/>
  <c r="R108" i="1" s="1"/>
  <c r="P322" i="1"/>
  <c r="N296" i="1"/>
  <c r="O296" i="1"/>
  <c r="R321" i="1"/>
  <c r="P296" i="1"/>
  <c r="N152" i="1"/>
  <c r="P152" i="1" s="1"/>
  <c r="Q333" i="1"/>
  <c r="P333" i="1"/>
  <c r="P97" i="1"/>
  <c r="N389" i="1"/>
  <c r="P37" i="1"/>
  <c r="O153" i="1"/>
  <c r="R153" i="1" s="1"/>
  <c r="N153" i="1"/>
  <c r="P153" i="1" s="1"/>
  <c r="O96" i="1"/>
  <c r="R96" i="1" s="1"/>
  <c r="O205" i="1"/>
  <c r="R205" i="1" s="1"/>
  <c r="P45" i="1"/>
  <c r="R385" i="1"/>
  <c r="N168" i="1"/>
  <c r="Q168" i="1" s="1"/>
  <c r="N333" i="1"/>
  <c r="O333" i="1" s="1"/>
  <c r="P305" i="1"/>
  <c r="N82" i="1"/>
  <c r="P82" i="1" s="1"/>
  <c r="O82" i="1"/>
  <c r="P239" i="1"/>
  <c r="R239" i="1" s="1"/>
  <c r="R47" i="1"/>
  <c r="N174" i="1"/>
  <c r="P174" i="1" s="1"/>
  <c r="Q49" i="1"/>
  <c r="Q133" i="1"/>
  <c r="P219" i="1"/>
  <c r="R219" i="1" s="1"/>
  <c r="Q178" i="1"/>
  <c r="O129" i="1"/>
  <c r="N129" i="1"/>
  <c r="P129" i="1" s="1"/>
  <c r="N35" i="1"/>
  <c r="O35" i="1"/>
  <c r="R32" i="1"/>
  <c r="N99" i="1"/>
  <c r="N33" i="1"/>
  <c r="O33" i="1" s="1"/>
  <c r="R33" i="1" s="1"/>
  <c r="R87" i="1"/>
  <c r="R277" i="1"/>
  <c r="Q79" i="1"/>
  <c r="R79" i="1" s="1"/>
  <c r="P195" i="1"/>
  <c r="N317" i="1"/>
  <c r="P317" i="1" s="1"/>
  <c r="O317" i="1"/>
  <c r="N332" i="1"/>
  <c r="Q332" i="1" s="1"/>
  <c r="P69" i="1"/>
  <c r="P294" i="1"/>
  <c r="N323" i="1"/>
  <c r="O323" i="1" s="1"/>
  <c r="N225" i="1"/>
  <c r="P225" i="1" s="1"/>
  <c r="O225" i="1"/>
  <c r="R225" i="1" s="1"/>
  <c r="Q235" i="1"/>
  <c r="N281" i="1"/>
  <c r="Q281" i="1" s="1"/>
  <c r="O281" i="1"/>
  <c r="Q328" i="1"/>
  <c r="R328" i="1" s="1"/>
  <c r="N184" i="1"/>
  <c r="P184" i="1" s="1"/>
  <c r="O184" i="1"/>
  <c r="Q313" i="1"/>
  <c r="Q128" i="1"/>
  <c r="P419" i="1"/>
  <c r="Q419" i="1"/>
  <c r="O203" i="1"/>
  <c r="R203" i="1" s="1"/>
  <c r="N178" i="1"/>
  <c r="O178" i="1"/>
  <c r="N43" i="1"/>
  <c r="Q43" i="1" s="1"/>
  <c r="O43" i="1"/>
  <c r="N14" i="1"/>
  <c r="P14" i="1" s="1"/>
  <c r="O14" i="1"/>
  <c r="Q384" i="1"/>
  <c r="N209" i="1"/>
  <c r="P209" i="1" s="1"/>
  <c r="O57" i="1"/>
  <c r="N57" i="1"/>
  <c r="P57" i="1" s="1"/>
  <c r="R263" i="1"/>
  <c r="P369" i="1"/>
  <c r="P285" i="1"/>
  <c r="N355" i="1"/>
  <c r="Q355" i="1" s="1"/>
  <c r="N249" i="1"/>
  <c r="P249" i="1" s="1"/>
  <c r="O249" i="1"/>
  <c r="R249" i="1" s="1"/>
  <c r="Q391" i="1"/>
  <c r="P367" i="1"/>
  <c r="Q19" i="1"/>
  <c r="N41" i="1"/>
  <c r="Q41" i="1" s="1"/>
  <c r="Q57" i="1"/>
  <c r="Q123" i="1"/>
  <c r="N326" i="1"/>
  <c r="P326" i="1"/>
  <c r="P395" i="1"/>
  <c r="N399" i="1"/>
  <c r="P399" i="1" s="1"/>
  <c r="O399" i="1"/>
  <c r="P125" i="1"/>
  <c r="N25" i="1"/>
  <c r="Q25" i="1" s="1"/>
  <c r="N134" i="1"/>
  <c r="P134" i="1" s="1"/>
  <c r="N60" i="1"/>
  <c r="Q60" i="1" s="1"/>
  <c r="P17" i="1"/>
  <c r="N273" i="1"/>
  <c r="P273" i="1" s="1"/>
  <c r="O273" i="1"/>
  <c r="P123" i="1"/>
  <c r="N117" i="1"/>
  <c r="P117" i="1" s="1"/>
  <c r="O117" i="1"/>
  <c r="Q232" i="1"/>
  <c r="R232" i="1" s="1"/>
  <c r="R29" i="1"/>
  <c r="O125" i="1"/>
  <c r="N125" i="1"/>
  <c r="P62" i="1"/>
  <c r="O220" i="1"/>
  <c r="R220" i="1" s="1"/>
  <c r="N19" i="1"/>
  <c r="O19" i="1"/>
  <c r="O17" i="1"/>
  <c r="N17" i="1"/>
  <c r="Q17" i="1" s="1"/>
  <c r="P403" i="1"/>
  <c r="Q403" i="1"/>
  <c r="P259" i="1"/>
  <c r="Q335" i="1"/>
  <c r="Q233" i="1"/>
  <c r="P252" i="1"/>
  <c r="Q252" i="1"/>
  <c r="R415" i="1"/>
  <c r="Q125" i="1"/>
  <c r="N114" i="1"/>
  <c r="P114" i="1" s="1"/>
  <c r="O114" i="1"/>
  <c r="Q86" i="1"/>
  <c r="Q52" i="1"/>
  <c r="P167" i="1"/>
  <c r="N73" i="1"/>
  <c r="O73" i="1" s="1"/>
  <c r="O259" i="1"/>
  <c r="R259" i="1" s="1"/>
  <c r="N259" i="1"/>
  <c r="O69" i="1"/>
  <c r="R329" i="1"/>
  <c r="N408" i="1"/>
  <c r="O408" i="1" s="1"/>
  <c r="P408" i="1"/>
  <c r="O252" i="1"/>
  <c r="R252" i="1" s="1"/>
  <c r="R37" i="1"/>
  <c r="N18" i="1"/>
  <c r="P18" i="1" s="1"/>
  <c r="O18" i="1"/>
  <c r="N290" i="1"/>
  <c r="O290" i="1"/>
  <c r="N374" i="1"/>
  <c r="P374" i="1" s="1"/>
  <c r="O374" i="1"/>
  <c r="N62" i="1"/>
  <c r="O62" i="1" s="1"/>
  <c r="R62" i="1" s="1"/>
  <c r="N86" i="1"/>
  <c r="P86" i="1" s="1"/>
  <c r="N52" i="1"/>
  <c r="P52" i="1" s="1"/>
  <c r="N354" i="1"/>
  <c r="Q354" i="1" s="1"/>
  <c r="R147" i="1"/>
  <c r="N342" i="1"/>
  <c r="P342" i="1" s="1"/>
  <c r="O342" i="1"/>
  <c r="N210" i="1"/>
  <c r="P210" i="1" s="1"/>
  <c r="O210" i="1"/>
  <c r="R210" i="1" s="1"/>
  <c r="O207" i="1"/>
  <c r="R207" i="1" s="1"/>
  <c r="N126" i="1"/>
  <c r="P126" i="1" s="1"/>
  <c r="O126" i="1"/>
  <c r="N136" i="1"/>
  <c r="O136" i="1" s="1"/>
  <c r="N165" i="1"/>
  <c r="O165" i="1"/>
  <c r="N424" i="1"/>
  <c r="O424" i="1" s="1"/>
  <c r="N179" i="1"/>
  <c r="P179" i="1" s="1"/>
  <c r="Q293" i="1"/>
  <c r="Q290" i="1"/>
  <c r="P388" i="1"/>
  <c r="R388" i="1" s="1"/>
  <c r="Q377" i="1"/>
  <c r="P325" i="1"/>
  <c r="R61" i="1"/>
  <c r="O215" i="1"/>
  <c r="Q265" i="1"/>
  <c r="N20" i="1"/>
  <c r="O20" i="1" s="1"/>
  <c r="R143" i="1"/>
  <c r="N224" i="1"/>
  <c r="Q224" i="1" s="1"/>
  <c r="O224" i="1"/>
  <c r="Q165" i="1"/>
  <c r="N311" i="1"/>
  <c r="P311" i="1" s="1"/>
  <c r="O311" i="1"/>
  <c r="O350" i="1"/>
  <c r="R350" i="1" s="1"/>
  <c r="N350" i="1"/>
  <c r="P350" i="1" s="1"/>
  <c r="N217" i="1"/>
  <c r="P217" i="1" s="1"/>
  <c r="O217" i="1"/>
  <c r="R164" i="1"/>
  <c r="P100" i="1"/>
  <c r="R100" i="1" s="1"/>
  <c r="P39" i="1"/>
  <c r="P28" i="1"/>
  <c r="Q251" i="1"/>
  <c r="Q343" i="1"/>
  <c r="Q145" i="1"/>
  <c r="N308" i="1"/>
  <c r="O308" i="1" s="1"/>
  <c r="Q37" i="1"/>
  <c r="R413" i="1"/>
  <c r="N118" i="1"/>
  <c r="Q118" i="1" s="1"/>
  <c r="O118" i="1"/>
  <c r="O67" i="1"/>
  <c r="R67" i="1" s="1"/>
  <c r="R382" i="1"/>
  <c r="P400" i="1"/>
  <c r="N416" i="1"/>
  <c r="O416" i="1" s="1"/>
  <c r="P416" i="1"/>
  <c r="R216" i="1"/>
  <c r="N211" i="1"/>
  <c r="Q211" i="1" s="1"/>
  <c r="R176" i="1"/>
  <c r="O28" i="1"/>
  <c r="N28" i="1"/>
  <c r="Q28" i="1" s="1"/>
  <c r="P343" i="1"/>
  <c r="R343" i="1" s="1"/>
  <c r="P22" i="1"/>
  <c r="N223" i="1"/>
  <c r="O223" i="1" s="1"/>
  <c r="N379" i="1"/>
  <c r="P379" i="1" s="1"/>
  <c r="O379" i="1"/>
  <c r="R379" i="1" s="1"/>
  <c r="R182" i="1"/>
  <c r="P243" i="1"/>
  <c r="Q15" i="1"/>
  <c r="Q215" i="1"/>
  <c r="R42" i="1"/>
  <c r="Q132" i="1"/>
  <c r="O362" i="1"/>
  <c r="R362" i="1" s="1"/>
  <c r="Q398" i="1"/>
  <c r="R398" i="1" s="1"/>
  <c r="P160" i="1"/>
  <c r="P49" i="1"/>
  <c r="R49" i="1" s="1"/>
  <c r="N234" i="1"/>
  <c r="O234" i="1" s="1"/>
  <c r="P234" i="1"/>
  <c r="P411" i="1"/>
  <c r="Q411" i="1"/>
  <c r="O212" i="1"/>
  <c r="R212" i="1" s="1"/>
  <c r="P15" i="1"/>
  <c r="N133" i="1"/>
  <c r="O133" i="1"/>
  <c r="R119" i="1"/>
  <c r="R318" i="1"/>
  <c r="P59" i="1"/>
  <c r="Q247" i="1"/>
  <c r="R283" i="1"/>
  <c r="Q219" i="1"/>
  <c r="P341" i="1"/>
  <c r="R341" i="1" s="1"/>
  <c r="N200" i="1"/>
  <c r="P200" i="1" s="1"/>
  <c r="O200" i="1"/>
  <c r="N400" i="1"/>
  <c r="O400" i="1" s="1"/>
  <c r="P55" i="1"/>
  <c r="Q315" i="1"/>
  <c r="N268" i="1"/>
  <c r="P268" i="1" s="1"/>
  <c r="P231" i="1"/>
  <c r="O255" i="1"/>
  <c r="R255" i="1" s="1"/>
  <c r="R90" i="1"/>
  <c r="P190" i="1"/>
  <c r="Q218" i="1"/>
  <c r="N23" i="1"/>
  <c r="Q23" i="1" s="1"/>
  <c r="O23" i="1"/>
  <c r="Q35" i="1"/>
  <c r="Q329" i="1"/>
  <c r="Q148" i="1"/>
  <c r="N39" i="1"/>
  <c r="O39" i="1" s="1"/>
  <c r="N247" i="1"/>
  <c r="O247" i="1" s="1"/>
  <c r="Q54" i="1"/>
  <c r="R373" i="1"/>
  <c r="P281" i="1"/>
  <c r="N345" i="1"/>
  <c r="P345" i="1" s="1"/>
  <c r="R173" i="1"/>
  <c r="P232" i="1"/>
  <c r="R406" i="1"/>
  <c r="P420" i="1"/>
  <c r="P105" i="1"/>
  <c r="Q194" i="1"/>
  <c r="N315" i="1"/>
  <c r="P315" i="1" s="1"/>
  <c r="O315" i="1"/>
  <c r="R315" i="1" s="1"/>
  <c r="N190" i="1"/>
  <c r="O190" i="1" s="1"/>
  <c r="Q317" i="1"/>
  <c r="P148" i="1"/>
  <c r="R148" i="1" s="1"/>
  <c r="R240" i="1"/>
  <c r="N250" i="1"/>
  <c r="Q250" i="1" s="1"/>
  <c r="O250" i="1"/>
  <c r="N38" i="1"/>
  <c r="Q38" i="1" s="1"/>
  <c r="O38" i="1"/>
  <c r="P288" i="1"/>
  <c r="N54" i="1"/>
  <c r="P54" i="1" s="1"/>
  <c r="O54" i="1"/>
  <c r="Q225" i="1"/>
  <c r="P71" i="1"/>
  <c r="R71" i="1" s="1"/>
  <c r="N149" i="1"/>
  <c r="O149" i="1" s="1"/>
  <c r="R349" i="1"/>
  <c r="N313" i="1"/>
  <c r="P313" i="1" s="1"/>
  <c r="N128" i="1"/>
  <c r="P128" i="1" s="1"/>
  <c r="O128" i="1"/>
  <c r="R267" i="1"/>
  <c r="N191" i="1"/>
  <c r="N242" i="1"/>
  <c r="O242" i="1" s="1"/>
  <c r="R242" i="1" s="1"/>
  <c r="N420" i="1"/>
  <c r="Q420" i="1" s="1"/>
  <c r="O420" i="1"/>
  <c r="N186" i="1"/>
  <c r="Q186" i="1" s="1"/>
  <c r="O186" i="1"/>
  <c r="N105" i="1"/>
  <c r="O105" i="1" s="1"/>
  <c r="R419" i="1"/>
  <c r="N160" i="1"/>
  <c r="P194" i="1"/>
  <c r="P178" i="1"/>
  <c r="Q55" i="1"/>
  <c r="N98" i="1"/>
  <c r="P98" i="1" s="1"/>
  <c r="O98" i="1"/>
  <c r="R53" i="1"/>
  <c r="N120" i="1"/>
  <c r="P120" i="1" s="1"/>
  <c r="O120" i="1"/>
  <c r="Q110" i="1"/>
  <c r="P33" i="1"/>
  <c r="N75" i="1"/>
  <c r="Q75" i="1" s="1"/>
  <c r="N138" i="1"/>
  <c r="P138" i="1" s="1"/>
  <c r="O138" i="1"/>
  <c r="N106" i="1"/>
  <c r="Q106" i="1" s="1"/>
  <c r="R279" i="1"/>
  <c r="P87" i="1"/>
  <c r="P248" i="1"/>
  <c r="Q248" i="1"/>
  <c r="N195" i="1"/>
  <c r="Q195" i="1" s="1"/>
  <c r="O195" i="1"/>
  <c r="O31" i="1"/>
  <c r="R31" i="1" s="1"/>
  <c r="Q50" i="1"/>
  <c r="R187" i="1"/>
  <c r="R351" i="1"/>
  <c r="Q193" i="1"/>
  <c r="Q294" i="1"/>
  <c r="Q271" i="1"/>
  <c r="P72" i="1"/>
  <c r="R72" i="1" s="1"/>
  <c r="Q72" i="1"/>
  <c r="N66" i="1"/>
  <c r="P66" i="1" s="1"/>
  <c r="O66" i="1"/>
  <c r="N201" i="1"/>
  <c r="Q201" i="1" s="1"/>
  <c r="O201" i="1"/>
  <c r="Q309" i="1"/>
  <c r="R85" i="1"/>
  <c r="R390" i="1"/>
  <c r="R246" i="1"/>
  <c r="N180" i="1"/>
  <c r="P180" i="1" s="1"/>
  <c r="N89" i="1"/>
  <c r="Q89" i="1" s="1"/>
  <c r="Q184" i="1"/>
  <c r="P372" i="1"/>
  <c r="N310" i="1"/>
  <c r="P310" i="1" s="1"/>
  <c r="O310" i="1"/>
  <c r="N285" i="1"/>
  <c r="O285" i="1"/>
  <c r="R214" i="1"/>
  <c r="N325" i="1"/>
  <c r="Q325" i="1" s="1"/>
  <c r="O325" i="1"/>
  <c r="R314" i="1"/>
  <c r="Q163" i="1"/>
  <c r="Q425" i="1"/>
  <c r="R425" i="1" s="1"/>
  <c r="R316" i="1"/>
  <c r="Q304" i="1"/>
  <c r="Q227" i="1"/>
  <c r="N11" i="1"/>
  <c r="P11" i="1"/>
  <c r="N78" i="1"/>
  <c r="P78" i="1" s="1"/>
  <c r="O78" i="1"/>
  <c r="R78" i="1" s="1"/>
  <c r="N297" i="1"/>
  <c r="P297" i="1" s="1"/>
  <c r="O297" i="1"/>
  <c r="N121" i="1"/>
  <c r="P121" i="1" s="1"/>
  <c r="P41" i="1"/>
  <c r="P196" i="1"/>
  <c r="Q94" i="1"/>
  <c r="P122" i="1"/>
  <c r="Q337" i="1"/>
  <c r="N309" i="1"/>
  <c r="O309" i="1"/>
  <c r="N221" i="1"/>
  <c r="Q221" i="1" s="1"/>
  <c r="Q372" i="1"/>
  <c r="N142" i="1"/>
  <c r="P142" i="1" s="1"/>
  <c r="O142" i="1"/>
  <c r="N244" i="1"/>
  <c r="Q359" i="1"/>
  <c r="N304" i="1"/>
  <c r="O304" i="1"/>
  <c r="Q102" i="1"/>
  <c r="Q134" i="1"/>
  <c r="N384" i="1"/>
  <c r="O384" i="1" s="1"/>
  <c r="Q202" i="1"/>
  <c r="N196" i="1"/>
  <c r="O196" i="1" s="1"/>
  <c r="N94" i="1"/>
  <c r="P94" i="1" s="1"/>
  <c r="O94" i="1"/>
  <c r="N122" i="1"/>
  <c r="Q122" i="1" s="1"/>
  <c r="P274" i="1"/>
  <c r="N334" i="1"/>
  <c r="P334" i="1" s="1"/>
  <c r="O334" i="1"/>
  <c r="R394" i="1"/>
  <c r="N367" i="1"/>
  <c r="Q367" i="1" s="1"/>
  <c r="N102" i="1"/>
  <c r="P102" i="1" s="1"/>
  <c r="P19" i="1"/>
  <c r="R45" i="1"/>
  <c r="N158" i="1"/>
  <c r="P158" i="1" s="1"/>
  <c r="O158" i="1"/>
  <c r="N135" i="1"/>
  <c r="P135" i="1" s="1"/>
  <c r="O135" i="1"/>
  <c r="R403" i="1"/>
  <c r="R264" i="1"/>
  <c r="Q259" i="1"/>
  <c r="Q392" i="1"/>
  <c r="P202" i="1"/>
  <c r="Q130" i="1"/>
  <c r="N335" i="1"/>
  <c r="O335" i="1" s="1"/>
  <c r="Q140" i="1"/>
  <c r="P233" i="1"/>
  <c r="Q152" i="1"/>
  <c r="N274" i="1"/>
  <c r="Q274" i="1" s="1"/>
  <c r="Q131" i="1"/>
  <c r="N146" i="1"/>
  <c r="P146" i="1" s="1"/>
  <c r="O146" i="1"/>
  <c r="R194" i="1"/>
  <c r="N364" i="1"/>
  <c r="Q364" i="1" s="1"/>
  <c r="N292" i="1"/>
  <c r="P292" i="1" s="1"/>
  <c r="P154" i="1"/>
  <c r="N177" i="1"/>
  <c r="O177" i="1" s="1"/>
  <c r="O155" i="1"/>
  <c r="P155" i="1"/>
  <c r="Q167" i="1"/>
  <c r="P339" i="1"/>
  <c r="R339" i="1" s="1"/>
  <c r="Q339" i="1"/>
  <c r="P48" i="1"/>
  <c r="P392" i="1"/>
  <c r="R392" i="1" s="1"/>
  <c r="N123" i="1"/>
  <c r="O123" i="1"/>
  <c r="P140" i="1"/>
  <c r="N353" i="1"/>
  <c r="O353" i="1" s="1"/>
  <c r="N131" i="1"/>
  <c r="P131" i="1" s="1"/>
  <c r="O131" i="1"/>
  <c r="O44" i="1"/>
  <c r="R44" i="1" s="1"/>
  <c r="N322" i="1"/>
  <c r="Q322" i="1" s="1"/>
  <c r="O322" i="1"/>
  <c r="Q18" i="1"/>
  <c r="P29" i="1"/>
  <c r="Q29" i="1"/>
  <c r="Q347" i="1"/>
  <c r="N377" i="1"/>
  <c r="P377" i="1" s="1"/>
  <c r="Q62" i="1"/>
  <c r="N154" i="1"/>
  <c r="Q154" i="1" s="1"/>
  <c r="O154" i="1"/>
  <c r="R154" i="1" s="1"/>
  <c r="Q192" i="1"/>
  <c r="Q27" i="1"/>
  <c r="N48" i="1"/>
  <c r="Q48" i="1" s="1"/>
  <c r="Q397" i="1"/>
  <c r="Q210" i="1"/>
  <c r="Q20" i="1"/>
  <c r="N140" i="1"/>
  <c r="O140" i="1" s="1"/>
  <c r="R140" i="1" s="1"/>
  <c r="Q126" i="1"/>
  <c r="N233" i="1"/>
  <c r="O233" i="1"/>
  <c r="N365" i="1"/>
  <c r="P365" i="1" s="1"/>
  <c r="O365" i="1"/>
  <c r="O235" i="1"/>
  <c r="R235" i="1" s="1"/>
  <c r="N298" i="1"/>
  <c r="Q298" i="1" s="1"/>
  <c r="Q424" i="1"/>
  <c r="Q51" i="1"/>
  <c r="N347" i="1"/>
  <c r="P347" i="1" s="1"/>
  <c r="O347" i="1"/>
  <c r="Q83" i="1"/>
  <c r="N192" i="1"/>
  <c r="O192" i="1" s="1"/>
  <c r="P192" i="1"/>
  <c r="N167" i="1"/>
  <c r="O167" i="1"/>
  <c r="N397" i="1"/>
  <c r="P397" i="1" s="1"/>
  <c r="N97" i="1"/>
  <c r="Q97" i="1" s="1"/>
  <c r="P224" i="1"/>
  <c r="Q365" i="1"/>
  <c r="R393" i="1"/>
  <c r="N51" i="1"/>
  <c r="P51" i="1" s="1"/>
  <c r="O51" i="1"/>
  <c r="Q350" i="1"/>
  <c r="N137" i="1"/>
  <c r="P137" i="1" s="1"/>
  <c r="P118" i="1"/>
  <c r="Q217" i="1"/>
  <c r="N27" i="1"/>
  <c r="P27" i="1" s="1"/>
  <c r="O27" i="1"/>
  <c r="R228" i="1"/>
  <c r="N115" i="1"/>
  <c r="P115" i="1" s="1"/>
  <c r="O115" i="1"/>
  <c r="R418" i="1"/>
  <c r="R340" i="1"/>
  <c r="N145" i="1"/>
  <c r="P145" i="1" s="1"/>
  <c r="Q166" i="1"/>
  <c r="P113" i="1"/>
  <c r="N327" i="1"/>
  <c r="Q327" i="1" s="1"/>
  <c r="O327" i="1"/>
  <c r="P293" i="1"/>
  <c r="R293" i="1" s="1"/>
  <c r="P290" i="1"/>
  <c r="Q137" i="1"/>
  <c r="R16" i="1"/>
  <c r="N257" i="1"/>
  <c r="P257" i="1" s="1"/>
  <c r="O257" i="1"/>
  <c r="N30" i="1"/>
  <c r="O30" i="1" s="1"/>
  <c r="Q400" i="1"/>
  <c r="N265" i="1"/>
  <c r="P265" i="1" s="1"/>
  <c r="O265" i="1"/>
  <c r="R265" i="1" s="1"/>
  <c r="N157" i="1"/>
  <c r="O157" i="1"/>
  <c r="P168" i="1"/>
  <c r="O271" i="1"/>
  <c r="R15" i="1"/>
  <c r="Q272" i="1"/>
  <c r="N320" i="1"/>
  <c r="P320" i="1" s="1"/>
  <c r="O320" i="1"/>
  <c r="P165" i="1"/>
  <c r="Q44" i="1"/>
  <c r="N166" i="1"/>
  <c r="P166" i="1" s="1"/>
  <c r="O166" i="1"/>
  <c r="N113" i="1"/>
  <c r="O113" i="1" s="1"/>
  <c r="R113" i="1" s="1"/>
  <c r="N357" i="1"/>
  <c r="O357" i="1"/>
  <c r="P319" i="1"/>
  <c r="Q379" i="1"/>
  <c r="N169" i="1"/>
  <c r="P169" i="1" s="1"/>
  <c r="N65" i="1"/>
  <c r="P65" i="1" s="1"/>
  <c r="Q153" i="1"/>
  <c r="O270" i="1"/>
  <c r="P270" i="1"/>
  <c r="O231" i="1"/>
  <c r="N34" i="1"/>
  <c r="P34" i="1" s="1"/>
  <c r="N150" i="1"/>
  <c r="P150" i="1" s="1"/>
  <c r="O150" i="1"/>
  <c r="P280" i="1"/>
  <c r="Q280" i="1"/>
  <c r="O280" i="1"/>
  <c r="R280" i="1" s="1"/>
  <c r="P111" i="1"/>
  <c r="Q39" i="1"/>
  <c r="P130" i="1"/>
  <c r="R130" i="1" s="1"/>
  <c r="Q239" i="1"/>
  <c r="N251" i="1"/>
  <c r="P251" i="1" s="1"/>
  <c r="O251" i="1"/>
  <c r="P272" i="1"/>
  <c r="R272" i="1" s="1"/>
  <c r="Q113" i="1"/>
  <c r="O330" i="1"/>
  <c r="R330" i="1" s="1"/>
  <c r="N319" i="1"/>
  <c r="O319" i="1"/>
  <c r="R319" i="1" s="1"/>
  <c r="P417" i="1"/>
  <c r="R417" i="1" s="1"/>
  <c r="Q301" i="1"/>
  <c r="Q155" i="1"/>
  <c r="R81" i="1"/>
  <c r="N172" i="1"/>
  <c r="O172" i="1" s="1"/>
  <c r="R411" i="1"/>
  <c r="N107" i="1"/>
  <c r="Q107" i="1" s="1"/>
  <c r="O111" i="1"/>
  <c r="N111" i="1"/>
  <c r="Q111" i="1" s="1"/>
  <c r="P216" i="1"/>
  <c r="Q216" i="1"/>
  <c r="P21" i="1"/>
  <c r="N407" i="1"/>
  <c r="P407" i="1" s="1"/>
  <c r="O407" i="1"/>
  <c r="R387" i="1"/>
  <c r="N21" i="1"/>
  <c r="O21" i="1" s="1"/>
  <c r="Q341" i="1"/>
  <c r="Q22" i="1"/>
  <c r="R422" i="1"/>
  <c r="N185" i="1"/>
  <c r="Q185" i="1" s="1"/>
  <c r="Q319" i="1"/>
  <c r="N391" i="1"/>
  <c r="O391" i="1" s="1"/>
  <c r="N253" i="1"/>
  <c r="Q253" i="1" s="1"/>
  <c r="O253" i="1"/>
  <c r="N13" i="1"/>
  <c r="O13" i="1" s="1"/>
  <c r="N359" i="1"/>
  <c r="P359" i="1" s="1"/>
  <c r="O359" i="1"/>
  <c r="N112" i="1"/>
  <c r="N243" i="1"/>
  <c r="Q243" i="1" s="1"/>
  <c r="Q70" i="1"/>
  <c r="P35" i="1"/>
  <c r="N401" i="1"/>
  <c r="Q401" i="1" s="1"/>
  <c r="O401" i="1"/>
  <c r="P132" i="1"/>
  <c r="R132" i="1" s="1"/>
  <c r="N256" i="1"/>
  <c r="O256" i="1" s="1"/>
  <c r="R151" i="1"/>
  <c r="N22" i="1"/>
  <c r="O22" i="1"/>
  <c r="Q242" i="1"/>
  <c r="R396" i="1"/>
  <c r="R74" i="1"/>
  <c r="N301" i="1"/>
  <c r="P301" i="1" s="1"/>
  <c r="O301" i="1"/>
  <c r="Q399" i="1"/>
  <c r="N70" i="1"/>
  <c r="P70" i="1" s="1"/>
  <c r="O70" i="1"/>
  <c r="Q24" i="1"/>
  <c r="R24" i="1" s="1"/>
  <c r="N299" i="1"/>
  <c r="Q299" i="1" s="1"/>
  <c r="O299" i="1"/>
  <c r="N59" i="1"/>
  <c r="Q59" i="1" s="1"/>
  <c r="Q288" i="1"/>
  <c r="R414" i="1"/>
  <c r="R371" i="1"/>
  <c r="R404" i="1"/>
  <c r="R306" i="1"/>
  <c r="Q26" i="1"/>
  <c r="N26" i="1"/>
  <c r="P242" i="1"/>
  <c r="R206" i="1"/>
  <c r="R261" i="1"/>
  <c r="N189" i="1"/>
  <c r="P189" i="1" s="1"/>
  <c r="O189" i="1"/>
  <c r="N55" i="1"/>
  <c r="O55" i="1"/>
  <c r="Q98" i="1"/>
  <c r="Q270" i="1"/>
  <c r="N289" i="1"/>
  <c r="P289" i="1" s="1"/>
  <c r="O289" i="1"/>
  <c r="Q268" i="1"/>
  <c r="P103" i="1"/>
  <c r="R103" i="1" s="1"/>
  <c r="P266" i="1"/>
  <c r="R266" i="1" s="1"/>
  <c r="N241" i="1"/>
  <c r="P241" i="1" s="1"/>
  <c r="N95" i="1"/>
  <c r="O95" i="1" s="1"/>
  <c r="P218" i="1"/>
  <c r="R218" i="1" s="1"/>
  <c r="P133" i="1"/>
  <c r="P332" i="1"/>
  <c r="P43" i="1"/>
  <c r="N110" i="1"/>
  <c r="P110" i="1" s="1"/>
  <c r="O110" i="1"/>
  <c r="Q33" i="1"/>
  <c r="Q78" i="1"/>
  <c r="N305" i="1"/>
  <c r="O305" i="1" s="1"/>
  <c r="Q297" i="1"/>
  <c r="Q103" i="1"/>
  <c r="Q95" i="1"/>
  <c r="N46" i="1"/>
  <c r="P46" i="1" s="1"/>
  <c r="O46" i="1"/>
  <c r="R124" i="1"/>
  <c r="N238" i="1"/>
  <c r="P238" i="1" s="1"/>
  <c r="O238" i="1"/>
  <c r="Q209" i="1"/>
  <c r="N50" i="1"/>
  <c r="P50" i="1" s="1"/>
  <c r="N193" i="1"/>
  <c r="P193" i="1" s="1"/>
  <c r="O193" i="1"/>
  <c r="N294" i="1"/>
  <c r="O294" i="1" s="1"/>
  <c r="R294" i="1" s="1"/>
  <c r="Q323" i="1"/>
  <c r="N91" i="1"/>
  <c r="Q91" i="1" s="1"/>
  <c r="O91" i="1"/>
  <c r="P337" i="1"/>
  <c r="R337" i="1" s="1"/>
  <c r="R213" i="1"/>
  <c r="P309" i="1"/>
  <c r="Q395" i="1"/>
  <c r="Q180" i="1"/>
  <c r="P221" i="1"/>
  <c r="P352" i="1"/>
  <c r="Q352" i="1"/>
  <c r="N372" i="1"/>
  <c r="O372" i="1" s="1"/>
  <c r="R372" i="1" s="1"/>
  <c r="Q285" i="1"/>
  <c r="Q261" i="1"/>
  <c r="Q249" i="1"/>
  <c r="N163" i="1"/>
  <c r="P163" i="1" s="1"/>
  <c r="O163" i="1"/>
  <c r="R163" i="1" s="1"/>
  <c r="P391" i="1"/>
  <c r="P304" i="1"/>
  <c r="P227" i="1"/>
  <c r="N237" i="1"/>
  <c r="Q237" i="1" s="1"/>
  <c r="M10" i="1"/>
  <c r="K10" i="1"/>
  <c r="O389" i="1" l="1"/>
  <c r="Q389" i="1"/>
  <c r="R23" i="1"/>
  <c r="P389" i="1"/>
  <c r="O97" i="1"/>
  <c r="R97" i="1" s="1"/>
  <c r="P256" i="1"/>
  <c r="O48" i="1"/>
  <c r="R48" i="1" s="1"/>
  <c r="R322" i="1"/>
  <c r="P73" i="1"/>
  <c r="O122" i="1"/>
  <c r="R122" i="1" s="1"/>
  <c r="P25" i="1"/>
  <c r="Q160" i="1"/>
  <c r="O160" i="1"/>
  <c r="R160" i="1" s="1"/>
  <c r="O313" i="1"/>
  <c r="R313" i="1" s="1"/>
  <c r="R416" i="1"/>
  <c r="R14" i="1"/>
  <c r="R317" i="1"/>
  <c r="R333" i="1"/>
  <c r="P298" i="1"/>
  <c r="O241" i="1"/>
  <c r="O26" i="1"/>
  <c r="P26" i="1"/>
  <c r="Q190" i="1"/>
  <c r="R190" i="1" s="1"/>
  <c r="O185" i="1"/>
  <c r="Q13" i="1"/>
  <c r="R271" i="1"/>
  <c r="O397" i="1"/>
  <c r="R397" i="1" s="1"/>
  <c r="O298" i="1"/>
  <c r="R298" i="1" s="1"/>
  <c r="P354" i="1"/>
  <c r="O274" i="1"/>
  <c r="R274" i="1" s="1"/>
  <c r="P335" i="1"/>
  <c r="R335" i="1" s="1"/>
  <c r="P95" i="1"/>
  <c r="R95" i="1" s="1"/>
  <c r="P186" i="1"/>
  <c r="O180" i="1"/>
  <c r="R180" i="1" s="1"/>
  <c r="O75" i="1"/>
  <c r="P38" i="1"/>
  <c r="P253" i="1"/>
  <c r="Q320" i="1"/>
  <c r="R320" i="1" s="1"/>
  <c r="O179" i="1"/>
  <c r="O354" i="1"/>
  <c r="Q179" i="1"/>
  <c r="Q196" i="1"/>
  <c r="R196" i="1" s="1"/>
  <c r="Q146" i="1"/>
  <c r="R146" i="1" s="1"/>
  <c r="P89" i="1"/>
  <c r="O168" i="1"/>
  <c r="R168" i="1" s="1"/>
  <c r="P20" i="1"/>
  <c r="R20" i="1" s="1"/>
  <c r="R299" i="1"/>
  <c r="R347" i="1"/>
  <c r="R200" i="1"/>
  <c r="O99" i="1"/>
  <c r="Q99" i="1"/>
  <c r="R128" i="1"/>
  <c r="R234" i="1"/>
  <c r="O211" i="1"/>
  <c r="R211" i="1" s="1"/>
  <c r="O25" i="1"/>
  <c r="R25" i="1" s="1"/>
  <c r="R82" i="1"/>
  <c r="Q334" i="1"/>
  <c r="R334" i="1" s="1"/>
  <c r="P13" i="1"/>
  <c r="R13" i="1" s="1"/>
  <c r="Q115" i="1"/>
  <c r="R115" i="1" s="1"/>
  <c r="R135" i="1"/>
  <c r="R304" i="1"/>
  <c r="Q189" i="1"/>
  <c r="R342" i="1"/>
  <c r="R83" i="1"/>
  <c r="R70" i="1"/>
  <c r="O169" i="1"/>
  <c r="R27" i="1"/>
  <c r="P308" i="1"/>
  <c r="Q257" i="1"/>
  <c r="R257" i="1" s="1"/>
  <c r="R94" i="1"/>
  <c r="P244" i="1"/>
  <c r="Q244" i="1"/>
  <c r="P185" i="1"/>
  <c r="R114" i="1"/>
  <c r="R43" i="1"/>
  <c r="Q345" i="1"/>
  <c r="P23" i="1"/>
  <c r="O345" i="1"/>
  <c r="R424" i="1"/>
  <c r="R281" i="1"/>
  <c r="Q238" i="1"/>
  <c r="R238" i="1" s="1"/>
  <c r="O300" i="1"/>
  <c r="P355" i="1"/>
  <c r="P223" i="1"/>
  <c r="R223" i="1" s="1"/>
  <c r="Q308" i="1"/>
  <c r="R308" i="1" s="1"/>
  <c r="Q223" i="1"/>
  <c r="R327" i="1"/>
  <c r="Q73" i="1"/>
  <c r="R73" i="1" s="1"/>
  <c r="P149" i="1"/>
  <c r="P424" i="1"/>
  <c r="R178" i="1"/>
  <c r="P107" i="1"/>
  <c r="Q305" i="1"/>
  <c r="R305" i="1" s="1"/>
  <c r="P211" i="1"/>
  <c r="O137" i="1"/>
  <c r="R137" i="1" s="1"/>
  <c r="Q177" i="1"/>
  <c r="R177" i="1" s="1"/>
  <c r="R120" i="1"/>
  <c r="Q150" i="1"/>
  <c r="R150" i="1" s="1"/>
  <c r="O52" i="1"/>
  <c r="R52" i="1" s="1"/>
  <c r="O152" i="1"/>
  <c r="R152" i="1" s="1"/>
  <c r="R289" i="1"/>
  <c r="P357" i="1"/>
  <c r="R357" i="1" s="1"/>
  <c r="Q357" i="1"/>
  <c r="R195" i="1"/>
  <c r="Q342" i="1"/>
  <c r="R395" i="1"/>
  <c r="Q200" i="1"/>
  <c r="R231" i="1"/>
  <c r="R285" i="1"/>
  <c r="Q149" i="1"/>
  <c r="R149" i="1" s="1"/>
  <c r="R136" i="1"/>
  <c r="O86" i="1"/>
  <c r="R86" i="1" s="1"/>
  <c r="R408" i="1"/>
  <c r="Q256" i="1"/>
  <c r="O60" i="1"/>
  <c r="R60" i="1" s="1"/>
  <c r="R193" i="1"/>
  <c r="Q172" i="1"/>
  <c r="R172" i="1" s="1"/>
  <c r="R51" i="1"/>
  <c r="O221" i="1"/>
  <c r="R221" i="1" s="1"/>
  <c r="R98" i="1"/>
  <c r="R54" i="1"/>
  <c r="Q120" i="1"/>
  <c r="R39" i="1"/>
  <c r="R215" i="1"/>
  <c r="O134" i="1"/>
  <c r="R134" i="1" s="1"/>
  <c r="Q136" i="1"/>
  <c r="Q105" i="1"/>
  <c r="R105" i="1" s="1"/>
  <c r="Q66" i="1"/>
  <c r="R66" i="1" s="1"/>
  <c r="Q129" i="1"/>
  <c r="R129" i="1" s="1"/>
  <c r="P299" i="1"/>
  <c r="R189" i="1"/>
  <c r="R256" i="1"/>
  <c r="R407" i="1"/>
  <c r="R38" i="1"/>
  <c r="R253" i="1"/>
  <c r="O65" i="1"/>
  <c r="P99" i="1"/>
  <c r="R401" i="1"/>
  <c r="O106" i="1"/>
  <c r="R250" i="1"/>
  <c r="Q65" i="1"/>
  <c r="Q311" i="1"/>
  <c r="R311" i="1" s="1"/>
  <c r="R117" i="1"/>
  <c r="R184" i="1"/>
  <c r="R391" i="1"/>
  <c r="O89" i="1"/>
  <c r="R290" i="1"/>
  <c r="R399" i="1"/>
  <c r="Q135" i="1"/>
  <c r="O332" i="1"/>
  <c r="R332" i="1" s="1"/>
  <c r="R35" i="1"/>
  <c r="R111" i="1"/>
  <c r="Q117" i="1"/>
  <c r="Q241" i="1"/>
  <c r="R224" i="1"/>
  <c r="R18" i="1"/>
  <c r="R17" i="1"/>
  <c r="R301" i="1"/>
  <c r="R157" i="1"/>
  <c r="R155" i="1"/>
  <c r="O244" i="1"/>
  <c r="O121" i="1"/>
  <c r="R325" i="1"/>
  <c r="P401" i="1"/>
  <c r="P30" i="1"/>
  <c r="R30" i="1" s="1"/>
  <c r="R19" i="1"/>
  <c r="O355" i="1"/>
  <c r="O243" i="1"/>
  <c r="R243" i="1" s="1"/>
  <c r="O107" i="1"/>
  <c r="R107" i="1" s="1"/>
  <c r="Q82" i="1"/>
  <c r="Q157" i="1"/>
  <c r="P157" i="1"/>
  <c r="R365" i="1"/>
  <c r="R131" i="1"/>
  <c r="R297" i="1"/>
  <c r="R186" i="1"/>
  <c r="Q374" i="1"/>
  <c r="R374" i="1" s="1"/>
  <c r="O326" i="1"/>
  <c r="Q326" i="1"/>
  <c r="P237" i="1"/>
  <c r="R167" i="1"/>
  <c r="O102" i="1"/>
  <c r="R102" i="1" s="1"/>
  <c r="R118" i="1"/>
  <c r="R165" i="1"/>
  <c r="Q114" i="1"/>
  <c r="Q142" i="1"/>
  <c r="R142" i="1" s="1"/>
  <c r="Q138" i="1"/>
  <c r="R138" i="1" s="1"/>
  <c r="Q112" i="1"/>
  <c r="P112" i="1"/>
  <c r="O34" i="1"/>
  <c r="R34" i="1" s="1"/>
  <c r="Q416" i="1"/>
  <c r="R233" i="1"/>
  <c r="R420" i="1"/>
  <c r="O268" i="1"/>
  <c r="R268" i="1" s="1"/>
  <c r="R133" i="1"/>
  <c r="Q34" i="1"/>
  <c r="Q14" i="1"/>
  <c r="O112" i="1"/>
  <c r="P172" i="1"/>
  <c r="R251" i="1"/>
  <c r="P353" i="1"/>
  <c r="R353" i="1" s="1"/>
  <c r="Q353" i="1"/>
  <c r="O367" i="1"/>
  <c r="R367" i="1" s="1"/>
  <c r="Q273" i="1"/>
  <c r="R273" i="1" s="1"/>
  <c r="R359" i="1"/>
  <c r="R192" i="1"/>
  <c r="Q292" i="1"/>
  <c r="O292" i="1"/>
  <c r="R292" i="1" s="1"/>
  <c r="Q46" i="1"/>
  <c r="R46" i="1" s="1"/>
  <c r="P75" i="1"/>
  <c r="P201" i="1"/>
  <c r="R201" i="1" s="1"/>
  <c r="P247" i="1"/>
  <c r="R247" i="1" s="1"/>
  <c r="Q289" i="1"/>
  <c r="R217" i="1"/>
  <c r="R126" i="1"/>
  <c r="O41" i="1"/>
  <c r="R41" i="1" s="1"/>
  <c r="P300" i="1"/>
  <c r="P106" i="1"/>
  <c r="O174" i="1"/>
  <c r="R174" i="1" s="1"/>
  <c r="Q407" i="1"/>
  <c r="R22" i="1"/>
  <c r="R166" i="1"/>
  <c r="O145" i="1"/>
  <c r="R145" i="1" s="1"/>
  <c r="P384" i="1"/>
  <c r="R384" i="1" s="1"/>
  <c r="R110" i="1"/>
  <c r="R55" i="1"/>
  <c r="Q169" i="1"/>
  <c r="R270" i="1"/>
  <c r="P327" i="1"/>
  <c r="R123" i="1"/>
  <c r="O364" i="1"/>
  <c r="R364" i="1" s="1"/>
  <c r="Q158" i="1"/>
  <c r="R158" i="1" s="1"/>
  <c r="R309" i="1"/>
  <c r="O11" i="1"/>
  <c r="Q11" i="1"/>
  <c r="P91" i="1"/>
  <c r="R91" i="1" s="1"/>
  <c r="Q191" i="1"/>
  <c r="P191" i="1"/>
  <c r="Q234" i="1"/>
  <c r="R28" i="1"/>
  <c r="Q30" i="1"/>
  <c r="R69" i="1"/>
  <c r="Q408" i="1"/>
  <c r="R125" i="1"/>
  <c r="Q121" i="1"/>
  <c r="R57" i="1"/>
  <c r="R323" i="1"/>
  <c r="R296" i="1"/>
  <c r="O237" i="1"/>
  <c r="R237" i="1" s="1"/>
  <c r="O50" i="1"/>
  <c r="R50" i="1" s="1"/>
  <c r="O59" i="1"/>
  <c r="R59" i="1" s="1"/>
  <c r="Q174" i="1"/>
  <c r="Q21" i="1"/>
  <c r="R21" i="1" s="1"/>
  <c r="O377" i="1"/>
  <c r="R377" i="1" s="1"/>
  <c r="P60" i="1"/>
  <c r="P250" i="1"/>
  <c r="O191" i="1"/>
  <c r="R191" i="1" s="1"/>
  <c r="R400" i="1"/>
  <c r="P364" i="1"/>
  <c r="O209" i="1"/>
  <c r="R209" i="1" s="1"/>
  <c r="Q310" i="1"/>
  <c r="R310" i="1" s="1"/>
  <c r="N10" i="1"/>
  <c r="P10" i="1" s="1"/>
  <c r="R241" i="1" l="1"/>
  <c r="R389" i="1"/>
  <c r="R106" i="1"/>
  <c r="R300" i="1"/>
  <c r="R112" i="1"/>
  <c r="R355" i="1"/>
  <c r="R354" i="1"/>
  <c r="R185" i="1"/>
  <c r="R65" i="1"/>
  <c r="R179" i="1"/>
  <c r="R345" i="1"/>
  <c r="R169" i="1"/>
  <c r="R26" i="1"/>
  <c r="R326" i="1"/>
  <c r="R121" i="1"/>
  <c r="R99" i="1"/>
  <c r="R75" i="1"/>
  <c r="R11" i="1"/>
  <c r="R244" i="1"/>
  <c r="R89" i="1"/>
  <c r="Q10" i="1"/>
  <c r="O10" i="1"/>
  <c r="R10" i="1" l="1"/>
</calcChain>
</file>

<file path=xl/sharedStrings.xml><?xml version="1.0" encoding="utf-8"?>
<sst xmlns="http://schemas.openxmlformats.org/spreadsheetml/2006/main" count="874" uniqueCount="33">
  <si>
    <t>취사용</t>
  </si>
  <si>
    <t>상품</t>
  </si>
  <si>
    <t>상품</t>
    <phoneticPr fontId="1" type="noConversion"/>
  </si>
  <si>
    <t>서비스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</si>
  <si>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</si>
  <si>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</si>
  <si>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</si>
  <si>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</si>
  <si>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</si>
  <si>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</si>
  <si>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</si>
  <si>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</si>
  <si>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 합계</t>
    <phoneticPr fontId="1" type="noConversion"/>
  </si>
  <si>
    <t>보정공급량합계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</si>
  <si>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</si>
  <si>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</si>
  <si>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</si>
  <si>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총합계</t>
  </si>
  <si>
    <t>합계 : 보정공급량합계</t>
  </si>
  <si>
    <t>공급월</t>
    <phoneticPr fontId="1" type="noConversion"/>
  </si>
  <si>
    <t>서비스</t>
  </si>
  <si>
    <t>2026년 1월</t>
    <phoneticPr fontId="1" type="noConversion"/>
  </si>
  <si>
    <t>1월 공급량</t>
    <phoneticPr fontId="1" type="noConversion"/>
  </si>
  <si>
    <t>1월보정공급량</t>
    <phoneticPr fontId="1" type="noConversion"/>
  </si>
  <si>
    <t>합계 : 1월보정공급량</t>
  </si>
  <si>
    <t>2026년 2월</t>
    <phoneticPr fontId="1" type="noConversion"/>
  </si>
  <si>
    <t>2월 공급량</t>
    <phoneticPr fontId="1" type="noConversion"/>
  </si>
  <si>
    <t>2월보정공급량</t>
    <phoneticPr fontId="1" type="noConversion"/>
  </si>
  <si>
    <t>합계 : 2월보정공급량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</si>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</sst>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18.628038194445" createdVersion="8" refreshedVersion="8" minRefreshableVersion="3" recordCount="416" xr:uid="{4B64D59C-D8DF-4D85-B1BD-C23DFD504DD5}">
  <cacheSource type="worksheet">
    <worksheetSource ref="A9:R425" sheet="2월계산내역"/>
  </cacheSource>
  <cacheFields count="18">
    <cacheField name="상품" numFmtId="0">
      <sharedItems count="1">
        <s v="취사용"/>
      </sharedItems>
    </cacheField>
    <cacheField name="서비스" numFmtId="0">
      <sharedItems count="1">
        <s v="취사용"/>
      </sharedItems>
    </cacheField>
    <cacheField name="이전일수" numFmtId="0">
      <sharedItems containsSemiMixedTypes="0" containsString="0" containsNumber="1" containsInteger="1" minValue="0" maxValue="31"/>
    </cacheField>
    <cacheField name="당월일수" numFmtId="0">
      <sharedItems containsSemiMixedTypes="0" containsString="0" containsNumber="1" containsInteger="1" minValue="2" maxValue="28"/>
    </cacheField>
    <cacheField name="이후일수" numFmtId="0">
      <sharedItems containsSemiMixedTypes="0" containsString="0" containsNumber="1" containsInteger="1" minValue="0" maxValue="30"/>
    </cacheField>
    <cacheField name="사용기간시작일" numFmtId="0">
      <sharedItems containsSemiMixedTypes="0" containsString="0" containsNumber="1" containsInteger="1" minValue="20251226" maxValue="20260226"/>
    </cacheField>
    <cacheField name="사용기간종료일" numFmtId="0">
      <sharedItems containsSemiMixedTypes="0" containsString="0" containsNumber="1" containsInteger="1" minValue="20260202" maxValue="20260330"/>
    </cacheField>
    <cacheField name="사용열량" numFmtId="0">
      <sharedItems containsSemiMixedTypes="0" containsString="0" containsNumber="1" minValue="42.020200000000003" maxValue="7345996.4256999996"/>
    </cacheField>
    <cacheField name="총일수" numFmtId="0">
      <sharedItems containsSemiMixedTypes="0" containsString="0" containsNumber="1" containsInteger="1" minValue="6" maxValue="70"/>
    </cacheField>
    <cacheField name="일평균" numFmtId="0">
      <sharedItems containsSemiMixedTypes="0" containsString="0" containsNumber="1" minValue="0.63779393939393936" maxValue="124508.41399491524"/>
    </cacheField>
    <cacheField name="1월 공급량" numFmtId="0">
      <sharedItems containsSemiMixedTypes="0" containsString="0" containsNumber="1" minValue="0" maxValue="4530280.4831358567"/>
    </cacheField>
    <cacheField name="2월 공급량" numFmtId="0">
      <sharedItems containsSemiMixedTypes="0" containsString="0" containsNumber="1" minValue="5.2525250000000003" maxValue="3486235.591857627"/>
    </cacheField>
    <cacheField name="3월 공급량" numFmtId="0">
      <sharedItems containsSemiMixedTypes="0" containsString="0" containsNumber="1" minValue="0" maxValue="91796.075242001258"/>
    </cacheField>
    <cacheField name="공급량 합계" numFmtId="0">
      <sharedItems containsSemiMixedTypes="0" containsString="0" containsNumber="1" minValue="36.822091166942108" maxValue="8108312.1502354853"/>
    </cacheField>
    <cacheField name="1월보정공급량" numFmtId="0">
      <sharedItems containsSemiMixedTypes="0" containsString="0" containsNumber="1" minValue="0" maxValue="4104359.0355075262"/>
    </cacheField>
    <cacheField name="2월보정공급량" numFmtId="0">
      <sharedItems containsSemiMixedTypes="0" containsString="0" containsNumber="1" minValue="4.42788101074248" maxValue="3158471.6673975699"/>
    </cacheField>
    <cacheField name="3월보정공급량" numFmtId="0">
      <sharedItems containsSemiMixedTypes="0" containsString="0" containsNumber="1" minValue="0" maxValue="83165.722794903151"/>
    </cacheField>
    <cacheField name="보정공급량합계" numFmtId="0">
      <sharedItems containsSemiMixedTypes="0" containsString="0" containsNumber="1" minValue="42.020200000000003" maxValue="7345996.4256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x v="0"/>
    <x v="0"/>
    <n v="27"/>
    <n v="6"/>
    <n v="0"/>
    <n v="20260105"/>
    <n v="20260206"/>
    <n v="84.050399999999996"/>
    <n v="33"/>
    <n v="2.546981818181818"/>
    <n v="83.405510410356442"/>
    <n v="15.281890909090908"/>
    <n v="0"/>
    <n v="98.687401319447346"/>
    <n v="71.035070520325675"/>
    <n v="13.01532947967433"/>
    <n v="0"/>
    <n v="84.05040000000001"/>
  </r>
  <r>
    <x v="0"/>
    <x v="0"/>
    <n v="30"/>
    <n v="6"/>
    <n v="0"/>
    <n v="20260102"/>
    <n v="20260206"/>
    <n v="1008.4147"/>
    <n v="36"/>
    <n v="28.011519444444446"/>
    <n v="1019.2085480048734"/>
    <n v="168.06911666666667"/>
    <n v="0"/>
    <n v="1187.2776646715402"/>
    <n v="865.66513694006562"/>
    <n v="142.74956305993442"/>
    <n v="0"/>
    <n v="1008.4147"/>
  </r>
  <r>
    <x v="0"/>
    <x v="0"/>
    <n v="25"/>
    <n v="27"/>
    <n v="0"/>
    <n v="20260107"/>
    <n v="20260227"/>
    <n v="42.086399999999998"/>
    <n v="52"/>
    <n v="0.80935384615384609"/>
    <n v="24.540509723647059"/>
    <n v="21.852553846153846"/>
    <n v="0"/>
    <n v="46.393063569800901"/>
    <n v="22.262416597674406"/>
    <n v="19.823983402325592"/>
    <n v="0"/>
    <n v="42.086399999999998"/>
  </r>
  <r>
    <x v="0"/>
    <x v="0"/>
    <n v="29"/>
    <n v="21"/>
    <n v="0"/>
    <n v="20260103"/>
    <n v="20260221"/>
    <n v="420.54829999999998"/>
    <n v="50"/>
    <n v="8.4109660000000002"/>
    <n v="295.83463019470742"/>
    <n v="176.63028600000001"/>
    <n v="0"/>
    <n v="472.46491619470743"/>
    <n v="263.32696152668643"/>
    <n v="157.22133847331352"/>
    <n v="0"/>
    <n v="420.54829999999993"/>
  </r>
  <r>
    <x v="0"/>
    <x v="0"/>
    <n v="29"/>
    <n v="24"/>
    <n v="0"/>
    <n v="20260103"/>
    <n v="20260224"/>
    <n v="210.30869999999999"/>
    <n v="53"/>
    <n v="3.968088679245283"/>
    <n v="139.56756536696656"/>
    <n v="95.234128301886784"/>
    <n v="0"/>
    <n v="234.80169366885335"/>
    <n v="125.00877985951837"/>
    <n v="85.299920140481603"/>
    <n v="0"/>
    <n v="210.30869999999999"/>
  </r>
  <r>
    <x v="0"/>
    <x v="0"/>
    <n v="25"/>
    <n v="21"/>
    <n v="0"/>
    <n v="20260107"/>
    <n v="20260221"/>
    <n v="42.067700000000002"/>
    <n v="46"/>
    <n v="0.91451521739130437"/>
    <n v="27.729119582819028"/>
    <n v="19.204819565217392"/>
    <n v="0"/>
    <n v="46.933939148036416"/>
    <n v="24.854088641374119"/>
    <n v="17.213611358625883"/>
    <n v="0"/>
    <n v="42.067700000000002"/>
  </r>
  <r>
    <x v="0"/>
    <x v="0"/>
    <n v="30"/>
    <n v="14"/>
    <n v="0"/>
    <n v="20260102"/>
    <n v="20260214"/>
    <n v="546.58429999999998"/>
    <n v="44"/>
    <n v="12.422370454545455"/>
    <n v="451.99212341431837"/>
    <n v="173.91318636363636"/>
    <n v="0"/>
    <n v="625.9053097779547"/>
    <n v="394.71114004380723"/>
    <n v="151.87315995619281"/>
    <n v="0"/>
    <n v="546.58429999999998"/>
  </r>
  <r>
    <x v="0"/>
    <x v="0"/>
    <n v="30"/>
    <n v="28"/>
    <n v="1"/>
    <n v="20260102"/>
    <n v="20260301"/>
    <n v="7345996.4256999996"/>
    <n v="59"/>
    <n v="124508.41399491524"/>
    <n v="4530280.4831358567"/>
    <n v="3486235.591857627"/>
    <n v="91796.075242001258"/>
    <n v="8108312.1502354853"/>
    <n v="4104359.0355075262"/>
    <n v="3158471.6673975699"/>
    <n v="83165.722794903151"/>
    <n v="7345996.4256999996"/>
  </r>
  <r>
    <x v="0"/>
    <x v="0"/>
    <n v="30"/>
    <n v="28"/>
    <n v="8"/>
    <n v="20260102"/>
    <n v="20260308"/>
    <n v="83883.451799999995"/>
    <n v="66"/>
    <n v="1270.9613909090908"/>
    <n v="46244.357303352983"/>
    <n v="35586.918945454541"/>
    <n v="7496.3137816105555"/>
    <n v="89327.590030418083"/>
    <n v="43425.959611771155"/>
    <n v="33418.046978039252"/>
    <n v="7039.4452101895758"/>
    <n v="83883.451799999981"/>
  </r>
  <r>
    <x v="0"/>
    <x v="0"/>
    <n v="27"/>
    <n v="28"/>
    <n v="4"/>
    <n v="20260105"/>
    <n v="20260304"/>
    <n v="208500.18059999999"/>
    <n v="59"/>
    <n v="3533.9013661016947"/>
    <n v="115723.96986719558"/>
    <n v="98949.238250847455"/>
    <n v="10421.730236278816"/>
    <n v="225094.93835432184"/>
    <n v="107192.40864971663"/>
    <n v="91654.366803481724"/>
    <n v="9653.4051468016642"/>
    <n v="208500.18060000002"/>
  </r>
  <r>
    <x v="0"/>
    <x v="0"/>
    <n v="30"/>
    <n v="28"/>
    <n v="9"/>
    <n v="20260102"/>
    <n v="20260309"/>
    <n v="36343.631999999998"/>
    <n v="67"/>
    <n v="542.44226865671635"/>
    <n v="19736.944227912314"/>
    <n v="15188.383522388058"/>
    <n v="3599.3281690246718"/>
    <n v="38524.655919325043"/>
    <n v="18619.562477751952"/>
    <n v="14328.512695051384"/>
    <n v="3395.5568271966622"/>
    <n v="36343.631999999998"/>
  </r>
  <r>
    <x v="0"/>
    <x v="0"/>
    <n v="24"/>
    <n v="28"/>
    <n v="7"/>
    <n v="20260108"/>
    <n v="20260307"/>
    <n v="83078.275299999994"/>
    <n v="59"/>
    <n v="1408.106361016949"/>
    <n v="40987.538501647286"/>
    <n v="39426.97810847457"/>
    <n v="7267.0627889414618"/>
    <n v="87681.57939906331"/>
    <n v="38835.682829244062"/>
    <n v="37357.052233686329"/>
    <n v="6885.5402370696138"/>
    <n v="83078.275299999994"/>
  </r>
  <r>
    <x v="0"/>
    <x v="0"/>
    <n v="24"/>
    <n v="28"/>
    <n v="5"/>
    <n v="20260108"/>
    <n v="20260305"/>
    <n v="60694.988499999999"/>
    <n v="57"/>
    <n v="1064.8243596491227"/>
    <n v="30995.193720373372"/>
    <n v="29815.082070175435"/>
    <n v="3925.3048810764917"/>
    <n v="64735.580671625299"/>
    <n v="29060.570815856125"/>
    <n v="27954.118038351728"/>
    <n v="3680.2996457921467"/>
    <n v="60694.988499999999"/>
  </r>
  <r>
    <x v="0"/>
    <x v="0"/>
    <n v="29"/>
    <n v="28"/>
    <n v="6"/>
    <n v="20260103"/>
    <n v="20260306"/>
    <n v="23580.0321"/>
    <n v="63"/>
    <n v="374.28622380952379"/>
    <n v="13164.579027862432"/>
    <n v="10480.014266666665"/>
    <n v="1655.6956398593288"/>
    <n v="25300.288934388427"/>
    <n v="12269.472371046921"/>
    <n v="9767.4407378237884"/>
    <n v="1543.1189911292902"/>
    <n v="23580.032099999997"/>
  </r>
  <r>
    <x v="0"/>
    <x v="0"/>
    <n v="24"/>
    <n v="28"/>
    <n v="4"/>
    <n v="20260108"/>
    <n v="20260304"/>
    <n v="39082.8194"/>
    <n v="56"/>
    <n v="697.90748928571429"/>
    <n v="20314.878818548204"/>
    <n v="19541.4097"/>
    <n v="2058.1795669180701"/>
    <n v="41914.468085466273"/>
    <n v="18942.450572896789"/>
    <n v="18221.235315910657"/>
    <n v="1919.1335111925544"/>
    <n v="39082.8194"/>
  </r>
  <r>
    <x v="0"/>
    <x v="0"/>
    <n v="24"/>
    <n v="28"/>
    <n v="10"/>
    <n v="20260108"/>
    <n v="20260310"/>
    <n v="84.269800000000004"/>
    <n v="62"/>
    <n v="1.3591903225806452"/>
    <n v="39.563677304608127"/>
    <n v="38.057329032258068"/>
    <n v="10.020875948585147"/>
    <n v="87.641882285451345"/>
    <n v="38.041437344589276"/>
    <n v="36.593046868129171"/>
    <n v="9.6353157872815505"/>
    <n v="84.269800000000004"/>
  </r>
  <r>
    <x v="0"/>
    <x v="0"/>
    <n v="28"/>
    <n v="28"/>
    <n v="7"/>
    <n v="20260104"/>
    <n v="20260307"/>
    <n v="39165.212"/>
    <n v="63"/>
    <n v="621.67003174603178"/>
    <n v="21111.694810913563"/>
    <n v="17406.76088888889"/>
    <n v="3208.362152017341"/>
    <n v="41726.817851819789"/>
    <n v="19815.649635326059"/>
    <n v="16338.161296354636"/>
    <n v="3011.4010683193105"/>
    <n v="39165.212000000007"/>
  </r>
  <r>
    <x v="0"/>
    <x v="0"/>
    <n v="24"/>
    <n v="28"/>
    <n v="9"/>
    <n v="20260108"/>
    <n v="20260309"/>
    <n v="33033.739000000001"/>
    <n v="61"/>
    <n v="541.5367049180328"/>
    <n v="15763.195989579021"/>
    <n v="15163.027737704919"/>
    <n v="3593.3193801418247"/>
    <n v="34519.543107425765"/>
    <n v="15084.710145354868"/>
    <n v="14510.374577621629"/>
    <n v="3438.6542770235042"/>
    <n v="33033.739000000001"/>
  </r>
  <r>
    <x v="0"/>
    <x v="0"/>
    <n v="16"/>
    <n v="28"/>
    <n v="1"/>
    <n v="20260116"/>
    <n v="20260301"/>
    <n v="2527.5587"/>
    <n v="45"/>
    <n v="56.167971111111115"/>
    <n v="1089.9682685965172"/>
    <n v="1572.7031911111112"/>
    <n v="41.410850374470854"/>
    <n v="2704.0823100820994"/>
    <n v="1018.8146898277737"/>
    <n v="1470.0364772143207"/>
    <n v="38.707532957905485"/>
    <n v="2527.5587"/>
  </r>
  <r>
    <x v="0"/>
    <x v="0"/>
    <n v="23"/>
    <n v="28"/>
    <n v="6"/>
    <n v="20260109"/>
    <n v="20260306"/>
    <n v="23256.812399999999"/>
    <n v="57"/>
    <n v="408.01425263157893"/>
    <n v="11381.730696827341"/>
    <n v="11424.39907368421"/>
    <n v="1804.8952275260804"/>
    <n v="24611.024998037632"/>
    <n v="10755.45515168673"/>
    <n v="10795.775716801421"/>
    <n v="1705.5815315118466"/>
    <n v="23256.812399999995"/>
  </r>
  <r>
    <x v="0"/>
    <x v="0"/>
    <n v="23"/>
    <n v="28"/>
    <n v="10"/>
    <n v="20260109"/>
    <n v="20260310"/>
    <n v="252.84479999999999"/>
    <n v="61"/>
    <n v="4.1449967213114753"/>
    <n v="115.62644225518935"/>
    <n v="116.05990819672131"/>
    <n v="30.559736382385818"/>
    <n v="262.24608683429648"/>
    <n v="111.48133808073845"/>
    <n v="111.89926465732341"/>
    <n v="29.464197261938121"/>
    <n v="252.84479999999999"/>
  </r>
  <r>
    <x v="0"/>
    <x v="0"/>
    <n v="22"/>
    <n v="28"/>
    <n v="7"/>
    <n v="20260110"/>
    <n v="20260307"/>
    <n v="1306.3035"/>
    <n v="57"/>
    <n v="22.917605263157895"/>
    <n v="611.50083042018014"/>
    <n v="641.69294736842107"/>
    <n v="118.27492654692944"/>
    <n v="1371.4687043355307"/>
    <n v="582.44542693943924"/>
    <n v="611.20296833809994"/>
    <n v="112.65510472246079"/>
    <n v="1306.3035"/>
  </r>
  <r>
    <x v="0"/>
    <x v="0"/>
    <n v="27"/>
    <n v="24"/>
    <n v="0"/>
    <n v="20260105"/>
    <n v="20260224"/>
    <n v="546.89260000000002"/>
    <n v="51"/>
    <n v="10.723384313725491"/>
    <n v="351.15654757643728"/>
    <n v="257.3612235294118"/>
    <n v="0"/>
    <n v="608.51777110584908"/>
    <n v="315.59459136600316"/>
    <n v="231.29800863399686"/>
    <n v="0"/>
    <n v="546.89260000000002"/>
  </r>
  <r>
    <x v="0"/>
    <x v="0"/>
    <n v="27"/>
    <n v="21"/>
    <n v="0"/>
    <n v="20260105"/>
    <n v="20260221"/>
    <n v="294.42529999999999"/>
    <n v="48"/>
    <n v="6.1338604166666668"/>
    <n v="200.8643152400565"/>
    <n v="128.81106875"/>
    <n v="0"/>
    <n v="329.6753839900565"/>
    <n v="179.38717643423428"/>
    <n v="115.0381235657657"/>
    <n v="0"/>
    <n v="294.42529999999999"/>
  </r>
  <r>
    <x v="0"/>
    <x v="0"/>
    <n v="23"/>
    <n v="12"/>
    <n v="0"/>
    <n v="20260109"/>
    <n v="20260212"/>
    <n v="42.0657"/>
    <n v="35"/>
    <n v="1.2018771428571429"/>
    <n v="33.526872854180141"/>
    <n v="14.422525714285715"/>
    <n v="0"/>
    <n v="47.949398568465853"/>
    <n v="29.412910641794717"/>
    <n v="12.652789358205288"/>
    <n v="0"/>
    <n v="42.065700000000007"/>
  </r>
  <r>
    <x v="0"/>
    <x v="0"/>
    <n v="28"/>
    <n v="20"/>
    <n v="0"/>
    <n v="20260104"/>
    <n v="20260220"/>
    <n v="84.113600000000005"/>
    <n v="48"/>
    <n v="1.7523666666666669"/>
    <n v="59.509753364785247"/>
    <n v="35.047333333333334"/>
    <n v="0"/>
    <n v="94.557086698118582"/>
    <n v="52.937117305706899"/>
    <n v="31.17648269429311"/>
    <n v="0"/>
    <n v="84.113600000000005"/>
  </r>
  <r>
    <x v="0"/>
    <x v="0"/>
    <n v="19"/>
    <n v="28"/>
    <n v="5"/>
    <n v="20260113"/>
    <n v="20260305"/>
    <n v="1432.5856000000001"/>
    <n v="52"/>
    <n v="27.54972307692308"/>
    <n v="634.85709026039615"/>
    <n v="771.39224615384626"/>
    <n v="101.55765266469494"/>
    <n v="1507.8069890789372"/>
    <n v="603.1853759482276"/>
    <n v="732.90907377124643"/>
    <n v="96.491150280526313"/>
    <n v="1432.5856000000003"/>
  </r>
  <r>
    <x v="0"/>
    <x v="0"/>
    <n v="19"/>
    <n v="28"/>
    <n v="3"/>
    <n v="20260113"/>
    <n v="20260303"/>
    <n v="1727.1246000000001"/>
    <n v="50"/>
    <n v="34.542492000000003"/>
    <n v="795.99878010506086"/>
    <n v="967.18977600000005"/>
    <n v="76.401226863456472"/>
    <n v="1839.5897829685173"/>
    <n v="747.33458916637687"/>
    <n v="908.05965028926119"/>
    <n v="71.730360544362071"/>
    <n v="1727.1246000000001"/>
  </r>
  <r>
    <x v="0"/>
    <x v="0"/>
    <n v="22"/>
    <n v="28"/>
    <n v="4"/>
    <n v="20260110"/>
    <n v="20260304"/>
    <n v="42.125"/>
    <n v="54"/>
    <n v="0.78009259259259256"/>
    <n v="20.814882824684382"/>
    <n v="21.842592592592592"/>
    <n v="2.3005493694034809"/>
    <n v="44.958024786680454"/>
    <n v="19.503235365660544"/>
    <n v="20.466184120160975"/>
    <n v="2.155580514178483"/>
    <n v="42.125"/>
  </r>
  <r>
    <x v="0"/>
    <x v="0"/>
    <n v="27"/>
    <n v="25"/>
    <n v="0"/>
    <n v="20260105"/>
    <n v="20260225"/>
    <n v="3954.8258000000001"/>
    <n v="52"/>
    <n v="76.054342307692309"/>
    <n v="2490.5365220177705"/>
    <n v="1901.3585576923078"/>
    <n v="0"/>
    <n v="4391.8950797100788"/>
    <n v="2242.6851995217403"/>
    <n v="1712.1406004782596"/>
    <n v="0"/>
    <n v="3954.8257999999996"/>
  </r>
  <r>
    <x v="0"/>
    <x v="0"/>
    <n v="18"/>
    <n v="28"/>
    <n v="3"/>
    <n v="20260114"/>
    <n v="20260303"/>
    <n v="1179.6105"/>
    <n v="49"/>
    <n v="24.07368367346939"/>
    <n v="525.55744212222589"/>
    <n v="674.06314285714291"/>
    <n v="53.246273250228242"/>
    <n v="1252.866858229597"/>
    <n v="494.82758124559552"/>
    <n v="634.65000750428669"/>
    <n v="50.132911250117843"/>
    <n v="1179.6105"/>
  </r>
  <r>
    <x v="0"/>
    <x v="0"/>
    <n v="26"/>
    <n v="5"/>
    <n v="0"/>
    <n v="20260106"/>
    <n v="20260205"/>
    <n v="1050.7283"/>
    <n v="31"/>
    <n v="33.894461290322582"/>
    <n v="1068.8265154465244"/>
    <n v="169.47230645161289"/>
    <n v="0"/>
    <n v="1238.2988218981372"/>
    <n v="906.92670275546163"/>
    <n v="143.80159724453836"/>
    <n v="0"/>
    <n v="1050.7283"/>
  </r>
  <r>
    <x v="0"/>
    <x v="0"/>
    <n v="22"/>
    <n v="28"/>
    <n v="6"/>
    <n v="20260110"/>
    <n v="20260306"/>
    <n v="84.271699999999996"/>
    <n v="56"/>
    <n v="1.5048517857142856"/>
    <n v="40.153327804406757"/>
    <n v="42.135849999999998"/>
    <n v="6.6568748239840216"/>
    <n v="88.946052628390788"/>
    <n v="38.043163184226003"/>
    <n v="39.92149854339457"/>
    <n v="6.3070382723794136"/>
    <n v="84.271699999999996"/>
  </r>
  <r>
    <x v="0"/>
    <x v="0"/>
    <n v="31"/>
    <n v="28"/>
    <n v="7"/>
    <n v="20251231"/>
    <n v="20260307"/>
    <n v="505.21530000000001"/>
    <n v="66"/>
    <n v="7.6547772727272729"/>
    <n v="287.80569816669561"/>
    <n v="214.33376363636364"/>
    <n v="39.505358839581014"/>
    <n v="541.6448206426403"/>
    <n v="268.44868925079101"/>
    <n v="199.91827221240482"/>
    <n v="36.84833853680415"/>
    <n v="505.21529999999996"/>
  </r>
  <r>
    <x v="0"/>
    <x v="0"/>
    <n v="12"/>
    <n v="28"/>
    <n v="3"/>
    <n v="20260120"/>
    <n v="20260303"/>
    <n v="547.98450000000003"/>
    <n v="43"/>
    <n v="12.743825581395349"/>
    <n v="185.47535049074048"/>
    <n v="356.82711627906974"/>
    <n v="28.186846199530311"/>
    <n v="570.48931296934063"/>
    <n v="178.15866991789804"/>
    <n v="342.75090602991963"/>
    <n v="27.074924052182233"/>
    <n v="547.98449999999991"/>
  </r>
  <r>
    <x v="0"/>
    <x v="0"/>
    <n v="10"/>
    <n v="28"/>
    <n v="2"/>
    <n v="20260122"/>
    <n v="20260302"/>
    <n v="1559.6849"/>
    <n v="40"/>
    <n v="38.992122500000001"/>
    <n v="472.91382670466606"/>
    <n v="1091.77943"/>
    <n v="57.495292021011601"/>
    <n v="1622.1885487256777"/>
    <n v="454.69224591180154"/>
    <n v="1049.7126813275063"/>
    <n v="55.279972760692203"/>
    <n v="1559.6849000000002"/>
  </r>
  <r>
    <x v="0"/>
    <x v="0"/>
    <n v="12"/>
    <n v="28"/>
    <n v="6"/>
    <n v="20260120"/>
    <n v="20260306"/>
    <n v="548.21579999999994"/>
    <n v="46"/>
    <n v="11.917734782608694"/>
    <n v="173.45231396505116"/>
    <n v="333.69657391304344"/>
    <n v="52.719390299031872"/>
    <n v="559.8682781771264"/>
    <n v="169.84226963492674"/>
    <n v="326.75138305857348"/>
    <n v="51.622147306499748"/>
    <n v="548.21579999999994"/>
  </r>
  <r>
    <x v="0"/>
    <x v="0"/>
    <n v="9"/>
    <n v="28"/>
    <n v="2"/>
    <n v="20260123"/>
    <n v="20260302"/>
    <n v="1981.5002999999999"/>
    <n v="39"/>
    <n v="50.807699999999997"/>
    <n v="554.59657139096225"/>
    <n v="1422.6155999999999"/>
    <n v="74.917787520183111"/>
    <n v="2052.1299589111454"/>
    <n v="535.50861524055438"/>
    <n v="1373.652397570565"/>
    <n v="72.339287188880604"/>
    <n v="1981.5002999999999"/>
  </r>
  <r>
    <x v="0"/>
    <x v="0"/>
    <n v="8"/>
    <n v="28"/>
    <n v="2"/>
    <n v="20260124"/>
    <n v="20260302"/>
    <n v="42.164499999999997"/>
    <n v="38"/>
    <n v="1.1095921052631579"/>
    <n v="10.766101764914934"/>
    <n v="31.068578947368422"/>
    <n v="1.636133609200533"/>
    <n v="43.470814321483893"/>
    <n v="10.442576357314946"/>
    <n v="30.134956463856703"/>
    <n v="1.5869671788283395"/>
    <n v="42.16449999999999"/>
  </r>
  <r>
    <x v="0"/>
    <x v="0"/>
    <n v="8"/>
    <n v="28"/>
    <n v="8"/>
    <n v="20260124"/>
    <n v="20260308"/>
    <n v="379.75639999999999"/>
    <n v="44"/>
    <n v="8.6308272727272719"/>
    <n v="83.742813501315823"/>
    <n v="241.66316363636361"/>
    <n v="50.905865350455407"/>
    <n v="376.31184248813486"/>
    <n v="84.50935046545554"/>
    <n v="243.87521909584856"/>
    <n v="51.371830438695852"/>
    <n v="379.75639999999993"/>
  </r>
  <r>
    <x v="0"/>
    <x v="0"/>
    <n v="10"/>
    <n v="28"/>
    <n v="7"/>
    <n v="20260122"/>
    <n v="20260307"/>
    <n v="126.541"/>
    <n v="45"/>
    <n v="2.8120222222222222"/>
    <n v="34.105457836763563"/>
    <n v="78.736622222222223"/>
    <n v="14.512498926593244"/>
    <n v="127.35457898557902"/>
    <n v="33.887582013133503"/>
    <n v="78.233629226244219"/>
    <n v="14.419788760622286"/>
    <n v="126.541"/>
  </r>
  <r>
    <x v="0"/>
    <x v="0"/>
    <n v="29"/>
    <n v="28"/>
    <n v="12"/>
    <n v="20260103"/>
    <n v="20260312"/>
    <n v="589.59770000000003"/>
    <n v="69"/>
    <n v="8.5448942028985506"/>
    <n v="300.54521877360963"/>
    <n v="239.25703768115943"/>
    <n v="75.598529546725956"/>
    <n v="615.40078600149513"/>
    <n v="287.94368445035843"/>
    <n v="229.2252501693786"/>
    <n v="72.428765380262902"/>
    <n v="589.59769999999992"/>
  </r>
  <r>
    <x v="0"/>
    <x v="0"/>
    <n v="30"/>
    <n v="28"/>
    <n v="12"/>
    <n v="20260102"/>
    <n v="20260312"/>
    <n v="3032.0743000000002"/>
    <n v="70"/>
    <n v="43.315347142857149"/>
    <n v="1576.0434615250501"/>
    <n v="1212.8297200000002"/>
    <n v="383.22025680495784"/>
    <n v="3172.0934383300082"/>
    <n v="1506.4754454045797"/>
    <n v="1159.2942943774722"/>
    <n v="366.30456021794822"/>
    <n v="3032.0743000000002"/>
  </r>
  <r>
    <x v="0"/>
    <x v="0"/>
    <n v="31"/>
    <n v="28"/>
    <n v="2"/>
    <n v="20251227"/>
    <n v="20260302"/>
    <n v="462.83139999999997"/>
    <n v="61"/>
    <n v="7.5873999999999997"/>
    <n v="285.27243529999805"/>
    <n v="212.44719999999998"/>
    <n v="11.187895162163164"/>
    <n v="508.90753046216116"/>
    <n v="259.4440693212037"/>
    <n v="193.21237968867297"/>
    <n v="10.174950990123365"/>
    <n v="462.83140000000003"/>
  </r>
  <r>
    <x v="0"/>
    <x v="0"/>
    <n v="0"/>
    <n v="6"/>
    <n v="5"/>
    <n v="20260223"/>
    <n v="20260305"/>
    <n v="42.384900000000002"/>
    <n v="11"/>
    <n v="3.8531727272727276"/>
    <n v="0"/>
    <n v="23.119036363636365"/>
    <n v="14.204105660184513"/>
    <n v="37.323142023820878"/>
    <n v="0"/>
    <n v="26.254436021053298"/>
    <n v="16.130463978946704"/>
    <n v="42.384900000000002"/>
  </r>
  <r>
    <x v="0"/>
    <x v="0"/>
    <n v="0"/>
    <n v="5"/>
    <n v="2"/>
    <n v="20260224"/>
    <n v="20260302"/>
    <n v="84.730199999999996"/>
    <n v="7"/>
    <n v="12.104314285714285"/>
    <n v="0"/>
    <n v="60.52157142857142"/>
    <n v="17.848248311469714"/>
    <n v="78.369819740041137"/>
    <n v="0"/>
    <n v="65.433413889009032"/>
    <n v="19.296786110990961"/>
    <n v="84.730199999999996"/>
  </r>
  <r>
    <x v="0"/>
    <x v="0"/>
    <n v="0"/>
    <n v="5"/>
    <n v="7"/>
    <n v="20260224"/>
    <n v="20260307"/>
    <n v="84.797399999999996"/>
    <n v="12"/>
    <n v="7.0664499999999997"/>
    <n v="0"/>
    <n v="35.332250000000002"/>
    <n v="36.469074543366311"/>
    <n v="71.80132454336632"/>
    <n v="0"/>
    <n v="41.727404824411501"/>
    <n v="43.069995175588481"/>
    <n v="84.797399999999982"/>
  </r>
  <r>
    <x v="0"/>
    <x v="0"/>
    <n v="0"/>
    <n v="20"/>
    <n v="1"/>
    <n v="20260209"/>
    <n v="20260301"/>
    <n v="928.81510000000003"/>
    <n v="21"/>
    <n v="44.229290476190478"/>
    <n v="0"/>
    <n v="884.58580952380953"/>
    <n v="32.608842617001919"/>
    <n v="917.1946521408114"/>
    <n v="0"/>
    <n v="895.79311786621736"/>
    <n v="33.021982133782686"/>
    <n v="928.81510000000003"/>
  </r>
  <r>
    <x v="0"/>
    <x v="0"/>
    <n v="5"/>
    <n v="28"/>
    <n v="1"/>
    <n v="20260127"/>
    <n v="20260301"/>
    <n v="1560.0871"/>
    <n v="34"/>
    <n v="45.884914705882352"/>
    <n v="278.2563401309589"/>
    <n v="1284.7776117647059"/>
    <n v="33.829481459670674"/>
    <n v="1596.8634333553355"/>
    <n v="271.84799755817568"/>
    <n v="1255.1887259835028"/>
    <n v="33.050376458321352"/>
    <n v="1560.0870999999997"/>
  </r>
  <r>
    <x v="0"/>
    <x v="0"/>
    <n v="2"/>
    <n v="28"/>
    <n v="2"/>
    <n v="20260130"/>
    <n v="20260302"/>
    <n v="1012.5888"/>
    <n v="32"/>
    <n v="31.6434"/>
    <n v="76.75704949863362"/>
    <n v="886.01520000000005"/>
    <n v="46.659335447504262"/>
    <n v="1009.4315849461379"/>
    <n v="76.997123730291477"/>
    <n v="888.7864036844378"/>
    <n v="46.805272585270686"/>
    <n v="1012.5888"/>
  </r>
  <r>
    <x v="0"/>
    <x v="0"/>
    <n v="0"/>
    <n v="26"/>
    <n v="5"/>
    <n v="20260203"/>
    <n v="20260305"/>
    <n v="506.68560000000002"/>
    <n v="31"/>
    <n v="16.344696774193547"/>
    <n v="0"/>
    <n v="424.96211612903221"/>
    <n v="60.252113361304225"/>
    <n v="485.21422949033644"/>
    <n v="0"/>
    <n v="443.76725104348316"/>
    <n v="62.91834895651688"/>
    <n v="506.68560000000002"/>
  </r>
  <r>
    <x v="0"/>
    <x v="0"/>
    <n v="0"/>
    <n v="27"/>
    <n v="2"/>
    <n v="20260202"/>
    <n v="20260302"/>
    <n v="379.85419999999999"/>
    <n v="29"/>
    <n v="13.098420689655173"/>
    <n v="0"/>
    <n v="353.65735862068965"/>
    <n v="19.314094085690883"/>
    <n v="372.97145270638055"/>
    <n v="0"/>
    <n v="360.18368713793251"/>
    <n v="19.670512862067454"/>
    <n v="379.85419999999999"/>
  </r>
  <r>
    <x v="0"/>
    <x v="0"/>
    <n v="0"/>
    <n v="27"/>
    <n v="5"/>
    <n v="20260202"/>
    <n v="20260305"/>
    <n v="337.80630000000002"/>
    <n v="32"/>
    <n v="10.556446875000001"/>
    <n v="0"/>
    <n v="285.02406562499999"/>
    <n v="38.914654862813663"/>
    <n v="323.93872048781367"/>
    <n v="0"/>
    <n v="297.22573724668564"/>
    <n v="40.580562753314389"/>
    <n v="337.80630000000002"/>
  </r>
  <r>
    <x v="0"/>
    <x v="0"/>
    <n v="0"/>
    <n v="18"/>
    <n v="4"/>
    <n v="20260211"/>
    <n v="20260304"/>
    <n v="211.26730000000001"/>
    <n v="22"/>
    <n v="9.6030590909090918"/>
    <n v="0"/>
    <n v="172.85506363636364"/>
    <n v="28.320114491169257"/>
    <n v="201.17517812753289"/>
    <n v="0"/>
    <n v="181.52648316599047"/>
    <n v="29.740816834009564"/>
    <n v="211.26730000000003"/>
  </r>
  <r>
    <x v="0"/>
    <x v="0"/>
    <n v="0"/>
    <n v="18"/>
    <n v="2"/>
    <n v="20260211"/>
    <n v="20260302"/>
    <n v="380.12099999999998"/>
    <n v="20"/>
    <n v="19.006049999999998"/>
    <n v="0"/>
    <n v="342.10889999999995"/>
    <n v="28.025106735750214"/>
    <n v="370.13400673575018"/>
    <n v="0"/>
    <n v="351.33971699536767"/>
    <n v="28.781283004632307"/>
    <n v="380.12099999999998"/>
  </r>
  <r>
    <x v="0"/>
    <x v="0"/>
    <n v="0"/>
    <n v="17"/>
    <n v="1"/>
    <n v="20260212"/>
    <n v="20260301"/>
    <n v="380.05880000000002"/>
    <n v="18"/>
    <n v="21.114377777777779"/>
    <n v="0"/>
    <n v="358.94442222222227"/>
    <n v="15.56695607138713"/>
    <n v="374.51137829360943"/>
    <n v="0"/>
    <n v="364.26125955917041"/>
    <n v="15.797540440829545"/>
    <n v="380.05879999999996"/>
  </r>
  <r>
    <x v="0"/>
    <x v="0"/>
    <n v="0"/>
    <n v="10"/>
    <n v="4"/>
    <n v="20260219"/>
    <n v="20260304"/>
    <n v="84.605699999999999"/>
    <n v="14"/>
    <n v="6.0432642857142858"/>
    <n v="0"/>
    <n v="60.432642857142859"/>
    <n v="17.822022633791889"/>
    <n v="78.254665490934741"/>
    <n v="0"/>
    <n v="65.337268004434449"/>
    <n v="19.26843199556555"/>
    <n v="84.605699999999999"/>
  </r>
  <r>
    <x v="0"/>
    <x v="0"/>
    <n v="0"/>
    <n v="16"/>
    <n v="8"/>
    <n v="20260213"/>
    <n v="20260308"/>
    <n v="84.566199999999995"/>
    <n v="24"/>
    <n v="3.5235916666666665"/>
    <n v="0"/>
    <n v="56.377466666666663"/>
    <n v="20.782652376802822"/>
    <n v="77.160119043469479"/>
    <n v="0"/>
    <n v="61.788760576441582"/>
    <n v="22.77743942355842"/>
    <n v="84.566200000000009"/>
  </r>
  <r>
    <x v="0"/>
    <x v="0"/>
    <n v="30"/>
    <n v="11"/>
    <n v="0"/>
    <n v="20260102"/>
    <n v="20260211"/>
    <n v="1681.3235"/>
    <n v="41"/>
    <n v="41.007890243902438"/>
    <n v="1492.0858668564792"/>
    <n v="451.08679268292678"/>
    <n v="0"/>
    <n v="1943.1726595394061"/>
    <n v="1291.0221948873584"/>
    <n v="390.3013051126415"/>
    <n v="0"/>
    <n v="1681.3235"/>
  </r>
  <r>
    <x v="0"/>
    <x v="0"/>
    <n v="26"/>
    <n v="11"/>
    <n v="0"/>
    <n v="20260106"/>
    <n v="20260211"/>
    <n v="1892.0225"/>
    <n v="37"/>
    <n v="51.135743243243247"/>
    <n v="1612.5123747297557"/>
    <n v="562.49317567567573"/>
    <n v="0"/>
    <n v="2175.0055504054317"/>
    <n v="1402.7135213279917"/>
    <n v="489.30897867200838"/>
    <n v="0"/>
    <n v="1892.0225"/>
  </r>
  <r>
    <x v="0"/>
    <x v="0"/>
    <n v="24"/>
    <n v="3"/>
    <n v="0"/>
    <n v="20260108"/>
    <n v="20260203"/>
    <n v="294.20389999999998"/>
    <n v="27"/>
    <n v="10.89644074074074"/>
    <n v="317.17652640208001"/>
    <n v="32.689322222222216"/>
    <n v="0"/>
    <n v="349.8658486243022"/>
    <n v="266.71528936838087"/>
    <n v="27.488610631619125"/>
    <n v="0"/>
    <n v="294.20389999999998"/>
  </r>
  <r>
    <x v="0"/>
    <x v="0"/>
    <n v="26"/>
    <n v="10"/>
    <n v="0"/>
    <n v="20260106"/>
    <n v="20260210"/>
    <n v="1177.1478999999999"/>
    <n v="36"/>
    <n v="32.698552777777778"/>
    <n v="1031.114786757063"/>
    <n v="326.98552777777775"/>
    <n v="0"/>
    <n v="1358.1003145348409"/>
    <n v="893.72971414541723"/>
    <n v="283.41818585458265"/>
    <n v="0"/>
    <n v="1177.1478999999999"/>
  </r>
  <r>
    <x v="0"/>
    <x v="0"/>
    <n v="30"/>
    <n v="26"/>
    <n v="0"/>
    <n v="20260102"/>
    <n v="20260226"/>
    <n v="3449.549"/>
    <n v="56"/>
    <n v="61.599089285714285"/>
    <n v="2241.3035634797416"/>
    <n v="1601.5763214285714"/>
    <n v="0"/>
    <n v="3842.8798849083132"/>
    <n v="2011.8990698774971"/>
    <n v="1437.6499301225026"/>
    <n v="0"/>
    <n v="3449.549"/>
  </r>
  <r>
    <x v="0"/>
    <x v="0"/>
    <n v="30"/>
    <n v="19"/>
    <n v="0"/>
    <n v="20260102"/>
    <n v="20260219"/>
    <n v="1261.5559000000001"/>
    <n v="49"/>
    <n v="25.746038775510204"/>
    <n v="936.77827257133117"/>
    <n v="489.17473673469385"/>
    <n v="0"/>
    <n v="1425.953009306025"/>
    <n v="828.77777110574073"/>
    <n v="432.77812889425928"/>
    <n v="0"/>
    <n v="1261.5559000000001"/>
  </r>
  <r>
    <x v="0"/>
    <x v="0"/>
    <n v="27"/>
    <n v="12"/>
    <n v="0"/>
    <n v="20260105"/>
    <n v="20260212"/>
    <n v="588.68460000000005"/>
    <n v="39"/>
    <n v="15.094476923076924"/>
    <n v="494.29585368822814"/>
    <n v="181.13372307692308"/>
    <n v="0"/>
    <n v="675.42957676515118"/>
    <n v="430.81376196720691"/>
    <n v="157.87083803279319"/>
    <n v="0"/>
    <n v="588.68460000000005"/>
  </r>
  <r>
    <x v="0"/>
    <x v="0"/>
    <n v="26"/>
    <n v="26"/>
    <n v="0"/>
    <n v="20260106"/>
    <n v="20260226"/>
    <n v="757.43169999999998"/>
    <n v="52"/>
    <n v="14.565994230769231"/>
    <n v="459.32344887665528"/>
    <n v="378.71584999999999"/>
    <n v="0"/>
    <n v="838.03929887665527"/>
    <n v="415.14299054812437"/>
    <n v="342.2887094518756"/>
    <n v="0"/>
    <n v="757.43169999999998"/>
  </r>
  <r>
    <x v="0"/>
    <x v="0"/>
    <n v="28"/>
    <n v="28"/>
    <n v="0"/>
    <n v="20260104"/>
    <n v="20260228"/>
    <n v="462.88569999999999"/>
    <n v="56"/>
    <n v="8.2658160714285707"/>
    <n v="280.7041957178248"/>
    <n v="231.44284999999996"/>
    <n v="0"/>
    <n v="512.14704571782477"/>
    <n v="253.7043984031325"/>
    <n v="209.18130159686748"/>
    <n v="0"/>
    <n v="462.88569999999999"/>
  </r>
  <r>
    <x v="0"/>
    <x v="0"/>
    <n v="29"/>
    <n v="25"/>
    <n v="0"/>
    <n v="20260103"/>
    <n v="20260225"/>
    <n v="588.91980000000001"/>
    <n v="54"/>
    <n v="10.905922222222223"/>
    <n v="383.58845672938799"/>
    <n v="272.64805555555557"/>
    <n v="0"/>
    <n v="656.2365122849435"/>
    <n v="344.23996987429263"/>
    <n v="244.67983012570741"/>
    <n v="0"/>
    <n v="588.91980000000001"/>
  </r>
  <r>
    <x v="0"/>
    <x v="0"/>
    <n v="28"/>
    <n v="23"/>
    <n v="0"/>
    <n v="20260104"/>
    <n v="20260223"/>
    <n v="757.11149999999998"/>
    <n v="51"/>
    <n v="14.845323529411765"/>
    <n v="504.14194623789007"/>
    <n v="341.4424411764706"/>
    <n v="0"/>
    <n v="845.58438741436066"/>
    <n v="451.39393632400214"/>
    <n v="305.71756367599784"/>
    <n v="0"/>
    <n v="757.11149999999998"/>
  </r>
  <r>
    <x v="0"/>
    <x v="0"/>
    <n v="29"/>
    <n v="26"/>
    <n v="0"/>
    <n v="20260103"/>
    <n v="20260226"/>
    <n v="378.62689999999998"/>
    <n v="55"/>
    <n v="6.8841254545454538"/>
    <n v="242.13184407824576"/>
    <n v="178.98726181818179"/>
    <n v="0"/>
    <n v="421.11910589642753"/>
    <n v="217.70000038226067"/>
    <n v="160.92689961773931"/>
    <n v="0"/>
    <n v="378.62689999999998"/>
  </r>
  <r>
    <x v="0"/>
    <x v="0"/>
    <n v="26"/>
    <n v="25"/>
    <n v="0"/>
    <n v="20260106"/>
    <n v="20260225"/>
    <n v="1136.0407"/>
    <n v="51"/>
    <n v="22.275307843137256"/>
    <n v="702.42861978386804"/>
    <n v="556.88269607843142"/>
    <n v="0"/>
    <n v="1259.3113158622996"/>
    <n v="633.66976129559055"/>
    <n v="502.37093870440941"/>
    <n v="0"/>
    <n v="1136.0407"/>
  </r>
  <r>
    <x v="0"/>
    <x v="0"/>
    <n v="28"/>
    <n v="28"/>
    <n v="1"/>
    <n v="20260104"/>
    <n v="20260301"/>
    <n v="904942.78220000002"/>
    <n v="57"/>
    <n v="15876.189161403508"/>
    <n v="539149.77917547664"/>
    <n v="444533.29651929822"/>
    <n v="11705.006979495845"/>
    <n v="995388.08267427073"/>
    <n v="490160.27987671917"/>
    <n v="404141.06330460444"/>
    <n v="10641.439018676314"/>
    <n v="904942.7821999999"/>
  </r>
  <r>
    <x v="0"/>
    <x v="0"/>
    <n v="25"/>
    <n v="28"/>
    <n v="3"/>
    <n v="20260107"/>
    <n v="20260303"/>
    <n v="181860.99729999999"/>
    <n v="56"/>
    <n v="3247.5178089285714"/>
    <n v="98468.355647474891"/>
    <n v="90930.498649999994"/>
    <n v="7182.8733393950524"/>
    <n v="196581.72763686994"/>
    <n v="91094.69926737083"/>
    <n v="84121.303481584386"/>
    <n v="6644.9945510447587"/>
    <n v="181860.99729999999"/>
  </r>
  <r>
    <x v="0"/>
    <x v="0"/>
    <n v="29"/>
    <n v="28"/>
    <n v="4"/>
    <n v="20260103"/>
    <n v="20260304"/>
    <n v="212044.19990000001"/>
    <n v="61"/>
    <n v="3476.1344245901641"/>
    <n v="122264.30852362538"/>
    <n v="97331.763888524598"/>
    <n v="10251.371355642546"/>
    <n v="229847.44376779252"/>
    <n v="112794.10835393293"/>
    <n v="89792.758450028545"/>
    <n v="9457.3330960385429"/>
    <n v="212044.19990000001"/>
  </r>
  <r>
    <x v="0"/>
    <x v="0"/>
    <n v="27"/>
    <n v="28"/>
    <n v="6"/>
    <n v="20260105"/>
    <n v="20260306"/>
    <n v="123225.9136"/>
    <n v="61"/>
    <n v="2020.096944262295"/>
    <n v="66151.715537126962"/>
    <n v="56562.714439344258"/>
    <n v="8936.1175751163973"/>
    <n v="131650.54755158763"/>
    <n v="61918.508770922934"/>
    <n v="52943.130827108012"/>
    <n v="8364.27400196905"/>
    <n v="123225.9136"/>
  </r>
  <r>
    <x v="0"/>
    <x v="0"/>
    <n v="26"/>
    <n v="28"/>
    <n v="3"/>
    <n v="20260106"/>
    <n v="20260303"/>
    <n v="206811.1476"/>
    <n v="57"/>
    <n v="3628.2657473684212"/>
    <n v="114413.57933548269"/>
    <n v="101591.44092631579"/>
    <n v="8025.0132065052867"/>
    <n v="224030.03346830374"/>
    <n v="105619.7835489882"/>
    <n v="93783.151120590948"/>
    <n v="7408.2129304208975"/>
    <n v="206811.14760000005"/>
  </r>
  <r>
    <x v="0"/>
    <x v="0"/>
    <n v="26"/>
    <n v="28"/>
    <n v="6"/>
    <n v="20260106"/>
    <n v="20260306"/>
    <n v="76317.946299999996"/>
    <n v="60"/>
    <n v="1271.9657716666666"/>
    <n v="40110.115096766422"/>
    <n v="35615.041606666666"/>
    <n v="5626.6783232464222"/>
    <n v="81351.835026679502"/>
    <n v="37628.181454517129"/>
    <n v="33411.254115146345"/>
    <n v="5278.5107303365248"/>
    <n v="76317.946299999996"/>
  </r>
  <r>
    <x v="0"/>
    <x v="0"/>
    <n v="25"/>
    <n v="28"/>
    <n v="7"/>
    <n v="20260107"/>
    <n v="20260307"/>
    <n v="59227.735800000002"/>
    <n v="60"/>
    <n v="987.12893000000008"/>
    <n v="29930.848194861825"/>
    <n v="27639.610040000003"/>
    <n v="5094.4503296681414"/>
    <n v="62664.908564529971"/>
    <n v="28289.139963073361"/>
    <n v="26123.576313502384"/>
    <n v="4815.0195234242547"/>
    <n v="59227.735800000002"/>
  </r>
  <r>
    <x v="0"/>
    <x v="0"/>
    <n v="24"/>
    <n v="28"/>
    <n v="2"/>
    <n v="20260108"/>
    <n v="20260302"/>
    <n v="66652.575100000002"/>
    <n v="54"/>
    <n v="1234.3069462962962"/>
    <n v="35928.538414976443"/>
    <n v="34560.594496296297"/>
    <n v="1820.0301438032423"/>
    <n v="72309.163055075987"/>
    <n v="33117.927296620066"/>
    <n v="31856.994644101746"/>
    <n v="1677.6531592781819"/>
    <n v="66652.575099999987"/>
  </r>
  <r>
    <x v="0"/>
    <x v="0"/>
    <n v="28"/>
    <n v="28"/>
    <n v="8"/>
    <n v="20260104"/>
    <n v="20260308"/>
    <n v="26617.3734"/>
    <n v="64"/>
    <n v="415.89645937500001"/>
    <n v="14123.696937110008"/>
    <n v="11645.100862499999"/>
    <n v="2453.0173634195385"/>
    <n v="28221.815163029547"/>
    <n v="13320.748966422527"/>
    <n v="10983.063851395122"/>
    <n v="2313.5605821823515"/>
    <n v="26617.3734"/>
  </r>
  <r>
    <x v="0"/>
    <x v="0"/>
    <n v="29"/>
    <n v="28"/>
    <n v="9"/>
    <n v="20260103"/>
    <n v="20260309"/>
    <n v="6233.1821"/>
    <n v="66"/>
    <n v="94.442153030303032"/>
    <n v="3321.7658252942251"/>
    <n v="2644.3802848484847"/>
    <n v="626.66263561483538"/>
    <n v="6592.8087457575457"/>
    <n v="3140.5690777757527"/>
    <n v="2500.1337810257546"/>
    <n v="592.47924119849233"/>
    <n v="6233.1821"/>
  </r>
  <r>
    <x v="0"/>
    <x v="0"/>
    <n v="24"/>
    <n v="28"/>
    <n v="6"/>
    <n v="20260108"/>
    <n v="20260306"/>
    <n v="54426.763700000003"/>
    <n v="58"/>
    <n v="938.39247758620695"/>
    <n v="27314.980508250035"/>
    <n v="26274.989372413795"/>
    <n v="4151.0807365620749"/>
    <n v="57741.050617225905"/>
    <n v="25747.123990658962"/>
    <n v="24766.827456474199"/>
    <n v="3912.8122528668414"/>
    <n v="54426.763700000003"/>
  </r>
  <r>
    <x v="0"/>
    <x v="0"/>
    <n v="23"/>
    <n v="28"/>
    <n v="9"/>
    <n v="20260109"/>
    <n v="20260309"/>
    <n v="30257.094400000002"/>
    <n v="60"/>
    <n v="504.2849066666667"/>
    <n v="14067.241438591065"/>
    <n v="14119.977386666667"/>
    <n v="3346.1383351893351"/>
    <n v="31533.357160447067"/>
    <n v="13497.892088981978"/>
    <n v="13548.493632962156"/>
    <n v="3210.7086780558689"/>
    <n v="30257.094400000002"/>
  </r>
  <r>
    <x v="0"/>
    <x v="0"/>
    <n v="27"/>
    <n v="28"/>
    <n v="0"/>
    <n v="20260105"/>
    <n v="20260228"/>
    <n v="210.42240000000001"/>
    <n v="55"/>
    <n v="3.8258618181818185"/>
    <n v="125.28474111084911"/>
    <n v="107.12413090909092"/>
    <n v="0"/>
    <n v="232.40887201994002"/>
    <n v="113.43248508026703"/>
    <n v="96.989914919732982"/>
    <n v="0"/>
    <n v="210.42240000000001"/>
  </r>
  <r>
    <x v="0"/>
    <x v="0"/>
    <n v="27"/>
    <n v="14"/>
    <n v="0"/>
    <n v="20260105"/>
    <n v="20260214"/>
    <n v="378.4846"/>
    <n v="41"/>
    <n v="9.2313317073170733"/>
    <n v="302.2965956489308"/>
    <n v="129.23864390243904"/>
    <n v="0"/>
    <n v="431.53523955136984"/>
    <n v="265.1338653234771"/>
    <n v="113.3507346765229"/>
    <n v="0"/>
    <n v="378.4846"/>
  </r>
  <r>
    <x v="0"/>
    <x v="0"/>
    <n v="25"/>
    <n v="12"/>
    <n v="0"/>
    <n v="20260107"/>
    <n v="20260212"/>
    <n v="168.22319999999999"/>
    <n v="37"/>
    <n v="4.5465729729729727"/>
    <n v="137.85715454709208"/>
    <n v="54.558875675675672"/>
    <n v="0"/>
    <n v="192.41603022276774"/>
    <n v="120.52411461746452"/>
    <n v="47.699085382535465"/>
    <n v="0"/>
    <n v="168.22319999999999"/>
  </r>
  <r>
    <x v="0"/>
    <x v="0"/>
    <n v="29"/>
    <n v="20"/>
    <n v="0"/>
    <n v="20260103"/>
    <n v="20260220"/>
    <n v="126.1615"/>
    <n v="49"/>
    <n v="2.5747244897959183"/>
    <n v="90.559475248387912"/>
    <n v="51.494489795918369"/>
    <n v="0"/>
    <n v="142.05396504430627"/>
    <n v="80.428020667962542"/>
    <n v="45.733479332037483"/>
    <n v="0"/>
    <n v="126.16150000000002"/>
  </r>
  <r>
    <x v="0"/>
    <x v="0"/>
    <n v="16"/>
    <n v="28"/>
    <n v="4"/>
    <n v="20260116"/>
    <n v="20260304"/>
    <n v="84.283600000000007"/>
    <n v="48"/>
    <n v="1.7559083333333334"/>
    <n v="34.074301208272168"/>
    <n v="49.165433333333333"/>
    <n v="5.1783004316899026"/>
    <n v="88.418034973295406"/>
    <n v="32.480983932575747"/>
    <n v="46.866453412416178"/>
    <n v="4.9361626550080802"/>
    <n v="84.283600000000007"/>
  </r>
  <r>
    <x v="0"/>
    <x v="0"/>
    <n v="20"/>
    <n v="28"/>
    <n v="5"/>
    <n v="20260112"/>
    <n v="20260305"/>
    <n v="126.39870000000001"/>
    <n v="53"/>
    <n v="2.3848811320754719"/>
    <n v="57.849800938923885"/>
    <n v="66.776671698113219"/>
    <n v="8.7914832748640457"/>
    <n v="133.41795591190115"/>
    <n v="54.806263399561658"/>
    <n v="63.26348230474872"/>
    <n v="8.3289542956896252"/>
    <n v="126.39870000000001"/>
  </r>
  <r>
    <x v="0"/>
    <x v="0"/>
    <n v="15"/>
    <n v="28"/>
    <n v="2"/>
    <n v="20260117"/>
    <n v="20260302"/>
    <n v="758.44550000000004"/>
    <n v="45"/>
    <n v="16.854344444444447"/>
    <n v="306.62549318086309"/>
    <n v="471.9216444444445"/>
    <n v="24.852339229700771"/>
    <n v="803.3994768550084"/>
    <n v="289.46835564130788"/>
    <n v="445.51541031944805"/>
    <n v="23.461734039244057"/>
    <n v="758.44550000000004"/>
  </r>
  <r>
    <x v="0"/>
    <x v="0"/>
    <n v="18"/>
    <n v="28"/>
    <n v="5"/>
    <n v="20260114"/>
    <n v="20260305"/>
    <n v="505.67770000000002"/>
    <n v="51"/>
    <n v="9.9152490196078436"/>
    <n v="216.46180050512461"/>
    <n v="277.62697254901963"/>
    <n v="36.550981409347614"/>
    <n v="530.63975446349184"/>
    <n v="206.27912721684541"/>
    <n v="264.56700191732477"/>
    <n v="34.831570865829839"/>
    <n v="505.67770000000002"/>
  </r>
  <r>
    <x v="0"/>
    <x v="0"/>
    <n v="31"/>
    <n v="28"/>
    <n v="4"/>
    <n v="20251230"/>
    <n v="20260304"/>
    <n v="589.21010000000001"/>
    <n v="63"/>
    <n v="9.3525412698412698"/>
    <n v="351.63853550509469"/>
    <n v="261.87115555555556"/>
    <n v="27.581319352291555"/>
    <n v="641.09101041294184"/>
    <n v="323.18184673242433"/>
    <n v="240.67897887480598"/>
    <n v="25.349274392769708"/>
    <n v="589.21010000000001"/>
  </r>
  <r>
    <x v="0"/>
    <x v="0"/>
    <n v="26"/>
    <n v="2"/>
    <n v="0"/>
    <n v="20260106"/>
    <n v="20260202"/>
    <n v="1386.4395"/>
    <n v="28"/>
    <n v="49.515696428571424"/>
    <n v="1561.4258866763132"/>
    <n v="99.031392857142848"/>
    <n v="0"/>
    <n v="1660.4572795334561"/>
    <n v="1303.7508114745483"/>
    <n v="82.68868852545161"/>
    <n v="0"/>
    <n v="1386.4395"/>
  </r>
  <r>
    <x v="0"/>
    <x v="0"/>
    <n v="31"/>
    <n v="28"/>
    <n v="3"/>
    <n v="20251231"/>
    <n v="20260303"/>
    <n v="294.59129999999999"/>
    <n v="62"/>
    <n v="4.751472580645161"/>
    <n v="178.64672408754137"/>
    <n v="133.0412322580645"/>
    <n v="10.509326732111973"/>
    <n v="322.19728307771783"/>
    <n v="163.34020630768535"/>
    <n v="121.64220998428279"/>
    <n v="9.6088837080318772"/>
    <n v="294.59130000000005"/>
  </r>
  <r>
    <x v="0"/>
    <x v="0"/>
    <n v="31"/>
    <n v="28"/>
    <n v="5"/>
    <n v="20251231"/>
    <n v="20260305"/>
    <n v="631.40049999999997"/>
    <n v="64"/>
    <n v="9.8656328124999995"/>
    <n v="370.92984397783744"/>
    <n v="276.23771875"/>
    <n v="36.368079188736225"/>
    <n v="683.5356419165737"/>
    <n v="342.63800538014016"/>
    <n v="255.16830877839888"/>
    <n v="33.594185841460899"/>
    <n v="631.40049999999997"/>
  </r>
  <r>
    <x v="0"/>
    <x v="0"/>
    <n v="9"/>
    <n v="28"/>
    <n v="4"/>
    <n v="20260123"/>
    <n v="20260304"/>
    <n v="210.85220000000001"/>
    <n v="41"/>
    <n v="5.1427365853658538"/>
    <n v="56.136059648651035"/>
    <n v="143.99662439024391"/>
    <n v="15.166301437566002"/>
    <n v="215.29898547646096"/>
    <n v="54.976625412586515"/>
    <n v="141.02251795597115"/>
    <n v="14.853056631442328"/>
    <n v="210.85219999999998"/>
  </r>
  <r>
    <x v="0"/>
    <x v="0"/>
    <n v="9"/>
    <n v="28"/>
    <n v="3"/>
    <n v="20260123"/>
    <n v="20260303"/>
    <n v="590.31700000000001"/>
    <n v="40"/>
    <n v="14.757925"/>
    <n v="161.091618117824"/>
    <n v="413.22190000000001"/>
    <n v="32.641639635000161"/>
    <n v="606.95515775282422"/>
    <n v="156.67569427128248"/>
    <n v="401.89445501283404"/>
    <n v="31.746850715883433"/>
    <n v="590.31699999999989"/>
  </r>
  <r>
    <x v="0"/>
    <x v="0"/>
    <n v="8"/>
    <n v="28"/>
    <n v="1"/>
    <n v="20260124"/>
    <n v="20260301"/>
    <n v="758.85469999999998"/>
    <n v="37"/>
    <n v="20.509586486486487"/>
    <n v="198.99951903268936"/>
    <n v="574.26842162162166"/>
    <n v="15.121062777112659"/>
    <n v="788.3890034314237"/>
    <n v="191.54468118964724"/>
    <n v="552.7554150456325"/>
    <n v="14.554603764720184"/>
    <n v="758.85469999999987"/>
  </r>
  <r>
    <x v="0"/>
    <x v="0"/>
    <n v="21"/>
    <n v="28"/>
    <n v="1"/>
    <n v="20260111"/>
    <n v="20260301"/>
    <n v="631.66740000000004"/>
    <n v="50"/>
    <n v="12.633348000000002"/>
    <n v="321.76802861194989"/>
    <n v="353.73374400000006"/>
    <n v="9.3141638091522587"/>
    <n v="684.81593642110215"/>
    <n v="296.79562525755057"/>
    <n v="326.28048280019618"/>
    <n v="8.5912919422533598"/>
    <n v="631.66740000000016"/>
  </r>
  <r>
    <x v="0"/>
    <x v="0"/>
    <n v="28"/>
    <n v="28"/>
    <n v="10"/>
    <n v="20260104"/>
    <n v="20260310"/>
    <n v="1221.4812999999999"/>
    <n v="66"/>
    <n v="18.507292424242422"/>
    <n v="628.50111712728972"/>
    <n v="518.20418787878782"/>
    <n v="136.44835343986134"/>
    <n v="1283.1536584459391"/>
    <n v="598.29339732380799"/>
    <n v="493.29768177744251"/>
    <n v="129.89022089874925"/>
    <n v="1221.4812999999997"/>
  </r>
  <r>
    <x v="0"/>
    <x v="0"/>
    <n v="19"/>
    <n v="28"/>
    <n v="9"/>
    <n v="20260113"/>
    <n v="20260309"/>
    <n v="84.301400000000001"/>
    <n v="56"/>
    <n v="1.5053821428571428"/>
    <n v="34.690095587377662"/>
    <n v="42.150700000000001"/>
    <n v="9.9888313743511734"/>
    <n v="86.829626961728849"/>
    <n v="33.68002059295651"/>
    <n v="40.923393838213599"/>
    <n v="9.6979855688298766"/>
    <n v="84.301399999999987"/>
  </r>
  <r>
    <x v="0"/>
    <x v="0"/>
    <n v="0"/>
    <n v="23"/>
    <n v="5"/>
    <n v="20260206"/>
    <n v="20260305"/>
    <n v="802.38390000000004"/>
    <n v="28"/>
    <n v="28.656567857142857"/>
    <n v="0"/>
    <n v="659.10106071428572"/>
    <n v="105.63785911284795"/>
    <n v="764.73891982713371"/>
    <n v="0"/>
    <n v="691.54591963177495"/>
    <n v="110.83798036822505"/>
    <n v="802.38390000000004"/>
  </r>
  <r>
    <x v="0"/>
    <x v="0"/>
    <n v="0"/>
    <n v="19"/>
    <n v="3"/>
    <n v="20260210"/>
    <n v="20260303"/>
    <n v="168.95060000000001"/>
    <n v="22"/>
    <n v="7.6795727272727277"/>
    <n v="0"/>
    <n v="145.91188181818183"/>
    <n v="16.985710763160249"/>
    <n v="162.89759258134208"/>
    <n v="0"/>
    <n v="151.33372807827786"/>
    <n v="17.616871921722165"/>
    <n v="168.95060000000001"/>
  </r>
  <r>
    <x v="0"/>
    <x v="0"/>
    <n v="0"/>
    <n v="27"/>
    <n v="1"/>
    <n v="20260202"/>
    <n v="20260301"/>
    <n v="1054.9527"/>
    <n v="28"/>
    <n v="37.676882142857146"/>
    <n v="0"/>
    <n v="1017.2758178571429"/>
    <n v="27.777961320838703"/>
    <n v="1045.0537791779816"/>
    <n v="0"/>
    <n v="1026.9116212729659"/>
    <n v="28.041078727034161"/>
    <n v="1054.9527"/>
  </r>
  <r>
    <x v="0"/>
    <x v="0"/>
    <n v="0"/>
    <n v="24"/>
    <n v="5"/>
    <n v="20260205"/>
    <n v="20260305"/>
    <n v="126.67440000000001"/>
    <n v="29"/>
    <n v="4.3680827586206901"/>
    <n v="0"/>
    <n v="104.83398620689655"/>
    <n v="16.102239226579837"/>
    <n v="120.93622543347639"/>
    <n v="0"/>
    <n v="109.80814271958347"/>
    <n v="16.866257280416519"/>
    <n v="126.67439999999999"/>
  </r>
  <r>
    <x v="0"/>
    <x v="0"/>
    <n v="0"/>
    <n v="10"/>
    <n v="1"/>
    <n v="20260219"/>
    <n v="20260301"/>
    <n v="126.79300000000001"/>
    <n v="11"/>
    <n v="11.526636363636364"/>
    <n v="0"/>
    <n v="115.26636363636364"/>
    <n v="8.4982206822324695"/>
    <n v="123.76458431859611"/>
    <n v="0"/>
    <n v="118.08683497795661"/>
    <n v="8.7061650220433933"/>
    <n v="126.79300000000001"/>
  </r>
  <r>
    <x v="0"/>
    <x v="0"/>
    <n v="0"/>
    <n v="18"/>
    <n v="1"/>
    <n v="20260211"/>
    <n v="20260301"/>
    <n v="168.89920000000001"/>
    <n v="19"/>
    <n v="8.8894315789473684"/>
    <n v="0"/>
    <n v="160.00976842105263"/>
    <n v="6.5538938606430213"/>
    <n v="166.56366228169566"/>
    <n v="0"/>
    <n v="162.25340814609956"/>
    <n v="6.6457918539004446"/>
    <n v="168.89920000000001"/>
  </r>
  <r>
    <x v="0"/>
    <x v="0"/>
    <n v="0"/>
    <n v="16"/>
    <n v="5"/>
    <n v="20260213"/>
    <n v="20260305"/>
    <n v="464.9076"/>
    <n v="21"/>
    <n v="22.138457142857142"/>
    <n v="0"/>
    <n v="354.21531428571427"/>
    <n v="81.609885325120572"/>
    <n v="435.82519961083483"/>
    <n v="0"/>
    <n v="377.85192732054946"/>
    <n v="87.055672679450524"/>
    <n v="464.9076"/>
  </r>
  <r>
    <x v="0"/>
    <x v="0"/>
    <n v="0"/>
    <n v="10"/>
    <n v="5"/>
    <n v="20260219"/>
    <n v="20260305"/>
    <n v="42.3157"/>
    <n v="15"/>
    <n v="2.8210466666666667"/>
    <n v="0"/>
    <n v="28.210466666666669"/>
    <n v="10.39933783451397"/>
    <n v="38.609804501180641"/>
    <n v="0"/>
    <n v="30.91819965807295"/>
    <n v="11.397500341927048"/>
    <n v="42.3157"/>
  </r>
  <r>
    <x v="0"/>
    <x v="0"/>
    <n v="26"/>
    <n v="9"/>
    <n v="0"/>
    <n v="20260106"/>
    <n v="20260209"/>
    <n v="1135.0531000000001"/>
    <n v="35"/>
    <n v="32.430088571428577"/>
    <n v="1022.6490477758018"/>
    <n v="291.87079714285721"/>
    <n v="0"/>
    <n v="1314.5198449186591"/>
    <n v="883.03039043263618"/>
    <n v="252.02270956736373"/>
    <n v="0"/>
    <n v="1135.0530999999999"/>
  </r>
  <r>
    <x v="0"/>
    <x v="0"/>
    <n v="28"/>
    <n v="6"/>
    <n v="0"/>
    <n v="20260104"/>
    <n v="20260206"/>
    <n v="336.17779999999999"/>
    <n v="34"/>
    <n v="9.8875823529411768"/>
    <n v="335.77880610842425"/>
    <n v="59.325494117647061"/>
    <n v="0"/>
    <n v="395.1043002260713"/>
    <n v="285.70020690629792"/>
    <n v="50.477593093702076"/>
    <n v="0"/>
    <n v="336.17779999999999"/>
  </r>
  <r>
    <x v="0"/>
    <x v="0"/>
    <n v="30"/>
    <n v="2"/>
    <n v="0"/>
    <n v="20260102"/>
    <n v="20260202"/>
    <n v="1344.0786000000001"/>
    <n v="32"/>
    <n v="42.002456250000002"/>
    <n v="1528.2734852032856"/>
    <n v="84.004912500000003"/>
    <n v="0"/>
    <n v="1612.2783977032857"/>
    <n v="1274.0477632989914"/>
    <n v="70.030836701008539"/>
    <n v="0"/>
    <n v="1344.0786000000001"/>
  </r>
  <r>
    <x v="0"/>
    <x v="0"/>
    <n v="24"/>
    <n v="2"/>
    <n v="0"/>
    <n v="20260108"/>
    <n v="20260202"/>
    <n v="336.16199999999998"/>
    <n v="26"/>
    <n v="12.929307692307692"/>
    <n v="376.34976412959145"/>
    <n v="25.858615384615383"/>
    <n v="0"/>
    <n v="402.20837951420685"/>
    <n v="314.54961122922839"/>
    <n v="21.612388770771577"/>
    <n v="0"/>
    <n v="336.16199999999998"/>
  </r>
  <r>
    <x v="0"/>
    <x v="0"/>
    <n v="30"/>
    <n v="4"/>
    <n v="0"/>
    <n v="20260102"/>
    <n v="20260204"/>
    <n v="882.32129999999995"/>
    <n v="34"/>
    <n v="25.950626470588233"/>
    <n v="944.22226460659715"/>
    <n v="103.80250588235293"/>
    <n v="0"/>
    <n v="1048.02477048895"/>
    <n v="794.93103546393775"/>
    <n v="87.390264536062261"/>
    <n v="0"/>
    <n v="882.32130000000006"/>
  </r>
  <r>
    <x v="0"/>
    <x v="0"/>
    <n v="24"/>
    <n v="9"/>
    <n v="0"/>
    <n v="20260108"/>
    <n v="20260209"/>
    <n v="294.32159999999999"/>
    <n v="33"/>
    <n v="8.9188363636363626"/>
    <n v="259.6118865484176"/>
    <n v="80.26952727272726"/>
    <n v="0"/>
    <n v="339.88141382114486"/>
    <n v="224.81189827036999"/>
    <n v="69.509701729629995"/>
    <n v="0"/>
    <n v="294.32159999999999"/>
  </r>
  <r>
    <x v="0"/>
    <x v="0"/>
    <n v="26"/>
    <n v="7"/>
    <n v="0"/>
    <n v="20260106"/>
    <n v="20260207"/>
    <n v="1218.8733999999999"/>
    <n v="33"/>
    <n v="36.935557575757571"/>
    <n v="1164.7243176879454"/>
    <n v="258.54890303030299"/>
    <n v="0"/>
    <n v="1423.2732207182485"/>
    <n v="997.45535045376971"/>
    <n v="221.41804954623012"/>
    <n v="0"/>
    <n v="1218.8733999999999"/>
  </r>
  <r>
    <x v="0"/>
    <x v="0"/>
    <n v="26"/>
    <n v="4"/>
    <n v="0"/>
    <n v="20260106"/>
    <n v="20260204"/>
    <n v="756.50639999999999"/>
    <n v="30"/>
    <n v="25.21688"/>
    <n v="795.18803234463917"/>
    <n v="100.86752"/>
    <n v="0"/>
    <n v="896.05555234463918"/>
    <n v="671.34770171119237"/>
    <n v="85.158698288807628"/>
    <n v="0"/>
    <n v="756.50639999999999"/>
  </r>
  <r>
    <x v="0"/>
    <x v="0"/>
    <n v="30"/>
    <n v="10"/>
    <n v="0"/>
    <n v="20260102"/>
    <n v="20260210"/>
    <n v="1807.2528"/>
    <n v="40"/>
    <n v="45.181319999999999"/>
    <n v="1643.9375109755613"/>
    <n v="451.81319999999999"/>
    <n v="0"/>
    <n v="2095.7507109755611"/>
    <n v="1417.6355299207432"/>
    <n v="389.61727007925697"/>
    <n v="0"/>
    <n v="1807.2528000000002"/>
  </r>
  <r>
    <x v="0"/>
    <x v="0"/>
    <n v="28"/>
    <n v="2"/>
    <n v="0"/>
    <n v="20260104"/>
    <n v="20260202"/>
    <n v="168.02170000000001"/>
    <n v="30"/>
    <n v="5.6007233333333337"/>
    <n v="190.19858718555736"/>
    <n v="11.201446666666667"/>
    <n v="0"/>
    <n v="201.40003385222403"/>
    <n v="158.67668612193066"/>
    <n v="9.3450138780693326"/>
    <n v="0"/>
    <n v="168.02169999999998"/>
  </r>
  <r>
    <x v="0"/>
    <x v="0"/>
    <n v="27"/>
    <n v="26"/>
    <n v="0"/>
    <n v="20260105"/>
    <n v="20260226"/>
    <n v="378.68020000000001"/>
    <n v="53"/>
    <n v="7.1449094339622645"/>
    <n v="233.97293766344939"/>
    <n v="185.76764528301888"/>
    <n v="0"/>
    <n v="419.74058294646829"/>
    <n v="211.08494729536861"/>
    <n v="167.59525270463141"/>
    <n v="0"/>
    <n v="378.68020000000001"/>
  </r>
  <r>
    <x v="0"/>
    <x v="0"/>
    <n v="30"/>
    <n v="24"/>
    <n v="0"/>
    <n v="20260102"/>
    <n v="20260224"/>
    <n v="1303.8526999999999"/>
    <n v="54"/>
    <n v="24.14542037037037"/>
    <n v="878.53923402692283"/>
    <n v="579.49008888888886"/>
    <n v="0"/>
    <n v="1458.0293229158117"/>
    <n v="785.6397222870371"/>
    <n v="518.21297771296281"/>
    <n v="0"/>
    <n v="1303.8526999999999"/>
  </r>
  <r>
    <x v="0"/>
    <x v="0"/>
    <n v="26"/>
    <n v="27"/>
    <n v="0"/>
    <n v="20260106"/>
    <n v="20260227"/>
    <n v="925.81500000000005"/>
    <n v="53"/>
    <n v="17.468207547169811"/>
    <n v="550.84172141921363"/>
    <n v="471.6416037735849"/>
    <n v="0"/>
    <n v="1022.4833251927985"/>
    <n v="498.76366269305021"/>
    <n v="427.0513373069499"/>
    <n v="0"/>
    <n v="925.81500000000005"/>
  </r>
  <r>
    <x v="0"/>
    <x v="0"/>
    <n v="25"/>
    <n v="13"/>
    <n v="0"/>
    <n v="20260107"/>
    <n v="20260213"/>
    <n v="757.09349999999995"/>
    <n v="38"/>
    <n v="19.923513157894735"/>
    <n v="604.10310113925993"/>
    <n v="259.00567105263156"/>
    <n v="0"/>
    <n v="863.10877219189149"/>
    <n v="529.90138200181877"/>
    <n v="227.1921179981812"/>
    <n v="0"/>
    <n v="757.09349999999995"/>
  </r>
  <r>
    <x v="0"/>
    <x v="0"/>
    <n v="26"/>
    <n v="28"/>
    <n v="5"/>
    <n v="20260106"/>
    <n v="20260305"/>
    <n v="552650.62049999996"/>
    <n v="59"/>
    <n v="9366.9596694915253"/>
    <n v="295377.31188928045"/>
    <n v="262274.87074576272"/>
    <n v="34529.800317131594"/>
    <n v="592181.98295217473"/>
    <n v="275659.27265034051"/>
    <n v="244766.59917380344"/>
    <n v="32224.748675855997"/>
    <n v="552650.62049999996"/>
  </r>
  <r>
    <x v="0"/>
    <x v="0"/>
    <n v="29"/>
    <n v="28"/>
    <n v="5"/>
    <n v="20260103"/>
    <n v="20260305"/>
    <n v="46733.5095"/>
    <n v="62"/>
    <n v="753.76628225806451"/>
    <n v="26511.83816045077"/>
    <n v="21105.455903225808"/>
    <n v="2778.6389747069857"/>
    <n v="50395.933038383562"/>
    <n v="24585.143400167297"/>
    <n v="19571.659149638213"/>
    <n v="2576.7069501944925"/>
    <n v="46733.5095"/>
  </r>
  <r>
    <x v="0"/>
    <x v="0"/>
    <n v="30"/>
    <n v="28"/>
    <n v="5"/>
    <n v="20260102"/>
    <n v="20260305"/>
    <n v="351360.73839999997"/>
    <n v="63"/>
    <n v="5577.1545777777774"/>
    <n v="202926.64346499744"/>
    <n v="156160.32817777776"/>
    <n v="20559.289321558157"/>
    <n v="379646.26096433337"/>
    <n v="187807.60571113197"/>
    <n v="144525.61202093613"/>
    <n v="19027.520667931869"/>
    <n v="351360.73839999997"/>
  </r>
  <r>
    <x v="0"/>
    <x v="0"/>
    <n v="25"/>
    <n v="28"/>
    <n v="6"/>
    <n v="20260107"/>
    <n v="20260306"/>
    <n v="79105.165800000002"/>
    <n v="59"/>
    <n v="1340.7655220338984"/>
    <n v="40653.503392815444"/>
    <n v="37541.434616949155"/>
    <n v="5931.0214688397418"/>
    <n v="84125.959478604331"/>
    <n v="38227.226722536529"/>
    <n v="35300.891997539817"/>
    <n v="5577.0470799236709"/>
    <n v="79105.165800000002"/>
  </r>
  <r>
    <x v="0"/>
    <x v="0"/>
    <n v="23"/>
    <n v="28"/>
    <n v="8"/>
    <n v="20260109"/>
    <n v="20260308"/>
    <n v="39441.014799999997"/>
    <n v="59"/>
    <n v="668.49177627118638"/>
    <n v="18647.861738870826"/>
    <n v="18717.769735593218"/>
    <n v="3942.8610115139659"/>
    <n v="41308.492485978008"/>
    <n v="17804.827689628641"/>
    <n v="17871.575279952889"/>
    <n v="3764.6118304184702"/>
    <n v="39441.014799999997"/>
  </r>
  <r>
    <x v="0"/>
    <x v="0"/>
    <n v="25"/>
    <n v="28"/>
    <n v="4"/>
    <n v="20260107"/>
    <n v="20260304"/>
    <n v="224368.2335"/>
    <n v="57"/>
    <n v="3936.2847982456142"/>
    <n v="119352.53761434362"/>
    <n v="110215.97435087719"/>
    <n v="11608.388025196644"/>
    <n v="241176.89999041744"/>
    <n v="111034.34047513081"/>
    <n v="102534.54401963939"/>
    <n v="10799.349005229811"/>
    <n v="224368.2335"/>
  </r>
  <r>
    <x v="0"/>
    <x v="0"/>
    <n v="25"/>
    <n v="28"/>
    <n v="1"/>
    <n v="20260107"/>
    <n v="20260301"/>
    <n v="107937.52770000001"/>
    <n v="54"/>
    <n v="1998.8431055555557"/>
    <n v="60607.148407381297"/>
    <n v="55967.606955555559"/>
    <n v="1473.6831530279276"/>
    <n v="118048.43851596478"/>
    <n v="55416.114285620337"/>
    <n v="51173.951998111435"/>
    <n v="1347.4614162682326"/>
    <n v="107937.52770000001"/>
  </r>
  <r>
    <x v="0"/>
    <x v="0"/>
    <n v="27"/>
    <n v="28"/>
    <n v="7"/>
    <n v="20260105"/>
    <n v="20260307"/>
    <n v="35967.99"/>
    <n v="62"/>
    <n v="580.12887096774193"/>
    <n v="18997.365525517958"/>
    <n v="16243.608387096774"/>
    <n v="2993.9733586286638"/>
    <n v="38234.947271243393"/>
    <n v="17871.00812251111"/>
    <n v="15280.521766808577"/>
    <n v="2816.4601106803152"/>
    <n v="35967.990000000005"/>
  </r>
  <r>
    <x v="0"/>
    <x v="0"/>
    <n v="23"/>
    <n v="28"/>
    <n v="4"/>
    <n v="20260109"/>
    <n v="20260304"/>
    <n v="14194.789699999999"/>
    <n v="55"/>
    <n v="258.08708545454544"/>
    <n v="7199.4487546128184"/>
    <n v="7226.438392727272"/>
    <n v="761.11744596929123"/>
    <n v="15187.004593309382"/>
    <n v="6729.0860682742932"/>
    <n v="6754.3123882348827"/>
    <n v="711.39124349082283"/>
    <n v="14194.789699999999"/>
  </r>
  <r>
    <x v="0"/>
    <x v="0"/>
    <n v="23"/>
    <n v="28"/>
    <n v="2"/>
    <n v="20260109"/>
    <n v="20260302"/>
    <n v="7201.0075999999999"/>
    <n v="53"/>
    <n v="135.8680679245283"/>
    <n v="3790.0974033168832"/>
    <n v="3804.3059018867925"/>
    <n v="200.34237022238003"/>
    <n v="7794.7456754260556"/>
    <n v="3501.3997046841878"/>
    <n v="3514.5259195020835"/>
    <n v="185.08197581372877"/>
    <n v="7201.0075999999999"/>
  </r>
  <r>
    <x v="0"/>
    <x v="0"/>
    <n v="29"/>
    <n v="28"/>
    <n v="8"/>
    <n v="20260103"/>
    <n v="20260308"/>
    <n v="10149.2646"/>
    <n v="65"/>
    <n v="156.14253230769231"/>
    <n v="5491.9218913631694"/>
    <n v="4371.9909046153844"/>
    <n v="920.95119899472081"/>
    <n v="10784.863994973275"/>
    <n v="5168.2588175387918"/>
    <n v="4114.3302818112961"/>
    <n v="866.67550064991224"/>
    <n v="10149.264599999999"/>
  </r>
  <r>
    <x v="0"/>
    <x v="0"/>
    <n v="28"/>
    <n v="5"/>
    <n v="0"/>
    <n v="20260104"/>
    <n v="20260205"/>
    <n v="126.0667"/>
    <n v="33"/>
    <n v="3.8202030303030301"/>
    <n v="129.73274626889645"/>
    <n v="19.101015151515149"/>
    <n v="0"/>
    <n v="148.83376142041161"/>
    <n v="109.88756212281085"/>
    <n v="16.179137877189152"/>
    <n v="0"/>
    <n v="126.0667"/>
  </r>
  <r>
    <x v="0"/>
    <x v="0"/>
    <n v="26"/>
    <n v="24"/>
    <n v="0"/>
    <n v="20260106"/>
    <n v="20260224"/>
    <n v="336.57299999999998"/>
    <n v="50"/>
    <n v="6.7314599999999993"/>
    <n v="212.2695762602925"/>
    <n v="161.55503999999999"/>
    <n v="0"/>
    <n v="373.82461626029249"/>
    <n v="191.11691681884619"/>
    <n v="145.45608318115379"/>
    <n v="0"/>
    <n v="336.57299999999998"/>
  </r>
  <r>
    <x v="0"/>
    <x v="0"/>
    <n v="27"/>
    <n v="23"/>
    <n v="0"/>
    <n v="20260105"/>
    <n v="20260223"/>
    <n v="588.91980000000001"/>
    <n v="50"/>
    <n v="11.778396000000001"/>
    <n v="385.70480683548112"/>
    <n v="270.90310800000003"/>
    <n v="0"/>
    <n v="656.6079148354811"/>
    <n v="345.94343529578742"/>
    <n v="242.97636470421259"/>
    <n v="0"/>
    <n v="588.91980000000001"/>
  </r>
  <r>
    <x v="0"/>
    <x v="0"/>
    <n v="26"/>
    <n v="12"/>
    <n v="0"/>
    <n v="20260106"/>
    <n v="20260212"/>
    <n v="883.11019999999996"/>
    <n v="38"/>
    <n v="23.239742105263158"/>
    <n v="732.84104920517825"/>
    <n v="278.87690526315788"/>
    <n v="0"/>
    <n v="1011.7179544683361"/>
    <n v="639.68362197534736"/>
    <n v="243.42657802465266"/>
    <n v="0"/>
    <n v="883.11020000000008"/>
  </r>
  <r>
    <x v="0"/>
    <x v="0"/>
    <n v="28"/>
    <n v="28"/>
    <n v="9"/>
    <n v="20260104"/>
    <n v="20260309"/>
    <n v="7581.4309000000003"/>
    <n v="65"/>
    <n v="116.63739846153847"/>
    <n v="3960.9648754387408"/>
    <n v="3265.8471569230769"/>
    <n v="773.93724291432454"/>
    <n v="8000.7492752761427"/>
    <n v="3753.3711490327205"/>
    <n v="3094.6844724513871"/>
    <n v="733.37527851589255"/>
    <n v="7581.4308999999994"/>
  </r>
  <r>
    <x v="0"/>
    <x v="0"/>
    <n v="16"/>
    <n v="28"/>
    <n v="2"/>
    <n v="20260116"/>
    <n v="20260302"/>
    <n v="969.03380000000004"/>
    <n v="46"/>
    <n v="21.065952173913043"/>
    <n v="408.79559939801464"/>
    <n v="589.8466608695652"/>
    <n v="31.062506841985702"/>
    <n v="1029.7047671095654"/>
    <n v="384.70906007351238"/>
    <n v="555.09245898142683"/>
    <n v="29.232280945060982"/>
    <n v="969.03380000000027"/>
  </r>
  <r>
    <x v="0"/>
    <x v="0"/>
    <n v="20"/>
    <n v="28"/>
    <n v="1"/>
    <n v="20260112"/>
    <n v="20260301"/>
    <n v="1347.5886"/>
    <n v="49"/>
    <n v="27.501808163265306"/>
    <n v="667.10835450352408"/>
    <n v="770.05062857142855"/>
    <n v="20.276204398116306"/>
    <n v="1457.4351874730689"/>
    <n v="616.82853633607601"/>
    <n v="712.01207258135219"/>
    <n v="18.747991082571758"/>
    <n v="1347.5886"/>
  </r>
  <r>
    <x v="0"/>
    <x v="0"/>
    <n v="31"/>
    <n v="28"/>
    <n v="1"/>
    <n v="20251230"/>
    <n v="20260301"/>
    <n v="2229.8485000000001"/>
    <n v="60"/>
    <n v="37.164141666666666"/>
    <n v="1397.304109323896"/>
    <n v="1040.5959666666668"/>
    <n v="27.399934151253817"/>
    <n v="2465.300010141817"/>
    <n v="1263.8528614781003"/>
    <n v="941.21256878761665"/>
    <n v="24.783069734282538"/>
    <n v="2229.8484999999991"/>
  </r>
  <r>
    <x v="0"/>
    <x v="0"/>
    <n v="31"/>
    <n v="28"/>
    <n v="6"/>
    <n v="20251229"/>
    <n v="20260306"/>
    <n v="463.0487"/>
    <n v="65"/>
    <n v="7.1238261538461538"/>
    <n v="267.84290212213813"/>
    <n v="199.46713230769231"/>
    <n v="31.513016380857792"/>
    <n v="498.82305081068824"/>
    <n v="248.63387413696847"/>
    <n v="185.16184478182473"/>
    <n v="29.252981081206766"/>
    <n v="463.0487"/>
  </r>
  <r>
    <x v="0"/>
    <x v="0"/>
    <n v="9"/>
    <n v="28"/>
    <n v="1"/>
    <n v="20260123"/>
    <n v="20260301"/>
    <n v="295.07549999999998"/>
    <n v="38"/>
    <n v="7.7651447368421049"/>
    <n v="84.761220197080505"/>
    <n v="217.42405263157895"/>
    <n v="5.7249930961075295"/>
    <n v="307.91026592476697"/>
    <n v="81.228079080593773"/>
    <n v="208.36106535650586"/>
    <n v="5.4863555629003695"/>
    <n v="295.07550000000003"/>
  </r>
  <r>
    <x v="0"/>
    <x v="0"/>
    <n v="31"/>
    <n v="28"/>
    <n v="5"/>
    <n v="20251229"/>
    <n v="20260305"/>
    <n v="126.27119999999999"/>
    <n v="64"/>
    <n v="1.9729874999999999"/>
    <n v="74.180740298581185"/>
    <n v="55.243649999999995"/>
    <n v="7.2731032060581997"/>
    <n v="136.6974935046394"/>
    <n v="68.522771370875944"/>
    <n v="51.030064992693156"/>
    <n v="6.7183636364308823"/>
    <n v="126.27119999999998"/>
  </r>
  <r>
    <x v="0"/>
    <x v="0"/>
    <n v="13"/>
    <n v="28"/>
    <n v="7"/>
    <n v="20260119"/>
    <n v="20260307"/>
    <n v="84.338899999999995"/>
    <n v="48"/>
    <n v="1.7570604166666666"/>
    <n v="27.703534605387713"/>
    <n v="49.197691666666664"/>
    <n v="9.0679715150627178"/>
    <n v="85.969197787117096"/>
    <n v="27.178171890310082"/>
    <n v="48.26471927748549"/>
    <n v="8.8960088322044282"/>
    <n v="84.33890000000001"/>
  </r>
  <r>
    <x v="0"/>
    <x v="0"/>
    <n v="11"/>
    <n v="28"/>
    <n v="3"/>
    <n v="20260121"/>
    <n v="20260303"/>
    <n v="421.55619999999999"/>
    <n v="42"/>
    <n v="10.03705238095238"/>
    <n v="133.90722537206091"/>
    <n v="281.03746666666666"/>
    <n v="22.19999402467948"/>
    <n v="437.14468606340705"/>
    <n v="129.13212233855612"/>
    <n v="271.01573067833738"/>
    <n v="21.408346983106519"/>
    <n v="421.55619999999999"/>
  </r>
  <r>
    <x v="0"/>
    <x v="0"/>
    <n v="8"/>
    <n v="28"/>
    <n v="4"/>
    <n v="20260124"/>
    <n v="20260304"/>
    <n v="168.70160000000001"/>
    <n v="40"/>
    <n v="4.2175400000000005"/>
    <n v="40.921762711019333"/>
    <n v="118.09112000000002"/>
    <n v="12.437829918609705"/>
    <n v="171.45071262962907"/>
    <n v="40.265606005864264"/>
    <n v="116.19759745664176"/>
    <n v="12.238396537493974"/>
    <n v="168.70159999999998"/>
  </r>
  <r>
    <x v="0"/>
    <x v="0"/>
    <n v="30"/>
    <n v="28"/>
    <n v="10"/>
    <n v="20260102"/>
    <n v="20260310"/>
    <n v="3242.7873"/>
    <n v="68"/>
    <n v="47.688048529411766"/>
    <n v="1735.1456708817486"/>
    <n v="1335.2653588235294"/>
    <n v="351.58874412526558"/>
    <n v="3421.9997738305437"/>
    <n v="1644.274902708964"/>
    <n v="1265.3365966988235"/>
    <n v="333.17580059221228"/>
    <n v="3242.7873"/>
  </r>
  <r>
    <x v="0"/>
    <x v="0"/>
    <n v="29"/>
    <n v="28"/>
    <n v="10"/>
    <n v="20260103"/>
    <n v="20260310"/>
    <n v="252.70249999999999"/>
    <n v="67"/>
    <n v="3.7716791044776117"/>
    <n v="132.65935126669629"/>
    <n v="105.60701492537312"/>
    <n v="27.807384879021118"/>
    <n v="266.07375107109056"/>
    <n v="125.99269780849382"/>
    <n v="100.29984762400981"/>
    <n v="26.409954567496346"/>
    <n v="252.70249999999999"/>
  </r>
  <r>
    <x v="0"/>
    <x v="0"/>
    <n v="31"/>
    <n v="28"/>
    <n v="5"/>
    <n v="20251227"/>
    <n v="20260305"/>
    <n v="126.26819999999999"/>
    <n v="64"/>
    <n v="1.9729406249999999"/>
    <n v="74.178977883866693"/>
    <n v="55.242337499999998"/>
    <n v="7.2729304088596454"/>
    <n v="136.69424579272635"/>
    <n v="68.521143380375236"/>
    <n v="51.028852600675208"/>
    <n v="6.7182040189495469"/>
    <n v="126.26819999999999"/>
  </r>
  <r>
    <x v="0"/>
    <x v="0"/>
    <n v="31"/>
    <n v="28"/>
    <n v="4"/>
    <n v="20251226"/>
    <n v="20260304"/>
    <n v="126.2475"/>
    <n v="63"/>
    <n v="2.0039285714285713"/>
    <n v="75.344068289357963"/>
    <n v="56.11"/>
    <n v="5.9097300180842582"/>
    <n v="137.36379830744221"/>
    <n v="69.246776651234825"/>
    <n v="51.569243951346174"/>
    <n v="5.4314793974190083"/>
    <n v="126.24750000000002"/>
  </r>
  <r>
    <x v="0"/>
    <x v="0"/>
    <n v="0"/>
    <n v="4"/>
    <n v="8"/>
    <n v="20260225"/>
    <n v="20260308"/>
    <n v="84.813299999999998"/>
    <n v="12"/>
    <n v="7.0677750000000001"/>
    <n v="0"/>
    <n v="28.271100000000001"/>
    <n v="41.68675737657577"/>
    <n v="69.957857376575774"/>
    <n v="0"/>
    <n v="34.2744242826518"/>
    <n v="50.538875717348198"/>
    <n v="84.813299999999998"/>
  </r>
  <r>
    <x v="0"/>
    <x v="0"/>
    <n v="0"/>
    <n v="6"/>
    <n v="3"/>
    <n v="20260223"/>
    <n v="20260303"/>
    <n v="84.738200000000006"/>
    <n v="9"/>
    <n v="9.415355555555557"/>
    <n v="0"/>
    <n v="56.492133333333342"/>
    <n v="20.824922411507121"/>
    <n v="77.317055744840459"/>
    <n v="0"/>
    <n v="61.914433325354835"/>
    <n v="22.823766674645174"/>
    <n v="84.738200000000006"/>
  </r>
  <r>
    <x v="0"/>
    <x v="0"/>
    <n v="0"/>
    <n v="22"/>
    <n v="4"/>
    <n v="20260207"/>
    <n v="20260304"/>
    <n v="126.6922"/>
    <n v="26"/>
    <n v="4.8727769230769233"/>
    <n v="0"/>
    <n v="107.20109230769231"/>
    <n v="14.37017090544656"/>
    <n v="121.57126321313886"/>
    <n v="0"/>
    <n v="111.71671551239409"/>
    <n v="14.975484487605916"/>
    <n v="126.6922"/>
  </r>
  <r>
    <x v="0"/>
    <x v="0"/>
    <n v="0"/>
    <n v="20"/>
    <n v="5"/>
    <n v="20260209"/>
    <n v="20260305"/>
    <n v="42.253500000000003"/>
    <n v="25"/>
    <n v="1.6901400000000002"/>
    <n v="0"/>
    <n v="33.802800000000005"/>
    <n v="6.2304310862016141"/>
    <n v="40.033231086201617"/>
    <n v="0"/>
    <n v="35.677525172138616"/>
    <n v="6.5759748278613896"/>
    <n v="42.253500000000003"/>
  </r>
  <r>
    <x v="0"/>
    <x v="0"/>
    <n v="2"/>
    <n v="28"/>
    <n v="4"/>
    <n v="20260130"/>
    <n v="20260304"/>
    <n v="84.408100000000005"/>
    <n v="34"/>
    <n v="2.4825911764705886"/>
    <n v="6.0219942805521551"/>
    <n v="69.51255294117648"/>
    <n v="7.3213405943707341"/>
    <n v="82.855887816099369"/>
    <n v="6.1348095932599227"/>
    <n v="70.814792702927818"/>
    <n v="7.4584977038122728"/>
    <n v="84.408100000000005"/>
  </r>
  <r>
    <x v="0"/>
    <x v="0"/>
    <n v="3"/>
    <n v="28"/>
    <n v="2"/>
    <n v="20260129"/>
    <n v="20260302"/>
    <n v="717.14970000000005"/>
    <n v="33"/>
    <n v="21.731809090909092"/>
    <n v="79.071917655139714"/>
    <n v="608.49065454545462"/>
    <n v="32.044336899759507"/>
    <n v="719.60690910035385"/>
    <n v="78.801914361414333"/>
    <n v="606.41286908380778"/>
    <n v="31.934916554777924"/>
    <n v="717.14970000000005"/>
  </r>
  <r>
    <x v="0"/>
    <x v="0"/>
    <n v="0"/>
    <n v="26"/>
    <n v="1"/>
    <n v="20260203"/>
    <n v="20260301"/>
    <n v="1223.6595"/>
    <n v="27"/>
    <n v="45.320722222222223"/>
    <n v="0"/>
    <n v="1178.3387777777778"/>
    <n v="33.413520369015778"/>
    <n v="1211.7522981467935"/>
    <n v="0"/>
    <n v="1189.9176439370733"/>
    <n v="33.74185606292663"/>
    <n v="1223.6595"/>
  </r>
  <r>
    <x v="0"/>
    <x v="0"/>
    <n v="4"/>
    <n v="28"/>
    <n v="3"/>
    <n v="20260128"/>
    <n v="20260303"/>
    <n v="548.39570000000003"/>
    <n v="35"/>
    <n v="15.668448571428572"/>
    <n v="76.013568868322508"/>
    <n v="438.71656000000002"/>
    <n v="34.655539441222565"/>
    <n v="549.38566830954505"/>
    <n v="75.876595829861927"/>
    <n v="437.92601245512321"/>
    <n v="34.593091715014921"/>
    <n v="548.39570000000003"/>
  </r>
  <r>
    <x v="0"/>
    <x v="0"/>
    <n v="1"/>
    <n v="28"/>
    <n v="2"/>
    <n v="20260131"/>
    <n v="20260302"/>
    <n v="84.396199999999993"/>
    <n v="31"/>
    <n v="2.7224580645161289"/>
    <n v="3.3019183844975384"/>
    <n v="76.22882580645161"/>
    <n v="4.0143626814445117"/>
    <n v="83.54510687239366"/>
    <n v="3.3355557829062232"/>
    <n v="77.005386304105471"/>
    <n v="4.0552579129882957"/>
    <n v="84.396199999999993"/>
  </r>
  <r>
    <x v="0"/>
    <x v="0"/>
    <n v="1"/>
    <n v="28"/>
    <n v="6"/>
    <n v="20260131"/>
    <n v="20260306"/>
    <n v="84.451599999999999"/>
    <n v="35"/>
    <n v="2.412902857142857"/>
    <n v="2.92647604304703"/>
    <n v="67.561279999999996"/>
    <n v="10.673737064949091"/>
    <n v="81.161493107996122"/>
    <n v="3.0451088901005141"/>
    <n v="70.300064421632371"/>
    <n v="11.106426688267101"/>
    <n v="84.451599999999985"/>
  </r>
  <r>
    <x v="0"/>
    <x v="0"/>
    <n v="0"/>
    <n v="26"/>
    <n v="2"/>
    <n v="20260203"/>
    <n v="20260302"/>
    <n v="84.406199999999998"/>
    <n v="28"/>
    <n v="3.0145071428571426"/>
    <n v="0"/>
    <n v="78.377185714285702"/>
    <n v="4.4449995887758291"/>
    <n v="82.822185303061531"/>
    <n v="0"/>
    <n v="79.876187625691614"/>
    <n v="4.53001237430838"/>
    <n v="84.406199999999998"/>
  </r>
  <r>
    <x v="0"/>
    <x v="0"/>
    <n v="5"/>
    <n v="28"/>
    <n v="5"/>
    <n v="20260127"/>
    <n v="20260305"/>
    <n v="337.5138"/>
    <n v="38"/>
    <n v="8.8819421052631586"/>
    <n v="53.862074699438303"/>
    <n v="248.69437894736845"/>
    <n v="32.741860555027742"/>
    <n v="335.2983142018345"/>
    <n v="54.217968709345264"/>
    <n v="250.33762867844172"/>
    <n v="32.958202612213015"/>
    <n v="337.5138"/>
  </r>
  <r>
    <x v="0"/>
    <x v="0"/>
    <n v="3"/>
    <n v="28"/>
    <n v="5"/>
    <n v="20260129"/>
    <n v="20260305"/>
    <n v="844.08090000000004"/>
    <n v="36"/>
    <n v="23.446691666666666"/>
    <n v="85.311575534117722"/>
    <n v="656.50736666666671"/>
    <n v="86.432482888153828"/>
    <n v="828.25142508893828"/>
    <n v="86.942043534091823"/>
    <n v="669.05448288619073"/>
    <n v="88.08437357971755"/>
    <n v="844.08090000000004"/>
  </r>
  <r>
    <x v="0"/>
    <x v="0"/>
    <n v="5"/>
    <n v="28"/>
    <n v="3"/>
    <n v="20260127"/>
    <n v="20260303"/>
    <n v="590.48310000000004"/>
    <n v="36"/>
    <n v="16.402308333333334"/>
    <n v="99.467250092714252"/>
    <n v="459.26463333333334"/>
    <n v="36.278693501886394"/>
    <n v="595.01057692793404"/>
    <n v="98.710396857928231"/>
    <n v="455.7700567461938"/>
    <n v="36.002646395877939"/>
    <n v="590.48309999999992"/>
  </r>
  <r>
    <x v="0"/>
    <x v="0"/>
    <n v="0"/>
    <n v="24"/>
    <n v="3"/>
    <n v="20260205"/>
    <n v="20260303"/>
    <n v="168.83600000000001"/>
    <n v="27"/>
    <n v="6.2531851851851856"/>
    <n v="0"/>
    <n v="150.07644444444446"/>
    <n v="13.830820890181823"/>
    <n v="163.90726533462629"/>
    <n v="0"/>
    <n v="154.58928268062181"/>
    <n v="14.246717319378199"/>
    <n v="168.83600000000001"/>
  </r>
  <r>
    <x v="0"/>
    <x v="0"/>
    <n v="1"/>
    <n v="28"/>
    <n v="5"/>
    <n v="20260131"/>
    <n v="20260305"/>
    <n v="168.8715"/>
    <n v="34"/>
    <n v="4.9668088235294121"/>
    <n v="6.0239669365159454"/>
    <n v="139.07064705882354"/>
    <n v="18.309347209898654"/>
    <n v="163.40396120523812"/>
    <n v="6.2255304278831787"/>
    <n v="143.72398687016209"/>
    <n v="18.921982701954747"/>
    <n v="168.87150000000003"/>
  </r>
  <r>
    <x v="0"/>
    <x v="0"/>
    <n v="0"/>
    <n v="16"/>
    <n v="2"/>
    <n v="20260213"/>
    <n v="20260302"/>
    <n v="253.39619999999999"/>
    <n v="18"/>
    <n v="14.077566666666666"/>
    <n v="0"/>
    <n v="225.24106666666665"/>
    <n v="20.757880170417984"/>
    <n v="245.99894683708465"/>
    <n v="0"/>
    <n v="232.01412490224462"/>
    <n v="21.382075097755351"/>
    <n v="253.39619999999996"/>
  </r>
  <r>
    <x v="0"/>
    <x v="0"/>
    <n v="0"/>
    <n v="10"/>
    <n v="3"/>
    <n v="20260219"/>
    <n v="20260303"/>
    <n v="211.4699"/>
    <n v="13"/>
    <n v="16.266915384615384"/>
    <n v="0"/>
    <n v="162.66915384615385"/>
    <n v="35.979230817181637"/>
    <n v="198.64838466333549"/>
    <n v="0"/>
    <n v="173.16843404103403"/>
    <n v="38.301465958965949"/>
    <n v="211.4699"/>
  </r>
  <r>
    <x v="0"/>
    <x v="0"/>
    <n v="0"/>
    <n v="15"/>
    <n v="2"/>
    <n v="20260214"/>
    <n v="20260302"/>
    <n v="126.6921"/>
    <n v="17"/>
    <n v="7.4524764705882349"/>
    <n v="0"/>
    <n v="111.78714705882352"/>
    <n v="10.988945548070342"/>
    <n v="122.77609260689387"/>
    <n v="0"/>
    <n v="115.35265631263418"/>
    <n v="11.339443687365808"/>
    <n v="126.69209999999998"/>
  </r>
  <r>
    <x v="0"/>
    <x v="0"/>
    <n v="0"/>
    <n v="15"/>
    <n v="5"/>
    <n v="20260214"/>
    <n v="20260305"/>
    <n v="126.79300000000001"/>
    <n v="20"/>
    <n v="6.3396500000000007"/>
    <n v="0"/>
    <n v="95.094750000000005"/>
    <n v="23.370106876139292"/>
    <n v="118.46485687613929"/>
    <n v="0"/>
    <n v="101.77996204694308"/>
    <n v="25.01303795305693"/>
    <n v="126.79300000000001"/>
  </r>
  <r>
    <x v="0"/>
    <x v="0"/>
    <n v="21"/>
    <n v="28"/>
    <n v="7"/>
    <n v="20260111"/>
    <n v="20260307"/>
    <n v="126.4194"/>
    <n v="56"/>
    <n v="2.2574892857142856"/>
    <n v="57.49765438875621"/>
    <n v="63.209699999999998"/>
    <n v="11.650623020266904"/>
    <n v="132.35797740902311"/>
    <n v="54.917875835857224"/>
    <n v="60.373635987846711"/>
    <n v="11.127888176296064"/>
    <n v="126.4194"/>
  </r>
  <r>
    <x v="0"/>
    <x v="0"/>
    <n v="0"/>
    <n v="15"/>
    <n v="4"/>
    <n v="20260214"/>
    <n v="20260304"/>
    <n v="42.252499999999998"/>
    <n v="19"/>
    <n v="2.2238157894736843"/>
    <n v="0"/>
    <n v="33.357236842105266"/>
    <n v="6.5581932974654533"/>
    <n v="39.915430139570717"/>
    <n v="0"/>
    <n v="35.310320964668698"/>
    <n v="6.9421790353313035"/>
    <n v="42.252499999999998"/>
  </r>
  <r>
    <x v="0"/>
    <x v="0"/>
    <n v="0"/>
    <n v="3"/>
    <n v="30"/>
    <n v="20260226"/>
    <n v="20260330"/>
    <n v="126.6892"/>
    <n v="33"/>
    <n v="3.8390666666666666"/>
    <n v="0"/>
    <n v="11.517199999999999"/>
    <n v="84.912635528419216"/>
    <n v="96.429835528419218"/>
    <n v="0"/>
    <n v="15.131259389216538"/>
    <n v="111.55794061078346"/>
    <n v="126.6892"/>
  </r>
  <r>
    <x v="0"/>
    <x v="0"/>
    <n v="26"/>
    <n v="6"/>
    <n v="0"/>
    <n v="20260106"/>
    <n v="20260206"/>
    <n v="1428.9905000000001"/>
    <n v="32"/>
    <n v="44.655953125000003"/>
    <n v="1408.1789459260303"/>
    <n v="267.93571875000004"/>
    <n v="0"/>
    <n v="1676.1146646760303"/>
    <n v="1200.5588749008743"/>
    <n v="228.43162509912585"/>
    <n v="0"/>
    <n v="1428.9905000000001"/>
  </r>
  <r>
    <x v="0"/>
    <x v="0"/>
    <n v="30"/>
    <n v="3"/>
    <n v="0"/>
    <n v="20260102"/>
    <n v="20260203"/>
    <n v="714.15930000000003"/>
    <n v="33"/>
    <n v="21.641190909090909"/>
    <n v="787.42200355451882"/>
    <n v="64.923572727272727"/>
    <n v="0"/>
    <n v="852.34557628179152"/>
    <n v="659.76144243772967"/>
    <n v="54.397857562270403"/>
    <n v="0"/>
    <n v="714.15930000000003"/>
  </r>
  <r>
    <x v="0"/>
    <x v="0"/>
    <n v="29"/>
    <n v="4"/>
    <n v="0"/>
    <n v="20260103"/>
    <n v="20260204"/>
    <n v="546.22469999999998"/>
    <n v="33"/>
    <n v="16.552263636363637"/>
    <n v="582.18435215989939"/>
    <n v="66.209054545454549"/>
    <n v="0"/>
    <n v="648.39340670535398"/>
    <n v="490.44834480826859"/>
    <n v="55.776355191731348"/>
    <n v="0"/>
    <n v="546.22469999999998"/>
  </r>
  <r>
    <x v="0"/>
    <x v="0"/>
    <n v="25"/>
    <n v="2"/>
    <n v="0"/>
    <n v="20260107"/>
    <n v="20260202"/>
    <n v="126.0519"/>
    <n v="27"/>
    <n v="4.6685888888888893"/>
    <n v="141.55681296621708"/>
    <n v="9.3371777777777787"/>
    <n v="0"/>
    <n v="150.89399074399486"/>
    <n v="118.25192735878662"/>
    <n v="7.7999726412133921"/>
    <n v="0"/>
    <n v="126.0519"/>
  </r>
  <r>
    <x v="0"/>
    <x v="0"/>
    <n v="30"/>
    <n v="28"/>
    <n v="0"/>
    <n v="20260102"/>
    <n v="20260228"/>
    <n v="2734.9126999999999"/>
    <n v="58"/>
    <n v="47.15366724137931"/>
    <n v="1715.7020281426701"/>
    <n v="1320.3026827586207"/>
    <n v="0"/>
    <n v="3036.0047109012908"/>
    <n v="1545.5494022570722"/>
    <n v="1189.3632977429277"/>
    <n v="0"/>
    <n v="2734.9126999999999"/>
  </r>
  <r>
    <x v="0"/>
    <x v="0"/>
    <n v="29"/>
    <n v="28"/>
    <n v="0"/>
    <n v="20260103"/>
    <n v="20260228"/>
    <n v="547.00819999999999"/>
    <n v="57"/>
    <n v="9.5966350877192976"/>
    <n v="337.53756611178693"/>
    <n v="268.70578245614035"/>
    <n v="0"/>
    <n v="606.24334856792734"/>
    <n v="304.55726550623228"/>
    <n v="242.45093449376768"/>
    <n v="0"/>
    <n v="547.00819999999999"/>
  </r>
  <r>
    <x v="0"/>
    <x v="0"/>
    <n v="28"/>
    <n v="19"/>
    <n v="0"/>
    <n v="20260104"/>
    <n v="20260219"/>
    <n v="378.50229999999999"/>
    <n v="47"/>
    <n v="8.0532404255319143"/>
    <n v="273.48520182841628"/>
    <n v="153.01156808510638"/>
    <n v="0"/>
    <n v="426.49676991352266"/>
    <n v="242.70940651908953"/>
    <n v="135.79289348091046"/>
    <n v="0"/>
    <n v="378.50229999999999"/>
  </r>
  <r>
    <x v="0"/>
    <x v="0"/>
    <n v="28"/>
    <n v="26"/>
    <n v="0"/>
    <n v="20260104"/>
    <n v="20260226"/>
    <n v="631.08920000000001"/>
    <n v="54"/>
    <n v="11.686837037037037"/>
    <n v="396.88085999230276"/>
    <n v="303.85776296296297"/>
    <n v="0"/>
    <n v="700.73862295526578"/>
    <n v="357.43316583799015"/>
    <n v="273.65603416200986"/>
    <n v="0"/>
    <n v="631.08920000000001"/>
  </r>
  <r>
    <x v="0"/>
    <x v="0"/>
    <n v="23"/>
    <n v="19"/>
    <n v="0"/>
    <n v="20260109"/>
    <n v="20260219"/>
    <n v="42.075600000000001"/>
    <n v="42"/>
    <n v="1.0018"/>
    <n v="27.945636061829905"/>
    <n v="19.034200000000002"/>
    <n v="0"/>
    <n v="46.979836061829907"/>
    <n v="25.028384584731793"/>
    <n v="17.047215415268209"/>
    <n v="0"/>
    <n v="42.075600000000001"/>
  </r>
  <r>
    <x v="0"/>
    <x v="0"/>
    <n v="27"/>
    <n v="27"/>
    <n v="0"/>
    <n v="20260105"/>
    <n v="20260227"/>
    <n v="252.47720000000001"/>
    <n v="54"/>
    <n v="4.6755037037037042"/>
    <n v="153.10779607814288"/>
    <n v="126.23860000000002"/>
    <n v="0"/>
    <n v="279.3463960781429"/>
    <n v="138.38097857960912"/>
    <n v="114.09622142039089"/>
    <n v="0"/>
    <n v="252.47720000000001"/>
  </r>
  <r>
    <x v="0"/>
    <x v="0"/>
    <n v="24"/>
    <n v="20"/>
    <n v="0"/>
    <n v="20260108"/>
    <n v="20260220"/>
    <n v="126.2119"/>
    <n v="44"/>
    <n v="2.8684522727272728"/>
    <n v="83.495679888581648"/>
    <n v="57.369045454545457"/>
    <n v="0"/>
    <n v="140.86472534312711"/>
    <n v="74.810413855279933"/>
    <n v="51.401486144720067"/>
    <n v="0"/>
    <n v="126.2119"/>
  </r>
  <r>
    <x v="0"/>
    <x v="0"/>
    <n v="25"/>
    <n v="28"/>
    <n v="2"/>
    <n v="20260107"/>
    <n v="20260302"/>
    <n v="194386.13800000001"/>
    <n v="55"/>
    <n v="3534.2934181818182"/>
    <n v="107163.7114066744"/>
    <n v="98960.215709090902"/>
    <n v="5211.4432130824098"/>
    <n v="211335.3703288477"/>
    <n v="98569.112977518889"/>
    <n v="91023.542899630236"/>
    <n v="4793.4821228508754"/>
    <n v="194386.13800000001"/>
  </r>
  <r>
    <x v="0"/>
    <x v="0"/>
    <n v="27"/>
    <n v="28"/>
    <n v="1"/>
    <n v="20260105"/>
    <n v="20260301"/>
    <n v="284758.12390000001"/>
    <n v="56"/>
    <n v="5084.9664982142858"/>
    <n v="166516.39331523867"/>
    <n v="142379.06195"/>
    <n v="3748.9833200525459"/>
    <n v="312644.43858529121"/>
    <n v="151663.96681675265"/>
    <n v="129679.56425830792"/>
    <n v="3414.5928249394447"/>
    <n v="284758.12390000006"/>
  </r>
  <r>
    <x v="0"/>
    <x v="0"/>
    <n v="26"/>
    <n v="28"/>
    <n v="7"/>
    <n v="20260106"/>
    <n v="20260307"/>
    <n v="114105.8882"/>
    <n v="61"/>
    <n v="1870.5883311475411"/>
    <n v="58987.053686739026"/>
    <n v="52376.473272131152"/>
    <n v="9653.8750417212141"/>
    <n v="121017.40200059139"/>
    <n v="55618.200704668481"/>
    <n v="49385.162007286192"/>
    <n v="9102.5254880453303"/>
    <n v="114105.8882"/>
  </r>
  <r>
    <x v="0"/>
    <x v="0"/>
    <n v="28"/>
    <n v="28"/>
    <n v="2"/>
    <n v="20260104"/>
    <n v="20260302"/>
    <n v="353391.00429999997"/>
    <n v="58"/>
    <n v="6092.9483499999997"/>
    <n v="206914.37498214329"/>
    <n v="170602.55379999999"/>
    <n v="8984.2722629985274"/>
    <n v="386501.20104514179"/>
    <n v="189188.74917158688"/>
    <n v="155987.63383010862"/>
    <n v="8214.6212983044788"/>
    <n v="353391.00429999997"/>
  </r>
  <r>
    <x v="0"/>
    <x v="0"/>
    <n v="29"/>
    <n v="28"/>
    <n v="7"/>
    <n v="20260103"/>
    <n v="20260307"/>
    <n v="17517.829399999999"/>
    <n v="64"/>
    <n v="273.71608437499998"/>
    <n v="9627.2766528150805"/>
    <n v="7664.0503624999992"/>
    <n v="1412.6148610391665"/>
    <n v="18703.941876354249"/>
    <n v="9016.7618732725914"/>
    <n v="7178.0337883220827"/>
    <n v="1323.0337384053225"/>
    <n v="17517.829399999999"/>
  </r>
  <r>
    <x v="0"/>
    <x v="0"/>
    <n v="9"/>
    <n v="28"/>
    <n v="5"/>
    <n v="20260123"/>
    <n v="20260305"/>
    <n v="1434.0304000000001"/>
    <n v="42"/>
    <n v="34.143580952380958"/>
    <n v="372.69769997855138"/>
    <n v="956.02026666666688"/>
    <n v="125.86485626040187"/>
    <n v="1454.5828229056201"/>
    <n v="367.43169475334867"/>
    <n v="942.51224737930318"/>
    <n v="124.08645786734817"/>
    <n v="1434.0304000000001"/>
  </r>
  <r>
    <x v="0"/>
    <x v="0"/>
    <n v="23"/>
    <n v="28"/>
    <n v="3"/>
    <n v="20260109"/>
    <n v="20260303"/>
    <n v="19415.5209"/>
    <n v="54"/>
    <n v="359.54668333333331"/>
    <n v="10029.707286555536"/>
    <n v="10067.307133333332"/>
    <n v="795.2468432605657"/>
    <n v="20892.261263149434"/>
    <n v="9320.7714086209035"/>
    <n v="9355.7135626441614"/>
    <n v="739.03592873493449"/>
    <n v="19415.5209"/>
  </r>
  <r>
    <x v="0"/>
    <x v="0"/>
    <n v="23"/>
    <n v="26"/>
    <n v="0"/>
    <n v="20260109"/>
    <n v="20260226"/>
    <n v="294.6397"/>
    <n v="49"/>
    <n v="6.0130551020408163"/>
    <n v="167.73672339924349"/>
    <n v="156.33943265306124"/>
    <n v="0"/>
    <n v="324.07615605230473"/>
    <n v="152.50087653273562"/>
    <n v="142.13882346726439"/>
    <n v="0"/>
    <n v="294.6397"/>
  </r>
  <r>
    <x v="0"/>
    <x v="0"/>
    <n v="24"/>
    <n v="27"/>
    <n v="0"/>
    <n v="20260108"/>
    <n v="20260227"/>
    <n v="168.35769999999999"/>
    <n v="51"/>
    <n v="3.3011313725490194"/>
    <n v="96.090219444523967"/>
    <n v="89.130547058823524"/>
    <n v="0"/>
    <n v="185.22076650334748"/>
    <n v="87.341871236036354"/>
    <n v="81.01582876396364"/>
    <n v="0"/>
    <n v="168.35769999999999"/>
  </r>
  <r>
    <x v="0"/>
    <x v="0"/>
    <n v="18"/>
    <n v="28"/>
    <n v="2"/>
    <n v="20260114"/>
    <n v="20260302"/>
    <n v="968.85199999999998"/>
    <n v="48"/>
    <n v="20.184416666666667"/>
    <n v="440.65006992483143"/>
    <n v="565.1636666666667"/>
    <n v="29.762650918112335"/>
    <n v="1035.5763875096104"/>
    <n v="412.2580494264609"/>
    <n v="528.74897050725951"/>
    <n v="27.844980066279629"/>
    <n v="968.85199999999998"/>
  </r>
  <r>
    <x v="0"/>
    <x v="0"/>
    <n v="18"/>
    <n v="28"/>
    <n v="1"/>
    <n v="20260114"/>
    <n v="20260301"/>
    <n v="2527.1437000000001"/>
    <n v="47"/>
    <n v="53.769014893617026"/>
    <n v="1173.8422052983933"/>
    <n v="1505.5324170212766"/>
    <n v="39.642176608757744"/>
    <n v="2719.0167989284278"/>
    <n v="1091.0075785787842"/>
    <n v="1399.2913777952876"/>
    <n v="36.844743625928054"/>
    <n v="2527.1437000000001"/>
  </r>
  <r>
    <x v="0"/>
    <x v="0"/>
    <n v="16"/>
    <n v="28"/>
    <n v="8"/>
    <n v="20260116"/>
    <n v="20260308"/>
    <n v="168.64230000000001"/>
    <n v="52"/>
    <n v="3.243121153846154"/>
    <n v="62.934428268981222"/>
    <n v="90.807392307692311"/>
    <n v="19.128396798599997"/>
    <n v="172.87021737527354"/>
    <n v="61.395229864413295"/>
    <n v="88.586499908930918"/>
    <n v="18.660570226655768"/>
    <n v="168.64230000000001"/>
  </r>
  <r>
    <x v="0"/>
    <x v="0"/>
    <n v="15"/>
    <n v="28"/>
    <n v="3"/>
    <n v="20260117"/>
    <n v="20260303"/>
    <n v="800.67520000000002"/>
    <n v="46"/>
    <n v="17.405982608695652"/>
    <n v="316.66126317052095"/>
    <n v="487.36751304347825"/>
    <n v="38.498624420853439"/>
    <n v="842.5274006348526"/>
    <n v="300.93124571410084"/>
    <n v="463.15773313194643"/>
    <n v="36.586221153952806"/>
    <n v="800.67520000000002"/>
  </r>
  <r>
    <x v="0"/>
    <x v="0"/>
    <n v="12"/>
    <n v="28"/>
    <n v="1"/>
    <n v="20260120"/>
    <n v="20260301"/>
    <n v="1137.8282999999999"/>
    <n v="41"/>
    <n v="27.751909756097557"/>
    <n v="403.9050249019499"/>
    <n v="777.05347317073165"/>
    <n v="20.460596311057316"/>
    <n v="1201.4190943837389"/>
    <n v="382.52643893709666"/>
    <n v="735.92423869413415"/>
    <n v="19.377622368769067"/>
    <n v="1137.8282999999999"/>
  </r>
  <r>
    <x v="0"/>
    <x v="0"/>
    <n v="31"/>
    <n v="28"/>
    <n v="2"/>
    <n v="20251229"/>
    <n v="20260302"/>
    <n v="967.76110000000006"/>
    <n v="61"/>
    <n v="15.864936065573771"/>
    <n v="596.49273101523568"/>
    <n v="444.21820983606557"/>
    <n v="23.393420863017724"/>
    <n v="1064.1043617143191"/>
    <n v="542.48669799578045"/>
    <n v="403.99900503969224"/>
    <n v="21.275396964527204"/>
    <n v="967.76109999999983"/>
  </r>
  <r>
    <x v="0"/>
    <x v="0"/>
    <n v="31"/>
    <n v="28"/>
    <n v="7"/>
    <n v="20251229"/>
    <n v="20260307"/>
    <n v="126.2949"/>
    <n v="66"/>
    <n v="1.9135590909090909"/>
    <n v="71.946340242255147"/>
    <n v="53.579654545454545"/>
    <n v="9.8756418186642403"/>
    <n v="135.40163660637393"/>
    <n v="67.107429969083924"/>
    <n v="49.97603634972743"/>
    <n v="9.2114336811886464"/>
    <n v="126.29490000000001"/>
  </r>
  <r>
    <x v="0"/>
    <x v="0"/>
    <n v="11"/>
    <n v="28"/>
    <n v="1"/>
    <n v="20260121"/>
    <n v="20260301"/>
    <n v="505.7253"/>
    <n v="40"/>
    <n v="12.6431325"/>
    <n v="168.67569569520214"/>
    <n v="354.00770999999997"/>
    <n v="9.3213776083597715"/>
    <n v="532.00478330356179"/>
    <n v="160.34360871430476"/>
    <n v="336.52076252086658"/>
    <n v="8.8609287648287722"/>
    <n v="505.72530000000012"/>
  </r>
  <r>
    <x v="0"/>
    <x v="0"/>
    <n v="11"/>
    <n v="28"/>
    <n v="2"/>
    <n v="20260121"/>
    <n v="20260302"/>
    <n v="379.34730000000002"/>
    <n v="41"/>
    <n v="9.2523731707317083"/>
    <n v="123.43859256436599"/>
    <n v="259.0664487804878"/>
    <n v="13.642958198507728"/>
    <n v="396.14799954336149"/>
    <n v="118.20354225963177"/>
    <n v="248.07939956468027"/>
    <n v="13.064358175688024"/>
    <n v="379.34730000000008"/>
  </r>
  <r>
    <x v="0"/>
    <x v="0"/>
    <n v="8"/>
    <n v="28"/>
    <n v="5"/>
    <n v="20260124"/>
    <n v="20260305"/>
    <n v="337.45839999999998"/>
    <n v="41"/>
    <n v="8.2306926829268292"/>
    <n v="79.860405098245607"/>
    <n v="230.45939512195122"/>
    <n v="30.341133605902161"/>
    <n v="340.66093382609898"/>
    <n v="79.109642027703273"/>
    <n v="228.29285961659994"/>
    <n v="30.055898355696765"/>
    <n v="337.45839999999998"/>
  </r>
  <r>
    <x v="0"/>
    <x v="0"/>
    <n v="31"/>
    <n v="28"/>
    <n v="6"/>
    <n v="20251227"/>
    <n v="20260306"/>
    <n v="42.0944"/>
    <n v="65"/>
    <n v="0.64760615384615383"/>
    <n v="24.348813114236428"/>
    <n v="18.132972307692306"/>
    <n v="2.8647559462803378"/>
    <n v="45.346541368209074"/>
    <n v="22.602576686796024"/>
    <n v="16.832520551259602"/>
    <n v="2.6593027619443705"/>
    <n v="42.094399999999993"/>
  </r>
  <r>
    <x v="0"/>
    <x v="0"/>
    <n v="19"/>
    <n v="28"/>
    <n v="8"/>
    <n v="20260113"/>
    <n v="20260308"/>
    <n v="168.5909"/>
    <n v="55"/>
    <n v="3.0652890909090909"/>
    <n v="70.636663302490945"/>
    <n v="85.828094545454547"/>
    <n v="18.079517616476441"/>
    <n v="174.54427546442193"/>
    <n v="68.227380173183164"/>
    <n v="82.900660398070272"/>
    <n v="17.462859428746565"/>
    <n v="168.5909"/>
  </r>
  <r>
    <x v="0"/>
    <x v="0"/>
    <n v="31"/>
    <n v="28"/>
    <n v="5"/>
    <n v="20251226"/>
    <n v="20260305"/>
    <n v="126.2593"/>
    <n v="64"/>
    <n v="1.9728015624999999"/>
    <n v="74.173749386880388"/>
    <n v="55.238443750000002"/>
    <n v="7.272417777170598"/>
    <n v="136.68461091405098"/>
    <n v="68.516313675223145"/>
    <n v="51.025255837688604"/>
    <n v="6.7177304870882502"/>
    <n v="126.2593"/>
  </r>
  <r>
    <x v="0"/>
    <x v="0"/>
    <n v="0"/>
    <n v="9"/>
    <n v="1"/>
    <n v="20260220"/>
    <n v="20260301"/>
    <n v="253.66909999999999"/>
    <n v="10"/>
    <n v="25.366909999999997"/>
    <n v="0"/>
    <n v="228.30218999999997"/>
    <n v="18.702212198383396"/>
    <n v="247.00440219838336"/>
    <n v="0"/>
    <n v="234.46226281754923"/>
    <n v="19.20683718245078"/>
    <n v="253.66910000000001"/>
  </r>
  <r>
    <x v="0"/>
    <x v="0"/>
    <n v="0"/>
    <n v="8"/>
    <n v="5"/>
    <n v="20260221"/>
    <n v="20260305"/>
    <n v="42.350299999999997"/>
    <n v="13"/>
    <n v="3.2577153846153846"/>
    <n v="0"/>
    <n v="26.061723076923077"/>
    <n v="12.00904729922074"/>
    <n v="38.070770376143813"/>
    <n v="0"/>
    <n v="28.991317483720731"/>
    <n v="13.358982516279273"/>
    <n v="42.350300000000004"/>
  </r>
  <r>
    <x v="0"/>
    <x v="0"/>
    <n v="22"/>
    <n v="28"/>
    <n v="8"/>
    <n v="20260110"/>
    <n v="20260308"/>
    <n v="210.7089"/>
    <n v="58"/>
    <n v="3.6329120689655174"/>
    <n v="96.935466053567794"/>
    <n v="101.72153793103449"/>
    <n v="21.427439892950673"/>
    <n v="220.08444387755296"/>
    <n v="92.806038733471027"/>
    <n v="97.388225110909943"/>
    <n v="20.514636155619026"/>
    <n v="210.7089"/>
  </r>
  <r>
    <x v="0"/>
    <x v="0"/>
    <n v="0"/>
    <n v="23"/>
    <n v="1"/>
    <n v="20260206"/>
    <n v="20260301"/>
    <n v="1223.7168999999999"/>
    <n v="24"/>
    <n v="50.988204166666662"/>
    <n v="0"/>
    <n v="1172.7286958333332"/>
    <n v="37.59197371455555"/>
    <n v="1210.3206695478887"/>
    <n v="0"/>
    <n v="1185.7088458567609"/>
    <n v="38.008054143238972"/>
    <n v="1223.7168999999999"/>
  </r>
  <r>
    <x v="0"/>
    <x v="0"/>
    <n v="0"/>
    <n v="20"/>
    <n v="2"/>
    <n v="20260209"/>
    <n v="20260302"/>
    <n v="548.97389999999996"/>
    <n v="22"/>
    <n v="24.953359090909089"/>
    <n v="0"/>
    <n v="499.06718181818178"/>
    <n v="36.794628654466877"/>
    <n v="535.8618104726487"/>
    <n v="0"/>
    <n v="511.27893761095044"/>
    <n v="37.694962389049444"/>
    <n v="548.97389999999984"/>
  </r>
  <r>
    <x v="0"/>
    <x v="0"/>
    <n v="0"/>
    <n v="22"/>
    <n v="1"/>
    <n v="20260207"/>
    <n v="20260301"/>
    <n v="970.73829999999998"/>
    <n v="23"/>
    <n v="42.206013043478258"/>
    <n v="0"/>
    <n v="928.53228695652172"/>
    <n v="31.117144815307338"/>
    <n v="959.64943177182909"/>
    <n v="0"/>
    <n v="939.26159271628501"/>
    <n v="31.476707283714962"/>
    <n v="970.73829999999998"/>
  </r>
  <r>
    <x v="0"/>
    <x v="0"/>
    <n v="0"/>
    <n v="19"/>
    <n v="5"/>
    <n v="20260210"/>
    <n v="20260305"/>
    <n v="84.510900000000007"/>
    <n v="24"/>
    <n v="3.5212875000000001"/>
    <n v="0"/>
    <n v="66.904462500000008"/>
    <n v="12.980663793208354"/>
    <n v="79.885126293208359"/>
    <n v="0"/>
    <n v="70.778586731381992"/>
    <n v="13.732313268618027"/>
    <n v="84.510900000000021"/>
  </r>
  <r>
    <x v="0"/>
    <x v="0"/>
    <n v="6"/>
    <n v="28"/>
    <n v="3"/>
    <n v="20260126"/>
    <n v="20260303"/>
    <n v="253.04050000000001"/>
    <n v="37"/>
    <n v="6.8389324324324328"/>
    <n v="49.767370943137635"/>
    <n v="191.49010810810813"/>
    <n v="15.126379077517642"/>
    <n v="256.38385812876339"/>
    <n v="49.1183825653032"/>
    <n v="188.99299298473915"/>
    <n v="14.929124449957682"/>
    <n v="253.04050000000001"/>
  </r>
  <r>
    <x v="0"/>
    <x v="0"/>
    <n v="0"/>
    <n v="23"/>
    <n v="4"/>
    <n v="20260206"/>
    <n v="20260304"/>
    <n v="126.66549999999999"/>
    <n v="27"/>
    <n v="4.6913148148148149"/>
    <n v="0"/>
    <n v="107.90024074074074"/>
    <n v="13.835026048673075"/>
    <n v="121.73526678941381"/>
    <n v="0"/>
    <n v="112.27016052126325"/>
    <n v="14.39533947873675"/>
    <n v="126.66549999999999"/>
  </r>
  <r>
    <x v="0"/>
    <x v="0"/>
    <n v="0"/>
    <n v="18"/>
    <n v="3"/>
    <n v="20260211"/>
    <n v="20260303"/>
    <n v="253.4734"/>
    <n v="21"/>
    <n v="12.070161904761905"/>
    <n v="0"/>
    <n v="217.26291428571429"/>
    <n v="26.69683408957189"/>
    <n v="243.95974837528618"/>
    <n v="0"/>
    <n v="225.73547457998345"/>
    <n v="27.737925420016548"/>
    <n v="253.4734"/>
  </r>
  <r>
    <x v="0"/>
    <x v="0"/>
    <n v="0"/>
    <n v="15"/>
    <n v="1"/>
    <n v="20260214"/>
    <n v="20260301"/>
    <n v="506.6028"/>
    <n v="16"/>
    <n v="31.662675"/>
    <n v="0"/>
    <n v="474.94012500000002"/>
    <n v="23.343878565361294"/>
    <n v="498.28400356536133"/>
    <n v="0"/>
    <n v="482.86919795888855"/>
    <n v="23.733602041111389"/>
    <n v="506.60279999999995"/>
  </r>
  <r>
    <x v="0"/>
    <x v="0"/>
    <n v="0"/>
    <n v="16"/>
    <n v="6"/>
    <n v="20260213"/>
    <n v="20260306"/>
    <n v="84.552400000000006"/>
    <n v="22"/>
    <n v="3.8432909090909093"/>
    <n v="0"/>
    <n v="61.492654545454549"/>
    <n v="17.001213499461155"/>
    <n v="78.4938680449157"/>
    <n v="0"/>
    <n v="66.238951572802137"/>
    <n v="18.31344842719788"/>
    <n v="84.55240000000002"/>
  </r>
  <r>
    <x v="0"/>
    <x v="0"/>
    <n v="0"/>
    <n v="16"/>
    <n v="3"/>
    <n v="20260213"/>
    <n v="20260303"/>
    <n v="84.489099999999993"/>
    <n v="19"/>
    <n v="4.4467947368421052"/>
    <n v="0"/>
    <n v="71.148715789473684"/>
    <n v="9.8354390153639741"/>
    <n v="80.984154804837658"/>
    <n v="0"/>
    <n v="74.227989138059527"/>
    <n v="10.261110861940471"/>
    <n v="84.489099999999993"/>
  </r>
  <r>
    <x v="0"/>
    <x v="0"/>
    <n v="30"/>
    <n v="9"/>
    <n v="0"/>
    <n v="20260102"/>
    <n v="20260209"/>
    <n v="1428.9232999999999"/>
    <n v="39"/>
    <n v="36.639058974358974"/>
    <n v="1333.1244730077499"/>
    <n v="329.75153076923078"/>
    <n v="0"/>
    <n v="1662.8760037769807"/>
    <n v="1145.5650433070282"/>
    <n v="283.35825669297179"/>
    <n v="0"/>
    <n v="1428.9232999999999"/>
  </r>
  <r>
    <x v="0"/>
    <x v="0"/>
    <n v="28"/>
    <n v="3"/>
    <n v="0"/>
    <n v="20260104"/>
    <n v="20260203"/>
    <n v="126.0429"/>
    <n v="31"/>
    <n v="4.0659000000000001"/>
    <n v="138.07652862179546"/>
    <n v="12.197700000000001"/>
    <n v="0"/>
    <n v="150.27422862179546"/>
    <n v="115.81204740850639"/>
    <n v="10.230852591493617"/>
    <n v="0"/>
    <n v="126.0429"/>
  </r>
  <r>
    <x v="0"/>
    <x v="0"/>
    <n v="30"/>
    <n v="7"/>
    <n v="0"/>
    <n v="20260102"/>
    <n v="20260207"/>
    <n v="1512.6575"/>
    <n v="37"/>
    <n v="40.882635135135139"/>
    <n v="1487.5284176331302"/>
    <n v="286.17844594594595"/>
    <n v="0"/>
    <n v="1773.7068635790761"/>
    <n v="1268.5980212398106"/>
    <n v="244.05947876018945"/>
    <n v="0"/>
    <n v="1512.6575"/>
  </r>
  <r>
    <x v="0"/>
    <x v="0"/>
    <n v="29"/>
    <n v="10"/>
    <n v="0"/>
    <n v="20260103"/>
    <n v="20260210"/>
    <n v="294.21780000000001"/>
    <n v="39"/>
    <n v="7.5440461538461543"/>
    <n v="265.34289926922565"/>
    <n v="75.440461538461548"/>
    <n v="0"/>
    <n v="340.78336080768719"/>
    <n v="229.08572731832791"/>
    <n v="65.132072681672113"/>
    <n v="0"/>
    <n v="294.21780000000001"/>
  </r>
  <r>
    <x v="0"/>
    <x v="0"/>
    <n v="25"/>
    <n v="6"/>
    <n v="0"/>
    <n v="20260107"/>
    <n v="20260206"/>
    <n v="42.033099999999997"/>
    <n v="31"/>
    <n v="1.3559064516129031"/>
    <n v="41.112593235069674"/>
    <n v="8.1354387096774197"/>
    <n v="0"/>
    <n v="49.248031944747098"/>
    <n v="35.089518798391879"/>
    <n v="6.943581201608116"/>
    <n v="0"/>
    <n v="42.033099999999997"/>
  </r>
  <r>
    <x v="0"/>
    <x v="0"/>
    <n v="27"/>
    <n v="9"/>
    <n v="0"/>
    <n v="20260105"/>
    <n v="20260209"/>
    <n v="210.17529999999999"/>
    <n v="36"/>
    <n v="5.8382027777777772"/>
    <n v="191.18247295040402"/>
    <n v="52.543824999999998"/>
    <n v="0"/>
    <n v="243.72629795040402"/>
    <n v="164.86457942782059"/>
    <n v="45.310720572179406"/>
    <n v="0"/>
    <n v="210.17529999999999"/>
  </r>
  <r>
    <x v="0"/>
    <x v="0"/>
    <n v="28"/>
    <n v="4"/>
    <n v="0"/>
    <n v="20260104"/>
    <n v="20260204"/>
    <n v="42.020200000000003"/>
    <n v="32"/>
    <n v="1.3131312500000001"/>
    <n v="44.593473677365175"/>
    <n v="5.2525250000000003"/>
    <n v="0"/>
    <n v="49.845998677365174"/>
    <n v="37.592318989257521"/>
    <n v="4.42788101074248"/>
    <n v="0"/>
    <n v="42.020200000000003"/>
  </r>
  <r>
    <x v="0"/>
    <x v="0"/>
    <n v="25"/>
    <n v="9"/>
    <n v="0"/>
    <n v="20260107"/>
    <n v="20260209"/>
    <n v="126.1259"/>
    <n v="34"/>
    <n v="3.7095852941176473"/>
    <n v="112.47875624932516"/>
    <n v="33.386267647058823"/>
    <n v="0"/>
    <n v="145.86502389638397"/>
    <n v="97.257615183364365"/>
    <n v="28.86828481663564"/>
    <n v="0"/>
    <n v="126.1259"/>
  </r>
  <r>
    <x v="0"/>
    <x v="0"/>
    <n v="27"/>
    <n v="4"/>
    <n v="0"/>
    <n v="20260105"/>
    <n v="20260204"/>
    <n v="168.0968"/>
    <n v="31"/>
    <n v="5.4224774193548386"/>
    <n v="177.56879677012182"/>
    <n v="21.689909677419354"/>
    <n v="0"/>
    <n v="199.25870644754119"/>
    <n v="149.79895759167789"/>
    <n v="18.297842408322111"/>
    <n v="0"/>
    <n v="168.0968"/>
  </r>
  <r>
    <x v="0"/>
    <x v="0"/>
    <n v="30"/>
    <n v="25"/>
    <n v="0"/>
    <n v="20260102"/>
    <n v="20260225"/>
    <n v="5426.2200999999995"/>
    <n v="55"/>
    <n v="98.658547272727262"/>
    <n v="3589.7243958342083"/>
    <n v="2466.4636818181816"/>
    <n v="0"/>
    <n v="6056.1880776523903"/>
    <n v="3216.3193118148006"/>
    <n v="2209.9007881851985"/>
    <n v="0"/>
    <n v="5426.2200999999986"/>
  </r>
  <r>
    <x v="0"/>
    <x v="0"/>
    <n v="24"/>
    <n v="13"/>
    <n v="0"/>
    <n v="20260108"/>
    <n v="20260213"/>
    <n v="294.45299999999997"/>
    <n v="37"/>
    <n v="7.9581891891891887"/>
    <n v="231.64911034114624"/>
    <n v="103.45645945945945"/>
    <n v="0"/>
    <n v="335.10556980060568"/>
    <n v="203.54712554574272"/>
    <n v="90.905874454257287"/>
    <n v="0"/>
    <n v="294.45299999999997"/>
  </r>
  <r>
    <x v="0"/>
    <x v="0"/>
    <n v="30"/>
    <n v="20"/>
    <n v="0"/>
    <n v="20260102"/>
    <n v="20260220"/>
    <n v="4247.2381999999998"/>
    <n v="50"/>
    <n v="84.944763999999992"/>
    <n v="3090.7437830627005"/>
    <n v="1698.8952799999997"/>
    <n v="0"/>
    <n v="4789.6390630627002"/>
    <n v="2740.7336730384791"/>
    <n v="1506.5045269615207"/>
    <n v="0"/>
    <n v="4247.2381999999998"/>
  </r>
  <r>
    <x v="0"/>
    <x v="0"/>
    <n v="30"/>
    <n v="23"/>
    <n v="0"/>
    <n v="20260102"/>
    <n v="20260223"/>
    <n v="2859.8625999999999"/>
    <n v="53"/>
    <n v="53.959671698113205"/>
    <n v="1963.3407873974172"/>
    <n v="1241.0724490566038"/>
    <n v="0"/>
    <n v="3204.413236454021"/>
    <n v="1752.234956795339"/>
    <n v="1107.6276432046607"/>
    <n v="0"/>
    <n v="2859.8625999999995"/>
  </r>
  <r>
    <x v="0"/>
    <x v="0"/>
    <n v="28"/>
    <n v="24"/>
    <n v="0"/>
    <n v="20260104"/>
    <n v="20260224"/>
    <n v="504.7765"/>
    <n v="52"/>
    <n v="9.7072403846153854"/>
    <n v="329.65445652991832"/>
    <n v="232.97376923076925"/>
    <n v="0"/>
    <n v="562.62822576068754"/>
    <n v="295.75804262502982"/>
    <n v="209.01845737497021"/>
    <n v="0"/>
    <n v="504.77650000000006"/>
  </r>
  <r>
    <x v="0"/>
    <x v="0"/>
    <n v="30"/>
    <n v="28"/>
    <n v="2"/>
    <n v="20260102"/>
    <n v="20260302"/>
    <n v="1493739.287"/>
    <n v="60"/>
    <n v="24895.654783333335"/>
    <n v="905836.765252096"/>
    <n v="697078.3339333334"/>
    <n v="36709.541570147776"/>
    <n v="1639624.6407555772"/>
    <n v="825240.07643756783"/>
    <n v="635055.89488633908"/>
    <n v="33443.315676093036"/>
    <n v="1493739.287"/>
  </r>
  <r>
    <x v="0"/>
    <x v="0"/>
    <n v="29"/>
    <n v="28"/>
    <n v="1"/>
    <n v="20260103"/>
    <n v="20260301"/>
    <n v="769117.78249999997"/>
    <n v="58"/>
    <n v="13260.651422413792"/>
    <n v="466410.14952274272"/>
    <n v="371298.23982758616"/>
    <n v="9776.6545783770016"/>
    <n v="847485.04392870585"/>
    <n v="423281.02720666159"/>
    <n v="336964.15164863941"/>
    <n v="8872.6036446990747"/>
    <n v="769117.78250000009"/>
  </r>
  <r>
    <x v="0"/>
    <x v="0"/>
    <n v="24"/>
    <n v="28"/>
    <n v="3"/>
    <n v="20260108"/>
    <n v="20260303"/>
    <n v="38320.251499999998"/>
    <n v="55"/>
    <n v="696.73184545454546"/>
    <n v="20280.657861858926"/>
    <n v="19508.491672727272"/>
    <n v="1541.0343812938399"/>
    <n v="41330.183915880036"/>
    <n v="18803.688641542267"/>
    <n v="18087.756609215827"/>
    <n v="1428.8062492419092"/>
    <n v="38320.251500000006"/>
  </r>
  <r>
    <x v="0"/>
    <x v="0"/>
    <n v="23"/>
    <n v="28"/>
    <n v="7"/>
    <n v="20260109"/>
    <n v="20260307"/>
    <n v="29072.380099999998"/>
    <n v="58"/>
    <n v="501.24793275862066"/>
    <n v="13982.523762843883"/>
    <n v="14034.942117241379"/>
    <n v="2586.8785917231999"/>
    <n v="30604.344471808465"/>
    <n v="13282.59933700382"/>
    <n v="13332.393781209747"/>
    <n v="2457.3869817864284"/>
    <n v="29072.380099999995"/>
  </r>
  <r>
    <x v="0"/>
    <x v="0"/>
    <n v="22"/>
    <n v="28"/>
    <n v="1"/>
    <n v="20260110"/>
    <n v="20260301"/>
    <n v="4926.8896000000004"/>
    <n v="51"/>
    <n v="96.605678431372553"/>
    <n v="2577.6887203418537"/>
    <n v="2704.9589960784315"/>
    <n v="71.224279882426345"/>
    <n v="5353.8719963027115"/>
    <n v="2372.1126984470257"/>
    <n v="2489.2329057192023"/>
    <n v="65.543995833772385"/>
    <n v="4926.8896000000004"/>
  </r>
  <r>
    <x v="0"/>
    <x v="0"/>
    <n v="25"/>
    <n v="28"/>
    <n v="8"/>
    <n v="20260107"/>
    <n v="20260308"/>
    <n v="40190.068399999996"/>
    <n v="61"/>
    <n v="658.85358032786883"/>
    <n v="19977.174101699806"/>
    <n v="18447.900249180326"/>
    <n v="3886.0135403031568"/>
    <n v="42311.087891183292"/>
    <n v="18975.735052024676"/>
    <n v="17523.122420244614"/>
    <n v="3691.2109277307036"/>
    <n v="40190.068399999989"/>
  </r>
  <r>
    <x v="0"/>
    <x v="0"/>
    <n v="12"/>
    <n v="28"/>
    <n v="5"/>
    <n v="20260120"/>
    <n v="20260305"/>
    <n v="1855.1952000000001"/>
    <n v="45"/>
    <n v="41.226559999999999"/>
    <n v="600.01689576563626"/>
    <n v="1154.3436799999999"/>
    <n v="151.97512691324744"/>
    <n v="1906.3357026788835"/>
    <n v="583.9204833540357"/>
    <n v="1123.3765654585081"/>
    <n v="147.89815118745642"/>
    <n v="1855.1952000000003"/>
  </r>
  <r>
    <x v="0"/>
    <x v="0"/>
    <n v="11"/>
    <n v="28"/>
    <n v="5"/>
    <n v="20260121"/>
    <n v="20260305"/>
    <n v="1939.6587999999999"/>
    <n v="44"/>
    <n v="44.083154545454541"/>
    <n v="588.1261436905495"/>
    <n v="1234.3283272727272"/>
    <n v="162.50550632363587"/>
    <n v="1984.9599772869126"/>
    <n v="574.70380419390642"/>
    <n v="1206.1582245886075"/>
    <n v="158.79677121748597"/>
    <n v="1939.6587999999997"/>
  </r>
  <r>
    <x v="0"/>
    <x v="0"/>
    <n v="22"/>
    <n v="28"/>
    <n v="3"/>
    <n v="20260110"/>
    <n v="20260303"/>
    <n v="926.64099999999996"/>
    <n v="53"/>
    <n v="17.483792452830187"/>
    <n v="466.51268668926099"/>
    <n v="489.54618867924523"/>
    <n v="38.670724556359957"/>
    <n v="994.72959992486619"/>
    <n v="434.58019399349848"/>
    <n v="456.0370676193694"/>
    <n v="36.023738387132084"/>
    <n v="926.64099999999996"/>
  </r>
  <r>
    <x v="0"/>
    <x v="0"/>
    <n v="4"/>
    <n v="10"/>
    <n v="0"/>
    <n v="20260128"/>
    <n v="20260210"/>
    <n v="84.236099999999993"/>
    <n v="14"/>
    <n v="6.0168642857142851"/>
    <n v="29.190083859833788"/>
    <n v="60.168642857142849"/>
    <n v="0"/>
    <n v="89.358726716976633"/>
    <n v="27.516717318647775"/>
    <n v="56.719382681352222"/>
    <n v="0"/>
    <n v="84.236099999999993"/>
  </r>
  <r>
    <x v="0"/>
    <x v="0"/>
    <n v="29"/>
    <n v="13"/>
    <n v="0"/>
    <n v="20260103"/>
    <n v="20260213"/>
    <n v="798.89149999999995"/>
    <n v="42"/>
    <n v="19.021226190476188"/>
    <n v="669.02391662377499"/>
    <n v="247.27594047619044"/>
    <n v="0"/>
    <n v="916.29985709996549"/>
    <n v="583.29979661792379"/>
    <n v="215.5917033820761"/>
    <n v="0"/>
    <n v="798.89149999999995"/>
  </r>
  <r>
    <x v="0"/>
    <x v="0"/>
    <n v="25"/>
    <n v="25"/>
    <n v="0"/>
    <n v="20260107"/>
    <n v="20260225"/>
    <n v="168.31809999999999"/>
    <n v="50"/>
    <n v="3.3663619999999996"/>
    <n v="102.07184383801965"/>
    <n v="84.159049999999993"/>
    <n v="0"/>
    <n v="186.23089383801965"/>
    <n v="92.253967449973715"/>
    <n v="76.064132550026272"/>
    <n v="0"/>
    <n v="168.31809999999999"/>
  </r>
  <r>
    <x v="0"/>
    <x v="0"/>
    <n v="22"/>
    <n v="28"/>
    <n v="5"/>
    <n v="20260110"/>
    <n v="20260305"/>
    <n v="379.1694"/>
    <n v="55"/>
    <n v="6.8939890909090904"/>
    <n v="183.94941380614733"/>
    <n v="193.03169454545454"/>
    <n v="25.413589371256109"/>
    <n v="402.39469772285793"/>
    <n v="173.33227614064205"/>
    <n v="181.89034849607472"/>
    <n v="23.94677536328328"/>
    <n v="379.16940000000005"/>
  </r>
  <r>
    <x v="0"/>
    <x v="0"/>
    <n v="31"/>
    <n v="28"/>
    <n v="2"/>
    <n v="20251231"/>
    <n v="20260302"/>
    <n v="378.7158"/>
    <n v="61"/>
    <n v="6.2084557377049183"/>
    <n v="233.42663992241452"/>
    <n v="173.83676065573772"/>
    <n v="9.1545920753318644"/>
    <n v="416.41799265348413"/>
    <n v="212.29235585190438"/>
    <n v="158.09770241107137"/>
    <n v="8.3257417370242432"/>
    <n v="378.7158"/>
  </r>
  <r>
    <x v="0"/>
    <x v="0"/>
    <n v="19"/>
    <n v="28"/>
    <n v="4"/>
    <n v="20260113"/>
    <n v="20260304"/>
    <n v="42.129899999999999"/>
    <n v="51"/>
    <n v="0.8260764705882353"/>
    <n v="19.036144319342377"/>
    <n v="23.130141176470588"/>
    <n v="2.4361591451276956"/>
    <n v="44.602444640940661"/>
    <n v="17.980872192447354"/>
    <n v="21.847917588268697"/>
    <n v="2.3011102192839523"/>
    <n v="42.129900000000006"/>
  </r>
  <r>
    <x v="0"/>
    <x v="0"/>
    <n v="31"/>
    <n v="28"/>
    <n v="2"/>
    <n v="20251230"/>
    <n v="20260302"/>
    <n v="841.55119999999999"/>
    <n v="61"/>
    <n v="13.795921311475409"/>
    <n v="518.70154067687645"/>
    <n v="386.28579672131144"/>
    <n v="20.342583928386457"/>
    <n v="925.32992132657444"/>
    <n v="471.73866740705597"/>
    <n v="351.3117519292303"/>
    <n v="18.500780663713623"/>
    <n v="841.55119999999988"/>
  </r>
  <r>
    <x v="0"/>
    <x v="0"/>
    <n v="31"/>
    <n v="28"/>
    <n v="3"/>
    <n v="20251229"/>
    <n v="20260303"/>
    <n v="84.162999999999997"/>
    <n v="62"/>
    <n v="1.3574677419354839"/>
    <n v="51.038317286965857"/>
    <n v="38.009096774193551"/>
    <n v="3.0024527735705031"/>
    <n v="92.049866834729897"/>
    <n v="46.665335274577771"/>
    <n v="34.752463222461742"/>
    <n v="2.7452015029604984"/>
    <n v="84.163000000000011"/>
  </r>
  <r>
    <x v="0"/>
    <x v="0"/>
    <n v="11"/>
    <n v="28"/>
    <n v="6"/>
    <n v="20260121"/>
    <n v="20260306"/>
    <n v="42.173400000000001"/>
    <n v="45"/>
    <n v="0.93718666666666672"/>
    <n v="12.503278993261166"/>
    <n v="26.24122666666667"/>
    <n v="4.1457467013906566"/>
    <n v="42.890252361318495"/>
    <n v="12.29430365324599"/>
    <n v="25.802640175232103"/>
    <n v="4.0764561715219045"/>
    <n v="42.173399999999994"/>
  </r>
  <r>
    <x v="0"/>
    <x v="0"/>
    <n v="12"/>
    <n v="28"/>
    <n v="4"/>
    <n v="20260120"/>
    <n v="20260304"/>
    <n v="126.47280000000001"/>
    <n v="44"/>
    <n v="2.8743818181818184"/>
    <n v="41.834139345864415"/>
    <n v="80.48269090909092"/>
    <n v="8.4767594796230927"/>
    <n v="130.79358973457843"/>
    <n v="40.452141036869712"/>
    <n v="77.823930755807098"/>
    <n v="8.1967282073231882"/>
    <n v="126.47280000000001"/>
  </r>
  <r>
    <x v="0"/>
    <x v="0"/>
    <n v="10"/>
    <n v="28"/>
    <n v="1"/>
    <n v="20260122"/>
    <n v="20260301"/>
    <n v="505.77260000000001"/>
    <n v="39"/>
    <n v="12.968528205128205"/>
    <n v="157.28808556688787"/>
    <n v="363.11878974358973"/>
    <n v="9.5612814644364583"/>
    <n v="529.96815677491406"/>
    <n v="150.10713939927217"/>
    <n v="346.54069692619316"/>
    <n v="9.1247636745346767"/>
    <n v="505.77260000000001"/>
  </r>
  <r>
    <x v="0"/>
    <x v="0"/>
    <n v="25"/>
    <n v="28"/>
    <n v="11"/>
    <n v="20260107"/>
    <n v="20260311"/>
    <n v="379.1694"/>
    <n v="64"/>
    <n v="5.9245218749999999"/>
    <n v="179.63809942006577"/>
    <n v="165.88661250000001"/>
    <n v="48.047567405031089"/>
    <n v="393.57227932509687"/>
    <n v="173.06419672403823"/>
    <n v="159.81594902343679"/>
    <n v="46.289254252524998"/>
    <n v="379.1694"/>
  </r>
  <r>
    <x v="0"/>
    <x v="0"/>
    <n v="26"/>
    <n v="28"/>
    <n v="11"/>
    <n v="20260106"/>
    <n v="20260311"/>
    <n v="337.00779999999997"/>
    <n v="65"/>
    <n v="5.1847353846153839"/>
    <n v="163.49522735246919"/>
    <n v="145.17259076923074"/>
    <n v="42.047937053073575"/>
    <n v="350.71575517477351"/>
    <n v="157.10490922512929"/>
    <n v="139.49842490269114"/>
    <n v="40.404465872179536"/>
    <n v="337.00779999999992"/>
  </r>
  <r>
    <x v="0"/>
    <x v="0"/>
    <n v="21"/>
    <n v="28"/>
    <n v="2"/>
    <n v="20260111"/>
    <n v="20260302"/>
    <n v="168.46440000000001"/>
    <n v="51"/>
    <n v="3.3032235294117651"/>
    <n v="84.132228695309479"/>
    <n v="92.490258823529416"/>
    <n v="4.8707223217768165"/>
    <n v="181.49320984061572"/>
    <n v="78.092648426157851"/>
    <n v="85.850682635641519"/>
    <n v="4.5210689382006395"/>
    <n v="168.46440000000001"/>
  </r>
  <r>
    <x v="0"/>
    <x v="0"/>
    <n v="0"/>
    <n v="9"/>
    <n v="2"/>
    <n v="20260220"/>
    <n v="20260302"/>
    <n v="84.59"/>
    <n v="11"/>
    <n v="7.69"/>
    <n v="0"/>
    <n v="69.210000000000008"/>
    <n v="11.339182565442012"/>
    <n v="80.549182565442024"/>
    <n v="0"/>
    <n v="72.681977812047251"/>
    <n v="11.908022187952744"/>
    <n v="84.589999999999989"/>
  </r>
  <r>
    <x v="0"/>
    <x v="0"/>
    <n v="0"/>
    <n v="20"/>
    <n v="8"/>
    <n v="20260209"/>
    <n v="20260308"/>
    <n v="84.538499999999999"/>
    <n v="28"/>
    <n v="3.0192321428571427"/>
    <n v="0"/>
    <n v="60.38464285714285"/>
    <n v="17.807867087286262"/>
    <n v="78.192509944429105"/>
    <n v="0"/>
    <n v="65.285372394447208"/>
    <n v="19.253127605552798"/>
    <n v="84.538499999999999"/>
  </r>
  <r>
    <x v="0"/>
    <x v="0"/>
    <n v="0"/>
    <n v="22"/>
    <n v="2"/>
    <n v="20260207"/>
    <n v="20260302"/>
    <n v="84.4298"/>
    <n v="24"/>
    <n v="3.5179083333333332"/>
    <n v="0"/>
    <n v="77.393983333333324"/>
    <n v="5.1872828140645648"/>
    <n v="82.581266147397884"/>
    <n v="0"/>
    <n v="79.126402862043818"/>
    <n v="5.3033971379561908"/>
    <n v="84.429800000000014"/>
  </r>
  <r>
    <x v="0"/>
    <x v="0"/>
    <n v="6"/>
    <n v="28"/>
    <n v="2"/>
    <n v="20260126"/>
    <n v="20260302"/>
    <n v="337.3399"/>
    <n v="36"/>
    <n v="9.3705527777777782"/>
    <n v="68.190142341857808"/>
    <n v="262.3754777777778"/>
    <n v="13.817218294711575"/>
    <n v="344.38283841434713"/>
    <n v="66.795592673847224"/>
    <n v="257.00966355796328"/>
    <n v="13.534643768189554"/>
    <n v="337.33990000000006"/>
  </r>
  <r>
    <x v="0"/>
    <x v="0"/>
    <n v="5"/>
    <n v="28"/>
    <n v="2"/>
    <n v="20260127"/>
    <n v="20260302"/>
    <n v="759.06780000000003"/>
    <n v="35"/>
    <n v="21.687651428571428"/>
    <n v="131.51874752807612"/>
    <n v="607.25423999999998"/>
    <n v="31.97922483280113"/>
    <n v="770.75221236087725"/>
    <n v="129.52495593765428"/>
    <n v="598.04841634583579"/>
    <n v="31.494427716509879"/>
    <n v="759.06779999999992"/>
  </r>
  <r>
    <x v="0"/>
    <x v="0"/>
    <n v="1"/>
    <n v="28"/>
    <n v="1"/>
    <n v="20260131"/>
    <n v="20260301"/>
    <n v="464.10320000000002"/>
    <n v="30"/>
    <n v="15.470106666666668"/>
    <n v="18.762834321888221"/>
    <n v="433.16298666666671"/>
    <n v="11.405615331612154"/>
    <n v="463.33143632016709"/>
    <n v="18.794087271559327"/>
    <n v="433.88449924783828"/>
    <n v="11.424613480602417"/>
    <n v="464.10320000000002"/>
  </r>
  <r>
    <x v="0"/>
    <x v="0"/>
    <n v="0"/>
    <n v="25"/>
    <n v="1"/>
    <n v="20260204"/>
    <n v="20260301"/>
    <n v="843.84379999999999"/>
    <n v="26"/>
    <n v="32.455530769230769"/>
    <n v="0"/>
    <n v="811.3882692307692"/>
    <n v="23.928425790027852"/>
    <n v="835.31669502079706"/>
    <n v="0"/>
    <n v="819.67110733500738"/>
    <n v="24.172692664992628"/>
    <n v="843.84379999999999"/>
  </r>
  <r>
    <x v="0"/>
    <x v="0"/>
    <n v="6"/>
    <n v="28"/>
    <n v="1"/>
    <n v="20260126"/>
    <n v="20260301"/>
    <n v="505.93869999999998"/>
    <n v="35"/>
    <n v="14.455391428571428"/>
    <n v="105.19285494652736"/>
    <n v="404.75095999999996"/>
    <n v="10.657498209590186"/>
    <n v="520.6013131561175"/>
    <n v="102.23012300580714"/>
    <n v="393.35124470718148"/>
    <n v="10.357332287011396"/>
    <n v="505.93869999999998"/>
  </r>
  <r>
    <x v="0"/>
    <x v="0"/>
    <n v="0"/>
    <n v="27"/>
    <n v="6"/>
    <n v="20260202"/>
    <n v="20260306"/>
    <n v="126.70399999999999"/>
    <n v="33"/>
    <n v="3.8395151515151511"/>
    <n v="0"/>
    <n v="103.66690909090909"/>
    <n v="16.984511026974403"/>
    <n v="120.65142011788349"/>
    <n v="0"/>
    <n v="108.86744670407418"/>
    <n v="17.836553295925814"/>
    <n v="126.70399999999999"/>
  </r>
  <r>
    <x v="0"/>
    <x v="0"/>
    <n v="4"/>
    <n v="28"/>
    <n v="2"/>
    <n v="20260128"/>
    <n v="20260302"/>
    <n v="1771.4911"/>
    <n v="34"/>
    <n v="52.102679411764704"/>
    <n v="252.76979987107975"/>
    <n v="1458.8750235294117"/>
    <n v="76.827281404251863"/>
    <n v="1788.4721048047434"/>
    <n v="250.36982663438593"/>
    <n v="1445.0234438947505"/>
    <n v="76.097829470863502"/>
    <n v="1771.4910999999997"/>
  </r>
  <r>
    <x v="0"/>
    <x v="0"/>
    <n v="1"/>
    <n v="28"/>
    <n v="4"/>
    <n v="20260131"/>
    <n v="20260304"/>
    <n v="168.84389999999999"/>
    <n v="33"/>
    <n v="5.1164818181818177"/>
    <n v="6.2054970100722544"/>
    <n v="143.2614909090909"/>
    <n v="15.088874233843516"/>
    <n v="164.55586215300667"/>
    <n v="6.3672014044976066"/>
    <n v="146.9946346998826"/>
    <n v="15.482063895619786"/>
    <n v="168.84389999999996"/>
  </r>
  <r>
    <x v="0"/>
    <x v="0"/>
    <n v="2"/>
    <n v="28"/>
    <n v="3"/>
    <n v="20260130"/>
    <n v="20260303"/>
    <n v="379.78300000000002"/>
    <n v="33"/>
    <n v="11.508575757575757"/>
    <n v="27.916226419506671"/>
    <n v="322.24012121212121"/>
    <n v="25.454715523414492"/>
    <n v="375.61106315504242"/>
    <n v="28.226293787047563"/>
    <n v="325.81926348582346"/>
    <n v="25.737442727128972"/>
    <n v="379.78299999999996"/>
  </r>
  <r>
    <x v="0"/>
    <x v="0"/>
    <n v="0"/>
    <n v="25"/>
    <n v="2"/>
    <n v="20260204"/>
    <n v="20260302"/>
    <n v="84.402199999999993"/>
    <n v="27"/>
    <n v="3.1260074074074073"/>
    <n v="0"/>
    <n v="78.15018518518518"/>
    <n v="4.6094107533831812"/>
    <n v="82.759595938568367"/>
    <n v="0"/>
    <n v="79.701302129764116"/>
    <n v="4.7008978702358784"/>
    <n v="84.402199999999993"/>
  </r>
  <r>
    <x v="0"/>
    <x v="0"/>
    <n v="0"/>
    <n v="16"/>
    <n v="1"/>
    <n v="20260213"/>
    <n v="20260301"/>
    <n v="675.51790000000005"/>
    <n v="17"/>
    <n v="39.736347058823533"/>
    <n v="0"/>
    <n v="635.78155294117653"/>
    <n v="29.296338997644007"/>
    <n v="665.07789193882058"/>
    <n v="0"/>
    <n v="645.76168401801237"/>
    <n v="29.756215981987648"/>
    <n v="675.51790000000005"/>
  </r>
  <r>
    <x v="0"/>
    <x v="0"/>
    <n v="0"/>
    <n v="17"/>
    <n v="2"/>
    <n v="20260212"/>
    <n v="20260302"/>
    <n v="464.64659999999998"/>
    <n v="19"/>
    <n v="24.455084210526316"/>
    <n v="0"/>
    <n v="415.73643157894736"/>
    <n v="36.059904358441642"/>
    <n v="451.79633593738902"/>
    <n v="0"/>
    <n v="427.56105807830312"/>
    <n v="37.085541921696887"/>
    <n v="464.64660000000003"/>
  </r>
  <r>
    <x v="0"/>
    <x v="0"/>
    <n v="0"/>
    <n v="17"/>
    <n v="4"/>
    <n v="20260212"/>
    <n v="20260304"/>
    <n v="126.7752"/>
    <n v="21"/>
    <n v="6.0369142857142855"/>
    <n v="0"/>
    <n v="102.62754285714286"/>
    <n v="17.803296025393823"/>
    <n v="120.43083888253668"/>
    <n v="0"/>
    <n v="108.03401680123554"/>
    <n v="18.741183198764471"/>
    <n v="126.77520000000001"/>
  </r>
  <r>
    <x v="0"/>
    <x v="0"/>
    <n v="0"/>
    <n v="15"/>
    <n v="3"/>
    <n v="20260214"/>
    <n v="20260303"/>
    <n v="42.242600000000003"/>
    <n v="18"/>
    <n v="2.3468111111111112"/>
    <n v="0"/>
    <n v="35.20216666666667"/>
    <n v="5.1906865348823228"/>
    <n v="40.392853201548995"/>
    <n v="0"/>
    <n v="36.814211618413438"/>
    <n v="5.4283883815865597"/>
    <n v="42.242599999999996"/>
  </r>
  <r>
    <x v="0"/>
    <x v="0"/>
    <n v="0"/>
    <n v="10"/>
    <n v="9"/>
    <n v="20260219"/>
    <n v="20260309"/>
    <n v="84.667000000000002"/>
    <n v="19"/>
    <n v="4.4561578947368421"/>
    <n v="0"/>
    <n v="44.561578947368417"/>
    <n v="29.568445460319314"/>
    <n v="74.130024407687728"/>
    <n v="0"/>
    <n v="50.89564228371642"/>
    <n v="33.771357716283582"/>
    <n v="84.667000000000002"/>
  </r>
  <r>
    <x v="0"/>
    <x v="0"/>
    <n v="30"/>
    <n v="5"/>
    <n v="0"/>
    <n v="20260102"/>
    <n v="20260205"/>
    <n v="924.38019999999995"/>
    <n v="35"/>
    <n v="26.410862857142856"/>
    <n v="960.96812018967876"/>
    <n v="132.05431428571427"/>
    <n v="0"/>
    <n v="1093.0224344753931"/>
    <n v="812.70052207199899"/>
    <n v="111.67967792800094"/>
    <n v="0"/>
    <n v="924.38019999999995"/>
  </r>
  <r>
    <x v="0"/>
    <x v="0"/>
    <n v="28"/>
    <n v="11"/>
    <n v="0"/>
    <n v="20260104"/>
    <n v="20260211"/>
    <n v="168.15209999999999"/>
    <n v="39"/>
    <n v="4.3115923076923073"/>
    <n v="146.42015265466193"/>
    <n v="47.427515384615383"/>
    <n v="0"/>
    <n v="193.84766803927732"/>
    <n v="127.01136103537398"/>
    <n v="41.140738964626003"/>
    <n v="0"/>
    <n v="168.15209999999999"/>
  </r>
  <r>
    <x v="0"/>
    <x v="0"/>
    <n v="26"/>
    <n v="14"/>
    <n v="0"/>
    <n v="20260106"/>
    <n v="20260214"/>
    <n v="714.98260000000005"/>
    <n v="40"/>
    <n v="17.874565"/>
    <n v="563.65578023000296"/>
    <n v="250.24391"/>
    <n v="0"/>
    <n v="813.89969023000299"/>
    <n v="495.1520194583066"/>
    <n v="219.83058054169345"/>
    <n v="0"/>
    <n v="714.98260000000005"/>
  </r>
  <r>
    <x v="0"/>
    <x v="0"/>
    <n v="28"/>
    <n v="21"/>
    <n v="0"/>
    <n v="20260104"/>
    <n v="20260221"/>
    <n v="378.52019999999999"/>
    <n v="49"/>
    <n v="7.7249020408163265"/>
    <n v="262.33494619625219"/>
    <n v="162.22294285714287"/>
    <n v="0"/>
    <n v="424.55788905339506"/>
    <n v="233.88819018907958"/>
    <n v="144.63200981092041"/>
    <n v="0"/>
    <n v="378.52019999999999"/>
  </r>
  <r>
    <x v="0"/>
    <x v="0"/>
    <n v="27"/>
    <n v="10"/>
    <n v="0"/>
    <n v="20260105"/>
    <n v="20260210"/>
    <n v="294.26620000000003"/>
    <n v="37"/>
    <n v="7.9531405405405415"/>
    <n v="260.439922033919"/>
    <n v="79.531405405405422"/>
    <n v="0"/>
    <n v="339.97132743932445"/>
    <n v="225.42685220681005"/>
    <n v="68.839347793189944"/>
    <n v="0"/>
    <n v="294.26620000000003"/>
  </r>
  <r>
    <x v="0"/>
    <x v="0"/>
    <n v="27"/>
    <n v="28"/>
    <n v="5"/>
    <n v="20260105"/>
    <n v="20260305"/>
    <n v="274593.9522"/>
    <n v="60"/>
    <n v="4576.5658700000004"/>
    <n v="149867.89838431359"/>
    <n v="128143.84436000002"/>
    <n v="16870.778908550375"/>
    <n v="294882.521652864"/>
    <n v="139556.65562878564"/>
    <n v="119327.26455159954"/>
    <n v="15710.032019614806"/>
    <n v="274593.9522"/>
  </r>
  <r>
    <x v="0"/>
    <x v="0"/>
    <n v="25"/>
    <n v="28"/>
    <n v="5"/>
    <n v="20260107"/>
    <n v="20260305"/>
    <n v="140667.76269999999"/>
    <n v="58"/>
    <n v="2425.3062534482756"/>
    <n v="73537.985861694295"/>
    <n v="67908.575096551722"/>
    <n v="8940.5040263193023"/>
    <n v="150387.06498456531"/>
    <n v="68785.330345335533"/>
    <n v="63519.74039760184"/>
    <n v="8362.6919570626214"/>
    <n v="140667.76270000002"/>
  </r>
  <r>
    <x v="0"/>
    <x v="0"/>
    <n v="26"/>
    <n v="28"/>
    <n v="1"/>
    <n v="20260106"/>
    <n v="20260301"/>
    <n v="228188.141"/>
    <n v="55"/>
    <n v="4148.8752909090908"/>
    <n v="130830.4587649738"/>
    <n v="116168.50814545454"/>
    <n v="3058.8331836716202"/>
    <n v="250057.80009409995"/>
    <n v="119388.23408236855"/>
    <n v="106008.59443888263"/>
    <n v="2791.3124787488177"/>
    <n v="228188.141"/>
  </r>
  <r>
    <x v="0"/>
    <x v="0"/>
    <n v="30"/>
    <n v="28"/>
    <n v="4"/>
    <n v="20260102"/>
    <n v="20260304"/>
    <n v="314276.45970000001"/>
    <n v="62"/>
    <n v="5068.9751564516127"/>
    <n v="184436.36445092841"/>
    <n v="141931.30438064516"/>
    <n v="14948.773658958342"/>
    <n v="341316.44249053189"/>
    <n v="169824.83245349256"/>
    <n v="130687.13460116889"/>
    <n v="13764.492645338545"/>
    <n v="314276.45970000001"/>
  </r>
  <r>
    <x v="0"/>
    <x v="0"/>
    <n v="26"/>
    <n v="28"/>
    <n v="8"/>
    <n v="20260106"/>
    <n v="20260308"/>
    <n v="24895.284"/>
    <n v="62"/>
    <n v="401.5368387096774"/>
    <n v="12662.045768050413"/>
    <n v="11243.031483870967"/>
    <n v="2368.3222475315865"/>
    <n v="26273.399499452964"/>
    <n v="11997.884987177866"/>
    <n v="10653.30209049411"/>
    <n v="2244.0969223280276"/>
    <n v="24895.284"/>
  </r>
  <r>
    <x v="0"/>
    <x v="0"/>
    <n v="10"/>
    <n v="28"/>
    <n v="5"/>
    <n v="20260122"/>
    <n v="20260305"/>
    <n v="2277.2040999999999"/>
    <n v="43"/>
    <n v="52.958234883720927"/>
    <n v="642.30105746064464"/>
    <n v="1482.8305767441859"/>
    <n v="195.22207207089443"/>
    <n v="2320.3537062757246"/>
    <n v="630.35674152943591"/>
    <n v="1455.2556620287851"/>
    <n v="191.59169644177936"/>
    <n v="2277.2041000000004"/>
  </r>
  <r>
    <x v="0"/>
    <x v="0"/>
    <n v="28"/>
    <n v="28"/>
    <n v="6"/>
    <n v="20260104"/>
    <n v="20260306"/>
    <n v="51458.623899999999"/>
    <n v="62"/>
    <n v="829.97780483870963"/>
    <n v="28185.75324657937"/>
    <n v="23239.378535483869"/>
    <n v="3671.4966921967216"/>
    <n v="55096.62847425996"/>
    <n v="26324.661160192943"/>
    <n v="21704.893254691291"/>
    <n v="3429.0694851157641"/>
    <n v="51458.623899999991"/>
  </r>
  <r>
    <x v="0"/>
    <x v="0"/>
    <n v="19"/>
    <n v="28"/>
    <n v="1"/>
    <n v="20260113"/>
    <n v="20260301"/>
    <n v="2611.0754999999999"/>
    <n v="48"/>
    <n v="54.397406249999996"/>
    <n v="1253.5363405708949"/>
    <n v="1523.1273749999998"/>
    <n v="40.10546947693539"/>
    <n v="2816.7691850478304"/>
    <n v="1161.9972430111418"/>
    <n v="1411.901476824158"/>
    <n v="37.1767801646998"/>
    <n v="2611.0754999999995"/>
  </r>
  <r>
    <x v="0"/>
    <x v="0"/>
    <n v="25"/>
    <n v="24"/>
    <n v="0"/>
    <n v="20260107"/>
    <n v="20260224"/>
    <n v="841.51160000000004"/>
    <n v="49"/>
    <n v="17.17370612244898"/>
    <n v="520.72589027877996"/>
    <n v="412.16894693877555"/>
    <n v="0"/>
    <n v="932.89483721755551"/>
    <n v="469.71733533962197"/>
    <n v="371.79426466037808"/>
    <n v="0"/>
    <n v="841.51160000000004"/>
  </r>
  <r>
    <x v="0"/>
    <x v="0"/>
    <n v="17"/>
    <n v="28"/>
    <n v="1"/>
    <n v="20260115"/>
    <n v="20260301"/>
    <n v="1558.5517"/>
    <n v="46"/>
    <n v="33.881558695652174"/>
    <n v="698.58207594919611"/>
    <n v="948.68364347826082"/>
    <n v="24.979790614547422"/>
    <n v="1672.2455100420045"/>
    <n v="651.08638386046562"/>
    <n v="884.18386919041427"/>
    <n v="23.281446949119932"/>
    <n v="1558.5517"/>
  </r>
  <r>
    <x v="0"/>
    <x v="0"/>
    <n v="22"/>
    <n v="28"/>
    <n v="2"/>
    <n v="20260110"/>
    <n v="20260302"/>
    <n v="252.69059999999999"/>
    <n v="52"/>
    <n v="4.8594346153846155"/>
    <n v="129.66225172999603"/>
    <n v="136.06416923076924"/>
    <n v="7.1654117384492384"/>
    <n v="272.89183269921449"/>
    <n v="120.06380646472914"/>
    <n v="125.9918122918729"/>
    <n v="6.6349812433979558"/>
    <n v="252.69059999999999"/>
  </r>
  <r>
    <x v="0"/>
    <x v="0"/>
    <n v="20"/>
    <n v="28"/>
    <n v="3"/>
    <n v="20260112"/>
    <n v="20260303"/>
    <n v="1263.6609000000001"/>
    <n v="51"/>
    <n v="24.777664705882355"/>
    <n v="601.02910442302641"/>
    <n v="693.77461176470592"/>
    <n v="54.803341413259247"/>
    <n v="1349.6070576009915"/>
    <n v="562.75415480669426"/>
    <n v="649.59340969816719"/>
    <n v="51.313335495138546"/>
    <n v="1263.6609000000001"/>
  </r>
  <r>
    <x v="0"/>
    <x v="0"/>
    <n v="31"/>
    <n v="28"/>
    <n v="1"/>
    <n v="20251229"/>
    <n v="20260301"/>
    <n v="883.52499999999998"/>
    <n v="60"/>
    <n v="14.725416666666666"/>
    <n v="553.6488748856234"/>
    <n v="412.31166666666667"/>
    <n v="10.856579189566704"/>
    <n v="976.8171207418568"/>
    <n v="500.77195802200856"/>
    <n v="372.93333373907649"/>
    <n v="9.8197082389148793"/>
    <n v="883.52499999999998"/>
  </r>
  <r>
    <x v="0"/>
    <x v="0"/>
    <n v="13"/>
    <n v="28"/>
    <n v="5"/>
    <n v="20260119"/>
    <n v="20260305"/>
    <n v="168.63829999999999"/>
    <n v="46"/>
    <n v="3.6660499999999998"/>
    <n v="57.802533183666341"/>
    <n v="102.6494"/>
    <n v="13.514307621599054"/>
    <n v="173.96624080526539"/>
    <n v="56.032255951880337"/>
    <n v="99.505629551409285"/>
    <n v="13.100414496710378"/>
    <n v="168.63830000000002"/>
  </r>
  <r>
    <x v="0"/>
    <x v="0"/>
    <n v="31"/>
    <n v="28"/>
    <n v="4"/>
    <n v="20251229"/>
    <n v="20260304"/>
    <n v="126.2564"/>
    <n v="63"/>
    <n v="2.0040698412698412"/>
    <n v="75.349379778359932"/>
    <n v="56.113955555555556"/>
    <n v="5.9101466330442456"/>
    <n v="137.37348196695973"/>
    <n v="69.251658302849279"/>
    <n v="51.572879399740529"/>
    <n v="5.4318622974101922"/>
    <n v="126.2564"/>
  </r>
  <r>
    <x v="0"/>
    <x v="0"/>
    <n v="17"/>
    <n v="28"/>
    <n v="5"/>
    <n v="20260115"/>
    <n v="20260305"/>
    <n v="421.44749999999999"/>
    <n v="50"/>
    <n v="8.4289500000000004"/>
    <n v="173.79110099287109"/>
    <n v="236.01060000000001"/>
    <n v="31.071977530878563"/>
    <n v="440.87367852374967"/>
    <n v="166.13335883636208"/>
    <n v="225.61128547423999"/>
    <n v="29.702855689397907"/>
    <n v="421.44749999999999"/>
  </r>
  <r>
    <x v="0"/>
    <x v="0"/>
    <n v="16"/>
    <n v="28"/>
    <n v="5"/>
    <n v="20260116"/>
    <n v="20260305"/>
    <n v="252.88630000000001"/>
    <n v="49"/>
    <n v="5.1609448979591841"/>
    <n v="100.15078101401841"/>
    <n v="144.50645714285716"/>
    <n v="19.024998832297037"/>
    <n v="263.68223698917262"/>
    <n v="96.050309425224341"/>
    <n v="138.5899319204664"/>
    <n v="18.246058654309262"/>
    <n v="252.88630000000001"/>
  </r>
  <r>
    <x v="0"/>
    <x v="0"/>
    <n v="10"/>
    <n v="28"/>
    <n v="6"/>
    <n v="20260122"/>
    <n v="20260306"/>
    <n v="379.59629999999999"/>
    <n v="44"/>
    <n v="8.6271886363636359"/>
    <n v="104.63438587437082"/>
    <n v="241.56128181818181"/>
    <n v="38.163303110884527"/>
    <n v="384.35897080343716"/>
    <n v="103.33783974823839"/>
    <n v="238.56804645346159"/>
    <n v="37.6904137983"/>
    <n v="379.59630000000004"/>
  </r>
  <r>
    <x v="0"/>
    <x v="0"/>
    <n v="12"/>
    <n v="28"/>
    <n v="2"/>
    <n v="20260120"/>
    <n v="20260302"/>
    <n v="10157.362499999999"/>
    <n v="42"/>
    <n v="241.84196428571425"/>
    <n v="3519.8004557396525"/>
    <n v="6771.5749999999989"/>
    <n v="356.60470546434601"/>
    <n v="10647.980161203997"/>
    <n v="3357.6216911893912"/>
    <n v="6459.5670662068724"/>
    <n v="340.17374260373572"/>
    <n v="10157.362499999999"/>
  </r>
  <r>
    <x v="0"/>
    <x v="0"/>
    <n v="12"/>
    <n v="28"/>
    <n v="7"/>
    <n v="20260120"/>
    <n v="20260307"/>
    <n v="42.172400000000003"/>
    <n v="47"/>
    <n v="0.89728510638297876"/>
    <n v="13.059208048128527"/>
    <n v="25.123982978723404"/>
    <n v="4.6307774669506232"/>
    <n v="42.813968493802555"/>
    <n v="12.863515456844802"/>
    <n v="24.747499403735166"/>
    <n v="4.5613851394200333"/>
    <n v="42.172400000000003"/>
  </r>
  <r>
    <x v="0"/>
    <x v="0"/>
    <n v="27"/>
    <n v="28"/>
    <n v="12"/>
    <n v="20260105"/>
    <n v="20260312"/>
    <n v="126.3631"/>
    <n v="67"/>
    <n v="1.8860164179104477"/>
    <n v="61.761007030048511"/>
    <n v="52.808459701492538"/>
    <n v="16.68599569631278"/>
    <n v="131.25546242785381"/>
    <n v="59.45895251200276"/>
    <n v="50.840098771307069"/>
    <n v="16.064048716690181"/>
    <n v="126.36310000000002"/>
  </r>
  <r>
    <x v="0"/>
    <x v="0"/>
    <n v="31"/>
    <n v="28"/>
    <n v="7"/>
    <n v="20251226"/>
    <n v="20260307"/>
    <n v="42.0944"/>
    <n v="66"/>
    <n v="0.63779393939393936"/>
    <n v="23.979891703414665"/>
    <n v="17.858230303030304"/>
    <n v="3.2915756453473577"/>
    <n v="45.129697651792327"/>
    <n v="22.367071038423614"/>
    <n v="16.657135517902674"/>
    <n v="3.0701934436737139"/>
    <n v="42.094400000000007"/>
  </r>
  <r>
    <x v="0"/>
    <x v="0"/>
    <n v="0"/>
    <n v="8"/>
    <n v="1"/>
    <n v="20260221"/>
    <n v="20260301"/>
    <n v="126.9057"/>
    <n v="9"/>
    <n v="14.100633333333333"/>
    <n v="0"/>
    <n v="112.80506666666666"/>
    <n v="10.395946401496998"/>
    <n v="123.20101306816366"/>
    <n v="0"/>
    <n v="116.19714475042163"/>
    <n v="10.708555249578373"/>
    <n v="126.9057"/>
  </r>
  <r>
    <x v="0"/>
    <x v="0"/>
    <n v="0"/>
    <n v="5"/>
    <n v="4"/>
    <n v="20260224"/>
    <n v="20260304"/>
    <n v="42.379899999999999"/>
    <n v="9"/>
    <n v="4.7088777777777775"/>
    <n v="0"/>
    <n v="23.544388888888889"/>
    <n v="13.886820494297815"/>
    <n v="37.431209383186705"/>
    <n v="0"/>
    <n v="26.657136200371244"/>
    <n v="15.722763799628751"/>
    <n v="42.379899999999992"/>
  </r>
  <r>
    <x v="0"/>
    <x v="0"/>
    <n v="0"/>
    <n v="6"/>
    <n v="1"/>
    <n v="20260223"/>
    <n v="20260301"/>
    <n v="84.688800000000001"/>
    <n v="7"/>
    <n v="12.0984"/>
    <n v="0"/>
    <n v="72.590400000000002"/>
    <n v="8.9197637418558937"/>
    <n v="81.510163741855891"/>
    <n v="0"/>
    <n v="75.421193938335563"/>
    <n v="9.2676060616644484"/>
    <n v="84.688800000000015"/>
  </r>
  <r>
    <x v="0"/>
    <x v="0"/>
    <n v="0"/>
    <n v="19"/>
    <n v="7"/>
    <n v="20260210"/>
    <n v="20260307"/>
    <n v="169.07310000000001"/>
    <n v="26"/>
    <n v="6.5028115384615388"/>
    <n v="0"/>
    <n v="123.55341923076924"/>
    <n v="33.56020614843613"/>
    <n v="157.11362537920536"/>
    <n v="0"/>
    <n v="132.95829406601288"/>
    <n v="36.114805933987128"/>
    <n v="169.07310000000001"/>
  </r>
  <r>
    <x v="0"/>
    <x v="0"/>
    <n v="0"/>
    <n v="23"/>
    <n v="3"/>
    <n v="20260206"/>
    <n v="20260303"/>
    <n v="211.0746"/>
    <n v="26"/>
    <n v="8.1182538461538467"/>
    <n v="0"/>
    <n v="186.71983846153847"/>
    <n v="17.955987478700962"/>
    <n v="204.67582594023943"/>
    <n v="0"/>
    <n v="192.55725503626979"/>
    <n v="18.51734496373021"/>
    <n v="211.0746"/>
  </r>
  <r>
    <x v="0"/>
    <x v="0"/>
    <n v="0"/>
    <n v="24"/>
    <n v="1"/>
    <n v="20260205"/>
    <n v="20260301"/>
    <n v="464.11419999999998"/>
    <n v="25"/>
    <n v="18.564567999999998"/>
    <n v="0"/>
    <n v="445.54963199999997"/>
    <n v="13.687062795875336"/>
    <n v="459.23669479587534"/>
    <n v="0"/>
    <n v="450.28176833275052"/>
    <n v="13.832431667249468"/>
    <n v="464.11419999999998"/>
  </r>
  <r>
    <x v="0"/>
    <x v="0"/>
    <n v="0"/>
    <n v="24"/>
    <n v="4"/>
    <n v="20260205"/>
    <n v="20260304"/>
    <n v="506.5908"/>
    <n v="28"/>
    <n v="18.09252857142857"/>
    <n v="0"/>
    <n v="434.22068571428565"/>
    <n v="53.356172832744946"/>
    <n v="487.57685854703061"/>
    <n v="0"/>
    <n v="451.1539067052143"/>
    <n v="55.436893294785641"/>
    <n v="506.59079999999994"/>
  </r>
  <r>
    <x v="0"/>
    <x v="0"/>
    <n v="0"/>
    <n v="27"/>
    <n v="3"/>
    <n v="20260202"/>
    <n v="20260303"/>
    <n v="126.6388"/>
    <n v="30"/>
    <n v="4.2212933333333336"/>
    <n v="0"/>
    <n v="113.97492000000001"/>
    <n v="9.3366740771683876"/>
    <n v="123.31159407716839"/>
    <n v="0"/>
    <n v="117.05020283707812"/>
    <n v="9.5885971629218858"/>
    <n v="126.6388"/>
  </r>
  <r>
    <x v="0"/>
    <x v="0"/>
    <n v="3"/>
    <n v="28"/>
    <n v="4"/>
    <n v="20260129"/>
    <n v="20260304"/>
    <n v="464.16849999999999"/>
    <n v="35"/>
    <n v="13.261957142857142"/>
    <n v="48.254076720408207"/>
    <n v="371.33479999999997"/>
    <n v="39.110468977353669"/>
    <n v="458.69934569776183"/>
    <n v="48.829418703716463"/>
    <n v="375.76229120538073"/>
    <n v="39.576790090902819"/>
    <n v="464.16849999999999"/>
  </r>
  <r>
    <x v="0"/>
    <x v="0"/>
    <n v="2"/>
    <n v="28"/>
    <n v="6"/>
    <n v="20260130"/>
    <n v="20260306"/>
    <n v="337.7509"/>
    <n v="36"/>
    <n v="9.3819694444444437"/>
    <n v="22.757740730828242"/>
    <n v="262.6951444444444"/>
    <n v="41.502157745365714"/>
    <n v="326.95504292063833"/>
    <n v="23.509187517470483"/>
    <n v="271.36917867719632"/>
    <n v="42.872533805333227"/>
    <n v="337.7509"/>
  </r>
  <r>
    <x v="0"/>
    <x v="0"/>
    <n v="2"/>
    <n v="28"/>
    <n v="5"/>
    <n v="20260130"/>
    <n v="20260305"/>
    <n v="844.2192"/>
    <n v="35"/>
    <n v="24.120548571428571"/>
    <n v="58.5089510176321"/>
    <n v="675.37536"/>
    <n v="88.916548709375846"/>
    <n v="822.80085972700795"/>
    <n v="60.031998310420839"/>
    <n v="692.95606510192943"/>
    <n v="91.231136587649758"/>
    <n v="844.2192"/>
  </r>
  <r>
    <x v="0"/>
    <x v="0"/>
    <n v="0"/>
    <n v="24"/>
    <n v="2"/>
    <n v="20260205"/>
    <n v="20260302"/>
    <n v="253.20650000000001"/>
    <n v="26"/>
    <n v="9.7387115384615388"/>
    <n v="0"/>
    <n v="233.72907692307695"/>
    <n v="14.3600816757857"/>
    <n v="248.08915859886264"/>
    <n v="0"/>
    <n v="238.55021255328003"/>
    <n v="14.656287446719977"/>
    <n v="253.20650000000001"/>
  </r>
  <r>
    <x v="0"/>
    <x v="0"/>
    <n v="0"/>
    <n v="15"/>
    <n v="7"/>
    <n v="20260214"/>
    <n v="20260307"/>
    <n v="42.280099999999997"/>
    <n v="22"/>
    <n v="1.9218227272727271"/>
    <n v="0"/>
    <n v="28.827340909090907"/>
    <n v="9.918289423974505"/>
    <n v="38.745630333065414"/>
    <n v="0"/>
    <n v="31.457040339599647"/>
    <n v="10.823059660400348"/>
    <n v="42.280099999999997"/>
  </r>
  <r>
    <x v="0"/>
    <x v="0"/>
    <n v="27"/>
    <n v="7"/>
    <n v="0"/>
    <n v="20260105"/>
    <n v="20260207"/>
    <n v="126.07850000000001"/>
    <n v="34"/>
    <n v="3.7081911764705886"/>
    <n v="121.43140385410913"/>
    <n v="25.95733823529412"/>
    <n v="0"/>
    <n v="147.38874208940325"/>
    <n v="103.87421070147683"/>
    <n v="22.204289298523182"/>
    <n v="0"/>
    <n v="126.07850000000001"/>
  </r>
  <r>
    <x v="0"/>
    <x v="0"/>
    <n v="29"/>
    <n v="7"/>
    <n v="0"/>
    <n v="20260103"/>
    <n v="20260207"/>
    <n v="462.2226"/>
    <n v="36"/>
    <n v="12.839516666666666"/>
    <n v="451.59779090322274"/>
    <n v="89.876616666666663"/>
    <n v="0"/>
    <n v="541.47440756988942"/>
    <n v="385.50059272857055"/>
    <n v="76.722007271429419"/>
    <n v="0"/>
    <n v="462.22259999999994"/>
  </r>
  <r>
    <x v="0"/>
    <x v="0"/>
    <n v="24"/>
    <n v="5"/>
    <n v="0"/>
    <n v="20260108"/>
    <n v="20260205"/>
    <n v="42.036999999999999"/>
    <n v="29"/>
    <n v="1.449551724137931"/>
    <n v="42.193941273245557"/>
    <n v="7.2477586206896554"/>
    <n v="0"/>
    <n v="49.441699893935208"/>
    <n v="35.874711288415796"/>
    <n v="6.1622887115842078"/>
    <n v="0"/>
    <n v="42.037000000000006"/>
  </r>
  <r>
    <x v="0"/>
    <x v="0"/>
    <n v="25"/>
    <n v="5"/>
    <n v="0"/>
    <n v="20260107"/>
    <n v="20260205"/>
    <n v="168.13229999999999"/>
    <n v="30"/>
    <n v="5.6044099999999997"/>
    <n v="169.93195096791007"/>
    <n v="28.02205"/>
    <n v="0"/>
    <n v="197.95400096791008"/>
    <n v="144.33176202563109"/>
    <n v="23.80053797436889"/>
    <n v="0"/>
    <n v="168.13229999999999"/>
  </r>
  <r>
    <x v="0"/>
    <x v="0"/>
    <n v="30"/>
    <n v="27"/>
    <n v="0"/>
    <n v="20260102"/>
    <n v="20260227"/>
    <n v="7740.9973"/>
    <n v="57"/>
    <n v="135.80697017543861"/>
    <n v="4941.3822465422181"/>
    <n v="3666.7881947368423"/>
    <n v="0"/>
    <n v="8608.1704412790605"/>
    <n v="4443.5954062112669"/>
    <n v="3297.4018937887331"/>
    <n v="0"/>
    <n v="7740.9973"/>
  </r>
  <r>
    <x v="0"/>
    <x v="0"/>
    <n v="25"/>
    <n v="23"/>
    <n v="0"/>
    <n v="20260107"/>
    <n v="20260223"/>
    <n v="252.4357"/>
    <n v="48"/>
    <n v="5.2590770833333336"/>
    <n v="159.46107245213318"/>
    <n v="120.95877291666667"/>
    <n v="0"/>
    <n v="280.41984536879988"/>
    <n v="143.54785551737442"/>
    <n v="108.88784448262558"/>
    <n v="0"/>
    <n v="252.4357"/>
  </r>
  <r>
    <x v="0"/>
    <x v="0"/>
    <n v="26"/>
    <n v="21"/>
    <n v="0"/>
    <n v="20260106"/>
    <n v="20260221"/>
    <n v="378.58240000000001"/>
    <n v="47"/>
    <n v="8.0549446808510634"/>
    <n v="254.00428647044657"/>
    <n v="169.15383829787234"/>
    <n v="0"/>
    <n v="423.15812476831888"/>
    <n v="227.24732612641697"/>
    <n v="151.3350738735831"/>
    <n v="0"/>
    <n v="378.58240000000006"/>
  </r>
  <r>
    <x v="0"/>
    <x v="0"/>
    <n v="30"/>
    <n v="21"/>
    <n v="0"/>
    <n v="20260102"/>
    <n v="20260221"/>
    <n v="1387.7443000000001"/>
    <n v="51"/>
    <n v="27.210672549019609"/>
    <n v="990.06946459745609"/>
    <n v="571.42412352941176"/>
    <n v="0"/>
    <n v="1561.493588126868"/>
    <n v="879.90323274227887"/>
    <n v="507.84106725772114"/>
    <n v="0"/>
    <n v="1387.7443000000001"/>
  </r>
  <r>
    <x v="0"/>
    <x v="0"/>
    <n v="25"/>
    <n v="14"/>
    <n v="0"/>
    <n v="20260107"/>
    <n v="20260214"/>
    <n v="42.0608"/>
    <n v="39"/>
    <n v="1.0784820512820512"/>
    <n v="32.700776541729212"/>
    <n v="15.098748717948716"/>
    <n v="0"/>
    <n v="47.799525259677928"/>
    <n v="28.774779968926236"/>
    <n v="13.286020031073766"/>
    <n v="0"/>
    <n v="42.0608"/>
  </r>
  <r>
    <x v="0"/>
    <x v="0"/>
    <n v="27"/>
    <n v="20"/>
    <n v="0"/>
    <n v="20260105"/>
    <n v="20260220"/>
    <n v="168.239"/>
    <n v="47"/>
    <n v="3.5795531914893619"/>
    <n v="117.21892117404902"/>
    <n v="71.591063829787231"/>
    <n v="0"/>
    <n v="188.80998500383623"/>
    <n v="104.44783457294457"/>
    <n v="63.791165427055446"/>
    <n v="0"/>
    <n v="168.23900000000003"/>
  </r>
  <r>
    <x v="0"/>
    <x v="0"/>
    <n v="27"/>
    <n v="19"/>
    <n v="0"/>
    <n v="20260105"/>
    <n v="20260219"/>
    <n v="210.2988"/>
    <n v="46"/>
    <n v="4.5717130434782609"/>
    <n v="149.70898383294568"/>
    <n v="86.862547826086953"/>
    <n v="0"/>
    <n v="236.57153165903264"/>
    <n v="133.08287530836463"/>
    <n v="77.215924691635351"/>
    <n v="0"/>
    <n v="210.29879999999997"/>
  </r>
  <r>
    <x v="0"/>
    <x v="0"/>
    <n v="28"/>
    <n v="13"/>
    <n v="0"/>
    <n v="20260104"/>
    <n v="20260213"/>
    <n v="252.29929999999999"/>
    <n v="41"/>
    <n v="6.1536414634146341"/>
    <n v="208.97549168731103"/>
    <n v="79.997339024390243"/>
    <n v="0"/>
    <n v="288.97283071170125"/>
    <n v="182.45442016127035"/>
    <n v="69.844879838729653"/>
    <n v="0"/>
    <n v="252.29930000000002"/>
  </r>
  <r>
    <x v="0"/>
    <x v="0"/>
    <n v="29"/>
    <n v="28"/>
    <n v="2"/>
    <n v="20260103"/>
    <n v="20260302"/>
    <n v="535141.77670000005"/>
    <n v="59"/>
    <n v="9070.1996050847465"/>
    <n v="319021.51857021271"/>
    <n v="253965.58894237291"/>
    <n v="13374.336700527436"/>
    <n v="586361.44421311305"/>
    <n v="291154.44737725094"/>
    <n v="231781.26363623547"/>
    <n v="12206.065686513652"/>
    <n v="535141.77670000005"/>
  </r>
  <r>
    <x v="0"/>
    <x v="0"/>
    <n v="29"/>
    <n v="28"/>
    <n v="3"/>
    <n v="20260103"/>
    <n v="20260303"/>
    <n v="361910.27679999999"/>
    <n v="60"/>
    <n v="6031.8379466666665"/>
    <n v="212154.76894646068"/>
    <n v="168891.46250666666"/>
    <n v="13341.244151316167"/>
    <n v="394387.47560444352"/>
    <n v="194684.15176262395"/>
    <n v="154983.51171336204"/>
    <n v="12242.613324014023"/>
    <n v="361910.27679999999"/>
  </r>
  <r>
    <x v="0"/>
    <x v="0"/>
    <n v="26"/>
    <n v="28"/>
    <n v="4"/>
    <n v="20260106"/>
    <n v="20260304"/>
    <n v="243126.9742"/>
    <n v="58"/>
    <n v="4191.8443827586207"/>
    <n v="132185.44429845232"/>
    <n v="117371.64271724138"/>
    <n v="12362.051688432402"/>
    <n v="261919.13870412612"/>
    <n v="122701.40801688224"/>
    <n v="108950.46651387305"/>
    <n v="11475.099669244688"/>
    <n v="243126.97419999997"/>
  </r>
  <r>
    <x v="0"/>
    <x v="0"/>
    <n v="26"/>
    <n v="28"/>
    <n v="9"/>
    <n v="20260106"/>
    <n v="20260309"/>
    <n v="13396.375599999999"/>
    <n v="63"/>
    <n v="212.64088253968254"/>
    <n v="6705.4086382914029"/>
    <n v="5953.9447111111112"/>
    <n v="1410.9599539627789"/>
    <n v="14070.313303365292"/>
    <n v="6384.2340062570856"/>
    <n v="5668.7635827271088"/>
    <n v="1343.3780110158054"/>
    <n v="13396.375600000001"/>
  </r>
  <r>
    <x v="0"/>
    <x v="0"/>
    <n v="26"/>
    <n v="28"/>
    <n v="2"/>
    <n v="20260106"/>
    <n v="20260302"/>
    <n v="150838.23370000001"/>
    <n v="56"/>
    <n v="2693.5398875000001"/>
    <n v="84937.973420301234"/>
    <n v="75419.116850000006"/>
    <n v="3971.7217856518391"/>
    <n v="164328.81205595308"/>
    <n v="77964.988150790057"/>
    <n v="69227.582373043711"/>
    <n v="3645.6631761662552"/>
    <n v="150838.23370000001"/>
  </r>
  <r>
    <x v="0"/>
    <x v="0"/>
    <n v="27"/>
    <n v="28"/>
    <n v="9"/>
    <n v="20260105"/>
    <n v="20260309"/>
    <n v="5897.2215999999999"/>
    <n v="64"/>
    <n v="92.144087499999998"/>
    <n v="3017.4242290902057"/>
    <n v="2580.0344500000001"/>
    <n v="611.41402304272231"/>
    <n v="6208.8727021329278"/>
    <n v="2865.9662057560317"/>
    <n v="2450.5309767515955"/>
    <n v="580.72441749237282"/>
    <n v="5897.2215999999999"/>
  </r>
  <r>
    <x v="0"/>
    <x v="0"/>
    <n v="23"/>
    <n v="28"/>
    <n v="5"/>
    <n v="20260109"/>
    <n v="20260305"/>
    <n v="32984.641000000003"/>
    <n v="56"/>
    <n v="589.0114464285715"/>
    <n v="16430.724214558675"/>
    <n v="16492.320500000002"/>
    <n v="2171.2965943396098"/>
    <n v="35094.341308898292"/>
    <n v="15442.989364493606"/>
    <n v="15500.882782248123"/>
    <n v="2040.768853258269"/>
    <n v="32984.640999999996"/>
  </r>
  <r>
    <x v="0"/>
    <x v="0"/>
    <n v="15"/>
    <n v="28"/>
    <n v="5"/>
    <n v="20260117"/>
    <n v="20260305"/>
    <n v="2276.1900999999998"/>
    <n v="48"/>
    <n v="47.420627083333329"/>
    <n v="862.7077258508084"/>
    <n v="1327.7775583333332"/>
    <n v="174.8085656260275"/>
    <n v="2365.2938498101689"/>
    <n v="830.20838401652441"/>
    <n v="1277.7584203852994"/>
    <n v="168.22329559817612"/>
    <n v="2276.1900999999998"/>
  </r>
  <r>
    <x v="0"/>
    <x v="0"/>
    <n v="26"/>
    <n v="28"/>
    <n v="0"/>
    <n v="20260106"/>
    <n v="20260228"/>
    <n v="210.43719999999999"/>
    <n v="54"/>
    <n v="3.8969851851851849"/>
    <n v="122.88736677509735"/>
    <n v="109.11558518518518"/>
    <n v="0"/>
    <n v="232.00295196028253"/>
    <n v="111.46441526292132"/>
    <n v="98.972784737078683"/>
    <n v="0"/>
    <n v="210.43720000000002"/>
  </r>
  <r>
    <x v="0"/>
    <x v="0"/>
    <n v="28"/>
    <n v="14"/>
    <n v="0"/>
    <n v="20260104"/>
    <n v="20260214"/>
    <n v="168.1995"/>
    <n v="42"/>
    <n v="4.0047499999999996"/>
    <n v="135.99989620948259"/>
    <n v="56.066499999999991"/>
    <n v="0"/>
    <n v="192.06639620948258"/>
    <n v="119.10003516459737"/>
    <n v="49.099464835402621"/>
    <n v="0"/>
    <n v="168.1995"/>
  </r>
  <r>
    <x v="0"/>
    <x v="0"/>
    <n v="16"/>
    <n v="28"/>
    <n v="3"/>
    <n v="20260116"/>
    <n v="20260303"/>
    <n v="1348.3789999999999"/>
    <n v="47"/>
    <n v="28.688914893617021"/>
    <n v="556.7230981630164"/>
    <n v="803.28961702127663"/>
    <n v="63.454260776947685"/>
    <n v="1423.4669759612407"/>
    <n v="527.35591837038146"/>
    <n v="760.91603725341668"/>
    <n v="60.107044376201706"/>
    <n v="1348.3789999999997"/>
  </r>
  <r>
    <x v="0"/>
    <x v="0"/>
    <n v="15"/>
    <n v="28"/>
    <n v="1"/>
    <n v="20260117"/>
    <n v="20260301"/>
    <n v="3328.2646"/>
    <n v="44"/>
    <n v="75.642377272727273"/>
    <n v="1376.1366580038127"/>
    <n v="2117.9865636363638"/>
    <n v="55.768707774999754"/>
    <n v="3549.8919294151765"/>
    <n v="1290.2215094618241"/>
    <n v="1985.7561422124402"/>
    <n v="52.286948325735388"/>
    <n v="3328.2645999999995"/>
  </r>
  <r>
    <x v="0"/>
    <x v="0"/>
    <n v="23"/>
    <n v="24"/>
    <n v="0"/>
    <n v="20260109"/>
    <n v="20260224"/>
    <n v="547.09820000000002"/>
    <n v="47"/>
    <n v="11.640387234042553"/>
    <n v="324.71354088772614"/>
    <n v="279.3692936170213"/>
    <n v="0"/>
    <n v="604.08283450474744"/>
    <n v="294.08250588836296"/>
    <n v="253.01569411163706"/>
    <n v="0"/>
    <n v="547.09820000000002"/>
  </r>
  <r>
    <x v="0"/>
    <x v="0"/>
    <n v="31"/>
    <n v="28"/>
    <n v="4"/>
    <n v="20251231"/>
    <n v="20260304"/>
    <n v="336.70749999999998"/>
    <n v="63"/>
    <n v="5.3445634920634921"/>
    <n v="200.94586327284895"/>
    <n v="149.64777777777778"/>
    <n v="15.76150355503361"/>
    <n v="366.35514460566031"/>
    <n v="184.68412482857602"/>
    <n v="137.5373865442713"/>
    <n v="14.485988627152702"/>
    <n v="336.70750000000004"/>
  </r>
  <r>
    <x v="0"/>
    <x v="0"/>
    <n v="13"/>
    <n v="28"/>
    <n v="3"/>
    <n v="20260119"/>
    <n v="20260303"/>
    <n v="379.33839999999998"/>
    <n v="44"/>
    <n v="8.6213272727272727"/>
    <n v="135.93228563960281"/>
    <n v="241.39716363636364"/>
    <n v="19.068687367076496"/>
    <n v="396.39813664304296"/>
    <n v="130.08218499599977"/>
    <n v="231.00818433164423"/>
    <n v="18.248030672355995"/>
    <n v="379.33839999999998"/>
  </r>
  <r>
    <x v="0"/>
    <x v="0"/>
    <n v="31"/>
    <n v="28"/>
    <n v="1"/>
    <n v="20251231"/>
    <n v="20260301"/>
    <n v="462.83139999999997"/>
    <n v="60"/>
    <n v="7.7138566666666666"/>
    <n v="290.02697588833138"/>
    <n v="215.98798666666667"/>
    <n v="5.6871800407662745"/>
    <n v="511.70214259576437"/>
    <n v="262.32759278126537"/>
    <n v="195.35978830381026"/>
    <n v="5.1440189149243167"/>
    <n v="462.83139999999992"/>
  </r>
  <r>
    <x v="0"/>
    <x v="0"/>
    <n v="31"/>
    <n v="28"/>
    <n v="5"/>
    <n v="20251230"/>
    <n v="20260305"/>
    <n v="294.63279999999997"/>
    <n v="64"/>
    <n v="4.6036374999999996"/>
    <n v="173.08839403002276"/>
    <n v="128.90185"/>
    <n v="16.970574147469129"/>
    <n v="318.96081817749183"/>
    <n v="159.8864665320439"/>
    <n v="119.0701516496174"/>
    <n v="15.676181818338726"/>
    <n v="294.63279999999997"/>
  </r>
  <r>
    <x v="0"/>
    <x v="0"/>
    <n v="11"/>
    <n v="28"/>
    <n v="7"/>
    <n v="20260121"/>
    <n v="20260307"/>
    <n v="253.0523"/>
    <n v="46"/>
    <n v="5.501136956521739"/>
    <n v="73.392262815871874"/>
    <n v="154.03183478260868"/>
    <n v="28.390687507964905"/>
    <n v="255.81478510644547"/>
    <n v="72.599716627140779"/>
    <n v="152.36848037825567"/>
    <n v="28.084102994603548"/>
    <n v="253.0523"/>
  </r>
  <r>
    <x v="0"/>
    <x v="0"/>
    <n v="8"/>
    <n v="28"/>
    <n v="3"/>
    <n v="20260124"/>
    <n v="20260303"/>
    <n v="84.340800000000002"/>
    <n v="39"/>
    <n v="2.1625846153846155"/>
    <n v="20.983031452759249"/>
    <n v="60.552369230769237"/>
    <n v="4.7832136086597572"/>
    <n v="86.318614292188244"/>
    <n v="20.502248253897605"/>
    <n v="59.164935682715708"/>
    <n v="4.6736160633866897"/>
    <n v="84.340800000000002"/>
  </r>
  <r>
    <x v="0"/>
    <x v="0"/>
    <n v="29"/>
    <n v="28"/>
    <n v="11"/>
    <n v="20260103"/>
    <n v="20260311"/>
    <n v="1010.7626"/>
    <n v="68"/>
    <n v="14.864155882352941"/>
    <n v="522.80939652025313"/>
    <n v="416.19636470588233"/>
    <n v="120.54753898199459"/>
    <n v="1059.5533002081302"/>
    <n v="498.7348770726685"/>
    <n v="397.0312013732879"/>
    <n v="114.99652155404355"/>
    <n v="1010.7625999999999"/>
  </r>
  <r>
    <x v="0"/>
    <x v="0"/>
    <n v="27"/>
    <n v="28"/>
    <n v="10"/>
    <n v="20260105"/>
    <n v="20260310"/>
    <n v="968.85199999999998"/>
    <n v="65"/>
    <n v="14.905415384615385"/>
    <n v="488.1046928398132"/>
    <n v="417.35163076923078"/>
    <n v="109.89286492841477"/>
    <n v="1015.3491885374586"/>
    <n v="465.75228818414746"/>
    <n v="398.23931189276101"/>
    <n v="104.86039992309166"/>
    <n v="968.8520000000002"/>
  </r>
  <r>
    <x v="0"/>
    <x v="0"/>
    <n v="23"/>
    <n v="28"/>
    <n v="12"/>
    <n v="20260109"/>
    <n v="20260312"/>
    <n v="126.4135"/>
    <n v="63"/>
    <n v="2.006563492063492"/>
    <n v="55.973939992174955"/>
    <n v="56.183777777777777"/>
    <n v="17.752501767744182"/>
    <n v="129.91021953769692"/>
    <n v="54.467321265264729"/>
    <n v="54.671510966465291"/>
    <n v="17.274667768269975"/>
    <n v="126.4135"/>
  </r>
  <r>
    <x v="0"/>
    <x v="0"/>
    <n v="28"/>
    <n v="28"/>
    <n v="12"/>
    <n v="20260104"/>
    <n v="20260312"/>
    <n v="1263.5422000000001"/>
    <n v="68"/>
    <n v="18.581502941176471"/>
    <n v="631.02128008394936"/>
    <n v="520.28208235294119"/>
    <n v="164.39458064262502"/>
    <n v="1315.6979430795154"/>
    <n v="606.00688834238201"/>
    <n v="499.65751669270952"/>
    <n v="157.87779496490867"/>
    <n v="1263.5422000000001"/>
  </r>
  <r>
    <x v="0"/>
    <x v="0"/>
    <n v="30"/>
    <n v="28"/>
    <n v="11"/>
    <n v="20260102"/>
    <n v="20260311"/>
    <n v="842.2627"/>
    <n v="69"/>
    <n v="12.206705797101449"/>
    <n v="444.1450923810529"/>
    <n v="341.78776231884058"/>
    <n v="98.995755599200237"/>
    <n v="884.92861029909375"/>
    <n v="422.73109982756552"/>
    <n v="325.30882171424776"/>
    <n v="94.222778458186667"/>
    <n v="842.2627"/>
  </r>
  <r>
    <x v="0"/>
    <x v="0"/>
    <n v="20"/>
    <n v="28"/>
    <n v="6"/>
    <n v="20260112"/>
    <n v="20260306"/>
    <n v="126.4165"/>
    <n v="54"/>
    <n v="2.3410462962962963"/>
    <n v="56.786504118839233"/>
    <n v="65.549296296296291"/>
    <n v="10.355871787199828"/>
    <n v="132.69167220233535"/>
    <n v="54.100992012465532"/>
    <n v="62.449379661181922"/>
    <n v="9.8661283263525412"/>
    <n v="126.41649999999998"/>
  </r>
  <r>
    <x v="0"/>
    <x v="0"/>
    <n v="31"/>
    <n v="28"/>
    <n v="1"/>
    <n v="20251227"/>
    <n v="20260301"/>
    <n v="1051.7906"/>
    <n v="60"/>
    <n v="17.529843333333336"/>
    <n v="659.09021511024014"/>
    <n v="490.83561333333341"/>
    <n v="12.924193361525569"/>
    <n v="1162.8500218050992"/>
    <n v="596.14299334047507"/>
    <n v="443.95775428360656"/>
    <n v="11.689852375918308"/>
    <n v="1051.7905999999998"/>
  </r>
  <r>
    <x v="0"/>
    <x v="0"/>
    <n v="31"/>
    <n v="28"/>
    <n v="3"/>
    <n v="20251227"/>
    <n v="20260303"/>
    <n v="168.32210000000001"/>
    <n v="62"/>
    <n v="2.7148725806451615"/>
    <n v="102.07426952708906"/>
    <n v="76.016432258064526"/>
    <n v="6.0047664175256523"/>
    <n v="184.09546820267923"/>
    <n v="93.328508140406186"/>
    <n v="69.503316062610978"/>
    <n v="5.4902757969828455"/>
    <n v="168.32210000000001"/>
  </r>
  <r>
    <x v="0"/>
    <x v="0"/>
    <n v="0"/>
    <n v="5"/>
    <n v="1"/>
    <n v="20260224"/>
    <n v="20260301"/>
    <n v="127.045"/>
    <n v="6"/>
    <n v="21.174166666666668"/>
    <n v="0"/>
    <n v="105.87083333333334"/>
    <n v="15.611036508740579"/>
    <n v="121.48186984207392"/>
    <n v="0"/>
    <n v="110.71907304619828"/>
    <n v="16.325926953801719"/>
    <n v="127.04499999999999"/>
  </r>
  <r>
    <x v="0"/>
    <x v="0"/>
    <n v="0"/>
    <n v="19"/>
    <n v="1"/>
    <n v="20260210"/>
    <n v="20260301"/>
    <n v="379.96100000000001"/>
    <n v="20"/>
    <n v="18.998049999999999"/>
    <n v="0"/>
    <n v="360.96294999999998"/>
    <n v="14.006655223497765"/>
    <n v="374.96960522349775"/>
    <n v="0"/>
    <n v="365.76789567570864"/>
    <n v="14.193104324291317"/>
    <n v="379.96099999999996"/>
  </r>
  <r>
    <x v="0"/>
    <x v="0"/>
    <n v="0"/>
    <n v="23"/>
    <n v="2"/>
    <n v="20260206"/>
    <n v="20260302"/>
    <n v="295.44200000000001"/>
    <n v="25"/>
    <n v="11.817680000000001"/>
    <n v="0"/>
    <n v="271.80664000000002"/>
    <n v="17.425595711309853"/>
    <n v="289.23223571130984"/>
    <n v="0"/>
    <n v="277.64227987032746"/>
    <n v="17.799720129672579"/>
    <n v="295.44200000000001"/>
  </r>
  <r>
    <x v="0"/>
    <x v="0"/>
    <n v="0"/>
    <n v="19"/>
    <n v="2"/>
    <n v="20260210"/>
    <n v="20260302"/>
    <n v="422.28769999999997"/>
    <n v="21"/>
    <n v="20.108938095238095"/>
    <n v="0"/>
    <n v="382.06982380952383"/>
    <n v="29.651355040192005"/>
    <n v="411.72117884971584"/>
    <n v="0"/>
    <n v="391.87536474732019"/>
    <n v="30.412335252679778"/>
    <n v="422.28769999999997"/>
  </r>
  <r>
    <x v="0"/>
    <x v="0"/>
    <n v="0"/>
    <n v="22"/>
    <n v="6"/>
    <n v="20260207"/>
    <n v="20260306"/>
    <n v="42.2485"/>
    <n v="28"/>
    <n v="1.508875"/>
    <n v="0"/>
    <n v="33.195250000000001"/>
    <n v="6.6746719480226204"/>
    <n v="39.869921948022622"/>
    <n v="0"/>
    <n v="35.175627417915116"/>
    <n v="7.0728725820848872"/>
    <n v="42.248500000000007"/>
  </r>
  <r>
    <x v="0"/>
    <x v="0"/>
    <n v="2"/>
    <n v="28"/>
    <n v="1"/>
    <n v="20260130"/>
    <n v="20260301"/>
    <n v="1307.7127"/>
    <n v="31"/>
    <n v="42.184280645161294"/>
    <n v="102.32594846144529"/>
    <n v="1181.1598580645164"/>
    <n v="31.101122212439915"/>
    <n v="1314.5869287384014"/>
    <n v="101.79086633015338"/>
    <n v="1174.9833452273276"/>
    <n v="30.938488442519148"/>
    <n v="1307.7127000000003"/>
  </r>
  <r>
    <x v="0"/>
    <x v="0"/>
    <n v="1"/>
    <n v="28"/>
    <n v="8"/>
    <n v="20260131"/>
    <n v="20260308"/>
    <n v="211.15860000000001"/>
    <n v="37"/>
    <n v="5.7069891891891897"/>
    <n v="6.9216906476984397"/>
    <n v="159.79569729729732"/>
    <n v="33.660646197773787"/>
    <n v="200.37803414276954"/>
    <n v="7.2940854672709419"/>
    <n v="168.39288733254921"/>
    <n v="35.471627200179881"/>
    <n v="211.15860000000004"/>
  </r>
  <r>
    <x v="0"/>
    <x v="0"/>
    <n v="0"/>
    <n v="26"/>
    <n v="4"/>
    <n v="20260203"/>
    <n v="20260304"/>
    <n v="42.216900000000003"/>
    <n v="30"/>
    <n v="1.40723"/>
    <n v="0"/>
    <n v="36.587980000000002"/>
    <n v="4.15002285606423"/>
    <n v="40.738002856064234"/>
    <n v="0"/>
    <n v="37.916220348834976"/>
    <n v="4.300679651165022"/>
    <n v="42.216899999999995"/>
  </r>
  <r>
    <x v="0"/>
    <x v="0"/>
    <n v="0"/>
    <n v="25"/>
    <n v="5"/>
    <n v="20260204"/>
    <n v="20260305"/>
    <n v="295.56659999999999"/>
    <n v="30"/>
    <n v="9.8522199999999991"/>
    <n v="0"/>
    <n v="246.30549999999997"/>
    <n v="36.318634998341714"/>
    <n v="282.62413499834167"/>
    <n v="0"/>
    <n v="257.58479259645378"/>
    <n v="37.981807403546242"/>
    <n v="295.56659999999999"/>
  </r>
  <r>
    <x v="0"/>
    <x v="0"/>
    <n v="0"/>
    <n v="26"/>
    <n v="3"/>
    <n v="20260203"/>
    <n v="20260303"/>
    <n v="84.419899999999998"/>
    <n v="29"/>
    <n v="2.9110310344827584"/>
    <n v="0"/>
    <n v="75.686806896551715"/>
    <n v="6.4386304981146019"/>
    <n v="82.125437394666321"/>
    <n v="0"/>
    <n v="77.801383739615545"/>
    <n v="6.6185162603844585"/>
    <n v="84.419899999999998"/>
  </r>
  <r>
    <x v="0"/>
    <x v="0"/>
    <n v="3"/>
    <n v="28"/>
    <n v="1"/>
    <n v="20260129"/>
    <n v="20260301"/>
    <n v="379.60520000000002"/>
    <n v="32"/>
    <n v="11.862662500000001"/>
    <n v="43.162696140336614"/>
    <n v="332.15455000000003"/>
    <n v="8.745962015586656"/>
    <n v="384.06320815592329"/>
    <n v="42.661685766681821"/>
    <n v="328.29907084583471"/>
    <n v="8.6444433874835145"/>
    <n v="379.60520000000008"/>
  </r>
  <r>
    <x v="0"/>
    <x v="0"/>
    <n v="0"/>
    <n v="26"/>
    <n v="7"/>
    <n v="20260203"/>
    <n v="20260307"/>
    <n v="337.88529999999997"/>
    <n v="33"/>
    <n v="10.238948484848484"/>
    <n v="0"/>
    <n v="266.21266060606058"/>
    <n v="52.841946881337449"/>
    <n v="319.05460748739802"/>
    <n v="0"/>
    <n v="281.92460657766793"/>
    <n v="55.960693422332049"/>
    <n v="337.88529999999997"/>
  </r>
  <r>
    <x v="0"/>
    <x v="0"/>
    <n v="4"/>
    <n v="28"/>
    <n v="5"/>
    <n v="20260128"/>
    <n v="20260305"/>
    <n v="337.577"/>
    <n v="37"/>
    <n v="9.1237027027027029"/>
    <n v="44.262531836791794"/>
    <n v="255.46367567567569"/>
    <n v="33.633072372809707"/>
    <n v="333.35927988527715"/>
    <n v="44.822549157806058"/>
    <n v="258.69584693501224"/>
    <n v="34.058603907181713"/>
    <n v="337.577"/>
  </r>
  <r>
    <x v="0"/>
    <x v="0"/>
    <n v="0"/>
    <n v="16"/>
    <n v="4"/>
    <n v="20260213"/>
    <n v="20260304"/>
    <n v="84.507000000000005"/>
    <n v="20"/>
    <n v="4.2253500000000006"/>
    <n v="0"/>
    <n v="67.60560000000001"/>
    <n v="12.460862172403228"/>
    <n v="80.066462172403234"/>
    <n v="0"/>
    <n v="71.355050344277231"/>
    <n v="13.151949655722779"/>
    <n v="84.507000000000005"/>
  </r>
  <r>
    <x v="0"/>
    <x v="0"/>
    <n v="0"/>
    <n v="18"/>
    <n v="8"/>
    <n v="20260211"/>
    <n v="20260308"/>
    <n v="211.4007"/>
    <n v="26"/>
    <n v="8.1307961538461537"/>
    <n v="0"/>
    <n v="146.35433076923076"/>
    <n v="47.956609618130187"/>
    <n v="194.31094038736094"/>
    <n v="0"/>
    <n v="159.22627882387312"/>
    <n v="52.174421176126891"/>
    <n v="211.4007"/>
  </r>
  <r>
    <x v="0"/>
    <x v="0"/>
    <n v="0"/>
    <n v="18"/>
    <n v="5"/>
    <n v="20260211"/>
    <n v="20260305"/>
    <n v="422.63330000000002"/>
    <n v="23"/>
    <n v="18.375360869565217"/>
    <n v="0"/>
    <n v="330.7564956521739"/>
    <n v="67.737832121547228"/>
    <n v="398.49432777372112"/>
    <n v="0"/>
    <n v="350.79221838583049"/>
    <n v="71.841081614169497"/>
    <n v="422.63329999999996"/>
  </r>
  <r>
    <x v="0"/>
    <x v="0"/>
    <n v="26"/>
    <n v="3"/>
    <n v="0"/>
    <n v="20260106"/>
    <n v="20260203"/>
    <n v="1428.7556"/>
    <n v="29"/>
    <n v="49.267434482758617"/>
    <n v="1553.5972049283357"/>
    <n v="147.80230344827584"/>
    <n v="0"/>
    <n v="1701.3995083766115"/>
    <n v="1304.6381498038882"/>
    <n v="124.11745019611193"/>
    <n v="0"/>
    <n v="1428.7556000000002"/>
  </r>
  <r>
    <x v="0"/>
    <x v="0"/>
    <n v="28"/>
    <n v="7"/>
    <n v="0"/>
    <n v="20260104"/>
    <n v="20260207"/>
    <n v="42.022199999999998"/>
    <n v="35"/>
    <n v="1.2006342857142858"/>
    <n v="40.77311648484654"/>
    <n v="8.404440000000001"/>
    <n v="0"/>
    <n v="49.177556484846541"/>
    <n v="34.840609782583932"/>
    <n v="7.1815902174160673"/>
    <n v="0"/>
    <n v="42.022199999999998"/>
  </r>
  <r>
    <x v="0"/>
    <x v="0"/>
    <n v="29"/>
    <n v="6"/>
    <n v="0"/>
    <n v="20260103"/>
    <n v="20260206"/>
    <n v="378.17329999999998"/>
    <n v="35"/>
    <n v="10.804951428571428"/>
    <n v="380.03706234732186"/>
    <n v="64.829708571428569"/>
    <n v="0"/>
    <n v="444.86677091875043"/>
    <n v="323.06272211201218"/>
    <n v="55.110577887987816"/>
    <n v="0"/>
    <n v="378.17329999999998"/>
  </r>
  <r>
    <x v="0"/>
    <x v="0"/>
    <n v="30"/>
    <n v="13"/>
    <n v="0"/>
    <n v="20260102"/>
    <n v="20260213"/>
    <n v="3363.5954999999999"/>
    <n v="43"/>
    <n v="78.2231511627907"/>
    <n v="2846.1756412434002"/>
    <n v="1016.9009651162791"/>
    <n v="0"/>
    <n v="3863.0766063596793"/>
    <n v="2478.1759604082172"/>
    <n v="885.4195395917825"/>
    <n v="0"/>
    <n v="3363.5954999999994"/>
  </r>
  <r>
    <x v="0"/>
    <x v="0"/>
    <n v="25"/>
    <n v="28"/>
    <n v="0"/>
    <n v="20260107"/>
    <n v="20260228"/>
    <n v="2399.2094000000002"/>
    <n v="53"/>
    <n v="45.268101886792458"/>
    <n v="1372.579249240647"/>
    <n v="1267.5068528301888"/>
    <n v="0"/>
    <n v="2640.0861020708358"/>
    <n v="1247.3475900805097"/>
    <n v="1151.8618099194905"/>
    <n v="0"/>
    <n v="2399.2094000000002"/>
  </r>
  <r>
    <x v="0"/>
    <x v="0"/>
    <n v="30"/>
    <n v="12"/>
    <n v="0"/>
    <n v="20260102"/>
    <n v="20260212"/>
    <n v="924.88"/>
    <n v="42"/>
    <n v="22.02095238095238"/>
    <n v="801.23975232362"/>
    <n v="264.25142857142856"/>
    <n v="0"/>
    <n v="1065.4911808950485"/>
    <n v="695.50141326046651"/>
    <n v="229.37858673953349"/>
    <n v="0"/>
    <n v="924.88"/>
  </r>
  <r>
    <x v="0"/>
    <x v="0"/>
    <n v="25"/>
    <n v="20"/>
    <n v="0"/>
    <n v="20260107"/>
    <n v="20260220"/>
    <n v="42.066699999999997"/>
    <n v="45"/>
    <n v="0.93481555555555551"/>
    <n v="28.344648437695721"/>
    <n v="18.696311111111111"/>
    <n v="0"/>
    <n v="47.040959548806832"/>
    <n v="25.347395841211284"/>
    <n v="16.719304158788717"/>
    <n v="0"/>
    <n v="42.066699999999997"/>
  </r>
  <r>
    <x v="0"/>
    <x v="0"/>
    <n v="26"/>
    <n v="13"/>
    <n v="0"/>
    <n v="20260106"/>
    <n v="20260213"/>
    <n v="1640.2152000000001"/>
    <n v="39"/>
    <n v="42.056800000000003"/>
    <n v="1326.2173607009283"/>
    <n v="546.73840000000007"/>
    <n v="0"/>
    <n v="1872.9557607009283"/>
    <n v="1161.4165797015278"/>
    <n v="478.79862029847237"/>
    <n v="0"/>
    <n v="1640.2152000000001"/>
  </r>
  <r>
    <x v="0"/>
    <x v="0"/>
    <n v="28"/>
    <n v="27"/>
    <n v="0"/>
    <n v="20260104"/>
    <n v="20260227"/>
    <n v="967.73839999999996"/>
    <n v="55"/>
    <n v="17.595243636363637"/>
    <n v="597.52826227005789"/>
    <n v="475.07157818181821"/>
    <n v="0"/>
    <n v="1072.5998404518762"/>
    <n v="539.11162642015165"/>
    <n v="428.62677357984819"/>
    <n v="0"/>
    <n v="967.73839999999984"/>
  </r>
  <r>
    <x v="0"/>
    <x v="0"/>
    <n v="27"/>
    <n v="13"/>
    <n v="0"/>
    <n v="20260105"/>
    <n v="20260213"/>
    <n v="126.1615"/>
    <n v="40"/>
    <n v="3.1540375000000003"/>
    <n v="103.28464289104932"/>
    <n v="41.002487500000001"/>
    <n v="0"/>
    <n v="144.28713039104932"/>
    <n v="90.309824852594431"/>
    <n v="35.851675147405572"/>
    <n v="0"/>
    <n v="126.1615"/>
  </r>
  <r>
    <x v="0"/>
    <x v="0"/>
    <n v="30"/>
    <n v="28"/>
    <n v="3"/>
    <n v="20260102"/>
    <n v="20260303"/>
    <n v="759142.46680000005"/>
    <n v="61"/>
    <n v="12444.958472131148"/>
    <n v="452813.99602467363"/>
    <n v="348458.83721967216"/>
    <n v="27525.810689500529"/>
    <n v="828798.64393384638"/>
    <n v="414757.35567344126"/>
    <n v="319172.70039152721"/>
    <n v="25212.410735031481"/>
    <n v="759142.46679999994"/>
  </r>
  <r>
    <x v="0"/>
    <x v="0"/>
    <n v="27"/>
    <n v="28"/>
    <n v="3"/>
    <n v="20260105"/>
    <n v="20260303"/>
    <n v="183931.83420000001"/>
    <n v="58"/>
    <n v="3171.2385206896552"/>
    <n v="103847.92131728635"/>
    <n v="88794.678579310348"/>
    <n v="7014.1584937572679"/>
    <n v="199656.75839035396"/>
    <n v="95668.880932149725"/>
    <n v="81801.228418026149"/>
    <n v="6461.7248498241352"/>
    <n v="183931.83420000001"/>
  </r>
  <r>
    <x v="0"/>
    <x v="0"/>
    <n v="28"/>
    <n v="28"/>
    <n v="3"/>
    <n v="20260104"/>
    <n v="20260303"/>
    <n v="478161.00319999998"/>
    <n v="59"/>
    <n v="8104.4237830508473"/>
    <n v="275223.37058057997"/>
    <n v="226923.86592542371"/>
    <n v="17925.398087852493"/>
    <n v="520072.63459385617"/>
    <n v="253043.66011041438"/>
    <n v="208636.51760039118"/>
    <n v="16480.825489194398"/>
    <n v="478161.00319999998"/>
  </r>
  <r>
    <x v="0"/>
    <x v="0"/>
    <n v="28"/>
    <n v="28"/>
    <n v="4"/>
    <n v="20260104"/>
    <n v="20260304"/>
    <n v="211217.12830000001"/>
    <n v="60"/>
    <n v="3520.285471666667"/>
    <n v="119547.65185702385"/>
    <n v="98567.993206666681"/>
    <n v="10381.575980676589"/>
    <n v="228497.22104436715"/>
    <n v="110506.86570645806"/>
    <n v="91113.792860367379"/>
    <n v="9596.4697331745574"/>
    <n v="211217.12830000001"/>
  </r>
  <r>
    <x v="0"/>
    <x v="0"/>
    <n v="27"/>
    <n v="28"/>
    <n v="2"/>
    <n v="20260105"/>
    <n v="20260302"/>
    <n v="321769.25770000002"/>
    <n v="57"/>
    <n v="5645.0746964912287"/>
    <n v="184858.14582749736"/>
    <n v="158062.09150175442"/>
    <n v="8323.866395197816"/>
    <n v="351244.10372444958"/>
    <n v="169345.67080840009"/>
    <n v="144798.22241493969"/>
    <n v="7625.364476660222"/>
    <n v="321769.25770000002"/>
  </r>
  <r>
    <x v="0"/>
    <x v="0"/>
    <n v="28"/>
    <n v="28"/>
    <n v="5"/>
    <n v="20260104"/>
    <n v="20260305"/>
    <n v="95915.705600000001"/>
    <n v="61"/>
    <n v="1572.3886163934426"/>
    <n v="53397.762314871135"/>
    <n v="44026.881259016394"/>
    <n v="5796.3594229870005"/>
    <n v="103221.00299687454"/>
    <n v="49618.623159930306"/>
    <n v="40910.950860008976"/>
    <n v="5386.131580060709"/>
    <n v="95915.705600000001"/>
  </r>
  <r>
    <x v="0"/>
    <x v="0"/>
    <n v="30"/>
    <n v="28"/>
    <n v="6"/>
    <n v="20260102"/>
    <n v="20260306"/>
    <n v="153343.63"/>
    <n v="64"/>
    <n v="2395.9942187500001"/>
    <n v="87179.054801491191"/>
    <n v="67087.838125000009"/>
    <n v="10598.939872100074"/>
    <n v="164865.83279859129"/>
    <n v="81086.253569355787"/>
    <n v="62399.179091932492"/>
    <n v="9858.1973387117032"/>
    <n v="153343.62999999998"/>
  </r>
  <r>
    <x v="0"/>
    <x v="0"/>
    <n v="24"/>
    <n v="28"/>
    <n v="8"/>
    <n v="20260108"/>
    <n v="20260308"/>
    <n v="46387.228999999999"/>
    <n v="60"/>
    <n v="773.12048333333337"/>
    <n v="22504.198869005566"/>
    <n v="21647.373533333335"/>
    <n v="4559.976231781241"/>
    <n v="48711.548634120147"/>
    <n v="21430.388802438814"/>
    <n v="20614.447733568966"/>
    <n v="4342.3924639922134"/>
    <n v="46387.228999999992"/>
  </r>
  <r>
    <x v="0"/>
    <x v="0"/>
    <n v="24"/>
    <n v="28"/>
    <n v="1"/>
    <n v="20260108"/>
    <n v="20260301"/>
    <n v="74728.005799999999"/>
    <n v="53"/>
    <n v="1409.9623735849057"/>
    <n v="41041.563814432418"/>
    <n v="39478.946460377359"/>
    <n v="1039.520205753134"/>
    <n v="81560.030480562913"/>
    <n v="37603.642380894904"/>
    <n v="36171.920518985651"/>
    <n v="952.44290011944145"/>
    <n v="74728.005799999984"/>
  </r>
  <r>
    <x v="0"/>
    <x v="0"/>
    <n v="30"/>
    <n v="28"/>
    <n v="7"/>
    <n v="20260102"/>
    <n v="20260307"/>
    <n v="102109.9611"/>
    <n v="65"/>
    <n v="1570.9224784615385"/>
    <n v="57158.542273170009"/>
    <n v="43985.82939692308"/>
    <n v="8107.3366356322649"/>
    <n v="109251.70830572536"/>
    <n v="53422.107704838825"/>
    <n v="41110.490612215712"/>
    <n v="7577.3627829454481"/>
    <n v="102109.96109999999"/>
  </r>
  <r>
    <x v="0"/>
    <x v="0"/>
    <n v="23"/>
    <n v="28"/>
    <n v="1"/>
    <n v="20260109"/>
    <n v="20260301"/>
    <n v="23747.904900000001"/>
    <n v="52"/>
    <n v="456.69047884615389"/>
    <n v="12739.574680312882"/>
    <n v="12787.333407692309"/>
    <n v="336.70329749906841"/>
    <n v="25863.61138550426"/>
    <n v="11697.446403176371"/>
    <n v="11741.29835018588"/>
    <n v="309.16014663775024"/>
    <n v="23747.904900000001"/>
  </r>
  <r>
    <x v="0"/>
    <x v="0"/>
    <n v="27"/>
    <n v="28"/>
    <n v="8"/>
    <n v="20260105"/>
    <n v="20260308"/>
    <n v="23208.1459"/>
    <n v="63"/>
    <n v="368.38326825396825"/>
    <n v="12063.374106569352"/>
    <n v="10314.731511111111"/>
    <n v="2172.777702359399"/>
    <n v="24550.883320039862"/>
    <n v="11403.603799583741"/>
    <n v="9750.5980012455802"/>
    <n v="2053.9440991706783"/>
    <n v="23208.145900000003"/>
  </r>
  <r>
    <x v="0"/>
    <x v="0"/>
    <n v="25"/>
    <n v="28"/>
    <n v="9"/>
    <n v="20260107"/>
    <n v="20260309"/>
    <n v="22034.470700000002"/>
    <n v="62"/>
    <n v="355.39468870967744"/>
    <n v="10775.962646570928"/>
    <n v="9951.0512838709692"/>
    <n v="2358.1903330693881"/>
    <n v="23085.204263511288"/>
    <n v="10285.489809395616"/>
    <n v="9498.1246622637263"/>
    <n v="2250.8562283406573"/>
    <n v="22034.470699999998"/>
  </r>
  <r>
    <x v="0"/>
    <x v="0"/>
    <n v="29"/>
    <n v="19"/>
    <n v="0"/>
    <n v="20260103"/>
    <n v="20260219"/>
    <n v="126.1615"/>
    <n v="48"/>
    <n v="2.6283645833333336"/>
    <n v="92.446130982729343"/>
    <n v="49.93892708333334"/>
    <n v="0"/>
    <n v="142.3850580660627"/>
    <n v="81.912686010678414"/>
    <n v="44.248813989321569"/>
    <n v="0"/>
    <n v="126.16149999999999"/>
  </r>
  <r>
    <x v="0"/>
    <x v="0"/>
    <n v="28"/>
    <n v="25"/>
    <n v="0"/>
    <n v="20260104"/>
    <n v="20260225"/>
    <n v="799.30460000000005"/>
    <n v="53"/>
    <n v="15.081218867924528"/>
    <n v="512.15286865602764"/>
    <n v="377.03047169811322"/>
    <n v="0"/>
    <n v="889.18334035414091"/>
    <n v="460.38440582671933"/>
    <n v="338.92019417328066"/>
    <n v="0"/>
    <n v="799.30459999999994"/>
  </r>
  <r>
    <x v="0"/>
    <x v="0"/>
    <n v="29"/>
    <n v="27"/>
    <n v="0"/>
    <n v="20260103"/>
    <n v="20260227"/>
    <n v="420.72620000000001"/>
    <n v="56"/>
    <n v="7.5129678571428569"/>
    <n v="264.24979814239896"/>
    <n v="202.85013214285715"/>
    <n v="0"/>
    <n v="467.09993028525611"/>
    <n v="238.01505034548671"/>
    <n v="182.71114965451326"/>
    <n v="0"/>
    <n v="420.72619999999995"/>
  </r>
  <r>
    <x v="0"/>
    <x v="0"/>
    <n v="12"/>
    <n v="27"/>
    <n v="0"/>
    <n v="20260120"/>
    <n v="20260227"/>
    <n v="294.90260000000001"/>
    <n v="39"/>
    <n v="7.5616051282051284"/>
    <n v="110.0526174396107"/>
    <n v="204.16333846153847"/>
    <n v="0"/>
    <n v="314.21595590114919"/>
    <n v="103.28820803090171"/>
    <n v="191.61439196909828"/>
    <n v="0"/>
    <n v="294.90260000000001"/>
  </r>
  <r>
    <x v="0"/>
    <x v="0"/>
    <n v="15"/>
    <n v="28"/>
    <n v="6"/>
    <n v="20260117"/>
    <n v="20260306"/>
    <n v="379.41840000000002"/>
    <n v="49"/>
    <n v="7.7432326530612245"/>
    <n v="140.87006106260466"/>
    <n v="216.81051428571428"/>
    <n v="34.253028101334124"/>
    <n v="391.93360344965305"/>
    <n v="136.37180559625494"/>
    <n v="209.88733221500883"/>
    <n v="33.159262188736257"/>
    <n v="379.41840000000002"/>
  </r>
  <r>
    <x v="0"/>
    <x v="0"/>
    <n v="18"/>
    <n v="28"/>
    <n v="4"/>
    <n v="20260114"/>
    <n v="20260304"/>
    <n v="463.47280000000001"/>
    <n v="50"/>
    <n v="9.2694559999999999"/>
    <n v="202.36336288630989"/>
    <n v="259.54476799999998"/>
    <n v="27.336294893714395"/>
    <n v="489.2444257800243"/>
    <n v="191.70359328019052"/>
    <n v="245.87288891135253"/>
    <n v="25.896317808456899"/>
    <n v="463.47279999999995"/>
  </r>
  <r>
    <x v="0"/>
    <x v="0"/>
    <n v="19"/>
    <n v="28"/>
    <n v="2"/>
    <n v="20260113"/>
    <n v="20260302"/>
    <n v="589.68060000000003"/>
    <n v="49"/>
    <n v="12.034297959183673"/>
    <n v="277.31891766613211"/>
    <n v="336.96034285714285"/>
    <n v="17.74500671080753"/>
    <n v="632.02426723408246"/>
    <n v="258.73940960584832"/>
    <n v="314.38504414042336"/>
    <n v="16.556146253728432"/>
    <n v="589.68060000000014"/>
  </r>
  <r>
    <x v="0"/>
    <x v="0"/>
    <n v="31"/>
    <n v="28"/>
    <n v="3"/>
    <n v="20251230"/>
    <n v="20260303"/>
    <n v="631.22260000000006"/>
    <n v="62"/>
    <n v="10.181009677419356"/>
    <n v="382.78744029447074"/>
    <n v="285.06827096774197"/>
    <n v="22.518399369204808"/>
    <n v="690.37411063141747"/>
    <n v="349.99007000571152"/>
    <n v="260.64351546031725"/>
    <n v="20.58901453397138"/>
    <n v="631.22260000000017"/>
  </r>
  <r>
    <x v="0"/>
    <x v="0"/>
    <n v="17"/>
    <n v="28"/>
    <n v="2"/>
    <n v="20260115"/>
    <n v="20260302"/>
    <n v="463.41829999999999"/>
    <n v="47"/>
    <n v="9.8599638297872332"/>
    <n v="203.2962551360026"/>
    <n v="276.07898723404253"/>
    <n v="14.538872555866353"/>
    <n v="493.91411492591152"/>
    <n v="190.7441032852939"/>
    <n v="259.03299999618974"/>
    <n v="13.641196718516326"/>
    <n v="463.41829999999993"/>
  </r>
  <r>
    <x v="0"/>
    <x v="0"/>
    <n v="13"/>
    <n v="28"/>
    <n v="2"/>
    <n v="20260119"/>
    <n v="20260302"/>
    <n v="463.58139999999997"/>
    <n v="43"/>
    <n v="10.780962790697673"/>
    <n v="169.98321339348192"/>
    <n v="301.86695813953486"/>
    <n v="15.896918766574528"/>
    <n v="487.74709029959132"/>
    <n v="161.56130422643162"/>
    <n v="286.91079834450875"/>
    <n v="15.109297429059554"/>
    <n v="463.58139999999992"/>
  </r>
  <r>
    <x v="0"/>
    <x v="0"/>
    <n v="13"/>
    <n v="28"/>
    <n v="4"/>
    <n v="20260119"/>
    <n v="20260304"/>
    <n v="379.39170000000001"/>
    <n v="45"/>
    <n v="8.4309266666666662"/>
    <n v="132.93024329156927"/>
    <n v="236.06594666666666"/>
    <n v="24.863411357395787"/>
    <n v="393.85960131563172"/>
    <n v="128.04723006710782"/>
    <n v="227.39438246219908"/>
    <n v="23.950087470693113"/>
    <n v="379.39170000000001"/>
  </r>
  <r>
    <x v="0"/>
    <x v="0"/>
    <n v="26"/>
    <n v="28"/>
    <n v="12"/>
    <n v="20260106"/>
    <n v="20260312"/>
    <n v="1010.9998000000001"/>
    <n v="66"/>
    <n v="15.318178787878789"/>
    <n v="483.04280503522739"/>
    <n v="428.90900606060609"/>
    <n v="135.52324513329427"/>
    <n v="1047.4750562291279"/>
    <n v="466.22225166880673"/>
    <n v="413.97350396725693"/>
    <n v="130.80404436393627"/>
    <n v="1010.9998000000001"/>
  </r>
  <r>
    <x v="0"/>
    <x v="0"/>
    <n v="26"/>
    <n v="28"/>
    <n v="10"/>
    <n v="20260106"/>
    <n v="20260310"/>
    <n v="926.81500000000005"/>
    <n v="64"/>
    <n v="14.481484375000001"/>
    <n v="456.65851864250806"/>
    <n v="405.4815625"/>
    <n v="106.76735705248436"/>
    <n v="968.90743819499244"/>
    <n v="436.81981195656749"/>
    <n v="387.86614647993503"/>
    <n v="102.12904156349752"/>
    <n v="926.81499999999994"/>
  </r>
  <r>
    <x v="0"/>
    <x v="0"/>
    <n v="31"/>
    <n v="28"/>
    <n v="1"/>
    <n v="20251226"/>
    <n v="20260301"/>
    <n v="1808.9952000000001"/>
    <n v="60"/>
    <n v="30.149920000000002"/>
    <n v="1133.5821365026384"/>
    <n v="844.19776000000002"/>
    <n v="22.228572640667846"/>
    <n v="2000.0084691433062"/>
    <n v="1025.317980087055"/>
    <n v="763.57161444666235"/>
    <n v="20.105605466282753"/>
    <n v="1808.9952000000001"/>
  </r>
  <r>
    <x v="0"/>
    <x v="0"/>
    <n v="0"/>
    <n v="5"/>
    <n v="5"/>
    <n v="20260224"/>
    <n v="20260305"/>
    <n v="42.390799999999999"/>
    <n v="10"/>
    <n v="4.2390799999999995"/>
    <n v="0"/>
    <n v="21.195399999999999"/>
    <n v="15.626691166942109"/>
    <n v="36.822091166942108"/>
    <n v="0"/>
    <n v="24.400840197979857"/>
    <n v="17.989959802020145"/>
    <n v="42.390799999999999"/>
  </r>
  <r>
    <x v="0"/>
    <x v="0"/>
    <n v="0"/>
    <n v="22"/>
    <n v="3"/>
    <n v="20260207"/>
    <n v="20260303"/>
    <n v="168.89519999999999"/>
    <n v="25"/>
    <n v="6.7558079999999991"/>
    <n v="0"/>
    <n v="148.62777599999998"/>
    <n v="14.942524113603445"/>
    <n v="163.57030011360342"/>
    <n v="0"/>
    <n v="153.4662340023886"/>
    <n v="15.428965997611382"/>
    <n v="168.89519999999999"/>
  </r>
  <r>
    <x v="0"/>
    <x v="0"/>
    <n v="4"/>
    <n v="28"/>
    <n v="1"/>
    <n v="20260128"/>
    <n v="20260301"/>
    <n v="1096.4571000000001"/>
    <n v="33"/>
    <n v="33.225972727272733"/>
    <n v="161.19175772941745"/>
    <n v="930.32723636363653"/>
    <n v="24.496448027889649"/>
    <n v="1116.0154421209438"/>
    <n v="158.36684740491805"/>
    <n v="914.02310858324313"/>
    <n v="24.06714401183871"/>
    <n v="1096.4570999999999"/>
  </r>
  <r>
    <x v="0"/>
    <x v="0"/>
    <n v="4"/>
    <n v="28"/>
    <n v="4"/>
    <n v="20260128"/>
    <n v="20260304"/>
    <n v="295.33139999999997"/>
    <n v="36"/>
    <n v="8.2036499999999997"/>
    <n v="39.799008268357113"/>
    <n v="229.7022"/>
    <n v="24.193156060595154"/>
    <n v="293.69436432895225"/>
    <n v="40.020845675269861"/>
    <n v="230.98254698921554"/>
    <n v="24.328007335514613"/>
    <n v="295.33139999999997"/>
  </r>
  <r>
    <x v="0"/>
    <x v="0"/>
    <n v="3"/>
    <n v="28"/>
    <n v="6"/>
    <n v="20260129"/>
    <n v="20260306"/>
    <n v="42.212000000000003"/>
    <n v="37"/>
    <n v="1.1408648648648649"/>
    <n v="4.1510751485468251"/>
    <n v="31.944216216216219"/>
    <n v="5.0467392660082062"/>
    <n v="41.142030630771245"/>
    <n v="4.2590310075605"/>
    <n v="32.77498057935896"/>
    <n v="5.1779884130805467"/>
    <n v="42.21200000000001"/>
  </r>
  <r>
    <x v="0"/>
    <x v="0"/>
    <n v="0"/>
    <n v="9"/>
    <n v="6"/>
    <n v="20260220"/>
    <n v="20260306"/>
    <n v="42.343400000000003"/>
    <n v="15"/>
    <n v="2.8228933333333335"/>
    <n v="0"/>
    <n v="25.406040000000001"/>
    <n v="12.487374331379385"/>
    <n v="37.89341433137939"/>
    <n v="0"/>
    <n v="28.389579907692625"/>
    <n v="13.953820092307373"/>
    <n v="42.343399999999995"/>
  </r>
  <r>
    <x v="0"/>
    <x v="0"/>
    <n v="0"/>
    <n v="10"/>
    <n v="2"/>
    <n v="20260219"/>
    <n v="20260302"/>
    <n v="42.281100000000002"/>
    <n v="12"/>
    <n v="3.523425"/>
    <n v="0"/>
    <n v="35.234250000000003"/>
    <n v="5.195417338184984"/>
    <n v="40.429667338184984"/>
    <n v="0"/>
    <n v="36.84776417311673"/>
    <n v="5.433335826883277"/>
    <n v="42.281100000000009"/>
  </r>
  <r>
    <x v="0"/>
    <x v="0"/>
    <n v="0"/>
    <n v="18"/>
    <n v="7"/>
    <n v="20260211"/>
    <n v="20260307"/>
    <n v="84.552400000000006"/>
    <n v="25"/>
    <n v="3.3820960000000002"/>
    <n v="0"/>
    <n v="60.877728000000005"/>
    <n v="17.454579192780116"/>
    <n v="78.332307192780121"/>
    <n v="0"/>
    <n v="65.711814108567864"/>
    <n v="18.840585891432141"/>
    <n v="84.5524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9CB32-54E8-4CB9-9152-2DFAFE7613F1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8:F10" firstHeaderRow="0" firstDataRow="1" firstDataCol="2"/>
  <pivotFields count="1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">
    <i>
      <x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1월보정공급량" fld="14" baseField="0" baseItem="0"/>
    <dataField name="합계 : 2월보정공급량" fld="15" baseField="0" baseItem="0"/>
    <dataField name="합계 : 3월보정공급량" fld="16" baseField="0" baseItem="0"/>
    <dataField name="합계 : 보정공급량합계" fld="17" baseField="0" baseItem="0"/>
  </dataFields>
  <formats count="2"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D32E-361B-4EFF-BF7D-E7ADB2F889F6}">
  <dimension ref="A2:F10"/>
  <sheetViews>
    <sheetView tabSelected="1" workbookViewId="0">
      <selection activeCell="C10" sqref="C10"/>
    </sheetView>
  </sheetViews>
  <sheetFormatPr defaultRowHeight="16.5" x14ac:dyDescent="0.3"/>
  <cols>
    <col min="1" max="1" width="11.875" bestFit="1" customWidth="1"/>
    <col min="2" max="2" width="20.625" customWidth="1"/>
    <col min="3" max="5" width="20.625" bestFit="1" customWidth="1"/>
    <col min="6" max="6" width="21.5" bestFit="1" customWidth="1"/>
  </cols>
  <sheetData>
    <row r="2" spans="1:6" x14ac:dyDescent="0.3">
      <c r="A2" s="3" t="s">
        <v>19</v>
      </c>
      <c r="B2" s="4" t="s">
        <v>21</v>
      </c>
      <c r="C2" s="4" t="s">
        <v>25</v>
      </c>
      <c r="D2" s="4" t="s">
        <v>29</v>
      </c>
    </row>
    <row r="3" spans="1:6" x14ac:dyDescent="0.3">
      <c r="A3" s="3" t="s">
        <v>14</v>
      </c>
      <c r="B3" s="5">
        <v>7667260</v>
      </c>
      <c r="C3" s="5">
        <v>5709938</v>
      </c>
      <c r="D3" s="5">
        <v>4660800</v>
      </c>
    </row>
    <row r="4" spans="1:6" x14ac:dyDescent="0.3">
      <c r="A4" s="3" t="s">
        <v>15</v>
      </c>
      <c r="B4" s="5">
        <v>31</v>
      </c>
      <c r="C4" s="5">
        <v>28</v>
      </c>
      <c r="D4" s="5">
        <v>31</v>
      </c>
    </row>
    <row r="5" spans="1:6" x14ac:dyDescent="0.3">
      <c r="A5" s="3" t="s">
        <v>11</v>
      </c>
      <c r="B5" s="5">
        <f>B3/B4</f>
        <v>247330.96774193548</v>
      </c>
      <c r="C5" s="5">
        <f>C3/C4</f>
        <v>203926.35714285713</v>
      </c>
      <c r="D5" s="5">
        <f>D3/D4</f>
        <v>150348.38709677418</v>
      </c>
    </row>
    <row r="6" spans="1:6" x14ac:dyDescent="0.3">
      <c r="A6" s="3" t="s">
        <v>16</v>
      </c>
      <c r="B6" s="5">
        <f>B5/C5</f>
        <v>1.2128445346997103</v>
      </c>
      <c r="C6" s="5">
        <v>1</v>
      </c>
      <c r="D6" s="5">
        <f>D5/C5</f>
        <v>0.73726804716788119</v>
      </c>
    </row>
    <row r="7" spans="1:6" ht="17.25" thickBot="1" x14ac:dyDescent="0.35"/>
    <row r="8" spans="1:6" x14ac:dyDescent="0.3">
      <c r="A8" s="2" t="s">
        <v>1</v>
      </c>
      <c r="B8" s="2" t="s">
        <v>20</v>
      </c>
      <c r="C8" s="7" t="s">
        <v>24</v>
      </c>
      <c r="D8" t="s">
        <v>28</v>
      </c>
      <c r="E8" t="s">
        <v>32</v>
      </c>
      <c r="F8" t="s">
        <v>18</v>
      </c>
    </row>
    <row r="9" spans="1:6" x14ac:dyDescent="0.3">
      <c r="A9" t="s">
        <v>0</v>
      </c>
      <c r="B9" t="s">
        <v>0</v>
      </c>
      <c r="C9" s="8">
        <v>10668817.870361876</v>
      </c>
      <c r="D9" s="6">
        <v>8646608.17171821</v>
      </c>
      <c r="E9" s="6">
        <v>543848.53081992408</v>
      </c>
      <c r="F9" s="6">
        <v>19859274.57289999</v>
      </c>
    </row>
    <row r="10" spans="1:6" ht="17.25" thickBot="1" x14ac:dyDescent="0.35">
      <c r="A10" t="s">
        <v>17</v>
      </c>
      <c r="C10" s="9">
        <v>10668817.870361876</v>
      </c>
      <c r="D10" s="6">
        <v>8646608.17171821</v>
      </c>
      <c r="E10" s="6">
        <v>543848.53081992408</v>
      </c>
      <c r="F10" s="6">
        <v>19859274.57289999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D250-BD35-43B0-BC0C-0A915CDB444C}">
  <dimension ref="A2:R425"/>
  <sheetViews>
    <sheetView workbookViewId="0">
      <selection activeCell="F2" sqref="F2:I6"/>
    </sheetView>
  </sheetViews>
  <sheetFormatPr defaultRowHeight="16.5" x14ac:dyDescent="0.3"/>
  <cols>
    <col min="1" max="1" width="10.375" customWidth="1"/>
    <col min="2" max="2" width="13.625" customWidth="1"/>
    <col min="3" max="4" width="12.75" bestFit="1" customWidth="1"/>
    <col min="6" max="7" width="15.125" bestFit="1" customWidth="1"/>
    <col min="8" max="9" width="12.75" bestFit="1" customWidth="1"/>
    <col min="11" max="13" width="10.625" bestFit="1" customWidth="1"/>
    <col min="14" max="14" width="11.625" bestFit="1" customWidth="1"/>
    <col min="15" max="17" width="14.125" bestFit="1" customWidth="1"/>
    <col min="18" max="18" width="15.125" bestFit="1" customWidth="1"/>
  </cols>
  <sheetData>
    <row r="2" spans="1:18" x14ac:dyDescent="0.3">
      <c r="B2" s="1" t="s">
        <v>21</v>
      </c>
      <c r="C2" s="1" t="s">
        <v>25</v>
      </c>
      <c r="D2" s="1" t="s">
        <v>29</v>
      </c>
    </row>
    <row r="3" spans="1:18" x14ac:dyDescent="0.3">
      <c r="A3" t="s">
        <v>14</v>
      </c>
      <c r="B3">
        <v>7667260</v>
      </c>
      <c r="C3">
        <v>5709938</v>
      </c>
      <c r="D3">
        <v>4660800</v>
      </c>
    </row>
    <row r="4" spans="1:18" x14ac:dyDescent="0.3">
      <c r="A4" t="s">
        <v>15</v>
      </c>
      <c r="B4">
        <v>31</v>
      </c>
      <c r="C4">
        <v>28</v>
      </c>
      <c r="D4">
        <v>31</v>
      </c>
    </row>
    <row r="5" spans="1:18" x14ac:dyDescent="0.3">
      <c r="A5" t="s">
        <v>11</v>
      </c>
      <c r="B5">
        <f>B3/B4</f>
        <v>247330.96774193548</v>
      </c>
      <c r="C5">
        <f>C3/C4</f>
        <v>203926.35714285713</v>
      </c>
      <c r="D5">
        <f>D3/D4</f>
        <v>150348.38709677418</v>
      </c>
    </row>
    <row r="6" spans="1:18" x14ac:dyDescent="0.3">
      <c r="A6" t="s">
        <v>16</v>
      </c>
      <c r="B6">
        <f>B5/C5</f>
        <v>1.2128445346997103</v>
      </c>
      <c r="C6">
        <v>1</v>
      </c>
      <c r="D6">
        <f>D5/C5</f>
        <v>0.73726804716788119</v>
      </c>
    </row>
    <row r="9" spans="1:18" x14ac:dyDescent="0.3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22</v>
      </c>
      <c r="L9" t="s">
        <v>26</v>
      </c>
      <c r="M9" t="s">
        <v>30</v>
      </c>
      <c r="N9" t="s">
        <v>12</v>
      </c>
      <c r="O9" t="s">
        <v>23</v>
      </c>
      <c r="P9" t="s">
        <v>27</v>
      </c>
      <c r="Q9" t="s">
        <v>31</v>
      </c>
      <c r="R9" t="s">
        <v>13</v>
      </c>
    </row>
    <row r="10" spans="1:18" x14ac:dyDescent="0.3">
      <c r="A10" t="s">
        <v>0</v>
      </c>
      <c r="B10" t="s">
        <v>0</v>
      </c>
      <c r="C10">
        <v>27</v>
      </c>
      <c r="D10">
        <v>6</v>
      </c>
      <c r="E10">
        <v>0</v>
      </c>
      <c r="F10">
        <v>20260105</v>
      </c>
      <c r="G10">
        <v>20260206</v>
      </c>
      <c r="H10">
        <v>84.050399999999996</v>
      </c>
      <c r="I10">
        <f>IF(C10&lt;0,0,C10)+D10+E10</f>
        <v>33</v>
      </c>
      <c r="J10">
        <f>H10/I10</f>
        <v>2.546981818181818</v>
      </c>
      <c r="K10">
        <f t="shared" ref="K10" si="0">IF(C10&lt;0,0,C10)*$J10*$B$6</f>
        <v>83.405510410356442</v>
      </c>
      <c r="L10">
        <f t="shared" ref="L10" si="1">IF(D10&lt;0,0,D10)*$J10*$C$6</f>
        <v>15.281890909090908</v>
      </c>
      <c r="M10">
        <f t="shared" ref="M10" si="2">IF(E10&lt;0,0,E10)*$J10*$D$6</f>
        <v>0</v>
      </c>
      <c r="N10">
        <f>K10+L10+M10</f>
        <v>98.687401319447346</v>
      </c>
      <c r="O10">
        <f>K10/$N10*$H10</f>
        <v>71.035070520325675</v>
      </c>
      <c r="P10">
        <f>L10/$N10*$H10</f>
        <v>13.01532947967433</v>
      </c>
      <c r="Q10">
        <f>M10/$N10*$H10</f>
        <v>0</v>
      </c>
      <c r="R10">
        <f>O10+P10+Q10</f>
        <v>84.05040000000001</v>
      </c>
    </row>
    <row r="11" spans="1:18" x14ac:dyDescent="0.3">
      <c r="A11" t="s">
        <v>0</v>
      </c>
      <c r="B11" t="s">
        <v>0</v>
      </c>
      <c r="C11">
        <v>30</v>
      </c>
      <c r="D11">
        <v>6</v>
      </c>
      <c r="E11">
        <v>0</v>
      </c>
      <c r="F11">
        <v>20260102</v>
      </c>
      <c r="G11">
        <v>20260206</v>
      </c>
      <c r="H11">
        <v>1008.4147</v>
      </c>
      <c r="I11">
        <f t="shared" ref="I11:I74" si="3">IF(C11&lt;0,0,C11)+D11+E11</f>
        <v>36</v>
      </c>
      <c r="J11">
        <f t="shared" ref="J11:J74" si="4">H11/I11</f>
        <v>28.011519444444446</v>
      </c>
      <c r="K11">
        <f t="shared" ref="K11:K74" si="5">IF(C11&lt;0,0,C11)*$J11*$B$6</f>
        <v>1019.2085480048734</v>
      </c>
      <c r="L11">
        <f t="shared" ref="L11:L74" si="6">IF(D11&lt;0,0,D11)*$J11*$C$6</f>
        <v>168.06911666666667</v>
      </c>
      <c r="M11">
        <f t="shared" ref="M11:M74" si="7">IF(E11&lt;0,0,E11)*$J11*$D$6</f>
        <v>0</v>
      </c>
      <c r="N11">
        <f t="shared" ref="N11:N74" si="8">K11+L11+M11</f>
        <v>1187.2776646715402</v>
      </c>
      <c r="O11">
        <f t="shared" ref="O11:O74" si="9">K11/$N11*$H11</f>
        <v>865.66513694006562</v>
      </c>
      <c r="P11">
        <f t="shared" ref="P11:P74" si="10">L11/$N11*$H11</f>
        <v>142.74956305993442</v>
      </c>
      <c r="Q11">
        <f t="shared" ref="Q11:Q74" si="11">M11/$N11*$H11</f>
        <v>0</v>
      </c>
      <c r="R11">
        <f t="shared" ref="R11:R74" si="12">O11+P11+Q11</f>
        <v>1008.4147</v>
      </c>
    </row>
    <row r="12" spans="1:18" x14ac:dyDescent="0.3">
      <c r="A12" t="s">
        <v>0</v>
      </c>
      <c r="B12" t="s">
        <v>0</v>
      </c>
      <c r="C12">
        <v>25</v>
      </c>
      <c r="D12">
        <v>27</v>
      </c>
      <c r="E12">
        <v>0</v>
      </c>
      <c r="F12">
        <v>20260107</v>
      </c>
      <c r="G12">
        <v>20260227</v>
      </c>
      <c r="H12">
        <v>42.086399999999998</v>
      </c>
      <c r="I12">
        <f t="shared" si="3"/>
        <v>52</v>
      </c>
      <c r="J12">
        <f t="shared" si="4"/>
        <v>0.80935384615384609</v>
      </c>
      <c r="K12">
        <f t="shared" si="5"/>
        <v>24.540509723647059</v>
      </c>
      <c r="L12">
        <f t="shared" si="6"/>
        <v>21.852553846153846</v>
      </c>
      <c r="M12">
        <f t="shared" si="7"/>
        <v>0</v>
      </c>
      <c r="N12">
        <f t="shared" si="8"/>
        <v>46.393063569800901</v>
      </c>
      <c r="O12">
        <f t="shared" si="9"/>
        <v>22.262416597674406</v>
      </c>
      <c r="P12">
        <f t="shared" si="10"/>
        <v>19.823983402325592</v>
      </c>
      <c r="Q12">
        <f t="shared" si="11"/>
        <v>0</v>
      </c>
      <c r="R12">
        <f t="shared" si="12"/>
        <v>42.086399999999998</v>
      </c>
    </row>
    <row r="13" spans="1:18" x14ac:dyDescent="0.3">
      <c r="A13" t="s">
        <v>0</v>
      </c>
      <c r="B13" t="s">
        <v>0</v>
      </c>
      <c r="C13">
        <v>29</v>
      </c>
      <c r="D13">
        <v>21</v>
      </c>
      <c r="E13">
        <v>0</v>
      </c>
      <c r="F13">
        <v>20260103</v>
      </c>
      <c r="G13">
        <v>20260221</v>
      </c>
      <c r="H13">
        <v>420.54829999999998</v>
      </c>
      <c r="I13">
        <f t="shared" si="3"/>
        <v>50</v>
      </c>
      <c r="J13">
        <f t="shared" si="4"/>
        <v>8.4109660000000002</v>
      </c>
      <c r="K13">
        <f t="shared" si="5"/>
        <v>295.83463019470742</v>
      </c>
      <c r="L13">
        <f t="shared" si="6"/>
        <v>176.63028600000001</v>
      </c>
      <c r="M13">
        <f t="shared" si="7"/>
        <v>0</v>
      </c>
      <c r="N13">
        <f t="shared" si="8"/>
        <v>472.46491619470743</v>
      </c>
      <c r="O13">
        <f t="shared" si="9"/>
        <v>263.32696152668643</v>
      </c>
      <c r="P13">
        <f t="shared" si="10"/>
        <v>157.22133847331352</v>
      </c>
      <c r="Q13">
        <f t="shared" si="11"/>
        <v>0</v>
      </c>
      <c r="R13">
        <f t="shared" si="12"/>
        <v>420.54829999999993</v>
      </c>
    </row>
    <row r="14" spans="1:18" x14ac:dyDescent="0.3">
      <c r="A14" t="s">
        <v>0</v>
      </c>
      <c r="B14" t="s">
        <v>0</v>
      </c>
      <c r="C14">
        <v>29</v>
      </c>
      <c r="D14">
        <v>24</v>
      </c>
      <c r="E14">
        <v>0</v>
      </c>
      <c r="F14">
        <v>20260103</v>
      </c>
      <c r="G14">
        <v>20260224</v>
      </c>
      <c r="H14">
        <v>210.30869999999999</v>
      </c>
      <c r="I14">
        <f t="shared" si="3"/>
        <v>53</v>
      </c>
      <c r="J14">
        <f t="shared" si="4"/>
        <v>3.968088679245283</v>
      </c>
      <c r="K14">
        <f t="shared" si="5"/>
        <v>139.56756536696656</v>
      </c>
      <c r="L14">
        <f t="shared" si="6"/>
        <v>95.234128301886784</v>
      </c>
      <c r="M14">
        <f t="shared" si="7"/>
        <v>0</v>
      </c>
      <c r="N14">
        <f t="shared" si="8"/>
        <v>234.80169366885335</v>
      </c>
      <c r="O14">
        <f t="shared" si="9"/>
        <v>125.00877985951837</v>
      </c>
      <c r="P14">
        <f t="shared" si="10"/>
        <v>85.299920140481603</v>
      </c>
      <c r="Q14">
        <f t="shared" si="11"/>
        <v>0</v>
      </c>
      <c r="R14">
        <f t="shared" si="12"/>
        <v>210.30869999999999</v>
      </c>
    </row>
    <row r="15" spans="1:18" x14ac:dyDescent="0.3">
      <c r="A15" t="s">
        <v>0</v>
      </c>
      <c r="B15" t="s">
        <v>0</v>
      </c>
      <c r="C15">
        <v>25</v>
      </c>
      <c r="D15">
        <v>21</v>
      </c>
      <c r="E15">
        <v>0</v>
      </c>
      <c r="F15">
        <v>20260107</v>
      </c>
      <c r="G15">
        <v>20260221</v>
      </c>
      <c r="H15">
        <v>42.067700000000002</v>
      </c>
      <c r="I15">
        <f t="shared" si="3"/>
        <v>46</v>
      </c>
      <c r="J15">
        <f t="shared" si="4"/>
        <v>0.91451521739130437</v>
      </c>
      <c r="K15">
        <f t="shared" si="5"/>
        <v>27.729119582819028</v>
      </c>
      <c r="L15">
        <f t="shared" si="6"/>
        <v>19.204819565217392</v>
      </c>
      <c r="M15">
        <f t="shared" si="7"/>
        <v>0</v>
      </c>
      <c r="N15">
        <f t="shared" si="8"/>
        <v>46.933939148036416</v>
      </c>
      <c r="O15">
        <f t="shared" si="9"/>
        <v>24.854088641374119</v>
      </c>
      <c r="P15">
        <f t="shared" si="10"/>
        <v>17.213611358625883</v>
      </c>
      <c r="Q15">
        <f t="shared" si="11"/>
        <v>0</v>
      </c>
      <c r="R15">
        <f t="shared" si="12"/>
        <v>42.067700000000002</v>
      </c>
    </row>
    <row r="16" spans="1:18" x14ac:dyDescent="0.3">
      <c r="A16" t="s">
        <v>0</v>
      </c>
      <c r="B16" t="s">
        <v>0</v>
      </c>
      <c r="C16">
        <v>30</v>
      </c>
      <c r="D16">
        <v>14</v>
      </c>
      <c r="E16">
        <v>0</v>
      </c>
      <c r="F16">
        <v>20260102</v>
      </c>
      <c r="G16">
        <v>20260214</v>
      </c>
      <c r="H16">
        <v>546.58429999999998</v>
      </c>
      <c r="I16">
        <f t="shared" si="3"/>
        <v>44</v>
      </c>
      <c r="J16">
        <f t="shared" si="4"/>
        <v>12.422370454545455</v>
      </c>
      <c r="K16">
        <f t="shared" si="5"/>
        <v>451.99212341431837</v>
      </c>
      <c r="L16">
        <f t="shared" si="6"/>
        <v>173.91318636363636</v>
      </c>
      <c r="M16">
        <f t="shared" si="7"/>
        <v>0</v>
      </c>
      <c r="N16">
        <f t="shared" si="8"/>
        <v>625.9053097779547</v>
      </c>
      <c r="O16">
        <f t="shared" si="9"/>
        <v>394.71114004380723</v>
      </c>
      <c r="P16">
        <f t="shared" si="10"/>
        <v>151.87315995619281</v>
      </c>
      <c r="Q16">
        <f t="shared" si="11"/>
        <v>0</v>
      </c>
      <c r="R16">
        <f t="shared" si="12"/>
        <v>546.58429999999998</v>
      </c>
    </row>
    <row r="17" spans="1:18" x14ac:dyDescent="0.3">
      <c r="A17" t="s">
        <v>0</v>
      </c>
      <c r="B17" t="s">
        <v>0</v>
      </c>
      <c r="C17">
        <v>30</v>
      </c>
      <c r="D17">
        <v>28</v>
      </c>
      <c r="E17">
        <v>1</v>
      </c>
      <c r="F17">
        <v>20260102</v>
      </c>
      <c r="G17">
        <v>20260301</v>
      </c>
      <c r="H17">
        <v>7345996.4256999996</v>
      </c>
      <c r="I17">
        <f t="shared" si="3"/>
        <v>59</v>
      </c>
      <c r="J17">
        <f t="shared" si="4"/>
        <v>124508.41399491524</v>
      </c>
      <c r="K17">
        <f t="shared" si="5"/>
        <v>4530280.4831358567</v>
      </c>
      <c r="L17">
        <f t="shared" si="6"/>
        <v>3486235.591857627</v>
      </c>
      <c r="M17">
        <f t="shared" si="7"/>
        <v>91796.075242001258</v>
      </c>
      <c r="N17">
        <f t="shared" si="8"/>
        <v>8108312.1502354853</v>
      </c>
      <c r="O17">
        <f t="shared" si="9"/>
        <v>4104359.0355075262</v>
      </c>
      <c r="P17">
        <f t="shared" si="10"/>
        <v>3158471.6673975699</v>
      </c>
      <c r="Q17">
        <f t="shared" si="11"/>
        <v>83165.722794903151</v>
      </c>
      <c r="R17">
        <f t="shared" si="12"/>
        <v>7345996.4256999996</v>
      </c>
    </row>
    <row r="18" spans="1:18" x14ac:dyDescent="0.3">
      <c r="A18" t="s">
        <v>0</v>
      </c>
      <c r="B18" t="s">
        <v>0</v>
      </c>
      <c r="C18">
        <v>30</v>
      </c>
      <c r="D18">
        <v>28</v>
      </c>
      <c r="E18">
        <v>8</v>
      </c>
      <c r="F18">
        <v>20260102</v>
      </c>
      <c r="G18">
        <v>20260308</v>
      </c>
      <c r="H18">
        <v>83883.451799999995</v>
      </c>
      <c r="I18">
        <f t="shared" si="3"/>
        <v>66</v>
      </c>
      <c r="J18">
        <f t="shared" si="4"/>
        <v>1270.9613909090908</v>
      </c>
      <c r="K18">
        <f t="shared" si="5"/>
        <v>46244.357303352983</v>
      </c>
      <c r="L18">
        <f t="shared" si="6"/>
        <v>35586.918945454541</v>
      </c>
      <c r="M18">
        <f t="shared" si="7"/>
        <v>7496.3137816105555</v>
      </c>
      <c r="N18">
        <f t="shared" si="8"/>
        <v>89327.590030418083</v>
      </c>
      <c r="O18">
        <f t="shared" si="9"/>
        <v>43425.959611771155</v>
      </c>
      <c r="P18">
        <f t="shared" si="10"/>
        <v>33418.046978039252</v>
      </c>
      <c r="Q18">
        <f t="shared" si="11"/>
        <v>7039.4452101895758</v>
      </c>
      <c r="R18">
        <f t="shared" si="12"/>
        <v>83883.451799999981</v>
      </c>
    </row>
    <row r="19" spans="1:18" x14ac:dyDescent="0.3">
      <c r="A19" t="s">
        <v>0</v>
      </c>
      <c r="B19" t="s">
        <v>0</v>
      </c>
      <c r="C19">
        <v>27</v>
      </c>
      <c r="D19">
        <v>28</v>
      </c>
      <c r="E19">
        <v>4</v>
      </c>
      <c r="F19">
        <v>20260105</v>
      </c>
      <c r="G19">
        <v>20260304</v>
      </c>
      <c r="H19">
        <v>208500.18059999999</v>
      </c>
      <c r="I19">
        <f t="shared" si="3"/>
        <v>59</v>
      </c>
      <c r="J19">
        <f t="shared" si="4"/>
        <v>3533.9013661016947</v>
      </c>
      <c r="K19">
        <f t="shared" si="5"/>
        <v>115723.96986719558</v>
      </c>
      <c r="L19">
        <f t="shared" si="6"/>
        <v>98949.238250847455</v>
      </c>
      <c r="M19">
        <f t="shared" si="7"/>
        <v>10421.730236278816</v>
      </c>
      <c r="N19">
        <f t="shared" si="8"/>
        <v>225094.93835432184</v>
      </c>
      <c r="O19">
        <f t="shared" si="9"/>
        <v>107192.40864971663</v>
      </c>
      <c r="P19">
        <f t="shared" si="10"/>
        <v>91654.366803481724</v>
      </c>
      <c r="Q19">
        <f t="shared" si="11"/>
        <v>9653.4051468016642</v>
      </c>
      <c r="R19">
        <f t="shared" si="12"/>
        <v>208500.18060000002</v>
      </c>
    </row>
    <row r="20" spans="1:18" x14ac:dyDescent="0.3">
      <c r="A20" t="s">
        <v>0</v>
      </c>
      <c r="B20" t="s">
        <v>0</v>
      </c>
      <c r="C20">
        <v>30</v>
      </c>
      <c r="D20">
        <v>28</v>
      </c>
      <c r="E20">
        <v>9</v>
      </c>
      <c r="F20">
        <v>20260102</v>
      </c>
      <c r="G20">
        <v>20260309</v>
      </c>
      <c r="H20">
        <v>36343.631999999998</v>
      </c>
      <c r="I20">
        <f t="shared" si="3"/>
        <v>67</v>
      </c>
      <c r="J20">
        <f t="shared" si="4"/>
        <v>542.44226865671635</v>
      </c>
      <c r="K20">
        <f t="shared" si="5"/>
        <v>19736.944227912314</v>
      </c>
      <c r="L20">
        <f t="shared" si="6"/>
        <v>15188.383522388058</v>
      </c>
      <c r="M20">
        <f t="shared" si="7"/>
        <v>3599.3281690246718</v>
      </c>
      <c r="N20">
        <f t="shared" si="8"/>
        <v>38524.655919325043</v>
      </c>
      <c r="O20">
        <f t="shared" si="9"/>
        <v>18619.562477751952</v>
      </c>
      <c r="P20">
        <f t="shared" si="10"/>
        <v>14328.512695051384</v>
      </c>
      <c r="Q20">
        <f t="shared" si="11"/>
        <v>3395.5568271966622</v>
      </c>
      <c r="R20">
        <f t="shared" si="12"/>
        <v>36343.631999999998</v>
      </c>
    </row>
    <row r="21" spans="1:18" x14ac:dyDescent="0.3">
      <c r="A21" t="s">
        <v>0</v>
      </c>
      <c r="B21" t="s">
        <v>0</v>
      </c>
      <c r="C21">
        <v>24</v>
      </c>
      <c r="D21">
        <v>28</v>
      </c>
      <c r="E21">
        <v>7</v>
      </c>
      <c r="F21">
        <v>20260108</v>
      </c>
      <c r="G21">
        <v>20260307</v>
      </c>
      <c r="H21">
        <v>83078.275299999994</v>
      </c>
      <c r="I21">
        <f t="shared" si="3"/>
        <v>59</v>
      </c>
      <c r="J21">
        <f t="shared" si="4"/>
        <v>1408.106361016949</v>
      </c>
      <c r="K21">
        <f t="shared" si="5"/>
        <v>40987.538501647286</v>
      </c>
      <c r="L21">
        <f t="shared" si="6"/>
        <v>39426.97810847457</v>
      </c>
      <c r="M21">
        <f t="shared" si="7"/>
        <v>7267.0627889414618</v>
      </c>
      <c r="N21">
        <f t="shared" si="8"/>
        <v>87681.57939906331</v>
      </c>
      <c r="O21">
        <f t="shared" si="9"/>
        <v>38835.682829244062</v>
      </c>
      <c r="P21">
        <f t="shared" si="10"/>
        <v>37357.052233686329</v>
      </c>
      <c r="Q21">
        <f t="shared" si="11"/>
        <v>6885.5402370696138</v>
      </c>
      <c r="R21">
        <f t="shared" si="12"/>
        <v>83078.275299999994</v>
      </c>
    </row>
    <row r="22" spans="1:18" x14ac:dyDescent="0.3">
      <c r="A22" t="s">
        <v>0</v>
      </c>
      <c r="B22" t="s">
        <v>0</v>
      </c>
      <c r="C22">
        <v>24</v>
      </c>
      <c r="D22">
        <v>28</v>
      </c>
      <c r="E22">
        <v>5</v>
      </c>
      <c r="F22">
        <v>20260108</v>
      </c>
      <c r="G22">
        <v>20260305</v>
      </c>
      <c r="H22">
        <v>60694.988499999999</v>
      </c>
      <c r="I22">
        <f t="shared" si="3"/>
        <v>57</v>
      </c>
      <c r="J22">
        <f t="shared" si="4"/>
        <v>1064.8243596491227</v>
      </c>
      <c r="K22">
        <f t="shared" si="5"/>
        <v>30995.193720373372</v>
      </c>
      <c r="L22">
        <f t="shared" si="6"/>
        <v>29815.082070175435</v>
      </c>
      <c r="M22">
        <f t="shared" si="7"/>
        <v>3925.3048810764917</v>
      </c>
      <c r="N22">
        <f t="shared" si="8"/>
        <v>64735.580671625299</v>
      </c>
      <c r="O22">
        <f t="shared" si="9"/>
        <v>29060.570815856125</v>
      </c>
      <c r="P22">
        <f t="shared" si="10"/>
        <v>27954.118038351728</v>
      </c>
      <c r="Q22">
        <f t="shared" si="11"/>
        <v>3680.2996457921467</v>
      </c>
      <c r="R22">
        <f t="shared" si="12"/>
        <v>60694.988499999999</v>
      </c>
    </row>
    <row r="23" spans="1:18" x14ac:dyDescent="0.3">
      <c r="A23" t="s">
        <v>0</v>
      </c>
      <c r="B23" t="s">
        <v>0</v>
      </c>
      <c r="C23">
        <v>29</v>
      </c>
      <c r="D23">
        <v>28</v>
      </c>
      <c r="E23">
        <v>6</v>
      </c>
      <c r="F23">
        <v>20260103</v>
      </c>
      <c r="G23">
        <v>20260306</v>
      </c>
      <c r="H23">
        <v>23580.0321</v>
      </c>
      <c r="I23">
        <f t="shared" si="3"/>
        <v>63</v>
      </c>
      <c r="J23">
        <f t="shared" si="4"/>
        <v>374.28622380952379</v>
      </c>
      <c r="K23">
        <f t="shared" si="5"/>
        <v>13164.579027862432</v>
      </c>
      <c r="L23">
        <f t="shared" si="6"/>
        <v>10480.014266666665</v>
      </c>
      <c r="M23">
        <f t="shared" si="7"/>
        <v>1655.6956398593288</v>
      </c>
      <c r="N23">
        <f t="shared" si="8"/>
        <v>25300.288934388427</v>
      </c>
      <c r="O23">
        <f t="shared" si="9"/>
        <v>12269.472371046921</v>
      </c>
      <c r="P23">
        <f t="shared" si="10"/>
        <v>9767.4407378237884</v>
      </c>
      <c r="Q23">
        <f t="shared" si="11"/>
        <v>1543.1189911292902</v>
      </c>
      <c r="R23">
        <f t="shared" si="12"/>
        <v>23580.032099999997</v>
      </c>
    </row>
    <row r="24" spans="1:18" x14ac:dyDescent="0.3">
      <c r="A24" t="s">
        <v>0</v>
      </c>
      <c r="B24" t="s">
        <v>0</v>
      </c>
      <c r="C24">
        <v>24</v>
      </c>
      <c r="D24">
        <v>28</v>
      </c>
      <c r="E24">
        <v>4</v>
      </c>
      <c r="F24">
        <v>20260108</v>
      </c>
      <c r="G24">
        <v>20260304</v>
      </c>
      <c r="H24">
        <v>39082.8194</v>
      </c>
      <c r="I24">
        <f t="shared" si="3"/>
        <v>56</v>
      </c>
      <c r="J24">
        <f t="shared" si="4"/>
        <v>697.90748928571429</v>
      </c>
      <c r="K24">
        <f t="shared" si="5"/>
        <v>20314.878818548204</v>
      </c>
      <c r="L24">
        <f t="shared" si="6"/>
        <v>19541.4097</v>
      </c>
      <c r="M24">
        <f t="shared" si="7"/>
        <v>2058.1795669180701</v>
      </c>
      <c r="N24">
        <f t="shared" si="8"/>
        <v>41914.468085466273</v>
      </c>
      <c r="O24">
        <f t="shared" si="9"/>
        <v>18942.450572896789</v>
      </c>
      <c r="P24">
        <f t="shared" si="10"/>
        <v>18221.235315910657</v>
      </c>
      <c r="Q24">
        <f t="shared" si="11"/>
        <v>1919.1335111925544</v>
      </c>
      <c r="R24">
        <f t="shared" si="12"/>
        <v>39082.8194</v>
      </c>
    </row>
    <row r="25" spans="1:18" x14ac:dyDescent="0.3">
      <c r="A25" t="s">
        <v>0</v>
      </c>
      <c r="B25" t="s">
        <v>0</v>
      </c>
      <c r="C25">
        <v>24</v>
      </c>
      <c r="D25">
        <v>28</v>
      </c>
      <c r="E25">
        <v>10</v>
      </c>
      <c r="F25">
        <v>20260108</v>
      </c>
      <c r="G25">
        <v>20260310</v>
      </c>
      <c r="H25">
        <v>84.269800000000004</v>
      </c>
      <c r="I25">
        <f t="shared" si="3"/>
        <v>62</v>
      </c>
      <c r="J25">
        <f t="shared" si="4"/>
        <v>1.3591903225806452</v>
      </c>
      <c r="K25">
        <f t="shared" si="5"/>
        <v>39.563677304608127</v>
      </c>
      <c r="L25">
        <f t="shared" si="6"/>
        <v>38.057329032258068</v>
      </c>
      <c r="M25">
        <f t="shared" si="7"/>
        <v>10.020875948585147</v>
      </c>
      <c r="N25">
        <f t="shared" si="8"/>
        <v>87.641882285451345</v>
      </c>
      <c r="O25">
        <f t="shared" si="9"/>
        <v>38.041437344589276</v>
      </c>
      <c r="P25">
        <f t="shared" si="10"/>
        <v>36.593046868129171</v>
      </c>
      <c r="Q25">
        <f t="shared" si="11"/>
        <v>9.6353157872815505</v>
      </c>
      <c r="R25">
        <f t="shared" si="12"/>
        <v>84.269800000000004</v>
      </c>
    </row>
    <row r="26" spans="1:18" x14ac:dyDescent="0.3">
      <c r="A26" t="s">
        <v>0</v>
      </c>
      <c r="B26" t="s">
        <v>0</v>
      </c>
      <c r="C26">
        <v>28</v>
      </c>
      <c r="D26">
        <v>28</v>
      </c>
      <c r="E26">
        <v>7</v>
      </c>
      <c r="F26">
        <v>20260104</v>
      </c>
      <c r="G26">
        <v>20260307</v>
      </c>
      <c r="H26">
        <v>39165.212</v>
      </c>
      <c r="I26">
        <f t="shared" si="3"/>
        <v>63</v>
      </c>
      <c r="J26">
        <f t="shared" si="4"/>
        <v>621.67003174603178</v>
      </c>
      <c r="K26">
        <f t="shared" si="5"/>
        <v>21111.694810913563</v>
      </c>
      <c r="L26">
        <f t="shared" si="6"/>
        <v>17406.76088888889</v>
      </c>
      <c r="M26">
        <f t="shared" si="7"/>
        <v>3208.362152017341</v>
      </c>
      <c r="N26">
        <f t="shared" si="8"/>
        <v>41726.817851819789</v>
      </c>
      <c r="O26">
        <f t="shared" si="9"/>
        <v>19815.649635326059</v>
      </c>
      <c r="P26">
        <f t="shared" si="10"/>
        <v>16338.161296354636</v>
      </c>
      <c r="Q26">
        <f t="shared" si="11"/>
        <v>3011.4010683193105</v>
      </c>
      <c r="R26">
        <f t="shared" si="12"/>
        <v>39165.212000000007</v>
      </c>
    </row>
    <row r="27" spans="1:18" x14ac:dyDescent="0.3">
      <c r="A27" t="s">
        <v>0</v>
      </c>
      <c r="B27" t="s">
        <v>0</v>
      </c>
      <c r="C27">
        <v>24</v>
      </c>
      <c r="D27">
        <v>28</v>
      </c>
      <c r="E27">
        <v>9</v>
      </c>
      <c r="F27">
        <v>20260108</v>
      </c>
      <c r="G27">
        <v>20260309</v>
      </c>
      <c r="H27">
        <v>33033.739000000001</v>
      </c>
      <c r="I27">
        <f t="shared" si="3"/>
        <v>61</v>
      </c>
      <c r="J27">
        <f t="shared" si="4"/>
        <v>541.5367049180328</v>
      </c>
      <c r="K27">
        <f t="shared" si="5"/>
        <v>15763.195989579021</v>
      </c>
      <c r="L27">
        <f t="shared" si="6"/>
        <v>15163.027737704919</v>
      </c>
      <c r="M27">
        <f t="shared" si="7"/>
        <v>3593.3193801418247</v>
      </c>
      <c r="N27">
        <f t="shared" si="8"/>
        <v>34519.543107425765</v>
      </c>
      <c r="O27">
        <f t="shared" si="9"/>
        <v>15084.710145354868</v>
      </c>
      <c r="P27">
        <f t="shared" si="10"/>
        <v>14510.374577621629</v>
      </c>
      <c r="Q27">
        <f t="shared" si="11"/>
        <v>3438.6542770235042</v>
      </c>
      <c r="R27">
        <f t="shared" si="12"/>
        <v>33033.739000000001</v>
      </c>
    </row>
    <row r="28" spans="1:18" x14ac:dyDescent="0.3">
      <c r="A28" t="s">
        <v>0</v>
      </c>
      <c r="B28" t="s">
        <v>0</v>
      </c>
      <c r="C28">
        <v>16</v>
      </c>
      <c r="D28">
        <v>28</v>
      </c>
      <c r="E28">
        <v>1</v>
      </c>
      <c r="F28">
        <v>20260116</v>
      </c>
      <c r="G28">
        <v>20260301</v>
      </c>
      <c r="H28">
        <v>2527.5587</v>
      </c>
      <c r="I28">
        <f t="shared" si="3"/>
        <v>45</v>
      </c>
      <c r="J28">
        <f t="shared" si="4"/>
        <v>56.167971111111115</v>
      </c>
      <c r="K28">
        <f t="shared" si="5"/>
        <v>1089.9682685965172</v>
      </c>
      <c r="L28">
        <f t="shared" si="6"/>
        <v>1572.7031911111112</v>
      </c>
      <c r="M28">
        <f t="shared" si="7"/>
        <v>41.410850374470854</v>
      </c>
      <c r="N28">
        <f t="shared" si="8"/>
        <v>2704.0823100820994</v>
      </c>
      <c r="O28">
        <f t="shared" si="9"/>
        <v>1018.8146898277737</v>
      </c>
      <c r="P28">
        <f t="shared" si="10"/>
        <v>1470.0364772143207</v>
      </c>
      <c r="Q28">
        <f t="shared" si="11"/>
        <v>38.707532957905485</v>
      </c>
      <c r="R28">
        <f t="shared" si="12"/>
        <v>2527.5587</v>
      </c>
    </row>
    <row r="29" spans="1:18" x14ac:dyDescent="0.3">
      <c r="A29" t="s">
        <v>0</v>
      </c>
      <c r="B29" t="s">
        <v>0</v>
      </c>
      <c r="C29">
        <v>23</v>
      </c>
      <c r="D29">
        <v>28</v>
      </c>
      <c r="E29">
        <v>6</v>
      </c>
      <c r="F29">
        <v>20260109</v>
      </c>
      <c r="G29">
        <v>20260306</v>
      </c>
      <c r="H29">
        <v>23256.812399999999</v>
      </c>
      <c r="I29">
        <f t="shared" si="3"/>
        <v>57</v>
      </c>
      <c r="J29">
        <f t="shared" si="4"/>
        <v>408.01425263157893</v>
      </c>
      <c r="K29">
        <f t="shared" si="5"/>
        <v>11381.730696827341</v>
      </c>
      <c r="L29">
        <f t="shared" si="6"/>
        <v>11424.39907368421</v>
      </c>
      <c r="M29">
        <f t="shared" si="7"/>
        <v>1804.8952275260804</v>
      </c>
      <c r="N29">
        <f t="shared" si="8"/>
        <v>24611.024998037632</v>
      </c>
      <c r="O29">
        <f t="shared" si="9"/>
        <v>10755.45515168673</v>
      </c>
      <c r="P29">
        <f t="shared" si="10"/>
        <v>10795.775716801421</v>
      </c>
      <c r="Q29">
        <f t="shared" si="11"/>
        <v>1705.5815315118466</v>
      </c>
      <c r="R29">
        <f t="shared" si="12"/>
        <v>23256.812399999995</v>
      </c>
    </row>
    <row r="30" spans="1:18" x14ac:dyDescent="0.3">
      <c r="A30" t="s">
        <v>0</v>
      </c>
      <c r="B30" t="s">
        <v>0</v>
      </c>
      <c r="C30">
        <v>23</v>
      </c>
      <c r="D30">
        <v>28</v>
      </c>
      <c r="E30">
        <v>10</v>
      </c>
      <c r="F30">
        <v>20260109</v>
      </c>
      <c r="G30">
        <v>20260310</v>
      </c>
      <c r="H30">
        <v>252.84479999999999</v>
      </c>
      <c r="I30">
        <f t="shared" si="3"/>
        <v>61</v>
      </c>
      <c r="J30">
        <f t="shared" si="4"/>
        <v>4.1449967213114753</v>
      </c>
      <c r="K30">
        <f t="shared" si="5"/>
        <v>115.62644225518935</v>
      </c>
      <c r="L30">
        <f t="shared" si="6"/>
        <v>116.05990819672131</v>
      </c>
      <c r="M30">
        <f t="shared" si="7"/>
        <v>30.559736382385818</v>
      </c>
      <c r="N30">
        <f t="shared" si="8"/>
        <v>262.24608683429648</v>
      </c>
      <c r="O30">
        <f t="shared" si="9"/>
        <v>111.48133808073845</v>
      </c>
      <c r="P30">
        <f t="shared" si="10"/>
        <v>111.89926465732341</v>
      </c>
      <c r="Q30">
        <f t="shared" si="11"/>
        <v>29.464197261938121</v>
      </c>
      <c r="R30">
        <f t="shared" si="12"/>
        <v>252.84479999999999</v>
      </c>
    </row>
    <row r="31" spans="1:18" x14ac:dyDescent="0.3">
      <c r="A31" t="s">
        <v>0</v>
      </c>
      <c r="B31" t="s">
        <v>0</v>
      </c>
      <c r="C31">
        <v>22</v>
      </c>
      <c r="D31">
        <v>28</v>
      </c>
      <c r="E31">
        <v>7</v>
      </c>
      <c r="F31">
        <v>20260110</v>
      </c>
      <c r="G31">
        <v>20260307</v>
      </c>
      <c r="H31">
        <v>1306.3035</v>
      </c>
      <c r="I31">
        <f t="shared" si="3"/>
        <v>57</v>
      </c>
      <c r="J31">
        <f t="shared" si="4"/>
        <v>22.917605263157895</v>
      </c>
      <c r="K31">
        <f t="shared" si="5"/>
        <v>611.50083042018014</v>
      </c>
      <c r="L31">
        <f t="shared" si="6"/>
        <v>641.69294736842107</v>
      </c>
      <c r="M31">
        <f t="shared" si="7"/>
        <v>118.27492654692944</v>
      </c>
      <c r="N31">
        <f t="shared" si="8"/>
        <v>1371.4687043355307</v>
      </c>
      <c r="O31">
        <f t="shared" si="9"/>
        <v>582.44542693943924</v>
      </c>
      <c r="P31">
        <f t="shared" si="10"/>
        <v>611.20296833809994</v>
      </c>
      <c r="Q31">
        <f t="shared" si="11"/>
        <v>112.65510472246079</v>
      </c>
      <c r="R31">
        <f t="shared" si="12"/>
        <v>1306.3035</v>
      </c>
    </row>
    <row r="32" spans="1:18" x14ac:dyDescent="0.3">
      <c r="A32" t="s">
        <v>0</v>
      </c>
      <c r="B32" t="s">
        <v>0</v>
      </c>
      <c r="C32">
        <v>27</v>
      </c>
      <c r="D32">
        <v>24</v>
      </c>
      <c r="E32">
        <v>0</v>
      </c>
      <c r="F32">
        <v>20260105</v>
      </c>
      <c r="G32">
        <v>20260224</v>
      </c>
      <c r="H32">
        <v>546.89260000000002</v>
      </c>
      <c r="I32">
        <f t="shared" si="3"/>
        <v>51</v>
      </c>
      <c r="J32">
        <f t="shared" si="4"/>
        <v>10.723384313725491</v>
      </c>
      <c r="K32">
        <f t="shared" si="5"/>
        <v>351.15654757643728</v>
      </c>
      <c r="L32">
        <f t="shared" si="6"/>
        <v>257.3612235294118</v>
      </c>
      <c r="M32">
        <f t="shared" si="7"/>
        <v>0</v>
      </c>
      <c r="N32">
        <f t="shared" si="8"/>
        <v>608.51777110584908</v>
      </c>
      <c r="O32">
        <f t="shared" si="9"/>
        <v>315.59459136600316</v>
      </c>
      <c r="P32">
        <f t="shared" si="10"/>
        <v>231.29800863399686</v>
      </c>
      <c r="Q32">
        <f t="shared" si="11"/>
        <v>0</v>
      </c>
      <c r="R32">
        <f t="shared" si="12"/>
        <v>546.89260000000002</v>
      </c>
    </row>
    <row r="33" spans="1:18" x14ac:dyDescent="0.3">
      <c r="A33" t="s">
        <v>0</v>
      </c>
      <c r="B33" t="s">
        <v>0</v>
      </c>
      <c r="C33">
        <v>27</v>
      </c>
      <c r="D33">
        <v>21</v>
      </c>
      <c r="E33">
        <v>0</v>
      </c>
      <c r="F33">
        <v>20260105</v>
      </c>
      <c r="G33">
        <v>20260221</v>
      </c>
      <c r="H33">
        <v>294.42529999999999</v>
      </c>
      <c r="I33">
        <f t="shared" si="3"/>
        <v>48</v>
      </c>
      <c r="J33">
        <f t="shared" si="4"/>
        <v>6.1338604166666668</v>
      </c>
      <c r="K33">
        <f t="shared" si="5"/>
        <v>200.8643152400565</v>
      </c>
      <c r="L33">
        <f t="shared" si="6"/>
        <v>128.81106875</v>
      </c>
      <c r="M33">
        <f t="shared" si="7"/>
        <v>0</v>
      </c>
      <c r="N33">
        <f t="shared" si="8"/>
        <v>329.6753839900565</v>
      </c>
      <c r="O33">
        <f t="shared" si="9"/>
        <v>179.38717643423428</v>
      </c>
      <c r="P33">
        <f t="shared" si="10"/>
        <v>115.0381235657657</v>
      </c>
      <c r="Q33">
        <f t="shared" si="11"/>
        <v>0</v>
      </c>
      <c r="R33">
        <f t="shared" si="12"/>
        <v>294.42529999999999</v>
      </c>
    </row>
    <row r="34" spans="1:18" x14ac:dyDescent="0.3">
      <c r="A34" t="s">
        <v>0</v>
      </c>
      <c r="B34" t="s">
        <v>0</v>
      </c>
      <c r="C34">
        <v>23</v>
      </c>
      <c r="D34">
        <v>12</v>
      </c>
      <c r="E34">
        <v>0</v>
      </c>
      <c r="F34">
        <v>20260109</v>
      </c>
      <c r="G34">
        <v>20260212</v>
      </c>
      <c r="H34">
        <v>42.0657</v>
      </c>
      <c r="I34">
        <f t="shared" si="3"/>
        <v>35</v>
      </c>
      <c r="J34">
        <f t="shared" si="4"/>
        <v>1.2018771428571429</v>
      </c>
      <c r="K34">
        <f t="shared" si="5"/>
        <v>33.526872854180141</v>
      </c>
      <c r="L34">
        <f t="shared" si="6"/>
        <v>14.422525714285715</v>
      </c>
      <c r="M34">
        <f t="shared" si="7"/>
        <v>0</v>
      </c>
      <c r="N34">
        <f t="shared" si="8"/>
        <v>47.949398568465853</v>
      </c>
      <c r="O34">
        <f t="shared" si="9"/>
        <v>29.412910641794717</v>
      </c>
      <c r="P34">
        <f t="shared" si="10"/>
        <v>12.652789358205288</v>
      </c>
      <c r="Q34">
        <f t="shared" si="11"/>
        <v>0</v>
      </c>
      <c r="R34">
        <f t="shared" si="12"/>
        <v>42.065700000000007</v>
      </c>
    </row>
    <row r="35" spans="1:18" x14ac:dyDescent="0.3">
      <c r="A35" t="s">
        <v>0</v>
      </c>
      <c r="B35" t="s">
        <v>0</v>
      </c>
      <c r="C35">
        <v>28</v>
      </c>
      <c r="D35">
        <v>20</v>
      </c>
      <c r="E35">
        <v>0</v>
      </c>
      <c r="F35">
        <v>20260104</v>
      </c>
      <c r="G35">
        <v>20260220</v>
      </c>
      <c r="H35">
        <v>84.113600000000005</v>
      </c>
      <c r="I35">
        <f t="shared" si="3"/>
        <v>48</v>
      </c>
      <c r="J35">
        <f t="shared" si="4"/>
        <v>1.7523666666666669</v>
      </c>
      <c r="K35">
        <f t="shared" si="5"/>
        <v>59.509753364785247</v>
      </c>
      <c r="L35">
        <f t="shared" si="6"/>
        <v>35.047333333333334</v>
      </c>
      <c r="M35">
        <f t="shared" si="7"/>
        <v>0</v>
      </c>
      <c r="N35">
        <f t="shared" si="8"/>
        <v>94.557086698118582</v>
      </c>
      <c r="O35">
        <f t="shared" si="9"/>
        <v>52.937117305706899</v>
      </c>
      <c r="P35">
        <f t="shared" si="10"/>
        <v>31.17648269429311</v>
      </c>
      <c r="Q35">
        <f t="shared" si="11"/>
        <v>0</v>
      </c>
      <c r="R35">
        <f t="shared" si="12"/>
        <v>84.113600000000005</v>
      </c>
    </row>
    <row r="36" spans="1:18" x14ac:dyDescent="0.3">
      <c r="A36" t="s">
        <v>0</v>
      </c>
      <c r="B36" t="s">
        <v>0</v>
      </c>
      <c r="C36">
        <v>19</v>
      </c>
      <c r="D36">
        <v>28</v>
      </c>
      <c r="E36">
        <v>5</v>
      </c>
      <c r="F36">
        <v>20260113</v>
      </c>
      <c r="G36">
        <v>20260305</v>
      </c>
      <c r="H36">
        <v>1432.5856000000001</v>
      </c>
      <c r="I36">
        <f t="shared" si="3"/>
        <v>52</v>
      </c>
      <c r="J36">
        <f t="shared" si="4"/>
        <v>27.54972307692308</v>
      </c>
      <c r="K36">
        <f t="shared" si="5"/>
        <v>634.85709026039615</v>
      </c>
      <c r="L36">
        <f t="shared" si="6"/>
        <v>771.39224615384626</v>
      </c>
      <c r="M36">
        <f t="shared" si="7"/>
        <v>101.55765266469494</v>
      </c>
      <c r="N36">
        <f t="shared" si="8"/>
        <v>1507.8069890789372</v>
      </c>
      <c r="O36">
        <f t="shared" si="9"/>
        <v>603.1853759482276</v>
      </c>
      <c r="P36">
        <f t="shared" si="10"/>
        <v>732.90907377124643</v>
      </c>
      <c r="Q36">
        <f t="shared" si="11"/>
        <v>96.491150280526313</v>
      </c>
      <c r="R36">
        <f t="shared" si="12"/>
        <v>1432.5856000000003</v>
      </c>
    </row>
    <row r="37" spans="1:18" x14ac:dyDescent="0.3">
      <c r="A37" t="s">
        <v>0</v>
      </c>
      <c r="B37" t="s">
        <v>0</v>
      </c>
      <c r="C37">
        <v>19</v>
      </c>
      <c r="D37">
        <v>28</v>
      </c>
      <c r="E37">
        <v>3</v>
      </c>
      <c r="F37">
        <v>20260113</v>
      </c>
      <c r="G37">
        <v>20260303</v>
      </c>
      <c r="H37">
        <v>1727.1246000000001</v>
      </c>
      <c r="I37">
        <f t="shared" si="3"/>
        <v>50</v>
      </c>
      <c r="J37">
        <f t="shared" si="4"/>
        <v>34.542492000000003</v>
      </c>
      <c r="K37">
        <f t="shared" si="5"/>
        <v>795.99878010506086</v>
      </c>
      <c r="L37">
        <f t="shared" si="6"/>
        <v>967.18977600000005</v>
      </c>
      <c r="M37">
        <f t="shared" si="7"/>
        <v>76.401226863456472</v>
      </c>
      <c r="N37">
        <f t="shared" si="8"/>
        <v>1839.5897829685173</v>
      </c>
      <c r="O37">
        <f t="shared" si="9"/>
        <v>747.33458916637687</v>
      </c>
      <c r="P37">
        <f t="shared" si="10"/>
        <v>908.05965028926119</v>
      </c>
      <c r="Q37">
        <f t="shared" si="11"/>
        <v>71.730360544362071</v>
      </c>
      <c r="R37">
        <f t="shared" si="12"/>
        <v>1727.1246000000001</v>
      </c>
    </row>
    <row r="38" spans="1:18" x14ac:dyDescent="0.3">
      <c r="A38" t="s">
        <v>0</v>
      </c>
      <c r="B38" t="s">
        <v>0</v>
      </c>
      <c r="C38">
        <v>22</v>
      </c>
      <c r="D38">
        <v>28</v>
      </c>
      <c r="E38">
        <v>4</v>
      </c>
      <c r="F38">
        <v>20260110</v>
      </c>
      <c r="G38">
        <v>20260304</v>
      </c>
      <c r="H38">
        <v>42.125</v>
      </c>
      <c r="I38">
        <f t="shared" si="3"/>
        <v>54</v>
      </c>
      <c r="J38">
        <f t="shared" si="4"/>
        <v>0.78009259259259256</v>
      </c>
      <c r="K38">
        <f t="shared" si="5"/>
        <v>20.814882824684382</v>
      </c>
      <c r="L38">
        <f t="shared" si="6"/>
        <v>21.842592592592592</v>
      </c>
      <c r="M38">
        <f t="shared" si="7"/>
        <v>2.3005493694034809</v>
      </c>
      <c r="N38">
        <f t="shared" si="8"/>
        <v>44.958024786680454</v>
      </c>
      <c r="O38">
        <f t="shared" si="9"/>
        <v>19.503235365660544</v>
      </c>
      <c r="P38">
        <f t="shared" si="10"/>
        <v>20.466184120160975</v>
      </c>
      <c r="Q38">
        <f t="shared" si="11"/>
        <v>2.155580514178483</v>
      </c>
      <c r="R38">
        <f t="shared" si="12"/>
        <v>42.125</v>
      </c>
    </row>
    <row r="39" spans="1:18" x14ac:dyDescent="0.3">
      <c r="A39" t="s">
        <v>0</v>
      </c>
      <c r="B39" t="s">
        <v>0</v>
      </c>
      <c r="C39">
        <v>27</v>
      </c>
      <c r="D39">
        <v>25</v>
      </c>
      <c r="E39">
        <v>0</v>
      </c>
      <c r="F39">
        <v>20260105</v>
      </c>
      <c r="G39">
        <v>20260225</v>
      </c>
      <c r="H39">
        <v>3954.8258000000001</v>
      </c>
      <c r="I39">
        <f t="shared" si="3"/>
        <v>52</v>
      </c>
      <c r="J39">
        <f t="shared" si="4"/>
        <v>76.054342307692309</v>
      </c>
      <c r="K39">
        <f t="shared" si="5"/>
        <v>2490.5365220177705</v>
      </c>
      <c r="L39">
        <f t="shared" si="6"/>
        <v>1901.3585576923078</v>
      </c>
      <c r="M39">
        <f t="shared" si="7"/>
        <v>0</v>
      </c>
      <c r="N39">
        <f t="shared" si="8"/>
        <v>4391.8950797100788</v>
      </c>
      <c r="O39">
        <f t="shared" si="9"/>
        <v>2242.6851995217403</v>
      </c>
      <c r="P39">
        <f t="shared" si="10"/>
        <v>1712.1406004782596</v>
      </c>
      <c r="Q39">
        <f t="shared" si="11"/>
        <v>0</v>
      </c>
      <c r="R39">
        <f t="shared" si="12"/>
        <v>3954.8257999999996</v>
      </c>
    </row>
    <row r="40" spans="1:18" x14ac:dyDescent="0.3">
      <c r="A40" t="s">
        <v>0</v>
      </c>
      <c r="B40" t="s">
        <v>0</v>
      </c>
      <c r="C40">
        <v>18</v>
      </c>
      <c r="D40">
        <v>28</v>
      </c>
      <c r="E40">
        <v>3</v>
      </c>
      <c r="F40">
        <v>20260114</v>
      </c>
      <c r="G40">
        <v>20260303</v>
      </c>
      <c r="H40">
        <v>1179.6105</v>
      </c>
      <c r="I40">
        <f t="shared" si="3"/>
        <v>49</v>
      </c>
      <c r="J40">
        <f t="shared" si="4"/>
        <v>24.07368367346939</v>
      </c>
      <c r="K40">
        <f t="shared" si="5"/>
        <v>525.55744212222589</v>
      </c>
      <c r="L40">
        <f t="shared" si="6"/>
        <v>674.06314285714291</v>
      </c>
      <c r="M40">
        <f t="shared" si="7"/>
        <v>53.246273250228242</v>
      </c>
      <c r="N40">
        <f t="shared" si="8"/>
        <v>1252.866858229597</v>
      </c>
      <c r="O40">
        <f t="shared" si="9"/>
        <v>494.82758124559552</v>
      </c>
      <c r="P40">
        <f t="shared" si="10"/>
        <v>634.65000750428669</v>
      </c>
      <c r="Q40">
        <f t="shared" si="11"/>
        <v>50.132911250117843</v>
      </c>
      <c r="R40">
        <f t="shared" si="12"/>
        <v>1179.6105</v>
      </c>
    </row>
    <row r="41" spans="1:18" x14ac:dyDescent="0.3">
      <c r="A41" t="s">
        <v>0</v>
      </c>
      <c r="B41" t="s">
        <v>0</v>
      </c>
      <c r="C41">
        <v>26</v>
      </c>
      <c r="D41">
        <v>5</v>
      </c>
      <c r="E41">
        <v>0</v>
      </c>
      <c r="F41">
        <v>20260106</v>
      </c>
      <c r="G41">
        <v>20260205</v>
      </c>
      <c r="H41">
        <v>1050.7283</v>
      </c>
      <c r="I41">
        <f t="shared" si="3"/>
        <v>31</v>
      </c>
      <c r="J41">
        <f t="shared" si="4"/>
        <v>33.894461290322582</v>
      </c>
      <c r="K41">
        <f t="shared" si="5"/>
        <v>1068.8265154465244</v>
      </c>
      <c r="L41">
        <f t="shared" si="6"/>
        <v>169.47230645161289</v>
      </c>
      <c r="M41">
        <f t="shared" si="7"/>
        <v>0</v>
      </c>
      <c r="N41">
        <f t="shared" si="8"/>
        <v>1238.2988218981372</v>
      </c>
      <c r="O41">
        <f t="shared" si="9"/>
        <v>906.92670275546163</v>
      </c>
      <c r="P41">
        <f t="shared" si="10"/>
        <v>143.80159724453836</v>
      </c>
      <c r="Q41">
        <f t="shared" si="11"/>
        <v>0</v>
      </c>
      <c r="R41">
        <f t="shared" si="12"/>
        <v>1050.7283</v>
      </c>
    </row>
    <row r="42" spans="1:18" x14ac:dyDescent="0.3">
      <c r="A42" t="s">
        <v>0</v>
      </c>
      <c r="B42" t="s">
        <v>0</v>
      </c>
      <c r="C42">
        <v>22</v>
      </c>
      <c r="D42">
        <v>28</v>
      </c>
      <c r="E42">
        <v>6</v>
      </c>
      <c r="F42">
        <v>20260110</v>
      </c>
      <c r="G42">
        <v>20260306</v>
      </c>
      <c r="H42">
        <v>84.271699999999996</v>
      </c>
      <c r="I42">
        <f t="shared" si="3"/>
        <v>56</v>
      </c>
      <c r="J42">
        <f t="shared" si="4"/>
        <v>1.5048517857142856</v>
      </c>
      <c r="K42">
        <f t="shared" si="5"/>
        <v>40.153327804406757</v>
      </c>
      <c r="L42">
        <f t="shared" si="6"/>
        <v>42.135849999999998</v>
      </c>
      <c r="M42">
        <f t="shared" si="7"/>
        <v>6.6568748239840216</v>
      </c>
      <c r="N42">
        <f t="shared" si="8"/>
        <v>88.946052628390788</v>
      </c>
      <c r="O42">
        <f t="shared" si="9"/>
        <v>38.043163184226003</v>
      </c>
      <c r="P42">
        <f t="shared" si="10"/>
        <v>39.92149854339457</v>
      </c>
      <c r="Q42">
        <f t="shared" si="11"/>
        <v>6.3070382723794136</v>
      </c>
      <c r="R42">
        <f t="shared" si="12"/>
        <v>84.271699999999996</v>
      </c>
    </row>
    <row r="43" spans="1:18" x14ac:dyDescent="0.3">
      <c r="A43" t="s">
        <v>0</v>
      </c>
      <c r="B43" t="s">
        <v>0</v>
      </c>
      <c r="C43">
        <v>31</v>
      </c>
      <c r="D43">
        <v>28</v>
      </c>
      <c r="E43">
        <v>7</v>
      </c>
      <c r="F43">
        <v>20251231</v>
      </c>
      <c r="G43">
        <v>20260307</v>
      </c>
      <c r="H43">
        <v>505.21530000000001</v>
      </c>
      <c r="I43">
        <f t="shared" si="3"/>
        <v>66</v>
      </c>
      <c r="J43">
        <f t="shared" si="4"/>
        <v>7.6547772727272729</v>
      </c>
      <c r="K43">
        <f t="shared" si="5"/>
        <v>287.80569816669561</v>
      </c>
      <c r="L43">
        <f t="shared" si="6"/>
        <v>214.33376363636364</v>
      </c>
      <c r="M43">
        <f t="shared" si="7"/>
        <v>39.505358839581014</v>
      </c>
      <c r="N43">
        <f t="shared" si="8"/>
        <v>541.6448206426403</v>
      </c>
      <c r="O43">
        <f t="shared" si="9"/>
        <v>268.44868925079101</v>
      </c>
      <c r="P43">
        <f t="shared" si="10"/>
        <v>199.91827221240482</v>
      </c>
      <c r="Q43">
        <f t="shared" si="11"/>
        <v>36.84833853680415</v>
      </c>
      <c r="R43">
        <f t="shared" si="12"/>
        <v>505.21529999999996</v>
      </c>
    </row>
    <row r="44" spans="1:18" x14ac:dyDescent="0.3">
      <c r="A44" t="s">
        <v>0</v>
      </c>
      <c r="B44" t="s">
        <v>0</v>
      </c>
      <c r="C44">
        <v>12</v>
      </c>
      <c r="D44">
        <v>28</v>
      </c>
      <c r="E44">
        <v>3</v>
      </c>
      <c r="F44">
        <v>20260120</v>
      </c>
      <c r="G44">
        <v>20260303</v>
      </c>
      <c r="H44">
        <v>547.98450000000003</v>
      </c>
      <c r="I44">
        <f t="shared" si="3"/>
        <v>43</v>
      </c>
      <c r="J44">
        <f t="shared" si="4"/>
        <v>12.743825581395349</v>
      </c>
      <c r="K44">
        <f t="shared" si="5"/>
        <v>185.47535049074048</v>
      </c>
      <c r="L44">
        <f t="shared" si="6"/>
        <v>356.82711627906974</v>
      </c>
      <c r="M44">
        <f t="shared" si="7"/>
        <v>28.186846199530311</v>
      </c>
      <c r="N44">
        <f t="shared" si="8"/>
        <v>570.48931296934063</v>
      </c>
      <c r="O44">
        <f t="shared" si="9"/>
        <v>178.15866991789804</v>
      </c>
      <c r="P44">
        <f t="shared" si="10"/>
        <v>342.75090602991963</v>
      </c>
      <c r="Q44">
        <f t="shared" si="11"/>
        <v>27.074924052182233</v>
      </c>
      <c r="R44">
        <f t="shared" si="12"/>
        <v>547.98449999999991</v>
      </c>
    </row>
    <row r="45" spans="1:18" x14ac:dyDescent="0.3">
      <c r="A45" t="s">
        <v>0</v>
      </c>
      <c r="B45" t="s">
        <v>0</v>
      </c>
      <c r="C45">
        <v>10</v>
      </c>
      <c r="D45">
        <v>28</v>
      </c>
      <c r="E45">
        <v>2</v>
      </c>
      <c r="F45">
        <v>20260122</v>
      </c>
      <c r="G45">
        <v>20260302</v>
      </c>
      <c r="H45">
        <v>1559.6849</v>
      </c>
      <c r="I45">
        <f t="shared" si="3"/>
        <v>40</v>
      </c>
      <c r="J45">
        <f t="shared" si="4"/>
        <v>38.992122500000001</v>
      </c>
      <c r="K45">
        <f t="shared" si="5"/>
        <v>472.91382670466606</v>
      </c>
      <c r="L45">
        <f t="shared" si="6"/>
        <v>1091.77943</v>
      </c>
      <c r="M45">
        <f t="shared" si="7"/>
        <v>57.495292021011601</v>
      </c>
      <c r="N45">
        <f t="shared" si="8"/>
        <v>1622.1885487256777</v>
      </c>
      <c r="O45">
        <f t="shared" si="9"/>
        <v>454.69224591180154</v>
      </c>
      <c r="P45">
        <f t="shared" si="10"/>
        <v>1049.7126813275063</v>
      </c>
      <c r="Q45">
        <f t="shared" si="11"/>
        <v>55.279972760692203</v>
      </c>
      <c r="R45">
        <f t="shared" si="12"/>
        <v>1559.6849000000002</v>
      </c>
    </row>
    <row r="46" spans="1:18" x14ac:dyDescent="0.3">
      <c r="A46" t="s">
        <v>0</v>
      </c>
      <c r="B46" t="s">
        <v>0</v>
      </c>
      <c r="C46">
        <v>12</v>
      </c>
      <c r="D46">
        <v>28</v>
      </c>
      <c r="E46">
        <v>6</v>
      </c>
      <c r="F46">
        <v>20260120</v>
      </c>
      <c r="G46">
        <v>20260306</v>
      </c>
      <c r="H46">
        <v>548.21579999999994</v>
      </c>
      <c r="I46">
        <f t="shared" si="3"/>
        <v>46</v>
      </c>
      <c r="J46">
        <f t="shared" si="4"/>
        <v>11.917734782608694</v>
      </c>
      <c r="K46">
        <f t="shared" si="5"/>
        <v>173.45231396505116</v>
      </c>
      <c r="L46">
        <f t="shared" si="6"/>
        <v>333.69657391304344</v>
      </c>
      <c r="M46">
        <f t="shared" si="7"/>
        <v>52.719390299031872</v>
      </c>
      <c r="N46">
        <f t="shared" si="8"/>
        <v>559.8682781771264</v>
      </c>
      <c r="O46">
        <f t="shared" si="9"/>
        <v>169.84226963492674</v>
      </c>
      <c r="P46">
        <f t="shared" si="10"/>
        <v>326.75138305857348</v>
      </c>
      <c r="Q46">
        <f t="shared" si="11"/>
        <v>51.622147306499748</v>
      </c>
      <c r="R46">
        <f t="shared" si="12"/>
        <v>548.21579999999994</v>
      </c>
    </row>
    <row r="47" spans="1:18" x14ac:dyDescent="0.3">
      <c r="A47" t="s">
        <v>0</v>
      </c>
      <c r="B47" t="s">
        <v>0</v>
      </c>
      <c r="C47">
        <v>9</v>
      </c>
      <c r="D47">
        <v>28</v>
      </c>
      <c r="E47">
        <v>2</v>
      </c>
      <c r="F47">
        <v>20260123</v>
      </c>
      <c r="G47">
        <v>20260302</v>
      </c>
      <c r="H47">
        <v>1981.5002999999999</v>
      </c>
      <c r="I47">
        <f t="shared" si="3"/>
        <v>39</v>
      </c>
      <c r="J47">
        <f t="shared" si="4"/>
        <v>50.807699999999997</v>
      </c>
      <c r="K47">
        <f t="shared" si="5"/>
        <v>554.59657139096225</v>
      </c>
      <c r="L47">
        <f t="shared" si="6"/>
        <v>1422.6155999999999</v>
      </c>
      <c r="M47">
        <f t="shared" si="7"/>
        <v>74.917787520183111</v>
      </c>
      <c r="N47">
        <f t="shared" si="8"/>
        <v>2052.1299589111454</v>
      </c>
      <c r="O47">
        <f t="shared" si="9"/>
        <v>535.50861524055438</v>
      </c>
      <c r="P47">
        <f t="shared" si="10"/>
        <v>1373.652397570565</v>
      </c>
      <c r="Q47">
        <f t="shared" si="11"/>
        <v>72.339287188880604</v>
      </c>
      <c r="R47">
        <f t="shared" si="12"/>
        <v>1981.5002999999999</v>
      </c>
    </row>
    <row r="48" spans="1:18" x14ac:dyDescent="0.3">
      <c r="A48" t="s">
        <v>0</v>
      </c>
      <c r="B48" t="s">
        <v>0</v>
      </c>
      <c r="C48">
        <v>8</v>
      </c>
      <c r="D48">
        <v>28</v>
      </c>
      <c r="E48">
        <v>2</v>
      </c>
      <c r="F48">
        <v>20260124</v>
      </c>
      <c r="G48">
        <v>20260302</v>
      </c>
      <c r="H48">
        <v>42.164499999999997</v>
      </c>
      <c r="I48">
        <f t="shared" si="3"/>
        <v>38</v>
      </c>
      <c r="J48">
        <f t="shared" si="4"/>
        <v>1.1095921052631579</v>
      </c>
      <c r="K48">
        <f t="shared" si="5"/>
        <v>10.766101764914934</v>
      </c>
      <c r="L48">
        <f t="shared" si="6"/>
        <v>31.068578947368422</v>
      </c>
      <c r="M48">
        <f t="shared" si="7"/>
        <v>1.636133609200533</v>
      </c>
      <c r="N48">
        <f t="shared" si="8"/>
        <v>43.470814321483893</v>
      </c>
      <c r="O48">
        <f t="shared" si="9"/>
        <v>10.442576357314946</v>
      </c>
      <c r="P48">
        <f t="shared" si="10"/>
        <v>30.134956463856703</v>
      </c>
      <c r="Q48">
        <f t="shared" si="11"/>
        <v>1.5869671788283395</v>
      </c>
      <c r="R48">
        <f t="shared" si="12"/>
        <v>42.16449999999999</v>
      </c>
    </row>
    <row r="49" spans="1:18" x14ac:dyDescent="0.3">
      <c r="A49" t="s">
        <v>0</v>
      </c>
      <c r="B49" t="s">
        <v>0</v>
      </c>
      <c r="C49">
        <v>8</v>
      </c>
      <c r="D49">
        <v>28</v>
      </c>
      <c r="E49">
        <v>8</v>
      </c>
      <c r="F49">
        <v>20260124</v>
      </c>
      <c r="G49">
        <v>20260308</v>
      </c>
      <c r="H49">
        <v>379.75639999999999</v>
      </c>
      <c r="I49">
        <f t="shared" si="3"/>
        <v>44</v>
      </c>
      <c r="J49">
        <f t="shared" si="4"/>
        <v>8.6308272727272719</v>
      </c>
      <c r="K49">
        <f t="shared" si="5"/>
        <v>83.742813501315823</v>
      </c>
      <c r="L49">
        <f t="shared" si="6"/>
        <v>241.66316363636361</v>
      </c>
      <c r="M49">
        <f t="shared" si="7"/>
        <v>50.905865350455407</v>
      </c>
      <c r="N49">
        <f t="shared" si="8"/>
        <v>376.31184248813486</v>
      </c>
      <c r="O49">
        <f t="shared" si="9"/>
        <v>84.50935046545554</v>
      </c>
      <c r="P49">
        <f t="shared" si="10"/>
        <v>243.87521909584856</v>
      </c>
      <c r="Q49">
        <f t="shared" si="11"/>
        <v>51.371830438695852</v>
      </c>
      <c r="R49">
        <f t="shared" si="12"/>
        <v>379.75639999999993</v>
      </c>
    </row>
    <row r="50" spans="1:18" x14ac:dyDescent="0.3">
      <c r="A50" t="s">
        <v>0</v>
      </c>
      <c r="B50" t="s">
        <v>0</v>
      </c>
      <c r="C50">
        <v>10</v>
      </c>
      <c r="D50">
        <v>28</v>
      </c>
      <c r="E50">
        <v>7</v>
      </c>
      <c r="F50">
        <v>20260122</v>
      </c>
      <c r="G50">
        <v>20260307</v>
      </c>
      <c r="H50">
        <v>126.541</v>
      </c>
      <c r="I50">
        <f t="shared" si="3"/>
        <v>45</v>
      </c>
      <c r="J50">
        <f t="shared" si="4"/>
        <v>2.8120222222222222</v>
      </c>
      <c r="K50">
        <f t="shared" si="5"/>
        <v>34.105457836763563</v>
      </c>
      <c r="L50">
        <f t="shared" si="6"/>
        <v>78.736622222222223</v>
      </c>
      <c r="M50">
        <f t="shared" si="7"/>
        <v>14.512498926593244</v>
      </c>
      <c r="N50">
        <f t="shared" si="8"/>
        <v>127.35457898557902</v>
      </c>
      <c r="O50">
        <f t="shared" si="9"/>
        <v>33.887582013133503</v>
      </c>
      <c r="P50">
        <f t="shared" si="10"/>
        <v>78.233629226244219</v>
      </c>
      <c r="Q50">
        <f t="shared" si="11"/>
        <v>14.419788760622286</v>
      </c>
      <c r="R50">
        <f t="shared" si="12"/>
        <v>126.541</v>
      </c>
    </row>
    <row r="51" spans="1:18" x14ac:dyDescent="0.3">
      <c r="A51" t="s">
        <v>0</v>
      </c>
      <c r="B51" t="s">
        <v>0</v>
      </c>
      <c r="C51">
        <v>29</v>
      </c>
      <c r="D51">
        <v>28</v>
      </c>
      <c r="E51">
        <v>12</v>
      </c>
      <c r="F51">
        <v>20260103</v>
      </c>
      <c r="G51">
        <v>20260312</v>
      </c>
      <c r="H51">
        <v>589.59770000000003</v>
      </c>
      <c r="I51">
        <f t="shared" si="3"/>
        <v>69</v>
      </c>
      <c r="J51">
        <f t="shared" si="4"/>
        <v>8.5448942028985506</v>
      </c>
      <c r="K51">
        <f t="shared" si="5"/>
        <v>300.54521877360963</v>
      </c>
      <c r="L51">
        <f t="shared" si="6"/>
        <v>239.25703768115943</v>
      </c>
      <c r="M51">
        <f t="shared" si="7"/>
        <v>75.598529546725956</v>
      </c>
      <c r="N51">
        <f t="shared" si="8"/>
        <v>615.40078600149513</v>
      </c>
      <c r="O51">
        <f t="shared" si="9"/>
        <v>287.94368445035843</v>
      </c>
      <c r="P51">
        <f t="shared" si="10"/>
        <v>229.2252501693786</v>
      </c>
      <c r="Q51">
        <f t="shared" si="11"/>
        <v>72.428765380262902</v>
      </c>
      <c r="R51">
        <f t="shared" si="12"/>
        <v>589.59769999999992</v>
      </c>
    </row>
    <row r="52" spans="1:18" x14ac:dyDescent="0.3">
      <c r="A52" t="s">
        <v>0</v>
      </c>
      <c r="B52" t="s">
        <v>0</v>
      </c>
      <c r="C52">
        <v>30</v>
      </c>
      <c r="D52">
        <v>28</v>
      </c>
      <c r="E52">
        <v>12</v>
      </c>
      <c r="F52">
        <v>20260102</v>
      </c>
      <c r="G52">
        <v>20260312</v>
      </c>
      <c r="H52">
        <v>3032.0743000000002</v>
      </c>
      <c r="I52">
        <f t="shared" si="3"/>
        <v>70</v>
      </c>
      <c r="J52">
        <f t="shared" si="4"/>
        <v>43.315347142857149</v>
      </c>
      <c r="K52">
        <f t="shared" si="5"/>
        <v>1576.0434615250501</v>
      </c>
      <c r="L52">
        <f t="shared" si="6"/>
        <v>1212.8297200000002</v>
      </c>
      <c r="M52">
        <f t="shared" si="7"/>
        <v>383.22025680495784</v>
      </c>
      <c r="N52">
        <f t="shared" si="8"/>
        <v>3172.0934383300082</v>
      </c>
      <c r="O52">
        <f t="shared" si="9"/>
        <v>1506.4754454045797</v>
      </c>
      <c r="P52">
        <f t="shared" si="10"/>
        <v>1159.2942943774722</v>
      </c>
      <c r="Q52">
        <f t="shared" si="11"/>
        <v>366.30456021794822</v>
      </c>
      <c r="R52">
        <f t="shared" si="12"/>
        <v>3032.0743000000002</v>
      </c>
    </row>
    <row r="53" spans="1:18" x14ac:dyDescent="0.3">
      <c r="A53" t="s">
        <v>0</v>
      </c>
      <c r="B53" t="s">
        <v>0</v>
      </c>
      <c r="C53">
        <v>31</v>
      </c>
      <c r="D53">
        <v>28</v>
      </c>
      <c r="E53">
        <v>2</v>
      </c>
      <c r="F53">
        <v>20251227</v>
      </c>
      <c r="G53">
        <v>20260302</v>
      </c>
      <c r="H53">
        <v>462.83139999999997</v>
      </c>
      <c r="I53">
        <f t="shared" si="3"/>
        <v>61</v>
      </c>
      <c r="J53">
        <f t="shared" si="4"/>
        <v>7.5873999999999997</v>
      </c>
      <c r="K53">
        <f t="shared" si="5"/>
        <v>285.27243529999805</v>
      </c>
      <c r="L53">
        <f t="shared" si="6"/>
        <v>212.44719999999998</v>
      </c>
      <c r="M53">
        <f t="shared" si="7"/>
        <v>11.187895162163164</v>
      </c>
      <c r="N53">
        <f t="shared" si="8"/>
        <v>508.90753046216116</v>
      </c>
      <c r="O53">
        <f t="shared" si="9"/>
        <v>259.4440693212037</v>
      </c>
      <c r="P53">
        <f t="shared" si="10"/>
        <v>193.21237968867297</v>
      </c>
      <c r="Q53">
        <f t="shared" si="11"/>
        <v>10.174950990123365</v>
      </c>
      <c r="R53">
        <f t="shared" si="12"/>
        <v>462.83140000000003</v>
      </c>
    </row>
    <row r="54" spans="1:18" x14ac:dyDescent="0.3">
      <c r="A54" t="s">
        <v>0</v>
      </c>
      <c r="B54" t="s">
        <v>0</v>
      </c>
      <c r="C54">
        <v>0</v>
      </c>
      <c r="D54">
        <v>6</v>
      </c>
      <c r="E54">
        <v>5</v>
      </c>
      <c r="F54">
        <v>20260223</v>
      </c>
      <c r="G54">
        <v>20260305</v>
      </c>
      <c r="H54">
        <v>42.384900000000002</v>
      </c>
      <c r="I54">
        <f t="shared" si="3"/>
        <v>11</v>
      </c>
      <c r="J54">
        <f t="shared" si="4"/>
        <v>3.8531727272727276</v>
      </c>
      <c r="K54">
        <f t="shared" si="5"/>
        <v>0</v>
      </c>
      <c r="L54">
        <f t="shared" si="6"/>
        <v>23.119036363636365</v>
      </c>
      <c r="M54">
        <f t="shared" si="7"/>
        <v>14.204105660184513</v>
      </c>
      <c r="N54">
        <f t="shared" si="8"/>
        <v>37.323142023820878</v>
      </c>
      <c r="O54">
        <f t="shared" si="9"/>
        <v>0</v>
      </c>
      <c r="P54">
        <f t="shared" si="10"/>
        <v>26.254436021053298</v>
      </c>
      <c r="Q54">
        <f t="shared" si="11"/>
        <v>16.130463978946704</v>
      </c>
      <c r="R54">
        <f t="shared" si="12"/>
        <v>42.384900000000002</v>
      </c>
    </row>
    <row r="55" spans="1:18" x14ac:dyDescent="0.3">
      <c r="A55" t="s">
        <v>0</v>
      </c>
      <c r="B55" t="s">
        <v>0</v>
      </c>
      <c r="C55">
        <v>0</v>
      </c>
      <c r="D55">
        <v>5</v>
      </c>
      <c r="E55">
        <v>2</v>
      </c>
      <c r="F55">
        <v>20260224</v>
      </c>
      <c r="G55">
        <v>20260302</v>
      </c>
      <c r="H55">
        <v>84.730199999999996</v>
      </c>
      <c r="I55">
        <f t="shared" si="3"/>
        <v>7</v>
      </c>
      <c r="J55">
        <f t="shared" si="4"/>
        <v>12.104314285714285</v>
      </c>
      <c r="K55">
        <f t="shared" si="5"/>
        <v>0</v>
      </c>
      <c r="L55">
        <f t="shared" si="6"/>
        <v>60.52157142857142</v>
      </c>
      <c r="M55">
        <f t="shared" si="7"/>
        <v>17.848248311469714</v>
      </c>
      <c r="N55">
        <f t="shared" si="8"/>
        <v>78.369819740041137</v>
      </c>
      <c r="O55">
        <f t="shared" si="9"/>
        <v>0</v>
      </c>
      <c r="P55">
        <f t="shared" si="10"/>
        <v>65.433413889009032</v>
      </c>
      <c r="Q55">
        <f t="shared" si="11"/>
        <v>19.296786110990961</v>
      </c>
      <c r="R55">
        <f t="shared" si="12"/>
        <v>84.730199999999996</v>
      </c>
    </row>
    <row r="56" spans="1:18" x14ac:dyDescent="0.3">
      <c r="A56" t="s">
        <v>0</v>
      </c>
      <c r="B56" t="s">
        <v>0</v>
      </c>
      <c r="C56">
        <v>0</v>
      </c>
      <c r="D56">
        <v>5</v>
      </c>
      <c r="E56">
        <v>7</v>
      </c>
      <c r="F56">
        <v>20260224</v>
      </c>
      <c r="G56">
        <v>20260307</v>
      </c>
      <c r="H56">
        <v>84.797399999999996</v>
      </c>
      <c r="I56">
        <f t="shared" si="3"/>
        <v>12</v>
      </c>
      <c r="J56">
        <f t="shared" si="4"/>
        <v>7.0664499999999997</v>
      </c>
      <c r="K56">
        <f t="shared" si="5"/>
        <v>0</v>
      </c>
      <c r="L56">
        <f t="shared" si="6"/>
        <v>35.332250000000002</v>
      </c>
      <c r="M56">
        <f t="shared" si="7"/>
        <v>36.469074543366311</v>
      </c>
      <c r="N56">
        <f t="shared" si="8"/>
        <v>71.80132454336632</v>
      </c>
      <c r="O56">
        <f t="shared" si="9"/>
        <v>0</v>
      </c>
      <c r="P56">
        <f t="shared" si="10"/>
        <v>41.727404824411501</v>
      </c>
      <c r="Q56">
        <f t="shared" si="11"/>
        <v>43.069995175588481</v>
      </c>
      <c r="R56">
        <f t="shared" si="12"/>
        <v>84.797399999999982</v>
      </c>
    </row>
    <row r="57" spans="1:18" x14ac:dyDescent="0.3">
      <c r="A57" t="s">
        <v>0</v>
      </c>
      <c r="B57" t="s">
        <v>0</v>
      </c>
      <c r="C57">
        <v>0</v>
      </c>
      <c r="D57">
        <v>20</v>
      </c>
      <c r="E57">
        <v>1</v>
      </c>
      <c r="F57">
        <v>20260209</v>
      </c>
      <c r="G57">
        <v>20260301</v>
      </c>
      <c r="H57">
        <v>928.81510000000003</v>
      </c>
      <c r="I57">
        <f t="shared" si="3"/>
        <v>21</v>
      </c>
      <c r="J57">
        <f t="shared" si="4"/>
        <v>44.229290476190478</v>
      </c>
      <c r="K57">
        <f t="shared" si="5"/>
        <v>0</v>
      </c>
      <c r="L57">
        <f t="shared" si="6"/>
        <v>884.58580952380953</v>
      </c>
      <c r="M57">
        <f t="shared" si="7"/>
        <v>32.608842617001919</v>
      </c>
      <c r="N57">
        <f t="shared" si="8"/>
        <v>917.1946521408114</v>
      </c>
      <c r="O57">
        <f t="shared" si="9"/>
        <v>0</v>
      </c>
      <c r="P57">
        <f t="shared" si="10"/>
        <v>895.79311786621736</v>
      </c>
      <c r="Q57">
        <f t="shared" si="11"/>
        <v>33.021982133782686</v>
      </c>
      <c r="R57">
        <f t="shared" si="12"/>
        <v>928.81510000000003</v>
      </c>
    </row>
    <row r="58" spans="1:18" x14ac:dyDescent="0.3">
      <c r="A58" t="s">
        <v>0</v>
      </c>
      <c r="B58" t="s">
        <v>0</v>
      </c>
      <c r="C58">
        <v>5</v>
      </c>
      <c r="D58">
        <v>28</v>
      </c>
      <c r="E58">
        <v>1</v>
      </c>
      <c r="F58">
        <v>20260127</v>
      </c>
      <c r="G58">
        <v>20260301</v>
      </c>
      <c r="H58">
        <v>1560.0871</v>
      </c>
      <c r="I58">
        <f t="shared" si="3"/>
        <v>34</v>
      </c>
      <c r="J58">
        <f t="shared" si="4"/>
        <v>45.884914705882352</v>
      </c>
      <c r="K58">
        <f t="shared" si="5"/>
        <v>278.2563401309589</v>
      </c>
      <c r="L58">
        <f t="shared" si="6"/>
        <v>1284.7776117647059</v>
      </c>
      <c r="M58">
        <f t="shared" si="7"/>
        <v>33.829481459670674</v>
      </c>
      <c r="N58">
        <f t="shared" si="8"/>
        <v>1596.8634333553355</v>
      </c>
      <c r="O58">
        <f t="shared" si="9"/>
        <v>271.84799755817568</v>
      </c>
      <c r="P58">
        <f t="shared" si="10"/>
        <v>1255.1887259835028</v>
      </c>
      <c r="Q58">
        <f t="shared" si="11"/>
        <v>33.050376458321352</v>
      </c>
      <c r="R58">
        <f t="shared" si="12"/>
        <v>1560.0870999999997</v>
      </c>
    </row>
    <row r="59" spans="1:18" x14ac:dyDescent="0.3">
      <c r="A59" t="s">
        <v>0</v>
      </c>
      <c r="B59" t="s">
        <v>0</v>
      </c>
      <c r="C59">
        <v>2</v>
      </c>
      <c r="D59">
        <v>28</v>
      </c>
      <c r="E59">
        <v>2</v>
      </c>
      <c r="F59">
        <v>20260130</v>
      </c>
      <c r="G59">
        <v>20260302</v>
      </c>
      <c r="H59">
        <v>1012.5888</v>
      </c>
      <c r="I59">
        <f t="shared" si="3"/>
        <v>32</v>
      </c>
      <c r="J59">
        <f t="shared" si="4"/>
        <v>31.6434</v>
      </c>
      <c r="K59">
        <f t="shared" si="5"/>
        <v>76.75704949863362</v>
      </c>
      <c r="L59">
        <f t="shared" si="6"/>
        <v>886.01520000000005</v>
      </c>
      <c r="M59">
        <f t="shared" si="7"/>
        <v>46.659335447504262</v>
      </c>
      <c r="N59">
        <f t="shared" si="8"/>
        <v>1009.4315849461379</v>
      </c>
      <c r="O59">
        <f t="shared" si="9"/>
        <v>76.997123730291477</v>
      </c>
      <c r="P59">
        <f t="shared" si="10"/>
        <v>888.7864036844378</v>
      </c>
      <c r="Q59">
        <f t="shared" si="11"/>
        <v>46.805272585270686</v>
      </c>
      <c r="R59">
        <f t="shared" si="12"/>
        <v>1012.5888</v>
      </c>
    </row>
    <row r="60" spans="1:18" x14ac:dyDescent="0.3">
      <c r="A60" t="s">
        <v>0</v>
      </c>
      <c r="B60" t="s">
        <v>0</v>
      </c>
      <c r="C60">
        <v>0</v>
      </c>
      <c r="D60">
        <v>26</v>
      </c>
      <c r="E60">
        <v>5</v>
      </c>
      <c r="F60">
        <v>20260203</v>
      </c>
      <c r="G60">
        <v>20260305</v>
      </c>
      <c r="H60">
        <v>506.68560000000002</v>
      </c>
      <c r="I60">
        <f t="shared" si="3"/>
        <v>31</v>
      </c>
      <c r="J60">
        <f t="shared" si="4"/>
        <v>16.344696774193547</v>
      </c>
      <c r="K60">
        <f t="shared" si="5"/>
        <v>0</v>
      </c>
      <c r="L60">
        <f t="shared" si="6"/>
        <v>424.96211612903221</v>
      </c>
      <c r="M60">
        <f t="shared" si="7"/>
        <v>60.252113361304225</v>
      </c>
      <c r="N60">
        <f t="shared" si="8"/>
        <v>485.21422949033644</v>
      </c>
      <c r="O60">
        <f t="shared" si="9"/>
        <v>0</v>
      </c>
      <c r="P60">
        <f t="shared" si="10"/>
        <v>443.76725104348316</v>
      </c>
      <c r="Q60">
        <f t="shared" si="11"/>
        <v>62.91834895651688</v>
      </c>
      <c r="R60">
        <f t="shared" si="12"/>
        <v>506.68560000000002</v>
      </c>
    </row>
    <row r="61" spans="1:18" x14ac:dyDescent="0.3">
      <c r="A61" t="s">
        <v>0</v>
      </c>
      <c r="B61" t="s">
        <v>0</v>
      </c>
      <c r="C61">
        <v>0</v>
      </c>
      <c r="D61">
        <v>27</v>
      </c>
      <c r="E61">
        <v>2</v>
      </c>
      <c r="F61">
        <v>20260202</v>
      </c>
      <c r="G61">
        <v>20260302</v>
      </c>
      <c r="H61">
        <v>379.85419999999999</v>
      </c>
      <c r="I61">
        <f t="shared" si="3"/>
        <v>29</v>
      </c>
      <c r="J61">
        <f t="shared" si="4"/>
        <v>13.098420689655173</v>
      </c>
      <c r="K61">
        <f t="shared" si="5"/>
        <v>0</v>
      </c>
      <c r="L61">
        <f t="shared" si="6"/>
        <v>353.65735862068965</v>
      </c>
      <c r="M61">
        <f t="shared" si="7"/>
        <v>19.314094085690883</v>
      </c>
      <c r="N61">
        <f t="shared" si="8"/>
        <v>372.97145270638055</v>
      </c>
      <c r="O61">
        <f t="shared" si="9"/>
        <v>0</v>
      </c>
      <c r="P61">
        <f t="shared" si="10"/>
        <v>360.18368713793251</v>
      </c>
      <c r="Q61">
        <f t="shared" si="11"/>
        <v>19.670512862067454</v>
      </c>
      <c r="R61">
        <f t="shared" si="12"/>
        <v>379.85419999999999</v>
      </c>
    </row>
    <row r="62" spans="1:18" x14ac:dyDescent="0.3">
      <c r="A62" t="s">
        <v>0</v>
      </c>
      <c r="B62" t="s">
        <v>0</v>
      </c>
      <c r="C62">
        <v>0</v>
      </c>
      <c r="D62">
        <v>27</v>
      </c>
      <c r="E62">
        <v>5</v>
      </c>
      <c r="F62">
        <v>20260202</v>
      </c>
      <c r="G62">
        <v>20260305</v>
      </c>
      <c r="H62">
        <v>337.80630000000002</v>
      </c>
      <c r="I62">
        <f t="shared" si="3"/>
        <v>32</v>
      </c>
      <c r="J62">
        <f t="shared" si="4"/>
        <v>10.556446875000001</v>
      </c>
      <c r="K62">
        <f t="shared" si="5"/>
        <v>0</v>
      </c>
      <c r="L62">
        <f t="shared" si="6"/>
        <v>285.02406562499999</v>
      </c>
      <c r="M62">
        <f t="shared" si="7"/>
        <v>38.914654862813663</v>
      </c>
      <c r="N62">
        <f t="shared" si="8"/>
        <v>323.93872048781367</v>
      </c>
      <c r="O62">
        <f t="shared" si="9"/>
        <v>0</v>
      </c>
      <c r="P62">
        <f t="shared" si="10"/>
        <v>297.22573724668564</v>
      </c>
      <c r="Q62">
        <f t="shared" si="11"/>
        <v>40.580562753314389</v>
      </c>
      <c r="R62">
        <f t="shared" si="12"/>
        <v>337.80630000000002</v>
      </c>
    </row>
    <row r="63" spans="1:18" x14ac:dyDescent="0.3">
      <c r="A63" t="s">
        <v>0</v>
      </c>
      <c r="B63" t="s">
        <v>0</v>
      </c>
      <c r="C63">
        <v>0</v>
      </c>
      <c r="D63">
        <v>18</v>
      </c>
      <c r="E63">
        <v>4</v>
      </c>
      <c r="F63">
        <v>20260211</v>
      </c>
      <c r="G63">
        <v>20260304</v>
      </c>
      <c r="H63">
        <v>211.26730000000001</v>
      </c>
      <c r="I63">
        <f t="shared" si="3"/>
        <v>22</v>
      </c>
      <c r="J63">
        <f t="shared" si="4"/>
        <v>9.6030590909090918</v>
      </c>
      <c r="K63">
        <f t="shared" si="5"/>
        <v>0</v>
      </c>
      <c r="L63">
        <f t="shared" si="6"/>
        <v>172.85506363636364</v>
      </c>
      <c r="M63">
        <f t="shared" si="7"/>
        <v>28.320114491169257</v>
      </c>
      <c r="N63">
        <f t="shared" si="8"/>
        <v>201.17517812753289</v>
      </c>
      <c r="O63">
        <f t="shared" si="9"/>
        <v>0</v>
      </c>
      <c r="P63">
        <f t="shared" si="10"/>
        <v>181.52648316599047</v>
      </c>
      <c r="Q63">
        <f t="shared" si="11"/>
        <v>29.740816834009564</v>
      </c>
      <c r="R63">
        <f t="shared" si="12"/>
        <v>211.26730000000003</v>
      </c>
    </row>
    <row r="64" spans="1:18" x14ac:dyDescent="0.3">
      <c r="A64" t="s">
        <v>0</v>
      </c>
      <c r="B64" t="s">
        <v>0</v>
      </c>
      <c r="C64">
        <v>0</v>
      </c>
      <c r="D64">
        <v>18</v>
      </c>
      <c r="E64">
        <v>2</v>
      </c>
      <c r="F64">
        <v>20260211</v>
      </c>
      <c r="G64">
        <v>20260302</v>
      </c>
      <c r="H64">
        <v>380.12099999999998</v>
      </c>
      <c r="I64">
        <f t="shared" si="3"/>
        <v>20</v>
      </c>
      <c r="J64">
        <f t="shared" si="4"/>
        <v>19.006049999999998</v>
      </c>
      <c r="K64">
        <f t="shared" si="5"/>
        <v>0</v>
      </c>
      <c r="L64">
        <f t="shared" si="6"/>
        <v>342.10889999999995</v>
      </c>
      <c r="M64">
        <f t="shared" si="7"/>
        <v>28.025106735750214</v>
      </c>
      <c r="N64">
        <f t="shared" si="8"/>
        <v>370.13400673575018</v>
      </c>
      <c r="O64">
        <f t="shared" si="9"/>
        <v>0</v>
      </c>
      <c r="P64">
        <f t="shared" si="10"/>
        <v>351.33971699536767</v>
      </c>
      <c r="Q64">
        <f t="shared" si="11"/>
        <v>28.781283004632307</v>
      </c>
      <c r="R64">
        <f t="shared" si="12"/>
        <v>380.12099999999998</v>
      </c>
    </row>
    <row r="65" spans="1:18" x14ac:dyDescent="0.3">
      <c r="A65" t="s">
        <v>0</v>
      </c>
      <c r="B65" t="s">
        <v>0</v>
      </c>
      <c r="C65">
        <v>0</v>
      </c>
      <c r="D65">
        <v>17</v>
      </c>
      <c r="E65">
        <v>1</v>
      </c>
      <c r="F65">
        <v>20260212</v>
      </c>
      <c r="G65">
        <v>20260301</v>
      </c>
      <c r="H65">
        <v>380.05880000000002</v>
      </c>
      <c r="I65">
        <f t="shared" si="3"/>
        <v>18</v>
      </c>
      <c r="J65">
        <f t="shared" si="4"/>
        <v>21.114377777777779</v>
      </c>
      <c r="K65">
        <f t="shared" si="5"/>
        <v>0</v>
      </c>
      <c r="L65">
        <f t="shared" si="6"/>
        <v>358.94442222222227</v>
      </c>
      <c r="M65">
        <f t="shared" si="7"/>
        <v>15.56695607138713</v>
      </c>
      <c r="N65">
        <f t="shared" si="8"/>
        <v>374.51137829360943</v>
      </c>
      <c r="O65">
        <f t="shared" si="9"/>
        <v>0</v>
      </c>
      <c r="P65">
        <f t="shared" si="10"/>
        <v>364.26125955917041</v>
      </c>
      <c r="Q65">
        <f t="shared" si="11"/>
        <v>15.797540440829545</v>
      </c>
      <c r="R65">
        <f t="shared" si="12"/>
        <v>380.05879999999996</v>
      </c>
    </row>
    <row r="66" spans="1:18" x14ac:dyDescent="0.3">
      <c r="A66" t="s">
        <v>0</v>
      </c>
      <c r="B66" t="s">
        <v>0</v>
      </c>
      <c r="C66">
        <v>0</v>
      </c>
      <c r="D66">
        <v>10</v>
      </c>
      <c r="E66">
        <v>4</v>
      </c>
      <c r="F66">
        <v>20260219</v>
      </c>
      <c r="G66">
        <v>20260304</v>
      </c>
      <c r="H66">
        <v>84.605699999999999</v>
      </c>
      <c r="I66">
        <f t="shared" si="3"/>
        <v>14</v>
      </c>
      <c r="J66">
        <f t="shared" si="4"/>
        <v>6.0432642857142858</v>
      </c>
      <c r="K66">
        <f t="shared" si="5"/>
        <v>0</v>
      </c>
      <c r="L66">
        <f t="shared" si="6"/>
        <v>60.432642857142859</v>
      </c>
      <c r="M66">
        <f t="shared" si="7"/>
        <v>17.822022633791889</v>
      </c>
      <c r="N66">
        <f t="shared" si="8"/>
        <v>78.254665490934741</v>
      </c>
      <c r="O66">
        <f t="shared" si="9"/>
        <v>0</v>
      </c>
      <c r="P66">
        <f t="shared" si="10"/>
        <v>65.337268004434449</v>
      </c>
      <c r="Q66">
        <f t="shared" si="11"/>
        <v>19.26843199556555</v>
      </c>
      <c r="R66">
        <f t="shared" si="12"/>
        <v>84.605699999999999</v>
      </c>
    </row>
    <row r="67" spans="1:18" x14ac:dyDescent="0.3">
      <c r="A67" t="s">
        <v>0</v>
      </c>
      <c r="B67" t="s">
        <v>0</v>
      </c>
      <c r="C67">
        <v>0</v>
      </c>
      <c r="D67">
        <v>16</v>
      </c>
      <c r="E67">
        <v>8</v>
      </c>
      <c r="F67">
        <v>20260213</v>
      </c>
      <c r="G67">
        <v>20260308</v>
      </c>
      <c r="H67">
        <v>84.566199999999995</v>
      </c>
      <c r="I67">
        <f t="shared" si="3"/>
        <v>24</v>
      </c>
      <c r="J67">
        <f t="shared" si="4"/>
        <v>3.5235916666666665</v>
      </c>
      <c r="K67">
        <f t="shared" si="5"/>
        <v>0</v>
      </c>
      <c r="L67">
        <f t="shared" si="6"/>
        <v>56.377466666666663</v>
      </c>
      <c r="M67">
        <f t="shared" si="7"/>
        <v>20.782652376802822</v>
      </c>
      <c r="N67">
        <f t="shared" si="8"/>
        <v>77.160119043469479</v>
      </c>
      <c r="O67">
        <f t="shared" si="9"/>
        <v>0</v>
      </c>
      <c r="P67">
        <f t="shared" si="10"/>
        <v>61.788760576441582</v>
      </c>
      <c r="Q67">
        <f t="shared" si="11"/>
        <v>22.77743942355842</v>
      </c>
      <c r="R67">
        <f t="shared" si="12"/>
        <v>84.566200000000009</v>
      </c>
    </row>
    <row r="68" spans="1:18" x14ac:dyDescent="0.3">
      <c r="A68" t="s">
        <v>0</v>
      </c>
      <c r="B68" t="s">
        <v>0</v>
      </c>
      <c r="C68">
        <v>30</v>
      </c>
      <c r="D68">
        <v>11</v>
      </c>
      <c r="E68">
        <v>0</v>
      </c>
      <c r="F68">
        <v>20260102</v>
      </c>
      <c r="G68">
        <v>20260211</v>
      </c>
      <c r="H68">
        <v>1681.3235</v>
      </c>
      <c r="I68">
        <f t="shared" si="3"/>
        <v>41</v>
      </c>
      <c r="J68">
        <f t="shared" si="4"/>
        <v>41.007890243902438</v>
      </c>
      <c r="K68">
        <f t="shared" si="5"/>
        <v>1492.0858668564792</v>
      </c>
      <c r="L68">
        <f t="shared" si="6"/>
        <v>451.08679268292678</v>
      </c>
      <c r="M68">
        <f t="shared" si="7"/>
        <v>0</v>
      </c>
      <c r="N68">
        <f t="shared" si="8"/>
        <v>1943.1726595394061</v>
      </c>
      <c r="O68">
        <f t="shared" si="9"/>
        <v>1291.0221948873584</v>
      </c>
      <c r="P68">
        <f t="shared" si="10"/>
        <v>390.3013051126415</v>
      </c>
      <c r="Q68">
        <f t="shared" si="11"/>
        <v>0</v>
      </c>
      <c r="R68">
        <f t="shared" si="12"/>
        <v>1681.3235</v>
      </c>
    </row>
    <row r="69" spans="1:18" x14ac:dyDescent="0.3">
      <c r="A69" t="s">
        <v>0</v>
      </c>
      <c r="B69" t="s">
        <v>0</v>
      </c>
      <c r="C69">
        <v>26</v>
      </c>
      <c r="D69">
        <v>11</v>
      </c>
      <c r="E69">
        <v>0</v>
      </c>
      <c r="F69">
        <v>20260106</v>
      </c>
      <c r="G69">
        <v>20260211</v>
      </c>
      <c r="H69">
        <v>1892.0225</v>
      </c>
      <c r="I69">
        <f t="shared" si="3"/>
        <v>37</v>
      </c>
      <c r="J69">
        <f t="shared" si="4"/>
        <v>51.135743243243247</v>
      </c>
      <c r="K69">
        <f t="shared" si="5"/>
        <v>1612.5123747297557</v>
      </c>
      <c r="L69">
        <f t="shared" si="6"/>
        <v>562.49317567567573</v>
      </c>
      <c r="M69">
        <f t="shared" si="7"/>
        <v>0</v>
      </c>
      <c r="N69">
        <f t="shared" si="8"/>
        <v>2175.0055504054317</v>
      </c>
      <c r="O69">
        <f t="shared" si="9"/>
        <v>1402.7135213279917</v>
      </c>
      <c r="P69">
        <f t="shared" si="10"/>
        <v>489.30897867200838</v>
      </c>
      <c r="Q69">
        <f t="shared" si="11"/>
        <v>0</v>
      </c>
      <c r="R69">
        <f t="shared" si="12"/>
        <v>1892.0225</v>
      </c>
    </row>
    <row r="70" spans="1:18" x14ac:dyDescent="0.3">
      <c r="A70" t="s">
        <v>0</v>
      </c>
      <c r="B70" t="s">
        <v>0</v>
      </c>
      <c r="C70">
        <v>24</v>
      </c>
      <c r="D70">
        <v>3</v>
      </c>
      <c r="E70">
        <v>0</v>
      </c>
      <c r="F70">
        <v>20260108</v>
      </c>
      <c r="G70">
        <v>20260203</v>
      </c>
      <c r="H70">
        <v>294.20389999999998</v>
      </c>
      <c r="I70">
        <f t="shared" si="3"/>
        <v>27</v>
      </c>
      <c r="J70">
        <f t="shared" si="4"/>
        <v>10.89644074074074</v>
      </c>
      <c r="K70">
        <f t="shared" si="5"/>
        <v>317.17652640208001</v>
      </c>
      <c r="L70">
        <f t="shared" si="6"/>
        <v>32.689322222222216</v>
      </c>
      <c r="M70">
        <f t="shared" si="7"/>
        <v>0</v>
      </c>
      <c r="N70">
        <f t="shared" si="8"/>
        <v>349.8658486243022</v>
      </c>
      <c r="O70">
        <f t="shared" si="9"/>
        <v>266.71528936838087</v>
      </c>
      <c r="P70">
        <f t="shared" si="10"/>
        <v>27.488610631619125</v>
      </c>
      <c r="Q70">
        <f t="shared" si="11"/>
        <v>0</v>
      </c>
      <c r="R70">
        <f t="shared" si="12"/>
        <v>294.20389999999998</v>
      </c>
    </row>
    <row r="71" spans="1:18" x14ac:dyDescent="0.3">
      <c r="A71" t="s">
        <v>0</v>
      </c>
      <c r="B71" t="s">
        <v>0</v>
      </c>
      <c r="C71">
        <v>26</v>
      </c>
      <c r="D71">
        <v>10</v>
      </c>
      <c r="E71">
        <v>0</v>
      </c>
      <c r="F71">
        <v>20260106</v>
      </c>
      <c r="G71">
        <v>20260210</v>
      </c>
      <c r="H71">
        <v>1177.1478999999999</v>
      </c>
      <c r="I71">
        <f t="shared" si="3"/>
        <v>36</v>
      </c>
      <c r="J71">
        <f t="shared" si="4"/>
        <v>32.698552777777778</v>
      </c>
      <c r="K71">
        <f t="shared" si="5"/>
        <v>1031.114786757063</v>
      </c>
      <c r="L71">
        <f t="shared" si="6"/>
        <v>326.98552777777775</v>
      </c>
      <c r="M71">
        <f t="shared" si="7"/>
        <v>0</v>
      </c>
      <c r="N71">
        <f t="shared" si="8"/>
        <v>1358.1003145348409</v>
      </c>
      <c r="O71">
        <f t="shared" si="9"/>
        <v>893.72971414541723</v>
      </c>
      <c r="P71">
        <f t="shared" si="10"/>
        <v>283.41818585458265</v>
      </c>
      <c r="Q71">
        <f t="shared" si="11"/>
        <v>0</v>
      </c>
      <c r="R71">
        <f t="shared" si="12"/>
        <v>1177.1478999999999</v>
      </c>
    </row>
    <row r="72" spans="1:18" x14ac:dyDescent="0.3">
      <c r="A72" t="s">
        <v>0</v>
      </c>
      <c r="B72" t="s">
        <v>0</v>
      </c>
      <c r="C72">
        <v>30</v>
      </c>
      <c r="D72">
        <v>26</v>
      </c>
      <c r="E72">
        <v>0</v>
      </c>
      <c r="F72">
        <v>20260102</v>
      </c>
      <c r="G72">
        <v>20260226</v>
      </c>
      <c r="H72">
        <v>3449.549</v>
      </c>
      <c r="I72">
        <f t="shared" si="3"/>
        <v>56</v>
      </c>
      <c r="J72">
        <f t="shared" si="4"/>
        <v>61.599089285714285</v>
      </c>
      <c r="K72">
        <f t="shared" si="5"/>
        <v>2241.3035634797416</v>
      </c>
      <c r="L72">
        <f t="shared" si="6"/>
        <v>1601.5763214285714</v>
      </c>
      <c r="M72">
        <f t="shared" si="7"/>
        <v>0</v>
      </c>
      <c r="N72">
        <f t="shared" si="8"/>
        <v>3842.8798849083132</v>
      </c>
      <c r="O72">
        <f t="shared" si="9"/>
        <v>2011.8990698774971</v>
      </c>
      <c r="P72">
        <f t="shared" si="10"/>
        <v>1437.6499301225026</v>
      </c>
      <c r="Q72">
        <f t="shared" si="11"/>
        <v>0</v>
      </c>
      <c r="R72">
        <f t="shared" si="12"/>
        <v>3449.549</v>
      </c>
    </row>
    <row r="73" spans="1:18" x14ac:dyDescent="0.3">
      <c r="A73" t="s">
        <v>0</v>
      </c>
      <c r="B73" t="s">
        <v>0</v>
      </c>
      <c r="C73">
        <v>30</v>
      </c>
      <c r="D73">
        <v>19</v>
      </c>
      <c r="E73">
        <v>0</v>
      </c>
      <c r="F73">
        <v>20260102</v>
      </c>
      <c r="G73">
        <v>20260219</v>
      </c>
      <c r="H73">
        <v>1261.5559000000001</v>
      </c>
      <c r="I73">
        <f t="shared" si="3"/>
        <v>49</v>
      </c>
      <c r="J73">
        <f t="shared" si="4"/>
        <v>25.746038775510204</v>
      </c>
      <c r="K73">
        <f t="shared" si="5"/>
        <v>936.77827257133117</v>
      </c>
      <c r="L73">
        <f t="shared" si="6"/>
        <v>489.17473673469385</v>
      </c>
      <c r="M73">
        <f t="shared" si="7"/>
        <v>0</v>
      </c>
      <c r="N73">
        <f t="shared" si="8"/>
        <v>1425.953009306025</v>
      </c>
      <c r="O73">
        <f t="shared" si="9"/>
        <v>828.77777110574073</v>
      </c>
      <c r="P73">
        <f t="shared" si="10"/>
        <v>432.77812889425928</v>
      </c>
      <c r="Q73">
        <f t="shared" si="11"/>
        <v>0</v>
      </c>
      <c r="R73">
        <f t="shared" si="12"/>
        <v>1261.5559000000001</v>
      </c>
    </row>
    <row r="74" spans="1:18" x14ac:dyDescent="0.3">
      <c r="A74" t="s">
        <v>0</v>
      </c>
      <c r="B74" t="s">
        <v>0</v>
      </c>
      <c r="C74">
        <v>27</v>
      </c>
      <c r="D74">
        <v>12</v>
      </c>
      <c r="E74">
        <v>0</v>
      </c>
      <c r="F74">
        <v>20260105</v>
      </c>
      <c r="G74">
        <v>20260212</v>
      </c>
      <c r="H74">
        <v>588.68460000000005</v>
      </c>
      <c r="I74">
        <f t="shared" si="3"/>
        <v>39</v>
      </c>
      <c r="J74">
        <f t="shared" si="4"/>
        <v>15.094476923076924</v>
      </c>
      <c r="K74">
        <f t="shared" si="5"/>
        <v>494.29585368822814</v>
      </c>
      <c r="L74">
        <f t="shared" si="6"/>
        <v>181.13372307692308</v>
      </c>
      <c r="M74">
        <f t="shared" si="7"/>
        <v>0</v>
      </c>
      <c r="N74">
        <f t="shared" si="8"/>
        <v>675.42957676515118</v>
      </c>
      <c r="O74">
        <f t="shared" si="9"/>
        <v>430.81376196720691</v>
      </c>
      <c r="P74">
        <f t="shared" si="10"/>
        <v>157.87083803279319</v>
      </c>
      <c r="Q74">
        <f t="shared" si="11"/>
        <v>0</v>
      </c>
      <c r="R74">
        <f t="shared" si="12"/>
        <v>588.68460000000005</v>
      </c>
    </row>
    <row r="75" spans="1:18" x14ac:dyDescent="0.3">
      <c r="A75" t="s">
        <v>0</v>
      </c>
      <c r="B75" t="s">
        <v>0</v>
      </c>
      <c r="C75">
        <v>26</v>
      </c>
      <c r="D75">
        <v>26</v>
      </c>
      <c r="E75">
        <v>0</v>
      </c>
      <c r="F75">
        <v>20260106</v>
      </c>
      <c r="G75">
        <v>20260226</v>
      </c>
      <c r="H75">
        <v>757.43169999999998</v>
      </c>
      <c r="I75">
        <f t="shared" ref="I75:I138" si="13">IF(C75&lt;0,0,C75)+D75+E75</f>
        <v>52</v>
      </c>
      <c r="J75">
        <f t="shared" ref="J75:J138" si="14">H75/I75</f>
        <v>14.565994230769231</v>
      </c>
      <c r="K75">
        <f t="shared" ref="K75:K138" si="15">IF(C75&lt;0,0,C75)*$J75*$B$6</f>
        <v>459.32344887665528</v>
      </c>
      <c r="L75">
        <f t="shared" ref="L75:L138" si="16">IF(D75&lt;0,0,D75)*$J75*$C$6</f>
        <v>378.71584999999999</v>
      </c>
      <c r="M75">
        <f t="shared" ref="M75:M138" si="17">IF(E75&lt;0,0,E75)*$J75*$D$6</f>
        <v>0</v>
      </c>
      <c r="N75">
        <f t="shared" ref="N75:N138" si="18">K75+L75+M75</f>
        <v>838.03929887665527</v>
      </c>
      <c r="O75">
        <f t="shared" ref="O75:O138" si="19">K75/$N75*$H75</f>
        <v>415.14299054812437</v>
      </c>
      <c r="P75">
        <f t="shared" ref="P75:P138" si="20">L75/$N75*$H75</f>
        <v>342.2887094518756</v>
      </c>
      <c r="Q75">
        <f t="shared" ref="Q75:Q138" si="21">M75/$N75*$H75</f>
        <v>0</v>
      </c>
      <c r="R75">
        <f t="shared" ref="R75:R138" si="22">O75+P75+Q75</f>
        <v>757.43169999999998</v>
      </c>
    </row>
    <row r="76" spans="1:18" x14ac:dyDescent="0.3">
      <c r="A76" t="s">
        <v>0</v>
      </c>
      <c r="B76" t="s">
        <v>0</v>
      </c>
      <c r="C76">
        <v>28</v>
      </c>
      <c r="D76">
        <v>28</v>
      </c>
      <c r="E76">
        <v>0</v>
      </c>
      <c r="F76">
        <v>20260104</v>
      </c>
      <c r="G76">
        <v>20260228</v>
      </c>
      <c r="H76">
        <v>462.88569999999999</v>
      </c>
      <c r="I76">
        <f t="shared" si="13"/>
        <v>56</v>
      </c>
      <c r="J76">
        <f t="shared" si="14"/>
        <v>8.2658160714285707</v>
      </c>
      <c r="K76">
        <f t="shared" si="15"/>
        <v>280.7041957178248</v>
      </c>
      <c r="L76">
        <f t="shared" si="16"/>
        <v>231.44284999999996</v>
      </c>
      <c r="M76">
        <f t="shared" si="17"/>
        <v>0</v>
      </c>
      <c r="N76">
        <f t="shared" si="18"/>
        <v>512.14704571782477</v>
      </c>
      <c r="O76">
        <f t="shared" si="19"/>
        <v>253.7043984031325</v>
      </c>
      <c r="P76">
        <f t="shared" si="20"/>
        <v>209.18130159686748</v>
      </c>
      <c r="Q76">
        <f t="shared" si="21"/>
        <v>0</v>
      </c>
      <c r="R76">
        <f t="shared" si="22"/>
        <v>462.88569999999999</v>
      </c>
    </row>
    <row r="77" spans="1:18" x14ac:dyDescent="0.3">
      <c r="A77" t="s">
        <v>0</v>
      </c>
      <c r="B77" t="s">
        <v>0</v>
      </c>
      <c r="C77">
        <v>29</v>
      </c>
      <c r="D77">
        <v>25</v>
      </c>
      <c r="E77">
        <v>0</v>
      </c>
      <c r="F77">
        <v>20260103</v>
      </c>
      <c r="G77">
        <v>20260225</v>
      </c>
      <c r="H77">
        <v>588.91980000000001</v>
      </c>
      <c r="I77">
        <f t="shared" si="13"/>
        <v>54</v>
      </c>
      <c r="J77">
        <f t="shared" si="14"/>
        <v>10.905922222222223</v>
      </c>
      <c r="K77">
        <f t="shared" si="15"/>
        <v>383.58845672938799</v>
      </c>
      <c r="L77">
        <f t="shared" si="16"/>
        <v>272.64805555555557</v>
      </c>
      <c r="M77">
        <f t="shared" si="17"/>
        <v>0</v>
      </c>
      <c r="N77">
        <f t="shared" si="18"/>
        <v>656.2365122849435</v>
      </c>
      <c r="O77">
        <f t="shared" si="19"/>
        <v>344.23996987429263</v>
      </c>
      <c r="P77">
        <f t="shared" si="20"/>
        <v>244.67983012570741</v>
      </c>
      <c r="Q77">
        <f t="shared" si="21"/>
        <v>0</v>
      </c>
      <c r="R77">
        <f t="shared" si="22"/>
        <v>588.91980000000001</v>
      </c>
    </row>
    <row r="78" spans="1:18" x14ac:dyDescent="0.3">
      <c r="A78" t="s">
        <v>0</v>
      </c>
      <c r="B78" t="s">
        <v>0</v>
      </c>
      <c r="C78">
        <v>28</v>
      </c>
      <c r="D78">
        <v>23</v>
      </c>
      <c r="E78">
        <v>0</v>
      </c>
      <c r="F78">
        <v>20260104</v>
      </c>
      <c r="G78">
        <v>20260223</v>
      </c>
      <c r="H78">
        <v>757.11149999999998</v>
      </c>
      <c r="I78">
        <f t="shared" si="13"/>
        <v>51</v>
      </c>
      <c r="J78">
        <f t="shared" si="14"/>
        <v>14.845323529411765</v>
      </c>
      <c r="K78">
        <f t="shared" si="15"/>
        <v>504.14194623789007</v>
      </c>
      <c r="L78">
        <f t="shared" si="16"/>
        <v>341.4424411764706</v>
      </c>
      <c r="M78">
        <f t="shared" si="17"/>
        <v>0</v>
      </c>
      <c r="N78">
        <f t="shared" si="18"/>
        <v>845.58438741436066</v>
      </c>
      <c r="O78">
        <f t="shared" si="19"/>
        <v>451.39393632400214</v>
      </c>
      <c r="P78">
        <f t="shared" si="20"/>
        <v>305.71756367599784</v>
      </c>
      <c r="Q78">
        <f t="shared" si="21"/>
        <v>0</v>
      </c>
      <c r="R78">
        <f t="shared" si="22"/>
        <v>757.11149999999998</v>
      </c>
    </row>
    <row r="79" spans="1:18" x14ac:dyDescent="0.3">
      <c r="A79" t="s">
        <v>0</v>
      </c>
      <c r="B79" t="s">
        <v>0</v>
      </c>
      <c r="C79">
        <v>29</v>
      </c>
      <c r="D79">
        <v>26</v>
      </c>
      <c r="E79">
        <v>0</v>
      </c>
      <c r="F79">
        <v>20260103</v>
      </c>
      <c r="G79">
        <v>20260226</v>
      </c>
      <c r="H79">
        <v>378.62689999999998</v>
      </c>
      <c r="I79">
        <f t="shared" si="13"/>
        <v>55</v>
      </c>
      <c r="J79">
        <f t="shared" si="14"/>
        <v>6.8841254545454538</v>
      </c>
      <c r="K79">
        <f t="shared" si="15"/>
        <v>242.13184407824576</v>
      </c>
      <c r="L79">
        <f t="shared" si="16"/>
        <v>178.98726181818179</v>
      </c>
      <c r="M79">
        <f t="shared" si="17"/>
        <v>0</v>
      </c>
      <c r="N79">
        <f t="shared" si="18"/>
        <v>421.11910589642753</v>
      </c>
      <c r="O79">
        <f t="shared" si="19"/>
        <v>217.70000038226067</v>
      </c>
      <c r="P79">
        <f t="shared" si="20"/>
        <v>160.92689961773931</v>
      </c>
      <c r="Q79">
        <f t="shared" si="21"/>
        <v>0</v>
      </c>
      <c r="R79">
        <f t="shared" si="22"/>
        <v>378.62689999999998</v>
      </c>
    </row>
    <row r="80" spans="1:18" x14ac:dyDescent="0.3">
      <c r="A80" t="s">
        <v>0</v>
      </c>
      <c r="B80" t="s">
        <v>0</v>
      </c>
      <c r="C80">
        <v>26</v>
      </c>
      <c r="D80">
        <v>25</v>
      </c>
      <c r="E80">
        <v>0</v>
      </c>
      <c r="F80">
        <v>20260106</v>
      </c>
      <c r="G80">
        <v>20260225</v>
      </c>
      <c r="H80">
        <v>1136.0407</v>
      </c>
      <c r="I80">
        <f t="shared" si="13"/>
        <v>51</v>
      </c>
      <c r="J80">
        <f t="shared" si="14"/>
        <v>22.275307843137256</v>
      </c>
      <c r="K80">
        <f t="shared" si="15"/>
        <v>702.42861978386804</v>
      </c>
      <c r="L80">
        <f t="shared" si="16"/>
        <v>556.88269607843142</v>
      </c>
      <c r="M80">
        <f t="shared" si="17"/>
        <v>0</v>
      </c>
      <c r="N80">
        <f t="shared" si="18"/>
        <v>1259.3113158622996</v>
      </c>
      <c r="O80">
        <f t="shared" si="19"/>
        <v>633.66976129559055</v>
      </c>
      <c r="P80">
        <f t="shared" si="20"/>
        <v>502.37093870440941</v>
      </c>
      <c r="Q80">
        <f t="shared" si="21"/>
        <v>0</v>
      </c>
      <c r="R80">
        <f t="shared" si="22"/>
        <v>1136.0407</v>
      </c>
    </row>
    <row r="81" spans="1:18" x14ac:dyDescent="0.3">
      <c r="A81" t="s">
        <v>0</v>
      </c>
      <c r="B81" t="s">
        <v>0</v>
      </c>
      <c r="C81">
        <v>28</v>
      </c>
      <c r="D81">
        <v>28</v>
      </c>
      <c r="E81">
        <v>1</v>
      </c>
      <c r="F81">
        <v>20260104</v>
      </c>
      <c r="G81">
        <v>20260301</v>
      </c>
      <c r="H81">
        <v>904942.78220000002</v>
      </c>
      <c r="I81">
        <f t="shared" si="13"/>
        <v>57</v>
      </c>
      <c r="J81">
        <f t="shared" si="14"/>
        <v>15876.189161403508</v>
      </c>
      <c r="K81">
        <f t="shared" si="15"/>
        <v>539149.77917547664</v>
      </c>
      <c r="L81">
        <f t="shared" si="16"/>
        <v>444533.29651929822</v>
      </c>
      <c r="M81">
        <f t="shared" si="17"/>
        <v>11705.006979495845</v>
      </c>
      <c r="N81">
        <f t="shared" si="18"/>
        <v>995388.08267427073</v>
      </c>
      <c r="O81">
        <f t="shared" si="19"/>
        <v>490160.27987671917</v>
      </c>
      <c r="P81">
        <f t="shared" si="20"/>
        <v>404141.06330460444</v>
      </c>
      <c r="Q81">
        <f t="shared" si="21"/>
        <v>10641.439018676314</v>
      </c>
      <c r="R81">
        <f t="shared" si="22"/>
        <v>904942.7821999999</v>
      </c>
    </row>
    <row r="82" spans="1:18" x14ac:dyDescent="0.3">
      <c r="A82" t="s">
        <v>0</v>
      </c>
      <c r="B82" t="s">
        <v>0</v>
      </c>
      <c r="C82">
        <v>25</v>
      </c>
      <c r="D82">
        <v>28</v>
      </c>
      <c r="E82">
        <v>3</v>
      </c>
      <c r="F82">
        <v>20260107</v>
      </c>
      <c r="G82">
        <v>20260303</v>
      </c>
      <c r="H82">
        <v>181860.99729999999</v>
      </c>
      <c r="I82">
        <f t="shared" si="13"/>
        <v>56</v>
      </c>
      <c r="J82">
        <f t="shared" si="14"/>
        <v>3247.5178089285714</v>
      </c>
      <c r="K82">
        <f t="shared" si="15"/>
        <v>98468.355647474891</v>
      </c>
      <c r="L82">
        <f t="shared" si="16"/>
        <v>90930.498649999994</v>
      </c>
      <c r="M82">
        <f t="shared" si="17"/>
        <v>7182.8733393950524</v>
      </c>
      <c r="N82">
        <f t="shared" si="18"/>
        <v>196581.72763686994</v>
      </c>
      <c r="O82">
        <f t="shared" si="19"/>
        <v>91094.69926737083</v>
      </c>
      <c r="P82">
        <f t="shared" si="20"/>
        <v>84121.303481584386</v>
      </c>
      <c r="Q82">
        <f t="shared" si="21"/>
        <v>6644.9945510447587</v>
      </c>
      <c r="R82">
        <f t="shared" si="22"/>
        <v>181860.99729999999</v>
      </c>
    </row>
    <row r="83" spans="1:18" x14ac:dyDescent="0.3">
      <c r="A83" t="s">
        <v>0</v>
      </c>
      <c r="B83" t="s">
        <v>0</v>
      </c>
      <c r="C83">
        <v>29</v>
      </c>
      <c r="D83">
        <v>28</v>
      </c>
      <c r="E83">
        <v>4</v>
      </c>
      <c r="F83">
        <v>20260103</v>
      </c>
      <c r="G83">
        <v>20260304</v>
      </c>
      <c r="H83">
        <v>212044.19990000001</v>
      </c>
      <c r="I83">
        <f t="shared" si="13"/>
        <v>61</v>
      </c>
      <c r="J83">
        <f t="shared" si="14"/>
        <v>3476.1344245901641</v>
      </c>
      <c r="K83">
        <f t="shared" si="15"/>
        <v>122264.30852362538</v>
      </c>
      <c r="L83">
        <f t="shared" si="16"/>
        <v>97331.763888524598</v>
      </c>
      <c r="M83">
        <f t="shared" si="17"/>
        <v>10251.371355642546</v>
      </c>
      <c r="N83">
        <f t="shared" si="18"/>
        <v>229847.44376779252</v>
      </c>
      <c r="O83">
        <f t="shared" si="19"/>
        <v>112794.10835393293</v>
      </c>
      <c r="P83">
        <f t="shared" si="20"/>
        <v>89792.758450028545</v>
      </c>
      <c r="Q83">
        <f t="shared" si="21"/>
        <v>9457.3330960385429</v>
      </c>
      <c r="R83">
        <f t="shared" si="22"/>
        <v>212044.19990000001</v>
      </c>
    </row>
    <row r="84" spans="1:18" x14ac:dyDescent="0.3">
      <c r="A84" t="s">
        <v>0</v>
      </c>
      <c r="B84" t="s">
        <v>0</v>
      </c>
      <c r="C84">
        <v>27</v>
      </c>
      <c r="D84">
        <v>28</v>
      </c>
      <c r="E84">
        <v>6</v>
      </c>
      <c r="F84">
        <v>20260105</v>
      </c>
      <c r="G84">
        <v>20260306</v>
      </c>
      <c r="H84">
        <v>123225.9136</v>
      </c>
      <c r="I84">
        <f t="shared" si="13"/>
        <v>61</v>
      </c>
      <c r="J84">
        <f t="shared" si="14"/>
        <v>2020.096944262295</v>
      </c>
      <c r="K84">
        <f t="shared" si="15"/>
        <v>66151.715537126962</v>
      </c>
      <c r="L84">
        <f t="shared" si="16"/>
        <v>56562.714439344258</v>
      </c>
      <c r="M84">
        <f t="shared" si="17"/>
        <v>8936.1175751163973</v>
      </c>
      <c r="N84">
        <f t="shared" si="18"/>
        <v>131650.54755158763</v>
      </c>
      <c r="O84">
        <f t="shared" si="19"/>
        <v>61918.508770922934</v>
      </c>
      <c r="P84">
        <f t="shared" si="20"/>
        <v>52943.130827108012</v>
      </c>
      <c r="Q84">
        <f t="shared" si="21"/>
        <v>8364.27400196905</v>
      </c>
      <c r="R84">
        <f t="shared" si="22"/>
        <v>123225.9136</v>
      </c>
    </row>
    <row r="85" spans="1:18" x14ac:dyDescent="0.3">
      <c r="A85" t="s">
        <v>0</v>
      </c>
      <c r="B85" t="s">
        <v>0</v>
      </c>
      <c r="C85">
        <v>26</v>
      </c>
      <c r="D85">
        <v>28</v>
      </c>
      <c r="E85">
        <v>3</v>
      </c>
      <c r="F85">
        <v>20260106</v>
      </c>
      <c r="G85">
        <v>20260303</v>
      </c>
      <c r="H85">
        <v>206811.1476</v>
      </c>
      <c r="I85">
        <f t="shared" si="13"/>
        <v>57</v>
      </c>
      <c r="J85">
        <f t="shared" si="14"/>
        <v>3628.2657473684212</v>
      </c>
      <c r="K85">
        <f t="shared" si="15"/>
        <v>114413.57933548269</v>
      </c>
      <c r="L85">
        <f t="shared" si="16"/>
        <v>101591.44092631579</v>
      </c>
      <c r="M85">
        <f t="shared" si="17"/>
        <v>8025.0132065052867</v>
      </c>
      <c r="N85">
        <f t="shared" si="18"/>
        <v>224030.03346830374</v>
      </c>
      <c r="O85">
        <f t="shared" si="19"/>
        <v>105619.7835489882</v>
      </c>
      <c r="P85">
        <f t="shared" si="20"/>
        <v>93783.151120590948</v>
      </c>
      <c r="Q85">
        <f t="shared" si="21"/>
        <v>7408.2129304208975</v>
      </c>
      <c r="R85">
        <f t="shared" si="22"/>
        <v>206811.14760000005</v>
      </c>
    </row>
    <row r="86" spans="1:18" x14ac:dyDescent="0.3">
      <c r="A86" t="s">
        <v>0</v>
      </c>
      <c r="B86" t="s">
        <v>0</v>
      </c>
      <c r="C86">
        <v>26</v>
      </c>
      <c r="D86">
        <v>28</v>
      </c>
      <c r="E86">
        <v>6</v>
      </c>
      <c r="F86">
        <v>20260106</v>
      </c>
      <c r="G86">
        <v>20260306</v>
      </c>
      <c r="H86">
        <v>76317.946299999996</v>
      </c>
      <c r="I86">
        <f t="shared" si="13"/>
        <v>60</v>
      </c>
      <c r="J86">
        <f t="shared" si="14"/>
        <v>1271.9657716666666</v>
      </c>
      <c r="K86">
        <f t="shared" si="15"/>
        <v>40110.115096766422</v>
      </c>
      <c r="L86">
        <f t="shared" si="16"/>
        <v>35615.041606666666</v>
      </c>
      <c r="M86">
        <f t="shared" si="17"/>
        <v>5626.6783232464222</v>
      </c>
      <c r="N86">
        <f t="shared" si="18"/>
        <v>81351.835026679502</v>
      </c>
      <c r="O86">
        <f t="shared" si="19"/>
        <v>37628.181454517129</v>
      </c>
      <c r="P86">
        <f t="shared" si="20"/>
        <v>33411.254115146345</v>
      </c>
      <c r="Q86">
        <f t="shared" si="21"/>
        <v>5278.5107303365248</v>
      </c>
      <c r="R86">
        <f t="shared" si="22"/>
        <v>76317.946299999996</v>
      </c>
    </row>
    <row r="87" spans="1:18" x14ac:dyDescent="0.3">
      <c r="A87" t="s">
        <v>0</v>
      </c>
      <c r="B87" t="s">
        <v>0</v>
      </c>
      <c r="C87">
        <v>25</v>
      </c>
      <c r="D87">
        <v>28</v>
      </c>
      <c r="E87">
        <v>7</v>
      </c>
      <c r="F87">
        <v>20260107</v>
      </c>
      <c r="G87">
        <v>20260307</v>
      </c>
      <c r="H87">
        <v>59227.735800000002</v>
      </c>
      <c r="I87">
        <f t="shared" si="13"/>
        <v>60</v>
      </c>
      <c r="J87">
        <f t="shared" si="14"/>
        <v>987.12893000000008</v>
      </c>
      <c r="K87">
        <f t="shared" si="15"/>
        <v>29930.848194861825</v>
      </c>
      <c r="L87">
        <f t="shared" si="16"/>
        <v>27639.610040000003</v>
      </c>
      <c r="M87">
        <f t="shared" si="17"/>
        <v>5094.4503296681414</v>
      </c>
      <c r="N87">
        <f t="shared" si="18"/>
        <v>62664.908564529971</v>
      </c>
      <c r="O87">
        <f t="shared" si="19"/>
        <v>28289.139963073361</v>
      </c>
      <c r="P87">
        <f t="shared" si="20"/>
        <v>26123.576313502384</v>
      </c>
      <c r="Q87">
        <f t="shared" si="21"/>
        <v>4815.0195234242547</v>
      </c>
      <c r="R87">
        <f t="shared" si="22"/>
        <v>59227.735800000002</v>
      </c>
    </row>
    <row r="88" spans="1:18" x14ac:dyDescent="0.3">
      <c r="A88" t="s">
        <v>0</v>
      </c>
      <c r="B88" t="s">
        <v>0</v>
      </c>
      <c r="C88">
        <v>24</v>
      </c>
      <c r="D88">
        <v>28</v>
      </c>
      <c r="E88">
        <v>2</v>
      </c>
      <c r="F88">
        <v>20260108</v>
      </c>
      <c r="G88">
        <v>20260302</v>
      </c>
      <c r="H88">
        <v>66652.575100000002</v>
      </c>
      <c r="I88">
        <f t="shared" si="13"/>
        <v>54</v>
      </c>
      <c r="J88">
        <f t="shared" si="14"/>
        <v>1234.3069462962962</v>
      </c>
      <c r="K88">
        <f t="shared" si="15"/>
        <v>35928.538414976443</v>
      </c>
      <c r="L88">
        <f t="shared" si="16"/>
        <v>34560.594496296297</v>
      </c>
      <c r="M88">
        <f t="shared" si="17"/>
        <v>1820.0301438032423</v>
      </c>
      <c r="N88">
        <f t="shared" si="18"/>
        <v>72309.163055075987</v>
      </c>
      <c r="O88">
        <f t="shared" si="19"/>
        <v>33117.927296620066</v>
      </c>
      <c r="P88">
        <f t="shared" si="20"/>
        <v>31856.994644101746</v>
      </c>
      <c r="Q88">
        <f t="shared" si="21"/>
        <v>1677.6531592781819</v>
      </c>
      <c r="R88">
        <f t="shared" si="22"/>
        <v>66652.575099999987</v>
      </c>
    </row>
    <row r="89" spans="1:18" x14ac:dyDescent="0.3">
      <c r="A89" t="s">
        <v>0</v>
      </c>
      <c r="B89" t="s">
        <v>0</v>
      </c>
      <c r="C89">
        <v>28</v>
      </c>
      <c r="D89">
        <v>28</v>
      </c>
      <c r="E89">
        <v>8</v>
      </c>
      <c r="F89">
        <v>20260104</v>
      </c>
      <c r="G89">
        <v>20260308</v>
      </c>
      <c r="H89">
        <v>26617.3734</v>
      </c>
      <c r="I89">
        <f t="shared" si="13"/>
        <v>64</v>
      </c>
      <c r="J89">
        <f t="shared" si="14"/>
        <v>415.89645937500001</v>
      </c>
      <c r="K89">
        <f t="shared" si="15"/>
        <v>14123.696937110008</v>
      </c>
      <c r="L89">
        <f t="shared" si="16"/>
        <v>11645.100862499999</v>
      </c>
      <c r="M89">
        <f t="shared" si="17"/>
        <v>2453.0173634195385</v>
      </c>
      <c r="N89">
        <f t="shared" si="18"/>
        <v>28221.815163029547</v>
      </c>
      <c r="O89">
        <f t="shared" si="19"/>
        <v>13320.748966422527</v>
      </c>
      <c r="P89">
        <f t="shared" si="20"/>
        <v>10983.063851395122</v>
      </c>
      <c r="Q89">
        <f t="shared" si="21"/>
        <v>2313.5605821823515</v>
      </c>
      <c r="R89">
        <f t="shared" si="22"/>
        <v>26617.3734</v>
      </c>
    </row>
    <row r="90" spans="1:18" x14ac:dyDescent="0.3">
      <c r="A90" t="s">
        <v>0</v>
      </c>
      <c r="B90" t="s">
        <v>0</v>
      </c>
      <c r="C90">
        <v>29</v>
      </c>
      <c r="D90">
        <v>28</v>
      </c>
      <c r="E90">
        <v>9</v>
      </c>
      <c r="F90">
        <v>20260103</v>
      </c>
      <c r="G90">
        <v>20260309</v>
      </c>
      <c r="H90">
        <v>6233.1821</v>
      </c>
      <c r="I90">
        <f t="shared" si="13"/>
        <v>66</v>
      </c>
      <c r="J90">
        <f t="shared" si="14"/>
        <v>94.442153030303032</v>
      </c>
      <c r="K90">
        <f t="shared" si="15"/>
        <v>3321.7658252942251</v>
      </c>
      <c r="L90">
        <f t="shared" si="16"/>
        <v>2644.3802848484847</v>
      </c>
      <c r="M90">
        <f t="shared" si="17"/>
        <v>626.66263561483538</v>
      </c>
      <c r="N90">
        <f t="shared" si="18"/>
        <v>6592.8087457575457</v>
      </c>
      <c r="O90">
        <f t="shared" si="19"/>
        <v>3140.5690777757527</v>
      </c>
      <c r="P90">
        <f t="shared" si="20"/>
        <v>2500.1337810257546</v>
      </c>
      <c r="Q90">
        <f t="shared" si="21"/>
        <v>592.47924119849233</v>
      </c>
      <c r="R90">
        <f t="shared" si="22"/>
        <v>6233.1821</v>
      </c>
    </row>
    <row r="91" spans="1:18" x14ac:dyDescent="0.3">
      <c r="A91" t="s">
        <v>0</v>
      </c>
      <c r="B91" t="s">
        <v>0</v>
      </c>
      <c r="C91">
        <v>24</v>
      </c>
      <c r="D91">
        <v>28</v>
      </c>
      <c r="E91">
        <v>6</v>
      </c>
      <c r="F91">
        <v>20260108</v>
      </c>
      <c r="G91">
        <v>20260306</v>
      </c>
      <c r="H91">
        <v>54426.763700000003</v>
      </c>
      <c r="I91">
        <f t="shared" si="13"/>
        <v>58</v>
      </c>
      <c r="J91">
        <f t="shared" si="14"/>
        <v>938.39247758620695</v>
      </c>
      <c r="K91">
        <f t="shared" si="15"/>
        <v>27314.980508250035</v>
      </c>
      <c r="L91">
        <f t="shared" si="16"/>
        <v>26274.989372413795</v>
      </c>
      <c r="M91">
        <f t="shared" si="17"/>
        <v>4151.0807365620749</v>
      </c>
      <c r="N91">
        <f t="shared" si="18"/>
        <v>57741.050617225905</v>
      </c>
      <c r="O91">
        <f t="shared" si="19"/>
        <v>25747.123990658962</v>
      </c>
      <c r="P91">
        <f t="shared" si="20"/>
        <v>24766.827456474199</v>
      </c>
      <c r="Q91">
        <f t="shared" si="21"/>
        <v>3912.8122528668414</v>
      </c>
      <c r="R91">
        <f t="shared" si="22"/>
        <v>54426.763700000003</v>
      </c>
    </row>
    <row r="92" spans="1:18" x14ac:dyDescent="0.3">
      <c r="A92" t="s">
        <v>0</v>
      </c>
      <c r="B92" t="s">
        <v>0</v>
      </c>
      <c r="C92">
        <v>23</v>
      </c>
      <c r="D92">
        <v>28</v>
      </c>
      <c r="E92">
        <v>9</v>
      </c>
      <c r="F92">
        <v>20260109</v>
      </c>
      <c r="G92">
        <v>20260309</v>
      </c>
      <c r="H92">
        <v>30257.094400000002</v>
      </c>
      <c r="I92">
        <f t="shared" si="13"/>
        <v>60</v>
      </c>
      <c r="J92">
        <f t="shared" si="14"/>
        <v>504.2849066666667</v>
      </c>
      <c r="K92">
        <f t="shared" si="15"/>
        <v>14067.241438591065</v>
      </c>
      <c r="L92">
        <f t="shared" si="16"/>
        <v>14119.977386666667</v>
      </c>
      <c r="M92">
        <f t="shared" si="17"/>
        <v>3346.1383351893351</v>
      </c>
      <c r="N92">
        <f t="shared" si="18"/>
        <v>31533.357160447067</v>
      </c>
      <c r="O92">
        <f t="shared" si="19"/>
        <v>13497.892088981978</v>
      </c>
      <c r="P92">
        <f t="shared" si="20"/>
        <v>13548.493632962156</v>
      </c>
      <c r="Q92">
        <f t="shared" si="21"/>
        <v>3210.7086780558689</v>
      </c>
      <c r="R92">
        <f t="shared" si="22"/>
        <v>30257.094400000002</v>
      </c>
    </row>
    <row r="93" spans="1:18" x14ac:dyDescent="0.3">
      <c r="A93" t="s">
        <v>0</v>
      </c>
      <c r="B93" t="s">
        <v>0</v>
      </c>
      <c r="C93">
        <v>27</v>
      </c>
      <c r="D93">
        <v>28</v>
      </c>
      <c r="E93">
        <v>0</v>
      </c>
      <c r="F93">
        <v>20260105</v>
      </c>
      <c r="G93">
        <v>20260228</v>
      </c>
      <c r="H93">
        <v>210.42240000000001</v>
      </c>
      <c r="I93">
        <f t="shared" si="13"/>
        <v>55</v>
      </c>
      <c r="J93">
        <f t="shared" si="14"/>
        <v>3.8258618181818185</v>
      </c>
      <c r="K93">
        <f t="shared" si="15"/>
        <v>125.28474111084911</v>
      </c>
      <c r="L93">
        <f t="shared" si="16"/>
        <v>107.12413090909092</v>
      </c>
      <c r="M93">
        <f t="shared" si="17"/>
        <v>0</v>
      </c>
      <c r="N93">
        <f t="shared" si="18"/>
        <v>232.40887201994002</v>
      </c>
      <c r="O93">
        <f t="shared" si="19"/>
        <v>113.43248508026703</v>
      </c>
      <c r="P93">
        <f t="shared" si="20"/>
        <v>96.989914919732982</v>
      </c>
      <c r="Q93">
        <f t="shared" si="21"/>
        <v>0</v>
      </c>
      <c r="R93">
        <f t="shared" si="22"/>
        <v>210.42240000000001</v>
      </c>
    </row>
    <row r="94" spans="1:18" x14ac:dyDescent="0.3">
      <c r="A94" t="s">
        <v>0</v>
      </c>
      <c r="B94" t="s">
        <v>0</v>
      </c>
      <c r="C94">
        <v>27</v>
      </c>
      <c r="D94">
        <v>14</v>
      </c>
      <c r="E94">
        <v>0</v>
      </c>
      <c r="F94">
        <v>20260105</v>
      </c>
      <c r="G94">
        <v>20260214</v>
      </c>
      <c r="H94">
        <v>378.4846</v>
      </c>
      <c r="I94">
        <f t="shared" si="13"/>
        <v>41</v>
      </c>
      <c r="J94">
        <f t="shared" si="14"/>
        <v>9.2313317073170733</v>
      </c>
      <c r="K94">
        <f t="shared" si="15"/>
        <v>302.2965956489308</v>
      </c>
      <c r="L94">
        <f t="shared" si="16"/>
        <v>129.23864390243904</v>
      </c>
      <c r="M94">
        <f t="shared" si="17"/>
        <v>0</v>
      </c>
      <c r="N94">
        <f t="shared" si="18"/>
        <v>431.53523955136984</v>
      </c>
      <c r="O94">
        <f t="shared" si="19"/>
        <v>265.1338653234771</v>
      </c>
      <c r="P94">
        <f t="shared" si="20"/>
        <v>113.3507346765229</v>
      </c>
      <c r="Q94">
        <f t="shared" si="21"/>
        <v>0</v>
      </c>
      <c r="R94">
        <f t="shared" si="22"/>
        <v>378.4846</v>
      </c>
    </row>
    <row r="95" spans="1:18" x14ac:dyDescent="0.3">
      <c r="A95" t="s">
        <v>0</v>
      </c>
      <c r="B95" t="s">
        <v>0</v>
      </c>
      <c r="C95">
        <v>25</v>
      </c>
      <c r="D95">
        <v>12</v>
      </c>
      <c r="E95">
        <v>0</v>
      </c>
      <c r="F95">
        <v>20260107</v>
      </c>
      <c r="G95">
        <v>20260212</v>
      </c>
      <c r="H95">
        <v>168.22319999999999</v>
      </c>
      <c r="I95">
        <f t="shared" si="13"/>
        <v>37</v>
      </c>
      <c r="J95">
        <f t="shared" si="14"/>
        <v>4.5465729729729727</v>
      </c>
      <c r="K95">
        <f t="shared" si="15"/>
        <v>137.85715454709208</v>
      </c>
      <c r="L95">
        <f t="shared" si="16"/>
        <v>54.558875675675672</v>
      </c>
      <c r="M95">
        <f t="shared" si="17"/>
        <v>0</v>
      </c>
      <c r="N95">
        <f t="shared" si="18"/>
        <v>192.41603022276774</v>
      </c>
      <c r="O95">
        <f t="shared" si="19"/>
        <v>120.52411461746452</v>
      </c>
      <c r="P95">
        <f t="shared" si="20"/>
        <v>47.699085382535465</v>
      </c>
      <c r="Q95">
        <f t="shared" si="21"/>
        <v>0</v>
      </c>
      <c r="R95">
        <f t="shared" si="22"/>
        <v>168.22319999999999</v>
      </c>
    </row>
    <row r="96" spans="1:18" x14ac:dyDescent="0.3">
      <c r="A96" t="s">
        <v>0</v>
      </c>
      <c r="B96" t="s">
        <v>0</v>
      </c>
      <c r="C96">
        <v>29</v>
      </c>
      <c r="D96">
        <v>20</v>
      </c>
      <c r="E96">
        <v>0</v>
      </c>
      <c r="F96">
        <v>20260103</v>
      </c>
      <c r="G96">
        <v>20260220</v>
      </c>
      <c r="H96">
        <v>126.1615</v>
      </c>
      <c r="I96">
        <f t="shared" si="13"/>
        <v>49</v>
      </c>
      <c r="J96">
        <f t="shared" si="14"/>
        <v>2.5747244897959183</v>
      </c>
      <c r="K96">
        <f t="shared" si="15"/>
        <v>90.559475248387912</v>
      </c>
      <c r="L96">
        <f t="shared" si="16"/>
        <v>51.494489795918369</v>
      </c>
      <c r="M96">
        <f t="shared" si="17"/>
        <v>0</v>
      </c>
      <c r="N96">
        <f t="shared" si="18"/>
        <v>142.05396504430627</v>
      </c>
      <c r="O96">
        <f t="shared" si="19"/>
        <v>80.428020667962542</v>
      </c>
      <c r="P96">
        <f t="shared" si="20"/>
        <v>45.733479332037483</v>
      </c>
      <c r="Q96">
        <f t="shared" si="21"/>
        <v>0</v>
      </c>
      <c r="R96">
        <f t="shared" si="22"/>
        <v>126.16150000000002</v>
      </c>
    </row>
    <row r="97" spans="1:18" x14ac:dyDescent="0.3">
      <c r="A97" t="s">
        <v>0</v>
      </c>
      <c r="B97" t="s">
        <v>0</v>
      </c>
      <c r="C97">
        <v>16</v>
      </c>
      <c r="D97">
        <v>28</v>
      </c>
      <c r="E97">
        <v>4</v>
      </c>
      <c r="F97">
        <v>20260116</v>
      </c>
      <c r="G97">
        <v>20260304</v>
      </c>
      <c r="H97">
        <v>84.283600000000007</v>
      </c>
      <c r="I97">
        <f t="shared" si="13"/>
        <v>48</v>
      </c>
      <c r="J97">
        <f t="shared" si="14"/>
        <v>1.7559083333333334</v>
      </c>
      <c r="K97">
        <f t="shared" si="15"/>
        <v>34.074301208272168</v>
      </c>
      <c r="L97">
        <f t="shared" si="16"/>
        <v>49.165433333333333</v>
      </c>
      <c r="M97">
        <f t="shared" si="17"/>
        <v>5.1783004316899026</v>
      </c>
      <c r="N97">
        <f t="shared" si="18"/>
        <v>88.418034973295406</v>
      </c>
      <c r="O97">
        <f t="shared" si="19"/>
        <v>32.480983932575747</v>
      </c>
      <c r="P97">
        <f t="shared" si="20"/>
        <v>46.866453412416178</v>
      </c>
      <c r="Q97">
        <f t="shared" si="21"/>
        <v>4.9361626550080802</v>
      </c>
      <c r="R97">
        <f t="shared" si="22"/>
        <v>84.283600000000007</v>
      </c>
    </row>
    <row r="98" spans="1:18" x14ac:dyDescent="0.3">
      <c r="A98" t="s">
        <v>0</v>
      </c>
      <c r="B98" t="s">
        <v>0</v>
      </c>
      <c r="C98">
        <v>20</v>
      </c>
      <c r="D98">
        <v>28</v>
      </c>
      <c r="E98">
        <v>5</v>
      </c>
      <c r="F98">
        <v>20260112</v>
      </c>
      <c r="G98">
        <v>20260305</v>
      </c>
      <c r="H98">
        <v>126.39870000000001</v>
      </c>
      <c r="I98">
        <f t="shared" si="13"/>
        <v>53</v>
      </c>
      <c r="J98">
        <f t="shared" si="14"/>
        <v>2.3848811320754719</v>
      </c>
      <c r="K98">
        <f t="shared" si="15"/>
        <v>57.849800938923885</v>
      </c>
      <c r="L98">
        <f t="shared" si="16"/>
        <v>66.776671698113219</v>
      </c>
      <c r="M98">
        <f t="shared" si="17"/>
        <v>8.7914832748640457</v>
      </c>
      <c r="N98">
        <f t="shared" si="18"/>
        <v>133.41795591190115</v>
      </c>
      <c r="O98">
        <f t="shared" si="19"/>
        <v>54.806263399561658</v>
      </c>
      <c r="P98">
        <f t="shared" si="20"/>
        <v>63.26348230474872</v>
      </c>
      <c r="Q98">
        <f t="shared" si="21"/>
        <v>8.3289542956896252</v>
      </c>
      <c r="R98">
        <f t="shared" si="22"/>
        <v>126.39870000000001</v>
      </c>
    </row>
    <row r="99" spans="1:18" x14ac:dyDescent="0.3">
      <c r="A99" t="s">
        <v>0</v>
      </c>
      <c r="B99" t="s">
        <v>0</v>
      </c>
      <c r="C99">
        <v>15</v>
      </c>
      <c r="D99">
        <v>28</v>
      </c>
      <c r="E99">
        <v>2</v>
      </c>
      <c r="F99">
        <v>20260117</v>
      </c>
      <c r="G99">
        <v>20260302</v>
      </c>
      <c r="H99">
        <v>758.44550000000004</v>
      </c>
      <c r="I99">
        <f t="shared" si="13"/>
        <v>45</v>
      </c>
      <c r="J99">
        <f t="shared" si="14"/>
        <v>16.854344444444447</v>
      </c>
      <c r="K99">
        <f t="shared" si="15"/>
        <v>306.62549318086309</v>
      </c>
      <c r="L99">
        <f t="shared" si="16"/>
        <v>471.9216444444445</v>
      </c>
      <c r="M99">
        <f t="shared" si="17"/>
        <v>24.852339229700771</v>
      </c>
      <c r="N99">
        <f t="shared" si="18"/>
        <v>803.3994768550084</v>
      </c>
      <c r="O99">
        <f t="shared" si="19"/>
        <v>289.46835564130788</v>
      </c>
      <c r="P99">
        <f t="shared" si="20"/>
        <v>445.51541031944805</v>
      </c>
      <c r="Q99">
        <f t="shared" si="21"/>
        <v>23.461734039244057</v>
      </c>
      <c r="R99">
        <f t="shared" si="22"/>
        <v>758.44550000000004</v>
      </c>
    </row>
    <row r="100" spans="1:18" x14ac:dyDescent="0.3">
      <c r="A100" t="s">
        <v>0</v>
      </c>
      <c r="B100" t="s">
        <v>0</v>
      </c>
      <c r="C100">
        <v>18</v>
      </c>
      <c r="D100">
        <v>28</v>
      </c>
      <c r="E100">
        <v>5</v>
      </c>
      <c r="F100">
        <v>20260114</v>
      </c>
      <c r="G100">
        <v>20260305</v>
      </c>
      <c r="H100">
        <v>505.67770000000002</v>
      </c>
      <c r="I100">
        <f t="shared" si="13"/>
        <v>51</v>
      </c>
      <c r="J100">
        <f t="shared" si="14"/>
        <v>9.9152490196078436</v>
      </c>
      <c r="K100">
        <f t="shared" si="15"/>
        <v>216.46180050512461</v>
      </c>
      <c r="L100">
        <f t="shared" si="16"/>
        <v>277.62697254901963</v>
      </c>
      <c r="M100">
        <f t="shared" si="17"/>
        <v>36.550981409347614</v>
      </c>
      <c r="N100">
        <f t="shared" si="18"/>
        <v>530.63975446349184</v>
      </c>
      <c r="O100">
        <f t="shared" si="19"/>
        <v>206.27912721684541</v>
      </c>
      <c r="P100">
        <f t="shared" si="20"/>
        <v>264.56700191732477</v>
      </c>
      <c r="Q100">
        <f t="shared" si="21"/>
        <v>34.831570865829839</v>
      </c>
      <c r="R100">
        <f t="shared" si="22"/>
        <v>505.67770000000002</v>
      </c>
    </row>
    <row r="101" spans="1:18" x14ac:dyDescent="0.3">
      <c r="A101" t="s">
        <v>0</v>
      </c>
      <c r="B101" t="s">
        <v>0</v>
      </c>
      <c r="C101">
        <v>31</v>
      </c>
      <c r="D101">
        <v>28</v>
      </c>
      <c r="E101">
        <v>4</v>
      </c>
      <c r="F101">
        <v>20251230</v>
      </c>
      <c r="G101">
        <v>20260304</v>
      </c>
      <c r="H101">
        <v>589.21010000000001</v>
      </c>
      <c r="I101">
        <f t="shared" si="13"/>
        <v>63</v>
      </c>
      <c r="J101">
        <f t="shared" si="14"/>
        <v>9.3525412698412698</v>
      </c>
      <c r="K101">
        <f t="shared" si="15"/>
        <v>351.63853550509469</v>
      </c>
      <c r="L101">
        <f t="shared" si="16"/>
        <v>261.87115555555556</v>
      </c>
      <c r="M101">
        <f t="shared" si="17"/>
        <v>27.581319352291555</v>
      </c>
      <c r="N101">
        <f t="shared" si="18"/>
        <v>641.09101041294184</v>
      </c>
      <c r="O101">
        <f t="shared" si="19"/>
        <v>323.18184673242433</v>
      </c>
      <c r="P101">
        <f t="shared" si="20"/>
        <v>240.67897887480598</v>
      </c>
      <c r="Q101">
        <f t="shared" si="21"/>
        <v>25.349274392769708</v>
      </c>
      <c r="R101">
        <f t="shared" si="22"/>
        <v>589.21010000000001</v>
      </c>
    </row>
    <row r="102" spans="1:18" x14ac:dyDescent="0.3">
      <c r="A102" t="s">
        <v>0</v>
      </c>
      <c r="B102" t="s">
        <v>0</v>
      </c>
      <c r="C102">
        <v>26</v>
      </c>
      <c r="D102">
        <v>2</v>
      </c>
      <c r="E102">
        <v>0</v>
      </c>
      <c r="F102">
        <v>20260106</v>
      </c>
      <c r="G102">
        <v>20260202</v>
      </c>
      <c r="H102">
        <v>1386.4395</v>
      </c>
      <c r="I102">
        <f t="shared" si="13"/>
        <v>28</v>
      </c>
      <c r="J102">
        <f t="shared" si="14"/>
        <v>49.515696428571424</v>
      </c>
      <c r="K102">
        <f t="shared" si="15"/>
        <v>1561.4258866763132</v>
      </c>
      <c r="L102">
        <f t="shared" si="16"/>
        <v>99.031392857142848</v>
      </c>
      <c r="M102">
        <f t="shared" si="17"/>
        <v>0</v>
      </c>
      <c r="N102">
        <f t="shared" si="18"/>
        <v>1660.4572795334561</v>
      </c>
      <c r="O102">
        <f t="shared" si="19"/>
        <v>1303.7508114745483</v>
      </c>
      <c r="P102">
        <f t="shared" si="20"/>
        <v>82.68868852545161</v>
      </c>
      <c r="Q102">
        <f t="shared" si="21"/>
        <v>0</v>
      </c>
      <c r="R102">
        <f t="shared" si="22"/>
        <v>1386.4395</v>
      </c>
    </row>
    <row r="103" spans="1:18" x14ac:dyDescent="0.3">
      <c r="A103" t="s">
        <v>0</v>
      </c>
      <c r="B103" t="s">
        <v>0</v>
      </c>
      <c r="C103">
        <v>31</v>
      </c>
      <c r="D103">
        <v>28</v>
      </c>
      <c r="E103">
        <v>3</v>
      </c>
      <c r="F103">
        <v>20251231</v>
      </c>
      <c r="G103">
        <v>20260303</v>
      </c>
      <c r="H103">
        <v>294.59129999999999</v>
      </c>
      <c r="I103">
        <f t="shared" si="13"/>
        <v>62</v>
      </c>
      <c r="J103">
        <f t="shared" si="14"/>
        <v>4.751472580645161</v>
      </c>
      <c r="K103">
        <f t="shared" si="15"/>
        <v>178.64672408754137</v>
      </c>
      <c r="L103">
        <f t="shared" si="16"/>
        <v>133.0412322580645</v>
      </c>
      <c r="M103">
        <f t="shared" si="17"/>
        <v>10.509326732111973</v>
      </c>
      <c r="N103">
        <f t="shared" si="18"/>
        <v>322.19728307771783</v>
      </c>
      <c r="O103">
        <f t="shared" si="19"/>
        <v>163.34020630768535</v>
      </c>
      <c r="P103">
        <f t="shared" si="20"/>
        <v>121.64220998428279</v>
      </c>
      <c r="Q103">
        <f t="shared" si="21"/>
        <v>9.6088837080318772</v>
      </c>
      <c r="R103">
        <f t="shared" si="22"/>
        <v>294.59130000000005</v>
      </c>
    </row>
    <row r="104" spans="1:18" x14ac:dyDescent="0.3">
      <c r="A104" t="s">
        <v>0</v>
      </c>
      <c r="B104" t="s">
        <v>0</v>
      </c>
      <c r="C104">
        <v>31</v>
      </c>
      <c r="D104">
        <v>28</v>
      </c>
      <c r="E104">
        <v>5</v>
      </c>
      <c r="F104">
        <v>20251231</v>
      </c>
      <c r="G104">
        <v>20260305</v>
      </c>
      <c r="H104">
        <v>631.40049999999997</v>
      </c>
      <c r="I104">
        <f t="shared" si="13"/>
        <v>64</v>
      </c>
      <c r="J104">
        <f t="shared" si="14"/>
        <v>9.8656328124999995</v>
      </c>
      <c r="K104">
        <f t="shared" si="15"/>
        <v>370.92984397783744</v>
      </c>
      <c r="L104">
        <f t="shared" si="16"/>
        <v>276.23771875</v>
      </c>
      <c r="M104">
        <f t="shared" si="17"/>
        <v>36.368079188736225</v>
      </c>
      <c r="N104">
        <f t="shared" si="18"/>
        <v>683.5356419165737</v>
      </c>
      <c r="O104">
        <f t="shared" si="19"/>
        <v>342.63800538014016</v>
      </c>
      <c r="P104">
        <f t="shared" si="20"/>
        <v>255.16830877839888</v>
      </c>
      <c r="Q104">
        <f t="shared" si="21"/>
        <v>33.594185841460899</v>
      </c>
      <c r="R104">
        <f t="shared" si="22"/>
        <v>631.40049999999997</v>
      </c>
    </row>
    <row r="105" spans="1:18" x14ac:dyDescent="0.3">
      <c r="A105" t="s">
        <v>0</v>
      </c>
      <c r="B105" t="s">
        <v>0</v>
      </c>
      <c r="C105">
        <v>9</v>
      </c>
      <c r="D105">
        <v>28</v>
      </c>
      <c r="E105">
        <v>4</v>
      </c>
      <c r="F105">
        <v>20260123</v>
      </c>
      <c r="G105">
        <v>20260304</v>
      </c>
      <c r="H105">
        <v>210.85220000000001</v>
      </c>
      <c r="I105">
        <f t="shared" si="13"/>
        <v>41</v>
      </c>
      <c r="J105">
        <f t="shared" si="14"/>
        <v>5.1427365853658538</v>
      </c>
      <c r="K105">
        <f t="shared" si="15"/>
        <v>56.136059648651035</v>
      </c>
      <c r="L105">
        <f t="shared" si="16"/>
        <v>143.99662439024391</v>
      </c>
      <c r="M105">
        <f t="shared" si="17"/>
        <v>15.166301437566002</v>
      </c>
      <c r="N105">
        <f t="shared" si="18"/>
        <v>215.29898547646096</v>
      </c>
      <c r="O105">
        <f t="shared" si="19"/>
        <v>54.976625412586515</v>
      </c>
      <c r="P105">
        <f t="shared" si="20"/>
        <v>141.02251795597115</v>
      </c>
      <c r="Q105">
        <f t="shared" si="21"/>
        <v>14.853056631442328</v>
      </c>
      <c r="R105">
        <f t="shared" si="22"/>
        <v>210.85219999999998</v>
      </c>
    </row>
    <row r="106" spans="1:18" x14ac:dyDescent="0.3">
      <c r="A106" t="s">
        <v>0</v>
      </c>
      <c r="B106" t="s">
        <v>0</v>
      </c>
      <c r="C106">
        <v>9</v>
      </c>
      <c r="D106">
        <v>28</v>
      </c>
      <c r="E106">
        <v>3</v>
      </c>
      <c r="F106">
        <v>20260123</v>
      </c>
      <c r="G106">
        <v>20260303</v>
      </c>
      <c r="H106">
        <v>590.31700000000001</v>
      </c>
      <c r="I106">
        <f t="shared" si="13"/>
        <v>40</v>
      </c>
      <c r="J106">
        <f t="shared" si="14"/>
        <v>14.757925</v>
      </c>
      <c r="K106">
        <f t="shared" si="15"/>
        <v>161.091618117824</v>
      </c>
      <c r="L106">
        <f t="shared" si="16"/>
        <v>413.22190000000001</v>
      </c>
      <c r="M106">
        <f t="shared" si="17"/>
        <v>32.641639635000161</v>
      </c>
      <c r="N106">
        <f t="shared" si="18"/>
        <v>606.95515775282422</v>
      </c>
      <c r="O106">
        <f t="shared" si="19"/>
        <v>156.67569427128248</v>
      </c>
      <c r="P106">
        <f t="shared" si="20"/>
        <v>401.89445501283404</v>
      </c>
      <c r="Q106">
        <f t="shared" si="21"/>
        <v>31.746850715883433</v>
      </c>
      <c r="R106">
        <f t="shared" si="22"/>
        <v>590.31699999999989</v>
      </c>
    </row>
    <row r="107" spans="1:18" x14ac:dyDescent="0.3">
      <c r="A107" t="s">
        <v>0</v>
      </c>
      <c r="B107" t="s">
        <v>0</v>
      </c>
      <c r="C107">
        <v>8</v>
      </c>
      <c r="D107">
        <v>28</v>
      </c>
      <c r="E107">
        <v>1</v>
      </c>
      <c r="F107">
        <v>20260124</v>
      </c>
      <c r="G107">
        <v>20260301</v>
      </c>
      <c r="H107">
        <v>758.85469999999998</v>
      </c>
      <c r="I107">
        <f t="shared" si="13"/>
        <v>37</v>
      </c>
      <c r="J107">
        <f t="shared" si="14"/>
        <v>20.509586486486487</v>
      </c>
      <c r="K107">
        <f t="shared" si="15"/>
        <v>198.99951903268936</v>
      </c>
      <c r="L107">
        <f t="shared" si="16"/>
        <v>574.26842162162166</v>
      </c>
      <c r="M107">
        <f t="shared" si="17"/>
        <v>15.121062777112659</v>
      </c>
      <c r="N107">
        <f t="shared" si="18"/>
        <v>788.3890034314237</v>
      </c>
      <c r="O107">
        <f t="shared" si="19"/>
        <v>191.54468118964724</v>
      </c>
      <c r="P107">
        <f t="shared" si="20"/>
        <v>552.7554150456325</v>
      </c>
      <c r="Q107">
        <f t="shared" si="21"/>
        <v>14.554603764720184</v>
      </c>
      <c r="R107">
        <f t="shared" si="22"/>
        <v>758.85469999999987</v>
      </c>
    </row>
    <row r="108" spans="1:18" x14ac:dyDescent="0.3">
      <c r="A108" t="s">
        <v>0</v>
      </c>
      <c r="B108" t="s">
        <v>0</v>
      </c>
      <c r="C108">
        <v>21</v>
      </c>
      <c r="D108">
        <v>28</v>
      </c>
      <c r="E108">
        <v>1</v>
      </c>
      <c r="F108">
        <v>20260111</v>
      </c>
      <c r="G108">
        <v>20260301</v>
      </c>
      <c r="H108">
        <v>631.66740000000004</v>
      </c>
      <c r="I108">
        <f t="shared" si="13"/>
        <v>50</v>
      </c>
      <c r="J108">
        <f t="shared" si="14"/>
        <v>12.633348000000002</v>
      </c>
      <c r="K108">
        <f t="shared" si="15"/>
        <v>321.76802861194989</v>
      </c>
      <c r="L108">
        <f t="shared" si="16"/>
        <v>353.73374400000006</v>
      </c>
      <c r="M108">
        <f t="shared" si="17"/>
        <v>9.3141638091522587</v>
      </c>
      <c r="N108">
        <f t="shared" si="18"/>
        <v>684.81593642110215</v>
      </c>
      <c r="O108">
        <f t="shared" si="19"/>
        <v>296.79562525755057</v>
      </c>
      <c r="P108">
        <f t="shared" si="20"/>
        <v>326.28048280019618</v>
      </c>
      <c r="Q108">
        <f t="shared" si="21"/>
        <v>8.5912919422533598</v>
      </c>
      <c r="R108">
        <f t="shared" si="22"/>
        <v>631.66740000000016</v>
      </c>
    </row>
    <row r="109" spans="1:18" x14ac:dyDescent="0.3">
      <c r="A109" t="s">
        <v>0</v>
      </c>
      <c r="B109" t="s">
        <v>0</v>
      </c>
      <c r="C109">
        <v>28</v>
      </c>
      <c r="D109">
        <v>28</v>
      </c>
      <c r="E109">
        <v>10</v>
      </c>
      <c r="F109">
        <v>20260104</v>
      </c>
      <c r="G109">
        <v>20260310</v>
      </c>
      <c r="H109">
        <v>1221.4812999999999</v>
      </c>
      <c r="I109">
        <f t="shared" si="13"/>
        <v>66</v>
      </c>
      <c r="J109">
        <f t="shared" si="14"/>
        <v>18.507292424242422</v>
      </c>
      <c r="K109">
        <f t="shared" si="15"/>
        <v>628.50111712728972</v>
      </c>
      <c r="L109">
        <f t="shared" si="16"/>
        <v>518.20418787878782</v>
      </c>
      <c r="M109">
        <f t="shared" si="17"/>
        <v>136.44835343986134</v>
      </c>
      <c r="N109">
        <f t="shared" si="18"/>
        <v>1283.1536584459391</v>
      </c>
      <c r="O109">
        <f t="shared" si="19"/>
        <v>598.29339732380799</v>
      </c>
      <c r="P109">
        <f t="shared" si="20"/>
        <v>493.29768177744251</v>
      </c>
      <c r="Q109">
        <f t="shared" si="21"/>
        <v>129.89022089874925</v>
      </c>
      <c r="R109">
        <f t="shared" si="22"/>
        <v>1221.4812999999997</v>
      </c>
    </row>
    <row r="110" spans="1:18" x14ac:dyDescent="0.3">
      <c r="A110" t="s">
        <v>0</v>
      </c>
      <c r="B110" t="s">
        <v>0</v>
      </c>
      <c r="C110">
        <v>19</v>
      </c>
      <c r="D110">
        <v>28</v>
      </c>
      <c r="E110">
        <v>9</v>
      </c>
      <c r="F110">
        <v>20260113</v>
      </c>
      <c r="G110">
        <v>20260309</v>
      </c>
      <c r="H110">
        <v>84.301400000000001</v>
      </c>
      <c r="I110">
        <f t="shared" si="13"/>
        <v>56</v>
      </c>
      <c r="J110">
        <f t="shared" si="14"/>
        <v>1.5053821428571428</v>
      </c>
      <c r="K110">
        <f t="shared" si="15"/>
        <v>34.690095587377662</v>
      </c>
      <c r="L110">
        <f t="shared" si="16"/>
        <v>42.150700000000001</v>
      </c>
      <c r="M110">
        <f t="shared" si="17"/>
        <v>9.9888313743511734</v>
      </c>
      <c r="N110">
        <f t="shared" si="18"/>
        <v>86.829626961728849</v>
      </c>
      <c r="O110">
        <f t="shared" si="19"/>
        <v>33.68002059295651</v>
      </c>
      <c r="P110">
        <f t="shared" si="20"/>
        <v>40.923393838213599</v>
      </c>
      <c r="Q110">
        <f t="shared" si="21"/>
        <v>9.6979855688298766</v>
      </c>
      <c r="R110">
        <f t="shared" si="22"/>
        <v>84.301399999999987</v>
      </c>
    </row>
    <row r="111" spans="1:18" x14ac:dyDescent="0.3">
      <c r="A111" t="s">
        <v>0</v>
      </c>
      <c r="B111" t="s">
        <v>0</v>
      </c>
      <c r="C111">
        <v>0</v>
      </c>
      <c r="D111">
        <v>23</v>
      </c>
      <c r="E111">
        <v>5</v>
      </c>
      <c r="F111">
        <v>20260206</v>
      </c>
      <c r="G111">
        <v>20260305</v>
      </c>
      <c r="H111">
        <v>802.38390000000004</v>
      </c>
      <c r="I111">
        <f t="shared" si="13"/>
        <v>28</v>
      </c>
      <c r="J111">
        <f t="shared" si="14"/>
        <v>28.656567857142857</v>
      </c>
      <c r="K111">
        <f t="shared" si="15"/>
        <v>0</v>
      </c>
      <c r="L111">
        <f t="shared" si="16"/>
        <v>659.10106071428572</v>
      </c>
      <c r="M111">
        <f t="shared" si="17"/>
        <v>105.63785911284795</v>
      </c>
      <c r="N111">
        <f t="shared" si="18"/>
        <v>764.73891982713371</v>
      </c>
      <c r="O111">
        <f t="shared" si="19"/>
        <v>0</v>
      </c>
      <c r="P111">
        <f t="shared" si="20"/>
        <v>691.54591963177495</v>
      </c>
      <c r="Q111">
        <f t="shared" si="21"/>
        <v>110.83798036822505</v>
      </c>
      <c r="R111">
        <f t="shared" si="22"/>
        <v>802.38390000000004</v>
      </c>
    </row>
    <row r="112" spans="1:18" x14ac:dyDescent="0.3">
      <c r="A112" t="s">
        <v>0</v>
      </c>
      <c r="B112" t="s">
        <v>0</v>
      </c>
      <c r="C112">
        <v>0</v>
      </c>
      <c r="D112">
        <v>19</v>
      </c>
      <c r="E112">
        <v>3</v>
      </c>
      <c r="F112">
        <v>20260210</v>
      </c>
      <c r="G112">
        <v>20260303</v>
      </c>
      <c r="H112">
        <v>168.95060000000001</v>
      </c>
      <c r="I112">
        <f t="shared" si="13"/>
        <v>22</v>
      </c>
      <c r="J112">
        <f t="shared" si="14"/>
        <v>7.6795727272727277</v>
      </c>
      <c r="K112">
        <f t="shared" si="15"/>
        <v>0</v>
      </c>
      <c r="L112">
        <f t="shared" si="16"/>
        <v>145.91188181818183</v>
      </c>
      <c r="M112">
        <f t="shared" si="17"/>
        <v>16.985710763160249</v>
      </c>
      <c r="N112">
        <f t="shared" si="18"/>
        <v>162.89759258134208</v>
      </c>
      <c r="O112">
        <f t="shared" si="19"/>
        <v>0</v>
      </c>
      <c r="P112">
        <f t="shared" si="20"/>
        <v>151.33372807827786</v>
      </c>
      <c r="Q112">
        <f t="shared" si="21"/>
        <v>17.616871921722165</v>
      </c>
      <c r="R112">
        <f t="shared" si="22"/>
        <v>168.95060000000001</v>
      </c>
    </row>
    <row r="113" spans="1:18" x14ac:dyDescent="0.3">
      <c r="A113" t="s">
        <v>0</v>
      </c>
      <c r="B113" t="s">
        <v>0</v>
      </c>
      <c r="C113">
        <v>0</v>
      </c>
      <c r="D113">
        <v>27</v>
      </c>
      <c r="E113">
        <v>1</v>
      </c>
      <c r="F113">
        <v>20260202</v>
      </c>
      <c r="G113">
        <v>20260301</v>
      </c>
      <c r="H113">
        <v>1054.9527</v>
      </c>
      <c r="I113">
        <f t="shared" si="13"/>
        <v>28</v>
      </c>
      <c r="J113">
        <f t="shared" si="14"/>
        <v>37.676882142857146</v>
      </c>
      <c r="K113">
        <f t="shared" si="15"/>
        <v>0</v>
      </c>
      <c r="L113">
        <f t="shared" si="16"/>
        <v>1017.2758178571429</v>
      </c>
      <c r="M113">
        <f t="shared" si="17"/>
        <v>27.777961320838703</v>
      </c>
      <c r="N113">
        <f t="shared" si="18"/>
        <v>1045.0537791779816</v>
      </c>
      <c r="O113">
        <f t="shared" si="19"/>
        <v>0</v>
      </c>
      <c r="P113">
        <f t="shared" si="20"/>
        <v>1026.9116212729659</v>
      </c>
      <c r="Q113">
        <f t="shared" si="21"/>
        <v>28.041078727034161</v>
      </c>
      <c r="R113">
        <f t="shared" si="22"/>
        <v>1054.9527</v>
      </c>
    </row>
    <row r="114" spans="1:18" x14ac:dyDescent="0.3">
      <c r="A114" t="s">
        <v>0</v>
      </c>
      <c r="B114" t="s">
        <v>0</v>
      </c>
      <c r="C114">
        <v>0</v>
      </c>
      <c r="D114">
        <v>24</v>
      </c>
      <c r="E114">
        <v>5</v>
      </c>
      <c r="F114">
        <v>20260205</v>
      </c>
      <c r="G114">
        <v>20260305</v>
      </c>
      <c r="H114">
        <v>126.67440000000001</v>
      </c>
      <c r="I114">
        <f t="shared" si="13"/>
        <v>29</v>
      </c>
      <c r="J114">
        <f t="shared" si="14"/>
        <v>4.3680827586206901</v>
      </c>
      <c r="K114">
        <f t="shared" si="15"/>
        <v>0</v>
      </c>
      <c r="L114">
        <f t="shared" si="16"/>
        <v>104.83398620689655</v>
      </c>
      <c r="M114">
        <f t="shared" si="17"/>
        <v>16.102239226579837</v>
      </c>
      <c r="N114">
        <f t="shared" si="18"/>
        <v>120.93622543347639</v>
      </c>
      <c r="O114">
        <f t="shared" si="19"/>
        <v>0</v>
      </c>
      <c r="P114">
        <f t="shared" si="20"/>
        <v>109.80814271958347</v>
      </c>
      <c r="Q114">
        <f t="shared" si="21"/>
        <v>16.866257280416519</v>
      </c>
      <c r="R114">
        <f t="shared" si="22"/>
        <v>126.67439999999999</v>
      </c>
    </row>
    <row r="115" spans="1:18" x14ac:dyDescent="0.3">
      <c r="A115" t="s">
        <v>0</v>
      </c>
      <c r="B115" t="s">
        <v>0</v>
      </c>
      <c r="C115">
        <v>0</v>
      </c>
      <c r="D115">
        <v>10</v>
      </c>
      <c r="E115">
        <v>1</v>
      </c>
      <c r="F115">
        <v>20260219</v>
      </c>
      <c r="G115">
        <v>20260301</v>
      </c>
      <c r="H115">
        <v>126.79300000000001</v>
      </c>
      <c r="I115">
        <f t="shared" si="13"/>
        <v>11</v>
      </c>
      <c r="J115">
        <f t="shared" si="14"/>
        <v>11.526636363636364</v>
      </c>
      <c r="K115">
        <f t="shared" si="15"/>
        <v>0</v>
      </c>
      <c r="L115">
        <f t="shared" si="16"/>
        <v>115.26636363636364</v>
      </c>
      <c r="M115">
        <f t="shared" si="17"/>
        <v>8.4982206822324695</v>
      </c>
      <c r="N115">
        <f t="shared" si="18"/>
        <v>123.76458431859611</v>
      </c>
      <c r="O115">
        <f t="shared" si="19"/>
        <v>0</v>
      </c>
      <c r="P115">
        <f t="shared" si="20"/>
        <v>118.08683497795661</v>
      </c>
      <c r="Q115">
        <f t="shared" si="21"/>
        <v>8.7061650220433933</v>
      </c>
      <c r="R115">
        <f t="shared" si="22"/>
        <v>126.79300000000001</v>
      </c>
    </row>
    <row r="116" spans="1:18" x14ac:dyDescent="0.3">
      <c r="A116" t="s">
        <v>0</v>
      </c>
      <c r="B116" t="s">
        <v>0</v>
      </c>
      <c r="C116">
        <v>0</v>
      </c>
      <c r="D116">
        <v>18</v>
      </c>
      <c r="E116">
        <v>1</v>
      </c>
      <c r="F116">
        <v>20260211</v>
      </c>
      <c r="G116">
        <v>20260301</v>
      </c>
      <c r="H116">
        <v>168.89920000000001</v>
      </c>
      <c r="I116">
        <f t="shared" si="13"/>
        <v>19</v>
      </c>
      <c r="J116">
        <f t="shared" si="14"/>
        <v>8.8894315789473684</v>
      </c>
      <c r="K116">
        <f t="shared" si="15"/>
        <v>0</v>
      </c>
      <c r="L116">
        <f t="shared" si="16"/>
        <v>160.00976842105263</v>
      </c>
      <c r="M116">
        <f t="shared" si="17"/>
        <v>6.5538938606430213</v>
      </c>
      <c r="N116">
        <f t="shared" si="18"/>
        <v>166.56366228169566</v>
      </c>
      <c r="O116">
        <f t="shared" si="19"/>
        <v>0</v>
      </c>
      <c r="P116">
        <f t="shared" si="20"/>
        <v>162.25340814609956</v>
      </c>
      <c r="Q116">
        <f t="shared" si="21"/>
        <v>6.6457918539004446</v>
      </c>
      <c r="R116">
        <f t="shared" si="22"/>
        <v>168.89920000000001</v>
      </c>
    </row>
    <row r="117" spans="1:18" x14ac:dyDescent="0.3">
      <c r="A117" t="s">
        <v>0</v>
      </c>
      <c r="B117" t="s">
        <v>0</v>
      </c>
      <c r="C117">
        <v>0</v>
      </c>
      <c r="D117">
        <v>16</v>
      </c>
      <c r="E117">
        <v>5</v>
      </c>
      <c r="F117">
        <v>20260213</v>
      </c>
      <c r="G117">
        <v>20260305</v>
      </c>
      <c r="H117">
        <v>464.9076</v>
      </c>
      <c r="I117">
        <f t="shared" si="13"/>
        <v>21</v>
      </c>
      <c r="J117">
        <f t="shared" si="14"/>
        <v>22.138457142857142</v>
      </c>
      <c r="K117">
        <f t="shared" si="15"/>
        <v>0</v>
      </c>
      <c r="L117">
        <f t="shared" si="16"/>
        <v>354.21531428571427</v>
      </c>
      <c r="M117">
        <f t="shared" si="17"/>
        <v>81.609885325120572</v>
      </c>
      <c r="N117">
        <f t="shared" si="18"/>
        <v>435.82519961083483</v>
      </c>
      <c r="O117">
        <f t="shared" si="19"/>
        <v>0</v>
      </c>
      <c r="P117">
        <f t="shared" si="20"/>
        <v>377.85192732054946</v>
      </c>
      <c r="Q117">
        <f t="shared" si="21"/>
        <v>87.055672679450524</v>
      </c>
      <c r="R117">
        <f t="shared" si="22"/>
        <v>464.9076</v>
      </c>
    </row>
    <row r="118" spans="1:18" x14ac:dyDescent="0.3">
      <c r="A118" t="s">
        <v>0</v>
      </c>
      <c r="B118" t="s">
        <v>0</v>
      </c>
      <c r="C118">
        <v>0</v>
      </c>
      <c r="D118">
        <v>10</v>
      </c>
      <c r="E118">
        <v>5</v>
      </c>
      <c r="F118">
        <v>20260219</v>
      </c>
      <c r="G118">
        <v>20260305</v>
      </c>
      <c r="H118">
        <v>42.3157</v>
      </c>
      <c r="I118">
        <f t="shared" si="13"/>
        <v>15</v>
      </c>
      <c r="J118">
        <f t="shared" si="14"/>
        <v>2.8210466666666667</v>
      </c>
      <c r="K118">
        <f t="shared" si="15"/>
        <v>0</v>
      </c>
      <c r="L118">
        <f t="shared" si="16"/>
        <v>28.210466666666669</v>
      </c>
      <c r="M118">
        <f t="shared" si="17"/>
        <v>10.39933783451397</v>
      </c>
      <c r="N118">
        <f t="shared" si="18"/>
        <v>38.609804501180641</v>
      </c>
      <c r="O118">
        <f t="shared" si="19"/>
        <v>0</v>
      </c>
      <c r="P118">
        <f t="shared" si="20"/>
        <v>30.91819965807295</v>
      </c>
      <c r="Q118">
        <f t="shared" si="21"/>
        <v>11.397500341927048</v>
      </c>
      <c r="R118">
        <f t="shared" si="22"/>
        <v>42.3157</v>
      </c>
    </row>
    <row r="119" spans="1:18" x14ac:dyDescent="0.3">
      <c r="A119" t="s">
        <v>0</v>
      </c>
      <c r="B119" t="s">
        <v>0</v>
      </c>
      <c r="C119">
        <v>26</v>
      </c>
      <c r="D119">
        <v>9</v>
      </c>
      <c r="E119">
        <v>0</v>
      </c>
      <c r="F119">
        <v>20260106</v>
      </c>
      <c r="G119">
        <v>20260209</v>
      </c>
      <c r="H119">
        <v>1135.0531000000001</v>
      </c>
      <c r="I119">
        <f t="shared" si="13"/>
        <v>35</v>
      </c>
      <c r="J119">
        <f t="shared" si="14"/>
        <v>32.430088571428577</v>
      </c>
      <c r="K119">
        <f t="shared" si="15"/>
        <v>1022.6490477758018</v>
      </c>
      <c r="L119">
        <f t="shared" si="16"/>
        <v>291.87079714285721</v>
      </c>
      <c r="M119">
        <f t="shared" si="17"/>
        <v>0</v>
      </c>
      <c r="N119">
        <f t="shared" si="18"/>
        <v>1314.5198449186591</v>
      </c>
      <c r="O119">
        <f t="shared" si="19"/>
        <v>883.03039043263618</v>
      </c>
      <c r="P119">
        <f t="shared" si="20"/>
        <v>252.02270956736373</v>
      </c>
      <c r="Q119">
        <f t="shared" si="21"/>
        <v>0</v>
      </c>
      <c r="R119">
        <f t="shared" si="22"/>
        <v>1135.0530999999999</v>
      </c>
    </row>
    <row r="120" spans="1:18" x14ac:dyDescent="0.3">
      <c r="A120" t="s">
        <v>0</v>
      </c>
      <c r="B120" t="s">
        <v>0</v>
      </c>
      <c r="C120">
        <v>28</v>
      </c>
      <c r="D120">
        <v>6</v>
      </c>
      <c r="E120">
        <v>0</v>
      </c>
      <c r="F120">
        <v>20260104</v>
      </c>
      <c r="G120">
        <v>20260206</v>
      </c>
      <c r="H120">
        <v>336.17779999999999</v>
      </c>
      <c r="I120">
        <f t="shared" si="13"/>
        <v>34</v>
      </c>
      <c r="J120">
        <f t="shared" si="14"/>
        <v>9.8875823529411768</v>
      </c>
      <c r="K120">
        <f t="shared" si="15"/>
        <v>335.77880610842425</v>
      </c>
      <c r="L120">
        <f t="shared" si="16"/>
        <v>59.325494117647061</v>
      </c>
      <c r="M120">
        <f t="shared" si="17"/>
        <v>0</v>
      </c>
      <c r="N120">
        <f t="shared" si="18"/>
        <v>395.1043002260713</v>
      </c>
      <c r="O120">
        <f t="shared" si="19"/>
        <v>285.70020690629792</v>
      </c>
      <c r="P120">
        <f t="shared" si="20"/>
        <v>50.477593093702076</v>
      </c>
      <c r="Q120">
        <f t="shared" si="21"/>
        <v>0</v>
      </c>
      <c r="R120">
        <f t="shared" si="22"/>
        <v>336.17779999999999</v>
      </c>
    </row>
    <row r="121" spans="1:18" x14ac:dyDescent="0.3">
      <c r="A121" t="s">
        <v>0</v>
      </c>
      <c r="B121" t="s">
        <v>0</v>
      </c>
      <c r="C121">
        <v>30</v>
      </c>
      <c r="D121">
        <v>2</v>
      </c>
      <c r="E121">
        <v>0</v>
      </c>
      <c r="F121">
        <v>20260102</v>
      </c>
      <c r="G121">
        <v>20260202</v>
      </c>
      <c r="H121">
        <v>1344.0786000000001</v>
      </c>
      <c r="I121">
        <f t="shared" si="13"/>
        <v>32</v>
      </c>
      <c r="J121">
        <f t="shared" si="14"/>
        <v>42.002456250000002</v>
      </c>
      <c r="K121">
        <f t="shared" si="15"/>
        <v>1528.2734852032856</v>
      </c>
      <c r="L121">
        <f t="shared" si="16"/>
        <v>84.004912500000003</v>
      </c>
      <c r="M121">
        <f t="shared" si="17"/>
        <v>0</v>
      </c>
      <c r="N121">
        <f t="shared" si="18"/>
        <v>1612.2783977032857</v>
      </c>
      <c r="O121">
        <f t="shared" si="19"/>
        <v>1274.0477632989914</v>
      </c>
      <c r="P121">
        <f t="shared" si="20"/>
        <v>70.030836701008539</v>
      </c>
      <c r="Q121">
        <f t="shared" si="21"/>
        <v>0</v>
      </c>
      <c r="R121">
        <f t="shared" si="22"/>
        <v>1344.0786000000001</v>
      </c>
    </row>
    <row r="122" spans="1:18" x14ac:dyDescent="0.3">
      <c r="A122" t="s">
        <v>0</v>
      </c>
      <c r="B122" t="s">
        <v>0</v>
      </c>
      <c r="C122">
        <v>24</v>
      </c>
      <c r="D122">
        <v>2</v>
      </c>
      <c r="E122">
        <v>0</v>
      </c>
      <c r="F122">
        <v>20260108</v>
      </c>
      <c r="G122">
        <v>20260202</v>
      </c>
      <c r="H122">
        <v>336.16199999999998</v>
      </c>
      <c r="I122">
        <f t="shared" si="13"/>
        <v>26</v>
      </c>
      <c r="J122">
        <f t="shared" si="14"/>
        <v>12.929307692307692</v>
      </c>
      <c r="K122">
        <f t="shared" si="15"/>
        <v>376.34976412959145</v>
      </c>
      <c r="L122">
        <f t="shared" si="16"/>
        <v>25.858615384615383</v>
      </c>
      <c r="M122">
        <f t="shared" si="17"/>
        <v>0</v>
      </c>
      <c r="N122">
        <f t="shared" si="18"/>
        <v>402.20837951420685</v>
      </c>
      <c r="O122">
        <f t="shared" si="19"/>
        <v>314.54961122922839</v>
      </c>
      <c r="P122">
        <f t="shared" si="20"/>
        <v>21.612388770771577</v>
      </c>
      <c r="Q122">
        <f t="shared" si="21"/>
        <v>0</v>
      </c>
      <c r="R122">
        <f t="shared" si="22"/>
        <v>336.16199999999998</v>
      </c>
    </row>
    <row r="123" spans="1:18" x14ac:dyDescent="0.3">
      <c r="A123" t="s">
        <v>0</v>
      </c>
      <c r="B123" t="s">
        <v>0</v>
      </c>
      <c r="C123">
        <v>30</v>
      </c>
      <c r="D123">
        <v>4</v>
      </c>
      <c r="E123">
        <v>0</v>
      </c>
      <c r="F123">
        <v>20260102</v>
      </c>
      <c r="G123">
        <v>20260204</v>
      </c>
      <c r="H123">
        <v>882.32129999999995</v>
      </c>
      <c r="I123">
        <f t="shared" si="13"/>
        <v>34</v>
      </c>
      <c r="J123">
        <f t="shared" si="14"/>
        <v>25.950626470588233</v>
      </c>
      <c r="K123">
        <f t="shared" si="15"/>
        <v>944.22226460659715</v>
      </c>
      <c r="L123">
        <f t="shared" si="16"/>
        <v>103.80250588235293</v>
      </c>
      <c r="M123">
        <f t="shared" si="17"/>
        <v>0</v>
      </c>
      <c r="N123">
        <f t="shared" si="18"/>
        <v>1048.02477048895</v>
      </c>
      <c r="O123">
        <f t="shared" si="19"/>
        <v>794.93103546393775</v>
      </c>
      <c r="P123">
        <f t="shared" si="20"/>
        <v>87.390264536062261</v>
      </c>
      <c r="Q123">
        <f t="shared" si="21"/>
        <v>0</v>
      </c>
      <c r="R123">
        <f t="shared" si="22"/>
        <v>882.32130000000006</v>
      </c>
    </row>
    <row r="124" spans="1:18" x14ac:dyDescent="0.3">
      <c r="A124" t="s">
        <v>0</v>
      </c>
      <c r="B124" t="s">
        <v>0</v>
      </c>
      <c r="C124">
        <v>24</v>
      </c>
      <c r="D124">
        <v>9</v>
      </c>
      <c r="E124">
        <v>0</v>
      </c>
      <c r="F124">
        <v>20260108</v>
      </c>
      <c r="G124">
        <v>20260209</v>
      </c>
      <c r="H124">
        <v>294.32159999999999</v>
      </c>
      <c r="I124">
        <f t="shared" si="13"/>
        <v>33</v>
      </c>
      <c r="J124">
        <f t="shared" si="14"/>
        <v>8.9188363636363626</v>
      </c>
      <c r="K124">
        <f t="shared" si="15"/>
        <v>259.6118865484176</v>
      </c>
      <c r="L124">
        <f t="shared" si="16"/>
        <v>80.26952727272726</v>
      </c>
      <c r="M124">
        <f t="shared" si="17"/>
        <v>0</v>
      </c>
      <c r="N124">
        <f t="shared" si="18"/>
        <v>339.88141382114486</v>
      </c>
      <c r="O124">
        <f t="shared" si="19"/>
        <v>224.81189827036999</v>
      </c>
      <c r="P124">
        <f t="shared" si="20"/>
        <v>69.509701729629995</v>
      </c>
      <c r="Q124">
        <f t="shared" si="21"/>
        <v>0</v>
      </c>
      <c r="R124">
        <f t="shared" si="22"/>
        <v>294.32159999999999</v>
      </c>
    </row>
    <row r="125" spans="1:18" x14ac:dyDescent="0.3">
      <c r="A125" t="s">
        <v>0</v>
      </c>
      <c r="B125" t="s">
        <v>0</v>
      </c>
      <c r="C125">
        <v>26</v>
      </c>
      <c r="D125">
        <v>7</v>
      </c>
      <c r="E125">
        <v>0</v>
      </c>
      <c r="F125">
        <v>20260106</v>
      </c>
      <c r="G125">
        <v>20260207</v>
      </c>
      <c r="H125">
        <v>1218.8733999999999</v>
      </c>
      <c r="I125">
        <f t="shared" si="13"/>
        <v>33</v>
      </c>
      <c r="J125">
        <f t="shared" si="14"/>
        <v>36.935557575757571</v>
      </c>
      <c r="K125">
        <f t="shared" si="15"/>
        <v>1164.7243176879454</v>
      </c>
      <c r="L125">
        <f t="shared" si="16"/>
        <v>258.54890303030299</v>
      </c>
      <c r="M125">
        <f t="shared" si="17"/>
        <v>0</v>
      </c>
      <c r="N125">
        <f t="shared" si="18"/>
        <v>1423.2732207182485</v>
      </c>
      <c r="O125">
        <f t="shared" si="19"/>
        <v>997.45535045376971</v>
      </c>
      <c r="P125">
        <f t="shared" si="20"/>
        <v>221.41804954623012</v>
      </c>
      <c r="Q125">
        <f t="shared" si="21"/>
        <v>0</v>
      </c>
      <c r="R125">
        <f t="shared" si="22"/>
        <v>1218.8733999999999</v>
      </c>
    </row>
    <row r="126" spans="1:18" x14ac:dyDescent="0.3">
      <c r="A126" t="s">
        <v>0</v>
      </c>
      <c r="B126" t="s">
        <v>0</v>
      </c>
      <c r="C126">
        <v>26</v>
      </c>
      <c r="D126">
        <v>4</v>
      </c>
      <c r="E126">
        <v>0</v>
      </c>
      <c r="F126">
        <v>20260106</v>
      </c>
      <c r="G126">
        <v>20260204</v>
      </c>
      <c r="H126">
        <v>756.50639999999999</v>
      </c>
      <c r="I126">
        <f t="shared" si="13"/>
        <v>30</v>
      </c>
      <c r="J126">
        <f t="shared" si="14"/>
        <v>25.21688</v>
      </c>
      <c r="K126">
        <f t="shared" si="15"/>
        <v>795.18803234463917</v>
      </c>
      <c r="L126">
        <f t="shared" si="16"/>
        <v>100.86752</v>
      </c>
      <c r="M126">
        <f t="shared" si="17"/>
        <v>0</v>
      </c>
      <c r="N126">
        <f t="shared" si="18"/>
        <v>896.05555234463918</v>
      </c>
      <c r="O126">
        <f t="shared" si="19"/>
        <v>671.34770171119237</v>
      </c>
      <c r="P126">
        <f t="shared" si="20"/>
        <v>85.158698288807628</v>
      </c>
      <c r="Q126">
        <f t="shared" si="21"/>
        <v>0</v>
      </c>
      <c r="R126">
        <f t="shared" si="22"/>
        <v>756.50639999999999</v>
      </c>
    </row>
    <row r="127" spans="1:18" x14ac:dyDescent="0.3">
      <c r="A127" t="s">
        <v>0</v>
      </c>
      <c r="B127" t="s">
        <v>0</v>
      </c>
      <c r="C127">
        <v>30</v>
      </c>
      <c r="D127">
        <v>10</v>
      </c>
      <c r="E127">
        <v>0</v>
      </c>
      <c r="F127">
        <v>20260102</v>
      </c>
      <c r="G127">
        <v>20260210</v>
      </c>
      <c r="H127">
        <v>1807.2528</v>
      </c>
      <c r="I127">
        <f t="shared" si="13"/>
        <v>40</v>
      </c>
      <c r="J127">
        <f t="shared" si="14"/>
        <v>45.181319999999999</v>
      </c>
      <c r="K127">
        <f t="shared" si="15"/>
        <v>1643.9375109755613</v>
      </c>
      <c r="L127">
        <f t="shared" si="16"/>
        <v>451.81319999999999</v>
      </c>
      <c r="M127">
        <f t="shared" si="17"/>
        <v>0</v>
      </c>
      <c r="N127">
        <f t="shared" si="18"/>
        <v>2095.7507109755611</v>
      </c>
      <c r="O127">
        <f t="shared" si="19"/>
        <v>1417.6355299207432</v>
      </c>
      <c r="P127">
        <f t="shared" si="20"/>
        <v>389.61727007925697</v>
      </c>
      <c r="Q127">
        <f t="shared" si="21"/>
        <v>0</v>
      </c>
      <c r="R127">
        <f t="shared" si="22"/>
        <v>1807.2528000000002</v>
      </c>
    </row>
    <row r="128" spans="1:18" x14ac:dyDescent="0.3">
      <c r="A128" t="s">
        <v>0</v>
      </c>
      <c r="B128" t="s">
        <v>0</v>
      </c>
      <c r="C128">
        <v>28</v>
      </c>
      <c r="D128">
        <v>2</v>
      </c>
      <c r="E128">
        <v>0</v>
      </c>
      <c r="F128">
        <v>20260104</v>
      </c>
      <c r="G128">
        <v>20260202</v>
      </c>
      <c r="H128">
        <v>168.02170000000001</v>
      </c>
      <c r="I128">
        <f t="shared" si="13"/>
        <v>30</v>
      </c>
      <c r="J128">
        <f t="shared" si="14"/>
        <v>5.6007233333333337</v>
      </c>
      <c r="K128">
        <f t="shared" si="15"/>
        <v>190.19858718555736</v>
      </c>
      <c r="L128">
        <f t="shared" si="16"/>
        <v>11.201446666666667</v>
      </c>
      <c r="M128">
        <f t="shared" si="17"/>
        <v>0</v>
      </c>
      <c r="N128">
        <f t="shared" si="18"/>
        <v>201.40003385222403</v>
      </c>
      <c r="O128">
        <f t="shared" si="19"/>
        <v>158.67668612193066</v>
      </c>
      <c r="P128">
        <f t="shared" si="20"/>
        <v>9.3450138780693326</v>
      </c>
      <c r="Q128">
        <f t="shared" si="21"/>
        <v>0</v>
      </c>
      <c r="R128">
        <f t="shared" si="22"/>
        <v>168.02169999999998</v>
      </c>
    </row>
    <row r="129" spans="1:18" x14ac:dyDescent="0.3">
      <c r="A129" t="s">
        <v>0</v>
      </c>
      <c r="B129" t="s">
        <v>0</v>
      </c>
      <c r="C129">
        <v>27</v>
      </c>
      <c r="D129">
        <v>26</v>
      </c>
      <c r="E129">
        <v>0</v>
      </c>
      <c r="F129">
        <v>20260105</v>
      </c>
      <c r="G129">
        <v>20260226</v>
      </c>
      <c r="H129">
        <v>378.68020000000001</v>
      </c>
      <c r="I129">
        <f t="shared" si="13"/>
        <v>53</v>
      </c>
      <c r="J129">
        <f t="shared" si="14"/>
        <v>7.1449094339622645</v>
      </c>
      <c r="K129">
        <f t="shared" si="15"/>
        <v>233.97293766344939</v>
      </c>
      <c r="L129">
        <f t="shared" si="16"/>
        <v>185.76764528301888</v>
      </c>
      <c r="M129">
        <f t="shared" si="17"/>
        <v>0</v>
      </c>
      <c r="N129">
        <f t="shared" si="18"/>
        <v>419.74058294646829</v>
      </c>
      <c r="O129">
        <f t="shared" si="19"/>
        <v>211.08494729536861</v>
      </c>
      <c r="P129">
        <f t="shared" si="20"/>
        <v>167.59525270463141</v>
      </c>
      <c r="Q129">
        <f t="shared" si="21"/>
        <v>0</v>
      </c>
      <c r="R129">
        <f t="shared" si="22"/>
        <v>378.68020000000001</v>
      </c>
    </row>
    <row r="130" spans="1:18" x14ac:dyDescent="0.3">
      <c r="A130" t="s">
        <v>0</v>
      </c>
      <c r="B130" t="s">
        <v>0</v>
      </c>
      <c r="C130">
        <v>30</v>
      </c>
      <c r="D130">
        <v>24</v>
      </c>
      <c r="E130">
        <v>0</v>
      </c>
      <c r="F130">
        <v>20260102</v>
      </c>
      <c r="G130">
        <v>20260224</v>
      </c>
      <c r="H130">
        <v>1303.8526999999999</v>
      </c>
      <c r="I130">
        <f t="shared" si="13"/>
        <v>54</v>
      </c>
      <c r="J130">
        <f t="shared" si="14"/>
        <v>24.14542037037037</v>
      </c>
      <c r="K130">
        <f t="shared" si="15"/>
        <v>878.53923402692283</v>
      </c>
      <c r="L130">
        <f t="shared" si="16"/>
        <v>579.49008888888886</v>
      </c>
      <c r="M130">
        <f t="shared" si="17"/>
        <v>0</v>
      </c>
      <c r="N130">
        <f t="shared" si="18"/>
        <v>1458.0293229158117</v>
      </c>
      <c r="O130">
        <f t="shared" si="19"/>
        <v>785.6397222870371</v>
      </c>
      <c r="P130">
        <f t="shared" si="20"/>
        <v>518.21297771296281</v>
      </c>
      <c r="Q130">
        <f t="shared" si="21"/>
        <v>0</v>
      </c>
      <c r="R130">
        <f t="shared" si="22"/>
        <v>1303.8526999999999</v>
      </c>
    </row>
    <row r="131" spans="1:18" x14ac:dyDescent="0.3">
      <c r="A131" t="s">
        <v>0</v>
      </c>
      <c r="B131" t="s">
        <v>0</v>
      </c>
      <c r="C131">
        <v>26</v>
      </c>
      <c r="D131">
        <v>27</v>
      </c>
      <c r="E131">
        <v>0</v>
      </c>
      <c r="F131">
        <v>20260106</v>
      </c>
      <c r="G131">
        <v>20260227</v>
      </c>
      <c r="H131">
        <v>925.81500000000005</v>
      </c>
      <c r="I131">
        <f t="shared" si="13"/>
        <v>53</v>
      </c>
      <c r="J131">
        <f t="shared" si="14"/>
        <v>17.468207547169811</v>
      </c>
      <c r="K131">
        <f t="shared" si="15"/>
        <v>550.84172141921363</v>
      </c>
      <c r="L131">
        <f t="shared" si="16"/>
        <v>471.6416037735849</v>
      </c>
      <c r="M131">
        <f t="shared" si="17"/>
        <v>0</v>
      </c>
      <c r="N131">
        <f t="shared" si="18"/>
        <v>1022.4833251927985</v>
      </c>
      <c r="O131">
        <f t="shared" si="19"/>
        <v>498.76366269305021</v>
      </c>
      <c r="P131">
        <f t="shared" si="20"/>
        <v>427.0513373069499</v>
      </c>
      <c r="Q131">
        <f t="shared" si="21"/>
        <v>0</v>
      </c>
      <c r="R131">
        <f t="shared" si="22"/>
        <v>925.81500000000005</v>
      </c>
    </row>
    <row r="132" spans="1:18" x14ac:dyDescent="0.3">
      <c r="A132" t="s">
        <v>0</v>
      </c>
      <c r="B132" t="s">
        <v>0</v>
      </c>
      <c r="C132">
        <v>25</v>
      </c>
      <c r="D132">
        <v>13</v>
      </c>
      <c r="E132">
        <v>0</v>
      </c>
      <c r="F132">
        <v>20260107</v>
      </c>
      <c r="G132">
        <v>20260213</v>
      </c>
      <c r="H132">
        <v>757.09349999999995</v>
      </c>
      <c r="I132">
        <f t="shared" si="13"/>
        <v>38</v>
      </c>
      <c r="J132">
        <f t="shared" si="14"/>
        <v>19.923513157894735</v>
      </c>
      <c r="K132">
        <f t="shared" si="15"/>
        <v>604.10310113925993</v>
      </c>
      <c r="L132">
        <f t="shared" si="16"/>
        <v>259.00567105263156</v>
      </c>
      <c r="M132">
        <f t="shared" si="17"/>
        <v>0</v>
      </c>
      <c r="N132">
        <f t="shared" si="18"/>
        <v>863.10877219189149</v>
      </c>
      <c r="O132">
        <f t="shared" si="19"/>
        <v>529.90138200181877</v>
      </c>
      <c r="P132">
        <f t="shared" si="20"/>
        <v>227.1921179981812</v>
      </c>
      <c r="Q132">
        <f t="shared" si="21"/>
        <v>0</v>
      </c>
      <c r="R132">
        <f t="shared" si="22"/>
        <v>757.09349999999995</v>
      </c>
    </row>
    <row r="133" spans="1:18" x14ac:dyDescent="0.3">
      <c r="A133" t="s">
        <v>0</v>
      </c>
      <c r="B133" t="s">
        <v>0</v>
      </c>
      <c r="C133">
        <v>26</v>
      </c>
      <c r="D133">
        <v>28</v>
      </c>
      <c r="E133">
        <v>5</v>
      </c>
      <c r="F133">
        <v>20260106</v>
      </c>
      <c r="G133">
        <v>20260305</v>
      </c>
      <c r="H133">
        <v>552650.62049999996</v>
      </c>
      <c r="I133">
        <f t="shared" si="13"/>
        <v>59</v>
      </c>
      <c r="J133">
        <f t="shared" si="14"/>
        <v>9366.9596694915253</v>
      </c>
      <c r="K133">
        <f t="shared" si="15"/>
        <v>295377.31188928045</v>
      </c>
      <c r="L133">
        <f t="shared" si="16"/>
        <v>262274.87074576272</v>
      </c>
      <c r="M133">
        <f t="shared" si="17"/>
        <v>34529.800317131594</v>
      </c>
      <c r="N133">
        <f t="shared" si="18"/>
        <v>592181.98295217473</v>
      </c>
      <c r="O133">
        <f t="shared" si="19"/>
        <v>275659.27265034051</v>
      </c>
      <c r="P133">
        <f t="shared" si="20"/>
        <v>244766.59917380344</v>
      </c>
      <c r="Q133">
        <f t="shared" si="21"/>
        <v>32224.748675855997</v>
      </c>
      <c r="R133">
        <f t="shared" si="22"/>
        <v>552650.62049999996</v>
      </c>
    </row>
    <row r="134" spans="1:18" x14ac:dyDescent="0.3">
      <c r="A134" t="s">
        <v>0</v>
      </c>
      <c r="B134" t="s">
        <v>0</v>
      </c>
      <c r="C134">
        <v>29</v>
      </c>
      <c r="D134">
        <v>28</v>
      </c>
      <c r="E134">
        <v>5</v>
      </c>
      <c r="F134">
        <v>20260103</v>
      </c>
      <c r="G134">
        <v>20260305</v>
      </c>
      <c r="H134">
        <v>46733.5095</v>
      </c>
      <c r="I134">
        <f t="shared" si="13"/>
        <v>62</v>
      </c>
      <c r="J134">
        <f t="shared" si="14"/>
        <v>753.76628225806451</v>
      </c>
      <c r="K134">
        <f t="shared" si="15"/>
        <v>26511.83816045077</v>
      </c>
      <c r="L134">
        <f t="shared" si="16"/>
        <v>21105.455903225808</v>
      </c>
      <c r="M134">
        <f t="shared" si="17"/>
        <v>2778.6389747069857</v>
      </c>
      <c r="N134">
        <f t="shared" si="18"/>
        <v>50395.933038383562</v>
      </c>
      <c r="O134">
        <f t="shared" si="19"/>
        <v>24585.143400167297</v>
      </c>
      <c r="P134">
        <f t="shared" si="20"/>
        <v>19571.659149638213</v>
      </c>
      <c r="Q134">
        <f t="shared" si="21"/>
        <v>2576.7069501944925</v>
      </c>
      <c r="R134">
        <f t="shared" si="22"/>
        <v>46733.5095</v>
      </c>
    </row>
    <row r="135" spans="1:18" x14ac:dyDescent="0.3">
      <c r="A135" t="s">
        <v>0</v>
      </c>
      <c r="B135" t="s">
        <v>0</v>
      </c>
      <c r="C135">
        <v>30</v>
      </c>
      <c r="D135">
        <v>28</v>
      </c>
      <c r="E135">
        <v>5</v>
      </c>
      <c r="F135">
        <v>20260102</v>
      </c>
      <c r="G135">
        <v>20260305</v>
      </c>
      <c r="H135">
        <v>351360.73839999997</v>
      </c>
      <c r="I135">
        <f t="shared" si="13"/>
        <v>63</v>
      </c>
      <c r="J135">
        <f t="shared" si="14"/>
        <v>5577.1545777777774</v>
      </c>
      <c r="K135">
        <f t="shared" si="15"/>
        <v>202926.64346499744</v>
      </c>
      <c r="L135">
        <f t="shared" si="16"/>
        <v>156160.32817777776</v>
      </c>
      <c r="M135">
        <f t="shared" si="17"/>
        <v>20559.289321558157</v>
      </c>
      <c r="N135">
        <f t="shared" si="18"/>
        <v>379646.26096433337</v>
      </c>
      <c r="O135">
        <f t="shared" si="19"/>
        <v>187807.60571113197</v>
      </c>
      <c r="P135">
        <f t="shared" si="20"/>
        <v>144525.61202093613</v>
      </c>
      <c r="Q135">
        <f t="shared" si="21"/>
        <v>19027.520667931869</v>
      </c>
      <c r="R135">
        <f t="shared" si="22"/>
        <v>351360.73839999997</v>
      </c>
    </row>
    <row r="136" spans="1:18" x14ac:dyDescent="0.3">
      <c r="A136" t="s">
        <v>0</v>
      </c>
      <c r="B136" t="s">
        <v>0</v>
      </c>
      <c r="C136">
        <v>25</v>
      </c>
      <c r="D136">
        <v>28</v>
      </c>
      <c r="E136">
        <v>6</v>
      </c>
      <c r="F136">
        <v>20260107</v>
      </c>
      <c r="G136">
        <v>20260306</v>
      </c>
      <c r="H136">
        <v>79105.165800000002</v>
      </c>
      <c r="I136">
        <f t="shared" si="13"/>
        <v>59</v>
      </c>
      <c r="J136">
        <f t="shared" si="14"/>
        <v>1340.7655220338984</v>
      </c>
      <c r="K136">
        <f t="shared" si="15"/>
        <v>40653.503392815444</v>
      </c>
      <c r="L136">
        <f t="shared" si="16"/>
        <v>37541.434616949155</v>
      </c>
      <c r="M136">
        <f t="shared" si="17"/>
        <v>5931.0214688397418</v>
      </c>
      <c r="N136">
        <f t="shared" si="18"/>
        <v>84125.959478604331</v>
      </c>
      <c r="O136">
        <f t="shared" si="19"/>
        <v>38227.226722536529</v>
      </c>
      <c r="P136">
        <f t="shared" si="20"/>
        <v>35300.891997539817</v>
      </c>
      <c r="Q136">
        <f t="shared" si="21"/>
        <v>5577.0470799236709</v>
      </c>
      <c r="R136">
        <f t="shared" si="22"/>
        <v>79105.165800000002</v>
      </c>
    </row>
    <row r="137" spans="1:18" x14ac:dyDescent="0.3">
      <c r="A137" t="s">
        <v>0</v>
      </c>
      <c r="B137" t="s">
        <v>0</v>
      </c>
      <c r="C137">
        <v>23</v>
      </c>
      <c r="D137">
        <v>28</v>
      </c>
      <c r="E137">
        <v>8</v>
      </c>
      <c r="F137">
        <v>20260109</v>
      </c>
      <c r="G137">
        <v>20260308</v>
      </c>
      <c r="H137">
        <v>39441.014799999997</v>
      </c>
      <c r="I137">
        <f t="shared" si="13"/>
        <v>59</v>
      </c>
      <c r="J137">
        <f t="shared" si="14"/>
        <v>668.49177627118638</v>
      </c>
      <c r="K137">
        <f t="shared" si="15"/>
        <v>18647.861738870826</v>
      </c>
      <c r="L137">
        <f t="shared" si="16"/>
        <v>18717.769735593218</v>
      </c>
      <c r="M137">
        <f t="shared" si="17"/>
        <v>3942.8610115139659</v>
      </c>
      <c r="N137">
        <f t="shared" si="18"/>
        <v>41308.492485978008</v>
      </c>
      <c r="O137">
        <f t="shared" si="19"/>
        <v>17804.827689628641</v>
      </c>
      <c r="P137">
        <f t="shared" si="20"/>
        <v>17871.575279952889</v>
      </c>
      <c r="Q137">
        <f t="shared" si="21"/>
        <v>3764.6118304184702</v>
      </c>
      <c r="R137">
        <f t="shared" si="22"/>
        <v>39441.014799999997</v>
      </c>
    </row>
    <row r="138" spans="1:18" x14ac:dyDescent="0.3">
      <c r="A138" t="s">
        <v>0</v>
      </c>
      <c r="B138" t="s">
        <v>0</v>
      </c>
      <c r="C138">
        <v>25</v>
      </c>
      <c r="D138">
        <v>28</v>
      </c>
      <c r="E138">
        <v>4</v>
      </c>
      <c r="F138">
        <v>20260107</v>
      </c>
      <c r="G138">
        <v>20260304</v>
      </c>
      <c r="H138">
        <v>224368.2335</v>
      </c>
      <c r="I138">
        <f t="shared" si="13"/>
        <v>57</v>
      </c>
      <c r="J138">
        <f t="shared" si="14"/>
        <v>3936.2847982456142</v>
      </c>
      <c r="K138">
        <f t="shared" si="15"/>
        <v>119352.53761434362</v>
      </c>
      <c r="L138">
        <f t="shared" si="16"/>
        <v>110215.97435087719</v>
      </c>
      <c r="M138">
        <f t="shared" si="17"/>
        <v>11608.388025196644</v>
      </c>
      <c r="N138">
        <f t="shared" si="18"/>
        <v>241176.89999041744</v>
      </c>
      <c r="O138">
        <f t="shared" si="19"/>
        <v>111034.34047513081</v>
      </c>
      <c r="P138">
        <f t="shared" si="20"/>
        <v>102534.54401963939</v>
      </c>
      <c r="Q138">
        <f t="shared" si="21"/>
        <v>10799.349005229811</v>
      </c>
      <c r="R138">
        <f t="shared" si="22"/>
        <v>224368.2335</v>
      </c>
    </row>
    <row r="139" spans="1:18" x14ac:dyDescent="0.3">
      <c r="A139" t="s">
        <v>0</v>
      </c>
      <c r="B139" t="s">
        <v>0</v>
      </c>
      <c r="C139">
        <v>25</v>
      </c>
      <c r="D139">
        <v>28</v>
      </c>
      <c r="E139">
        <v>1</v>
      </c>
      <c r="F139">
        <v>20260107</v>
      </c>
      <c r="G139">
        <v>20260301</v>
      </c>
      <c r="H139">
        <v>107937.52770000001</v>
      </c>
      <c r="I139">
        <f t="shared" ref="I139:I202" si="23">IF(C139&lt;0,0,C139)+D139+E139</f>
        <v>54</v>
      </c>
      <c r="J139">
        <f t="shared" ref="J139:J202" si="24">H139/I139</f>
        <v>1998.8431055555557</v>
      </c>
      <c r="K139">
        <f t="shared" ref="K139:K202" si="25">IF(C139&lt;0,0,C139)*$J139*$B$6</f>
        <v>60607.148407381297</v>
      </c>
      <c r="L139">
        <f t="shared" ref="L139:L202" si="26">IF(D139&lt;0,0,D139)*$J139*$C$6</f>
        <v>55967.606955555559</v>
      </c>
      <c r="M139">
        <f t="shared" ref="M139:M202" si="27">IF(E139&lt;0,0,E139)*$J139*$D$6</f>
        <v>1473.6831530279276</v>
      </c>
      <c r="N139">
        <f t="shared" ref="N139:N202" si="28">K139+L139+M139</f>
        <v>118048.43851596478</v>
      </c>
      <c r="O139">
        <f t="shared" ref="O139:O202" si="29">K139/$N139*$H139</f>
        <v>55416.114285620337</v>
      </c>
      <c r="P139">
        <f t="shared" ref="P139:P202" si="30">L139/$N139*$H139</f>
        <v>51173.951998111435</v>
      </c>
      <c r="Q139">
        <f t="shared" ref="Q139:Q202" si="31">M139/$N139*$H139</f>
        <v>1347.4614162682326</v>
      </c>
      <c r="R139">
        <f t="shared" ref="R139:R202" si="32">O139+P139+Q139</f>
        <v>107937.52770000001</v>
      </c>
    </row>
    <row r="140" spans="1:18" x14ac:dyDescent="0.3">
      <c r="A140" t="s">
        <v>0</v>
      </c>
      <c r="B140" t="s">
        <v>0</v>
      </c>
      <c r="C140">
        <v>27</v>
      </c>
      <c r="D140">
        <v>28</v>
      </c>
      <c r="E140">
        <v>7</v>
      </c>
      <c r="F140">
        <v>20260105</v>
      </c>
      <c r="G140">
        <v>20260307</v>
      </c>
      <c r="H140">
        <v>35967.99</v>
      </c>
      <c r="I140">
        <f t="shared" si="23"/>
        <v>62</v>
      </c>
      <c r="J140">
        <f t="shared" si="24"/>
        <v>580.12887096774193</v>
      </c>
      <c r="K140">
        <f t="shared" si="25"/>
        <v>18997.365525517958</v>
      </c>
      <c r="L140">
        <f t="shared" si="26"/>
        <v>16243.608387096774</v>
      </c>
      <c r="M140">
        <f t="shared" si="27"/>
        <v>2993.9733586286638</v>
      </c>
      <c r="N140">
        <f t="shared" si="28"/>
        <v>38234.947271243393</v>
      </c>
      <c r="O140">
        <f t="shared" si="29"/>
        <v>17871.00812251111</v>
      </c>
      <c r="P140">
        <f t="shared" si="30"/>
        <v>15280.521766808577</v>
      </c>
      <c r="Q140">
        <f t="shared" si="31"/>
        <v>2816.4601106803152</v>
      </c>
      <c r="R140">
        <f t="shared" si="32"/>
        <v>35967.990000000005</v>
      </c>
    </row>
    <row r="141" spans="1:18" x14ac:dyDescent="0.3">
      <c r="A141" t="s">
        <v>0</v>
      </c>
      <c r="B141" t="s">
        <v>0</v>
      </c>
      <c r="C141">
        <v>23</v>
      </c>
      <c r="D141">
        <v>28</v>
      </c>
      <c r="E141">
        <v>4</v>
      </c>
      <c r="F141">
        <v>20260109</v>
      </c>
      <c r="G141">
        <v>20260304</v>
      </c>
      <c r="H141">
        <v>14194.789699999999</v>
      </c>
      <c r="I141">
        <f t="shared" si="23"/>
        <v>55</v>
      </c>
      <c r="J141">
        <f t="shared" si="24"/>
        <v>258.08708545454544</v>
      </c>
      <c r="K141">
        <f t="shared" si="25"/>
        <v>7199.4487546128184</v>
      </c>
      <c r="L141">
        <f t="shared" si="26"/>
        <v>7226.438392727272</v>
      </c>
      <c r="M141">
        <f t="shared" si="27"/>
        <v>761.11744596929123</v>
      </c>
      <c r="N141">
        <f t="shared" si="28"/>
        <v>15187.004593309382</v>
      </c>
      <c r="O141">
        <f t="shared" si="29"/>
        <v>6729.0860682742932</v>
      </c>
      <c r="P141">
        <f t="shared" si="30"/>
        <v>6754.3123882348827</v>
      </c>
      <c r="Q141">
        <f t="shared" si="31"/>
        <v>711.39124349082283</v>
      </c>
      <c r="R141">
        <f t="shared" si="32"/>
        <v>14194.789699999999</v>
      </c>
    </row>
    <row r="142" spans="1:18" x14ac:dyDescent="0.3">
      <c r="A142" t="s">
        <v>0</v>
      </c>
      <c r="B142" t="s">
        <v>0</v>
      </c>
      <c r="C142">
        <v>23</v>
      </c>
      <c r="D142">
        <v>28</v>
      </c>
      <c r="E142">
        <v>2</v>
      </c>
      <c r="F142">
        <v>20260109</v>
      </c>
      <c r="G142">
        <v>20260302</v>
      </c>
      <c r="H142">
        <v>7201.0075999999999</v>
      </c>
      <c r="I142">
        <f t="shared" si="23"/>
        <v>53</v>
      </c>
      <c r="J142">
        <f t="shared" si="24"/>
        <v>135.8680679245283</v>
      </c>
      <c r="K142">
        <f t="shared" si="25"/>
        <v>3790.0974033168832</v>
      </c>
      <c r="L142">
        <f t="shared" si="26"/>
        <v>3804.3059018867925</v>
      </c>
      <c r="M142">
        <f t="shared" si="27"/>
        <v>200.34237022238003</v>
      </c>
      <c r="N142">
        <f t="shared" si="28"/>
        <v>7794.7456754260556</v>
      </c>
      <c r="O142">
        <f t="shared" si="29"/>
        <v>3501.3997046841878</v>
      </c>
      <c r="P142">
        <f t="shared" si="30"/>
        <v>3514.5259195020835</v>
      </c>
      <c r="Q142">
        <f t="shared" si="31"/>
        <v>185.08197581372877</v>
      </c>
      <c r="R142">
        <f t="shared" si="32"/>
        <v>7201.0075999999999</v>
      </c>
    </row>
    <row r="143" spans="1:18" x14ac:dyDescent="0.3">
      <c r="A143" t="s">
        <v>0</v>
      </c>
      <c r="B143" t="s">
        <v>0</v>
      </c>
      <c r="C143">
        <v>29</v>
      </c>
      <c r="D143">
        <v>28</v>
      </c>
      <c r="E143">
        <v>8</v>
      </c>
      <c r="F143">
        <v>20260103</v>
      </c>
      <c r="G143">
        <v>20260308</v>
      </c>
      <c r="H143">
        <v>10149.2646</v>
      </c>
      <c r="I143">
        <f t="shared" si="23"/>
        <v>65</v>
      </c>
      <c r="J143">
        <f t="shared" si="24"/>
        <v>156.14253230769231</v>
      </c>
      <c r="K143">
        <f t="shared" si="25"/>
        <v>5491.9218913631694</v>
      </c>
      <c r="L143">
        <f t="shared" si="26"/>
        <v>4371.9909046153844</v>
      </c>
      <c r="M143">
        <f t="shared" si="27"/>
        <v>920.95119899472081</v>
      </c>
      <c r="N143">
        <f t="shared" si="28"/>
        <v>10784.863994973275</v>
      </c>
      <c r="O143">
        <f t="shared" si="29"/>
        <v>5168.2588175387918</v>
      </c>
      <c r="P143">
        <f t="shared" si="30"/>
        <v>4114.3302818112961</v>
      </c>
      <c r="Q143">
        <f t="shared" si="31"/>
        <v>866.67550064991224</v>
      </c>
      <c r="R143">
        <f t="shared" si="32"/>
        <v>10149.264599999999</v>
      </c>
    </row>
    <row r="144" spans="1:18" x14ac:dyDescent="0.3">
      <c r="A144" t="s">
        <v>0</v>
      </c>
      <c r="B144" t="s">
        <v>0</v>
      </c>
      <c r="C144">
        <v>28</v>
      </c>
      <c r="D144">
        <v>5</v>
      </c>
      <c r="E144">
        <v>0</v>
      </c>
      <c r="F144">
        <v>20260104</v>
      </c>
      <c r="G144">
        <v>20260205</v>
      </c>
      <c r="H144">
        <v>126.0667</v>
      </c>
      <c r="I144">
        <f t="shared" si="23"/>
        <v>33</v>
      </c>
      <c r="J144">
        <f t="shared" si="24"/>
        <v>3.8202030303030301</v>
      </c>
      <c r="K144">
        <f t="shared" si="25"/>
        <v>129.73274626889645</v>
      </c>
      <c r="L144">
        <f t="shared" si="26"/>
        <v>19.101015151515149</v>
      </c>
      <c r="M144">
        <f t="shared" si="27"/>
        <v>0</v>
      </c>
      <c r="N144">
        <f t="shared" si="28"/>
        <v>148.83376142041161</v>
      </c>
      <c r="O144">
        <f t="shared" si="29"/>
        <v>109.88756212281085</v>
      </c>
      <c r="P144">
        <f t="shared" si="30"/>
        <v>16.179137877189152</v>
      </c>
      <c r="Q144">
        <f t="shared" si="31"/>
        <v>0</v>
      </c>
      <c r="R144">
        <f t="shared" si="32"/>
        <v>126.0667</v>
      </c>
    </row>
    <row r="145" spans="1:18" x14ac:dyDescent="0.3">
      <c r="A145" t="s">
        <v>0</v>
      </c>
      <c r="B145" t="s">
        <v>0</v>
      </c>
      <c r="C145">
        <v>26</v>
      </c>
      <c r="D145">
        <v>24</v>
      </c>
      <c r="E145">
        <v>0</v>
      </c>
      <c r="F145">
        <v>20260106</v>
      </c>
      <c r="G145">
        <v>20260224</v>
      </c>
      <c r="H145">
        <v>336.57299999999998</v>
      </c>
      <c r="I145">
        <f t="shared" si="23"/>
        <v>50</v>
      </c>
      <c r="J145">
        <f t="shared" si="24"/>
        <v>6.7314599999999993</v>
      </c>
      <c r="K145">
        <f t="shared" si="25"/>
        <v>212.2695762602925</v>
      </c>
      <c r="L145">
        <f t="shared" si="26"/>
        <v>161.55503999999999</v>
      </c>
      <c r="M145">
        <f t="shared" si="27"/>
        <v>0</v>
      </c>
      <c r="N145">
        <f t="shared" si="28"/>
        <v>373.82461626029249</v>
      </c>
      <c r="O145">
        <f t="shared" si="29"/>
        <v>191.11691681884619</v>
      </c>
      <c r="P145">
        <f t="shared" si="30"/>
        <v>145.45608318115379</v>
      </c>
      <c r="Q145">
        <f t="shared" si="31"/>
        <v>0</v>
      </c>
      <c r="R145">
        <f t="shared" si="32"/>
        <v>336.57299999999998</v>
      </c>
    </row>
    <row r="146" spans="1:18" x14ac:dyDescent="0.3">
      <c r="A146" t="s">
        <v>0</v>
      </c>
      <c r="B146" t="s">
        <v>0</v>
      </c>
      <c r="C146">
        <v>27</v>
      </c>
      <c r="D146">
        <v>23</v>
      </c>
      <c r="E146">
        <v>0</v>
      </c>
      <c r="F146">
        <v>20260105</v>
      </c>
      <c r="G146">
        <v>20260223</v>
      </c>
      <c r="H146">
        <v>588.91980000000001</v>
      </c>
      <c r="I146">
        <f t="shared" si="23"/>
        <v>50</v>
      </c>
      <c r="J146">
        <f t="shared" si="24"/>
        <v>11.778396000000001</v>
      </c>
      <c r="K146">
        <f t="shared" si="25"/>
        <v>385.70480683548112</v>
      </c>
      <c r="L146">
        <f t="shared" si="26"/>
        <v>270.90310800000003</v>
      </c>
      <c r="M146">
        <f t="shared" si="27"/>
        <v>0</v>
      </c>
      <c r="N146">
        <f t="shared" si="28"/>
        <v>656.6079148354811</v>
      </c>
      <c r="O146">
        <f t="shared" si="29"/>
        <v>345.94343529578742</v>
      </c>
      <c r="P146">
        <f t="shared" si="30"/>
        <v>242.97636470421259</v>
      </c>
      <c r="Q146">
        <f t="shared" si="31"/>
        <v>0</v>
      </c>
      <c r="R146">
        <f t="shared" si="32"/>
        <v>588.91980000000001</v>
      </c>
    </row>
    <row r="147" spans="1:18" x14ac:dyDescent="0.3">
      <c r="A147" t="s">
        <v>0</v>
      </c>
      <c r="B147" t="s">
        <v>0</v>
      </c>
      <c r="C147">
        <v>26</v>
      </c>
      <c r="D147">
        <v>12</v>
      </c>
      <c r="E147">
        <v>0</v>
      </c>
      <c r="F147">
        <v>20260106</v>
      </c>
      <c r="G147">
        <v>20260212</v>
      </c>
      <c r="H147">
        <v>883.11019999999996</v>
      </c>
      <c r="I147">
        <f t="shared" si="23"/>
        <v>38</v>
      </c>
      <c r="J147">
        <f t="shared" si="24"/>
        <v>23.239742105263158</v>
      </c>
      <c r="K147">
        <f t="shared" si="25"/>
        <v>732.84104920517825</v>
      </c>
      <c r="L147">
        <f t="shared" si="26"/>
        <v>278.87690526315788</v>
      </c>
      <c r="M147">
        <f t="shared" si="27"/>
        <v>0</v>
      </c>
      <c r="N147">
        <f t="shared" si="28"/>
        <v>1011.7179544683361</v>
      </c>
      <c r="O147">
        <f t="shared" si="29"/>
        <v>639.68362197534736</v>
      </c>
      <c r="P147">
        <f t="shared" si="30"/>
        <v>243.42657802465266</v>
      </c>
      <c r="Q147">
        <f t="shared" si="31"/>
        <v>0</v>
      </c>
      <c r="R147">
        <f t="shared" si="32"/>
        <v>883.11020000000008</v>
      </c>
    </row>
    <row r="148" spans="1:18" x14ac:dyDescent="0.3">
      <c r="A148" t="s">
        <v>0</v>
      </c>
      <c r="B148" t="s">
        <v>0</v>
      </c>
      <c r="C148">
        <v>28</v>
      </c>
      <c r="D148">
        <v>28</v>
      </c>
      <c r="E148">
        <v>9</v>
      </c>
      <c r="F148">
        <v>20260104</v>
      </c>
      <c r="G148">
        <v>20260309</v>
      </c>
      <c r="H148">
        <v>7581.4309000000003</v>
      </c>
      <c r="I148">
        <f t="shared" si="23"/>
        <v>65</v>
      </c>
      <c r="J148">
        <f t="shared" si="24"/>
        <v>116.63739846153847</v>
      </c>
      <c r="K148">
        <f t="shared" si="25"/>
        <v>3960.9648754387408</v>
      </c>
      <c r="L148">
        <f t="shared" si="26"/>
        <v>3265.8471569230769</v>
      </c>
      <c r="M148">
        <f t="shared" si="27"/>
        <v>773.93724291432454</v>
      </c>
      <c r="N148">
        <f t="shared" si="28"/>
        <v>8000.7492752761427</v>
      </c>
      <c r="O148">
        <f t="shared" si="29"/>
        <v>3753.3711490327205</v>
      </c>
      <c r="P148">
        <f t="shared" si="30"/>
        <v>3094.6844724513871</v>
      </c>
      <c r="Q148">
        <f t="shared" si="31"/>
        <v>733.37527851589255</v>
      </c>
      <c r="R148">
        <f t="shared" si="32"/>
        <v>7581.4308999999994</v>
      </c>
    </row>
    <row r="149" spans="1:18" x14ac:dyDescent="0.3">
      <c r="A149" t="s">
        <v>0</v>
      </c>
      <c r="B149" t="s">
        <v>0</v>
      </c>
      <c r="C149">
        <v>16</v>
      </c>
      <c r="D149">
        <v>28</v>
      </c>
      <c r="E149">
        <v>2</v>
      </c>
      <c r="F149">
        <v>20260116</v>
      </c>
      <c r="G149">
        <v>20260302</v>
      </c>
      <c r="H149">
        <v>969.03380000000004</v>
      </c>
      <c r="I149">
        <f t="shared" si="23"/>
        <v>46</v>
      </c>
      <c r="J149">
        <f t="shared" si="24"/>
        <v>21.065952173913043</v>
      </c>
      <c r="K149">
        <f t="shared" si="25"/>
        <v>408.79559939801464</v>
      </c>
      <c r="L149">
        <f t="shared" si="26"/>
        <v>589.8466608695652</v>
      </c>
      <c r="M149">
        <f t="shared" si="27"/>
        <v>31.062506841985702</v>
      </c>
      <c r="N149">
        <f t="shared" si="28"/>
        <v>1029.7047671095654</v>
      </c>
      <c r="O149">
        <f t="shared" si="29"/>
        <v>384.70906007351238</v>
      </c>
      <c r="P149">
        <f t="shared" si="30"/>
        <v>555.09245898142683</v>
      </c>
      <c r="Q149">
        <f t="shared" si="31"/>
        <v>29.232280945060982</v>
      </c>
      <c r="R149">
        <f t="shared" si="32"/>
        <v>969.03380000000027</v>
      </c>
    </row>
    <row r="150" spans="1:18" x14ac:dyDescent="0.3">
      <c r="A150" t="s">
        <v>0</v>
      </c>
      <c r="B150" t="s">
        <v>0</v>
      </c>
      <c r="C150">
        <v>20</v>
      </c>
      <c r="D150">
        <v>28</v>
      </c>
      <c r="E150">
        <v>1</v>
      </c>
      <c r="F150">
        <v>20260112</v>
      </c>
      <c r="G150">
        <v>20260301</v>
      </c>
      <c r="H150">
        <v>1347.5886</v>
      </c>
      <c r="I150">
        <f t="shared" si="23"/>
        <v>49</v>
      </c>
      <c r="J150">
        <f t="shared" si="24"/>
        <v>27.501808163265306</v>
      </c>
      <c r="K150">
        <f t="shared" si="25"/>
        <v>667.10835450352408</v>
      </c>
      <c r="L150">
        <f t="shared" si="26"/>
        <v>770.05062857142855</v>
      </c>
      <c r="M150">
        <f t="shared" si="27"/>
        <v>20.276204398116306</v>
      </c>
      <c r="N150">
        <f t="shared" si="28"/>
        <v>1457.4351874730689</v>
      </c>
      <c r="O150">
        <f t="shared" si="29"/>
        <v>616.82853633607601</v>
      </c>
      <c r="P150">
        <f t="shared" si="30"/>
        <v>712.01207258135219</v>
      </c>
      <c r="Q150">
        <f t="shared" si="31"/>
        <v>18.747991082571758</v>
      </c>
      <c r="R150">
        <f t="shared" si="32"/>
        <v>1347.5886</v>
      </c>
    </row>
    <row r="151" spans="1:18" x14ac:dyDescent="0.3">
      <c r="A151" t="s">
        <v>0</v>
      </c>
      <c r="B151" t="s">
        <v>0</v>
      </c>
      <c r="C151">
        <v>31</v>
      </c>
      <c r="D151">
        <v>28</v>
      </c>
      <c r="E151">
        <v>1</v>
      </c>
      <c r="F151">
        <v>20251230</v>
      </c>
      <c r="G151">
        <v>20260301</v>
      </c>
      <c r="H151">
        <v>2229.8485000000001</v>
      </c>
      <c r="I151">
        <f t="shared" si="23"/>
        <v>60</v>
      </c>
      <c r="J151">
        <f t="shared" si="24"/>
        <v>37.164141666666666</v>
      </c>
      <c r="K151">
        <f t="shared" si="25"/>
        <v>1397.304109323896</v>
      </c>
      <c r="L151">
        <f t="shared" si="26"/>
        <v>1040.5959666666668</v>
      </c>
      <c r="M151">
        <f t="shared" si="27"/>
        <v>27.399934151253817</v>
      </c>
      <c r="N151">
        <f t="shared" si="28"/>
        <v>2465.300010141817</v>
      </c>
      <c r="O151">
        <f t="shared" si="29"/>
        <v>1263.8528614781003</v>
      </c>
      <c r="P151">
        <f t="shared" si="30"/>
        <v>941.21256878761665</v>
      </c>
      <c r="Q151">
        <f t="shared" si="31"/>
        <v>24.783069734282538</v>
      </c>
      <c r="R151">
        <f t="shared" si="32"/>
        <v>2229.8484999999991</v>
      </c>
    </row>
    <row r="152" spans="1:18" x14ac:dyDescent="0.3">
      <c r="A152" t="s">
        <v>0</v>
      </c>
      <c r="B152" t="s">
        <v>0</v>
      </c>
      <c r="C152">
        <v>31</v>
      </c>
      <c r="D152">
        <v>28</v>
      </c>
      <c r="E152">
        <v>6</v>
      </c>
      <c r="F152">
        <v>20251229</v>
      </c>
      <c r="G152">
        <v>20260306</v>
      </c>
      <c r="H152">
        <v>463.0487</v>
      </c>
      <c r="I152">
        <f t="shared" si="23"/>
        <v>65</v>
      </c>
      <c r="J152">
        <f t="shared" si="24"/>
        <v>7.1238261538461538</v>
      </c>
      <c r="K152">
        <f t="shared" si="25"/>
        <v>267.84290212213813</v>
      </c>
      <c r="L152">
        <f t="shared" si="26"/>
        <v>199.46713230769231</v>
      </c>
      <c r="M152">
        <f t="shared" si="27"/>
        <v>31.513016380857792</v>
      </c>
      <c r="N152">
        <f t="shared" si="28"/>
        <v>498.82305081068824</v>
      </c>
      <c r="O152">
        <f t="shared" si="29"/>
        <v>248.63387413696847</v>
      </c>
      <c r="P152">
        <f t="shared" si="30"/>
        <v>185.16184478182473</v>
      </c>
      <c r="Q152">
        <f t="shared" si="31"/>
        <v>29.252981081206766</v>
      </c>
      <c r="R152">
        <f t="shared" si="32"/>
        <v>463.0487</v>
      </c>
    </row>
    <row r="153" spans="1:18" x14ac:dyDescent="0.3">
      <c r="A153" t="s">
        <v>0</v>
      </c>
      <c r="B153" t="s">
        <v>0</v>
      </c>
      <c r="C153">
        <v>9</v>
      </c>
      <c r="D153">
        <v>28</v>
      </c>
      <c r="E153">
        <v>1</v>
      </c>
      <c r="F153">
        <v>20260123</v>
      </c>
      <c r="G153">
        <v>20260301</v>
      </c>
      <c r="H153">
        <v>295.07549999999998</v>
      </c>
      <c r="I153">
        <f t="shared" si="23"/>
        <v>38</v>
      </c>
      <c r="J153">
        <f t="shared" si="24"/>
        <v>7.7651447368421049</v>
      </c>
      <c r="K153">
        <f t="shared" si="25"/>
        <v>84.761220197080505</v>
      </c>
      <c r="L153">
        <f t="shared" si="26"/>
        <v>217.42405263157895</v>
      </c>
      <c r="M153">
        <f t="shared" si="27"/>
        <v>5.7249930961075295</v>
      </c>
      <c r="N153">
        <f t="shared" si="28"/>
        <v>307.91026592476697</v>
      </c>
      <c r="O153">
        <f t="shared" si="29"/>
        <v>81.228079080593773</v>
      </c>
      <c r="P153">
        <f t="shared" si="30"/>
        <v>208.36106535650586</v>
      </c>
      <c r="Q153">
        <f t="shared" si="31"/>
        <v>5.4863555629003695</v>
      </c>
      <c r="R153">
        <f t="shared" si="32"/>
        <v>295.07550000000003</v>
      </c>
    </row>
    <row r="154" spans="1:18" x14ac:dyDescent="0.3">
      <c r="A154" t="s">
        <v>0</v>
      </c>
      <c r="B154" t="s">
        <v>0</v>
      </c>
      <c r="C154">
        <v>31</v>
      </c>
      <c r="D154">
        <v>28</v>
      </c>
      <c r="E154">
        <v>5</v>
      </c>
      <c r="F154">
        <v>20251229</v>
      </c>
      <c r="G154">
        <v>20260305</v>
      </c>
      <c r="H154">
        <v>126.27119999999999</v>
      </c>
      <c r="I154">
        <f t="shared" si="23"/>
        <v>64</v>
      </c>
      <c r="J154">
        <f t="shared" si="24"/>
        <v>1.9729874999999999</v>
      </c>
      <c r="K154">
        <f t="shared" si="25"/>
        <v>74.180740298581185</v>
      </c>
      <c r="L154">
        <f t="shared" si="26"/>
        <v>55.243649999999995</v>
      </c>
      <c r="M154">
        <f t="shared" si="27"/>
        <v>7.2731032060581997</v>
      </c>
      <c r="N154">
        <f t="shared" si="28"/>
        <v>136.6974935046394</v>
      </c>
      <c r="O154">
        <f t="shared" si="29"/>
        <v>68.522771370875944</v>
      </c>
      <c r="P154">
        <f t="shared" si="30"/>
        <v>51.030064992693156</v>
      </c>
      <c r="Q154">
        <f t="shared" si="31"/>
        <v>6.7183636364308823</v>
      </c>
      <c r="R154">
        <f t="shared" si="32"/>
        <v>126.27119999999998</v>
      </c>
    </row>
    <row r="155" spans="1:18" x14ac:dyDescent="0.3">
      <c r="A155" t="s">
        <v>0</v>
      </c>
      <c r="B155" t="s">
        <v>0</v>
      </c>
      <c r="C155">
        <v>13</v>
      </c>
      <c r="D155">
        <v>28</v>
      </c>
      <c r="E155">
        <v>7</v>
      </c>
      <c r="F155">
        <v>20260119</v>
      </c>
      <c r="G155">
        <v>20260307</v>
      </c>
      <c r="H155">
        <v>84.338899999999995</v>
      </c>
      <c r="I155">
        <f t="shared" si="23"/>
        <v>48</v>
      </c>
      <c r="J155">
        <f t="shared" si="24"/>
        <v>1.7570604166666666</v>
      </c>
      <c r="K155">
        <f t="shared" si="25"/>
        <v>27.703534605387713</v>
      </c>
      <c r="L155">
        <f t="shared" si="26"/>
        <v>49.197691666666664</v>
      </c>
      <c r="M155">
        <f t="shared" si="27"/>
        <v>9.0679715150627178</v>
      </c>
      <c r="N155">
        <f t="shared" si="28"/>
        <v>85.969197787117096</v>
      </c>
      <c r="O155">
        <f t="shared" si="29"/>
        <v>27.178171890310082</v>
      </c>
      <c r="P155">
        <f t="shared" si="30"/>
        <v>48.26471927748549</v>
      </c>
      <c r="Q155">
        <f t="shared" si="31"/>
        <v>8.8960088322044282</v>
      </c>
      <c r="R155">
        <f t="shared" si="32"/>
        <v>84.33890000000001</v>
      </c>
    </row>
    <row r="156" spans="1:18" x14ac:dyDescent="0.3">
      <c r="A156" t="s">
        <v>0</v>
      </c>
      <c r="B156" t="s">
        <v>0</v>
      </c>
      <c r="C156">
        <v>11</v>
      </c>
      <c r="D156">
        <v>28</v>
      </c>
      <c r="E156">
        <v>3</v>
      </c>
      <c r="F156">
        <v>20260121</v>
      </c>
      <c r="G156">
        <v>20260303</v>
      </c>
      <c r="H156">
        <v>421.55619999999999</v>
      </c>
      <c r="I156">
        <f t="shared" si="23"/>
        <v>42</v>
      </c>
      <c r="J156">
        <f t="shared" si="24"/>
        <v>10.03705238095238</v>
      </c>
      <c r="K156">
        <f t="shared" si="25"/>
        <v>133.90722537206091</v>
      </c>
      <c r="L156">
        <f t="shared" si="26"/>
        <v>281.03746666666666</v>
      </c>
      <c r="M156">
        <f t="shared" si="27"/>
        <v>22.19999402467948</v>
      </c>
      <c r="N156">
        <f t="shared" si="28"/>
        <v>437.14468606340705</v>
      </c>
      <c r="O156">
        <f t="shared" si="29"/>
        <v>129.13212233855612</v>
      </c>
      <c r="P156">
        <f t="shared" si="30"/>
        <v>271.01573067833738</v>
      </c>
      <c r="Q156">
        <f t="shared" si="31"/>
        <v>21.408346983106519</v>
      </c>
      <c r="R156">
        <f t="shared" si="32"/>
        <v>421.55619999999999</v>
      </c>
    </row>
    <row r="157" spans="1:18" x14ac:dyDescent="0.3">
      <c r="A157" t="s">
        <v>0</v>
      </c>
      <c r="B157" t="s">
        <v>0</v>
      </c>
      <c r="C157">
        <v>8</v>
      </c>
      <c r="D157">
        <v>28</v>
      </c>
      <c r="E157">
        <v>4</v>
      </c>
      <c r="F157">
        <v>20260124</v>
      </c>
      <c r="G157">
        <v>20260304</v>
      </c>
      <c r="H157">
        <v>168.70160000000001</v>
      </c>
      <c r="I157">
        <f t="shared" si="23"/>
        <v>40</v>
      </c>
      <c r="J157">
        <f t="shared" si="24"/>
        <v>4.2175400000000005</v>
      </c>
      <c r="K157">
        <f t="shared" si="25"/>
        <v>40.921762711019333</v>
      </c>
      <c r="L157">
        <f t="shared" si="26"/>
        <v>118.09112000000002</v>
      </c>
      <c r="M157">
        <f t="shared" si="27"/>
        <v>12.437829918609705</v>
      </c>
      <c r="N157">
        <f t="shared" si="28"/>
        <v>171.45071262962907</v>
      </c>
      <c r="O157">
        <f t="shared" si="29"/>
        <v>40.265606005864264</v>
      </c>
      <c r="P157">
        <f t="shared" si="30"/>
        <v>116.19759745664176</v>
      </c>
      <c r="Q157">
        <f t="shared" si="31"/>
        <v>12.238396537493974</v>
      </c>
      <c r="R157">
        <f t="shared" si="32"/>
        <v>168.70159999999998</v>
      </c>
    </row>
    <row r="158" spans="1:18" x14ac:dyDescent="0.3">
      <c r="A158" t="s">
        <v>0</v>
      </c>
      <c r="B158" t="s">
        <v>0</v>
      </c>
      <c r="C158">
        <v>30</v>
      </c>
      <c r="D158">
        <v>28</v>
      </c>
      <c r="E158">
        <v>10</v>
      </c>
      <c r="F158">
        <v>20260102</v>
      </c>
      <c r="G158">
        <v>20260310</v>
      </c>
      <c r="H158">
        <v>3242.7873</v>
      </c>
      <c r="I158">
        <f t="shared" si="23"/>
        <v>68</v>
      </c>
      <c r="J158">
        <f t="shared" si="24"/>
        <v>47.688048529411766</v>
      </c>
      <c r="K158">
        <f t="shared" si="25"/>
        <v>1735.1456708817486</v>
      </c>
      <c r="L158">
        <f t="shared" si="26"/>
        <v>1335.2653588235294</v>
      </c>
      <c r="M158">
        <f t="shared" si="27"/>
        <v>351.58874412526558</v>
      </c>
      <c r="N158">
        <f t="shared" si="28"/>
        <v>3421.9997738305437</v>
      </c>
      <c r="O158">
        <f t="shared" si="29"/>
        <v>1644.274902708964</v>
      </c>
      <c r="P158">
        <f t="shared" si="30"/>
        <v>1265.3365966988235</v>
      </c>
      <c r="Q158">
        <f t="shared" si="31"/>
        <v>333.17580059221228</v>
      </c>
      <c r="R158">
        <f t="shared" si="32"/>
        <v>3242.7873</v>
      </c>
    </row>
    <row r="159" spans="1:18" x14ac:dyDescent="0.3">
      <c r="A159" t="s">
        <v>0</v>
      </c>
      <c r="B159" t="s">
        <v>0</v>
      </c>
      <c r="C159">
        <v>29</v>
      </c>
      <c r="D159">
        <v>28</v>
      </c>
      <c r="E159">
        <v>10</v>
      </c>
      <c r="F159">
        <v>20260103</v>
      </c>
      <c r="G159">
        <v>20260310</v>
      </c>
      <c r="H159">
        <v>252.70249999999999</v>
      </c>
      <c r="I159">
        <f t="shared" si="23"/>
        <v>67</v>
      </c>
      <c r="J159">
        <f t="shared" si="24"/>
        <v>3.7716791044776117</v>
      </c>
      <c r="K159">
        <f t="shared" si="25"/>
        <v>132.65935126669629</v>
      </c>
      <c r="L159">
        <f t="shared" si="26"/>
        <v>105.60701492537312</v>
      </c>
      <c r="M159">
        <f t="shared" si="27"/>
        <v>27.807384879021118</v>
      </c>
      <c r="N159">
        <f t="shared" si="28"/>
        <v>266.07375107109056</v>
      </c>
      <c r="O159">
        <f t="shared" si="29"/>
        <v>125.99269780849382</v>
      </c>
      <c r="P159">
        <f t="shared" si="30"/>
        <v>100.29984762400981</v>
      </c>
      <c r="Q159">
        <f t="shared" si="31"/>
        <v>26.409954567496346</v>
      </c>
      <c r="R159">
        <f t="shared" si="32"/>
        <v>252.70249999999999</v>
      </c>
    </row>
    <row r="160" spans="1:18" x14ac:dyDescent="0.3">
      <c r="A160" t="s">
        <v>0</v>
      </c>
      <c r="B160" t="s">
        <v>0</v>
      </c>
      <c r="C160">
        <v>31</v>
      </c>
      <c r="D160">
        <v>28</v>
      </c>
      <c r="E160">
        <v>5</v>
      </c>
      <c r="F160">
        <v>20251227</v>
      </c>
      <c r="G160">
        <v>20260305</v>
      </c>
      <c r="H160">
        <v>126.26819999999999</v>
      </c>
      <c r="I160">
        <f t="shared" si="23"/>
        <v>64</v>
      </c>
      <c r="J160">
        <f t="shared" si="24"/>
        <v>1.9729406249999999</v>
      </c>
      <c r="K160">
        <f t="shared" si="25"/>
        <v>74.178977883866693</v>
      </c>
      <c r="L160">
        <f t="shared" si="26"/>
        <v>55.242337499999998</v>
      </c>
      <c r="M160">
        <f t="shared" si="27"/>
        <v>7.2729304088596454</v>
      </c>
      <c r="N160">
        <f t="shared" si="28"/>
        <v>136.69424579272635</v>
      </c>
      <c r="O160">
        <f t="shared" si="29"/>
        <v>68.521143380375236</v>
      </c>
      <c r="P160">
        <f t="shared" si="30"/>
        <v>51.028852600675208</v>
      </c>
      <c r="Q160">
        <f t="shared" si="31"/>
        <v>6.7182040189495469</v>
      </c>
      <c r="R160">
        <f t="shared" si="32"/>
        <v>126.26819999999999</v>
      </c>
    </row>
    <row r="161" spans="1:18" x14ac:dyDescent="0.3">
      <c r="A161" t="s">
        <v>0</v>
      </c>
      <c r="B161" t="s">
        <v>0</v>
      </c>
      <c r="C161">
        <v>31</v>
      </c>
      <c r="D161">
        <v>28</v>
      </c>
      <c r="E161">
        <v>4</v>
      </c>
      <c r="F161">
        <v>20251226</v>
      </c>
      <c r="G161">
        <v>20260304</v>
      </c>
      <c r="H161">
        <v>126.2475</v>
      </c>
      <c r="I161">
        <f t="shared" si="23"/>
        <v>63</v>
      </c>
      <c r="J161">
        <f t="shared" si="24"/>
        <v>2.0039285714285713</v>
      </c>
      <c r="K161">
        <f t="shared" si="25"/>
        <v>75.344068289357963</v>
      </c>
      <c r="L161">
        <f t="shared" si="26"/>
        <v>56.11</v>
      </c>
      <c r="M161">
        <f t="shared" si="27"/>
        <v>5.9097300180842582</v>
      </c>
      <c r="N161">
        <f t="shared" si="28"/>
        <v>137.36379830744221</v>
      </c>
      <c r="O161">
        <f t="shared" si="29"/>
        <v>69.246776651234825</v>
      </c>
      <c r="P161">
        <f t="shared" si="30"/>
        <v>51.569243951346174</v>
      </c>
      <c r="Q161">
        <f t="shared" si="31"/>
        <v>5.4314793974190083</v>
      </c>
      <c r="R161">
        <f t="shared" si="32"/>
        <v>126.24750000000002</v>
      </c>
    </row>
    <row r="162" spans="1:18" x14ac:dyDescent="0.3">
      <c r="A162" t="s">
        <v>0</v>
      </c>
      <c r="B162" t="s">
        <v>0</v>
      </c>
      <c r="C162">
        <v>0</v>
      </c>
      <c r="D162">
        <v>4</v>
      </c>
      <c r="E162">
        <v>8</v>
      </c>
      <c r="F162">
        <v>20260225</v>
      </c>
      <c r="G162">
        <v>20260308</v>
      </c>
      <c r="H162">
        <v>84.813299999999998</v>
      </c>
      <c r="I162">
        <f t="shared" si="23"/>
        <v>12</v>
      </c>
      <c r="J162">
        <f t="shared" si="24"/>
        <v>7.0677750000000001</v>
      </c>
      <c r="K162">
        <f t="shared" si="25"/>
        <v>0</v>
      </c>
      <c r="L162">
        <f t="shared" si="26"/>
        <v>28.271100000000001</v>
      </c>
      <c r="M162">
        <f t="shared" si="27"/>
        <v>41.68675737657577</v>
      </c>
      <c r="N162">
        <f t="shared" si="28"/>
        <v>69.957857376575774</v>
      </c>
      <c r="O162">
        <f t="shared" si="29"/>
        <v>0</v>
      </c>
      <c r="P162">
        <f t="shared" si="30"/>
        <v>34.2744242826518</v>
      </c>
      <c r="Q162">
        <f t="shared" si="31"/>
        <v>50.538875717348198</v>
      </c>
      <c r="R162">
        <f t="shared" si="32"/>
        <v>84.813299999999998</v>
      </c>
    </row>
    <row r="163" spans="1:18" x14ac:dyDescent="0.3">
      <c r="A163" t="s">
        <v>0</v>
      </c>
      <c r="B163" t="s">
        <v>0</v>
      </c>
      <c r="C163">
        <v>0</v>
      </c>
      <c r="D163">
        <v>6</v>
      </c>
      <c r="E163">
        <v>3</v>
      </c>
      <c r="F163">
        <v>20260223</v>
      </c>
      <c r="G163">
        <v>20260303</v>
      </c>
      <c r="H163">
        <v>84.738200000000006</v>
      </c>
      <c r="I163">
        <f t="shared" si="23"/>
        <v>9</v>
      </c>
      <c r="J163">
        <f t="shared" si="24"/>
        <v>9.415355555555557</v>
      </c>
      <c r="K163">
        <f t="shared" si="25"/>
        <v>0</v>
      </c>
      <c r="L163">
        <f t="shared" si="26"/>
        <v>56.492133333333342</v>
      </c>
      <c r="M163">
        <f t="shared" si="27"/>
        <v>20.824922411507121</v>
      </c>
      <c r="N163">
        <f t="shared" si="28"/>
        <v>77.317055744840459</v>
      </c>
      <c r="O163">
        <f t="shared" si="29"/>
        <v>0</v>
      </c>
      <c r="P163">
        <f t="shared" si="30"/>
        <v>61.914433325354835</v>
      </c>
      <c r="Q163">
        <f t="shared" si="31"/>
        <v>22.823766674645174</v>
      </c>
      <c r="R163">
        <f t="shared" si="32"/>
        <v>84.738200000000006</v>
      </c>
    </row>
    <row r="164" spans="1:18" x14ac:dyDescent="0.3">
      <c r="A164" t="s">
        <v>0</v>
      </c>
      <c r="B164" t="s">
        <v>0</v>
      </c>
      <c r="C164">
        <v>0</v>
      </c>
      <c r="D164">
        <v>22</v>
      </c>
      <c r="E164">
        <v>4</v>
      </c>
      <c r="F164">
        <v>20260207</v>
      </c>
      <c r="G164">
        <v>20260304</v>
      </c>
      <c r="H164">
        <v>126.6922</v>
      </c>
      <c r="I164">
        <f t="shared" si="23"/>
        <v>26</v>
      </c>
      <c r="J164">
        <f t="shared" si="24"/>
        <v>4.8727769230769233</v>
      </c>
      <c r="K164">
        <f t="shared" si="25"/>
        <v>0</v>
      </c>
      <c r="L164">
        <f t="shared" si="26"/>
        <v>107.20109230769231</v>
      </c>
      <c r="M164">
        <f t="shared" si="27"/>
        <v>14.37017090544656</v>
      </c>
      <c r="N164">
        <f t="shared" si="28"/>
        <v>121.57126321313886</v>
      </c>
      <c r="O164">
        <f t="shared" si="29"/>
        <v>0</v>
      </c>
      <c r="P164">
        <f t="shared" si="30"/>
        <v>111.71671551239409</v>
      </c>
      <c r="Q164">
        <f t="shared" si="31"/>
        <v>14.975484487605916</v>
      </c>
      <c r="R164">
        <f t="shared" si="32"/>
        <v>126.6922</v>
      </c>
    </row>
    <row r="165" spans="1:18" x14ac:dyDescent="0.3">
      <c r="A165" t="s">
        <v>0</v>
      </c>
      <c r="B165" t="s">
        <v>0</v>
      </c>
      <c r="C165">
        <v>0</v>
      </c>
      <c r="D165">
        <v>20</v>
      </c>
      <c r="E165">
        <v>5</v>
      </c>
      <c r="F165">
        <v>20260209</v>
      </c>
      <c r="G165">
        <v>20260305</v>
      </c>
      <c r="H165">
        <v>42.253500000000003</v>
      </c>
      <c r="I165">
        <f t="shared" si="23"/>
        <v>25</v>
      </c>
      <c r="J165">
        <f t="shared" si="24"/>
        <v>1.6901400000000002</v>
      </c>
      <c r="K165">
        <f t="shared" si="25"/>
        <v>0</v>
      </c>
      <c r="L165">
        <f t="shared" si="26"/>
        <v>33.802800000000005</v>
      </c>
      <c r="M165">
        <f t="shared" si="27"/>
        <v>6.2304310862016141</v>
      </c>
      <c r="N165">
        <f t="shared" si="28"/>
        <v>40.033231086201617</v>
      </c>
      <c r="O165">
        <f t="shared" si="29"/>
        <v>0</v>
      </c>
      <c r="P165">
        <f t="shared" si="30"/>
        <v>35.677525172138616</v>
      </c>
      <c r="Q165">
        <f t="shared" si="31"/>
        <v>6.5759748278613896</v>
      </c>
      <c r="R165">
        <f t="shared" si="32"/>
        <v>42.253500000000003</v>
      </c>
    </row>
    <row r="166" spans="1:18" x14ac:dyDescent="0.3">
      <c r="A166" t="s">
        <v>0</v>
      </c>
      <c r="B166" t="s">
        <v>0</v>
      </c>
      <c r="C166">
        <v>2</v>
      </c>
      <c r="D166">
        <v>28</v>
      </c>
      <c r="E166">
        <v>4</v>
      </c>
      <c r="F166">
        <v>20260130</v>
      </c>
      <c r="G166">
        <v>20260304</v>
      </c>
      <c r="H166">
        <v>84.408100000000005</v>
      </c>
      <c r="I166">
        <f t="shared" si="23"/>
        <v>34</v>
      </c>
      <c r="J166">
        <f t="shared" si="24"/>
        <v>2.4825911764705886</v>
      </c>
      <c r="K166">
        <f t="shared" si="25"/>
        <v>6.0219942805521551</v>
      </c>
      <c r="L166">
        <f t="shared" si="26"/>
        <v>69.51255294117648</v>
      </c>
      <c r="M166">
        <f t="shared" si="27"/>
        <v>7.3213405943707341</v>
      </c>
      <c r="N166">
        <f t="shared" si="28"/>
        <v>82.855887816099369</v>
      </c>
      <c r="O166">
        <f t="shared" si="29"/>
        <v>6.1348095932599227</v>
      </c>
      <c r="P166">
        <f t="shared" si="30"/>
        <v>70.814792702927818</v>
      </c>
      <c r="Q166">
        <f t="shared" si="31"/>
        <v>7.4584977038122728</v>
      </c>
      <c r="R166">
        <f t="shared" si="32"/>
        <v>84.408100000000005</v>
      </c>
    </row>
    <row r="167" spans="1:18" x14ac:dyDescent="0.3">
      <c r="A167" t="s">
        <v>0</v>
      </c>
      <c r="B167" t="s">
        <v>0</v>
      </c>
      <c r="C167">
        <v>3</v>
      </c>
      <c r="D167">
        <v>28</v>
      </c>
      <c r="E167">
        <v>2</v>
      </c>
      <c r="F167">
        <v>20260129</v>
      </c>
      <c r="G167">
        <v>20260302</v>
      </c>
      <c r="H167">
        <v>717.14970000000005</v>
      </c>
      <c r="I167">
        <f t="shared" si="23"/>
        <v>33</v>
      </c>
      <c r="J167">
        <f t="shared" si="24"/>
        <v>21.731809090909092</v>
      </c>
      <c r="K167">
        <f t="shared" si="25"/>
        <v>79.071917655139714</v>
      </c>
      <c r="L167">
        <f t="shared" si="26"/>
        <v>608.49065454545462</v>
      </c>
      <c r="M167">
        <f t="shared" si="27"/>
        <v>32.044336899759507</v>
      </c>
      <c r="N167">
        <f t="shared" si="28"/>
        <v>719.60690910035385</v>
      </c>
      <c r="O167">
        <f t="shared" si="29"/>
        <v>78.801914361414333</v>
      </c>
      <c r="P167">
        <f t="shared" si="30"/>
        <v>606.41286908380778</v>
      </c>
      <c r="Q167">
        <f t="shared" si="31"/>
        <v>31.934916554777924</v>
      </c>
      <c r="R167">
        <f t="shared" si="32"/>
        <v>717.14970000000005</v>
      </c>
    </row>
    <row r="168" spans="1:18" x14ac:dyDescent="0.3">
      <c r="A168" t="s">
        <v>0</v>
      </c>
      <c r="B168" t="s">
        <v>0</v>
      </c>
      <c r="C168">
        <v>0</v>
      </c>
      <c r="D168">
        <v>26</v>
      </c>
      <c r="E168">
        <v>1</v>
      </c>
      <c r="F168">
        <v>20260203</v>
      </c>
      <c r="G168">
        <v>20260301</v>
      </c>
      <c r="H168">
        <v>1223.6595</v>
      </c>
      <c r="I168">
        <f t="shared" si="23"/>
        <v>27</v>
      </c>
      <c r="J168">
        <f t="shared" si="24"/>
        <v>45.320722222222223</v>
      </c>
      <c r="K168">
        <f t="shared" si="25"/>
        <v>0</v>
      </c>
      <c r="L168">
        <f t="shared" si="26"/>
        <v>1178.3387777777778</v>
      </c>
      <c r="M168">
        <f t="shared" si="27"/>
        <v>33.413520369015778</v>
      </c>
      <c r="N168">
        <f t="shared" si="28"/>
        <v>1211.7522981467935</v>
      </c>
      <c r="O168">
        <f t="shared" si="29"/>
        <v>0</v>
      </c>
      <c r="P168">
        <f t="shared" si="30"/>
        <v>1189.9176439370733</v>
      </c>
      <c r="Q168">
        <f t="shared" si="31"/>
        <v>33.74185606292663</v>
      </c>
      <c r="R168">
        <f t="shared" si="32"/>
        <v>1223.6595</v>
      </c>
    </row>
    <row r="169" spans="1:18" x14ac:dyDescent="0.3">
      <c r="A169" t="s">
        <v>0</v>
      </c>
      <c r="B169" t="s">
        <v>0</v>
      </c>
      <c r="C169">
        <v>4</v>
      </c>
      <c r="D169">
        <v>28</v>
      </c>
      <c r="E169">
        <v>3</v>
      </c>
      <c r="F169">
        <v>20260128</v>
      </c>
      <c r="G169">
        <v>20260303</v>
      </c>
      <c r="H169">
        <v>548.39570000000003</v>
      </c>
      <c r="I169">
        <f t="shared" si="23"/>
        <v>35</v>
      </c>
      <c r="J169">
        <f t="shared" si="24"/>
        <v>15.668448571428572</v>
      </c>
      <c r="K169">
        <f t="shared" si="25"/>
        <v>76.013568868322508</v>
      </c>
      <c r="L169">
        <f t="shared" si="26"/>
        <v>438.71656000000002</v>
      </c>
      <c r="M169">
        <f t="shared" si="27"/>
        <v>34.655539441222565</v>
      </c>
      <c r="N169">
        <f t="shared" si="28"/>
        <v>549.38566830954505</v>
      </c>
      <c r="O169">
        <f t="shared" si="29"/>
        <v>75.876595829861927</v>
      </c>
      <c r="P169">
        <f t="shared" si="30"/>
        <v>437.92601245512321</v>
      </c>
      <c r="Q169">
        <f t="shared" si="31"/>
        <v>34.593091715014921</v>
      </c>
      <c r="R169">
        <f t="shared" si="32"/>
        <v>548.39570000000003</v>
      </c>
    </row>
    <row r="170" spans="1:18" x14ac:dyDescent="0.3">
      <c r="A170" t="s">
        <v>0</v>
      </c>
      <c r="B170" t="s">
        <v>0</v>
      </c>
      <c r="C170">
        <v>1</v>
      </c>
      <c r="D170">
        <v>28</v>
      </c>
      <c r="E170">
        <v>2</v>
      </c>
      <c r="F170">
        <v>20260131</v>
      </c>
      <c r="G170">
        <v>20260302</v>
      </c>
      <c r="H170">
        <v>84.396199999999993</v>
      </c>
      <c r="I170">
        <f t="shared" si="23"/>
        <v>31</v>
      </c>
      <c r="J170">
        <f t="shared" si="24"/>
        <v>2.7224580645161289</v>
      </c>
      <c r="K170">
        <f t="shared" si="25"/>
        <v>3.3019183844975384</v>
      </c>
      <c r="L170">
        <f t="shared" si="26"/>
        <v>76.22882580645161</v>
      </c>
      <c r="M170">
        <f t="shared" si="27"/>
        <v>4.0143626814445117</v>
      </c>
      <c r="N170">
        <f t="shared" si="28"/>
        <v>83.54510687239366</v>
      </c>
      <c r="O170">
        <f t="shared" si="29"/>
        <v>3.3355557829062232</v>
      </c>
      <c r="P170">
        <f t="shared" si="30"/>
        <v>77.005386304105471</v>
      </c>
      <c r="Q170">
        <f t="shared" si="31"/>
        <v>4.0552579129882957</v>
      </c>
      <c r="R170">
        <f t="shared" si="32"/>
        <v>84.396199999999993</v>
      </c>
    </row>
    <row r="171" spans="1:18" x14ac:dyDescent="0.3">
      <c r="A171" t="s">
        <v>0</v>
      </c>
      <c r="B171" t="s">
        <v>0</v>
      </c>
      <c r="C171">
        <v>1</v>
      </c>
      <c r="D171">
        <v>28</v>
      </c>
      <c r="E171">
        <v>6</v>
      </c>
      <c r="F171">
        <v>20260131</v>
      </c>
      <c r="G171">
        <v>20260306</v>
      </c>
      <c r="H171">
        <v>84.451599999999999</v>
      </c>
      <c r="I171">
        <f t="shared" si="23"/>
        <v>35</v>
      </c>
      <c r="J171">
        <f t="shared" si="24"/>
        <v>2.412902857142857</v>
      </c>
      <c r="K171">
        <f t="shared" si="25"/>
        <v>2.92647604304703</v>
      </c>
      <c r="L171">
        <f t="shared" si="26"/>
        <v>67.561279999999996</v>
      </c>
      <c r="M171">
        <f t="shared" si="27"/>
        <v>10.673737064949091</v>
      </c>
      <c r="N171">
        <f t="shared" si="28"/>
        <v>81.161493107996122</v>
      </c>
      <c r="O171">
        <f t="shared" si="29"/>
        <v>3.0451088901005141</v>
      </c>
      <c r="P171">
        <f t="shared" si="30"/>
        <v>70.300064421632371</v>
      </c>
      <c r="Q171">
        <f t="shared" si="31"/>
        <v>11.106426688267101</v>
      </c>
      <c r="R171">
        <f t="shared" si="32"/>
        <v>84.451599999999985</v>
      </c>
    </row>
    <row r="172" spans="1:18" x14ac:dyDescent="0.3">
      <c r="A172" t="s">
        <v>0</v>
      </c>
      <c r="B172" t="s">
        <v>0</v>
      </c>
      <c r="C172">
        <v>0</v>
      </c>
      <c r="D172">
        <v>26</v>
      </c>
      <c r="E172">
        <v>2</v>
      </c>
      <c r="F172">
        <v>20260203</v>
      </c>
      <c r="G172">
        <v>20260302</v>
      </c>
      <c r="H172">
        <v>84.406199999999998</v>
      </c>
      <c r="I172">
        <f t="shared" si="23"/>
        <v>28</v>
      </c>
      <c r="J172">
        <f t="shared" si="24"/>
        <v>3.0145071428571426</v>
      </c>
      <c r="K172">
        <f t="shared" si="25"/>
        <v>0</v>
      </c>
      <c r="L172">
        <f t="shared" si="26"/>
        <v>78.377185714285702</v>
      </c>
      <c r="M172">
        <f t="shared" si="27"/>
        <v>4.4449995887758291</v>
      </c>
      <c r="N172">
        <f t="shared" si="28"/>
        <v>82.822185303061531</v>
      </c>
      <c r="O172">
        <f t="shared" si="29"/>
        <v>0</v>
      </c>
      <c r="P172">
        <f t="shared" si="30"/>
        <v>79.876187625691614</v>
      </c>
      <c r="Q172">
        <f t="shared" si="31"/>
        <v>4.53001237430838</v>
      </c>
      <c r="R172">
        <f t="shared" si="32"/>
        <v>84.406199999999998</v>
      </c>
    </row>
    <row r="173" spans="1:18" x14ac:dyDescent="0.3">
      <c r="A173" t="s">
        <v>0</v>
      </c>
      <c r="B173" t="s">
        <v>0</v>
      </c>
      <c r="C173">
        <v>5</v>
      </c>
      <c r="D173">
        <v>28</v>
      </c>
      <c r="E173">
        <v>5</v>
      </c>
      <c r="F173">
        <v>20260127</v>
      </c>
      <c r="G173">
        <v>20260305</v>
      </c>
      <c r="H173">
        <v>337.5138</v>
      </c>
      <c r="I173">
        <f t="shared" si="23"/>
        <v>38</v>
      </c>
      <c r="J173">
        <f t="shared" si="24"/>
        <v>8.8819421052631586</v>
      </c>
      <c r="K173">
        <f t="shared" si="25"/>
        <v>53.862074699438303</v>
      </c>
      <c r="L173">
        <f t="shared" si="26"/>
        <v>248.69437894736845</v>
      </c>
      <c r="M173">
        <f t="shared" si="27"/>
        <v>32.741860555027742</v>
      </c>
      <c r="N173">
        <f t="shared" si="28"/>
        <v>335.2983142018345</v>
      </c>
      <c r="O173">
        <f t="shared" si="29"/>
        <v>54.217968709345264</v>
      </c>
      <c r="P173">
        <f t="shared" si="30"/>
        <v>250.33762867844172</v>
      </c>
      <c r="Q173">
        <f t="shared" si="31"/>
        <v>32.958202612213015</v>
      </c>
      <c r="R173">
        <f t="shared" si="32"/>
        <v>337.5138</v>
      </c>
    </row>
    <row r="174" spans="1:18" x14ac:dyDescent="0.3">
      <c r="A174" t="s">
        <v>0</v>
      </c>
      <c r="B174" t="s">
        <v>0</v>
      </c>
      <c r="C174">
        <v>3</v>
      </c>
      <c r="D174">
        <v>28</v>
      </c>
      <c r="E174">
        <v>5</v>
      </c>
      <c r="F174">
        <v>20260129</v>
      </c>
      <c r="G174">
        <v>20260305</v>
      </c>
      <c r="H174">
        <v>844.08090000000004</v>
      </c>
      <c r="I174">
        <f t="shared" si="23"/>
        <v>36</v>
      </c>
      <c r="J174">
        <f t="shared" si="24"/>
        <v>23.446691666666666</v>
      </c>
      <c r="K174">
        <f t="shared" si="25"/>
        <v>85.311575534117722</v>
      </c>
      <c r="L174">
        <f t="shared" si="26"/>
        <v>656.50736666666671</v>
      </c>
      <c r="M174">
        <f t="shared" si="27"/>
        <v>86.432482888153828</v>
      </c>
      <c r="N174">
        <f t="shared" si="28"/>
        <v>828.25142508893828</v>
      </c>
      <c r="O174">
        <f t="shared" si="29"/>
        <v>86.942043534091823</v>
      </c>
      <c r="P174">
        <f t="shared" si="30"/>
        <v>669.05448288619073</v>
      </c>
      <c r="Q174">
        <f t="shared" si="31"/>
        <v>88.08437357971755</v>
      </c>
      <c r="R174">
        <f t="shared" si="32"/>
        <v>844.08090000000004</v>
      </c>
    </row>
    <row r="175" spans="1:18" x14ac:dyDescent="0.3">
      <c r="A175" t="s">
        <v>0</v>
      </c>
      <c r="B175" t="s">
        <v>0</v>
      </c>
      <c r="C175">
        <v>5</v>
      </c>
      <c r="D175">
        <v>28</v>
      </c>
      <c r="E175">
        <v>3</v>
      </c>
      <c r="F175">
        <v>20260127</v>
      </c>
      <c r="G175">
        <v>20260303</v>
      </c>
      <c r="H175">
        <v>590.48310000000004</v>
      </c>
      <c r="I175">
        <f t="shared" si="23"/>
        <v>36</v>
      </c>
      <c r="J175">
        <f t="shared" si="24"/>
        <v>16.402308333333334</v>
      </c>
      <c r="K175">
        <f t="shared" si="25"/>
        <v>99.467250092714252</v>
      </c>
      <c r="L175">
        <f t="shared" si="26"/>
        <v>459.26463333333334</v>
      </c>
      <c r="M175">
        <f t="shared" si="27"/>
        <v>36.278693501886394</v>
      </c>
      <c r="N175">
        <f t="shared" si="28"/>
        <v>595.01057692793404</v>
      </c>
      <c r="O175">
        <f t="shared" si="29"/>
        <v>98.710396857928231</v>
      </c>
      <c r="P175">
        <f t="shared" si="30"/>
        <v>455.7700567461938</v>
      </c>
      <c r="Q175">
        <f t="shared" si="31"/>
        <v>36.002646395877939</v>
      </c>
      <c r="R175">
        <f t="shared" si="32"/>
        <v>590.48309999999992</v>
      </c>
    </row>
    <row r="176" spans="1:18" x14ac:dyDescent="0.3">
      <c r="A176" t="s">
        <v>0</v>
      </c>
      <c r="B176" t="s">
        <v>0</v>
      </c>
      <c r="C176">
        <v>0</v>
      </c>
      <c r="D176">
        <v>24</v>
      </c>
      <c r="E176">
        <v>3</v>
      </c>
      <c r="F176">
        <v>20260205</v>
      </c>
      <c r="G176">
        <v>20260303</v>
      </c>
      <c r="H176">
        <v>168.83600000000001</v>
      </c>
      <c r="I176">
        <f t="shared" si="23"/>
        <v>27</v>
      </c>
      <c r="J176">
        <f t="shared" si="24"/>
        <v>6.2531851851851856</v>
      </c>
      <c r="K176">
        <f t="shared" si="25"/>
        <v>0</v>
      </c>
      <c r="L176">
        <f t="shared" si="26"/>
        <v>150.07644444444446</v>
      </c>
      <c r="M176">
        <f t="shared" si="27"/>
        <v>13.830820890181823</v>
      </c>
      <c r="N176">
        <f t="shared" si="28"/>
        <v>163.90726533462629</v>
      </c>
      <c r="O176">
        <f t="shared" si="29"/>
        <v>0</v>
      </c>
      <c r="P176">
        <f t="shared" si="30"/>
        <v>154.58928268062181</v>
      </c>
      <c r="Q176">
        <f t="shared" si="31"/>
        <v>14.246717319378199</v>
      </c>
      <c r="R176">
        <f t="shared" si="32"/>
        <v>168.83600000000001</v>
      </c>
    </row>
    <row r="177" spans="1:18" x14ac:dyDescent="0.3">
      <c r="A177" t="s">
        <v>0</v>
      </c>
      <c r="B177" t="s">
        <v>0</v>
      </c>
      <c r="C177">
        <v>1</v>
      </c>
      <c r="D177">
        <v>28</v>
      </c>
      <c r="E177">
        <v>5</v>
      </c>
      <c r="F177">
        <v>20260131</v>
      </c>
      <c r="G177">
        <v>20260305</v>
      </c>
      <c r="H177">
        <v>168.8715</v>
      </c>
      <c r="I177">
        <f t="shared" si="23"/>
        <v>34</v>
      </c>
      <c r="J177">
        <f t="shared" si="24"/>
        <v>4.9668088235294121</v>
      </c>
      <c r="K177">
        <f t="shared" si="25"/>
        <v>6.0239669365159454</v>
      </c>
      <c r="L177">
        <f t="shared" si="26"/>
        <v>139.07064705882354</v>
      </c>
      <c r="M177">
        <f t="shared" si="27"/>
        <v>18.309347209898654</v>
      </c>
      <c r="N177">
        <f t="shared" si="28"/>
        <v>163.40396120523812</v>
      </c>
      <c r="O177">
        <f t="shared" si="29"/>
        <v>6.2255304278831787</v>
      </c>
      <c r="P177">
        <f t="shared" si="30"/>
        <v>143.72398687016209</v>
      </c>
      <c r="Q177">
        <f t="shared" si="31"/>
        <v>18.921982701954747</v>
      </c>
      <c r="R177">
        <f t="shared" si="32"/>
        <v>168.87150000000003</v>
      </c>
    </row>
    <row r="178" spans="1:18" x14ac:dyDescent="0.3">
      <c r="A178" t="s">
        <v>0</v>
      </c>
      <c r="B178" t="s">
        <v>0</v>
      </c>
      <c r="C178">
        <v>0</v>
      </c>
      <c r="D178">
        <v>16</v>
      </c>
      <c r="E178">
        <v>2</v>
      </c>
      <c r="F178">
        <v>20260213</v>
      </c>
      <c r="G178">
        <v>20260302</v>
      </c>
      <c r="H178">
        <v>253.39619999999999</v>
      </c>
      <c r="I178">
        <f t="shared" si="23"/>
        <v>18</v>
      </c>
      <c r="J178">
        <f t="shared" si="24"/>
        <v>14.077566666666666</v>
      </c>
      <c r="K178">
        <f t="shared" si="25"/>
        <v>0</v>
      </c>
      <c r="L178">
        <f t="shared" si="26"/>
        <v>225.24106666666665</v>
      </c>
      <c r="M178">
        <f t="shared" si="27"/>
        <v>20.757880170417984</v>
      </c>
      <c r="N178">
        <f t="shared" si="28"/>
        <v>245.99894683708465</v>
      </c>
      <c r="O178">
        <f t="shared" si="29"/>
        <v>0</v>
      </c>
      <c r="P178">
        <f t="shared" si="30"/>
        <v>232.01412490224462</v>
      </c>
      <c r="Q178">
        <f t="shared" si="31"/>
        <v>21.382075097755351</v>
      </c>
      <c r="R178">
        <f t="shared" si="32"/>
        <v>253.39619999999996</v>
      </c>
    </row>
    <row r="179" spans="1:18" x14ac:dyDescent="0.3">
      <c r="A179" t="s">
        <v>0</v>
      </c>
      <c r="B179" t="s">
        <v>0</v>
      </c>
      <c r="C179">
        <v>0</v>
      </c>
      <c r="D179">
        <v>10</v>
      </c>
      <c r="E179">
        <v>3</v>
      </c>
      <c r="F179">
        <v>20260219</v>
      </c>
      <c r="G179">
        <v>20260303</v>
      </c>
      <c r="H179">
        <v>211.4699</v>
      </c>
      <c r="I179">
        <f t="shared" si="23"/>
        <v>13</v>
      </c>
      <c r="J179">
        <f t="shared" si="24"/>
        <v>16.266915384615384</v>
      </c>
      <c r="K179">
        <f t="shared" si="25"/>
        <v>0</v>
      </c>
      <c r="L179">
        <f t="shared" si="26"/>
        <v>162.66915384615385</v>
      </c>
      <c r="M179">
        <f t="shared" si="27"/>
        <v>35.979230817181637</v>
      </c>
      <c r="N179">
        <f t="shared" si="28"/>
        <v>198.64838466333549</v>
      </c>
      <c r="O179">
        <f t="shared" si="29"/>
        <v>0</v>
      </c>
      <c r="P179">
        <f t="shared" si="30"/>
        <v>173.16843404103403</v>
      </c>
      <c r="Q179">
        <f t="shared" si="31"/>
        <v>38.301465958965949</v>
      </c>
      <c r="R179">
        <f t="shared" si="32"/>
        <v>211.4699</v>
      </c>
    </row>
    <row r="180" spans="1:18" x14ac:dyDescent="0.3">
      <c r="A180" t="s">
        <v>0</v>
      </c>
      <c r="B180" t="s">
        <v>0</v>
      </c>
      <c r="C180">
        <v>0</v>
      </c>
      <c r="D180">
        <v>15</v>
      </c>
      <c r="E180">
        <v>2</v>
      </c>
      <c r="F180">
        <v>20260214</v>
      </c>
      <c r="G180">
        <v>20260302</v>
      </c>
      <c r="H180">
        <v>126.6921</v>
      </c>
      <c r="I180">
        <f t="shared" si="23"/>
        <v>17</v>
      </c>
      <c r="J180">
        <f t="shared" si="24"/>
        <v>7.4524764705882349</v>
      </c>
      <c r="K180">
        <f t="shared" si="25"/>
        <v>0</v>
      </c>
      <c r="L180">
        <f t="shared" si="26"/>
        <v>111.78714705882352</v>
      </c>
      <c r="M180">
        <f t="shared" si="27"/>
        <v>10.988945548070342</v>
      </c>
      <c r="N180">
        <f t="shared" si="28"/>
        <v>122.77609260689387</v>
      </c>
      <c r="O180">
        <f t="shared" si="29"/>
        <v>0</v>
      </c>
      <c r="P180">
        <f t="shared" si="30"/>
        <v>115.35265631263418</v>
      </c>
      <c r="Q180">
        <f t="shared" si="31"/>
        <v>11.339443687365808</v>
      </c>
      <c r="R180">
        <f t="shared" si="32"/>
        <v>126.69209999999998</v>
      </c>
    </row>
    <row r="181" spans="1:18" x14ac:dyDescent="0.3">
      <c r="A181" t="s">
        <v>0</v>
      </c>
      <c r="B181" t="s">
        <v>0</v>
      </c>
      <c r="C181">
        <v>0</v>
      </c>
      <c r="D181">
        <v>15</v>
      </c>
      <c r="E181">
        <v>5</v>
      </c>
      <c r="F181">
        <v>20260214</v>
      </c>
      <c r="G181">
        <v>20260305</v>
      </c>
      <c r="H181">
        <v>126.79300000000001</v>
      </c>
      <c r="I181">
        <f t="shared" si="23"/>
        <v>20</v>
      </c>
      <c r="J181">
        <f t="shared" si="24"/>
        <v>6.3396500000000007</v>
      </c>
      <c r="K181">
        <f t="shared" si="25"/>
        <v>0</v>
      </c>
      <c r="L181">
        <f t="shared" si="26"/>
        <v>95.094750000000005</v>
      </c>
      <c r="M181">
        <f t="shared" si="27"/>
        <v>23.370106876139292</v>
      </c>
      <c r="N181">
        <f t="shared" si="28"/>
        <v>118.46485687613929</v>
      </c>
      <c r="O181">
        <f t="shared" si="29"/>
        <v>0</v>
      </c>
      <c r="P181">
        <f t="shared" si="30"/>
        <v>101.77996204694308</v>
      </c>
      <c r="Q181">
        <f t="shared" si="31"/>
        <v>25.01303795305693</v>
      </c>
      <c r="R181">
        <f t="shared" si="32"/>
        <v>126.79300000000001</v>
      </c>
    </row>
    <row r="182" spans="1:18" x14ac:dyDescent="0.3">
      <c r="A182" t="s">
        <v>0</v>
      </c>
      <c r="B182" t="s">
        <v>0</v>
      </c>
      <c r="C182">
        <v>21</v>
      </c>
      <c r="D182">
        <v>28</v>
      </c>
      <c r="E182">
        <v>7</v>
      </c>
      <c r="F182">
        <v>20260111</v>
      </c>
      <c r="G182">
        <v>20260307</v>
      </c>
      <c r="H182">
        <v>126.4194</v>
      </c>
      <c r="I182">
        <f t="shared" si="23"/>
        <v>56</v>
      </c>
      <c r="J182">
        <f t="shared" si="24"/>
        <v>2.2574892857142856</v>
      </c>
      <c r="K182">
        <f t="shared" si="25"/>
        <v>57.49765438875621</v>
      </c>
      <c r="L182">
        <f t="shared" si="26"/>
        <v>63.209699999999998</v>
      </c>
      <c r="M182">
        <f t="shared" si="27"/>
        <v>11.650623020266904</v>
      </c>
      <c r="N182">
        <f t="shared" si="28"/>
        <v>132.35797740902311</v>
      </c>
      <c r="O182">
        <f t="shared" si="29"/>
        <v>54.917875835857224</v>
      </c>
      <c r="P182">
        <f t="shared" si="30"/>
        <v>60.373635987846711</v>
      </c>
      <c r="Q182">
        <f t="shared" si="31"/>
        <v>11.127888176296064</v>
      </c>
      <c r="R182">
        <f t="shared" si="32"/>
        <v>126.4194</v>
      </c>
    </row>
    <row r="183" spans="1:18" x14ac:dyDescent="0.3">
      <c r="A183" t="s">
        <v>0</v>
      </c>
      <c r="B183" t="s">
        <v>0</v>
      </c>
      <c r="C183">
        <v>0</v>
      </c>
      <c r="D183">
        <v>15</v>
      </c>
      <c r="E183">
        <v>4</v>
      </c>
      <c r="F183">
        <v>20260214</v>
      </c>
      <c r="G183">
        <v>20260304</v>
      </c>
      <c r="H183">
        <v>42.252499999999998</v>
      </c>
      <c r="I183">
        <f t="shared" si="23"/>
        <v>19</v>
      </c>
      <c r="J183">
        <f t="shared" si="24"/>
        <v>2.2238157894736843</v>
      </c>
      <c r="K183">
        <f t="shared" si="25"/>
        <v>0</v>
      </c>
      <c r="L183">
        <f t="shared" si="26"/>
        <v>33.357236842105266</v>
      </c>
      <c r="M183">
        <f t="shared" si="27"/>
        <v>6.5581932974654533</v>
      </c>
      <c r="N183">
        <f t="shared" si="28"/>
        <v>39.915430139570717</v>
      </c>
      <c r="O183">
        <f t="shared" si="29"/>
        <v>0</v>
      </c>
      <c r="P183">
        <f t="shared" si="30"/>
        <v>35.310320964668698</v>
      </c>
      <c r="Q183">
        <f t="shared" si="31"/>
        <v>6.9421790353313035</v>
      </c>
      <c r="R183">
        <f t="shared" si="32"/>
        <v>42.252499999999998</v>
      </c>
    </row>
    <row r="184" spans="1:18" x14ac:dyDescent="0.3">
      <c r="A184" t="s">
        <v>0</v>
      </c>
      <c r="B184" t="s">
        <v>0</v>
      </c>
      <c r="C184">
        <v>0</v>
      </c>
      <c r="D184">
        <v>3</v>
      </c>
      <c r="E184">
        <v>30</v>
      </c>
      <c r="F184">
        <v>20260226</v>
      </c>
      <c r="G184">
        <v>20260330</v>
      </c>
      <c r="H184">
        <v>126.6892</v>
      </c>
      <c r="I184">
        <f t="shared" si="23"/>
        <v>33</v>
      </c>
      <c r="J184">
        <f t="shared" si="24"/>
        <v>3.8390666666666666</v>
      </c>
      <c r="K184">
        <f t="shared" si="25"/>
        <v>0</v>
      </c>
      <c r="L184">
        <f t="shared" si="26"/>
        <v>11.517199999999999</v>
      </c>
      <c r="M184">
        <f t="shared" si="27"/>
        <v>84.912635528419216</v>
      </c>
      <c r="N184">
        <f t="shared" si="28"/>
        <v>96.429835528419218</v>
      </c>
      <c r="O184">
        <f t="shared" si="29"/>
        <v>0</v>
      </c>
      <c r="P184">
        <f t="shared" si="30"/>
        <v>15.131259389216538</v>
      </c>
      <c r="Q184">
        <f t="shared" si="31"/>
        <v>111.55794061078346</v>
      </c>
      <c r="R184">
        <f t="shared" si="32"/>
        <v>126.6892</v>
      </c>
    </row>
    <row r="185" spans="1:18" x14ac:dyDescent="0.3">
      <c r="A185" t="s">
        <v>0</v>
      </c>
      <c r="B185" t="s">
        <v>0</v>
      </c>
      <c r="C185">
        <v>26</v>
      </c>
      <c r="D185">
        <v>6</v>
      </c>
      <c r="E185">
        <v>0</v>
      </c>
      <c r="F185">
        <v>20260106</v>
      </c>
      <c r="G185">
        <v>20260206</v>
      </c>
      <c r="H185">
        <v>1428.9905000000001</v>
      </c>
      <c r="I185">
        <f t="shared" si="23"/>
        <v>32</v>
      </c>
      <c r="J185">
        <f t="shared" si="24"/>
        <v>44.655953125000003</v>
      </c>
      <c r="K185">
        <f t="shared" si="25"/>
        <v>1408.1789459260303</v>
      </c>
      <c r="L185">
        <f t="shared" si="26"/>
        <v>267.93571875000004</v>
      </c>
      <c r="M185">
        <f t="shared" si="27"/>
        <v>0</v>
      </c>
      <c r="N185">
        <f t="shared" si="28"/>
        <v>1676.1146646760303</v>
      </c>
      <c r="O185">
        <f t="shared" si="29"/>
        <v>1200.5588749008743</v>
      </c>
      <c r="P185">
        <f t="shared" si="30"/>
        <v>228.43162509912585</v>
      </c>
      <c r="Q185">
        <f t="shared" si="31"/>
        <v>0</v>
      </c>
      <c r="R185">
        <f t="shared" si="32"/>
        <v>1428.9905000000001</v>
      </c>
    </row>
    <row r="186" spans="1:18" x14ac:dyDescent="0.3">
      <c r="A186" t="s">
        <v>0</v>
      </c>
      <c r="B186" t="s">
        <v>0</v>
      </c>
      <c r="C186">
        <v>30</v>
      </c>
      <c r="D186">
        <v>3</v>
      </c>
      <c r="E186">
        <v>0</v>
      </c>
      <c r="F186">
        <v>20260102</v>
      </c>
      <c r="G186">
        <v>20260203</v>
      </c>
      <c r="H186">
        <v>714.15930000000003</v>
      </c>
      <c r="I186">
        <f t="shared" si="23"/>
        <v>33</v>
      </c>
      <c r="J186">
        <f t="shared" si="24"/>
        <v>21.641190909090909</v>
      </c>
      <c r="K186">
        <f t="shared" si="25"/>
        <v>787.42200355451882</v>
      </c>
      <c r="L186">
        <f t="shared" si="26"/>
        <v>64.923572727272727</v>
      </c>
      <c r="M186">
        <f t="shared" si="27"/>
        <v>0</v>
      </c>
      <c r="N186">
        <f t="shared" si="28"/>
        <v>852.34557628179152</v>
      </c>
      <c r="O186">
        <f t="shared" si="29"/>
        <v>659.76144243772967</v>
      </c>
      <c r="P186">
        <f t="shared" si="30"/>
        <v>54.397857562270403</v>
      </c>
      <c r="Q186">
        <f t="shared" si="31"/>
        <v>0</v>
      </c>
      <c r="R186">
        <f t="shared" si="32"/>
        <v>714.15930000000003</v>
      </c>
    </row>
    <row r="187" spans="1:18" x14ac:dyDescent="0.3">
      <c r="A187" t="s">
        <v>0</v>
      </c>
      <c r="B187" t="s">
        <v>0</v>
      </c>
      <c r="C187">
        <v>29</v>
      </c>
      <c r="D187">
        <v>4</v>
      </c>
      <c r="E187">
        <v>0</v>
      </c>
      <c r="F187">
        <v>20260103</v>
      </c>
      <c r="G187">
        <v>20260204</v>
      </c>
      <c r="H187">
        <v>546.22469999999998</v>
      </c>
      <c r="I187">
        <f t="shared" si="23"/>
        <v>33</v>
      </c>
      <c r="J187">
        <f t="shared" si="24"/>
        <v>16.552263636363637</v>
      </c>
      <c r="K187">
        <f t="shared" si="25"/>
        <v>582.18435215989939</v>
      </c>
      <c r="L187">
        <f t="shared" si="26"/>
        <v>66.209054545454549</v>
      </c>
      <c r="M187">
        <f t="shared" si="27"/>
        <v>0</v>
      </c>
      <c r="N187">
        <f t="shared" si="28"/>
        <v>648.39340670535398</v>
      </c>
      <c r="O187">
        <f t="shared" si="29"/>
        <v>490.44834480826859</v>
      </c>
      <c r="P187">
        <f t="shared" si="30"/>
        <v>55.776355191731348</v>
      </c>
      <c r="Q187">
        <f t="shared" si="31"/>
        <v>0</v>
      </c>
      <c r="R187">
        <f t="shared" si="32"/>
        <v>546.22469999999998</v>
      </c>
    </row>
    <row r="188" spans="1:18" x14ac:dyDescent="0.3">
      <c r="A188" t="s">
        <v>0</v>
      </c>
      <c r="B188" t="s">
        <v>0</v>
      </c>
      <c r="C188">
        <v>25</v>
      </c>
      <c r="D188">
        <v>2</v>
      </c>
      <c r="E188">
        <v>0</v>
      </c>
      <c r="F188">
        <v>20260107</v>
      </c>
      <c r="G188">
        <v>20260202</v>
      </c>
      <c r="H188">
        <v>126.0519</v>
      </c>
      <c r="I188">
        <f t="shared" si="23"/>
        <v>27</v>
      </c>
      <c r="J188">
        <f t="shared" si="24"/>
        <v>4.6685888888888893</v>
      </c>
      <c r="K188">
        <f t="shared" si="25"/>
        <v>141.55681296621708</v>
      </c>
      <c r="L188">
        <f t="shared" si="26"/>
        <v>9.3371777777777787</v>
      </c>
      <c r="M188">
        <f t="shared" si="27"/>
        <v>0</v>
      </c>
      <c r="N188">
        <f t="shared" si="28"/>
        <v>150.89399074399486</v>
      </c>
      <c r="O188">
        <f t="shared" si="29"/>
        <v>118.25192735878662</v>
      </c>
      <c r="P188">
        <f t="shared" si="30"/>
        <v>7.7999726412133921</v>
      </c>
      <c r="Q188">
        <f t="shared" si="31"/>
        <v>0</v>
      </c>
      <c r="R188">
        <f t="shared" si="32"/>
        <v>126.0519</v>
      </c>
    </row>
    <row r="189" spans="1:18" x14ac:dyDescent="0.3">
      <c r="A189" t="s">
        <v>0</v>
      </c>
      <c r="B189" t="s">
        <v>0</v>
      </c>
      <c r="C189">
        <v>30</v>
      </c>
      <c r="D189">
        <v>28</v>
      </c>
      <c r="E189">
        <v>0</v>
      </c>
      <c r="F189">
        <v>20260102</v>
      </c>
      <c r="G189">
        <v>20260228</v>
      </c>
      <c r="H189">
        <v>2734.9126999999999</v>
      </c>
      <c r="I189">
        <f t="shared" si="23"/>
        <v>58</v>
      </c>
      <c r="J189">
        <f t="shared" si="24"/>
        <v>47.15366724137931</v>
      </c>
      <c r="K189">
        <f t="shared" si="25"/>
        <v>1715.7020281426701</v>
      </c>
      <c r="L189">
        <f t="shared" si="26"/>
        <v>1320.3026827586207</v>
      </c>
      <c r="M189">
        <f t="shared" si="27"/>
        <v>0</v>
      </c>
      <c r="N189">
        <f t="shared" si="28"/>
        <v>3036.0047109012908</v>
      </c>
      <c r="O189">
        <f t="shared" si="29"/>
        <v>1545.5494022570722</v>
      </c>
      <c r="P189">
        <f t="shared" si="30"/>
        <v>1189.3632977429277</v>
      </c>
      <c r="Q189">
        <f t="shared" si="31"/>
        <v>0</v>
      </c>
      <c r="R189">
        <f t="shared" si="32"/>
        <v>2734.9126999999999</v>
      </c>
    </row>
    <row r="190" spans="1:18" x14ac:dyDescent="0.3">
      <c r="A190" t="s">
        <v>0</v>
      </c>
      <c r="B190" t="s">
        <v>0</v>
      </c>
      <c r="C190">
        <v>29</v>
      </c>
      <c r="D190">
        <v>28</v>
      </c>
      <c r="E190">
        <v>0</v>
      </c>
      <c r="F190">
        <v>20260103</v>
      </c>
      <c r="G190">
        <v>20260228</v>
      </c>
      <c r="H190">
        <v>547.00819999999999</v>
      </c>
      <c r="I190">
        <f t="shared" si="23"/>
        <v>57</v>
      </c>
      <c r="J190">
        <f t="shared" si="24"/>
        <v>9.5966350877192976</v>
      </c>
      <c r="K190">
        <f t="shared" si="25"/>
        <v>337.53756611178693</v>
      </c>
      <c r="L190">
        <f t="shared" si="26"/>
        <v>268.70578245614035</v>
      </c>
      <c r="M190">
        <f t="shared" si="27"/>
        <v>0</v>
      </c>
      <c r="N190">
        <f t="shared" si="28"/>
        <v>606.24334856792734</v>
      </c>
      <c r="O190">
        <f t="shared" si="29"/>
        <v>304.55726550623228</v>
      </c>
      <c r="P190">
        <f t="shared" si="30"/>
        <v>242.45093449376768</v>
      </c>
      <c r="Q190">
        <f t="shared" si="31"/>
        <v>0</v>
      </c>
      <c r="R190">
        <f t="shared" si="32"/>
        <v>547.00819999999999</v>
      </c>
    </row>
    <row r="191" spans="1:18" x14ac:dyDescent="0.3">
      <c r="A191" t="s">
        <v>0</v>
      </c>
      <c r="B191" t="s">
        <v>0</v>
      </c>
      <c r="C191">
        <v>28</v>
      </c>
      <c r="D191">
        <v>19</v>
      </c>
      <c r="E191">
        <v>0</v>
      </c>
      <c r="F191">
        <v>20260104</v>
      </c>
      <c r="G191">
        <v>20260219</v>
      </c>
      <c r="H191">
        <v>378.50229999999999</v>
      </c>
      <c r="I191">
        <f t="shared" si="23"/>
        <v>47</v>
      </c>
      <c r="J191">
        <f t="shared" si="24"/>
        <v>8.0532404255319143</v>
      </c>
      <c r="K191">
        <f t="shared" si="25"/>
        <v>273.48520182841628</v>
      </c>
      <c r="L191">
        <f t="shared" si="26"/>
        <v>153.01156808510638</v>
      </c>
      <c r="M191">
        <f t="shared" si="27"/>
        <v>0</v>
      </c>
      <c r="N191">
        <f t="shared" si="28"/>
        <v>426.49676991352266</v>
      </c>
      <c r="O191">
        <f t="shared" si="29"/>
        <v>242.70940651908953</v>
      </c>
      <c r="P191">
        <f t="shared" si="30"/>
        <v>135.79289348091046</v>
      </c>
      <c r="Q191">
        <f t="shared" si="31"/>
        <v>0</v>
      </c>
      <c r="R191">
        <f t="shared" si="32"/>
        <v>378.50229999999999</v>
      </c>
    </row>
    <row r="192" spans="1:18" x14ac:dyDescent="0.3">
      <c r="A192" t="s">
        <v>0</v>
      </c>
      <c r="B192" t="s">
        <v>0</v>
      </c>
      <c r="C192">
        <v>28</v>
      </c>
      <c r="D192">
        <v>26</v>
      </c>
      <c r="E192">
        <v>0</v>
      </c>
      <c r="F192">
        <v>20260104</v>
      </c>
      <c r="G192">
        <v>20260226</v>
      </c>
      <c r="H192">
        <v>631.08920000000001</v>
      </c>
      <c r="I192">
        <f t="shared" si="23"/>
        <v>54</v>
      </c>
      <c r="J192">
        <f t="shared" si="24"/>
        <v>11.686837037037037</v>
      </c>
      <c r="K192">
        <f t="shared" si="25"/>
        <v>396.88085999230276</v>
      </c>
      <c r="L192">
        <f t="shared" si="26"/>
        <v>303.85776296296297</v>
      </c>
      <c r="M192">
        <f t="shared" si="27"/>
        <v>0</v>
      </c>
      <c r="N192">
        <f t="shared" si="28"/>
        <v>700.73862295526578</v>
      </c>
      <c r="O192">
        <f t="shared" si="29"/>
        <v>357.43316583799015</v>
      </c>
      <c r="P192">
        <f t="shared" si="30"/>
        <v>273.65603416200986</v>
      </c>
      <c r="Q192">
        <f t="shared" si="31"/>
        <v>0</v>
      </c>
      <c r="R192">
        <f t="shared" si="32"/>
        <v>631.08920000000001</v>
      </c>
    </row>
    <row r="193" spans="1:18" x14ac:dyDescent="0.3">
      <c r="A193" t="s">
        <v>0</v>
      </c>
      <c r="B193" t="s">
        <v>0</v>
      </c>
      <c r="C193">
        <v>23</v>
      </c>
      <c r="D193">
        <v>19</v>
      </c>
      <c r="E193">
        <v>0</v>
      </c>
      <c r="F193">
        <v>20260109</v>
      </c>
      <c r="G193">
        <v>20260219</v>
      </c>
      <c r="H193">
        <v>42.075600000000001</v>
      </c>
      <c r="I193">
        <f t="shared" si="23"/>
        <v>42</v>
      </c>
      <c r="J193">
        <f t="shared" si="24"/>
        <v>1.0018</v>
      </c>
      <c r="K193">
        <f t="shared" si="25"/>
        <v>27.945636061829905</v>
      </c>
      <c r="L193">
        <f t="shared" si="26"/>
        <v>19.034200000000002</v>
      </c>
      <c r="M193">
        <f t="shared" si="27"/>
        <v>0</v>
      </c>
      <c r="N193">
        <f t="shared" si="28"/>
        <v>46.979836061829907</v>
      </c>
      <c r="O193">
        <f t="shared" si="29"/>
        <v>25.028384584731793</v>
      </c>
      <c r="P193">
        <f t="shared" si="30"/>
        <v>17.047215415268209</v>
      </c>
      <c r="Q193">
        <f t="shared" si="31"/>
        <v>0</v>
      </c>
      <c r="R193">
        <f t="shared" si="32"/>
        <v>42.075600000000001</v>
      </c>
    </row>
    <row r="194" spans="1:18" x14ac:dyDescent="0.3">
      <c r="A194" t="s">
        <v>0</v>
      </c>
      <c r="B194" t="s">
        <v>0</v>
      </c>
      <c r="C194">
        <v>27</v>
      </c>
      <c r="D194">
        <v>27</v>
      </c>
      <c r="E194">
        <v>0</v>
      </c>
      <c r="F194">
        <v>20260105</v>
      </c>
      <c r="G194">
        <v>20260227</v>
      </c>
      <c r="H194">
        <v>252.47720000000001</v>
      </c>
      <c r="I194">
        <f t="shared" si="23"/>
        <v>54</v>
      </c>
      <c r="J194">
        <f t="shared" si="24"/>
        <v>4.6755037037037042</v>
      </c>
      <c r="K194">
        <f t="shared" si="25"/>
        <v>153.10779607814288</v>
      </c>
      <c r="L194">
        <f t="shared" si="26"/>
        <v>126.23860000000002</v>
      </c>
      <c r="M194">
        <f t="shared" si="27"/>
        <v>0</v>
      </c>
      <c r="N194">
        <f t="shared" si="28"/>
        <v>279.3463960781429</v>
      </c>
      <c r="O194">
        <f t="shared" si="29"/>
        <v>138.38097857960912</v>
      </c>
      <c r="P194">
        <f t="shared" si="30"/>
        <v>114.09622142039089</v>
      </c>
      <c r="Q194">
        <f t="shared" si="31"/>
        <v>0</v>
      </c>
      <c r="R194">
        <f t="shared" si="32"/>
        <v>252.47720000000001</v>
      </c>
    </row>
    <row r="195" spans="1:18" x14ac:dyDescent="0.3">
      <c r="A195" t="s">
        <v>0</v>
      </c>
      <c r="B195" t="s">
        <v>0</v>
      </c>
      <c r="C195">
        <v>24</v>
      </c>
      <c r="D195">
        <v>20</v>
      </c>
      <c r="E195">
        <v>0</v>
      </c>
      <c r="F195">
        <v>20260108</v>
      </c>
      <c r="G195">
        <v>20260220</v>
      </c>
      <c r="H195">
        <v>126.2119</v>
      </c>
      <c r="I195">
        <f t="shared" si="23"/>
        <v>44</v>
      </c>
      <c r="J195">
        <f t="shared" si="24"/>
        <v>2.8684522727272728</v>
      </c>
      <c r="K195">
        <f t="shared" si="25"/>
        <v>83.495679888581648</v>
      </c>
      <c r="L195">
        <f t="shared" si="26"/>
        <v>57.369045454545457</v>
      </c>
      <c r="M195">
        <f t="shared" si="27"/>
        <v>0</v>
      </c>
      <c r="N195">
        <f t="shared" si="28"/>
        <v>140.86472534312711</v>
      </c>
      <c r="O195">
        <f t="shared" si="29"/>
        <v>74.810413855279933</v>
      </c>
      <c r="P195">
        <f t="shared" si="30"/>
        <v>51.401486144720067</v>
      </c>
      <c r="Q195">
        <f t="shared" si="31"/>
        <v>0</v>
      </c>
      <c r="R195">
        <f t="shared" si="32"/>
        <v>126.2119</v>
      </c>
    </row>
    <row r="196" spans="1:18" x14ac:dyDescent="0.3">
      <c r="A196" t="s">
        <v>0</v>
      </c>
      <c r="B196" t="s">
        <v>0</v>
      </c>
      <c r="C196">
        <v>25</v>
      </c>
      <c r="D196">
        <v>28</v>
      </c>
      <c r="E196">
        <v>2</v>
      </c>
      <c r="F196">
        <v>20260107</v>
      </c>
      <c r="G196">
        <v>20260302</v>
      </c>
      <c r="H196">
        <v>194386.13800000001</v>
      </c>
      <c r="I196">
        <f t="shared" si="23"/>
        <v>55</v>
      </c>
      <c r="J196">
        <f t="shared" si="24"/>
        <v>3534.2934181818182</v>
      </c>
      <c r="K196">
        <f t="shared" si="25"/>
        <v>107163.7114066744</v>
      </c>
      <c r="L196">
        <f t="shared" si="26"/>
        <v>98960.215709090902</v>
      </c>
      <c r="M196">
        <f t="shared" si="27"/>
        <v>5211.4432130824098</v>
      </c>
      <c r="N196">
        <f t="shared" si="28"/>
        <v>211335.3703288477</v>
      </c>
      <c r="O196">
        <f t="shared" si="29"/>
        <v>98569.112977518889</v>
      </c>
      <c r="P196">
        <f t="shared" si="30"/>
        <v>91023.542899630236</v>
      </c>
      <c r="Q196">
        <f t="shared" si="31"/>
        <v>4793.4821228508754</v>
      </c>
      <c r="R196">
        <f t="shared" si="32"/>
        <v>194386.13800000001</v>
      </c>
    </row>
    <row r="197" spans="1:18" x14ac:dyDescent="0.3">
      <c r="A197" t="s">
        <v>0</v>
      </c>
      <c r="B197" t="s">
        <v>0</v>
      </c>
      <c r="C197">
        <v>27</v>
      </c>
      <c r="D197">
        <v>28</v>
      </c>
      <c r="E197">
        <v>1</v>
      </c>
      <c r="F197">
        <v>20260105</v>
      </c>
      <c r="G197">
        <v>20260301</v>
      </c>
      <c r="H197">
        <v>284758.12390000001</v>
      </c>
      <c r="I197">
        <f t="shared" si="23"/>
        <v>56</v>
      </c>
      <c r="J197">
        <f t="shared" si="24"/>
        <v>5084.9664982142858</v>
      </c>
      <c r="K197">
        <f t="shared" si="25"/>
        <v>166516.39331523867</v>
      </c>
      <c r="L197">
        <f t="shared" si="26"/>
        <v>142379.06195</v>
      </c>
      <c r="M197">
        <f t="shared" si="27"/>
        <v>3748.9833200525459</v>
      </c>
      <c r="N197">
        <f t="shared" si="28"/>
        <v>312644.43858529121</v>
      </c>
      <c r="O197">
        <f t="shared" si="29"/>
        <v>151663.96681675265</v>
      </c>
      <c r="P197">
        <f t="shared" si="30"/>
        <v>129679.56425830792</v>
      </c>
      <c r="Q197">
        <f t="shared" si="31"/>
        <v>3414.5928249394447</v>
      </c>
      <c r="R197">
        <f t="shared" si="32"/>
        <v>284758.12390000006</v>
      </c>
    </row>
    <row r="198" spans="1:18" x14ac:dyDescent="0.3">
      <c r="A198" t="s">
        <v>0</v>
      </c>
      <c r="B198" t="s">
        <v>0</v>
      </c>
      <c r="C198">
        <v>26</v>
      </c>
      <c r="D198">
        <v>28</v>
      </c>
      <c r="E198">
        <v>7</v>
      </c>
      <c r="F198">
        <v>20260106</v>
      </c>
      <c r="G198">
        <v>20260307</v>
      </c>
      <c r="H198">
        <v>114105.8882</v>
      </c>
      <c r="I198">
        <f t="shared" si="23"/>
        <v>61</v>
      </c>
      <c r="J198">
        <f t="shared" si="24"/>
        <v>1870.5883311475411</v>
      </c>
      <c r="K198">
        <f t="shared" si="25"/>
        <v>58987.053686739026</v>
      </c>
      <c r="L198">
        <f t="shared" si="26"/>
        <v>52376.473272131152</v>
      </c>
      <c r="M198">
        <f t="shared" si="27"/>
        <v>9653.8750417212141</v>
      </c>
      <c r="N198">
        <f t="shared" si="28"/>
        <v>121017.40200059139</v>
      </c>
      <c r="O198">
        <f t="shared" si="29"/>
        <v>55618.200704668481</v>
      </c>
      <c r="P198">
        <f t="shared" si="30"/>
        <v>49385.162007286192</v>
      </c>
      <c r="Q198">
        <f t="shared" si="31"/>
        <v>9102.5254880453303</v>
      </c>
      <c r="R198">
        <f t="shared" si="32"/>
        <v>114105.8882</v>
      </c>
    </row>
    <row r="199" spans="1:18" x14ac:dyDescent="0.3">
      <c r="A199" t="s">
        <v>0</v>
      </c>
      <c r="B199" t="s">
        <v>0</v>
      </c>
      <c r="C199">
        <v>28</v>
      </c>
      <c r="D199">
        <v>28</v>
      </c>
      <c r="E199">
        <v>2</v>
      </c>
      <c r="F199">
        <v>20260104</v>
      </c>
      <c r="G199">
        <v>20260302</v>
      </c>
      <c r="H199">
        <v>353391.00429999997</v>
      </c>
      <c r="I199">
        <f t="shared" si="23"/>
        <v>58</v>
      </c>
      <c r="J199">
        <f t="shared" si="24"/>
        <v>6092.9483499999997</v>
      </c>
      <c r="K199">
        <f t="shared" si="25"/>
        <v>206914.37498214329</v>
      </c>
      <c r="L199">
        <f t="shared" si="26"/>
        <v>170602.55379999999</v>
      </c>
      <c r="M199">
        <f t="shared" si="27"/>
        <v>8984.2722629985274</v>
      </c>
      <c r="N199">
        <f t="shared" si="28"/>
        <v>386501.20104514179</v>
      </c>
      <c r="O199">
        <f t="shared" si="29"/>
        <v>189188.74917158688</v>
      </c>
      <c r="P199">
        <f t="shared" si="30"/>
        <v>155987.63383010862</v>
      </c>
      <c r="Q199">
        <f t="shared" si="31"/>
        <v>8214.6212983044788</v>
      </c>
      <c r="R199">
        <f t="shared" si="32"/>
        <v>353391.00429999997</v>
      </c>
    </row>
    <row r="200" spans="1:18" x14ac:dyDescent="0.3">
      <c r="A200" t="s">
        <v>0</v>
      </c>
      <c r="B200" t="s">
        <v>0</v>
      </c>
      <c r="C200">
        <v>29</v>
      </c>
      <c r="D200">
        <v>28</v>
      </c>
      <c r="E200">
        <v>7</v>
      </c>
      <c r="F200">
        <v>20260103</v>
      </c>
      <c r="G200">
        <v>20260307</v>
      </c>
      <c r="H200">
        <v>17517.829399999999</v>
      </c>
      <c r="I200">
        <f t="shared" si="23"/>
        <v>64</v>
      </c>
      <c r="J200">
        <f t="shared" si="24"/>
        <v>273.71608437499998</v>
      </c>
      <c r="K200">
        <f t="shared" si="25"/>
        <v>9627.2766528150805</v>
      </c>
      <c r="L200">
        <f t="shared" si="26"/>
        <v>7664.0503624999992</v>
      </c>
      <c r="M200">
        <f t="shared" si="27"/>
        <v>1412.6148610391665</v>
      </c>
      <c r="N200">
        <f t="shared" si="28"/>
        <v>18703.941876354249</v>
      </c>
      <c r="O200">
        <f t="shared" si="29"/>
        <v>9016.7618732725914</v>
      </c>
      <c r="P200">
        <f t="shared" si="30"/>
        <v>7178.0337883220827</v>
      </c>
      <c r="Q200">
        <f t="shared" si="31"/>
        <v>1323.0337384053225</v>
      </c>
      <c r="R200">
        <f t="shared" si="32"/>
        <v>17517.829399999999</v>
      </c>
    </row>
    <row r="201" spans="1:18" x14ac:dyDescent="0.3">
      <c r="A201" t="s">
        <v>0</v>
      </c>
      <c r="B201" t="s">
        <v>0</v>
      </c>
      <c r="C201">
        <v>9</v>
      </c>
      <c r="D201">
        <v>28</v>
      </c>
      <c r="E201">
        <v>5</v>
      </c>
      <c r="F201">
        <v>20260123</v>
      </c>
      <c r="G201">
        <v>20260305</v>
      </c>
      <c r="H201">
        <v>1434.0304000000001</v>
      </c>
      <c r="I201">
        <f t="shared" si="23"/>
        <v>42</v>
      </c>
      <c r="J201">
        <f t="shared" si="24"/>
        <v>34.143580952380958</v>
      </c>
      <c r="K201">
        <f t="shared" si="25"/>
        <v>372.69769997855138</v>
      </c>
      <c r="L201">
        <f t="shared" si="26"/>
        <v>956.02026666666688</v>
      </c>
      <c r="M201">
        <f t="shared" si="27"/>
        <v>125.86485626040187</v>
      </c>
      <c r="N201">
        <f t="shared" si="28"/>
        <v>1454.5828229056201</v>
      </c>
      <c r="O201">
        <f t="shared" si="29"/>
        <v>367.43169475334867</v>
      </c>
      <c r="P201">
        <f t="shared" si="30"/>
        <v>942.51224737930318</v>
      </c>
      <c r="Q201">
        <f t="shared" si="31"/>
        <v>124.08645786734817</v>
      </c>
      <c r="R201">
        <f t="shared" si="32"/>
        <v>1434.0304000000001</v>
      </c>
    </row>
    <row r="202" spans="1:18" x14ac:dyDescent="0.3">
      <c r="A202" t="s">
        <v>0</v>
      </c>
      <c r="B202" t="s">
        <v>0</v>
      </c>
      <c r="C202">
        <v>23</v>
      </c>
      <c r="D202">
        <v>28</v>
      </c>
      <c r="E202">
        <v>3</v>
      </c>
      <c r="F202">
        <v>20260109</v>
      </c>
      <c r="G202">
        <v>20260303</v>
      </c>
      <c r="H202">
        <v>19415.5209</v>
      </c>
      <c r="I202">
        <f t="shared" si="23"/>
        <v>54</v>
      </c>
      <c r="J202">
        <f t="shared" si="24"/>
        <v>359.54668333333331</v>
      </c>
      <c r="K202">
        <f t="shared" si="25"/>
        <v>10029.707286555536</v>
      </c>
      <c r="L202">
        <f t="shared" si="26"/>
        <v>10067.307133333332</v>
      </c>
      <c r="M202">
        <f t="shared" si="27"/>
        <v>795.2468432605657</v>
      </c>
      <c r="N202">
        <f t="shared" si="28"/>
        <v>20892.261263149434</v>
      </c>
      <c r="O202">
        <f t="shared" si="29"/>
        <v>9320.7714086209035</v>
      </c>
      <c r="P202">
        <f t="shared" si="30"/>
        <v>9355.7135626441614</v>
      </c>
      <c r="Q202">
        <f t="shared" si="31"/>
        <v>739.03592873493449</v>
      </c>
      <c r="R202">
        <f t="shared" si="32"/>
        <v>19415.5209</v>
      </c>
    </row>
    <row r="203" spans="1:18" x14ac:dyDescent="0.3">
      <c r="A203" t="s">
        <v>0</v>
      </c>
      <c r="B203" t="s">
        <v>0</v>
      </c>
      <c r="C203">
        <v>23</v>
      </c>
      <c r="D203">
        <v>26</v>
      </c>
      <c r="E203">
        <v>0</v>
      </c>
      <c r="F203">
        <v>20260109</v>
      </c>
      <c r="G203">
        <v>20260226</v>
      </c>
      <c r="H203">
        <v>294.6397</v>
      </c>
      <c r="I203">
        <f t="shared" ref="I203:I266" si="33">IF(C203&lt;0,0,C203)+D203+E203</f>
        <v>49</v>
      </c>
      <c r="J203">
        <f t="shared" ref="J203:J266" si="34">H203/I203</f>
        <v>6.0130551020408163</v>
      </c>
      <c r="K203">
        <f t="shared" ref="K203:K266" si="35">IF(C203&lt;0,0,C203)*$J203*$B$6</f>
        <v>167.73672339924349</v>
      </c>
      <c r="L203">
        <f t="shared" ref="L203:L266" si="36">IF(D203&lt;0,0,D203)*$J203*$C$6</f>
        <v>156.33943265306124</v>
      </c>
      <c r="M203">
        <f t="shared" ref="M203:M266" si="37">IF(E203&lt;0,0,E203)*$J203*$D$6</f>
        <v>0</v>
      </c>
      <c r="N203">
        <f t="shared" ref="N203:N266" si="38">K203+L203+M203</f>
        <v>324.07615605230473</v>
      </c>
      <c r="O203">
        <f t="shared" ref="O203:O266" si="39">K203/$N203*$H203</f>
        <v>152.50087653273562</v>
      </c>
      <c r="P203">
        <f t="shared" ref="P203:P266" si="40">L203/$N203*$H203</f>
        <v>142.13882346726439</v>
      </c>
      <c r="Q203">
        <f t="shared" ref="Q203:Q266" si="41">M203/$N203*$H203</f>
        <v>0</v>
      </c>
      <c r="R203">
        <f t="shared" ref="R203:R266" si="42">O203+P203+Q203</f>
        <v>294.6397</v>
      </c>
    </row>
    <row r="204" spans="1:18" x14ac:dyDescent="0.3">
      <c r="A204" t="s">
        <v>0</v>
      </c>
      <c r="B204" t="s">
        <v>0</v>
      </c>
      <c r="C204">
        <v>24</v>
      </c>
      <c r="D204">
        <v>27</v>
      </c>
      <c r="E204">
        <v>0</v>
      </c>
      <c r="F204">
        <v>20260108</v>
      </c>
      <c r="G204">
        <v>20260227</v>
      </c>
      <c r="H204">
        <v>168.35769999999999</v>
      </c>
      <c r="I204">
        <f t="shared" si="33"/>
        <v>51</v>
      </c>
      <c r="J204">
        <f t="shared" si="34"/>
        <v>3.3011313725490194</v>
      </c>
      <c r="K204">
        <f t="shared" si="35"/>
        <v>96.090219444523967</v>
      </c>
      <c r="L204">
        <f t="shared" si="36"/>
        <v>89.130547058823524</v>
      </c>
      <c r="M204">
        <f t="shared" si="37"/>
        <v>0</v>
      </c>
      <c r="N204">
        <f t="shared" si="38"/>
        <v>185.22076650334748</v>
      </c>
      <c r="O204">
        <f t="shared" si="39"/>
        <v>87.341871236036354</v>
      </c>
      <c r="P204">
        <f t="shared" si="40"/>
        <v>81.01582876396364</v>
      </c>
      <c r="Q204">
        <f t="shared" si="41"/>
        <v>0</v>
      </c>
      <c r="R204">
        <f t="shared" si="42"/>
        <v>168.35769999999999</v>
      </c>
    </row>
    <row r="205" spans="1:18" x14ac:dyDescent="0.3">
      <c r="A205" t="s">
        <v>0</v>
      </c>
      <c r="B205" t="s">
        <v>0</v>
      </c>
      <c r="C205">
        <v>18</v>
      </c>
      <c r="D205">
        <v>28</v>
      </c>
      <c r="E205">
        <v>2</v>
      </c>
      <c r="F205">
        <v>20260114</v>
      </c>
      <c r="G205">
        <v>20260302</v>
      </c>
      <c r="H205">
        <v>968.85199999999998</v>
      </c>
      <c r="I205">
        <f t="shared" si="33"/>
        <v>48</v>
      </c>
      <c r="J205">
        <f t="shared" si="34"/>
        <v>20.184416666666667</v>
      </c>
      <c r="K205">
        <f t="shared" si="35"/>
        <v>440.65006992483143</v>
      </c>
      <c r="L205">
        <f t="shared" si="36"/>
        <v>565.1636666666667</v>
      </c>
      <c r="M205">
        <f t="shared" si="37"/>
        <v>29.762650918112335</v>
      </c>
      <c r="N205">
        <f t="shared" si="38"/>
        <v>1035.5763875096104</v>
      </c>
      <c r="O205">
        <f t="shared" si="39"/>
        <v>412.2580494264609</v>
      </c>
      <c r="P205">
        <f t="shared" si="40"/>
        <v>528.74897050725951</v>
      </c>
      <c r="Q205">
        <f t="shared" si="41"/>
        <v>27.844980066279629</v>
      </c>
      <c r="R205">
        <f t="shared" si="42"/>
        <v>968.85199999999998</v>
      </c>
    </row>
    <row r="206" spans="1:18" x14ac:dyDescent="0.3">
      <c r="A206" t="s">
        <v>0</v>
      </c>
      <c r="B206" t="s">
        <v>0</v>
      </c>
      <c r="C206">
        <v>18</v>
      </c>
      <c r="D206">
        <v>28</v>
      </c>
      <c r="E206">
        <v>1</v>
      </c>
      <c r="F206">
        <v>20260114</v>
      </c>
      <c r="G206">
        <v>20260301</v>
      </c>
      <c r="H206">
        <v>2527.1437000000001</v>
      </c>
      <c r="I206">
        <f t="shared" si="33"/>
        <v>47</v>
      </c>
      <c r="J206">
        <f t="shared" si="34"/>
        <v>53.769014893617026</v>
      </c>
      <c r="K206">
        <f t="shared" si="35"/>
        <v>1173.8422052983933</v>
      </c>
      <c r="L206">
        <f t="shared" si="36"/>
        <v>1505.5324170212766</v>
      </c>
      <c r="M206">
        <f t="shared" si="37"/>
        <v>39.642176608757744</v>
      </c>
      <c r="N206">
        <f t="shared" si="38"/>
        <v>2719.0167989284278</v>
      </c>
      <c r="O206">
        <f t="shared" si="39"/>
        <v>1091.0075785787842</v>
      </c>
      <c r="P206">
        <f t="shared" si="40"/>
        <v>1399.2913777952876</v>
      </c>
      <c r="Q206">
        <f t="shared" si="41"/>
        <v>36.844743625928054</v>
      </c>
      <c r="R206">
        <f t="shared" si="42"/>
        <v>2527.1437000000001</v>
      </c>
    </row>
    <row r="207" spans="1:18" x14ac:dyDescent="0.3">
      <c r="A207" t="s">
        <v>0</v>
      </c>
      <c r="B207" t="s">
        <v>0</v>
      </c>
      <c r="C207">
        <v>16</v>
      </c>
      <c r="D207">
        <v>28</v>
      </c>
      <c r="E207">
        <v>8</v>
      </c>
      <c r="F207">
        <v>20260116</v>
      </c>
      <c r="G207">
        <v>20260308</v>
      </c>
      <c r="H207">
        <v>168.64230000000001</v>
      </c>
      <c r="I207">
        <f t="shared" si="33"/>
        <v>52</v>
      </c>
      <c r="J207">
        <f t="shared" si="34"/>
        <v>3.243121153846154</v>
      </c>
      <c r="K207">
        <f t="shared" si="35"/>
        <v>62.934428268981222</v>
      </c>
      <c r="L207">
        <f t="shared" si="36"/>
        <v>90.807392307692311</v>
      </c>
      <c r="M207">
        <f t="shared" si="37"/>
        <v>19.128396798599997</v>
      </c>
      <c r="N207">
        <f t="shared" si="38"/>
        <v>172.87021737527354</v>
      </c>
      <c r="O207">
        <f t="shared" si="39"/>
        <v>61.395229864413295</v>
      </c>
      <c r="P207">
        <f t="shared" si="40"/>
        <v>88.586499908930918</v>
      </c>
      <c r="Q207">
        <f t="shared" si="41"/>
        <v>18.660570226655768</v>
      </c>
      <c r="R207">
        <f t="shared" si="42"/>
        <v>168.64230000000001</v>
      </c>
    </row>
    <row r="208" spans="1:18" x14ac:dyDescent="0.3">
      <c r="A208" t="s">
        <v>0</v>
      </c>
      <c r="B208" t="s">
        <v>0</v>
      </c>
      <c r="C208">
        <v>15</v>
      </c>
      <c r="D208">
        <v>28</v>
      </c>
      <c r="E208">
        <v>3</v>
      </c>
      <c r="F208">
        <v>20260117</v>
      </c>
      <c r="G208">
        <v>20260303</v>
      </c>
      <c r="H208">
        <v>800.67520000000002</v>
      </c>
      <c r="I208">
        <f t="shared" si="33"/>
        <v>46</v>
      </c>
      <c r="J208">
        <f t="shared" si="34"/>
        <v>17.405982608695652</v>
      </c>
      <c r="K208">
        <f t="shared" si="35"/>
        <v>316.66126317052095</v>
      </c>
      <c r="L208">
        <f t="shared" si="36"/>
        <v>487.36751304347825</v>
      </c>
      <c r="M208">
        <f t="shared" si="37"/>
        <v>38.498624420853439</v>
      </c>
      <c r="N208">
        <f t="shared" si="38"/>
        <v>842.5274006348526</v>
      </c>
      <c r="O208">
        <f t="shared" si="39"/>
        <v>300.93124571410084</v>
      </c>
      <c r="P208">
        <f t="shared" si="40"/>
        <v>463.15773313194643</v>
      </c>
      <c r="Q208">
        <f t="shared" si="41"/>
        <v>36.586221153952806</v>
      </c>
      <c r="R208">
        <f t="shared" si="42"/>
        <v>800.67520000000002</v>
      </c>
    </row>
    <row r="209" spans="1:18" x14ac:dyDescent="0.3">
      <c r="A209" t="s">
        <v>0</v>
      </c>
      <c r="B209" t="s">
        <v>0</v>
      </c>
      <c r="C209">
        <v>12</v>
      </c>
      <c r="D209">
        <v>28</v>
      </c>
      <c r="E209">
        <v>1</v>
      </c>
      <c r="F209">
        <v>20260120</v>
      </c>
      <c r="G209">
        <v>20260301</v>
      </c>
      <c r="H209">
        <v>1137.8282999999999</v>
      </c>
      <c r="I209">
        <f t="shared" si="33"/>
        <v>41</v>
      </c>
      <c r="J209">
        <f t="shared" si="34"/>
        <v>27.751909756097557</v>
      </c>
      <c r="K209">
        <f t="shared" si="35"/>
        <v>403.9050249019499</v>
      </c>
      <c r="L209">
        <f t="shared" si="36"/>
        <v>777.05347317073165</v>
      </c>
      <c r="M209">
        <f t="shared" si="37"/>
        <v>20.460596311057316</v>
      </c>
      <c r="N209">
        <f t="shared" si="38"/>
        <v>1201.4190943837389</v>
      </c>
      <c r="O209">
        <f t="shared" si="39"/>
        <v>382.52643893709666</v>
      </c>
      <c r="P209">
        <f t="shared" si="40"/>
        <v>735.92423869413415</v>
      </c>
      <c r="Q209">
        <f t="shared" si="41"/>
        <v>19.377622368769067</v>
      </c>
      <c r="R209">
        <f t="shared" si="42"/>
        <v>1137.8282999999999</v>
      </c>
    </row>
    <row r="210" spans="1:18" x14ac:dyDescent="0.3">
      <c r="A210" t="s">
        <v>0</v>
      </c>
      <c r="B210" t="s">
        <v>0</v>
      </c>
      <c r="C210">
        <v>31</v>
      </c>
      <c r="D210">
        <v>28</v>
      </c>
      <c r="E210">
        <v>2</v>
      </c>
      <c r="F210">
        <v>20251229</v>
      </c>
      <c r="G210">
        <v>20260302</v>
      </c>
      <c r="H210">
        <v>967.76110000000006</v>
      </c>
      <c r="I210">
        <f t="shared" si="33"/>
        <v>61</v>
      </c>
      <c r="J210">
        <f t="shared" si="34"/>
        <v>15.864936065573771</v>
      </c>
      <c r="K210">
        <f t="shared" si="35"/>
        <v>596.49273101523568</v>
      </c>
      <c r="L210">
        <f t="shared" si="36"/>
        <v>444.21820983606557</v>
      </c>
      <c r="M210">
        <f t="shared" si="37"/>
        <v>23.393420863017724</v>
      </c>
      <c r="N210">
        <f t="shared" si="38"/>
        <v>1064.1043617143191</v>
      </c>
      <c r="O210">
        <f t="shared" si="39"/>
        <v>542.48669799578045</v>
      </c>
      <c r="P210">
        <f t="shared" si="40"/>
        <v>403.99900503969224</v>
      </c>
      <c r="Q210">
        <f t="shared" si="41"/>
        <v>21.275396964527204</v>
      </c>
      <c r="R210">
        <f t="shared" si="42"/>
        <v>967.76109999999983</v>
      </c>
    </row>
    <row r="211" spans="1:18" x14ac:dyDescent="0.3">
      <c r="A211" t="s">
        <v>0</v>
      </c>
      <c r="B211" t="s">
        <v>0</v>
      </c>
      <c r="C211">
        <v>31</v>
      </c>
      <c r="D211">
        <v>28</v>
      </c>
      <c r="E211">
        <v>7</v>
      </c>
      <c r="F211">
        <v>20251229</v>
      </c>
      <c r="G211">
        <v>20260307</v>
      </c>
      <c r="H211">
        <v>126.2949</v>
      </c>
      <c r="I211">
        <f t="shared" si="33"/>
        <v>66</v>
      </c>
      <c r="J211">
        <f t="shared" si="34"/>
        <v>1.9135590909090909</v>
      </c>
      <c r="K211">
        <f t="shared" si="35"/>
        <v>71.946340242255147</v>
      </c>
      <c r="L211">
        <f t="shared" si="36"/>
        <v>53.579654545454545</v>
      </c>
      <c r="M211">
        <f t="shared" si="37"/>
        <v>9.8756418186642403</v>
      </c>
      <c r="N211">
        <f t="shared" si="38"/>
        <v>135.40163660637393</v>
      </c>
      <c r="O211">
        <f t="shared" si="39"/>
        <v>67.107429969083924</v>
      </c>
      <c r="P211">
        <f t="shared" si="40"/>
        <v>49.97603634972743</v>
      </c>
      <c r="Q211">
        <f t="shared" si="41"/>
        <v>9.2114336811886464</v>
      </c>
      <c r="R211">
        <f t="shared" si="42"/>
        <v>126.29490000000001</v>
      </c>
    </row>
    <row r="212" spans="1:18" x14ac:dyDescent="0.3">
      <c r="A212" t="s">
        <v>0</v>
      </c>
      <c r="B212" t="s">
        <v>0</v>
      </c>
      <c r="C212">
        <v>11</v>
      </c>
      <c r="D212">
        <v>28</v>
      </c>
      <c r="E212">
        <v>1</v>
      </c>
      <c r="F212">
        <v>20260121</v>
      </c>
      <c r="G212">
        <v>20260301</v>
      </c>
      <c r="H212">
        <v>505.7253</v>
      </c>
      <c r="I212">
        <f t="shared" si="33"/>
        <v>40</v>
      </c>
      <c r="J212">
        <f t="shared" si="34"/>
        <v>12.6431325</v>
      </c>
      <c r="K212">
        <f t="shared" si="35"/>
        <v>168.67569569520214</v>
      </c>
      <c r="L212">
        <f t="shared" si="36"/>
        <v>354.00770999999997</v>
      </c>
      <c r="M212">
        <f t="shared" si="37"/>
        <v>9.3213776083597715</v>
      </c>
      <c r="N212">
        <f t="shared" si="38"/>
        <v>532.00478330356179</v>
      </c>
      <c r="O212">
        <f t="shared" si="39"/>
        <v>160.34360871430476</v>
      </c>
      <c r="P212">
        <f t="shared" si="40"/>
        <v>336.52076252086658</v>
      </c>
      <c r="Q212">
        <f t="shared" si="41"/>
        <v>8.8609287648287722</v>
      </c>
      <c r="R212">
        <f t="shared" si="42"/>
        <v>505.72530000000012</v>
      </c>
    </row>
    <row r="213" spans="1:18" x14ac:dyDescent="0.3">
      <c r="A213" t="s">
        <v>0</v>
      </c>
      <c r="B213" t="s">
        <v>0</v>
      </c>
      <c r="C213">
        <v>11</v>
      </c>
      <c r="D213">
        <v>28</v>
      </c>
      <c r="E213">
        <v>2</v>
      </c>
      <c r="F213">
        <v>20260121</v>
      </c>
      <c r="G213">
        <v>20260302</v>
      </c>
      <c r="H213">
        <v>379.34730000000002</v>
      </c>
      <c r="I213">
        <f t="shared" si="33"/>
        <v>41</v>
      </c>
      <c r="J213">
        <f t="shared" si="34"/>
        <v>9.2523731707317083</v>
      </c>
      <c r="K213">
        <f t="shared" si="35"/>
        <v>123.43859256436599</v>
      </c>
      <c r="L213">
        <f t="shared" si="36"/>
        <v>259.0664487804878</v>
      </c>
      <c r="M213">
        <f t="shared" si="37"/>
        <v>13.642958198507728</v>
      </c>
      <c r="N213">
        <f t="shared" si="38"/>
        <v>396.14799954336149</v>
      </c>
      <c r="O213">
        <f t="shared" si="39"/>
        <v>118.20354225963177</v>
      </c>
      <c r="P213">
        <f t="shared" si="40"/>
        <v>248.07939956468027</v>
      </c>
      <c r="Q213">
        <f t="shared" si="41"/>
        <v>13.064358175688024</v>
      </c>
      <c r="R213">
        <f t="shared" si="42"/>
        <v>379.34730000000008</v>
      </c>
    </row>
    <row r="214" spans="1:18" x14ac:dyDescent="0.3">
      <c r="A214" t="s">
        <v>0</v>
      </c>
      <c r="B214" t="s">
        <v>0</v>
      </c>
      <c r="C214">
        <v>8</v>
      </c>
      <c r="D214">
        <v>28</v>
      </c>
      <c r="E214">
        <v>5</v>
      </c>
      <c r="F214">
        <v>20260124</v>
      </c>
      <c r="G214">
        <v>20260305</v>
      </c>
      <c r="H214">
        <v>337.45839999999998</v>
      </c>
      <c r="I214">
        <f t="shared" si="33"/>
        <v>41</v>
      </c>
      <c r="J214">
        <f t="shared" si="34"/>
        <v>8.2306926829268292</v>
      </c>
      <c r="K214">
        <f t="shared" si="35"/>
        <v>79.860405098245607</v>
      </c>
      <c r="L214">
        <f t="shared" si="36"/>
        <v>230.45939512195122</v>
      </c>
      <c r="M214">
        <f t="shared" si="37"/>
        <v>30.341133605902161</v>
      </c>
      <c r="N214">
        <f t="shared" si="38"/>
        <v>340.66093382609898</v>
      </c>
      <c r="O214">
        <f t="shared" si="39"/>
        <v>79.109642027703273</v>
      </c>
      <c r="P214">
        <f t="shared" si="40"/>
        <v>228.29285961659994</v>
      </c>
      <c r="Q214">
        <f t="shared" si="41"/>
        <v>30.055898355696765</v>
      </c>
      <c r="R214">
        <f t="shared" si="42"/>
        <v>337.45839999999998</v>
      </c>
    </row>
    <row r="215" spans="1:18" x14ac:dyDescent="0.3">
      <c r="A215" t="s">
        <v>0</v>
      </c>
      <c r="B215" t="s">
        <v>0</v>
      </c>
      <c r="C215">
        <v>31</v>
      </c>
      <c r="D215">
        <v>28</v>
      </c>
      <c r="E215">
        <v>6</v>
      </c>
      <c r="F215">
        <v>20251227</v>
      </c>
      <c r="G215">
        <v>20260306</v>
      </c>
      <c r="H215">
        <v>42.0944</v>
      </c>
      <c r="I215">
        <f t="shared" si="33"/>
        <v>65</v>
      </c>
      <c r="J215">
        <f t="shared" si="34"/>
        <v>0.64760615384615383</v>
      </c>
      <c r="K215">
        <f t="shared" si="35"/>
        <v>24.348813114236428</v>
      </c>
      <c r="L215">
        <f t="shared" si="36"/>
        <v>18.132972307692306</v>
      </c>
      <c r="M215">
        <f t="shared" si="37"/>
        <v>2.8647559462803378</v>
      </c>
      <c r="N215">
        <f t="shared" si="38"/>
        <v>45.346541368209074</v>
      </c>
      <c r="O215">
        <f t="shared" si="39"/>
        <v>22.602576686796024</v>
      </c>
      <c r="P215">
        <f t="shared" si="40"/>
        <v>16.832520551259602</v>
      </c>
      <c r="Q215">
        <f t="shared" si="41"/>
        <v>2.6593027619443705</v>
      </c>
      <c r="R215">
        <f t="shared" si="42"/>
        <v>42.094399999999993</v>
      </c>
    </row>
    <row r="216" spans="1:18" x14ac:dyDescent="0.3">
      <c r="A216" t="s">
        <v>0</v>
      </c>
      <c r="B216" t="s">
        <v>0</v>
      </c>
      <c r="C216">
        <v>19</v>
      </c>
      <c r="D216">
        <v>28</v>
      </c>
      <c r="E216">
        <v>8</v>
      </c>
      <c r="F216">
        <v>20260113</v>
      </c>
      <c r="G216">
        <v>20260308</v>
      </c>
      <c r="H216">
        <v>168.5909</v>
      </c>
      <c r="I216">
        <f t="shared" si="33"/>
        <v>55</v>
      </c>
      <c r="J216">
        <f t="shared" si="34"/>
        <v>3.0652890909090909</v>
      </c>
      <c r="K216">
        <f t="shared" si="35"/>
        <v>70.636663302490945</v>
      </c>
      <c r="L216">
        <f t="shared" si="36"/>
        <v>85.828094545454547</v>
      </c>
      <c r="M216">
        <f t="shared" si="37"/>
        <v>18.079517616476441</v>
      </c>
      <c r="N216">
        <f t="shared" si="38"/>
        <v>174.54427546442193</v>
      </c>
      <c r="O216">
        <f t="shared" si="39"/>
        <v>68.227380173183164</v>
      </c>
      <c r="P216">
        <f t="shared" si="40"/>
        <v>82.900660398070272</v>
      </c>
      <c r="Q216">
        <f t="shared" si="41"/>
        <v>17.462859428746565</v>
      </c>
      <c r="R216">
        <f t="shared" si="42"/>
        <v>168.5909</v>
      </c>
    </row>
    <row r="217" spans="1:18" x14ac:dyDescent="0.3">
      <c r="A217" t="s">
        <v>0</v>
      </c>
      <c r="B217" t="s">
        <v>0</v>
      </c>
      <c r="C217">
        <v>31</v>
      </c>
      <c r="D217">
        <v>28</v>
      </c>
      <c r="E217">
        <v>5</v>
      </c>
      <c r="F217">
        <v>20251226</v>
      </c>
      <c r="G217">
        <v>20260305</v>
      </c>
      <c r="H217">
        <v>126.2593</v>
      </c>
      <c r="I217">
        <f t="shared" si="33"/>
        <v>64</v>
      </c>
      <c r="J217">
        <f t="shared" si="34"/>
        <v>1.9728015624999999</v>
      </c>
      <c r="K217">
        <f t="shared" si="35"/>
        <v>74.173749386880388</v>
      </c>
      <c r="L217">
        <f t="shared" si="36"/>
        <v>55.238443750000002</v>
      </c>
      <c r="M217">
        <f t="shared" si="37"/>
        <v>7.272417777170598</v>
      </c>
      <c r="N217">
        <f t="shared" si="38"/>
        <v>136.68461091405098</v>
      </c>
      <c r="O217">
        <f t="shared" si="39"/>
        <v>68.516313675223145</v>
      </c>
      <c r="P217">
        <f t="shared" si="40"/>
        <v>51.025255837688604</v>
      </c>
      <c r="Q217">
        <f t="shared" si="41"/>
        <v>6.7177304870882502</v>
      </c>
      <c r="R217">
        <f t="shared" si="42"/>
        <v>126.2593</v>
      </c>
    </row>
    <row r="218" spans="1:18" x14ac:dyDescent="0.3">
      <c r="A218" t="s">
        <v>0</v>
      </c>
      <c r="B218" t="s">
        <v>0</v>
      </c>
      <c r="C218">
        <v>0</v>
      </c>
      <c r="D218">
        <v>9</v>
      </c>
      <c r="E218">
        <v>1</v>
      </c>
      <c r="F218">
        <v>20260220</v>
      </c>
      <c r="G218">
        <v>20260301</v>
      </c>
      <c r="H218">
        <v>253.66909999999999</v>
      </c>
      <c r="I218">
        <f t="shared" si="33"/>
        <v>10</v>
      </c>
      <c r="J218">
        <f t="shared" si="34"/>
        <v>25.366909999999997</v>
      </c>
      <c r="K218">
        <f t="shared" si="35"/>
        <v>0</v>
      </c>
      <c r="L218">
        <f t="shared" si="36"/>
        <v>228.30218999999997</v>
      </c>
      <c r="M218">
        <f t="shared" si="37"/>
        <v>18.702212198383396</v>
      </c>
      <c r="N218">
        <f t="shared" si="38"/>
        <v>247.00440219838336</v>
      </c>
      <c r="O218">
        <f t="shared" si="39"/>
        <v>0</v>
      </c>
      <c r="P218">
        <f t="shared" si="40"/>
        <v>234.46226281754923</v>
      </c>
      <c r="Q218">
        <f t="shared" si="41"/>
        <v>19.20683718245078</v>
      </c>
      <c r="R218">
        <f t="shared" si="42"/>
        <v>253.66910000000001</v>
      </c>
    </row>
    <row r="219" spans="1:18" x14ac:dyDescent="0.3">
      <c r="A219" t="s">
        <v>0</v>
      </c>
      <c r="B219" t="s">
        <v>0</v>
      </c>
      <c r="C219">
        <v>0</v>
      </c>
      <c r="D219">
        <v>8</v>
      </c>
      <c r="E219">
        <v>5</v>
      </c>
      <c r="F219">
        <v>20260221</v>
      </c>
      <c r="G219">
        <v>20260305</v>
      </c>
      <c r="H219">
        <v>42.350299999999997</v>
      </c>
      <c r="I219">
        <f t="shared" si="33"/>
        <v>13</v>
      </c>
      <c r="J219">
        <f t="shared" si="34"/>
        <v>3.2577153846153846</v>
      </c>
      <c r="K219">
        <f t="shared" si="35"/>
        <v>0</v>
      </c>
      <c r="L219">
        <f t="shared" si="36"/>
        <v>26.061723076923077</v>
      </c>
      <c r="M219">
        <f t="shared" si="37"/>
        <v>12.00904729922074</v>
      </c>
      <c r="N219">
        <f t="shared" si="38"/>
        <v>38.070770376143813</v>
      </c>
      <c r="O219">
        <f t="shared" si="39"/>
        <v>0</v>
      </c>
      <c r="P219">
        <f t="shared" si="40"/>
        <v>28.991317483720731</v>
      </c>
      <c r="Q219">
        <f t="shared" si="41"/>
        <v>13.358982516279273</v>
      </c>
      <c r="R219">
        <f t="shared" si="42"/>
        <v>42.350300000000004</v>
      </c>
    </row>
    <row r="220" spans="1:18" x14ac:dyDescent="0.3">
      <c r="A220" t="s">
        <v>0</v>
      </c>
      <c r="B220" t="s">
        <v>0</v>
      </c>
      <c r="C220">
        <v>22</v>
      </c>
      <c r="D220">
        <v>28</v>
      </c>
      <c r="E220">
        <v>8</v>
      </c>
      <c r="F220">
        <v>20260110</v>
      </c>
      <c r="G220">
        <v>20260308</v>
      </c>
      <c r="H220">
        <v>210.7089</v>
      </c>
      <c r="I220">
        <f t="shared" si="33"/>
        <v>58</v>
      </c>
      <c r="J220">
        <f t="shared" si="34"/>
        <v>3.6329120689655174</v>
      </c>
      <c r="K220">
        <f t="shared" si="35"/>
        <v>96.935466053567794</v>
      </c>
      <c r="L220">
        <f t="shared" si="36"/>
        <v>101.72153793103449</v>
      </c>
      <c r="M220">
        <f t="shared" si="37"/>
        <v>21.427439892950673</v>
      </c>
      <c r="N220">
        <f t="shared" si="38"/>
        <v>220.08444387755296</v>
      </c>
      <c r="O220">
        <f t="shared" si="39"/>
        <v>92.806038733471027</v>
      </c>
      <c r="P220">
        <f t="shared" si="40"/>
        <v>97.388225110909943</v>
      </c>
      <c r="Q220">
        <f t="shared" si="41"/>
        <v>20.514636155619026</v>
      </c>
      <c r="R220">
        <f t="shared" si="42"/>
        <v>210.7089</v>
      </c>
    </row>
    <row r="221" spans="1:18" x14ac:dyDescent="0.3">
      <c r="A221" t="s">
        <v>0</v>
      </c>
      <c r="B221" t="s">
        <v>0</v>
      </c>
      <c r="C221">
        <v>0</v>
      </c>
      <c r="D221">
        <v>23</v>
      </c>
      <c r="E221">
        <v>1</v>
      </c>
      <c r="F221">
        <v>20260206</v>
      </c>
      <c r="G221">
        <v>20260301</v>
      </c>
      <c r="H221">
        <v>1223.7168999999999</v>
      </c>
      <c r="I221">
        <f t="shared" si="33"/>
        <v>24</v>
      </c>
      <c r="J221">
        <f t="shared" si="34"/>
        <v>50.988204166666662</v>
      </c>
      <c r="K221">
        <f t="shared" si="35"/>
        <v>0</v>
      </c>
      <c r="L221">
        <f t="shared" si="36"/>
        <v>1172.7286958333332</v>
      </c>
      <c r="M221">
        <f t="shared" si="37"/>
        <v>37.59197371455555</v>
      </c>
      <c r="N221">
        <f t="shared" si="38"/>
        <v>1210.3206695478887</v>
      </c>
      <c r="O221">
        <f t="shared" si="39"/>
        <v>0</v>
      </c>
      <c r="P221">
        <f t="shared" si="40"/>
        <v>1185.7088458567609</v>
      </c>
      <c r="Q221">
        <f t="shared" si="41"/>
        <v>38.008054143238972</v>
      </c>
      <c r="R221">
        <f t="shared" si="42"/>
        <v>1223.7168999999999</v>
      </c>
    </row>
    <row r="222" spans="1:18" x14ac:dyDescent="0.3">
      <c r="A222" t="s">
        <v>0</v>
      </c>
      <c r="B222" t="s">
        <v>0</v>
      </c>
      <c r="C222">
        <v>0</v>
      </c>
      <c r="D222">
        <v>20</v>
      </c>
      <c r="E222">
        <v>2</v>
      </c>
      <c r="F222">
        <v>20260209</v>
      </c>
      <c r="G222">
        <v>20260302</v>
      </c>
      <c r="H222">
        <v>548.97389999999996</v>
      </c>
      <c r="I222">
        <f t="shared" si="33"/>
        <v>22</v>
      </c>
      <c r="J222">
        <f t="shared" si="34"/>
        <v>24.953359090909089</v>
      </c>
      <c r="K222">
        <f t="shared" si="35"/>
        <v>0</v>
      </c>
      <c r="L222">
        <f t="shared" si="36"/>
        <v>499.06718181818178</v>
      </c>
      <c r="M222">
        <f t="shared" si="37"/>
        <v>36.794628654466877</v>
      </c>
      <c r="N222">
        <f t="shared" si="38"/>
        <v>535.8618104726487</v>
      </c>
      <c r="O222">
        <f t="shared" si="39"/>
        <v>0</v>
      </c>
      <c r="P222">
        <f t="shared" si="40"/>
        <v>511.27893761095044</v>
      </c>
      <c r="Q222">
        <f t="shared" si="41"/>
        <v>37.694962389049444</v>
      </c>
      <c r="R222">
        <f t="shared" si="42"/>
        <v>548.97389999999984</v>
      </c>
    </row>
    <row r="223" spans="1:18" x14ac:dyDescent="0.3">
      <c r="A223" t="s">
        <v>0</v>
      </c>
      <c r="B223" t="s">
        <v>0</v>
      </c>
      <c r="C223">
        <v>0</v>
      </c>
      <c r="D223">
        <v>22</v>
      </c>
      <c r="E223">
        <v>1</v>
      </c>
      <c r="F223">
        <v>20260207</v>
      </c>
      <c r="G223">
        <v>20260301</v>
      </c>
      <c r="H223">
        <v>970.73829999999998</v>
      </c>
      <c r="I223">
        <f t="shared" si="33"/>
        <v>23</v>
      </c>
      <c r="J223">
        <f t="shared" si="34"/>
        <v>42.206013043478258</v>
      </c>
      <c r="K223">
        <f t="shared" si="35"/>
        <v>0</v>
      </c>
      <c r="L223">
        <f t="shared" si="36"/>
        <v>928.53228695652172</v>
      </c>
      <c r="M223">
        <f t="shared" si="37"/>
        <v>31.117144815307338</v>
      </c>
      <c r="N223">
        <f t="shared" si="38"/>
        <v>959.64943177182909</v>
      </c>
      <c r="O223">
        <f t="shared" si="39"/>
        <v>0</v>
      </c>
      <c r="P223">
        <f t="shared" si="40"/>
        <v>939.26159271628501</v>
      </c>
      <c r="Q223">
        <f t="shared" si="41"/>
        <v>31.476707283714962</v>
      </c>
      <c r="R223">
        <f t="shared" si="42"/>
        <v>970.73829999999998</v>
      </c>
    </row>
    <row r="224" spans="1:18" x14ac:dyDescent="0.3">
      <c r="A224" t="s">
        <v>0</v>
      </c>
      <c r="B224" t="s">
        <v>0</v>
      </c>
      <c r="C224">
        <v>0</v>
      </c>
      <c r="D224">
        <v>19</v>
      </c>
      <c r="E224">
        <v>5</v>
      </c>
      <c r="F224">
        <v>20260210</v>
      </c>
      <c r="G224">
        <v>20260305</v>
      </c>
      <c r="H224">
        <v>84.510900000000007</v>
      </c>
      <c r="I224">
        <f t="shared" si="33"/>
        <v>24</v>
      </c>
      <c r="J224">
        <f t="shared" si="34"/>
        <v>3.5212875000000001</v>
      </c>
      <c r="K224">
        <f t="shared" si="35"/>
        <v>0</v>
      </c>
      <c r="L224">
        <f t="shared" si="36"/>
        <v>66.904462500000008</v>
      </c>
      <c r="M224">
        <f t="shared" si="37"/>
        <v>12.980663793208354</v>
      </c>
      <c r="N224">
        <f t="shared" si="38"/>
        <v>79.885126293208359</v>
      </c>
      <c r="O224">
        <f t="shared" si="39"/>
        <v>0</v>
      </c>
      <c r="P224">
        <f t="shared" si="40"/>
        <v>70.778586731381992</v>
      </c>
      <c r="Q224">
        <f t="shared" si="41"/>
        <v>13.732313268618027</v>
      </c>
      <c r="R224">
        <f t="shared" si="42"/>
        <v>84.510900000000021</v>
      </c>
    </row>
    <row r="225" spans="1:18" x14ac:dyDescent="0.3">
      <c r="A225" t="s">
        <v>0</v>
      </c>
      <c r="B225" t="s">
        <v>0</v>
      </c>
      <c r="C225">
        <v>6</v>
      </c>
      <c r="D225">
        <v>28</v>
      </c>
      <c r="E225">
        <v>3</v>
      </c>
      <c r="F225">
        <v>20260126</v>
      </c>
      <c r="G225">
        <v>20260303</v>
      </c>
      <c r="H225">
        <v>253.04050000000001</v>
      </c>
      <c r="I225">
        <f t="shared" si="33"/>
        <v>37</v>
      </c>
      <c r="J225">
        <f t="shared" si="34"/>
        <v>6.8389324324324328</v>
      </c>
      <c r="K225">
        <f t="shared" si="35"/>
        <v>49.767370943137635</v>
      </c>
      <c r="L225">
        <f t="shared" si="36"/>
        <v>191.49010810810813</v>
      </c>
      <c r="M225">
        <f t="shared" si="37"/>
        <v>15.126379077517642</v>
      </c>
      <c r="N225">
        <f t="shared" si="38"/>
        <v>256.38385812876339</v>
      </c>
      <c r="O225">
        <f t="shared" si="39"/>
        <v>49.1183825653032</v>
      </c>
      <c r="P225">
        <f t="shared" si="40"/>
        <v>188.99299298473915</v>
      </c>
      <c r="Q225">
        <f t="shared" si="41"/>
        <v>14.929124449957682</v>
      </c>
      <c r="R225">
        <f t="shared" si="42"/>
        <v>253.04050000000001</v>
      </c>
    </row>
    <row r="226" spans="1:18" x14ac:dyDescent="0.3">
      <c r="A226" t="s">
        <v>0</v>
      </c>
      <c r="B226" t="s">
        <v>0</v>
      </c>
      <c r="C226">
        <v>0</v>
      </c>
      <c r="D226">
        <v>23</v>
      </c>
      <c r="E226">
        <v>4</v>
      </c>
      <c r="F226">
        <v>20260206</v>
      </c>
      <c r="G226">
        <v>20260304</v>
      </c>
      <c r="H226">
        <v>126.66549999999999</v>
      </c>
      <c r="I226">
        <f t="shared" si="33"/>
        <v>27</v>
      </c>
      <c r="J226">
        <f t="shared" si="34"/>
        <v>4.6913148148148149</v>
      </c>
      <c r="K226">
        <f t="shared" si="35"/>
        <v>0</v>
      </c>
      <c r="L226">
        <f t="shared" si="36"/>
        <v>107.90024074074074</v>
      </c>
      <c r="M226">
        <f t="shared" si="37"/>
        <v>13.835026048673075</v>
      </c>
      <c r="N226">
        <f t="shared" si="38"/>
        <v>121.73526678941381</v>
      </c>
      <c r="O226">
        <f t="shared" si="39"/>
        <v>0</v>
      </c>
      <c r="P226">
        <f t="shared" si="40"/>
        <v>112.27016052126325</v>
      </c>
      <c r="Q226">
        <f t="shared" si="41"/>
        <v>14.39533947873675</v>
      </c>
      <c r="R226">
        <f t="shared" si="42"/>
        <v>126.66549999999999</v>
      </c>
    </row>
    <row r="227" spans="1:18" x14ac:dyDescent="0.3">
      <c r="A227" t="s">
        <v>0</v>
      </c>
      <c r="B227" t="s">
        <v>0</v>
      </c>
      <c r="C227">
        <v>0</v>
      </c>
      <c r="D227">
        <v>18</v>
      </c>
      <c r="E227">
        <v>3</v>
      </c>
      <c r="F227">
        <v>20260211</v>
      </c>
      <c r="G227">
        <v>20260303</v>
      </c>
      <c r="H227">
        <v>253.4734</v>
      </c>
      <c r="I227">
        <f t="shared" si="33"/>
        <v>21</v>
      </c>
      <c r="J227">
        <f t="shared" si="34"/>
        <v>12.070161904761905</v>
      </c>
      <c r="K227">
        <f t="shared" si="35"/>
        <v>0</v>
      </c>
      <c r="L227">
        <f t="shared" si="36"/>
        <v>217.26291428571429</v>
      </c>
      <c r="M227">
        <f t="shared" si="37"/>
        <v>26.69683408957189</v>
      </c>
      <c r="N227">
        <f t="shared" si="38"/>
        <v>243.95974837528618</v>
      </c>
      <c r="O227">
        <f t="shared" si="39"/>
        <v>0</v>
      </c>
      <c r="P227">
        <f t="shared" si="40"/>
        <v>225.73547457998345</v>
      </c>
      <c r="Q227">
        <f t="shared" si="41"/>
        <v>27.737925420016548</v>
      </c>
      <c r="R227">
        <f t="shared" si="42"/>
        <v>253.4734</v>
      </c>
    </row>
    <row r="228" spans="1:18" x14ac:dyDescent="0.3">
      <c r="A228" t="s">
        <v>0</v>
      </c>
      <c r="B228" t="s">
        <v>0</v>
      </c>
      <c r="C228">
        <v>0</v>
      </c>
      <c r="D228">
        <v>15</v>
      </c>
      <c r="E228">
        <v>1</v>
      </c>
      <c r="F228">
        <v>20260214</v>
      </c>
      <c r="G228">
        <v>20260301</v>
      </c>
      <c r="H228">
        <v>506.6028</v>
      </c>
      <c r="I228">
        <f t="shared" si="33"/>
        <v>16</v>
      </c>
      <c r="J228">
        <f t="shared" si="34"/>
        <v>31.662675</v>
      </c>
      <c r="K228">
        <f t="shared" si="35"/>
        <v>0</v>
      </c>
      <c r="L228">
        <f t="shared" si="36"/>
        <v>474.94012500000002</v>
      </c>
      <c r="M228">
        <f t="shared" si="37"/>
        <v>23.343878565361294</v>
      </c>
      <c r="N228">
        <f t="shared" si="38"/>
        <v>498.28400356536133</v>
      </c>
      <c r="O228">
        <f t="shared" si="39"/>
        <v>0</v>
      </c>
      <c r="P228">
        <f t="shared" si="40"/>
        <v>482.86919795888855</v>
      </c>
      <c r="Q228">
        <f t="shared" si="41"/>
        <v>23.733602041111389</v>
      </c>
      <c r="R228">
        <f t="shared" si="42"/>
        <v>506.60279999999995</v>
      </c>
    </row>
    <row r="229" spans="1:18" x14ac:dyDescent="0.3">
      <c r="A229" t="s">
        <v>0</v>
      </c>
      <c r="B229" t="s">
        <v>0</v>
      </c>
      <c r="C229">
        <v>0</v>
      </c>
      <c r="D229">
        <v>16</v>
      </c>
      <c r="E229">
        <v>6</v>
      </c>
      <c r="F229">
        <v>20260213</v>
      </c>
      <c r="G229">
        <v>20260306</v>
      </c>
      <c r="H229">
        <v>84.552400000000006</v>
      </c>
      <c r="I229">
        <f t="shared" si="33"/>
        <v>22</v>
      </c>
      <c r="J229">
        <f t="shared" si="34"/>
        <v>3.8432909090909093</v>
      </c>
      <c r="K229">
        <f t="shared" si="35"/>
        <v>0</v>
      </c>
      <c r="L229">
        <f t="shared" si="36"/>
        <v>61.492654545454549</v>
      </c>
      <c r="M229">
        <f t="shared" si="37"/>
        <v>17.001213499461155</v>
      </c>
      <c r="N229">
        <f t="shared" si="38"/>
        <v>78.4938680449157</v>
      </c>
      <c r="O229">
        <f t="shared" si="39"/>
        <v>0</v>
      </c>
      <c r="P229">
        <f t="shared" si="40"/>
        <v>66.238951572802137</v>
      </c>
      <c r="Q229">
        <f t="shared" si="41"/>
        <v>18.31344842719788</v>
      </c>
      <c r="R229">
        <f t="shared" si="42"/>
        <v>84.55240000000002</v>
      </c>
    </row>
    <row r="230" spans="1:18" x14ac:dyDescent="0.3">
      <c r="A230" t="s">
        <v>0</v>
      </c>
      <c r="B230" t="s">
        <v>0</v>
      </c>
      <c r="C230">
        <v>0</v>
      </c>
      <c r="D230">
        <v>16</v>
      </c>
      <c r="E230">
        <v>3</v>
      </c>
      <c r="F230">
        <v>20260213</v>
      </c>
      <c r="G230">
        <v>20260303</v>
      </c>
      <c r="H230">
        <v>84.489099999999993</v>
      </c>
      <c r="I230">
        <f t="shared" si="33"/>
        <v>19</v>
      </c>
      <c r="J230">
        <f t="shared" si="34"/>
        <v>4.4467947368421052</v>
      </c>
      <c r="K230">
        <f t="shared" si="35"/>
        <v>0</v>
      </c>
      <c r="L230">
        <f t="shared" si="36"/>
        <v>71.148715789473684</v>
      </c>
      <c r="M230">
        <f t="shared" si="37"/>
        <v>9.8354390153639741</v>
      </c>
      <c r="N230">
        <f t="shared" si="38"/>
        <v>80.984154804837658</v>
      </c>
      <c r="O230">
        <f t="shared" si="39"/>
        <v>0</v>
      </c>
      <c r="P230">
        <f t="shared" si="40"/>
        <v>74.227989138059527</v>
      </c>
      <c r="Q230">
        <f t="shared" si="41"/>
        <v>10.261110861940471</v>
      </c>
      <c r="R230">
        <f t="shared" si="42"/>
        <v>84.489099999999993</v>
      </c>
    </row>
    <row r="231" spans="1:18" x14ac:dyDescent="0.3">
      <c r="A231" t="s">
        <v>0</v>
      </c>
      <c r="B231" t="s">
        <v>0</v>
      </c>
      <c r="C231">
        <v>30</v>
      </c>
      <c r="D231">
        <v>9</v>
      </c>
      <c r="E231">
        <v>0</v>
      </c>
      <c r="F231">
        <v>20260102</v>
      </c>
      <c r="G231">
        <v>20260209</v>
      </c>
      <c r="H231">
        <v>1428.9232999999999</v>
      </c>
      <c r="I231">
        <f t="shared" si="33"/>
        <v>39</v>
      </c>
      <c r="J231">
        <f t="shared" si="34"/>
        <v>36.639058974358974</v>
      </c>
      <c r="K231">
        <f t="shared" si="35"/>
        <v>1333.1244730077499</v>
      </c>
      <c r="L231">
        <f t="shared" si="36"/>
        <v>329.75153076923078</v>
      </c>
      <c r="M231">
        <f t="shared" si="37"/>
        <v>0</v>
      </c>
      <c r="N231">
        <f t="shared" si="38"/>
        <v>1662.8760037769807</v>
      </c>
      <c r="O231">
        <f t="shared" si="39"/>
        <v>1145.5650433070282</v>
      </c>
      <c r="P231">
        <f t="shared" si="40"/>
        <v>283.35825669297179</v>
      </c>
      <c r="Q231">
        <f t="shared" si="41"/>
        <v>0</v>
      </c>
      <c r="R231">
        <f t="shared" si="42"/>
        <v>1428.9232999999999</v>
      </c>
    </row>
    <row r="232" spans="1:18" x14ac:dyDescent="0.3">
      <c r="A232" t="s">
        <v>0</v>
      </c>
      <c r="B232" t="s">
        <v>0</v>
      </c>
      <c r="C232">
        <v>28</v>
      </c>
      <c r="D232">
        <v>3</v>
      </c>
      <c r="E232">
        <v>0</v>
      </c>
      <c r="F232">
        <v>20260104</v>
      </c>
      <c r="G232">
        <v>20260203</v>
      </c>
      <c r="H232">
        <v>126.0429</v>
      </c>
      <c r="I232">
        <f t="shared" si="33"/>
        <v>31</v>
      </c>
      <c r="J232">
        <f t="shared" si="34"/>
        <v>4.0659000000000001</v>
      </c>
      <c r="K232">
        <f t="shared" si="35"/>
        <v>138.07652862179546</v>
      </c>
      <c r="L232">
        <f t="shared" si="36"/>
        <v>12.197700000000001</v>
      </c>
      <c r="M232">
        <f t="shared" si="37"/>
        <v>0</v>
      </c>
      <c r="N232">
        <f t="shared" si="38"/>
        <v>150.27422862179546</v>
      </c>
      <c r="O232">
        <f t="shared" si="39"/>
        <v>115.81204740850639</v>
      </c>
      <c r="P232">
        <f t="shared" si="40"/>
        <v>10.230852591493617</v>
      </c>
      <c r="Q232">
        <f t="shared" si="41"/>
        <v>0</v>
      </c>
      <c r="R232">
        <f t="shared" si="42"/>
        <v>126.0429</v>
      </c>
    </row>
    <row r="233" spans="1:18" x14ac:dyDescent="0.3">
      <c r="A233" t="s">
        <v>0</v>
      </c>
      <c r="B233" t="s">
        <v>0</v>
      </c>
      <c r="C233">
        <v>30</v>
      </c>
      <c r="D233">
        <v>7</v>
      </c>
      <c r="E233">
        <v>0</v>
      </c>
      <c r="F233">
        <v>20260102</v>
      </c>
      <c r="G233">
        <v>20260207</v>
      </c>
      <c r="H233">
        <v>1512.6575</v>
      </c>
      <c r="I233">
        <f t="shared" si="33"/>
        <v>37</v>
      </c>
      <c r="J233">
        <f t="shared" si="34"/>
        <v>40.882635135135139</v>
      </c>
      <c r="K233">
        <f t="shared" si="35"/>
        <v>1487.5284176331302</v>
      </c>
      <c r="L233">
        <f t="shared" si="36"/>
        <v>286.17844594594595</v>
      </c>
      <c r="M233">
        <f t="shared" si="37"/>
        <v>0</v>
      </c>
      <c r="N233">
        <f t="shared" si="38"/>
        <v>1773.7068635790761</v>
      </c>
      <c r="O233">
        <f t="shared" si="39"/>
        <v>1268.5980212398106</v>
      </c>
      <c r="P233">
        <f t="shared" si="40"/>
        <v>244.05947876018945</v>
      </c>
      <c r="Q233">
        <f t="shared" si="41"/>
        <v>0</v>
      </c>
      <c r="R233">
        <f t="shared" si="42"/>
        <v>1512.6575</v>
      </c>
    </row>
    <row r="234" spans="1:18" x14ac:dyDescent="0.3">
      <c r="A234" t="s">
        <v>0</v>
      </c>
      <c r="B234" t="s">
        <v>0</v>
      </c>
      <c r="C234">
        <v>29</v>
      </c>
      <c r="D234">
        <v>10</v>
      </c>
      <c r="E234">
        <v>0</v>
      </c>
      <c r="F234">
        <v>20260103</v>
      </c>
      <c r="G234">
        <v>20260210</v>
      </c>
      <c r="H234">
        <v>294.21780000000001</v>
      </c>
      <c r="I234">
        <f t="shared" si="33"/>
        <v>39</v>
      </c>
      <c r="J234">
        <f t="shared" si="34"/>
        <v>7.5440461538461543</v>
      </c>
      <c r="K234">
        <f t="shared" si="35"/>
        <v>265.34289926922565</v>
      </c>
      <c r="L234">
        <f t="shared" si="36"/>
        <v>75.440461538461548</v>
      </c>
      <c r="M234">
        <f t="shared" si="37"/>
        <v>0</v>
      </c>
      <c r="N234">
        <f t="shared" si="38"/>
        <v>340.78336080768719</v>
      </c>
      <c r="O234">
        <f t="shared" si="39"/>
        <v>229.08572731832791</v>
      </c>
      <c r="P234">
        <f t="shared" si="40"/>
        <v>65.132072681672113</v>
      </c>
      <c r="Q234">
        <f t="shared" si="41"/>
        <v>0</v>
      </c>
      <c r="R234">
        <f t="shared" si="42"/>
        <v>294.21780000000001</v>
      </c>
    </row>
    <row r="235" spans="1:18" x14ac:dyDescent="0.3">
      <c r="A235" t="s">
        <v>0</v>
      </c>
      <c r="B235" t="s">
        <v>0</v>
      </c>
      <c r="C235">
        <v>25</v>
      </c>
      <c r="D235">
        <v>6</v>
      </c>
      <c r="E235">
        <v>0</v>
      </c>
      <c r="F235">
        <v>20260107</v>
      </c>
      <c r="G235">
        <v>20260206</v>
      </c>
      <c r="H235">
        <v>42.033099999999997</v>
      </c>
      <c r="I235">
        <f t="shared" si="33"/>
        <v>31</v>
      </c>
      <c r="J235">
        <f t="shared" si="34"/>
        <v>1.3559064516129031</v>
      </c>
      <c r="K235">
        <f t="shared" si="35"/>
        <v>41.112593235069674</v>
      </c>
      <c r="L235">
        <f t="shared" si="36"/>
        <v>8.1354387096774197</v>
      </c>
      <c r="M235">
        <f t="shared" si="37"/>
        <v>0</v>
      </c>
      <c r="N235">
        <f t="shared" si="38"/>
        <v>49.248031944747098</v>
      </c>
      <c r="O235">
        <f t="shared" si="39"/>
        <v>35.089518798391879</v>
      </c>
      <c r="P235">
        <f t="shared" si="40"/>
        <v>6.943581201608116</v>
      </c>
      <c r="Q235">
        <f t="shared" si="41"/>
        <v>0</v>
      </c>
      <c r="R235">
        <f t="shared" si="42"/>
        <v>42.033099999999997</v>
      </c>
    </row>
    <row r="236" spans="1:18" x14ac:dyDescent="0.3">
      <c r="A236" t="s">
        <v>0</v>
      </c>
      <c r="B236" t="s">
        <v>0</v>
      </c>
      <c r="C236">
        <v>27</v>
      </c>
      <c r="D236">
        <v>9</v>
      </c>
      <c r="E236">
        <v>0</v>
      </c>
      <c r="F236">
        <v>20260105</v>
      </c>
      <c r="G236">
        <v>20260209</v>
      </c>
      <c r="H236">
        <v>210.17529999999999</v>
      </c>
      <c r="I236">
        <f t="shared" si="33"/>
        <v>36</v>
      </c>
      <c r="J236">
        <f t="shared" si="34"/>
        <v>5.8382027777777772</v>
      </c>
      <c r="K236">
        <f t="shared" si="35"/>
        <v>191.18247295040402</v>
      </c>
      <c r="L236">
        <f t="shared" si="36"/>
        <v>52.543824999999998</v>
      </c>
      <c r="M236">
        <f t="shared" si="37"/>
        <v>0</v>
      </c>
      <c r="N236">
        <f t="shared" si="38"/>
        <v>243.72629795040402</v>
      </c>
      <c r="O236">
        <f t="shared" si="39"/>
        <v>164.86457942782059</v>
      </c>
      <c r="P236">
        <f t="shared" si="40"/>
        <v>45.310720572179406</v>
      </c>
      <c r="Q236">
        <f t="shared" si="41"/>
        <v>0</v>
      </c>
      <c r="R236">
        <f t="shared" si="42"/>
        <v>210.17529999999999</v>
      </c>
    </row>
    <row r="237" spans="1:18" x14ac:dyDescent="0.3">
      <c r="A237" t="s">
        <v>0</v>
      </c>
      <c r="B237" t="s">
        <v>0</v>
      </c>
      <c r="C237">
        <v>28</v>
      </c>
      <c r="D237">
        <v>4</v>
      </c>
      <c r="E237">
        <v>0</v>
      </c>
      <c r="F237">
        <v>20260104</v>
      </c>
      <c r="G237">
        <v>20260204</v>
      </c>
      <c r="H237">
        <v>42.020200000000003</v>
      </c>
      <c r="I237">
        <f t="shared" si="33"/>
        <v>32</v>
      </c>
      <c r="J237">
        <f t="shared" si="34"/>
        <v>1.3131312500000001</v>
      </c>
      <c r="K237">
        <f t="shared" si="35"/>
        <v>44.593473677365175</v>
      </c>
      <c r="L237">
        <f t="shared" si="36"/>
        <v>5.2525250000000003</v>
      </c>
      <c r="M237">
        <f t="shared" si="37"/>
        <v>0</v>
      </c>
      <c r="N237">
        <f t="shared" si="38"/>
        <v>49.845998677365174</v>
      </c>
      <c r="O237">
        <f t="shared" si="39"/>
        <v>37.592318989257521</v>
      </c>
      <c r="P237">
        <f t="shared" si="40"/>
        <v>4.42788101074248</v>
      </c>
      <c r="Q237">
        <f t="shared" si="41"/>
        <v>0</v>
      </c>
      <c r="R237">
        <f t="shared" si="42"/>
        <v>42.020200000000003</v>
      </c>
    </row>
    <row r="238" spans="1:18" x14ac:dyDescent="0.3">
      <c r="A238" t="s">
        <v>0</v>
      </c>
      <c r="B238" t="s">
        <v>0</v>
      </c>
      <c r="C238">
        <v>25</v>
      </c>
      <c r="D238">
        <v>9</v>
      </c>
      <c r="E238">
        <v>0</v>
      </c>
      <c r="F238">
        <v>20260107</v>
      </c>
      <c r="G238">
        <v>20260209</v>
      </c>
      <c r="H238">
        <v>126.1259</v>
      </c>
      <c r="I238">
        <f t="shared" si="33"/>
        <v>34</v>
      </c>
      <c r="J238">
        <f t="shared" si="34"/>
        <v>3.7095852941176473</v>
      </c>
      <c r="K238">
        <f t="shared" si="35"/>
        <v>112.47875624932516</v>
      </c>
      <c r="L238">
        <f t="shared" si="36"/>
        <v>33.386267647058823</v>
      </c>
      <c r="M238">
        <f t="shared" si="37"/>
        <v>0</v>
      </c>
      <c r="N238">
        <f t="shared" si="38"/>
        <v>145.86502389638397</v>
      </c>
      <c r="O238">
        <f t="shared" si="39"/>
        <v>97.257615183364365</v>
      </c>
      <c r="P238">
        <f t="shared" si="40"/>
        <v>28.86828481663564</v>
      </c>
      <c r="Q238">
        <f t="shared" si="41"/>
        <v>0</v>
      </c>
      <c r="R238">
        <f t="shared" si="42"/>
        <v>126.1259</v>
      </c>
    </row>
    <row r="239" spans="1:18" x14ac:dyDescent="0.3">
      <c r="A239" t="s">
        <v>0</v>
      </c>
      <c r="B239" t="s">
        <v>0</v>
      </c>
      <c r="C239">
        <v>27</v>
      </c>
      <c r="D239">
        <v>4</v>
      </c>
      <c r="E239">
        <v>0</v>
      </c>
      <c r="F239">
        <v>20260105</v>
      </c>
      <c r="G239">
        <v>20260204</v>
      </c>
      <c r="H239">
        <v>168.0968</v>
      </c>
      <c r="I239">
        <f t="shared" si="33"/>
        <v>31</v>
      </c>
      <c r="J239">
        <f t="shared" si="34"/>
        <v>5.4224774193548386</v>
      </c>
      <c r="K239">
        <f t="shared" si="35"/>
        <v>177.56879677012182</v>
      </c>
      <c r="L239">
        <f t="shared" si="36"/>
        <v>21.689909677419354</v>
      </c>
      <c r="M239">
        <f t="shared" si="37"/>
        <v>0</v>
      </c>
      <c r="N239">
        <f t="shared" si="38"/>
        <v>199.25870644754119</v>
      </c>
      <c r="O239">
        <f t="shared" si="39"/>
        <v>149.79895759167789</v>
      </c>
      <c r="P239">
        <f t="shared" si="40"/>
        <v>18.297842408322111</v>
      </c>
      <c r="Q239">
        <f t="shared" si="41"/>
        <v>0</v>
      </c>
      <c r="R239">
        <f t="shared" si="42"/>
        <v>168.0968</v>
      </c>
    </row>
    <row r="240" spans="1:18" x14ac:dyDescent="0.3">
      <c r="A240" t="s">
        <v>0</v>
      </c>
      <c r="B240" t="s">
        <v>0</v>
      </c>
      <c r="C240">
        <v>30</v>
      </c>
      <c r="D240">
        <v>25</v>
      </c>
      <c r="E240">
        <v>0</v>
      </c>
      <c r="F240">
        <v>20260102</v>
      </c>
      <c r="G240">
        <v>20260225</v>
      </c>
      <c r="H240">
        <v>5426.2200999999995</v>
      </c>
      <c r="I240">
        <f t="shared" si="33"/>
        <v>55</v>
      </c>
      <c r="J240">
        <f t="shared" si="34"/>
        <v>98.658547272727262</v>
      </c>
      <c r="K240">
        <f t="shared" si="35"/>
        <v>3589.7243958342083</v>
      </c>
      <c r="L240">
        <f t="shared" si="36"/>
        <v>2466.4636818181816</v>
      </c>
      <c r="M240">
        <f t="shared" si="37"/>
        <v>0</v>
      </c>
      <c r="N240">
        <f t="shared" si="38"/>
        <v>6056.1880776523903</v>
      </c>
      <c r="O240">
        <f t="shared" si="39"/>
        <v>3216.3193118148006</v>
      </c>
      <c r="P240">
        <f t="shared" si="40"/>
        <v>2209.9007881851985</v>
      </c>
      <c r="Q240">
        <f t="shared" si="41"/>
        <v>0</v>
      </c>
      <c r="R240">
        <f t="shared" si="42"/>
        <v>5426.2200999999986</v>
      </c>
    </row>
    <row r="241" spans="1:18" x14ac:dyDescent="0.3">
      <c r="A241" t="s">
        <v>0</v>
      </c>
      <c r="B241" t="s">
        <v>0</v>
      </c>
      <c r="C241">
        <v>24</v>
      </c>
      <c r="D241">
        <v>13</v>
      </c>
      <c r="E241">
        <v>0</v>
      </c>
      <c r="F241">
        <v>20260108</v>
      </c>
      <c r="G241">
        <v>20260213</v>
      </c>
      <c r="H241">
        <v>294.45299999999997</v>
      </c>
      <c r="I241">
        <f t="shared" si="33"/>
        <v>37</v>
      </c>
      <c r="J241">
        <f t="shared" si="34"/>
        <v>7.9581891891891887</v>
      </c>
      <c r="K241">
        <f t="shared" si="35"/>
        <v>231.64911034114624</v>
      </c>
      <c r="L241">
        <f t="shared" si="36"/>
        <v>103.45645945945945</v>
      </c>
      <c r="M241">
        <f t="shared" si="37"/>
        <v>0</v>
      </c>
      <c r="N241">
        <f t="shared" si="38"/>
        <v>335.10556980060568</v>
      </c>
      <c r="O241">
        <f t="shared" si="39"/>
        <v>203.54712554574272</v>
      </c>
      <c r="P241">
        <f t="shared" si="40"/>
        <v>90.905874454257287</v>
      </c>
      <c r="Q241">
        <f t="shared" si="41"/>
        <v>0</v>
      </c>
      <c r="R241">
        <f t="shared" si="42"/>
        <v>294.45299999999997</v>
      </c>
    </row>
    <row r="242" spans="1:18" x14ac:dyDescent="0.3">
      <c r="A242" t="s">
        <v>0</v>
      </c>
      <c r="B242" t="s">
        <v>0</v>
      </c>
      <c r="C242">
        <v>30</v>
      </c>
      <c r="D242">
        <v>20</v>
      </c>
      <c r="E242">
        <v>0</v>
      </c>
      <c r="F242">
        <v>20260102</v>
      </c>
      <c r="G242">
        <v>20260220</v>
      </c>
      <c r="H242">
        <v>4247.2381999999998</v>
      </c>
      <c r="I242">
        <f t="shared" si="33"/>
        <v>50</v>
      </c>
      <c r="J242">
        <f t="shared" si="34"/>
        <v>84.944763999999992</v>
      </c>
      <c r="K242">
        <f t="shared" si="35"/>
        <v>3090.7437830627005</v>
      </c>
      <c r="L242">
        <f t="shared" si="36"/>
        <v>1698.8952799999997</v>
      </c>
      <c r="M242">
        <f t="shared" si="37"/>
        <v>0</v>
      </c>
      <c r="N242">
        <f t="shared" si="38"/>
        <v>4789.6390630627002</v>
      </c>
      <c r="O242">
        <f t="shared" si="39"/>
        <v>2740.7336730384791</v>
      </c>
      <c r="P242">
        <f t="shared" si="40"/>
        <v>1506.5045269615207</v>
      </c>
      <c r="Q242">
        <f t="shared" si="41"/>
        <v>0</v>
      </c>
      <c r="R242">
        <f t="shared" si="42"/>
        <v>4247.2381999999998</v>
      </c>
    </row>
    <row r="243" spans="1:18" x14ac:dyDescent="0.3">
      <c r="A243" t="s">
        <v>0</v>
      </c>
      <c r="B243" t="s">
        <v>0</v>
      </c>
      <c r="C243">
        <v>30</v>
      </c>
      <c r="D243">
        <v>23</v>
      </c>
      <c r="E243">
        <v>0</v>
      </c>
      <c r="F243">
        <v>20260102</v>
      </c>
      <c r="G243">
        <v>20260223</v>
      </c>
      <c r="H243">
        <v>2859.8625999999999</v>
      </c>
      <c r="I243">
        <f t="shared" si="33"/>
        <v>53</v>
      </c>
      <c r="J243">
        <f t="shared" si="34"/>
        <v>53.959671698113205</v>
      </c>
      <c r="K243">
        <f t="shared" si="35"/>
        <v>1963.3407873974172</v>
      </c>
      <c r="L243">
        <f t="shared" si="36"/>
        <v>1241.0724490566038</v>
      </c>
      <c r="M243">
        <f t="shared" si="37"/>
        <v>0</v>
      </c>
      <c r="N243">
        <f t="shared" si="38"/>
        <v>3204.413236454021</v>
      </c>
      <c r="O243">
        <f t="shared" si="39"/>
        <v>1752.234956795339</v>
      </c>
      <c r="P243">
        <f t="shared" si="40"/>
        <v>1107.6276432046607</v>
      </c>
      <c r="Q243">
        <f t="shared" si="41"/>
        <v>0</v>
      </c>
      <c r="R243">
        <f t="shared" si="42"/>
        <v>2859.8625999999995</v>
      </c>
    </row>
    <row r="244" spans="1:18" x14ac:dyDescent="0.3">
      <c r="A244" t="s">
        <v>0</v>
      </c>
      <c r="B244" t="s">
        <v>0</v>
      </c>
      <c r="C244">
        <v>28</v>
      </c>
      <c r="D244">
        <v>24</v>
      </c>
      <c r="E244">
        <v>0</v>
      </c>
      <c r="F244">
        <v>20260104</v>
      </c>
      <c r="G244">
        <v>20260224</v>
      </c>
      <c r="H244">
        <v>504.7765</v>
      </c>
      <c r="I244">
        <f t="shared" si="33"/>
        <v>52</v>
      </c>
      <c r="J244">
        <f t="shared" si="34"/>
        <v>9.7072403846153854</v>
      </c>
      <c r="K244">
        <f t="shared" si="35"/>
        <v>329.65445652991832</v>
      </c>
      <c r="L244">
        <f t="shared" si="36"/>
        <v>232.97376923076925</v>
      </c>
      <c r="M244">
        <f t="shared" si="37"/>
        <v>0</v>
      </c>
      <c r="N244">
        <f t="shared" si="38"/>
        <v>562.62822576068754</v>
      </c>
      <c r="O244">
        <f t="shared" si="39"/>
        <v>295.75804262502982</v>
      </c>
      <c r="P244">
        <f t="shared" si="40"/>
        <v>209.01845737497021</v>
      </c>
      <c r="Q244">
        <f t="shared" si="41"/>
        <v>0</v>
      </c>
      <c r="R244">
        <f t="shared" si="42"/>
        <v>504.77650000000006</v>
      </c>
    </row>
    <row r="245" spans="1:18" x14ac:dyDescent="0.3">
      <c r="A245" t="s">
        <v>0</v>
      </c>
      <c r="B245" t="s">
        <v>0</v>
      </c>
      <c r="C245">
        <v>30</v>
      </c>
      <c r="D245">
        <v>28</v>
      </c>
      <c r="E245">
        <v>2</v>
      </c>
      <c r="F245">
        <v>20260102</v>
      </c>
      <c r="G245">
        <v>20260302</v>
      </c>
      <c r="H245">
        <v>1493739.287</v>
      </c>
      <c r="I245">
        <f t="shared" si="33"/>
        <v>60</v>
      </c>
      <c r="J245">
        <f t="shared" si="34"/>
        <v>24895.654783333335</v>
      </c>
      <c r="K245">
        <f t="shared" si="35"/>
        <v>905836.765252096</v>
      </c>
      <c r="L245">
        <f t="shared" si="36"/>
        <v>697078.3339333334</v>
      </c>
      <c r="M245">
        <f t="shared" si="37"/>
        <v>36709.541570147776</v>
      </c>
      <c r="N245">
        <f t="shared" si="38"/>
        <v>1639624.6407555772</v>
      </c>
      <c r="O245">
        <f t="shared" si="39"/>
        <v>825240.07643756783</v>
      </c>
      <c r="P245">
        <f t="shared" si="40"/>
        <v>635055.89488633908</v>
      </c>
      <c r="Q245">
        <f t="shared" si="41"/>
        <v>33443.315676093036</v>
      </c>
      <c r="R245">
        <f t="shared" si="42"/>
        <v>1493739.287</v>
      </c>
    </row>
    <row r="246" spans="1:18" x14ac:dyDescent="0.3">
      <c r="A246" t="s">
        <v>0</v>
      </c>
      <c r="B246" t="s">
        <v>0</v>
      </c>
      <c r="C246">
        <v>29</v>
      </c>
      <c r="D246">
        <v>28</v>
      </c>
      <c r="E246">
        <v>1</v>
      </c>
      <c r="F246">
        <v>20260103</v>
      </c>
      <c r="G246">
        <v>20260301</v>
      </c>
      <c r="H246">
        <v>769117.78249999997</v>
      </c>
      <c r="I246">
        <f t="shared" si="33"/>
        <v>58</v>
      </c>
      <c r="J246">
        <f t="shared" si="34"/>
        <v>13260.651422413792</v>
      </c>
      <c r="K246">
        <f t="shared" si="35"/>
        <v>466410.14952274272</v>
      </c>
      <c r="L246">
        <f t="shared" si="36"/>
        <v>371298.23982758616</v>
      </c>
      <c r="M246">
        <f t="shared" si="37"/>
        <v>9776.6545783770016</v>
      </c>
      <c r="N246">
        <f t="shared" si="38"/>
        <v>847485.04392870585</v>
      </c>
      <c r="O246">
        <f t="shared" si="39"/>
        <v>423281.02720666159</v>
      </c>
      <c r="P246">
        <f t="shared" si="40"/>
        <v>336964.15164863941</v>
      </c>
      <c r="Q246">
        <f t="shared" si="41"/>
        <v>8872.6036446990747</v>
      </c>
      <c r="R246">
        <f t="shared" si="42"/>
        <v>769117.78250000009</v>
      </c>
    </row>
    <row r="247" spans="1:18" x14ac:dyDescent="0.3">
      <c r="A247" t="s">
        <v>0</v>
      </c>
      <c r="B247" t="s">
        <v>0</v>
      </c>
      <c r="C247">
        <v>24</v>
      </c>
      <c r="D247">
        <v>28</v>
      </c>
      <c r="E247">
        <v>3</v>
      </c>
      <c r="F247">
        <v>20260108</v>
      </c>
      <c r="G247">
        <v>20260303</v>
      </c>
      <c r="H247">
        <v>38320.251499999998</v>
      </c>
      <c r="I247">
        <f t="shared" si="33"/>
        <v>55</v>
      </c>
      <c r="J247">
        <f t="shared" si="34"/>
        <v>696.73184545454546</v>
      </c>
      <c r="K247">
        <f t="shared" si="35"/>
        <v>20280.657861858926</v>
      </c>
      <c r="L247">
        <f t="shared" si="36"/>
        <v>19508.491672727272</v>
      </c>
      <c r="M247">
        <f t="shared" si="37"/>
        <v>1541.0343812938399</v>
      </c>
      <c r="N247">
        <f t="shared" si="38"/>
        <v>41330.183915880036</v>
      </c>
      <c r="O247">
        <f t="shared" si="39"/>
        <v>18803.688641542267</v>
      </c>
      <c r="P247">
        <f t="shared" si="40"/>
        <v>18087.756609215827</v>
      </c>
      <c r="Q247">
        <f t="shared" si="41"/>
        <v>1428.8062492419092</v>
      </c>
      <c r="R247">
        <f t="shared" si="42"/>
        <v>38320.251500000006</v>
      </c>
    </row>
    <row r="248" spans="1:18" x14ac:dyDescent="0.3">
      <c r="A248" t="s">
        <v>0</v>
      </c>
      <c r="B248" t="s">
        <v>0</v>
      </c>
      <c r="C248">
        <v>23</v>
      </c>
      <c r="D248">
        <v>28</v>
      </c>
      <c r="E248">
        <v>7</v>
      </c>
      <c r="F248">
        <v>20260109</v>
      </c>
      <c r="G248">
        <v>20260307</v>
      </c>
      <c r="H248">
        <v>29072.380099999998</v>
      </c>
      <c r="I248">
        <f t="shared" si="33"/>
        <v>58</v>
      </c>
      <c r="J248">
        <f t="shared" si="34"/>
        <v>501.24793275862066</v>
      </c>
      <c r="K248">
        <f t="shared" si="35"/>
        <v>13982.523762843883</v>
      </c>
      <c r="L248">
        <f t="shared" si="36"/>
        <v>14034.942117241379</v>
      </c>
      <c r="M248">
        <f t="shared" si="37"/>
        <v>2586.8785917231999</v>
      </c>
      <c r="N248">
        <f t="shared" si="38"/>
        <v>30604.344471808465</v>
      </c>
      <c r="O248">
        <f t="shared" si="39"/>
        <v>13282.59933700382</v>
      </c>
      <c r="P248">
        <f t="shared" si="40"/>
        <v>13332.393781209747</v>
      </c>
      <c r="Q248">
        <f t="shared" si="41"/>
        <v>2457.3869817864284</v>
      </c>
      <c r="R248">
        <f t="shared" si="42"/>
        <v>29072.380099999995</v>
      </c>
    </row>
    <row r="249" spans="1:18" x14ac:dyDescent="0.3">
      <c r="A249" t="s">
        <v>0</v>
      </c>
      <c r="B249" t="s">
        <v>0</v>
      </c>
      <c r="C249">
        <v>22</v>
      </c>
      <c r="D249">
        <v>28</v>
      </c>
      <c r="E249">
        <v>1</v>
      </c>
      <c r="F249">
        <v>20260110</v>
      </c>
      <c r="G249">
        <v>20260301</v>
      </c>
      <c r="H249">
        <v>4926.8896000000004</v>
      </c>
      <c r="I249">
        <f t="shared" si="33"/>
        <v>51</v>
      </c>
      <c r="J249">
        <f t="shared" si="34"/>
        <v>96.605678431372553</v>
      </c>
      <c r="K249">
        <f t="shared" si="35"/>
        <v>2577.6887203418537</v>
      </c>
      <c r="L249">
        <f t="shared" si="36"/>
        <v>2704.9589960784315</v>
      </c>
      <c r="M249">
        <f t="shared" si="37"/>
        <v>71.224279882426345</v>
      </c>
      <c r="N249">
        <f t="shared" si="38"/>
        <v>5353.8719963027115</v>
      </c>
      <c r="O249">
        <f t="shared" si="39"/>
        <v>2372.1126984470257</v>
      </c>
      <c r="P249">
        <f t="shared" si="40"/>
        <v>2489.2329057192023</v>
      </c>
      <c r="Q249">
        <f t="shared" si="41"/>
        <v>65.543995833772385</v>
      </c>
      <c r="R249">
        <f t="shared" si="42"/>
        <v>4926.8896000000004</v>
      </c>
    </row>
    <row r="250" spans="1:18" x14ac:dyDescent="0.3">
      <c r="A250" t="s">
        <v>0</v>
      </c>
      <c r="B250" t="s">
        <v>0</v>
      </c>
      <c r="C250">
        <v>25</v>
      </c>
      <c r="D250">
        <v>28</v>
      </c>
      <c r="E250">
        <v>8</v>
      </c>
      <c r="F250">
        <v>20260107</v>
      </c>
      <c r="G250">
        <v>20260308</v>
      </c>
      <c r="H250">
        <v>40190.068399999996</v>
      </c>
      <c r="I250">
        <f t="shared" si="33"/>
        <v>61</v>
      </c>
      <c r="J250">
        <f t="shared" si="34"/>
        <v>658.85358032786883</v>
      </c>
      <c r="K250">
        <f t="shared" si="35"/>
        <v>19977.174101699806</v>
      </c>
      <c r="L250">
        <f t="shared" si="36"/>
        <v>18447.900249180326</v>
      </c>
      <c r="M250">
        <f t="shared" si="37"/>
        <v>3886.0135403031568</v>
      </c>
      <c r="N250">
        <f t="shared" si="38"/>
        <v>42311.087891183292</v>
      </c>
      <c r="O250">
        <f t="shared" si="39"/>
        <v>18975.735052024676</v>
      </c>
      <c r="P250">
        <f t="shared" si="40"/>
        <v>17523.122420244614</v>
      </c>
      <c r="Q250">
        <f t="shared" si="41"/>
        <v>3691.2109277307036</v>
      </c>
      <c r="R250">
        <f t="shared" si="42"/>
        <v>40190.068399999989</v>
      </c>
    </row>
    <row r="251" spans="1:18" x14ac:dyDescent="0.3">
      <c r="A251" t="s">
        <v>0</v>
      </c>
      <c r="B251" t="s">
        <v>0</v>
      </c>
      <c r="C251">
        <v>12</v>
      </c>
      <c r="D251">
        <v>28</v>
      </c>
      <c r="E251">
        <v>5</v>
      </c>
      <c r="F251">
        <v>20260120</v>
      </c>
      <c r="G251">
        <v>20260305</v>
      </c>
      <c r="H251">
        <v>1855.1952000000001</v>
      </c>
      <c r="I251">
        <f t="shared" si="33"/>
        <v>45</v>
      </c>
      <c r="J251">
        <f t="shared" si="34"/>
        <v>41.226559999999999</v>
      </c>
      <c r="K251">
        <f t="shared" si="35"/>
        <v>600.01689576563626</v>
      </c>
      <c r="L251">
        <f t="shared" si="36"/>
        <v>1154.3436799999999</v>
      </c>
      <c r="M251">
        <f t="shared" si="37"/>
        <v>151.97512691324744</v>
      </c>
      <c r="N251">
        <f t="shared" si="38"/>
        <v>1906.3357026788835</v>
      </c>
      <c r="O251">
        <f t="shared" si="39"/>
        <v>583.9204833540357</v>
      </c>
      <c r="P251">
        <f t="shared" si="40"/>
        <v>1123.3765654585081</v>
      </c>
      <c r="Q251">
        <f t="shared" si="41"/>
        <v>147.89815118745642</v>
      </c>
      <c r="R251">
        <f t="shared" si="42"/>
        <v>1855.1952000000003</v>
      </c>
    </row>
    <row r="252" spans="1:18" x14ac:dyDescent="0.3">
      <c r="A252" t="s">
        <v>0</v>
      </c>
      <c r="B252" t="s">
        <v>0</v>
      </c>
      <c r="C252">
        <v>11</v>
      </c>
      <c r="D252">
        <v>28</v>
      </c>
      <c r="E252">
        <v>5</v>
      </c>
      <c r="F252">
        <v>20260121</v>
      </c>
      <c r="G252">
        <v>20260305</v>
      </c>
      <c r="H252">
        <v>1939.6587999999999</v>
      </c>
      <c r="I252">
        <f t="shared" si="33"/>
        <v>44</v>
      </c>
      <c r="J252">
        <f t="shared" si="34"/>
        <v>44.083154545454541</v>
      </c>
      <c r="K252">
        <f t="shared" si="35"/>
        <v>588.1261436905495</v>
      </c>
      <c r="L252">
        <f t="shared" si="36"/>
        <v>1234.3283272727272</v>
      </c>
      <c r="M252">
        <f t="shared" si="37"/>
        <v>162.50550632363587</v>
      </c>
      <c r="N252">
        <f t="shared" si="38"/>
        <v>1984.9599772869126</v>
      </c>
      <c r="O252">
        <f t="shared" si="39"/>
        <v>574.70380419390642</v>
      </c>
      <c r="P252">
        <f t="shared" si="40"/>
        <v>1206.1582245886075</v>
      </c>
      <c r="Q252">
        <f t="shared" si="41"/>
        <v>158.79677121748597</v>
      </c>
      <c r="R252">
        <f t="shared" si="42"/>
        <v>1939.6587999999997</v>
      </c>
    </row>
    <row r="253" spans="1:18" x14ac:dyDescent="0.3">
      <c r="A253" t="s">
        <v>0</v>
      </c>
      <c r="B253" t="s">
        <v>0</v>
      </c>
      <c r="C253">
        <v>22</v>
      </c>
      <c r="D253">
        <v>28</v>
      </c>
      <c r="E253">
        <v>3</v>
      </c>
      <c r="F253">
        <v>20260110</v>
      </c>
      <c r="G253">
        <v>20260303</v>
      </c>
      <c r="H253">
        <v>926.64099999999996</v>
      </c>
      <c r="I253">
        <f t="shared" si="33"/>
        <v>53</v>
      </c>
      <c r="J253">
        <f t="shared" si="34"/>
        <v>17.483792452830187</v>
      </c>
      <c r="K253">
        <f t="shared" si="35"/>
        <v>466.51268668926099</v>
      </c>
      <c r="L253">
        <f t="shared" si="36"/>
        <v>489.54618867924523</v>
      </c>
      <c r="M253">
        <f t="shared" si="37"/>
        <v>38.670724556359957</v>
      </c>
      <c r="N253">
        <f t="shared" si="38"/>
        <v>994.72959992486619</v>
      </c>
      <c r="O253">
        <f t="shared" si="39"/>
        <v>434.58019399349848</v>
      </c>
      <c r="P253">
        <f t="shared" si="40"/>
        <v>456.0370676193694</v>
      </c>
      <c r="Q253">
        <f t="shared" si="41"/>
        <v>36.023738387132084</v>
      </c>
      <c r="R253">
        <f t="shared" si="42"/>
        <v>926.64099999999996</v>
      </c>
    </row>
    <row r="254" spans="1:18" x14ac:dyDescent="0.3">
      <c r="A254" t="s">
        <v>0</v>
      </c>
      <c r="B254" t="s">
        <v>0</v>
      </c>
      <c r="C254">
        <v>4</v>
      </c>
      <c r="D254">
        <v>10</v>
      </c>
      <c r="E254">
        <v>0</v>
      </c>
      <c r="F254">
        <v>20260128</v>
      </c>
      <c r="G254">
        <v>20260210</v>
      </c>
      <c r="H254">
        <v>84.236099999999993</v>
      </c>
      <c r="I254">
        <f t="shared" si="33"/>
        <v>14</v>
      </c>
      <c r="J254">
        <f t="shared" si="34"/>
        <v>6.0168642857142851</v>
      </c>
      <c r="K254">
        <f t="shared" si="35"/>
        <v>29.190083859833788</v>
      </c>
      <c r="L254">
        <f t="shared" si="36"/>
        <v>60.168642857142849</v>
      </c>
      <c r="M254">
        <f t="shared" si="37"/>
        <v>0</v>
      </c>
      <c r="N254">
        <f t="shared" si="38"/>
        <v>89.358726716976633</v>
      </c>
      <c r="O254">
        <f t="shared" si="39"/>
        <v>27.516717318647775</v>
      </c>
      <c r="P254">
        <f t="shared" si="40"/>
        <v>56.719382681352222</v>
      </c>
      <c r="Q254">
        <f t="shared" si="41"/>
        <v>0</v>
      </c>
      <c r="R254">
        <f t="shared" si="42"/>
        <v>84.236099999999993</v>
      </c>
    </row>
    <row r="255" spans="1:18" x14ac:dyDescent="0.3">
      <c r="A255" t="s">
        <v>0</v>
      </c>
      <c r="B255" t="s">
        <v>0</v>
      </c>
      <c r="C255">
        <v>29</v>
      </c>
      <c r="D255">
        <v>13</v>
      </c>
      <c r="E255">
        <v>0</v>
      </c>
      <c r="F255">
        <v>20260103</v>
      </c>
      <c r="G255">
        <v>20260213</v>
      </c>
      <c r="H255">
        <v>798.89149999999995</v>
      </c>
      <c r="I255">
        <f t="shared" si="33"/>
        <v>42</v>
      </c>
      <c r="J255">
        <f t="shared" si="34"/>
        <v>19.021226190476188</v>
      </c>
      <c r="K255">
        <f t="shared" si="35"/>
        <v>669.02391662377499</v>
      </c>
      <c r="L255">
        <f t="shared" si="36"/>
        <v>247.27594047619044</v>
      </c>
      <c r="M255">
        <f t="shared" si="37"/>
        <v>0</v>
      </c>
      <c r="N255">
        <f t="shared" si="38"/>
        <v>916.29985709996549</v>
      </c>
      <c r="O255">
        <f t="shared" si="39"/>
        <v>583.29979661792379</v>
      </c>
      <c r="P255">
        <f t="shared" si="40"/>
        <v>215.5917033820761</v>
      </c>
      <c r="Q255">
        <f t="shared" si="41"/>
        <v>0</v>
      </c>
      <c r="R255">
        <f t="shared" si="42"/>
        <v>798.89149999999995</v>
      </c>
    </row>
    <row r="256" spans="1:18" x14ac:dyDescent="0.3">
      <c r="A256" t="s">
        <v>0</v>
      </c>
      <c r="B256" t="s">
        <v>0</v>
      </c>
      <c r="C256">
        <v>25</v>
      </c>
      <c r="D256">
        <v>25</v>
      </c>
      <c r="E256">
        <v>0</v>
      </c>
      <c r="F256">
        <v>20260107</v>
      </c>
      <c r="G256">
        <v>20260225</v>
      </c>
      <c r="H256">
        <v>168.31809999999999</v>
      </c>
      <c r="I256">
        <f t="shared" si="33"/>
        <v>50</v>
      </c>
      <c r="J256">
        <f t="shared" si="34"/>
        <v>3.3663619999999996</v>
      </c>
      <c r="K256">
        <f t="shared" si="35"/>
        <v>102.07184383801965</v>
      </c>
      <c r="L256">
        <f t="shared" si="36"/>
        <v>84.159049999999993</v>
      </c>
      <c r="M256">
        <f t="shared" si="37"/>
        <v>0</v>
      </c>
      <c r="N256">
        <f t="shared" si="38"/>
        <v>186.23089383801965</v>
      </c>
      <c r="O256">
        <f t="shared" si="39"/>
        <v>92.253967449973715</v>
      </c>
      <c r="P256">
        <f t="shared" si="40"/>
        <v>76.064132550026272</v>
      </c>
      <c r="Q256">
        <f t="shared" si="41"/>
        <v>0</v>
      </c>
      <c r="R256">
        <f t="shared" si="42"/>
        <v>168.31809999999999</v>
      </c>
    </row>
    <row r="257" spans="1:18" x14ac:dyDescent="0.3">
      <c r="A257" t="s">
        <v>0</v>
      </c>
      <c r="B257" t="s">
        <v>0</v>
      </c>
      <c r="C257">
        <v>22</v>
      </c>
      <c r="D257">
        <v>28</v>
      </c>
      <c r="E257">
        <v>5</v>
      </c>
      <c r="F257">
        <v>20260110</v>
      </c>
      <c r="G257">
        <v>20260305</v>
      </c>
      <c r="H257">
        <v>379.1694</v>
      </c>
      <c r="I257">
        <f t="shared" si="33"/>
        <v>55</v>
      </c>
      <c r="J257">
        <f t="shared" si="34"/>
        <v>6.8939890909090904</v>
      </c>
      <c r="K257">
        <f t="shared" si="35"/>
        <v>183.94941380614733</v>
      </c>
      <c r="L257">
        <f t="shared" si="36"/>
        <v>193.03169454545454</v>
      </c>
      <c r="M257">
        <f t="shared" si="37"/>
        <v>25.413589371256109</v>
      </c>
      <c r="N257">
        <f t="shared" si="38"/>
        <v>402.39469772285793</v>
      </c>
      <c r="O257">
        <f t="shared" si="39"/>
        <v>173.33227614064205</v>
      </c>
      <c r="P257">
        <f t="shared" si="40"/>
        <v>181.89034849607472</v>
      </c>
      <c r="Q257">
        <f t="shared" si="41"/>
        <v>23.94677536328328</v>
      </c>
      <c r="R257">
        <f t="shared" si="42"/>
        <v>379.16940000000005</v>
      </c>
    </row>
    <row r="258" spans="1:18" x14ac:dyDescent="0.3">
      <c r="A258" t="s">
        <v>0</v>
      </c>
      <c r="B258" t="s">
        <v>0</v>
      </c>
      <c r="C258">
        <v>31</v>
      </c>
      <c r="D258">
        <v>28</v>
      </c>
      <c r="E258">
        <v>2</v>
      </c>
      <c r="F258">
        <v>20251231</v>
      </c>
      <c r="G258">
        <v>20260302</v>
      </c>
      <c r="H258">
        <v>378.7158</v>
      </c>
      <c r="I258">
        <f t="shared" si="33"/>
        <v>61</v>
      </c>
      <c r="J258">
        <f t="shared" si="34"/>
        <v>6.2084557377049183</v>
      </c>
      <c r="K258">
        <f t="shared" si="35"/>
        <v>233.42663992241452</v>
      </c>
      <c r="L258">
        <f t="shared" si="36"/>
        <v>173.83676065573772</v>
      </c>
      <c r="M258">
        <f t="shared" si="37"/>
        <v>9.1545920753318644</v>
      </c>
      <c r="N258">
        <f t="shared" si="38"/>
        <v>416.41799265348413</v>
      </c>
      <c r="O258">
        <f t="shared" si="39"/>
        <v>212.29235585190438</v>
      </c>
      <c r="P258">
        <f t="shared" si="40"/>
        <v>158.09770241107137</v>
      </c>
      <c r="Q258">
        <f t="shared" si="41"/>
        <v>8.3257417370242432</v>
      </c>
      <c r="R258">
        <f t="shared" si="42"/>
        <v>378.7158</v>
      </c>
    </row>
    <row r="259" spans="1:18" x14ac:dyDescent="0.3">
      <c r="A259" t="s">
        <v>0</v>
      </c>
      <c r="B259" t="s">
        <v>0</v>
      </c>
      <c r="C259">
        <v>19</v>
      </c>
      <c r="D259">
        <v>28</v>
      </c>
      <c r="E259">
        <v>4</v>
      </c>
      <c r="F259">
        <v>20260113</v>
      </c>
      <c r="G259">
        <v>20260304</v>
      </c>
      <c r="H259">
        <v>42.129899999999999</v>
      </c>
      <c r="I259">
        <f t="shared" si="33"/>
        <v>51</v>
      </c>
      <c r="J259">
        <f t="shared" si="34"/>
        <v>0.8260764705882353</v>
      </c>
      <c r="K259">
        <f t="shared" si="35"/>
        <v>19.036144319342377</v>
      </c>
      <c r="L259">
        <f t="shared" si="36"/>
        <v>23.130141176470588</v>
      </c>
      <c r="M259">
        <f t="shared" si="37"/>
        <v>2.4361591451276956</v>
      </c>
      <c r="N259">
        <f t="shared" si="38"/>
        <v>44.602444640940661</v>
      </c>
      <c r="O259">
        <f t="shared" si="39"/>
        <v>17.980872192447354</v>
      </c>
      <c r="P259">
        <f t="shared" si="40"/>
        <v>21.847917588268697</v>
      </c>
      <c r="Q259">
        <f t="shared" si="41"/>
        <v>2.3011102192839523</v>
      </c>
      <c r="R259">
        <f t="shared" si="42"/>
        <v>42.129900000000006</v>
      </c>
    </row>
    <row r="260" spans="1:18" x14ac:dyDescent="0.3">
      <c r="A260" t="s">
        <v>0</v>
      </c>
      <c r="B260" t="s">
        <v>0</v>
      </c>
      <c r="C260">
        <v>31</v>
      </c>
      <c r="D260">
        <v>28</v>
      </c>
      <c r="E260">
        <v>2</v>
      </c>
      <c r="F260">
        <v>20251230</v>
      </c>
      <c r="G260">
        <v>20260302</v>
      </c>
      <c r="H260">
        <v>841.55119999999999</v>
      </c>
      <c r="I260">
        <f t="shared" si="33"/>
        <v>61</v>
      </c>
      <c r="J260">
        <f t="shared" si="34"/>
        <v>13.795921311475409</v>
      </c>
      <c r="K260">
        <f t="shared" si="35"/>
        <v>518.70154067687645</v>
      </c>
      <c r="L260">
        <f t="shared" si="36"/>
        <v>386.28579672131144</v>
      </c>
      <c r="M260">
        <f t="shared" si="37"/>
        <v>20.342583928386457</v>
      </c>
      <c r="N260">
        <f t="shared" si="38"/>
        <v>925.32992132657444</v>
      </c>
      <c r="O260">
        <f t="shared" si="39"/>
        <v>471.73866740705597</v>
      </c>
      <c r="P260">
        <f t="shared" si="40"/>
        <v>351.3117519292303</v>
      </c>
      <c r="Q260">
        <f t="shared" si="41"/>
        <v>18.500780663713623</v>
      </c>
      <c r="R260">
        <f t="shared" si="42"/>
        <v>841.55119999999988</v>
      </c>
    </row>
    <row r="261" spans="1:18" x14ac:dyDescent="0.3">
      <c r="A261" t="s">
        <v>0</v>
      </c>
      <c r="B261" t="s">
        <v>0</v>
      </c>
      <c r="C261">
        <v>31</v>
      </c>
      <c r="D261">
        <v>28</v>
      </c>
      <c r="E261">
        <v>3</v>
      </c>
      <c r="F261">
        <v>20251229</v>
      </c>
      <c r="G261">
        <v>20260303</v>
      </c>
      <c r="H261">
        <v>84.162999999999997</v>
      </c>
      <c r="I261">
        <f t="shared" si="33"/>
        <v>62</v>
      </c>
      <c r="J261">
        <f t="shared" si="34"/>
        <v>1.3574677419354839</v>
      </c>
      <c r="K261">
        <f t="shared" si="35"/>
        <v>51.038317286965857</v>
      </c>
      <c r="L261">
        <f t="shared" si="36"/>
        <v>38.009096774193551</v>
      </c>
      <c r="M261">
        <f t="shared" si="37"/>
        <v>3.0024527735705031</v>
      </c>
      <c r="N261">
        <f t="shared" si="38"/>
        <v>92.049866834729897</v>
      </c>
      <c r="O261">
        <f t="shared" si="39"/>
        <v>46.665335274577771</v>
      </c>
      <c r="P261">
        <f t="shared" si="40"/>
        <v>34.752463222461742</v>
      </c>
      <c r="Q261">
        <f t="shared" si="41"/>
        <v>2.7452015029604984</v>
      </c>
      <c r="R261">
        <f t="shared" si="42"/>
        <v>84.163000000000011</v>
      </c>
    </row>
    <row r="262" spans="1:18" x14ac:dyDescent="0.3">
      <c r="A262" t="s">
        <v>0</v>
      </c>
      <c r="B262" t="s">
        <v>0</v>
      </c>
      <c r="C262">
        <v>11</v>
      </c>
      <c r="D262">
        <v>28</v>
      </c>
      <c r="E262">
        <v>6</v>
      </c>
      <c r="F262">
        <v>20260121</v>
      </c>
      <c r="G262">
        <v>20260306</v>
      </c>
      <c r="H262">
        <v>42.173400000000001</v>
      </c>
      <c r="I262">
        <f t="shared" si="33"/>
        <v>45</v>
      </c>
      <c r="J262">
        <f t="shared" si="34"/>
        <v>0.93718666666666672</v>
      </c>
      <c r="K262">
        <f t="shared" si="35"/>
        <v>12.503278993261166</v>
      </c>
      <c r="L262">
        <f t="shared" si="36"/>
        <v>26.24122666666667</v>
      </c>
      <c r="M262">
        <f t="shared" si="37"/>
        <v>4.1457467013906566</v>
      </c>
      <c r="N262">
        <f t="shared" si="38"/>
        <v>42.890252361318495</v>
      </c>
      <c r="O262">
        <f t="shared" si="39"/>
        <v>12.29430365324599</v>
      </c>
      <c r="P262">
        <f t="shared" si="40"/>
        <v>25.802640175232103</v>
      </c>
      <c r="Q262">
        <f t="shared" si="41"/>
        <v>4.0764561715219045</v>
      </c>
      <c r="R262">
        <f t="shared" si="42"/>
        <v>42.173399999999994</v>
      </c>
    </row>
    <row r="263" spans="1:18" x14ac:dyDescent="0.3">
      <c r="A263" t="s">
        <v>0</v>
      </c>
      <c r="B263" t="s">
        <v>0</v>
      </c>
      <c r="C263">
        <v>12</v>
      </c>
      <c r="D263">
        <v>28</v>
      </c>
      <c r="E263">
        <v>4</v>
      </c>
      <c r="F263">
        <v>20260120</v>
      </c>
      <c r="G263">
        <v>20260304</v>
      </c>
      <c r="H263">
        <v>126.47280000000001</v>
      </c>
      <c r="I263">
        <f t="shared" si="33"/>
        <v>44</v>
      </c>
      <c r="J263">
        <f t="shared" si="34"/>
        <v>2.8743818181818184</v>
      </c>
      <c r="K263">
        <f t="shared" si="35"/>
        <v>41.834139345864415</v>
      </c>
      <c r="L263">
        <f t="shared" si="36"/>
        <v>80.48269090909092</v>
      </c>
      <c r="M263">
        <f t="shared" si="37"/>
        <v>8.4767594796230927</v>
      </c>
      <c r="N263">
        <f t="shared" si="38"/>
        <v>130.79358973457843</v>
      </c>
      <c r="O263">
        <f t="shared" si="39"/>
        <v>40.452141036869712</v>
      </c>
      <c r="P263">
        <f t="shared" si="40"/>
        <v>77.823930755807098</v>
      </c>
      <c r="Q263">
        <f t="shared" si="41"/>
        <v>8.1967282073231882</v>
      </c>
      <c r="R263">
        <f t="shared" si="42"/>
        <v>126.47280000000001</v>
      </c>
    </row>
    <row r="264" spans="1:18" x14ac:dyDescent="0.3">
      <c r="A264" t="s">
        <v>0</v>
      </c>
      <c r="B264" t="s">
        <v>0</v>
      </c>
      <c r="C264">
        <v>10</v>
      </c>
      <c r="D264">
        <v>28</v>
      </c>
      <c r="E264">
        <v>1</v>
      </c>
      <c r="F264">
        <v>20260122</v>
      </c>
      <c r="G264">
        <v>20260301</v>
      </c>
      <c r="H264">
        <v>505.77260000000001</v>
      </c>
      <c r="I264">
        <f t="shared" si="33"/>
        <v>39</v>
      </c>
      <c r="J264">
        <f t="shared" si="34"/>
        <v>12.968528205128205</v>
      </c>
      <c r="K264">
        <f t="shared" si="35"/>
        <v>157.28808556688787</v>
      </c>
      <c r="L264">
        <f t="shared" si="36"/>
        <v>363.11878974358973</v>
      </c>
      <c r="M264">
        <f t="shared" si="37"/>
        <v>9.5612814644364583</v>
      </c>
      <c r="N264">
        <f t="shared" si="38"/>
        <v>529.96815677491406</v>
      </c>
      <c r="O264">
        <f t="shared" si="39"/>
        <v>150.10713939927217</v>
      </c>
      <c r="P264">
        <f t="shared" si="40"/>
        <v>346.54069692619316</v>
      </c>
      <c r="Q264">
        <f t="shared" si="41"/>
        <v>9.1247636745346767</v>
      </c>
      <c r="R264">
        <f t="shared" si="42"/>
        <v>505.77260000000001</v>
      </c>
    </row>
    <row r="265" spans="1:18" x14ac:dyDescent="0.3">
      <c r="A265" t="s">
        <v>0</v>
      </c>
      <c r="B265" t="s">
        <v>0</v>
      </c>
      <c r="C265">
        <v>25</v>
      </c>
      <c r="D265">
        <v>28</v>
      </c>
      <c r="E265">
        <v>11</v>
      </c>
      <c r="F265">
        <v>20260107</v>
      </c>
      <c r="G265">
        <v>20260311</v>
      </c>
      <c r="H265">
        <v>379.1694</v>
      </c>
      <c r="I265">
        <f t="shared" si="33"/>
        <v>64</v>
      </c>
      <c r="J265">
        <f t="shared" si="34"/>
        <v>5.9245218749999999</v>
      </c>
      <c r="K265">
        <f t="shared" si="35"/>
        <v>179.63809942006577</v>
      </c>
      <c r="L265">
        <f t="shared" si="36"/>
        <v>165.88661250000001</v>
      </c>
      <c r="M265">
        <f t="shared" si="37"/>
        <v>48.047567405031089</v>
      </c>
      <c r="N265">
        <f t="shared" si="38"/>
        <v>393.57227932509687</v>
      </c>
      <c r="O265">
        <f t="shared" si="39"/>
        <v>173.06419672403823</v>
      </c>
      <c r="P265">
        <f t="shared" si="40"/>
        <v>159.81594902343679</v>
      </c>
      <c r="Q265">
        <f t="shared" si="41"/>
        <v>46.289254252524998</v>
      </c>
      <c r="R265">
        <f t="shared" si="42"/>
        <v>379.1694</v>
      </c>
    </row>
    <row r="266" spans="1:18" x14ac:dyDescent="0.3">
      <c r="A266" t="s">
        <v>0</v>
      </c>
      <c r="B266" t="s">
        <v>0</v>
      </c>
      <c r="C266">
        <v>26</v>
      </c>
      <c r="D266">
        <v>28</v>
      </c>
      <c r="E266">
        <v>11</v>
      </c>
      <c r="F266">
        <v>20260106</v>
      </c>
      <c r="G266">
        <v>20260311</v>
      </c>
      <c r="H266">
        <v>337.00779999999997</v>
      </c>
      <c r="I266">
        <f t="shared" si="33"/>
        <v>65</v>
      </c>
      <c r="J266">
        <f t="shared" si="34"/>
        <v>5.1847353846153839</v>
      </c>
      <c r="K266">
        <f t="shared" si="35"/>
        <v>163.49522735246919</v>
      </c>
      <c r="L266">
        <f t="shared" si="36"/>
        <v>145.17259076923074</v>
      </c>
      <c r="M266">
        <f t="shared" si="37"/>
        <v>42.047937053073575</v>
      </c>
      <c r="N266">
        <f t="shared" si="38"/>
        <v>350.71575517477351</v>
      </c>
      <c r="O266">
        <f t="shared" si="39"/>
        <v>157.10490922512929</v>
      </c>
      <c r="P266">
        <f t="shared" si="40"/>
        <v>139.49842490269114</v>
      </c>
      <c r="Q266">
        <f t="shared" si="41"/>
        <v>40.404465872179536</v>
      </c>
      <c r="R266">
        <f t="shared" si="42"/>
        <v>337.00779999999992</v>
      </c>
    </row>
    <row r="267" spans="1:18" x14ac:dyDescent="0.3">
      <c r="A267" t="s">
        <v>0</v>
      </c>
      <c r="B267" t="s">
        <v>0</v>
      </c>
      <c r="C267">
        <v>21</v>
      </c>
      <c r="D267">
        <v>28</v>
      </c>
      <c r="E267">
        <v>2</v>
      </c>
      <c r="F267">
        <v>20260111</v>
      </c>
      <c r="G267">
        <v>20260302</v>
      </c>
      <c r="H267">
        <v>168.46440000000001</v>
      </c>
      <c r="I267">
        <f t="shared" ref="I267:I330" si="43">IF(C267&lt;0,0,C267)+D267+E267</f>
        <v>51</v>
      </c>
      <c r="J267">
        <f t="shared" ref="J267:J330" si="44">H267/I267</f>
        <v>3.3032235294117651</v>
      </c>
      <c r="K267">
        <f t="shared" ref="K267:K330" si="45">IF(C267&lt;0,0,C267)*$J267*$B$6</f>
        <v>84.132228695309479</v>
      </c>
      <c r="L267">
        <f t="shared" ref="L267:L330" si="46">IF(D267&lt;0,0,D267)*$J267*$C$6</f>
        <v>92.490258823529416</v>
      </c>
      <c r="M267">
        <f t="shared" ref="M267:M330" si="47">IF(E267&lt;0,0,E267)*$J267*$D$6</f>
        <v>4.8707223217768165</v>
      </c>
      <c r="N267">
        <f t="shared" ref="N267:N330" si="48">K267+L267+M267</f>
        <v>181.49320984061572</v>
      </c>
      <c r="O267">
        <f t="shared" ref="O267:O330" si="49">K267/$N267*$H267</f>
        <v>78.092648426157851</v>
      </c>
      <c r="P267">
        <f t="shared" ref="P267:P330" si="50">L267/$N267*$H267</f>
        <v>85.850682635641519</v>
      </c>
      <c r="Q267">
        <f t="shared" ref="Q267:Q330" si="51">M267/$N267*$H267</f>
        <v>4.5210689382006395</v>
      </c>
      <c r="R267">
        <f t="shared" ref="R267:R330" si="52">O267+P267+Q267</f>
        <v>168.46440000000001</v>
      </c>
    </row>
    <row r="268" spans="1:18" x14ac:dyDescent="0.3">
      <c r="A268" t="s">
        <v>0</v>
      </c>
      <c r="B268" t="s">
        <v>0</v>
      </c>
      <c r="C268">
        <v>0</v>
      </c>
      <c r="D268">
        <v>9</v>
      </c>
      <c r="E268">
        <v>2</v>
      </c>
      <c r="F268">
        <v>20260220</v>
      </c>
      <c r="G268">
        <v>20260302</v>
      </c>
      <c r="H268">
        <v>84.59</v>
      </c>
      <c r="I268">
        <f t="shared" si="43"/>
        <v>11</v>
      </c>
      <c r="J268">
        <f t="shared" si="44"/>
        <v>7.69</v>
      </c>
      <c r="K268">
        <f t="shared" si="45"/>
        <v>0</v>
      </c>
      <c r="L268">
        <f t="shared" si="46"/>
        <v>69.210000000000008</v>
      </c>
      <c r="M268">
        <f t="shared" si="47"/>
        <v>11.339182565442012</v>
      </c>
      <c r="N268">
        <f t="shared" si="48"/>
        <v>80.549182565442024</v>
      </c>
      <c r="O268">
        <f t="shared" si="49"/>
        <v>0</v>
      </c>
      <c r="P268">
        <f t="shared" si="50"/>
        <v>72.681977812047251</v>
      </c>
      <c r="Q268">
        <f t="shared" si="51"/>
        <v>11.908022187952744</v>
      </c>
      <c r="R268">
        <f t="shared" si="52"/>
        <v>84.589999999999989</v>
      </c>
    </row>
    <row r="269" spans="1:18" x14ac:dyDescent="0.3">
      <c r="A269" t="s">
        <v>0</v>
      </c>
      <c r="B269" t="s">
        <v>0</v>
      </c>
      <c r="C269">
        <v>0</v>
      </c>
      <c r="D269">
        <v>20</v>
      </c>
      <c r="E269">
        <v>8</v>
      </c>
      <c r="F269">
        <v>20260209</v>
      </c>
      <c r="G269">
        <v>20260308</v>
      </c>
      <c r="H269">
        <v>84.538499999999999</v>
      </c>
      <c r="I269">
        <f t="shared" si="43"/>
        <v>28</v>
      </c>
      <c r="J269">
        <f t="shared" si="44"/>
        <v>3.0192321428571427</v>
      </c>
      <c r="K269">
        <f t="shared" si="45"/>
        <v>0</v>
      </c>
      <c r="L269">
        <f t="shared" si="46"/>
        <v>60.38464285714285</v>
      </c>
      <c r="M269">
        <f t="shared" si="47"/>
        <v>17.807867087286262</v>
      </c>
      <c r="N269">
        <f t="shared" si="48"/>
        <v>78.192509944429105</v>
      </c>
      <c r="O269">
        <f t="shared" si="49"/>
        <v>0</v>
      </c>
      <c r="P269">
        <f t="shared" si="50"/>
        <v>65.285372394447208</v>
      </c>
      <c r="Q269">
        <f t="shared" si="51"/>
        <v>19.253127605552798</v>
      </c>
      <c r="R269">
        <f t="shared" si="52"/>
        <v>84.538499999999999</v>
      </c>
    </row>
    <row r="270" spans="1:18" x14ac:dyDescent="0.3">
      <c r="A270" t="s">
        <v>0</v>
      </c>
      <c r="B270" t="s">
        <v>0</v>
      </c>
      <c r="C270">
        <v>0</v>
      </c>
      <c r="D270">
        <v>22</v>
      </c>
      <c r="E270">
        <v>2</v>
      </c>
      <c r="F270">
        <v>20260207</v>
      </c>
      <c r="G270">
        <v>20260302</v>
      </c>
      <c r="H270">
        <v>84.4298</v>
      </c>
      <c r="I270">
        <f t="shared" si="43"/>
        <v>24</v>
      </c>
      <c r="J270">
        <f t="shared" si="44"/>
        <v>3.5179083333333332</v>
      </c>
      <c r="K270">
        <f t="shared" si="45"/>
        <v>0</v>
      </c>
      <c r="L270">
        <f t="shared" si="46"/>
        <v>77.393983333333324</v>
      </c>
      <c r="M270">
        <f t="shared" si="47"/>
        <v>5.1872828140645648</v>
      </c>
      <c r="N270">
        <f t="shared" si="48"/>
        <v>82.581266147397884</v>
      </c>
      <c r="O270">
        <f t="shared" si="49"/>
        <v>0</v>
      </c>
      <c r="P270">
        <f t="shared" si="50"/>
        <v>79.126402862043818</v>
      </c>
      <c r="Q270">
        <f t="shared" si="51"/>
        <v>5.3033971379561908</v>
      </c>
      <c r="R270">
        <f t="shared" si="52"/>
        <v>84.429800000000014</v>
      </c>
    </row>
    <row r="271" spans="1:18" x14ac:dyDescent="0.3">
      <c r="A271" t="s">
        <v>0</v>
      </c>
      <c r="B271" t="s">
        <v>0</v>
      </c>
      <c r="C271">
        <v>6</v>
      </c>
      <c r="D271">
        <v>28</v>
      </c>
      <c r="E271">
        <v>2</v>
      </c>
      <c r="F271">
        <v>20260126</v>
      </c>
      <c r="G271">
        <v>20260302</v>
      </c>
      <c r="H271">
        <v>337.3399</v>
      </c>
      <c r="I271">
        <f t="shared" si="43"/>
        <v>36</v>
      </c>
      <c r="J271">
        <f t="shared" si="44"/>
        <v>9.3705527777777782</v>
      </c>
      <c r="K271">
        <f t="shared" si="45"/>
        <v>68.190142341857808</v>
      </c>
      <c r="L271">
        <f t="shared" si="46"/>
        <v>262.3754777777778</v>
      </c>
      <c r="M271">
        <f t="shared" si="47"/>
        <v>13.817218294711575</v>
      </c>
      <c r="N271">
        <f t="shared" si="48"/>
        <v>344.38283841434713</v>
      </c>
      <c r="O271">
        <f t="shared" si="49"/>
        <v>66.795592673847224</v>
      </c>
      <c r="P271">
        <f t="shared" si="50"/>
        <v>257.00966355796328</v>
      </c>
      <c r="Q271">
        <f t="shared" si="51"/>
        <v>13.534643768189554</v>
      </c>
      <c r="R271">
        <f t="shared" si="52"/>
        <v>337.33990000000006</v>
      </c>
    </row>
    <row r="272" spans="1:18" x14ac:dyDescent="0.3">
      <c r="A272" t="s">
        <v>0</v>
      </c>
      <c r="B272" t="s">
        <v>0</v>
      </c>
      <c r="C272">
        <v>5</v>
      </c>
      <c r="D272">
        <v>28</v>
      </c>
      <c r="E272">
        <v>2</v>
      </c>
      <c r="F272">
        <v>20260127</v>
      </c>
      <c r="G272">
        <v>20260302</v>
      </c>
      <c r="H272">
        <v>759.06780000000003</v>
      </c>
      <c r="I272">
        <f t="shared" si="43"/>
        <v>35</v>
      </c>
      <c r="J272">
        <f t="shared" si="44"/>
        <v>21.687651428571428</v>
      </c>
      <c r="K272">
        <f t="shared" si="45"/>
        <v>131.51874752807612</v>
      </c>
      <c r="L272">
        <f t="shared" si="46"/>
        <v>607.25423999999998</v>
      </c>
      <c r="M272">
        <f t="shared" si="47"/>
        <v>31.97922483280113</v>
      </c>
      <c r="N272">
        <f t="shared" si="48"/>
        <v>770.75221236087725</v>
      </c>
      <c r="O272">
        <f t="shared" si="49"/>
        <v>129.52495593765428</v>
      </c>
      <c r="P272">
        <f t="shared" si="50"/>
        <v>598.04841634583579</v>
      </c>
      <c r="Q272">
        <f t="shared" si="51"/>
        <v>31.494427716509879</v>
      </c>
      <c r="R272">
        <f t="shared" si="52"/>
        <v>759.06779999999992</v>
      </c>
    </row>
    <row r="273" spans="1:18" x14ac:dyDescent="0.3">
      <c r="A273" t="s">
        <v>0</v>
      </c>
      <c r="B273" t="s">
        <v>0</v>
      </c>
      <c r="C273">
        <v>1</v>
      </c>
      <c r="D273">
        <v>28</v>
      </c>
      <c r="E273">
        <v>1</v>
      </c>
      <c r="F273">
        <v>20260131</v>
      </c>
      <c r="G273">
        <v>20260301</v>
      </c>
      <c r="H273">
        <v>464.10320000000002</v>
      </c>
      <c r="I273">
        <f t="shared" si="43"/>
        <v>30</v>
      </c>
      <c r="J273">
        <f t="shared" si="44"/>
        <v>15.470106666666668</v>
      </c>
      <c r="K273">
        <f t="shared" si="45"/>
        <v>18.762834321888221</v>
      </c>
      <c r="L273">
        <f t="shared" si="46"/>
        <v>433.16298666666671</v>
      </c>
      <c r="M273">
        <f t="shared" si="47"/>
        <v>11.405615331612154</v>
      </c>
      <c r="N273">
        <f t="shared" si="48"/>
        <v>463.33143632016709</v>
      </c>
      <c r="O273">
        <f t="shared" si="49"/>
        <v>18.794087271559327</v>
      </c>
      <c r="P273">
        <f t="shared" si="50"/>
        <v>433.88449924783828</v>
      </c>
      <c r="Q273">
        <f t="shared" si="51"/>
        <v>11.424613480602417</v>
      </c>
      <c r="R273">
        <f t="shared" si="52"/>
        <v>464.10320000000002</v>
      </c>
    </row>
    <row r="274" spans="1:18" x14ac:dyDescent="0.3">
      <c r="A274" t="s">
        <v>0</v>
      </c>
      <c r="B274" t="s">
        <v>0</v>
      </c>
      <c r="C274">
        <v>0</v>
      </c>
      <c r="D274">
        <v>25</v>
      </c>
      <c r="E274">
        <v>1</v>
      </c>
      <c r="F274">
        <v>20260204</v>
      </c>
      <c r="G274">
        <v>20260301</v>
      </c>
      <c r="H274">
        <v>843.84379999999999</v>
      </c>
      <c r="I274">
        <f t="shared" si="43"/>
        <v>26</v>
      </c>
      <c r="J274">
        <f t="shared" si="44"/>
        <v>32.455530769230769</v>
      </c>
      <c r="K274">
        <f t="shared" si="45"/>
        <v>0</v>
      </c>
      <c r="L274">
        <f t="shared" si="46"/>
        <v>811.3882692307692</v>
      </c>
      <c r="M274">
        <f t="shared" si="47"/>
        <v>23.928425790027852</v>
      </c>
      <c r="N274">
        <f t="shared" si="48"/>
        <v>835.31669502079706</v>
      </c>
      <c r="O274">
        <f t="shared" si="49"/>
        <v>0</v>
      </c>
      <c r="P274">
        <f t="shared" si="50"/>
        <v>819.67110733500738</v>
      </c>
      <c r="Q274">
        <f t="shared" si="51"/>
        <v>24.172692664992628</v>
      </c>
      <c r="R274">
        <f t="shared" si="52"/>
        <v>843.84379999999999</v>
      </c>
    </row>
    <row r="275" spans="1:18" x14ac:dyDescent="0.3">
      <c r="A275" t="s">
        <v>0</v>
      </c>
      <c r="B275" t="s">
        <v>0</v>
      </c>
      <c r="C275">
        <v>6</v>
      </c>
      <c r="D275">
        <v>28</v>
      </c>
      <c r="E275">
        <v>1</v>
      </c>
      <c r="F275">
        <v>20260126</v>
      </c>
      <c r="G275">
        <v>20260301</v>
      </c>
      <c r="H275">
        <v>505.93869999999998</v>
      </c>
      <c r="I275">
        <f t="shared" si="43"/>
        <v>35</v>
      </c>
      <c r="J275">
        <f t="shared" si="44"/>
        <v>14.455391428571428</v>
      </c>
      <c r="K275">
        <f t="shared" si="45"/>
        <v>105.19285494652736</v>
      </c>
      <c r="L275">
        <f t="shared" si="46"/>
        <v>404.75095999999996</v>
      </c>
      <c r="M275">
        <f t="shared" si="47"/>
        <v>10.657498209590186</v>
      </c>
      <c r="N275">
        <f t="shared" si="48"/>
        <v>520.6013131561175</v>
      </c>
      <c r="O275">
        <f t="shared" si="49"/>
        <v>102.23012300580714</v>
      </c>
      <c r="P275">
        <f t="shared" si="50"/>
        <v>393.35124470718148</v>
      </c>
      <c r="Q275">
        <f t="shared" si="51"/>
        <v>10.357332287011396</v>
      </c>
      <c r="R275">
        <f t="shared" si="52"/>
        <v>505.93869999999998</v>
      </c>
    </row>
    <row r="276" spans="1:18" x14ac:dyDescent="0.3">
      <c r="A276" t="s">
        <v>0</v>
      </c>
      <c r="B276" t="s">
        <v>0</v>
      </c>
      <c r="C276">
        <v>0</v>
      </c>
      <c r="D276">
        <v>27</v>
      </c>
      <c r="E276">
        <v>6</v>
      </c>
      <c r="F276">
        <v>20260202</v>
      </c>
      <c r="G276">
        <v>20260306</v>
      </c>
      <c r="H276">
        <v>126.70399999999999</v>
      </c>
      <c r="I276">
        <f t="shared" si="43"/>
        <v>33</v>
      </c>
      <c r="J276">
        <f t="shared" si="44"/>
        <v>3.8395151515151511</v>
      </c>
      <c r="K276">
        <f t="shared" si="45"/>
        <v>0</v>
      </c>
      <c r="L276">
        <f t="shared" si="46"/>
        <v>103.66690909090909</v>
      </c>
      <c r="M276">
        <f t="shared" si="47"/>
        <v>16.984511026974403</v>
      </c>
      <c r="N276">
        <f t="shared" si="48"/>
        <v>120.65142011788349</v>
      </c>
      <c r="O276">
        <f t="shared" si="49"/>
        <v>0</v>
      </c>
      <c r="P276">
        <f t="shared" si="50"/>
        <v>108.86744670407418</v>
      </c>
      <c r="Q276">
        <f t="shared" si="51"/>
        <v>17.836553295925814</v>
      </c>
      <c r="R276">
        <f t="shared" si="52"/>
        <v>126.70399999999999</v>
      </c>
    </row>
    <row r="277" spans="1:18" x14ac:dyDescent="0.3">
      <c r="A277" t="s">
        <v>0</v>
      </c>
      <c r="B277" t="s">
        <v>0</v>
      </c>
      <c r="C277">
        <v>4</v>
      </c>
      <c r="D277">
        <v>28</v>
      </c>
      <c r="E277">
        <v>2</v>
      </c>
      <c r="F277">
        <v>20260128</v>
      </c>
      <c r="G277">
        <v>20260302</v>
      </c>
      <c r="H277">
        <v>1771.4911</v>
      </c>
      <c r="I277">
        <f t="shared" si="43"/>
        <v>34</v>
      </c>
      <c r="J277">
        <f t="shared" si="44"/>
        <v>52.102679411764704</v>
      </c>
      <c r="K277">
        <f t="shared" si="45"/>
        <v>252.76979987107975</v>
      </c>
      <c r="L277">
        <f t="shared" si="46"/>
        <v>1458.8750235294117</v>
      </c>
      <c r="M277">
        <f t="shared" si="47"/>
        <v>76.827281404251863</v>
      </c>
      <c r="N277">
        <f t="shared" si="48"/>
        <v>1788.4721048047434</v>
      </c>
      <c r="O277">
        <f t="shared" si="49"/>
        <v>250.36982663438593</v>
      </c>
      <c r="P277">
        <f t="shared" si="50"/>
        <v>1445.0234438947505</v>
      </c>
      <c r="Q277">
        <f t="shared" si="51"/>
        <v>76.097829470863502</v>
      </c>
      <c r="R277">
        <f t="shared" si="52"/>
        <v>1771.4910999999997</v>
      </c>
    </row>
    <row r="278" spans="1:18" x14ac:dyDescent="0.3">
      <c r="A278" t="s">
        <v>0</v>
      </c>
      <c r="B278" t="s">
        <v>0</v>
      </c>
      <c r="C278">
        <v>1</v>
      </c>
      <c r="D278">
        <v>28</v>
      </c>
      <c r="E278">
        <v>4</v>
      </c>
      <c r="F278">
        <v>20260131</v>
      </c>
      <c r="G278">
        <v>20260304</v>
      </c>
      <c r="H278">
        <v>168.84389999999999</v>
      </c>
      <c r="I278">
        <f t="shared" si="43"/>
        <v>33</v>
      </c>
      <c r="J278">
        <f t="shared" si="44"/>
        <v>5.1164818181818177</v>
      </c>
      <c r="K278">
        <f t="shared" si="45"/>
        <v>6.2054970100722544</v>
      </c>
      <c r="L278">
        <f t="shared" si="46"/>
        <v>143.2614909090909</v>
      </c>
      <c r="M278">
        <f t="shared" si="47"/>
        <v>15.088874233843516</v>
      </c>
      <c r="N278">
        <f t="shared" si="48"/>
        <v>164.55586215300667</v>
      </c>
      <c r="O278">
        <f t="shared" si="49"/>
        <v>6.3672014044976066</v>
      </c>
      <c r="P278">
        <f t="shared" si="50"/>
        <v>146.9946346998826</v>
      </c>
      <c r="Q278">
        <f t="shared" si="51"/>
        <v>15.482063895619786</v>
      </c>
      <c r="R278">
        <f t="shared" si="52"/>
        <v>168.84389999999996</v>
      </c>
    </row>
    <row r="279" spans="1:18" x14ac:dyDescent="0.3">
      <c r="A279" t="s">
        <v>0</v>
      </c>
      <c r="B279" t="s">
        <v>0</v>
      </c>
      <c r="C279">
        <v>2</v>
      </c>
      <c r="D279">
        <v>28</v>
      </c>
      <c r="E279">
        <v>3</v>
      </c>
      <c r="F279">
        <v>20260130</v>
      </c>
      <c r="G279">
        <v>20260303</v>
      </c>
      <c r="H279">
        <v>379.78300000000002</v>
      </c>
      <c r="I279">
        <f t="shared" si="43"/>
        <v>33</v>
      </c>
      <c r="J279">
        <f t="shared" si="44"/>
        <v>11.508575757575757</v>
      </c>
      <c r="K279">
        <f t="shared" si="45"/>
        <v>27.916226419506671</v>
      </c>
      <c r="L279">
        <f t="shared" si="46"/>
        <v>322.24012121212121</v>
      </c>
      <c r="M279">
        <f t="shared" si="47"/>
        <v>25.454715523414492</v>
      </c>
      <c r="N279">
        <f t="shared" si="48"/>
        <v>375.61106315504242</v>
      </c>
      <c r="O279">
        <f t="shared" si="49"/>
        <v>28.226293787047563</v>
      </c>
      <c r="P279">
        <f t="shared" si="50"/>
        <v>325.81926348582346</v>
      </c>
      <c r="Q279">
        <f t="shared" si="51"/>
        <v>25.737442727128972</v>
      </c>
      <c r="R279">
        <f t="shared" si="52"/>
        <v>379.78299999999996</v>
      </c>
    </row>
    <row r="280" spans="1:18" x14ac:dyDescent="0.3">
      <c r="A280" t="s">
        <v>0</v>
      </c>
      <c r="B280" t="s">
        <v>0</v>
      </c>
      <c r="C280">
        <v>0</v>
      </c>
      <c r="D280">
        <v>25</v>
      </c>
      <c r="E280">
        <v>2</v>
      </c>
      <c r="F280">
        <v>20260204</v>
      </c>
      <c r="G280">
        <v>20260302</v>
      </c>
      <c r="H280">
        <v>84.402199999999993</v>
      </c>
      <c r="I280">
        <f t="shared" si="43"/>
        <v>27</v>
      </c>
      <c r="J280">
        <f t="shared" si="44"/>
        <v>3.1260074074074073</v>
      </c>
      <c r="K280">
        <f t="shared" si="45"/>
        <v>0</v>
      </c>
      <c r="L280">
        <f t="shared" si="46"/>
        <v>78.15018518518518</v>
      </c>
      <c r="M280">
        <f t="shared" si="47"/>
        <v>4.6094107533831812</v>
      </c>
      <c r="N280">
        <f t="shared" si="48"/>
        <v>82.759595938568367</v>
      </c>
      <c r="O280">
        <f t="shared" si="49"/>
        <v>0</v>
      </c>
      <c r="P280">
        <f t="shared" si="50"/>
        <v>79.701302129764116</v>
      </c>
      <c r="Q280">
        <f t="shared" si="51"/>
        <v>4.7008978702358784</v>
      </c>
      <c r="R280">
        <f t="shared" si="52"/>
        <v>84.402199999999993</v>
      </c>
    </row>
    <row r="281" spans="1:18" x14ac:dyDescent="0.3">
      <c r="A281" t="s">
        <v>0</v>
      </c>
      <c r="B281" t="s">
        <v>0</v>
      </c>
      <c r="C281">
        <v>0</v>
      </c>
      <c r="D281">
        <v>16</v>
      </c>
      <c r="E281">
        <v>1</v>
      </c>
      <c r="F281">
        <v>20260213</v>
      </c>
      <c r="G281">
        <v>20260301</v>
      </c>
      <c r="H281">
        <v>675.51790000000005</v>
      </c>
      <c r="I281">
        <f t="shared" si="43"/>
        <v>17</v>
      </c>
      <c r="J281">
        <f t="shared" si="44"/>
        <v>39.736347058823533</v>
      </c>
      <c r="K281">
        <f t="shared" si="45"/>
        <v>0</v>
      </c>
      <c r="L281">
        <f t="shared" si="46"/>
        <v>635.78155294117653</v>
      </c>
      <c r="M281">
        <f t="shared" si="47"/>
        <v>29.296338997644007</v>
      </c>
      <c r="N281">
        <f t="shared" si="48"/>
        <v>665.07789193882058</v>
      </c>
      <c r="O281">
        <f t="shared" si="49"/>
        <v>0</v>
      </c>
      <c r="P281">
        <f t="shared" si="50"/>
        <v>645.76168401801237</v>
      </c>
      <c r="Q281">
        <f t="shared" si="51"/>
        <v>29.756215981987648</v>
      </c>
      <c r="R281">
        <f t="shared" si="52"/>
        <v>675.51790000000005</v>
      </c>
    </row>
    <row r="282" spans="1:18" x14ac:dyDescent="0.3">
      <c r="A282" t="s">
        <v>0</v>
      </c>
      <c r="B282" t="s">
        <v>0</v>
      </c>
      <c r="C282">
        <v>0</v>
      </c>
      <c r="D282">
        <v>17</v>
      </c>
      <c r="E282">
        <v>2</v>
      </c>
      <c r="F282">
        <v>20260212</v>
      </c>
      <c r="G282">
        <v>20260302</v>
      </c>
      <c r="H282">
        <v>464.64659999999998</v>
      </c>
      <c r="I282">
        <f t="shared" si="43"/>
        <v>19</v>
      </c>
      <c r="J282">
        <f t="shared" si="44"/>
        <v>24.455084210526316</v>
      </c>
      <c r="K282">
        <f t="shared" si="45"/>
        <v>0</v>
      </c>
      <c r="L282">
        <f t="shared" si="46"/>
        <v>415.73643157894736</v>
      </c>
      <c r="M282">
        <f t="shared" si="47"/>
        <v>36.059904358441642</v>
      </c>
      <c r="N282">
        <f t="shared" si="48"/>
        <v>451.79633593738902</v>
      </c>
      <c r="O282">
        <f t="shared" si="49"/>
        <v>0</v>
      </c>
      <c r="P282">
        <f t="shared" si="50"/>
        <v>427.56105807830312</v>
      </c>
      <c r="Q282">
        <f t="shared" si="51"/>
        <v>37.085541921696887</v>
      </c>
      <c r="R282">
        <f t="shared" si="52"/>
        <v>464.64660000000003</v>
      </c>
    </row>
    <row r="283" spans="1:18" x14ac:dyDescent="0.3">
      <c r="A283" t="s">
        <v>0</v>
      </c>
      <c r="B283" t="s">
        <v>0</v>
      </c>
      <c r="C283">
        <v>0</v>
      </c>
      <c r="D283">
        <v>17</v>
      </c>
      <c r="E283">
        <v>4</v>
      </c>
      <c r="F283">
        <v>20260212</v>
      </c>
      <c r="G283">
        <v>20260304</v>
      </c>
      <c r="H283">
        <v>126.7752</v>
      </c>
      <c r="I283">
        <f t="shared" si="43"/>
        <v>21</v>
      </c>
      <c r="J283">
        <f t="shared" si="44"/>
        <v>6.0369142857142855</v>
      </c>
      <c r="K283">
        <f t="shared" si="45"/>
        <v>0</v>
      </c>
      <c r="L283">
        <f t="shared" si="46"/>
        <v>102.62754285714286</v>
      </c>
      <c r="M283">
        <f t="shared" si="47"/>
        <v>17.803296025393823</v>
      </c>
      <c r="N283">
        <f t="shared" si="48"/>
        <v>120.43083888253668</v>
      </c>
      <c r="O283">
        <f t="shared" si="49"/>
        <v>0</v>
      </c>
      <c r="P283">
        <f t="shared" si="50"/>
        <v>108.03401680123554</v>
      </c>
      <c r="Q283">
        <f t="shared" si="51"/>
        <v>18.741183198764471</v>
      </c>
      <c r="R283">
        <f t="shared" si="52"/>
        <v>126.77520000000001</v>
      </c>
    </row>
    <row r="284" spans="1:18" x14ac:dyDescent="0.3">
      <c r="A284" t="s">
        <v>0</v>
      </c>
      <c r="B284" t="s">
        <v>0</v>
      </c>
      <c r="C284">
        <v>0</v>
      </c>
      <c r="D284">
        <v>15</v>
      </c>
      <c r="E284">
        <v>3</v>
      </c>
      <c r="F284">
        <v>20260214</v>
      </c>
      <c r="G284">
        <v>20260303</v>
      </c>
      <c r="H284">
        <v>42.242600000000003</v>
      </c>
      <c r="I284">
        <f t="shared" si="43"/>
        <v>18</v>
      </c>
      <c r="J284">
        <f t="shared" si="44"/>
        <v>2.3468111111111112</v>
      </c>
      <c r="K284">
        <f t="shared" si="45"/>
        <v>0</v>
      </c>
      <c r="L284">
        <f t="shared" si="46"/>
        <v>35.20216666666667</v>
      </c>
      <c r="M284">
        <f t="shared" si="47"/>
        <v>5.1906865348823228</v>
      </c>
      <c r="N284">
        <f t="shared" si="48"/>
        <v>40.392853201548995</v>
      </c>
      <c r="O284">
        <f t="shared" si="49"/>
        <v>0</v>
      </c>
      <c r="P284">
        <f t="shared" si="50"/>
        <v>36.814211618413438</v>
      </c>
      <c r="Q284">
        <f t="shared" si="51"/>
        <v>5.4283883815865597</v>
      </c>
      <c r="R284">
        <f t="shared" si="52"/>
        <v>42.242599999999996</v>
      </c>
    </row>
    <row r="285" spans="1:18" x14ac:dyDescent="0.3">
      <c r="A285" t="s">
        <v>0</v>
      </c>
      <c r="B285" t="s">
        <v>0</v>
      </c>
      <c r="C285">
        <v>0</v>
      </c>
      <c r="D285">
        <v>10</v>
      </c>
      <c r="E285">
        <v>9</v>
      </c>
      <c r="F285">
        <v>20260219</v>
      </c>
      <c r="G285">
        <v>20260309</v>
      </c>
      <c r="H285">
        <v>84.667000000000002</v>
      </c>
      <c r="I285">
        <f t="shared" si="43"/>
        <v>19</v>
      </c>
      <c r="J285">
        <f t="shared" si="44"/>
        <v>4.4561578947368421</v>
      </c>
      <c r="K285">
        <f t="shared" si="45"/>
        <v>0</v>
      </c>
      <c r="L285">
        <f t="shared" si="46"/>
        <v>44.561578947368417</v>
      </c>
      <c r="M285">
        <f t="shared" si="47"/>
        <v>29.568445460319314</v>
      </c>
      <c r="N285">
        <f t="shared" si="48"/>
        <v>74.130024407687728</v>
      </c>
      <c r="O285">
        <f t="shared" si="49"/>
        <v>0</v>
      </c>
      <c r="P285">
        <f t="shared" si="50"/>
        <v>50.89564228371642</v>
      </c>
      <c r="Q285">
        <f t="shared" si="51"/>
        <v>33.771357716283582</v>
      </c>
      <c r="R285">
        <f t="shared" si="52"/>
        <v>84.667000000000002</v>
      </c>
    </row>
    <row r="286" spans="1:18" x14ac:dyDescent="0.3">
      <c r="A286" t="s">
        <v>0</v>
      </c>
      <c r="B286" t="s">
        <v>0</v>
      </c>
      <c r="C286">
        <v>30</v>
      </c>
      <c r="D286">
        <v>5</v>
      </c>
      <c r="E286">
        <v>0</v>
      </c>
      <c r="F286">
        <v>20260102</v>
      </c>
      <c r="G286">
        <v>20260205</v>
      </c>
      <c r="H286">
        <v>924.38019999999995</v>
      </c>
      <c r="I286">
        <f t="shared" si="43"/>
        <v>35</v>
      </c>
      <c r="J286">
        <f t="shared" si="44"/>
        <v>26.410862857142856</v>
      </c>
      <c r="K286">
        <f t="shared" si="45"/>
        <v>960.96812018967876</v>
      </c>
      <c r="L286">
        <f t="shared" si="46"/>
        <v>132.05431428571427</v>
      </c>
      <c r="M286">
        <f t="shared" si="47"/>
        <v>0</v>
      </c>
      <c r="N286">
        <f t="shared" si="48"/>
        <v>1093.0224344753931</v>
      </c>
      <c r="O286">
        <f t="shared" si="49"/>
        <v>812.70052207199899</v>
      </c>
      <c r="P286">
        <f t="shared" si="50"/>
        <v>111.67967792800094</v>
      </c>
      <c r="Q286">
        <f t="shared" si="51"/>
        <v>0</v>
      </c>
      <c r="R286">
        <f t="shared" si="52"/>
        <v>924.38019999999995</v>
      </c>
    </row>
    <row r="287" spans="1:18" x14ac:dyDescent="0.3">
      <c r="A287" t="s">
        <v>0</v>
      </c>
      <c r="B287" t="s">
        <v>0</v>
      </c>
      <c r="C287">
        <v>28</v>
      </c>
      <c r="D287">
        <v>11</v>
      </c>
      <c r="E287">
        <v>0</v>
      </c>
      <c r="F287">
        <v>20260104</v>
      </c>
      <c r="G287">
        <v>20260211</v>
      </c>
      <c r="H287">
        <v>168.15209999999999</v>
      </c>
      <c r="I287">
        <f t="shared" si="43"/>
        <v>39</v>
      </c>
      <c r="J287">
        <f t="shared" si="44"/>
        <v>4.3115923076923073</v>
      </c>
      <c r="K287">
        <f t="shared" si="45"/>
        <v>146.42015265466193</v>
      </c>
      <c r="L287">
        <f t="shared" si="46"/>
        <v>47.427515384615383</v>
      </c>
      <c r="M287">
        <f t="shared" si="47"/>
        <v>0</v>
      </c>
      <c r="N287">
        <f t="shared" si="48"/>
        <v>193.84766803927732</v>
      </c>
      <c r="O287">
        <f t="shared" si="49"/>
        <v>127.01136103537398</v>
      </c>
      <c r="P287">
        <f t="shared" si="50"/>
        <v>41.140738964626003</v>
      </c>
      <c r="Q287">
        <f t="shared" si="51"/>
        <v>0</v>
      </c>
      <c r="R287">
        <f t="shared" si="52"/>
        <v>168.15209999999999</v>
      </c>
    </row>
    <row r="288" spans="1:18" x14ac:dyDescent="0.3">
      <c r="A288" t="s">
        <v>0</v>
      </c>
      <c r="B288" t="s">
        <v>0</v>
      </c>
      <c r="C288">
        <v>26</v>
      </c>
      <c r="D288">
        <v>14</v>
      </c>
      <c r="E288">
        <v>0</v>
      </c>
      <c r="F288">
        <v>20260106</v>
      </c>
      <c r="G288">
        <v>20260214</v>
      </c>
      <c r="H288">
        <v>714.98260000000005</v>
      </c>
      <c r="I288">
        <f t="shared" si="43"/>
        <v>40</v>
      </c>
      <c r="J288">
        <f t="shared" si="44"/>
        <v>17.874565</v>
      </c>
      <c r="K288">
        <f t="shared" si="45"/>
        <v>563.65578023000296</v>
      </c>
      <c r="L288">
        <f t="shared" si="46"/>
        <v>250.24391</v>
      </c>
      <c r="M288">
        <f t="shared" si="47"/>
        <v>0</v>
      </c>
      <c r="N288">
        <f t="shared" si="48"/>
        <v>813.89969023000299</v>
      </c>
      <c r="O288">
        <f t="shared" si="49"/>
        <v>495.1520194583066</v>
      </c>
      <c r="P288">
        <f t="shared" si="50"/>
        <v>219.83058054169345</v>
      </c>
      <c r="Q288">
        <f t="shared" si="51"/>
        <v>0</v>
      </c>
      <c r="R288">
        <f t="shared" si="52"/>
        <v>714.98260000000005</v>
      </c>
    </row>
    <row r="289" spans="1:18" x14ac:dyDescent="0.3">
      <c r="A289" t="s">
        <v>0</v>
      </c>
      <c r="B289" t="s">
        <v>0</v>
      </c>
      <c r="C289">
        <v>28</v>
      </c>
      <c r="D289">
        <v>21</v>
      </c>
      <c r="E289">
        <v>0</v>
      </c>
      <c r="F289">
        <v>20260104</v>
      </c>
      <c r="G289">
        <v>20260221</v>
      </c>
      <c r="H289">
        <v>378.52019999999999</v>
      </c>
      <c r="I289">
        <f t="shared" si="43"/>
        <v>49</v>
      </c>
      <c r="J289">
        <f t="shared" si="44"/>
        <v>7.7249020408163265</v>
      </c>
      <c r="K289">
        <f t="shared" si="45"/>
        <v>262.33494619625219</v>
      </c>
      <c r="L289">
        <f t="shared" si="46"/>
        <v>162.22294285714287</v>
      </c>
      <c r="M289">
        <f t="shared" si="47"/>
        <v>0</v>
      </c>
      <c r="N289">
        <f t="shared" si="48"/>
        <v>424.55788905339506</v>
      </c>
      <c r="O289">
        <f t="shared" si="49"/>
        <v>233.88819018907958</v>
      </c>
      <c r="P289">
        <f t="shared" si="50"/>
        <v>144.63200981092041</v>
      </c>
      <c r="Q289">
        <f t="shared" si="51"/>
        <v>0</v>
      </c>
      <c r="R289">
        <f t="shared" si="52"/>
        <v>378.52019999999999</v>
      </c>
    </row>
    <row r="290" spans="1:18" x14ac:dyDescent="0.3">
      <c r="A290" t="s">
        <v>0</v>
      </c>
      <c r="B290" t="s">
        <v>0</v>
      </c>
      <c r="C290">
        <v>27</v>
      </c>
      <c r="D290">
        <v>10</v>
      </c>
      <c r="E290">
        <v>0</v>
      </c>
      <c r="F290">
        <v>20260105</v>
      </c>
      <c r="G290">
        <v>20260210</v>
      </c>
      <c r="H290">
        <v>294.26620000000003</v>
      </c>
      <c r="I290">
        <f t="shared" si="43"/>
        <v>37</v>
      </c>
      <c r="J290">
        <f t="shared" si="44"/>
        <v>7.9531405405405415</v>
      </c>
      <c r="K290">
        <f t="shared" si="45"/>
        <v>260.439922033919</v>
      </c>
      <c r="L290">
        <f t="shared" si="46"/>
        <v>79.531405405405422</v>
      </c>
      <c r="M290">
        <f t="shared" si="47"/>
        <v>0</v>
      </c>
      <c r="N290">
        <f t="shared" si="48"/>
        <v>339.97132743932445</v>
      </c>
      <c r="O290">
        <f t="shared" si="49"/>
        <v>225.42685220681005</v>
      </c>
      <c r="P290">
        <f t="shared" si="50"/>
        <v>68.839347793189944</v>
      </c>
      <c r="Q290">
        <f t="shared" si="51"/>
        <v>0</v>
      </c>
      <c r="R290">
        <f t="shared" si="52"/>
        <v>294.26620000000003</v>
      </c>
    </row>
    <row r="291" spans="1:18" x14ac:dyDescent="0.3">
      <c r="A291" t="s">
        <v>0</v>
      </c>
      <c r="B291" t="s">
        <v>0</v>
      </c>
      <c r="C291">
        <v>27</v>
      </c>
      <c r="D291">
        <v>28</v>
      </c>
      <c r="E291">
        <v>5</v>
      </c>
      <c r="F291">
        <v>20260105</v>
      </c>
      <c r="G291">
        <v>20260305</v>
      </c>
      <c r="H291">
        <v>274593.9522</v>
      </c>
      <c r="I291">
        <f t="shared" si="43"/>
        <v>60</v>
      </c>
      <c r="J291">
        <f t="shared" si="44"/>
        <v>4576.5658700000004</v>
      </c>
      <c r="K291">
        <f t="shared" si="45"/>
        <v>149867.89838431359</v>
      </c>
      <c r="L291">
        <f t="shared" si="46"/>
        <v>128143.84436000002</v>
      </c>
      <c r="M291">
        <f t="shared" si="47"/>
        <v>16870.778908550375</v>
      </c>
      <c r="N291">
        <f t="shared" si="48"/>
        <v>294882.521652864</v>
      </c>
      <c r="O291">
        <f t="shared" si="49"/>
        <v>139556.65562878564</v>
      </c>
      <c r="P291">
        <f t="shared" si="50"/>
        <v>119327.26455159954</v>
      </c>
      <c r="Q291">
        <f t="shared" si="51"/>
        <v>15710.032019614806</v>
      </c>
      <c r="R291">
        <f t="shared" si="52"/>
        <v>274593.9522</v>
      </c>
    </row>
    <row r="292" spans="1:18" x14ac:dyDescent="0.3">
      <c r="A292" t="s">
        <v>0</v>
      </c>
      <c r="B292" t="s">
        <v>0</v>
      </c>
      <c r="C292">
        <v>25</v>
      </c>
      <c r="D292">
        <v>28</v>
      </c>
      <c r="E292">
        <v>5</v>
      </c>
      <c r="F292">
        <v>20260107</v>
      </c>
      <c r="G292">
        <v>20260305</v>
      </c>
      <c r="H292">
        <v>140667.76269999999</v>
      </c>
      <c r="I292">
        <f t="shared" si="43"/>
        <v>58</v>
      </c>
      <c r="J292">
        <f t="shared" si="44"/>
        <v>2425.3062534482756</v>
      </c>
      <c r="K292">
        <f t="shared" si="45"/>
        <v>73537.985861694295</v>
      </c>
      <c r="L292">
        <f t="shared" si="46"/>
        <v>67908.575096551722</v>
      </c>
      <c r="M292">
        <f t="shared" si="47"/>
        <v>8940.5040263193023</v>
      </c>
      <c r="N292">
        <f t="shared" si="48"/>
        <v>150387.06498456531</v>
      </c>
      <c r="O292">
        <f t="shared" si="49"/>
        <v>68785.330345335533</v>
      </c>
      <c r="P292">
        <f t="shared" si="50"/>
        <v>63519.74039760184</v>
      </c>
      <c r="Q292">
        <f t="shared" si="51"/>
        <v>8362.6919570626214</v>
      </c>
      <c r="R292">
        <f t="shared" si="52"/>
        <v>140667.76270000002</v>
      </c>
    </row>
    <row r="293" spans="1:18" x14ac:dyDescent="0.3">
      <c r="A293" t="s">
        <v>0</v>
      </c>
      <c r="B293" t="s">
        <v>0</v>
      </c>
      <c r="C293">
        <v>26</v>
      </c>
      <c r="D293">
        <v>28</v>
      </c>
      <c r="E293">
        <v>1</v>
      </c>
      <c r="F293">
        <v>20260106</v>
      </c>
      <c r="G293">
        <v>20260301</v>
      </c>
      <c r="H293">
        <v>228188.141</v>
      </c>
      <c r="I293">
        <f t="shared" si="43"/>
        <v>55</v>
      </c>
      <c r="J293">
        <f t="shared" si="44"/>
        <v>4148.8752909090908</v>
      </c>
      <c r="K293">
        <f t="shared" si="45"/>
        <v>130830.4587649738</v>
      </c>
      <c r="L293">
        <f t="shared" si="46"/>
        <v>116168.50814545454</v>
      </c>
      <c r="M293">
        <f t="shared" si="47"/>
        <v>3058.8331836716202</v>
      </c>
      <c r="N293">
        <f t="shared" si="48"/>
        <v>250057.80009409995</v>
      </c>
      <c r="O293">
        <f t="shared" si="49"/>
        <v>119388.23408236855</v>
      </c>
      <c r="P293">
        <f t="shared" si="50"/>
        <v>106008.59443888263</v>
      </c>
      <c r="Q293">
        <f t="shared" si="51"/>
        <v>2791.3124787488177</v>
      </c>
      <c r="R293">
        <f t="shared" si="52"/>
        <v>228188.141</v>
      </c>
    </row>
    <row r="294" spans="1:18" x14ac:dyDescent="0.3">
      <c r="A294" t="s">
        <v>0</v>
      </c>
      <c r="B294" t="s">
        <v>0</v>
      </c>
      <c r="C294">
        <v>30</v>
      </c>
      <c r="D294">
        <v>28</v>
      </c>
      <c r="E294">
        <v>4</v>
      </c>
      <c r="F294">
        <v>20260102</v>
      </c>
      <c r="G294">
        <v>20260304</v>
      </c>
      <c r="H294">
        <v>314276.45970000001</v>
      </c>
      <c r="I294">
        <f t="shared" si="43"/>
        <v>62</v>
      </c>
      <c r="J294">
        <f t="shared" si="44"/>
        <v>5068.9751564516127</v>
      </c>
      <c r="K294">
        <f t="shared" si="45"/>
        <v>184436.36445092841</v>
      </c>
      <c r="L294">
        <f t="shared" si="46"/>
        <v>141931.30438064516</v>
      </c>
      <c r="M294">
        <f t="shared" si="47"/>
        <v>14948.773658958342</v>
      </c>
      <c r="N294">
        <f t="shared" si="48"/>
        <v>341316.44249053189</v>
      </c>
      <c r="O294">
        <f t="shared" si="49"/>
        <v>169824.83245349256</v>
      </c>
      <c r="P294">
        <f t="shared" si="50"/>
        <v>130687.13460116889</v>
      </c>
      <c r="Q294">
        <f t="shared" si="51"/>
        <v>13764.492645338545</v>
      </c>
      <c r="R294">
        <f t="shared" si="52"/>
        <v>314276.45970000001</v>
      </c>
    </row>
    <row r="295" spans="1:18" x14ac:dyDescent="0.3">
      <c r="A295" t="s">
        <v>0</v>
      </c>
      <c r="B295" t="s">
        <v>0</v>
      </c>
      <c r="C295">
        <v>26</v>
      </c>
      <c r="D295">
        <v>28</v>
      </c>
      <c r="E295">
        <v>8</v>
      </c>
      <c r="F295">
        <v>20260106</v>
      </c>
      <c r="G295">
        <v>20260308</v>
      </c>
      <c r="H295">
        <v>24895.284</v>
      </c>
      <c r="I295">
        <f t="shared" si="43"/>
        <v>62</v>
      </c>
      <c r="J295">
        <f t="shared" si="44"/>
        <v>401.5368387096774</v>
      </c>
      <c r="K295">
        <f t="shared" si="45"/>
        <v>12662.045768050413</v>
      </c>
      <c r="L295">
        <f t="shared" si="46"/>
        <v>11243.031483870967</v>
      </c>
      <c r="M295">
        <f t="shared" si="47"/>
        <v>2368.3222475315865</v>
      </c>
      <c r="N295">
        <f t="shared" si="48"/>
        <v>26273.399499452964</v>
      </c>
      <c r="O295">
        <f t="shared" si="49"/>
        <v>11997.884987177866</v>
      </c>
      <c r="P295">
        <f t="shared" si="50"/>
        <v>10653.30209049411</v>
      </c>
      <c r="Q295">
        <f t="shared" si="51"/>
        <v>2244.0969223280276</v>
      </c>
      <c r="R295">
        <f t="shared" si="52"/>
        <v>24895.284</v>
      </c>
    </row>
    <row r="296" spans="1:18" x14ac:dyDescent="0.3">
      <c r="A296" t="s">
        <v>0</v>
      </c>
      <c r="B296" t="s">
        <v>0</v>
      </c>
      <c r="C296">
        <v>10</v>
      </c>
      <c r="D296">
        <v>28</v>
      </c>
      <c r="E296">
        <v>5</v>
      </c>
      <c r="F296">
        <v>20260122</v>
      </c>
      <c r="G296">
        <v>20260305</v>
      </c>
      <c r="H296">
        <v>2277.2040999999999</v>
      </c>
      <c r="I296">
        <f t="shared" si="43"/>
        <v>43</v>
      </c>
      <c r="J296">
        <f t="shared" si="44"/>
        <v>52.958234883720927</v>
      </c>
      <c r="K296">
        <f t="shared" si="45"/>
        <v>642.30105746064464</v>
      </c>
      <c r="L296">
        <f t="shared" si="46"/>
        <v>1482.8305767441859</v>
      </c>
      <c r="M296">
        <f t="shared" si="47"/>
        <v>195.22207207089443</v>
      </c>
      <c r="N296">
        <f t="shared" si="48"/>
        <v>2320.3537062757246</v>
      </c>
      <c r="O296">
        <f t="shared" si="49"/>
        <v>630.35674152943591</v>
      </c>
      <c r="P296">
        <f t="shared" si="50"/>
        <v>1455.2556620287851</v>
      </c>
      <c r="Q296">
        <f t="shared" si="51"/>
        <v>191.59169644177936</v>
      </c>
      <c r="R296">
        <f t="shared" si="52"/>
        <v>2277.2041000000004</v>
      </c>
    </row>
    <row r="297" spans="1:18" x14ac:dyDescent="0.3">
      <c r="A297" t="s">
        <v>0</v>
      </c>
      <c r="B297" t="s">
        <v>0</v>
      </c>
      <c r="C297">
        <v>28</v>
      </c>
      <c r="D297">
        <v>28</v>
      </c>
      <c r="E297">
        <v>6</v>
      </c>
      <c r="F297">
        <v>20260104</v>
      </c>
      <c r="G297">
        <v>20260306</v>
      </c>
      <c r="H297">
        <v>51458.623899999999</v>
      </c>
      <c r="I297">
        <f t="shared" si="43"/>
        <v>62</v>
      </c>
      <c r="J297">
        <f t="shared" si="44"/>
        <v>829.97780483870963</v>
      </c>
      <c r="K297">
        <f t="shared" si="45"/>
        <v>28185.75324657937</v>
      </c>
      <c r="L297">
        <f t="shared" si="46"/>
        <v>23239.378535483869</v>
      </c>
      <c r="M297">
        <f t="shared" si="47"/>
        <v>3671.4966921967216</v>
      </c>
      <c r="N297">
        <f t="shared" si="48"/>
        <v>55096.62847425996</v>
      </c>
      <c r="O297">
        <f t="shared" si="49"/>
        <v>26324.661160192943</v>
      </c>
      <c r="P297">
        <f t="shared" si="50"/>
        <v>21704.893254691291</v>
      </c>
      <c r="Q297">
        <f t="shared" si="51"/>
        <v>3429.0694851157641</v>
      </c>
      <c r="R297">
        <f t="shared" si="52"/>
        <v>51458.623899999991</v>
      </c>
    </row>
    <row r="298" spans="1:18" x14ac:dyDescent="0.3">
      <c r="A298" t="s">
        <v>0</v>
      </c>
      <c r="B298" t="s">
        <v>0</v>
      </c>
      <c r="C298">
        <v>19</v>
      </c>
      <c r="D298">
        <v>28</v>
      </c>
      <c r="E298">
        <v>1</v>
      </c>
      <c r="F298">
        <v>20260113</v>
      </c>
      <c r="G298">
        <v>20260301</v>
      </c>
      <c r="H298">
        <v>2611.0754999999999</v>
      </c>
      <c r="I298">
        <f t="shared" si="43"/>
        <v>48</v>
      </c>
      <c r="J298">
        <f t="shared" si="44"/>
        <v>54.397406249999996</v>
      </c>
      <c r="K298">
        <f t="shared" si="45"/>
        <v>1253.5363405708949</v>
      </c>
      <c r="L298">
        <f t="shared" si="46"/>
        <v>1523.1273749999998</v>
      </c>
      <c r="M298">
        <f t="shared" si="47"/>
        <v>40.10546947693539</v>
      </c>
      <c r="N298">
        <f t="shared" si="48"/>
        <v>2816.7691850478304</v>
      </c>
      <c r="O298">
        <f t="shared" si="49"/>
        <v>1161.9972430111418</v>
      </c>
      <c r="P298">
        <f t="shared" si="50"/>
        <v>1411.901476824158</v>
      </c>
      <c r="Q298">
        <f t="shared" si="51"/>
        <v>37.1767801646998</v>
      </c>
      <c r="R298">
        <f t="shared" si="52"/>
        <v>2611.0754999999995</v>
      </c>
    </row>
    <row r="299" spans="1:18" x14ac:dyDescent="0.3">
      <c r="A299" t="s">
        <v>0</v>
      </c>
      <c r="B299" t="s">
        <v>0</v>
      </c>
      <c r="C299">
        <v>25</v>
      </c>
      <c r="D299">
        <v>24</v>
      </c>
      <c r="E299">
        <v>0</v>
      </c>
      <c r="F299">
        <v>20260107</v>
      </c>
      <c r="G299">
        <v>20260224</v>
      </c>
      <c r="H299">
        <v>841.51160000000004</v>
      </c>
      <c r="I299">
        <f t="shared" si="43"/>
        <v>49</v>
      </c>
      <c r="J299">
        <f t="shared" si="44"/>
        <v>17.17370612244898</v>
      </c>
      <c r="K299">
        <f t="shared" si="45"/>
        <v>520.72589027877996</v>
      </c>
      <c r="L299">
        <f t="shared" si="46"/>
        <v>412.16894693877555</v>
      </c>
      <c r="M299">
        <f t="shared" si="47"/>
        <v>0</v>
      </c>
      <c r="N299">
        <f t="shared" si="48"/>
        <v>932.89483721755551</v>
      </c>
      <c r="O299">
        <f t="shared" si="49"/>
        <v>469.71733533962197</v>
      </c>
      <c r="P299">
        <f t="shared" si="50"/>
        <v>371.79426466037808</v>
      </c>
      <c r="Q299">
        <f t="shared" si="51"/>
        <v>0</v>
      </c>
      <c r="R299">
        <f t="shared" si="52"/>
        <v>841.51160000000004</v>
      </c>
    </row>
    <row r="300" spans="1:18" x14ac:dyDescent="0.3">
      <c r="A300" t="s">
        <v>0</v>
      </c>
      <c r="B300" t="s">
        <v>0</v>
      </c>
      <c r="C300">
        <v>17</v>
      </c>
      <c r="D300">
        <v>28</v>
      </c>
      <c r="E300">
        <v>1</v>
      </c>
      <c r="F300">
        <v>20260115</v>
      </c>
      <c r="G300">
        <v>20260301</v>
      </c>
      <c r="H300">
        <v>1558.5517</v>
      </c>
      <c r="I300">
        <f t="shared" si="43"/>
        <v>46</v>
      </c>
      <c r="J300">
        <f t="shared" si="44"/>
        <v>33.881558695652174</v>
      </c>
      <c r="K300">
        <f t="shared" si="45"/>
        <v>698.58207594919611</v>
      </c>
      <c r="L300">
        <f t="shared" si="46"/>
        <v>948.68364347826082</v>
      </c>
      <c r="M300">
        <f t="shared" si="47"/>
        <v>24.979790614547422</v>
      </c>
      <c r="N300">
        <f t="shared" si="48"/>
        <v>1672.2455100420045</v>
      </c>
      <c r="O300">
        <f t="shared" si="49"/>
        <v>651.08638386046562</v>
      </c>
      <c r="P300">
        <f t="shared" si="50"/>
        <v>884.18386919041427</v>
      </c>
      <c r="Q300">
        <f t="shared" si="51"/>
        <v>23.281446949119932</v>
      </c>
      <c r="R300">
        <f t="shared" si="52"/>
        <v>1558.5517</v>
      </c>
    </row>
    <row r="301" spans="1:18" x14ac:dyDescent="0.3">
      <c r="A301" t="s">
        <v>0</v>
      </c>
      <c r="B301" t="s">
        <v>0</v>
      </c>
      <c r="C301">
        <v>22</v>
      </c>
      <c r="D301">
        <v>28</v>
      </c>
      <c r="E301">
        <v>2</v>
      </c>
      <c r="F301">
        <v>20260110</v>
      </c>
      <c r="G301">
        <v>20260302</v>
      </c>
      <c r="H301">
        <v>252.69059999999999</v>
      </c>
      <c r="I301">
        <f t="shared" si="43"/>
        <v>52</v>
      </c>
      <c r="J301">
        <f t="shared" si="44"/>
        <v>4.8594346153846155</v>
      </c>
      <c r="K301">
        <f t="shared" si="45"/>
        <v>129.66225172999603</v>
      </c>
      <c r="L301">
        <f t="shared" si="46"/>
        <v>136.06416923076924</v>
      </c>
      <c r="M301">
        <f t="shared" si="47"/>
        <v>7.1654117384492384</v>
      </c>
      <c r="N301">
        <f t="shared" si="48"/>
        <v>272.89183269921449</v>
      </c>
      <c r="O301">
        <f t="shared" si="49"/>
        <v>120.06380646472914</v>
      </c>
      <c r="P301">
        <f t="shared" si="50"/>
        <v>125.9918122918729</v>
      </c>
      <c r="Q301">
        <f t="shared" si="51"/>
        <v>6.6349812433979558</v>
      </c>
      <c r="R301">
        <f t="shared" si="52"/>
        <v>252.69059999999999</v>
      </c>
    </row>
    <row r="302" spans="1:18" x14ac:dyDescent="0.3">
      <c r="A302" t="s">
        <v>0</v>
      </c>
      <c r="B302" t="s">
        <v>0</v>
      </c>
      <c r="C302">
        <v>20</v>
      </c>
      <c r="D302">
        <v>28</v>
      </c>
      <c r="E302">
        <v>3</v>
      </c>
      <c r="F302">
        <v>20260112</v>
      </c>
      <c r="G302">
        <v>20260303</v>
      </c>
      <c r="H302">
        <v>1263.6609000000001</v>
      </c>
      <c r="I302">
        <f t="shared" si="43"/>
        <v>51</v>
      </c>
      <c r="J302">
        <f t="shared" si="44"/>
        <v>24.777664705882355</v>
      </c>
      <c r="K302">
        <f t="shared" si="45"/>
        <v>601.02910442302641</v>
      </c>
      <c r="L302">
        <f t="shared" si="46"/>
        <v>693.77461176470592</v>
      </c>
      <c r="M302">
        <f t="shared" si="47"/>
        <v>54.803341413259247</v>
      </c>
      <c r="N302">
        <f t="shared" si="48"/>
        <v>1349.6070576009915</v>
      </c>
      <c r="O302">
        <f t="shared" si="49"/>
        <v>562.75415480669426</v>
      </c>
      <c r="P302">
        <f t="shared" si="50"/>
        <v>649.59340969816719</v>
      </c>
      <c r="Q302">
        <f t="shared" si="51"/>
        <v>51.313335495138546</v>
      </c>
      <c r="R302">
        <f t="shared" si="52"/>
        <v>1263.6609000000001</v>
      </c>
    </row>
    <row r="303" spans="1:18" x14ac:dyDescent="0.3">
      <c r="A303" t="s">
        <v>0</v>
      </c>
      <c r="B303" t="s">
        <v>0</v>
      </c>
      <c r="C303">
        <v>31</v>
      </c>
      <c r="D303">
        <v>28</v>
      </c>
      <c r="E303">
        <v>1</v>
      </c>
      <c r="F303">
        <v>20251229</v>
      </c>
      <c r="G303">
        <v>20260301</v>
      </c>
      <c r="H303">
        <v>883.52499999999998</v>
      </c>
      <c r="I303">
        <f t="shared" si="43"/>
        <v>60</v>
      </c>
      <c r="J303">
        <f t="shared" si="44"/>
        <v>14.725416666666666</v>
      </c>
      <c r="K303">
        <f t="shared" si="45"/>
        <v>553.6488748856234</v>
      </c>
      <c r="L303">
        <f t="shared" si="46"/>
        <v>412.31166666666667</v>
      </c>
      <c r="M303">
        <f t="shared" si="47"/>
        <v>10.856579189566704</v>
      </c>
      <c r="N303">
        <f t="shared" si="48"/>
        <v>976.8171207418568</v>
      </c>
      <c r="O303">
        <f t="shared" si="49"/>
        <v>500.77195802200856</v>
      </c>
      <c r="P303">
        <f t="shared" si="50"/>
        <v>372.93333373907649</v>
      </c>
      <c r="Q303">
        <f t="shared" si="51"/>
        <v>9.8197082389148793</v>
      </c>
      <c r="R303">
        <f t="shared" si="52"/>
        <v>883.52499999999998</v>
      </c>
    </row>
    <row r="304" spans="1:18" x14ac:dyDescent="0.3">
      <c r="A304" t="s">
        <v>0</v>
      </c>
      <c r="B304" t="s">
        <v>0</v>
      </c>
      <c r="C304">
        <v>13</v>
      </c>
      <c r="D304">
        <v>28</v>
      </c>
      <c r="E304">
        <v>5</v>
      </c>
      <c r="F304">
        <v>20260119</v>
      </c>
      <c r="G304">
        <v>20260305</v>
      </c>
      <c r="H304">
        <v>168.63829999999999</v>
      </c>
      <c r="I304">
        <f t="shared" si="43"/>
        <v>46</v>
      </c>
      <c r="J304">
        <f t="shared" si="44"/>
        <v>3.6660499999999998</v>
      </c>
      <c r="K304">
        <f t="shared" si="45"/>
        <v>57.802533183666341</v>
      </c>
      <c r="L304">
        <f t="shared" si="46"/>
        <v>102.6494</v>
      </c>
      <c r="M304">
        <f t="shared" si="47"/>
        <v>13.514307621599054</v>
      </c>
      <c r="N304">
        <f t="shared" si="48"/>
        <v>173.96624080526539</v>
      </c>
      <c r="O304">
        <f t="shared" si="49"/>
        <v>56.032255951880337</v>
      </c>
      <c r="P304">
        <f t="shared" si="50"/>
        <v>99.505629551409285</v>
      </c>
      <c r="Q304">
        <f t="shared" si="51"/>
        <v>13.100414496710378</v>
      </c>
      <c r="R304">
        <f t="shared" si="52"/>
        <v>168.63830000000002</v>
      </c>
    </row>
    <row r="305" spans="1:18" x14ac:dyDescent="0.3">
      <c r="A305" t="s">
        <v>0</v>
      </c>
      <c r="B305" t="s">
        <v>0</v>
      </c>
      <c r="C305">
        <v>31</v>
      </c>
      <c r="D305">
        <v>28</v>
      </c>
      <c r="E305">
        <v>4</v>
      </c>
      <c r="F305">
        <v>20251229</v>
      </c>
      <c r="G305">
        <v>20260304</v>
      </c>
      <c r="H305">
        <v>126.2564</v>
      </c>
      <c r="I305">
        <f t="shared" si="43"/>
        <v>63</v>
      </c>
      <c r="J305">
        <f t="shared" si="44"/>
        <v>2.0040698412698412</v>
      </c>
      <c r="K305">
        <f t="shared" si="45"/>
        <v>75.349379778359932</v>
      </c>
      <c r="L305">
        <f t="shared" si="46"/>
        <v>56.113955555555556</v>
      </c>
      <c r="M305">
        <f t="shared" si="47"/>
        <v>5.9101466330442456</v>
      </c>
      <c r="N305">
        <f t="shared" si="48"/>
        <v>137.37348196695973</v>
      </c>
      <c r="O305">
        <f t="shared" si="49"/>
        <v>69.251658302849279</v>
      </c>
      <c r="P305">
        <f t="shared" si="50"/>
        <v>51.572879399740529</v>
      </c>
      <c r="Q305">
        <f t="shared" si="51"/>
        <v>5.4318622974101922</v>
      </c>
      <c r="R305">
        <f t="shared" si="52"/>
        <v>126.2564</v>
      </c>
    </row>
    <row r="306" spans="1:18" x14ac:dyDescent="0.3">
      <c r="A306" t="s">
        <v>0</v>
      </c>
      <c r="B306" t="s">
        <v>0</v>
      </c>
      <c r="C306">
        <v>17</v>
      </c>
      <c r="D306">
        <v>28</v>
      </c>
      <c r="E306">
        <v>5</v>
      </c>
      <c r="F306">
        <v>20260115</v>
      </c>
      <c r="G306">
        <v>20260305</v>
      </c>
      <c r="H306">
        <v>421.44749999999999</v>
      </c>
      <c r="I306">
        <f t="shared" si="43"/>
        <v>50</v>
      </c>
      <c r="J306">
        <f t="shared" si="44"/>
        <v>8.4289500000000004</v>
      </c>
      <c r="K306">
        <f t="shared" si="45"/>
        <v>173.79110099287109</v>
      </c>
      <c r="L306">
        <f t="shared" si="46"/>
        <v>236.01060000000001</v>
      </c>
      <c r="M306">
        <f t="shared" si="47"/>
        <v>31.071977530878563</v>
      </c>
      <c r="N306">
        <f t="shared" si="48"/>
        <v>440.87367852374967</v>
      </c>
      <c r="O306">
        <f t="shared" si="49"/>
        <v>166.13335883636208</v>
      </c>
      <c r="P306">
        <f t="shared" si="50"/>
        <v>225.61128547423999</v>
      </c>
      <c r="Q306">
        <f t="shared" si="51"/>
        <v>29.702855689397907</v>
      </c>
      <c r="R306">
        <f t="shared" si="52"/>
        <v>421.44749999999999</v>
      </c>
    </row>
    <row r="307" spans="1:18" x14ac:dyDescent="0.3">
      <c r="A307" t="s">
        <v>0</v>
      </c>
      <c r="B307" t="s">
        <v>0</v>
      </c>
      <c r="C307">
        <v>16</v>
      </c>
      <c r="D307">
        <v>28</v>
      </c>
      <c r="E307">
        <v>5</v>
      </c>
      <c r="F307">
        <v>20260116</v>
      </c>
      <c r="G307">
        <v>20260305</v>
      </c>
      <c r="H307">
        <v>252.88630000000001</v>
      </c>
      <c r="I307">
        <f t="shared" si="43"/>
        <v>49</v>
      </c>
      <c r="J307">
        <f t="shared" si="44"/>
        <v>5.1609448979591841</v>
      </c>
      <c r="K307">
        <f t="shared" si="45"/>
        <v>100.15078101401841</v>
      </c>
      <c r="L307">
        <f t="shared" si="46"/>
        <v>144.50645714285716</v>
      </c>
      <c r="M307">
        <f t="shared" si="47"/>
        <v>19.024998832297037</v>
      </c>
      <c r="N307">
        <f t="shared" si="48"/>
        <v>263.68223698917262</v>
      </c>
      <c r="O307">
        <f t="shared" si="49"/>
        <v>96.050309425224341</v>
      </c>
      <c r="P307">
        <f t="shared" si="50"/>
        <v>138.5899319204664</v>
      </c>
      <c r="Q307">
        <f t="shared" si="51"/>
        <v>18.246058654309262</v>
      </c>
      <c r="R307">
        <f t="shared" si="52"/>
        <v>252.88630000000001</v>
      </c>
    </row>
    <row r="308" spans="1:18" x14ac:dyDescent="0.3">
      <c r="A308" t="s">
        <v>0</v>
      </c>
      <c r="B308" t="s">
        <v>0</v>
      </c>
      <c r="C308">
        <v>10</v>
      </c>
      <c r="D308">
        <v>28</v>
      </c>
      <c r="E308">
        <v>6</v>
      </c>
      <c r="F308">
        <v>20260122</v>
      </c>
      <c r="G308">
        <v>20260306</v>
      </c>
      <c r="H308">
        <v>379.59629999999999</v>
      </c>
      <c r="I308">
        <f t="shared" si="43"/>
        <v>44</v>
      </c>
      <c r="J308">
        <f t="shared" si="44"/>
        <v>8.6271886363636359</v>
      </c>
      <c r="K308">
        <f t="shared" si="45"/>
        <v>104.63438587437082</v>
      </c>
      <c r="L308">
        <f t="shared" si="46"/>
        <v>241.56128181818181</v>
      </c>
      <c r="M308">
        <f t="shared" si="47"/>
        <v>38.163303110884527</v>
      </c>
      <c r="N308">
        <f t="shared" si="48"/>
        <v>384.35897080343716</v>
      </c>
      <c r="O308">
        <f t="shared" si="49"/>
        <v>103.33783974823839</v>
      </c>
      <c r="P308">
        <f t="shared" si="50"/>
        <v>238.56804645346159</v>
      </c>
      <c r="Q308">
        <f t="shared" si="51"/>
        <v>37.6904137983</v>
      </c>
      <c r="R308">
        <f t="shared" si="52"/>
        <v>379.59630000000004</v>
      </c>
    </row>
    <row r="309" spans="1:18" x14ac:dyDescent="0.3">
      <c r="A309" t="s">
        <v>0</v>
      </c>
      <c r="B309" t="s">
        <v>0</v>
      </c>
      <c r="C309">
        <v>12</v>
      </c>
      <c r="D309">
        <v>28</v>
      </c>
      <c r="E309">
        <v>2</v>
      </c>
      <c r="F309">
        <v>20260120</v>
      </c>
      <c r="G309">
        <v>20260302</v>
      </c>
      <c r="H309">
        <v>10157.362499999999</v>
      </c>
      <c r="I309">
        <f t="shared" si="43"/>
        <v>42</v>
      </c>
      <c r="J309">
        <f t="shared" si="44"/>
        <v>241.84196428571425</v>
      </c>
      <c r="K309">
        <f t="shared" si="45"/>
        <v>3519.8004557396525</v>
      </c>
      <c r="L309">
        <f t="shared" si="46"/>
        <v>6771.5749999999989</v>
      </c>
      <c r="M309">
        <f t="shared" si="47"/>
        <v>356.60470546434601</v>
      </c>
      <c r="N309">
        <f t="shared" si="48"/>
        <v>10647.980161203997</v>
      </c>
      <c r="O309">
        <f t="shared" si="49"/>
        <v>3357.6216911893912</v>
      </c>
      <c r="P309">
        <f t="shared" si="50"/>
        <v>6459.5670662068724</v>
      </c>
      <c r="Q309">
        <f t="shared" si="51"/>
        <v>340.17374260373572</v>
      </c>
      <c r="R309">
        <f t="shared" si="52"/>
        <v>10157.362499999999</v>
      </c>
    </row>
    <row r="310" spans="1:18" x14ac:dyDescent="0.3">
      <c r="A310" t="s">
        <v>0</v>
      </c>
      <c r="B310" t="s">
        <v>0</v>
      </c>
      <c r="C310">
        <v>12</v>
      </c>
      <c r="D310">
        <v>28</v>
      </c>
      <c r="E310">
        <v>7</v>
      </c>
      <c r="F310">
        <v>20260120</v>
      </c>
      <c r="G310">
        <v>20260307</v>
      </c>
      <c r="H310">
        <v>42.172400000000003</v>
      </c>
      <c r="I310">
        <f t="shared" si="43"/>
        <v>47</v>
      </c>
      <c r="J310">
        <f t="shared" si="44"/>
        <v>0.89728510638297876</v>
      </c>
      <c r="K310">
        <f t="shared" si="45"/>
        <v>13.059208048128527</v>
      </c>
      <c r="L310">
        <f t="shared" si="46"/>
        <v>25.123982978723404</v>
      </c>
      <c r="M310">
        <f t="shared" si="47"/>
        <v>4.6307774669506232</v>
      </c>
      <c r="N310">
        <f t="shared" si="48"/>
        <v>42.813968493802555</v>
      </c>
      <c r="O310">
        <f t="shared" si="49"/>
        <v>12.863515456844802</v>
      </c>
      <c r="P310">
        <f t="shared" si="50"/>
        <v>24.747499403735166</v>
      </c>
      <c r="Q310">
        <f t="shared" si="51"/>
        <v>4.5613851394200333</v>
      </c>
      <c r="R310">
        <f t="shared" si="52"/>
        <v>42.172400000000003</v>
      </c>
    </row>
    <row r="311" spans="1:18" x14ac:dyDescent="0.3">
      <c r="A311" t="s">
        <v>0</v>
      </c>
      <c r="B311" t="s">
        <v>0</v>
      </c>
      <c r="C311">
        <v>27</v>
      </c>
      <c r="D311">
        <v>28</v>
      </c>
      <c r="E311">
        <v>12</v>
      </c>
      <c r="F311">
        <v>20260105</v>
      </c>
      <c r="G311">
        <v>20260312</v>
      </c>
      <c r="H311">
        <v>126.3631</v>
      </c>
      <c r="I311">
        <f t="shared" si="43"/>
        <v>67</v>
      </c>
      <c r="J311">
        <f t="shared" si="44"/>
        <v>1.8860164179104477</v>
      </c>
      <c r="K311">
        <f t="shared" si="45"/>
        <v>61.761007030048511</v>
      </c>
      <c r="L311">
        <f t="shared" si="46"/>
        <v>52.808459701492538</v>
      </c>
      <c r="M311">
        <f t="shared" si="47"/>
        <v>16.68599569631278</v>
      </c>
      <c r="N311">
        <f t="shared" si="48"/>
        <v>131.25546242785381</v>
      </c>
      <c r="O311">
        <f t="shared" si="49"/>
        <v>59.45895251200276</v>
      </c>
      <c r="P311">
        <f t="shared" si="50"/>
        <v>50.840098771307069</v>
      </c>
      <c r="Q311">
        <f t="shared" si="51"/>
        <v>16.064048716690181</v>
      </c>
      <c r="R311">
        <f t="shared" si="52"/>
        <v>126.36310000000002</v>
      </c>
    </row>
    <row r="312" spans="1:18" x14ac:dyDescent="0.3">
      <c r="A312" t="s">
        <v>0</v>
      </c>
      <c r="B312" t="s">
        <v>0</v>
      </c>
      <c r="C312">
        <v>31</v>
      </c>
      <c r="D312">
        <v>28</v>
      </c>
      <c r="E312">
        <v>7</v>
      </c>
      <c r="F312">
        <v>20251226</v>
      </c>
      <c r="G312">
        <v>20260307</v>
      </c>
      <c r="H312">
        <v>42.0944</v>
      </c>
      <c r="I312">
        <f t="shared" si="43"/>
        <v>66</v>
      </c>
      <c r="J312">
        <f t="shared" si="44"/>
        <v>0.63779393939393936</v>
      </c>
      <c r="K312">
        <f t="shared" si="45"/>
        <v>23.979891703414665</v>
      </c>
      <c r="L312">
        <f t="shared" si="46"/>
        <v>17.858230303030304</v>
      </c>
      <c r="M312">
        <f t="shared" si="47"/>
        <v>3.2915756453473577</v>
      </c>
      <c r="N312">
        <f t="shared" si="48"/>
        <v>45.129697651792327</v>
      </c>
      <c r="O312">
        <f t="shared" si="49"/>
        <v>22.367071038423614</v>
      </c>
      <c r="P312">
        <f t="shared" si="50"/>
        <v>16.657135517902674</v>
      </c>
      <c r="Q312">
        <f t="shared" si="51"/>
        <v>3.0701934436737139</v>
      </c>
      <c r="R312">
        <f t="shared" si="52"/>
        <v>42.094400000000007</v>
      </c>
    </row>
    <row r="313" spans="1:18" x14ac:dyDescent="0.3">
      <c r="A313" t="s">
        <v>0</v>
      </c>
      <c r="B313" t="s">
        <v>0</v>
      </c>
      <c r="C313">
        <v>0</v>
      </c>
      <c r="D313">
        <v>8</v>
      </c>
      <c r="E313">
        <v>1</v>
      </c>
      <c r="F313">
        <v>20260221</v>
      </c>
      <c r="G313">
        <v>20260301</v>
      </c>
      <c r="H313">
        <v>126.9057</v>
      </c>
      <c r="I313">
        <f t="shared" si="43"/>
        <v>9</v>
      </c>
      <c r="J313">
        <f t="shared" si="44"/>
        <v>14.100633333333333</v>
      </c>
      <c r="K313">
        <f t="shared" si="45"/>
        <v>0</v>
      </c>
      <c r="L313">
        <f t="shared" si="46"/>
        <v>112.80506666666666</v>
      </c>
      <c r="M313">
        <f t="shared" si="47"/>
        <v>10.395946401496998</v>
      </c>
      <c r="N313">
        <f t="shared" si="48"/>
        <v>123.20101306816366</v>
      </c>
      <c r="O313">
        <f t="shared" si="49"/>
        <v>0</v>
      </c>
      <c r="P313">
        <f t="shared" si="50"/>
        <v>116.19714475042163</v>
      </c>
      <c r="Q313">
        <f t="shared" si="51"/>
        <v>10.708555249578373</v>
      </c>
      <c r="R313">
        <f t="shared" si="52"/>
        <v>126.9057</v>
      </c>
    </row>
    <row r="314" spans="1:18" x14ac:dyDescent="0.3">
      <c r="A314" t="s">
        <v>0</v>
      </c>
      <c r="B314" t="s">
        <v>0</v>
      </c>
      <c r="C314">
        <v>0</v>
      </c>
      <c r="D314">
        <v>5</v>
      </c>
      <c r="E314">
        <v>4</v>
      </c>
      <c r="F314">
        <v>20260224</v>
      </c>
      <c r="G314">
        <v>20260304</v>
      </c>
      <c r="H314">
        <v>42.379899999999999</v>
      </c>
      <c r="I314">
        <f t="shared" si="43"/>
        <v>9</v>
      </c>
      <c r="J314">
        <f t="shared" si="44"/>
        <v>4.7088777777777775</v>
      </c>
      <c r="K314">
        <f t="shared" si="45"/>
        <v>0</v>
      </c>
      <c r="L314">
        <f t="shared" si="46"/>
        <v>23.544388888888889</v>
      </c>
      <c r="M314">
        <f t="shared" si="47"/>
        <v>13.886820494297815</v>
      </c>
      <c r="N314">
        <f t="shared" si="48"/>
        <v>37.431209383186705</v>
      </c>
      <c r="O314">
        <f t="shared" si="49"/>
        <v>0</v>
      </c>
      <c r="P314">
        <f t="shared" si="50"/>
        <v>26.657136200371244</v>
      </c>
      <c r="Q314">
        <f t="shared" si="51"/>
        <v>15.722763799628751</v>
      </c>
      <c r="R314">
        <f t="shared" si="52"/>
        <v>42.379899999999992</v>
      </c>
    </row>
    <row r="315" spans="1:18" x14ac:dyDescent="0.3">
      <c r="A315" t="s">
        <v>0</v>
      </c>
      <c r="B315" t="s">
        <v>0</v>
      </c>
      <c r="C315">
        <v>0</v>
      </c>
      <c r="D315">
        <v>6</v>
      </c>
      <c r="E315">
        <v>1</v>
      </c>
      <c r="F315">
        <v>20260223</v>
      </c>
      <c r="G315">
        <v>20260301</v>
      </c>
      <c r="H315">
        <v>84.688800000000001</v>
      </c>
      <c r="I315">
        <f t="shared" si="43"/>
        <v>7</v>
      </c>
      <c r="J315">
        <f t="shared" si="44"/>
        <v>12.0984</v>
      </c>
      <c r="K315">
        <f t="shared" si="45"/>
        <v>0</v>
      </c>
      <c r="L315">
        <f t="shared" si="46"/>
        <v>72.590400000000002</v>
      </c>
      <c r="M315">
        <f t="shared" si="47"/>
        <v>8.9197637418558937</v>
      </c>
      <c r="N315">
        <f t="shared" si="48"/>
        <v>81.510163741855891</v>
      </c>
      <c r="O315">
        <f t="shared" si="49"/>
        <v>0</v>
      </c>
      <c r="P315">
        <f t="shared" si="50"/>
        <v>75.421193938335563</v>
      </c>
      <c r="Q315">
        <f t="shared" si="51"/>
        <v>9.2676060616644484</v>
      </c>
      <c r="R315">
        <f t="shared" si="52"/>
        <v>84.688800000000015</v>
      </c>
    </row>
    <row r="316" spans="1:18" x14ac:dyDescent="0.3">
      <c r="A316" t="s">
        <v>0</v>
      </c>
      <c r="B316" t="s">
        <v>0</v>
      </c>
      <c r="C316">
        <v>0</v>
      </c>
      <c r="D316">
        <v>19</v>
      </c>
      <c r="E316">
        <v>7</v>
      </c>
      <c r="F316">
        <v>20260210</v>
      </c>
      <c r="G316">
        <v>20260307</v>
      </c>
      <c r="H316">
        <v>169.07310000000001</v>
      </c>
      <c r="I316">
        <f t="shared" si="43"/>
        <v>26</v>
      </c>
      <c r="J316">
        <f t="shared" si="44"/>
        <v>6.5028115384615388</v>
      </c>
      <c r="K316">
        <f t="shared" si="45"/>
        <v>0</v>
      </c>
      <c r="L316">
        <f t="shared" si="46"/>
        <v>123.55341923076924</v>
      </c>
      <c r="M316">
        <f t="shared" si="47"/>
        <v>33.56020614843613</v>
      </c>
      <c r="N316">
        <f t="shared" si="48"/>
        <v>157.11362537920536</v>
      </c>
      <c r="O316">
        <f t="shared" si="49"/>
        <v>0</v>
      </c>
      <c r="P316">
        <f t="shared" si="50"/>
        <v>132.95829406601288</v>
      </c>
      <c r="Q316">
        <f t="shared" si="51"/>
        <v>36.114805933987128</v>
      </c>
      <c r="R316">
        <f t="shared" si="52"/>
        <v>169.07310000000001</v>
      </c>
    </row>
    <row r="317" spans="1:18" x14ac:dyDescent="0.3">
      <c r="A317" t="s">
        <v>0</v>
      </c>
      <c r="B317" t="s">
        <v>0</v>
      </c>
      <c r="C317">
        <v>0</v>
      </c>
      <c r="D317">
        <v>23</v>
      </c>
      <c r="E317">
        <v>3</v>
      </c>
      <c r="F317">
        <v>20260206</v>
      </c>
      <c r="G317">
        <v>20260303</v>
      </c>
      <c r="H317">
        <v>211.0746</v>
      </c>
      <c r="I317">
        <f t="shared" si="43"/>
        <v>26</v>
      </c>
      <c r="J317">
        <f t="shared" si="44"/>
        <v>8.1182538461538467</v>
      </c>
      <c r="K317">
        <f t="shared" si="45"/>
        <v>0</v>
      </c>
      <c r="L317">
        <f t="shared" si="46"/>
        <v>186.71983846153847</v>
      </c>
      <c r="M317">
        <f t="shared" si="47"/>
        <v>17.955987478700962</v>
      </c>
      <c r="N317">
        <f t="shared" si="48"/>
        <v>204.67582594023943</v>
      </c>
      <c r="O317">
        <f t="shared" si="49"/>
        <v>0</v>
      </c>
      <c r="P317">
        <f t="shared" si="50"/>
        <v>192.55725503626979</v>
      </c>
      <c r="Q317">
        <f t="shared" si="51"/>
        <v>18.51734496373021</v>
      </c>
      <c r="R317">
        <f t="shared" si="52"/>
        <v>211.0746</v>
      </c>
    </row>
    <row r="318" spans="1:18" x14ac:dyDescent="0.3">
      <c r="A318" t="s">
        <v>0</v>
      </c>
      <c r="B318" t="s">
        <v>0</v>
      </c>
      <c r="C318">
        <v>0</v>
      </c>
      <c r="D318">
        <v>24</v>
      </c>
      <c r="E318">
        <v>1</v>
      </c>
      <c r="F318">
        <v>20260205</v>
      </c>
      <c r="G318">
        <v>20260301</v>
      </c>
      <c r="H318">
        <v>464.11419999999998</v>
      </c>
      <c r="I318">
        <f t="shared" si="43"/>
        <v>25</v>
      </c>
      <c r="J318">
        <f t="shared" si="44"/>
        <v>18.564567999999998</v>
      </c>
      <c r="K318">
        <f t="shared" si="45"/>
        <v>0</v>
      </c>
      <c r="L318">
        <f t="shared" si="46"/>
        <v>445.54963199999997</v>
      </c>
      <c r="M318">
        <f t="shared" si="47"/>
        <v>13.687062795875336</v>
      </c>
      <c r="N318">
        <f t="shared" si="48"/>
        <v>459.23669479587534</v>
      </c>
      <c r="O318">
        <f t="shared" si="49"/>
        <v>0</v>
      </c>
      <c r="P318">
        <f t="shared" si="50"/>
        <v>450.28176833275052</v>
      </c>
      <c r="Q318">
        <f t="shared" si="51"/>
        <v>13.832431667249468</v>
      </c>
      <c r="R318">
        <f t="shared" si="52"/>
        <v>464.11419999999998</v>
      </c>
    </row>
    <row r="319" spans="1:18" x14ac:dyDescent="0.3">
      <c r="A319" t="s">
        <v>0</v>
      </c>
      <c r="B319" t="s">
        <v>0</v>
      </c>
      <c r="C319">
        <v>0</v>
      </c>
      <c r="D319">
        <v>24</v>
      </c>
      <c r="E319">
        <v>4</v>
      </c>
      <c r="F319">
        <v>20260205</v>
      </c>
      <c r="G319">
        <v>20260304</v>
      </c>
      <c r="H319">
        <v>506.5908</v>
      </c>
      <c r="I319">
        <f t="shared" si="43"/>
        <v>28</v>
      </c>
      <c r="J319">
        <f t="shared" si="44"/>
        <v>18.09252857142857</v>
      </c>
      <c r="K319">
        <f t="shared" si="45"/>
        <v>0</v>
      </c>
      <c r="L319">
        <f t="shared" si="46"/>
        <v>434.22068571428565</v>
      </c>
      <c r="M319">
        <f t="shared" si="47"/>
        <v>53.356172832744946</v>
      </c>
      <c r="N319">
        <f t="shared" si="48"/>
        <v>487.57685854703061</v>
      </c>
      <c r="O319">
        <f t="shared" si="49"/>
        <v>0</v>
      </c>
      <c r="P319">
        <f t="shared" si="50"/>
        <v>451.1539067052143</v>
      </c>
      <c r="Q319">
        <f t="shared" si="51"/>
        <v>55.436893294785641</v>
      </c>
      <c r="R319">
        <f t="shared" si="52"/>
        <v>506.59079999999994</v>
      </c>
    </row>
    <row r="320" spans="1:18" x14ac:dyDescent="0.3">
      <c r="A320" t="s">
        <v>0</v>
      </c>
      <c r="B320" t="s">
        <v>0</v>
      </c>
      <c r="C320">
        <v>0</v>
      </c>
      <c r="D320">
        <v>27</v>
      </c>
      <c r="E320">
        <v>3</v>
      </c>
      <c r="F320">
        <v>20260202</v>
      </c>
      <c r="G320">
        <v>20260303</v>
      </c>
      <c r="H320">
        <v>126.6388</v>
      </c>
      <c r="I320">
        <f t="shared" si="43"/>
        <v>30</v>
      </c>
      <c r="J320">
        <f t="shared" si="44"/>
        <v>4.2212933333333336</v>
      </c>
      <c r="K320">
        <f t="shared" si="45"/>
        <v>0</v>
      </c>
      <c r="L320">
        <f t="shared" si="46"/>
        <v>113.97492000000001</v>
      </c>
      <c r="M320">
        <f t="shared" si="47"/>
        <v>9.3366740771683876</v>
      </c>
      <c r="N320">
        <f t="shared" si="48"/>
        <v>123.31159407716839</v>
      </c>
      <c r="O320">
        <f t="shared" si="49"/>
        <v>0</v>
      </c>
      <c r="P320">
        <f t="shared" si="50"/>
        <v>117.05020283707812</v>
      </c>
      <c r="Q320">
        <f t="shared" si="51"/>
        <v>9.5885971629218858</v>
      </c>
      <c r="R320">
        <f t="shared" si="52"/>
        <v>126.6388</v>
      </c>
    </row>
    <row r="321" spans="1:18" x14ac:dyDescent="0.3">
      <c r="A321" t="s">
        <v>0</v>
      </c>
      <c r="B321" t="s">
        <v>0</v>
      </c>
      <c r="C321">
        <v>3</v>
      </c>
      <c r="D321">
        <v>28</v>
      </c>
      <c r="E321">
        <v>4</v>
      </c>
      <c r="F321">
        <v>20260129</v>
      </c>
      <c r="G321">
        <v>20260304</v>
      </c>
      <c r="H321">
        <v>464.16849999999999</v>
      </c>
      <c r="I321">
        <f t="shared" si="43"/>
        <v>35</v>
      </c>
      <c r="J321">
        <f t="shared" si="44"/>
        <v>13.261957142857142</v>
      </c>
      <c r="K321">
        <f t="shared" si="45"/>
        <v>48.254076720408207</v>
      </c>
      <c r="L321">
        <f t="shared" si="46"/>
        <v>371.33479999999997</v>
      </c>
      <c r="M321">
        <f t="shared" si="47"/>
        <v>39.110468977353669</v>
      </c>
      <c r="N321">
        <f t="shared" si="48"/>
        <v>458.69934569776183</v>
      </c>
      <c r="O321">
        <f t="shared" si="49"/>
        <v>48.829418703716463</v>
      </c>
      <c r="P321">
        <f t="shared" si="50"/>
        <v>375.76229120538073</v>
      </c>
      <c r="Q321">
        <f t="shared" si="51"/>
        <v>39.576790090902819</v>
      </c>
      <c r="R321">
        <f t="shared" si="52"/>
        <v>464.16849999999999</v>
      </c>
    </row>
    <row r="322" spans="1:18" x14ac:dyDescent="0.3">
      <c r="A322" t="s">
        <v>0</v>
      </c>
      <c r="B322" t="s">
        <v>0</v>
      </c>
      <c r="C322">
        <v>2</v>
      </c>
      <c r="D322">
        <v>28</v>
      </c>
      <c r="E322">
        <v>6</v>
      </c>
      <c r="F322">
        <v>20260130</v>
      </c>
      <c r="G322">
        <v>20260306</v>
      </c>
      <c r="H322">
        <v>337.7509</v>
      </c>
      <c r="I322">
        <f t="shared" si="43"/>
        <v>36</v>
      </c>
      <c r="J322">
        <f t="shared" si="44"/>
        <v>9.3819694444444437</v>
      </c>
      <c r="K322">
        <f t="shared" si="45"/>
        <v>22.757740730828242</v>
      </c>
      <c r="L322">
        <f t="shared" si="46"/>
        <v>262.6951444444444</v>
      </c>
      <c r="M322">
        <f t="shared" si="47"/>
        <v>41.502157745365714</v>
      </c>
      <c r="N322">
        <f t="shared" si="48"/>
        <v>326.95504292063833</v>
      </c>
      <c r="O322">
        <f t="shared" si="49"/>
        <v>23.509187517470483</v>
      </c>
      <c r="P322">
        <f t="shared" si="50"/>
        <v>271.36917867719632</v>
      </c>
      <c r="Q322">
        <f t="shared" si="51"/>
        <v>42.872533805333227</v>
      </c>
      <c r="R322">
        <f t="shared" si="52"/>
        <v>337.7509</v>
      </c>
    </row>
    <row r="323" spans="1:18" x14ac:dyDescent="0.3">
      <c r="A323" t="s">
        <v>0</v>
      </c>
      <c r="B323" t="s">
        <v>0</v>
      </c>
      <c r="C323">
        <v>2</v>
      </c>
      <c r="D323">
        <v>28</v>
      </c>
      <c r="E323">
        <v>5</v>
      </c>
      <c r="F323">
        <v>20260130</v>
      </c>
      <c r="G323">
        <v>20260305</v>
      </c>
      <c r="H323">
        <v>844.2192</v>
      </c>
      <c r="I323">
        <f t="shared" si="43"/>
        <v>35</v>
      </c>
      <c r="J323">
        <f t="shared" si="44"/>
        <v>24.120548571428571</v>
      </c>
      <c r="K323">
        <f t="shared" si="45"/>
        <v>58.5089510176321</v>
      </c>
      <c r="L323">
        <f t="shared" si="46"/>
        <v>675.37536</v>
      </c>
      <c r="M323">
        <f t="shared" si="47"/>
        <v>88.916548709375846</v>
      </c>
      <c r="N323">
        <f t="shared" si="48"/>
        <v>822.80085972700795</v>
      </c>
      <c r="O323">
        <f t="shared" si="49"/>
        <v>60.031998310420839</v>
      </c>
      <c r="P323">
        <f t="shared" si="50"/>
        <v>692.95606510192943</v>
      </c>
      <c r="Q323">
        <f t="shared" si="51"/>
        <v>91.231136587649758</v>
      </c>
      <c r="R323">
        <f t="shared" si="52"/>
        <v>844.2192</v>
      </c>
    </row>
    <row r="324" spans="1:18" x14ac:dyDescent="0.3">
      <c r="A324" t="s">
        <v>0</v>
      </c>
      <c r="B324" t="s">
        <v>0</v>
      </c>
      <c r="C324">
        <v>0</v>
      </c>
      <c r="D324">
        <v>24</v>
      </c>
      <c r="E324">
        <v>2</v>
      </c>
      <c r="F324">
        <v>20260205</v>
      </c>
      <c r="G324">
        <v>20260302</v>
      </c>
      <c r="H324">
        <v>253.20650000000001</v>
      </c>
      <c r="I324">
        <f t="shared" si="43"/>
        <v>26</v>
      </c>
      <c r="J324">
        <f t="shared" si="44"/>
        <v>9.7387115384615388</v>
      </c>
      <c r="K324">
        <f t="shared" si="45"/>
        <v>0</v>
      </c>
      <c r="L324">
        <f t="shared" si="46"/>
        <v>233.72907692307695</v>
      </c>
      <c r="M324">
        <f t="shared" si="47"/>
        <v>14.3600816757857</v>
      </c>
      <c r="N324">
        <f t="shared" si="48"/>
        <v>248.08915859886264</v>
      </c>
      <c r="O324">
        <f t="shared" si="49"/>
        <v>0</v>
      </c>
      <c r="P324">
        <f t="shared" si="50"/>
        <v>238.55021255328003</v>
      </c>
      <c r="Q324">
        <f t="shared" si="51"/>
        <v>14.656287446719977</v>
      </c>
      <c r="R324">
        <f t="shared" si="52"/>
        <v>253.20650000000001</v>
      </c>
    </row>
    <row r="325" spans="1:18" x14ac:dyDescent="0.3">
      <c r="A325" t="s">
        <v>0</v>
      </c>
      <c r="B325" t="s">
        <v>0</v>
      </c>
      <c r="C325">
        <v>0</v>
      </c>
      <c r="D325">
        <v>15</v>
      </c>
      <c r="E325">
        <v>7</v>
      </c>
      <c r="F325">
        <v>20260214</v>
      </c>
      <c r="G325">
        <v>20260307</v>
      </c>
      <c r="H325">
        <v>42.280099999999997</v>
      </c>
      <c r="I325">
        <f t="shared" si="43"/>
        <v>22</v>
      </c>
      <c r="J325">
        <f t="shared" si="44"/>
        <v>1.9218227272727271</v>
      </c>
      <c r="K325">
        <f t="shared" si="45"/>
        <v>0</v>
      </c>
      <c r="L325">
        <f t="shared" si="46"/>
        <v>28.827340909090907</v>
      </c>
      <c r="M325">
        <f t="shared" si="47"/>
        <v>9.918289423974505</v>
      </c>
      <c r="N325">
        <f t="shared" si="48"/>
        <v>38.745630333065414</v>
      </c>
      <c r="O325">
        <f t="shared" si="49"/>
        <v>0</v>
      </c>
      <c r="P325">
        <f t="shared" si="50"/>
        <v>31.457040339599647</v>
      </c>
      <c r="Q325">
        <f t="shared" si="51"/>
        <v>10.823059660400348</v>
      </c>
      <c r="R325">
        <f t="shared" si="52"/>
        <v>42.280099999999997</v>
      </c>
    </row>
    <row r="326" spans="1:18" x14ac:dyDescent="0.3">
      <c r="A326" t="s">
        <v>0</v>
      </c>
      <c r="B326" t="s">
        <v>0</v>
      </c>
      <c r="C326">
        <v>27</v>
      </c>
      <c r="D326">
        <v>7</v>
      </c>
      <c r="E326">
        <v>0</v>
      </c>
      <c r="F326">
        <v>20260105</v>
      </c>
      <c r="G326">
        <v>20260207</v>
      </c>
      <c r="H326">
        <v>126.07850000000001</v>
      </c>
      <c r="I326">
        <f t="shared" si="43"/>
        <v>34</v>
      </c>
      <c r="J326">
        <f t="shared" si="44"/>
        <v>3.7081911764705886</v>
      </c>
      <c r="K326">
        <f t="shared" si="45"/>
        <v>121.43140385410913</v>
      </c>
      <c r="L326">
        <f t="shared" si="46"/>
        <v>25.95733823529412</v>
      </c>
      <c r="M326">
        <f t="shared" si="47"/>
        <v>0</v>
      </c>
      <c r="N326">
        <f t="shared" si="48"/>
        <v>147.38874208940325</v>
      </c>
      <c r="O326">
        <f t="shared" si="49"/>
        <v>103.87421070147683</v>
      </c>
      <c r="P326">
        <f t="shared" si="50"/>
        <v>22.204289298523182</v>
      </c>
      <c r="Q326">
        <f t="shared" si="51"/>
        <v>0</v>
      </c>
      <c r="R326">
        <f t="shared" si="52"/>
        <v>126.07850000000001</v>
      </c>
    </row>
    <row r="327" spans="1:18" x14ac:dyDescent="0.3">
      <c r="A327" t="s">
        <v>0</v>
      </c>
      <c r="B327" t="s">
        <v>0</v>
      </c>
      <c r="C327">
        <v>29</v>
      </c>
      <c r="D327">
        <v>7</v>
      </c>
      <c r="E327">
        <v>0</v>
      </c>
      <c r="F327">
        <v>20260103</v>
      </c>
      <c r="G327">
        <v>20260207</v>
      </c>
      <c r="H327">
        <v>462.2226</v>
      </c>
      <c r="I327">
        <f t="shared" si="43"/>
        <v>36</v>
      </c>
      <c r="J327">
        <f t="shared" si="44"/>
        <v>12.839516666666666</v>
      </c>
      <c r="K327">
        <f t="shared" si="45"/>
        <v>451.59779090322274</v>
      </c>
      <c r="L327">
        <f t="shared" si="46"/>
        <v>89.876616666666663</v>
      </c>
      <c r="M327">
        <f t="shared" si="47"/>
        <v>0</v>
      </c>
      <c r="N327">
        <f t="shared" si="48"/>
        <v>541.47440756988942</v>
      </c>
      <c r="O327">
        <f t="shared" si="49"/>
        <v>385.50059272857055</v>
      </c>
      <c r="P327">
        <f t="shared" si="50"/>
        <v>76.722007271429419</v>
      </c>
      <c r="Q327">
        <f t="shared" si="51"/>
        <v>0</v>
      </c>
      <c r="R327">
        <f t="shared" si="52"/>
        <v>462.22259999999994</v>
      </c>
    </row>
    <row r="328" spans="1:18" x14ac:dyDescent="0.3">
      <c r="A328" t="s">
        <v>0</v>
      </c>
      <c r="B328" t="s">
        <v>0</v>
      </c>
      <c r="C328">
        <v>24</v>
      </c>
      <c r="D328">
        <v>5</v>
      </c>
      <c r="E328">
        <v>0</v>
      </c>
      <c r="F328">
        <v>20260108</v>
      </c>
      <c r="G328">
        <v>20260205</v>
      </c>
      <c r="H328">
        <v>42.036999999999999</v>
      </c>
      <c r="I328">
        <f t="shared" si="43"/>
        <v>29</v>
      </c>
      <c r="J328">
        <f t="shared" si="44"/>
        <v>1.449551724137931</v>
      </c>
      <c r="K328">
        <f t="shared" si="45"/>
        <v>42.193941273245557</v>
      </c>
      <c r="L328">
        <f t="shared" si="46"/>
        <v>7.2477586206896554</v>
      </c>
      <c r="M328">
        <f t="shared" si="47"/>
        <v>0</v>
      </c>
      <c r="N328">
        <f t="shared" si="48"/>
        <v>49.441699893935208</v>
      </c>
      <c r="O328">
        <f t="shared" si="49"/>
        <v>35.874711288415796</v>
      </c>
      <c r="P328">
        <f t="shared" si="50"/>
        <v>6.1622887115842078</v>
      </c>
      <c r="Q328">
        <f t="shared" si="51"/>
        <v>0</v>
      </c>
      <c r="R328">
        <f t="shared" si="52"/>
        <v>42.037000000000006</v>
      </c>
    </row>
    <row r="329" spans="1:18" x14ac:dyDescent="0.3">
      <c r="A329" t="s">
        <v>0</v>
      </c>
      <c r="B329" t="s">
        <v>0</v>
      </c>
      <c r="C329">
        <v>25</v>
      </c>
      <c r="D329">
        <v>5</v>
      </c>
      <c r="E329">
        <v>0</v>
      </c>
      <c r="F329">
        <v>20260107</v>
      </c>
      <c r="G329">
        <v>20260205</v>
      </c>
      <c r="H329">
        <v>168.13229999999999</v>
      </c>
      <c r="I329">
        <f t="shared" si="43"/>
        <v>30</v>
      </c>
      <c r="J329">
        <f t="shared" si="44"/>
        <v>5.6044099999999997</v>
      </c>
      <c r="K329">
        <f t="shared" si="45"/>
        <v>169.93195096791007</v>
      </c>
      <c r="L329">
        <f t="shared" si="46"/>
        <v>28.02205</v>
      </c>
      <c r="M329">
        <f t="shared" si="47"/>
        <v>0</v>
      </c>
      <c r="N329">
        <f t="shared" si="48"/>
        <v>197.95400096791008</v>
      </c>
      <c r="O329">
        <f t="shared" si="49"/>
        <v>144.33176202563109</v>
      </c>
      <c r="P329">
        <f t="shared" si="50"/>
        <v>23.80053797436889</v>
      </c>
      <c r="Q329">
        <f t="shared" si="51"/>
        <v>0</v>
      </c>
      <c r="R329">
        <f t="shared" si="52"/>
        <v>168.13229999999999</v>
      </c>
    </row>
    <row r="330" spans="1:18" x14ac:dyDescent="0.3">
      <c r="A330" t="s">
        <v>0</v>
      </c>
      <c r="B330" t="s">
        <v>0</v>
      </c>
      <c r="C330">
        <v>30</v>
      </c>
      <c r="D330">
        <v>27</v>
      </c>
      <c r="E330">
        <v>0</v>
      </c>
      <c r="F330">
        <v>20260102</v>
      </c>
      <c r="G330">
        <v>20260227</v>
      </c>
      <c r="H330">
        <v>7740.9973</v>
      </c>
      <c r="I330">
        <f t="shared" si="43"/>
        <v>57</v>
      </c>
      <c r="J330">
        <f t="shared" si="44"/>
        <v>135.80697017543861</v>
      </c>
      <c r="K330">
        <f t="shared" si="45"/>
        <v>4941.3822465422181</v>
      </c>
      <c r="L330">
        <f t="shared" si="46"/>
        <v>3666.7881947368423</v>
      </c>
      <c r="M330">
        <f t="shared" si="47"/>
        <v>0</v>
      </c>
      <c r="N330">
        <f t="shared" si="48"/>
        <v>8608.1704412790605</v>
      </c>
      <c r="O330">
        <f t="shared" si="49"/>
        <v>4443.5954062112669</v>
      </c>
      <c r="P330">
        <f t="shared" si="50"/>
        <v>3297.4018937887331</v>
      </c>
      <c r="Q330">
        <f t="shared" si="51"/>
        <v>0</v>
      </c>
      <c r="R330">
        <f t="shared" si="52"/>
        <v>7740.9973</v>
      </c>
    </row>
    <row r="331" spans="1:18" x14ac:dyDescent="0.3">
      <c r="A331" t="s">
        <v>0</v>
      </c>
      <c r="B331" t="s">
        <v>0</v>
      </c>
      <c r="C331">
        <v>25</v>
      </c>
      <c r="D331">
        <v>23</v>
      </c>
      <c r="E331">
        <v>0</v>
      </c>
      <c r="F331">
        <v>20260107</v>
      </c>
      <c r="G331">
        <v>20260223</v>
      </c>
      <c r="H331">
        <v>252.4357</v>
      </c>
      <c r="I331">
        <f t="shared" ref="I331:I394" si="53">IF(C331&lt;0,0,C331)+D331+E331</f>
        <v>48</v>
      </c>
      <c r="J331">
        <f t="shared" ref="J331:J394" si="54">H331/I331</f>
        <v>5.2590770833333336</v>
      </c>
      <c r="K331">
        <f t="shared" ref="K331:K394" si="55">IF(C331&lt;0,0,C331)*$J331*$B$6</f>
        <v>159.46107245213318</v>
      </c>
      <c r="L331">
        <f t="shared" ref="L331:L394" si="56">IF(D331&lt;0,0,D331)*$J331*$C$6</f>
        <v>120.95877291666667</v>
      </c>
      <c r="M331">
        <f t="shared" ref="M331:M394" si="57">IF(E331&lt;0,0,E331)*$J331*$D$6</f>
        <v>0</v>
      </c>
      <c r="N331">
        <f t="shared" ref="N331:N394" si="58">K331+L331+M331</f>
        <v>280.41984536879988</v>
      </c>
      <c r="O331">
        <f t="shared" ref="O331:O394" si="59">K331/$N331*$H331</f>
        <v>143.54785551737442</v>
      </c>
      <c r="P331">
        <f t="shared" ref="P331:P394" si="60">L331/$N331*$H331</f>
        <v>108.88784448262558</v>
      </c>
      <c r="Q331">
        <f t="shared" ref="Q331:Q394" si="61">M331/$N331*$H331</f>
        <v>0</v>
      </c>
      <c r="R331">
        <f t="shared" ref="R331:R394" si="62">O331+P331+Q331</f>
        <v>252.4357</v>
      </c>
    </row>
    <row r="332" spans="1:18" x14ac:dyDescent="0.3">
      <c r="A332" t="s">
        <v>0</v>
      </c>
      <c r="B332" t="s">
        <v>0</v>
      </c>
      <c r="C332">
        <v>26</v>
      </c>
      <c r="D332">
        <v>21</v>
      </c>
      <c r="E332">
        <v>0</v>
      </c>
      <c r="F332">
        <v>20260106</v>
      </c>
      <c r="G332">
        <v>20260221</v>
      </c>
      <c r="H332">
        <v>378.58240000000001</v>
      </c>
      <c r="I332">
        <f t="shared" si="53"/>
        <v>47</v>
      </c>
      <c r="J332">
        <f t="shared" si="54"/>
        <v>8.0549446808510634</v>
      </c>
      <c r="K332">
        <f t="shared" si="55"/>
        <v>254.00428647044657</v>
      </c>
      <c r="L332">
        <f t="shared" si="56"/>
        <v>169.15383829787234</v>
      </c>
      <c r="M332">
        <f t="shared" si="57"/>
        <v>0</v>
      </c>
      <c r="N332">
        <f t="shared" si="58"/>
        <v>423.15812476831888</v>
      </c>
      <c r="O332">
        <f t="shared" si="59"/>
        <v>227.24732612641697</v>
      </c>
      <c r="P332">
        <f t="shared" si="60"/>
        <v>151.3350738735831</v>
      </c>
      <c r="Q332">
        <f t="shared" si="61"/>
        <v>0</v>
      </c>
      <c r="R332">
        <f t="shared" si="62"/>
        <v>378.58240000000006</v>
      </c>
    </row>
    <row r="333" spans="1:18" x14ac:dyDescent="0.3">
      <c r="A333" t="s">
        <v>0</v>
      </c>
      <c r="B333" t="s">
        <v>0</v>
      </c>
      <c r="C333">
        <v>30</v>
      </c>
      <c r="D333">
        <v>21</v>
      </c>
      <c r="E333">
        <v>0</v>
      </c>
      <c r="F333">
        <v>20260102</v>
      </c>
      <c r="G333">
        <v>20260221</v>
      </c>
      <c r="H333">
        <v>1387.7443000000001</v>
      </c>
      <c r="I333">
        <f t="shared" si="53"/>
        <v>51</v>
      </c>
      <c r="J333">
        <f t="shared" si="54"/>
        <v>27.210672549019609</v>
      </c>
      <c r="K333">
        <f t="shared" si="55"/>
        <v>990.06946459745609</v>
      </c>
      <c r="L333">
        <f t="shared" si="56"/>
        <v>571.42412352941176</v>
      </c>
      <c r="M333">
        <f t="shared" si="57"/>
        <v>0</v>
      </c>
      <c r="N333">
        <f t="shared" si="58"/>
        <v>1561.493588126868</v>
      </c>
      <c r="O333">
        <f t="shared" si="59"/>
        <v>879.90323274227887</v>
      </c>
      <c r="P333">
        <f t="shared" si="60"/>
        <v>507.84106725772114</v>
      </c>
      <c r="Q333">
        <f t="shared" si="61"/>
        <v>0</v>
      </c>
      <c r="R333">
        <f t="shared" si="62"/>
        <v>1387.7443000000001</v>
      </c>
    </row>
    <row r="334" spans="1:18" x14ac:dyDescent="0.3">
      <c r="A334" t="s">
        <v>0</v>
      </c>
      <c r="B334" t="s">
        <v>0</v>
      </c>
      <c r="C334">
        <v>25</v>
      </c>
      <c r="D334">
        <v>14</v>
      </c>
      <c r="E334">
        <v>0</v>
      </c>
      <c r="F334">
        <v>20260107</v>
      </c>
      <c r="G334">
        <v>20260214</v>
      </c>
      <c r="H334">
        <v>42.0608</v>
      </c>
      <c r="I334">
        <f t="shared" si="53"/>
        <v>39</v>
      </c>
      <c r="J334">
        <f t="shared" si="54"/>
        <v>1.0784820512820512</v>
      </c>
      <c r="K334">
        <f t="shared" si="55"/>
        <v>32.700776541729212</v>
      </c>
      <c r="L334">
        <f t="shared" si="56"/>
        <v>15.098748717948716</v>
      </c>
      <c r="M334">
        <f t="shared" si="57"/>
        <v>0</v>
      </c>
      <c r="N334">
        <f t="shared" si="58"/>
        <v>47.799525259677928</v>
      </c>
      <c r="O334">
        <f t="shared" si="59"/>
        <v>28.774779968926236</v>
      </c>
      <c r="P334">
        <f t="shared" si="60"/>
        <v>13.286020031073766</v>
      </c>
      <c r="Q334">
        <f t="shared" si="61"/>
        <v>0</v>
      </c>
      <c r="R334">
        <f t="shared" si="62"/>
        <v>42.0608</v>
      </c>
    </row>
    <row r="335" spans="1:18" x14ac:dyDescent="0.3">
      <c r="A335" t="s">
        <v>0</v>
      </c>
      <c r="B335" t="s">
        <v>0</v>
      </c>
      <c r="C335">
        <v>27</v>
      </c>
      <c r="D335">
        <v>20</v>
      </c>
      <c r="E335">
        <v>0</v>
      </c>
      <c r="F335">
        <v>20260105</v>
      </c>
      <c r="G335">
        <v>20260220</v>
      </c>
      <c r="H335">
        <v>168.239</v>
      </c>
      <c r="I335">
        <f t="shared" si="53"/>
        <v>47</v>
      </c>
      <c r="J335">
        <f t="shared" si="54"/>
        <v>3.5795531914893619</v>
      </c>
      <c r="K335">
        <f t="shared" si="55"/>
        <v>117.21892117404902</v>
      </c>
      <c r="L335">
        <f t="shared" si="56"/>
        <v>71.591063829787231</v>
      </c>
      <c r="M335">
        <f t="shared" si="57"/>
        <v>0</v>
      </c>
      <c r="N335">
        <f t="shared" si="58"/>
        <v>188.80998500383623</v>
      </c>
      <c r="O335">
        <f t="shared" si="59"/>
        <v>104.44783457294457</v>
      </c>
      <c r="P335">
        <f t="shared" si="60"/>
        <v>63.791165427055446</v>
      </c>
      <c r="Q335">
        <f t="shared" si="61"/>
        <v>0</v>
      </c>
      <c r="R335">
        <f t="shared" si="62"/>
        <v>168.23900000000003</v>
      </c>
    </row>
    <row r="336" spans="1:18" x14ac:dyDescent="0.3">
      <c r="A336" t="s">
        <v>0</v>
      </c>
      <c r="B336" t="s">
        <v>0</v>
      </c>
      <c r="C336">
        <v>27</v>
      </c>
      <c r="D336">
        <v>19</v>
      </c>
      <c r="E336">
        <v>0</v>
      </c>
      <c r="F336">
        <v>20260105</v>
      </c>
      <c r="G336">
        <v>20260219</v>
      </c>
      <c r="H336">
        <v>210.2988</v>
      </c>
      <c r="I336">
        <f t="shared" si="53"/>
        <v>46</v>
      </c>
      <c r="J336">
        <f t="shared" si="54"/>
        <v>4.5717130434782609</v>
      </c>
      <c r="K336">
        <f t="shared" si="55"/>
        <v>149.70898383294568</v>
      </c>
      <c r="L336">
        <f t="shared" si="56"/>
        <v>86.862547826086953</v>
      </c>
      <c r="M336">
        <f t="shared" si="57"/>
        <v>0</v>
      </c>
      <c r="N336">
        <f t="shared" si="58"/>
        <v>236.57153165903264</v>
      </c>
      <c r="O336">
        <f t="shared" si="59"/>
        <v>133.08287530836463</v>
      </c>
      <c r="P336">
        <f t="shared" si="60"/>
        <v>77.215924691635351</v>
      </c>
      <c r="Q336">
        <f t="shared" si="61"/>
        <v>0</v>
      </c>
      <c r="R336">
        <f t="shared" si="62"/>
        <v>210.29879999999997</v>
      </c>
    </row>
    <row r="337" spans="1:18" x14ac:dyDescent="0.3">
      <c r="A337" t="s">
        <v>0</v>
      </c>
      <c r="B337" t="s">
        <v>0</v>
      </c>
      <c r="C337">
        <v>28</v>
      </c>
      <c r="D337">
        <v>13</v>
      </c>
      <c r="E337">
        <v>0</v>
      </c>
      <c r="F337">
        <v>20260104</v>
      </c>
      <c r="G337">
        <v>20260213</v>
      </c>
      <c r="H337">
        <v>252.29929999999999</v>
      </c>
      <c r="I337">
        <f t="shared" si="53"/>
        <v>41</v>
      </c>
      <c r="J337">
        <f t="shared" si="54"/>
        <v>6.1536414634146341</v>
      </c>
      <c r="K337">
        <f t="shared" si="55"/>
        <v>208.97549168731103</v>
      </c>
      <c r="L337">
        <f t="shared" si="56"/>
        <v>79.997339024390243</v>
      </c>
      <c r="M337">
        <f t="shared" si="57"/>
        <v>0</v>
      </c>
      <c r="N337">
        <f t="shared" si="58"/>
        <v>288.97283071170125</v>
      </c>
      <c r="O337">
        <f t="shared" si="59"/>
        <v>182.45442016127035</v>
      </c>
      <c r="P337">
        <f t="shared" si="60"/>
        <v>69.844879838729653</v>
      </c>
      <c r="Q337">
        <f t="shared" si="61"/>
        <v>0</v>
      </c>
      <c r="R337">
        <f t="shared" si="62"/>
        <v>252.29930000000002</v>
      </c>
    </row>
    <row r="338" spans="1:18" x14ac:dyDescent="0.3">
      <c r="A338" t="s">
        <v>0</v>
      </c>
      <c r="B338" t="s">
        <v>0</v>
      </c>
      <c r="C338">
        <v>29</v>
      </c>
      <c r="D338">
        <v>28</v>
      </c>
      <c r="E338">
        <v>2</v>
      </c>
      <c r="F338">
        <v>20260103</v>
      </c>
      <c r="G338">
        <v>20260302</v>
      </c>
      <c r="H338">
        <v>535141.77670000005</v>
      </c>
      <c r="I338">
        <f t="shared" si="53"/>
        <v>59</v>
      </c>
      <c r="J338">
        <f t="shared" si="54"/>
        <v>9070.1996050847465</v>
      </c>
      <c r="K338">
        <f t="shared" si="55"/>
        <v>319021.51857021271</v>
      </c>
      <c r="L338">
        <f t="shared" si="56"/>
        <v>253965.58894237291</v>
      </c>
      <c r="M338">
        <f t="shared" si="57"/>
        <v>13374.336700527436</v>
      </c>
      <c r="N338">
        <f t="shared" si="58"/>
        <v>586361.44421311305</v>
      </c>
      <c r="O338">
        <f t="shared" si="59"/>
        <v>291154.44737725094</v>
      </c>
      <c r="P338">
        <f t="shared" si="60"/>
        <v>231781.26363623547</v>
      </c>
      <c r="Q338">
        <f t="shared" si="61"/>
        <v>12206.065686513652</v>
      </c>
      <c r="R338">
        <f t="shared" si="62"/>
        <v>535141.77670000005</v>
      </c>
    </row>
    <row r="339" spans="1:18" x14ac:dyDescent="0.3">
      <c r="A339" t="s">
        <v>0</v>
      </c>
      <c r="B339" t="s">
        <v>0</v>
      </c>
      <c r="C339">
        <v>29</v>
      </c>
      <c r="D339">
        <v>28</v>
      </c>
      <c r="E339">
        <v>3</v>
      </c>
      <c r="F339">
        <v>20260103</v>
      </c>
      <c r="G339">
        <v>20260303</v>
      </c>
      <c r="H339">
        <v>361910.27679999999</v>
      </c>
      <c r="I339">
        <f t="shared" si="53"/>
        <v>60</v>
      </c>
      <c r="J339">
        <f t="shared" si="54"/>
        <v>6031.8379466666665</v>
      </c>
      <c r="K339">
        <f t="shared" si="55"/>
        <v>212154.76894646068</v>
      </c>
      <c r="L339">
        <f t="shared" si="56"/>
        <v>168891.46250666666</v>
      </c>
      <c r="M339">
        <f t="shared" si="57"/>
        <v>13341.244151316167</v>
      </c>
      <c r="N339">
        <f t="shared" si="58"/>
        <v>394387.47560444352</v>
      </c>
      <c r="O339">
        <f t="shared" si="59"/>
        <v>194684.15176262395</v>
      </c>
      <c r="P339">
        <f t="shared" si="60"/>
        <v>154983.51171336204</v>
      </c>
      <c r="Q339">
        <f t="shared" si="61"/>
        <v>12242.613324014023</v>
      </c>
      <c r="R339">
        <f t="shared" si="62"/>
        <v>361910.27679999999</v>
      </c>
    </row>
    <row r="340" spans="1:18" x14ac:dyDescent="0.3">
      <c r="A340" t="s">
        <v>0</v>
      </c>
      <c r="B340" t="s">
        <v>0</v>
      </c>
      <c r="C340">
        <v>26</v>
      </c>
      <c r="D340">
        <v>28</v>
      </c>
      <c r="E340">
        <v>4</v>
      </c>
      <c r="F340">
        <v>20260106</v>
      </c>
      <c r="G340">
        <v>20260304</v>
      </c>
      <c r="H340">
        <v>243126.9742</v>
      </c>
      <c r="I340">
        <f t="shared" si="53"/>
        <v>58</v>
      </c>
      <c r="J340">
        <f t="shared" si="54"/>
        <v>4191.8443827586207</v>
      </c>
      <c r="K340">
        <f t="shared" si="55"/>
        <v>132185.44429845232</v>
      </c>
      <c r="L340">
        <f t="shared" si="56"/>
        <v>117371.64271724138</v>
      </c>
      <c r="M340">
        <f t="shared" si="57"/>
        <v>12362.051688432402</v>
      </c>
      <c r="N340">
        <f t="shared" si="58"/>
        <v>261919.13870412612</v>
      </c>
      <c r="O340">
        <f t="shared" si="59"/>
        <v>122701.40801688224</v>
      </c>
      <c r="P340">
        <f t="shared" si="60"/>
        <v>108950.46651387305</v>
      </c>
      <c r="Q340">
        <f t="shared" si="61"/>
        <v>11475.099669244688</v>
      </c>
      <c r="R340">
        <f t="shared" si="62"/>
        <v>243126.97419999997</v>
      </c>
    </row>
    <row r="341" spans="1:18" x14ac:dyDescent="0.3">
      <c r="A341" t="s">
        <v>0</v>
      </c>
      <c r="B341" t="s">
        <v>0</v>
      </c>
      <c r="C341">
        <v>26</v>
      </c>
      <c r="D341">
        <v>28</v>
      </c>
      <c r="E341">
        <v>9</v>
      </c>
      <c r="F341">
        <v>20260106</v>
      </c>
      <c r="G341">
        <v>20260309</v>
      </c>
      <c r="H341">
        <v>13396.375599999999</v>
      </c>
      <c r="I341">
        <f t="shared" si="53"/>
        <v>63</v>
      </c>
      <c r="J341">
        <f t="shared" si="54"/>
        <v>212.64088253968254</v>
      </c>
      <c r="K341">
        <f t="shared" si="55"/>
        <v>6705.4086382914029</v>
      </c>
      <c r="L341">
        <f t="shared" si="56"/>
        <v>5953.9447111111112</v>
      </c>
      <c r="M341">
        <f t="shared" si="57"/>
        <v>1410.9599539627789</v>
      </c>
      <c r="N341">
        <f t="shared" si="58"/>
        <v>14070.313303365292</v>
      </c>
      <c r="O341">
        <f t="shared" si="59"/>
        <v>6384.2340062570856</v>
      </c>
      <c r="P341">
        <f t="shared" si="60"/>
        <v>5668.7635827271088</v>
      </c>
      <c r="Q341">
        <f t="shared" si="61"/>
        <v>1343.3780110158054</v>
      </c>
      <c r="R341">
        <f t="shared" si="62"/>
        <v>13396.375600000001</v>
      </c>
    </row>
    <row r="342" spans="1:18" x14ac:dyDescent="0.3">
      <c r="A342" t="s">
        <v>0</v>
      </c>
      <c r="B342" t="s">
        <v>0</v>
      </c>
      <c r="C342">
        <v>26</v>
      </c>
      <c r="D342">
        <v>28</v>
      </c>
      <c r="E342">
        <v>2</v>
      </c>
      <c r="F342">
        <v>20260106</v>
      </c>
      <c r="G342">
        <v>20260302</v>
      </c>
      <c r="H342">
        <v>150838.23370000001</v>
      </c>
      <c r="I342">
        <f t="shared" si="53"/>
        <v>56</v>
      </c>
      <c r="J342">
        <f t="shared" si="54"/>
        <v>2693.5398875000001</v>
      </c>
      <c r="K342">
        <f t="shared" si="55"/>
        <v>84937.973420301234</v>
      </c>
      <c r="L342">
        <f t="shared" si="56"/>
        <v>75419.116850000006</v>
      </c>
      <c r="M342">
        <f t="shared" si="57"/>
        <v>3971.7217856518391</v>
      </c>
      <c r="N342">
        <f t="shared" si="58"/>
        <v>164328.81205595308</v>
      </c>
      <c r="O342">
        <f t="shared" si="59"/>
        <v>77964.988150790057</v>
      </c>
      <c r="P342">
        <f t="shared" si="60"/>
        <v>69227.582373043711</v>
      </c>
      <c r="Q342">
        <f t="shared" si="61"/>
        <v>3645.6631761662552</v>
      </c>
      <c r="R342">
        <f t="shared" si="62"/>
        <v>150838.23370000001</v>
      </c>
    </row>
    <row r="343" spans="1:18" x14ac:dyDescent="0.3">
      <c r="A343" t="s">
        <v>0</v>
      </c>
      <c r="B343" t="s">
        <v>0</v>
      </c>
      <c r="C343">
        <v>27</v>
      </c>
      <c r="D343">
        <v>28</v>
      </c>
      <c r="E343">
        <v>9</v>
      </c>
      <c r="F343">
        <v>20260105</v>
      </c>
      <c r="G343">
        <v>20260309</v>
      </c>
      <c r="H343">
        <v>5897.2215999999999</v>
      </c>
      <c r="I343">
        <f t="shared" si="53"/>
        <v>64</v>
      </c>
      <c r="J343">
        <f t="shared" si="54"/>
        <v>92.144087499999998</v>
      </c>
      <c r="K343">
        <f t="shared" si="55"/>
        <v>3017.4242290902057</v>
      </c>
      <c r="L343">
        <f t="shared" si="56"/>
        <v>2580.0344500000001</v>
      </c>
      <c r="M343">
        <f t="shared" si="57"/>
        <v>611.41402304272231</v>
      </c>
      <c r="N343">
        <f t="shared" si="58"/>
        <v>6208.8727021329278</v>
      </c>
      <c r="O343">
        <f t="shared" si="59"/>
        <v>2865.9662057560317</v>
      </c>
      <c r="P343">
        <f t="shared" si="60"/>
        <v>2450.5309767515955</v>
      </c>
      <c r="Q343">
        <f t="shared" si="61"/>
        <v>580.72441749237282</v>
      </c>
      <c r="R343">
        <f t="shared" si="62"/>
        <v>5897.2215999999999</v>
      </c>
    </row>
    <row r="344" spans="1:18" x14ac:dyDescent="0.3">
      <c r="A344" t="s">
        <v>0</v>
      </c>
      <c r="B344" t="s">
        <v>0</v>
      </c>
      <c r="C344">
        <v>23</v>
      </c>
      <c r="D344">
        <v>28</v>
      </c>
      <c r="E344">
        <v>5</v>
      </c>
      <c r="F344">
        <v>20260109</v>
      </c>
      <c r="G344">
        <v>20260305</v>
      </c>
      <c r="H344">
        <v>32984.641000000003</v>
      </c>
      <c r="I344">
        <f t="shared" si="53"/>
        <v>56</v>
      </c>
      <c r="J344">
        <f t="shared" si="54"/>
        <v>589.0114464285715</v>
      </c>
      <c r="K344">
        <f t="shared" si="55"/>
        <v>16430.724214558675</v>
      </c>
      <c r="L344">
        <f t="shared" si="56"/>
        <v>16492.320500000002</v>
      </c>
      <c r="M344">
        <f t="shared" si="57"/>
        <v>2171.2965943396098</v>
      </c>
      <c r="N344">
        <f t="shared" si="58"/>
        <v>35094.341308898292</v>
      </c>
      <c r="O344">
        <f t="shared" si="59"/>
        <v>15442.989364493606</v>
      </c>
      <c r="P344">
        <f t="shared" si="60"/>
        <v>15500.882782248123</v>
      </c>
      <c r="Q344">
        <f t="shared" si="61"/>
        <v>2040.768853258269</v>
      </c>
      <c r="R344">
        <f t="shared" si="62"/>
        <v>32984.640999999996</v>
      </c>
    </row>
    <row r="345" spans="1:18" x14ac:dyDescent="0.3">
      <c r="A345" t="s">
        <v>0</v>
      </c>
      <c r="B345" t="s">
        <v>0</v>
      </c>
      <c r="C345">
        <v>15</v>
      </c>
      <c r="D345">
        <v>28</v>
      </c>
      <c r="E345">
        <v>5</v>
      </c>
      <c r="F345">
        <v>20260117</v>
      </c>
      <c r="G345">
        <v>20260305</v>
      </c>
      <c r="H345">
        <v>2276.1900999999998</v>
      </c>
      <c r="I345">
        <f t="shared" si="53"/>
        <v>48</v>
      </c>
      <c r="J345">
        <f t="shared" si="54"/>
        <v>47.420627083333329</v>
      </c>
      <c r="K345">
        <f t="shared" si="55"/>
        <v>862.7077258508084</v>
      </c>
      <c r="L345">
        <f t="shared" si="56"/>
        <v>1327.7775583333332</v>
      </c>
      <c r="M345">
        <f t="shared" si="57"/>
        <v>174.8085656260275</v>
      </c>
      <c r="N345">
        <f t="shared" si="58"/>
        <v>2365.2938498101689</v>
      </c>
      <c r="O345">
        <f t="shared" si="59"/>
        <v>830.20838401652441</v>
      </c>
      <c r="P345">
        <f t="shared" si="60"/>
        <v>1277.7584203852994</v>
      </c>
      <c r="Q345">
        <f t="shared" si="61"/>
        <v>168.22329559817612</v>
      </c>
      <c r="R345">
        <f t="shared" si="62"/>
        <v>2276.1900999999998</v>
      </c>
    </row>
    <row r="346" spans="1:18" x14ac:dyDescent="0.3">
      <c r="A346" t="s">
        <v>0</v>
      </c>
      <c r="B346" t="s">
        <v>0</v>
      </c>
      <c r="C346">
        <v>26</v>
      </c>
      <c r="D346">
        <v>28</v>
      </c>
      <c r="E346">
        <v>0</v>
      </c>
      <c r="F346">
        <v>20260106</v>
      </c>
      <c r="G346">
        <v>20260228</v>
      </c>
      <c r="H346">
        <v>210.43719999999999</v>
      </c>
      <c r="I346">
        <f t="shared" si="53"/>
        <v>54</v>
      </c>
      <c r="J346">
        <f t="shared" si="54"/>
        <v>3.8969851851851849</v>
      </c>
      <c r="K346">
        <f t="shared" si="55"/>
        <v>122.88736677509735</v>
      </c>
      <c r="L346">
        <f t="shared" si="56"/>
        <v>109.11558518518518</v>
      </c>
      <c r="M346">
        <f t="shared" si="57"/>
        <v>0</v>
      </c>
      <c r="N346">
        <f t="shared" si="58"/>
        <v>232.00295196028253</v>
      </c>
      <c r="O346">
        <f t="shared" si="59"/>
        <v>111.46441526292132</v>
      </c>
      <c r="P346">
        <f t="shared" si="60"/>
        <v>98.972784737078683</v>
      </c>
      <c r="Q346">
        <f t="shared" si="61"/>
        <v>0</v>
      </c>
      <c r="R346">
        <f t="shared" si="62"/>
        <v>210.43720000000002</v>
      </c>
    </row>
    <row r="347" spans="1:18" x14ac:dyDescent="0.3">
      <c r="A347" t="s">
        <v>0</v>
      </c>
      <c r="B347" t="s">
        <v>0</v>
      </c>
      <c r="C347">
        <v>28</v>
      </c>
      <c r="D347">
        <v>14</v>
      </c>
      <c r="E347">
        <v>0</v>
      </c>
      <c r="F347">
        <v>20260104</v>
      </c>
      <c r="G347">
        <v>20260214</v>
      </c>
      <c r="H347">
        <v>168.1995</v>
      </c>
      <c r="I347">
        <f t="shared" si="53"/>
        <v>42</v>
      </c>
      <c r="J347">
        <f t="shared" si="54"/>
        <v>4.0047499999999996</v>
      </c>
      <c r="K347">
        <f t="shared" si="55"/>
        <v>135.99989620948259</v>
      </c>
      <c r="L347">
        <f t="shared" si="56"/>
        <v>56.066499999999991</v>
      </c>
      <c r="M347">
        <f t="shared" si="57"/>
        <v>0</v>
      </c>
      <c r="N347">
        <f t="shared" si="58"/>
        <v>192.06639620948258</v>
      </c>
      <c r="O347">
        <f t="shared" si="59"/>
        <v>119.10003516459737</v>
      </c>
      <c r="P347">
        <f t="shared" si="60"/>
        <v>49.099464835402621</v>
      </c>
      <c r="Q347">
        <f t="shared" si="61"/>
        <v>0</v>
      </c>
      <c r="R347">
        <f t="shared" si="62"/>
        <v>168.1995</v>
      </c>
    </row>
    <row r="348" spans="1:18" x14ac:dyDescent="0.3">
      <c r="A348" t="s">
        <v>0</v>
      </c>
      <c r="B348" t="s">
        <v>0</v>
      </c>
      <c r="C348">
        <v>16</v>
      </c>
      <c r="D348">
        <v>28</v>
      </c>
      <c r="E348">
        <v>3</v>
      </c>
      <c r="F348">
        <v>20260116</v>
      </c>
      <c r="G348">
        <v>20260303</v>
      </c>
      <c r="H348">
        <v>1348.3789999999999</v>
      </c>
      <c r="I348">
        <f t="shared" si="53"/>
        <v>47</v>
      </c>
      <c r="J348">
        <f t="shared" si="54"/>
        <v>28.688914893617021</v>
      </c>
      <c r="K348">
        <f t="shared" si="55"/>
        <v>556.7230981630164</v>
      </c>
      <c r="L348">
        <f t="shared" si="56"/>
        <v>803.28961702127663</v>
      </c>
      <c r="M348">
        <f t="shared" si="57"/>
        <v>63.454260776947685</v>
      </c>
      <c r="N348">
        <f t="shared" si="58"/>
        <v>1423.4669759612407</v>
      </c>
      <c r="O348">
        <f t="shared" si="59"/>
        <v>527.35591837038146</v>
      </c>
      <c r="P348">
        <f t="shared" si="60"/>
        <v>760.91603725341668</v>
      </c>
      <c r="Q348">
        <f t="shared" si="61"/>
        <v>60.107044376201706</v>
      </c>
      <c r="R348">
        <f t="shared" si="62"/>
        <v>1348.3789999999997</v>
      </c>
    </row>
    <row r="349" spans="1:18" x14ac:dyDescent="0.3">
      <c r="A349" t="s">
        <v>0</v>
      </c>
      <c r="B349" t="s">
        <v>0</v>
      </c>
      <c r="C349">
        <v>15</v>
      </c>
      <c r="D349">
        <v>28</v>
      </c>
      <c r="E349">
        <v>1</v>
      </c>
      <c r="F349">
        <v>20260117</v>
      </c>
      <c r="G349">
        <v>20260301</v>
      </c>
      <c r="H349">
        <v>3328.2646</v>
      </c>
      <c r="I349">
        <f t="shared" si="53"/>
        <v>44</v>
      </c>
      <c r="J349">
        <f t="shared" si="54"/>
        <v>75.642377272727273</v>
      </c>
      <c r="K349">
        <f t="shared" si="55"/>
        <v>1376.1366580038127</v>
      </c>
      <c r="L349">
        <f t="shared" si="56"/>
        <v>2117.9865636363638</v>
      </c>
      <c r="M349">
        <f t="shared" si="57"/>
        <v>55.768707774999754</v>
      </c>
      <c r="N349">
        <f t="shared" si="58"/>
        <v>3549.8919294151765</v>
      </c>
      <c r="O349">
        <f t="shared" si="59"/>
        <v>1290.2215094618241</v>
      </c>
      <c r="P349">
        <f t="shared" si="60"/>
        <v>1985.7561422124402</v>
      </c>
      <c r="Q349">
        <f t="shared" si="61"/>
        <v>52.286948325735388</v>
      </c>
      <c r="R349">
        <f t="shared" si="62"/>
        <v>3328.2645999999995</v>
      </c>
    </row>
    <row r="350" spans="1:18" x14ac:dyDescent="0.3">
      <c r="A350" t="s">
        <v>0</v>
      </c>
      <c r="B350" t="s">
        <v>0</v>
      </c>
      <c r="C350">
        <v>23</v>
      </c>
      <c r="D350">
        <v>24</v>
      </c>
      <c r="E350">
        <v>0</v>
      </c>
      <c r="F350">
        <v>20260109</v>
      </c>
      <c r="G350">
        <v>20260224</v>
      </c>
      <c r="H350">
        <v>547.09820000000002</v>
      </c>
      <c r="I350">
        <f t="shared" si="53"/>
        <v>47</v>
      </c>
      <c r="J350">
        <f t="shared" si="54"/>
        <v>11.640387234042553</v>
      </c>
      <c r="K350">
        <f t="shared" si="55"/>
        <v>324.71354088772614</v>
      </c>
      <c r="L350">
        <f t="shared" si="56"/>
        <v>279.3692936170213</v>
      </c>
      <c r="M350">
        <f t="shared" si="57"/>
        <v>0</v>
      </c>
      <c r="N350">
        <f t="shared" si="58"/>
        <v>604.08283450474744</v>
      </c>
      <c r="O350">
        <f t="shared" si="59"/>
        <v>294.08250588836296</v>
      </c>
      <c r="P350">
        <f t="shared" si="60"/>
        <v>253.01569411163706</v>
      </c>
      <c r="Q350">
        <f t="shared" si="61"/>
        <v>0</v>
      </c>
      <c r="R350">
        <f t="shared" si="62"/>
        <v>547.09820000000002</v>
      </c>
    </row>
    <row r="351" spans="1:18" x14ac:dyDescent="0.3">
      <c r="A351" t="s">
        <v>0</v>
      </c>
      <c r="B351" t="s">
        <v>0</v>
      </c>
      <c r="C351">
        <v>31</v>
      </c>
      <c r="D351">
        <v>28</v>
      </c>
      <c r="E351">
        <v>4</v>
      </c>
      <c r="F351">
        <v>20251231</v>
      </c>
      <c r="G351">
        <v>20260304</v>
      </c>
      <c r="H351">
        <v>336.70749999999998</v>
      </c>
      <c r="I351">
        <f t="shared" si="53"/>
        <v>63</v>
      </c>
      <c r="J351">
        <f t="shared" si="54"/>
        <v>5.3445634920634921</v>
      </c>
      <c r="K351">
        <f t="shared" si="55"/>
        <v>200.94586327284895</v>
      </c>
      <c r="L351">
        <f t="shared" si="56"/>
        <v>149.64777777777778</v>
      </c>
      <c r="M351">
        <f t="shared" si="57"/>
        <v>15.76150355503361</v>
      </c>
      <c r="N351">
        <f t="shared" si="58"/>
        <v>366.35514460566031</v>
      </c>
      <c r="O351">
        <f t="shared" si="59"/>
        <v>184.68412482857602</v>
      </c>
      <c r="P351">
        <f t="shared" si="60"/>
        <v>137.5373865442713</v>
      </c>
      <c r="Q351">
        <f t="shared" si="61"/>
        <v>14.485988627152702</v>
      </c>
      <c r="R351">
        <f t="shared" si="62"/>
        <v>336.70750000000004</v>
      </c>
    </row>
    <row r="352" spans="1:18" x14ac:dyDescent="0.3">
      <c r="A352" t="s">
        <v>0</v>
      </c>
      <c r="B352" t="s">
        <v>0</v>
      </c>
      <c r="C352">
        <v>13</v>
      </c>
      <c r="D352">
        <v>28</v>
      </c>
      <c r="E352">
        <v>3</v>
      </c>
      <c r="F352">
        <v>20260119</v>
      </c>
      <c r="G352">
        <v>20260303</v>
      </c>
      <c r="H352">
        <v>379.33839999999998</v>
      </c>
      <c r="I352">
        <f t="shared" si="53"/>
        <v>44</v>
      </c>
      <c r="J352">
        <f t="shared" si="54"/>
        <v>8.6213272727272727</v>
      </c>
      <c r="K352">
        <f t="shared" si="55"/>
        <v>135.93228563960281</v>
      </c>
      <c r="L352">
        <f t="shared" si="56"/>
        <v>241.39716363636364</v>
      </c>
      <c r="M352">
        <f t="shared" si="57"/>
        <v>19.068687367076496</v>
      </c>
      <c r="N352">
        <f t="shared" si="58"/>
        <v>396.39813664304296</v>
      </c>
      <c r="O352">
        <f t="shared" si="59"/>
        <v>130.08218499599977</v>
      </c>
      <c r="P352">
        <f t="shared" si="60"/>
        <v>231.00818433164423</v>
      </c>
      <c r="Q352">
        <f t="shared" si="61"/>
        <v>18.248030672355995</v>
      </c>
      <c r="R352">
        <f t="shared" si="62"/>
        <v>379.33839999999998</v>
      </c>
    </row>
    <row r="353" spans="1:18" x14ac:dyDescent="0.3">
      <c r="A353" t="s">
        <v>0</v>
      </c>
      <c r="B353" t="s">
        <v>0</v>
      </c>
      <c r="C353">
        <v>31</v>
      </c>
      <c r="D353">
        <v>28</v>
      </c>
      <c r="E353">
        <v>1</v>
      </c>
      <c r="F353">
        <v>20251231</v>
      </c>
      <c r="G353">
        <v>20260301</v>
      </c>
      <c r="H353">
        <v>462.83139999999997</v>
      </c>
      <c r="I353">
        <f t="shared" si="53"/>
        <v>60</v>
      </c>
      <c r="J353">
        <f t="shared" si="54"/>
        <v>7.7138566666666666</v>
      </c>
      <c r="K353">
        <f t="shared" si="55"/>
        <v>290.02697588833138</v>
      </c>
      <c r="L353">
        <f t="shared" si="56"/>
        <v>215.98798666666667</v>
      </c>
      <c r="M353">
        <f t="shared" si="57"/>
        <v>5.6871800407662745</v>
      </c>
      <c r="N353">
        <f t="shared" si="58"/>
        <v>511.70214259576437</v>
      </c>
      <c r="O353">
        <f t="shared" si="59"/>
        <v>262.32759278126537</v>
      </c>
      <c r="P353">
        <f t="shared" si="60"/>
        <v>195.35978830381026</v>
      </c>
      <c r="Q353">
        <f t="shared" si="61"/>
        <v>5.1440189149243167</v>
      </c>
      <c r="R353">
        <f t="shared" si="62"/>
        <v>462.83139999999992</v>
      </c>
    </row>
    <row r="354" spans="1:18" x14ac:dyDescent="0.3">
      <c r="A354" t="s">
        <v>0</v>
      </c>
      <c r="B354" t="s">
        <v>0</v>
      </c>
      <c r="C354">
        <v>31</v>
      </c>
      <c r="D354">
        <v>28</v>
      </c>
      <c r="E354">
        <v>5</v>
      </c>
      <c r="F354">
        <v>20251230</v>
      </c>
      <c r="G354">
        <v>20260305</v>
      </c>
      <c r="H354">
        <v>294.63279999999997</v>
      </c>
      <c r="I354">
        <f t="shared" si="53"/>
        <v>64</v>
      </c>
      <c r="J354">
        <f t="shared" si="54"/>
        <v>4.6036374999999996</v>
      </c>
      <c r="K354">
        <f t="shared" si="55"/>
        <v>173.08839403002276</v>
      </c>
      <c r="L354">
        <f t="shared" si="56"/>
        <v>128.90185</v>
      </c>
      <c r="M354">
        <f t="shared" si="57"/>
        <v>16.970574147469129</v>
      </c>
      <c r="N354">
        <f t="shared" si="58"/>
        <v>318.96081817749183</v>
      </c>
      <c r="O354">
        <f t="shared" si="59"/>
        <v>159.8864665320439</v>
      </c>
      <c r="P354">
        <f t="shared" si="60"/>
        <v>119.0701516496174</v>
      </c>
      <c r="Q354">
        <f t="shared" si="61"/>
        <v>15.676181818338726</v>
      </c>
      <c r="R354">
        <f t="shared" si="62"/>
        <v>294.63279999999997</v>
      </c>
    </row>
    <row r="355" spans="1:18" x14ac:dyDescent="0.3">
      <c r="A355" t="s">
        <v>0</v>
      </c>
      <c r="B355" t="s">
        <v>0</v>
      </c>
      <c r="C355">
        <v>11</v>
      </c>
      <c r="D355">
        <v>28</v>
      </c>
      <c r="E355">
        <v>7</v>
      </c>
      <c r="F355">
        <v>20260121</v>
      </c>
      <c r="G355">
        <v>20260307</v>
      </c>
      <c r="H355">
        <v>253.0523</v>
      </c>
      <c r="I355">
        <f t="shared" si="53"/>
        <v>46</v>
      </c>
      <c r="J355">
        <f t="shared" si="54"/>
        <v>5.501136956521739</v>
      </c>
      <c r="K355">
        <f t="shared" si="55"/>
        <v>73.392262815871874</v>
      </c>
      <c r="L355">
        <f t="shared" si="56"/>
        <v>154.03183478260868</v>
      </c>
      <c r="M355">
        <f t="shared" si="57"/>
        <v>28.390687507964905</v>
      </c>
      <c r="N355">
        <f t="shared" si="58"/>
        <v>255.81478510644547</v>
      </c>
      <c r="O355">
        <f t="shared" si="59"/>
        <v>72.599716627140779</v>
      </c>
      <c r="P355">
        <f t="shared" si="60"/>
        <v>152.36848037825567</v>
      </c>
      <c r="Q355">
        <f t="shared" si="61"/>
        <v>28.084102994603548</v>
      </c>
      <c r="R355">
        <f t="shared" si="62"/>
        <v>253.0523</v>
      </c>
    </row>
    <row r="356" spans="1:18" x14ac:dyDescent="0.3">
      <c r="A356" t="s">
        <v>0</v>
      </c>
      <c r="B356" t="s">
        <v>0</v>
      </c>
      <c r="C356">
        <v>8</v>
      </c>
      <c r="D356">
        <v>28</v>
      </c>
      <c r="E356">
        <v>3</v>
      </c>
      <c r="F356">
        <v>20260124</v>
      </c>
      <c r="G356">
        <v>20260303</v>
      </c>
      <c r="H356">
        <v>84.340800000000002</v>
      </c>
      <c r="I356">
        <f t="shared" si="53"/>
        <v>39</v>
      </c>
      <c r="J356">
        <f t="shared" si="54"/>
        <v>2.1625846153846155</v>
      </c>
      <c r="K356">
        <f t="shared" si="55"/>
        <v>20.983031452759249</v>
      </c>
      <c r="L356">
        <f t="shared" si="56"/>
        <v>60.552369230769237</v>
      </c>
      <c r="M356">
        <f t="shared" si="57"/>
        <v>4.7832136086597572</v>
      </c>
      <c r="N356">
        <f t="shared" si="58"/>
        <v>86.318614292188244</v>
      </c>
      <c r="O356">
        <f t="shared" si="59"/>
        <v>20.502248253897605</v>
      </c>
      <c r="P356">
        <f t="shared" si="60"/>
        <v>59.164935682715708</v>
      </c>
      <c r="Q356">
        <f t="shared" si="61"/>
        <v>4.6736160633866897</v>
      </c>
      <c r="R356">
        <f t="shared" si="62"/>
        <v>84.340800000000002</v>
      </c>
    </row>
    <row r="357" spans="1:18" x14ac:dyDescent="0.3">
      <c r="A357" t="s">
        <v>0</v>
      </c>
      <c r="B357" t="s">
        <v>0</v>
      </c>
      <c r="C357">
        <v>29</v>
      </c>
      <c r="D357">
        <v>28</v>
      </c>
      <c r="E357">
        <v>11</v>
      </c>
      <c r="F357">
        <v>20260103</v>
      </c>
      <c r="G357">
        <v>20260311</v>
      </c>
      <c r="H357">
        <v>1010.7626</v>
      </c>
      <c r="I357">
        <f t="shared" si="53"/>
        <v>68</v>
      </c>
      <c r="J357">
        <f t="shared" si="54"/>
        <v>14.864155882352941</v>
      </c>
      <c r="K357">
        <f t="shared" si="55"/>
        <v>522.80939652025313</v>
      </c>
      <c r="L357">
        <f t="shared" si="56"/>
        <v>416.19636470588233</v>
      </c>
      <c r="M357">
        <f t="shared" si="57"/>
        <v>120.54753898199459</v>
      </c>
      <c r="N357">
        <f t="shared" si="58"/>
        <v>1059.5533002081302</v>
      </c>
      <c r="O357">
        <f t="shared" si="59"/>
        <v>498.7348770726685</v>
      </c>
      <c r="P357">
        <f t="shared" si="60"/>
        <v>397.0312013732879</v>
      </c>
      <c r="Q357">
        <f t="shared" si="61"/>
        <v>114.99652155404355</v>
      </c>
      <c r="R357">
        <f t="shared" si="62"/>
        <v>1010.7625999999999</v>
      </c>
    </row>
    <row r="358" spans="1:18" x14ac:dyDescent="0.3">
      <c r="A358" t="s">
        <v>0</v>
      </c>
      <c r="B358" t="s">
        <v>0</v>
      </c>
      <c r="C358">
        <v>27</v>
      </c>
      <c r="D358">
        <v>28</v>
      </c>
      <c r="E358">
        <v>10</v>
      </c>
      <c r="F358">
        <v>20260105</v>
      </c>
      <c r="G358">
        <v>20260310</v>
      </c>
      <c r="H358">
        <v>968.85199999999998</v>
      </c>
      <c r="I358">
        <f t="shared" si="53"/>
        <v>65</v>
      </c>
      <c r="J358">
        <f t="shared" si="54"/>
        <v>14.905415384615385</v>
      </c>
      <c r="K358">
        <f t="shared" si="55"/>
        <v>488.1046928398132</v>
      </c>
      <c r="L358">
        <f t="shared" si="56"/>
        <v>417.35163076923078</v>
      </c>
      <c r="M358">
        <f t="shared" si="57"/>
        <v>109.89286492841477</v>
      </c>
      <c r="N358">
        <f t="shared" si="58"/>
        <v>1015.3491885374586</v>
      </c>
      <c r="O358">
        <f t="shared" si="59"/>
        <v>465.75228818414746</v>
      </c>
      <c r="P358">
        <f t="shared" si="60"/>
        <v>398.23931189276101</v>
      </c>
      <c r="Q358">
        <f t="shared" si="61"/>
        <v>104.86039992309166</v>
      </c>
      <c r="R358">
        <f t="shared" si="62"/>
        <v>968.8520000000002</v>
      </c>
    </row>
    <row r="359" spans="1:18" x14ac:dyDescent="0.3">
      <c r="A359" t="s">
        <v>0</v>
      </c>
      <c r="B359" t="s">
        <v>0</v>
      </c>
      <c r="C359">
        <v>23</v>
      </c>
      <c r="D359">
        <v>28</v>
      </c>
      <c r="E359">
        <v>12</v>
      </c>
      <c r="F359">
        <v>20260109</v>
      </c>
      <c r="G359">
        <v>20260312</v>
      </c>
      <c r="H359">
        <v>126.4135</v>
      </c>
      <c r="I359">
        <f t="shared" si="53"/>
        <v>63</v>
      </c>
      <c r="J359">
        <f t="shared" si="54"/>
        <v>2.006563492063492</v>
      </c>
      <c r="K359">
        <f t="shared" si="55"/>
        <v>55.973939992174955</v>
      </c>
      <c r="L359">
        <f t="shared" si="56"/>
        <v>56.183777777777777</v>
      </c>
      <c r="M359">
        <f t="shared" si="57"/>
        <v>17.752501767744182</v>
      </c>
      <c r="N359">
        <f t="shared" si="58"/>
        <v>129.91021953769692</v>
      </c>
      <c r="O359">
        <f t="shared" si="59"/>
        <v>54.467321265264729</v>
      </c>
      <c r="P359">
        <f t="shared" si="60"/>
        <v>54.671510966465291</v>
      </c>
      <c r="Q359">
        <f t="shared" si="61"/>
        <v>17.274667768269975</v>
      </c>
      <c r="R359">
        <f t="shared" si="62"/>
        <v>126.4135</v>
      </c>
    </row>
    <row r="360" spans="1:18" x14ac:dyDescent="0.3">
      <c r="A360" t="s">
        <v>0</v>
      </c>
      <c r="B360" t="s">
        <v>0</v>
      </c>
      <c r="C360">
        <v>28</v>
      </c>
      <c r="D360">
        <v>28</v>
      </c>
      <c r="E360">
        <v>12</v>
      </c>
      <c r="F360">
        <v>20260104</v>
      </c>
      <c r="G360">
        <v>20260312</v>
      </c>
      <c r="H360">
        <v>1263.5422000000001</v>
      </c>
      <c r="I360">
        <f t="shared" si="53"/>
        <v>68</v>
      </c>
      <c r="J360">
        <f t="shared" si="54"/>
        <v>18.581502941176471</v>
      </c>
      <c r="K360">
        <f t="shared" si="55"/>
        <v>631.02128008394936</v>
      </c>
      <c r="L360">
        <f t="shared" si="56"/>
        <v>520.28208235294119</v>
      </c>
      <c r="M360">
        <f t="shared" si="57"/>
        <v>164.39458064262502</v>
      </c>
      <c r="N360">
        <f t="shared" si="58"/>
        <v>1315.6979430795154</v>
      </c>
      <c r="O360">
        <f t="shared" si="59"/>
        <v>606.00688834238201</v>
      </c>
      <c r="P360">
        <f t="shared" si="60"/>
        <v>499.65751669270952</v>
      </c>
      <c r="Q360">
        <f t="shared" si="61"/>
        <v>157.87779496490867</v>
      </c>
      <c r="R360">
        <f t="shared" si="62"/>
        <v>1263.5422000000001</v>
      </c>
    </row>
    <row r="361" spans="1:18" x14ac:dyDescent="0.3">
      <c r="A361" t="s">
        <v>0</v>
      </c>
      <c r="B361" t="s">
        <v>0</v>
      </c>
      <c r="C361">
        <v>30</v>
      </c>
      <c r="D361">
        <v>28</v>
      </c>
      <c r="E361">
        <v>11</v>
      </c>
      <c r="F361">
        <v>20260102</v>
      </c>
      <c r="G361">
        <v>20260311</v>
      </c>
      <c r="H361">
        <v>842.2627</v>
      </c>
      <c r="I361">
        <f t="shared" si="53"/>
        <v>69</v>
      </c>
      <c r="J361">
        <f t="shared" si="54"/>
        <v>12.206705797101449</v>
      </c>
      <c r="K361">
        <f t="shared" si="55"/>
        <v>444.1450923810529</v>
      </c>
      <c r="L361">
        <f t="shared" si="56"/>
        <v>341.78776231884058</v>
      </c>
      <c r="M361">
        <f t="shared" si="57"/>
        <v>98.995755599200237</v>
      </c>
      <c r="N361">
        <f t="shared" si="58"/>
        <v>884.92861029909375</v>
      </c>
      <c r="O361">
        <f t="shared" si="59"/>
        <v>422.73109982756552</v>
      </c>
      <c r="P361">
        <f t="shared" si="60"/>
        <v>325.30882171424776</v>
      </c>
      <c r="Q361">
        <f t="shared" si="61"/>
        <v>94.222778458186667</v>
      </c>
      <c r="R361">
        <f t="shared" si="62"/>
        <v>842.2627</v>
      </c>
    </row>
    <row r="362" spans="1:18" x14ac:dyDescent="0.3">
      <c r="A362" t="s">
        <v>0</v>
      </c>
      <c r="B362" t="s">
        <v>0</v>
      </c>
      <c r="C362">
        <v>20</v>
      </c>
      <c r="D362">
        <v>28</v>
      </c>
      <c r="E362">
        <v>6</v>
      </c>
      <c r="F362">
        <v>20260112</v>
      </c>
      <c r="G362">
        <v>20260306</v>
      </c>
      <c r="H362">
        <v>126.4165</v>
      </c>
      <c r="I362">
        <f t="shared" si="53"/>
        <v>54</v>
      </c>
      <c r="J362">
        <f t="shared" si="54"/>
        <v>2.3410462962962963</v>
      </c>
      <c r="K362">
        <f t="shared" si="55"/>
        <v>56.786504118839233</v>
      </c>
      <c r="L362">
        <f t="shared" si="56"/>
        <v>65.549296296296291</v>
      </c>
      <c r="M362">
        <f t="shared" si="57"/>
        <v>10.355871787199828</v>
      </c>
      <c r="N362">
        <f t="shared" si="58"/>
        <v>132.69167220233535</v>
      </c>
      <c r="O362">
        <f t="shared" si="59"/>
        <v>54.100992012465532</v>
      </c>
      <c r="P362">
        <f t="shared" si="60"/>
        <v>62.449379661181922</v>
      </c>
      <c r="Q362">
        <f t="shared" si="61"/>
        <v>9.8661283263525412</v>
      </c>
      <c r="R362">
        <f t="shared" si="62"/>
        <v>126.41649999999998</v>
      </c>
    </row>
    <row r="363" spans="1:18" x14ac:dyDescent="0.3">
      <c r="A363" t="s">
        <v>0</v>
      </c>
      <c r="B363" t="s">
        <v>0</v>
      </c>
      <c r="C363">
        <v>31</v>
      </c>
      <c r="D363">
        <v>28</v>
      </c>
      <c r="E363">
        <v>1</v>
      </c>
      <c r="F363">
        <v>20251227</v>
      </c>
      <c r="G363">
        <v>20260301</v>
      </c>
      <c r="H363">
        <v>1051.7906</v>
      </c>
      <c r="I363">
        <f t="shared" si="53"/>
        <v>60</v>
      </c>
      <c r="J363">
        <f t="shared" si="54"/>
        <v>17.529843333333336</v>
      </c>
      <c r="K363">
        <f t="shared" si="55"/>
        <v>659.09021511024014</v>
      </c>
      <c r="L363">
        <f t="shared" si="56"/>
        <v>490.83561333333341</v>
      </c>
      <c r="M363">
        <f t="shared" si="57"/>
        <v>12.924193361525569</v>
      </c>
      <c r="N363">
        <f t="shared" si="58"/>
        <v>1162.8500218050992</v>
      </c>
      <c r="O363">
        <f t="shared" si="59"/>
        <v>596.14299334047507</v>
      </c>
      <c r="P363">
        <f t="shared" si="60"/>
        <v>443.95775428360656</v>
      </c>
      <c r="Q363">
        <f t="shared" si="61"/>
        <v>11.689852375918308</v>
      </c>
      <c r="R363">
        <f t="shared" si="62"/>
        <v>1051.7905999999998</v>
      </c>
    </row>
    <row r="364" spans="1:18" x14ac:dyDescent="0.3">
      <c r="A364" t="s">
        <v>0</v>
      </c>
      <c r="B364" t="s">
        <v>0</v>
      </c>
      <c r="C364">
        <v>31</v>
      </c>
      <c r="D364">
        <v>28</v>
      </c>
      <c r="E364">
        <v>3</v>
      </c>
      <c r="F364">
        <v>20251227</v>
      </c>
      <c r="G364">
        <v>20260303</v>
      </c>
      <c r="H364">
        <v>168.32210000000001</v>
      </c>
      <c r="I364">
        <f t="shared" si="53"/>
        <v>62</v>
      </c>
      <c r="J364">
        <f t="shared" si="54"/>
        <v>2.7148725806451615</v>
      </c>
      <c r="K364">
        <f t="shared" si="55"/>
        <v>102.07426952708906</v>
      </c>
      <c r="L364">
        <f t="shared" si="56"/>
        <v>76.016432258064526</v>
      </c>
      <c r="M364">
        <f t="shared" si="57"/>
        <v>6.0047664175256523</v>
      </c>
      <c r="N364">
        <f t="shared" si="58"/>
        <v>184.09546820267923</v>
      </c>
      <c r="O364">
        <f t="shared" si="59"/>
        <v>93.328508140406186</v>
      </c>
      <c r="P364">
        <f t="shared" si="60"/>
        <v>69.503316062610978</v>
      </c>
      <c r="Q364">
        <f t="shared" si="61"/>
        <v>5.4902757969828455</v>
      </c>
      <c r="R364">
        <f t="shared" si="62"/>
        <v>168.32210000000001</v>
      </c>
    </row>
    <row r="365" spans="1:18" x14ac:dyDescent="0.3">
      <c r="A365" t="s">
        <v>0</v>
      </c>
      <c r="B365" t="s">
        <v>0</v>
      </c>
      <c r="C365">
        <v>0</v>
      </c>
      <c r="D365">
        <v>5</v>
      </c>
      <c r="E365">
        <v>1</v>
      </c>
      <c r="F365">
        <v>20260224</v>
      </c>
      <c r="G365">
        <v>20260301</v>
      </c>
      <c r="H365">
        <v>127.045</v>
      </c>
      <c r="I365">
        <f t="shared" si="53"/>
        <v>6</v>
      </c>
      <c r="J365">
        <f t="shared" si="54"/>
        <v>21.174166666666668</v>
      </c>
      <c r="K365">
        <f t="shared" si="55"/>
        <v>0</v>
      </c>
      <c r="L365">
        <f t="shared" si="56"/>
        <v>105.87083333333334</v>
      </c>
      <c r="M365">
        <f t="shared" si="57"/>
        <v>15.611036508740579</v>
      </c>
      <c r="N365">
        <f t="shared" si="58"/>
        <v>121.48186984207392</v>
      </c>
      <c r="O365">
        <f t="shared" si="59"/>
        <v>0</v>
      </c>
      <c r="P365">
        <f t="shared" si="60"/>
        <v>110.71907304619828</v>
      </c>
      <c r="Q365">
        <f t="shared" si="61"/>
        <v>16.325926953801719</v>
      </c>
      <c r="R365">
        <f t="shared" si="62"/>
        <v>127.04499999999999</v>
      </c>
    </row>
    <row r="366" spans="1:18" x14ac:dyDescent="0.3">
      <c r="A366" t="s">
        <v>0</v>
      </c>
      <c r="B366" t="s">
        <v>0</v>
      </c>
      <c r="C366">
        <v>0</v>
      </c>
      <c r="D366">
        <v>19</v>
      </c>
      <c r="E366">
        <v>1</v>
      </c>
      <c r="F366">
        <v>20260210</v>
      </c>
      <c r="G366">
        <v>20260301</v>
      </c>
      <c r="H366">
        <v>379.96100000000001</v>
      </c>
      <c r="I366">
        <f t="shared" si="53"/>
        <v>20</v>
      </c>
      <c r="J366">
        <f t="shared" si="54"/>
        <v>18.998049999999999</v>
      </c>
      <c r="K366">
        <f t="shared" si="55"/>
        <v>0</v>
      </c>
      <c r="L366">
        <f t="shared" si="56"/>
        <v>360.96294999999998</v>
      </c>
      <c r="M366">
        <f t="shared" si="57"/>
        <v>14.006655223497765</v>
      </c>
      <c r="N366">
        <f t="shared" si="58"/>
        <v>374.96960522349775</v>
      </c>
      <c r="O366">
        <f t="shared" si="59"/>
        <v>0</v>
      </c>
      <c r="P366">
        <f t="shared" si="60"/>
        <v>365.76789567570864</v>
      </c>
      <c r="Q366">
        <f t="shared" si="61"/>
        <v>14.193104324291317</v>
      </c>
      <c r="R366">
        <f t="shared" si="62"/>
        <v>379.96099999999996</v>
      </c>
    </row>
    <row r="367" spans="1:18" x14ac:dyDescent="0.3">
      <c r="A367" t="s">
        <v>0</v>
      </c>
      <c r="B367" t="s">
        <v>0</v>
      </c>
      <c r="C367">
        <v>0</v>
      </c>
      <c r="D367">
        <v>23</v>
      </c>
      <c r="E367">
        <v>2</v>
      </c>
      <c r="F367">
        <v>20260206</v>
      </c>
      <c r="G367">
        <v>20260302</v>
      </c>
      <c r="H367">
        <v>295.44200000000001</v>
      </c>
      <c r="I367">
        <f t="shared" si="53"/>
        <v>25</v>
      </c>
      <c r="J367">
        <f t="shared" si="54"/>
        <v>11.817680000000001</v>
      </c>
      <c r="K367">
        <f t="shared" si="55"/>
        <v>0</v>
      </c>
      <c r="L367">
        <f t="shared" si="56"/>
        <v>271.80664000000002</v>
      </c>
      <c r="M367">
        <f t="shared" si="57"/>
        <v>17.425595711309853</v>
      </c>
      <c r="N367">
        <f t="shared" si="58"/>
        <v>289.23223571130984</v>
      </c>
      <c r="O367">
        <f t="shared" si="59"/>
        <v>0</v>
      </c>
      <c r="P367">
        <f t="shared" si="60"/>
        <v>277.64227987032746</v>
      </c>
      <c r="Q367">
        <f t="shared" si="61"/>
        <v>17.799720129672579</v>
      </c>
      <c r="R367">
        <f t="shared" si="62"/>
        <v>295.44200000000001</v>
      </c>
    </row>
    <row r="368" spans="1:18" x14ac:dyDescent="0.3">
      <c r="A368" t="s">
        <v>0</v>
      </c>
      <c r="B368" t="s">
        <v>0</v>
      </c>
      <c r="C368">
        <v>0</v>
      </c>
      <c r="D368">
        <v>19</v>
      </c>
      <c r="E368">
        <v>2</v>
      </c>
      <c r="F368">
        <v>20260210</v>
      </c>
      <c r="G368">
        <v>20260302</v>
      </c>
      <c r="H368">
        <v>422.28769999999997</v>
      </c>
      <c r="I368">
        <f t="shared" si="53"/>
        <v>21</v>
      </c>
      <c r="J368">
        <f t="shared" si="54"/>
        <v>20.108938095238095</v>
      </c>
      <c r="K368">
        <f t="shared" si="55"/>
        <v>0</v>
      </c>
      <c r="L368">
        <f t="shared" si="56"/>
        <v>382.06982380952383</v>
      </c>
      <c r="M368">
        <f t="shared" si="57"/>
        <v>29.651355040192005</v>
      </c>
      <c r="N368">
        <f t="shared" si="58"/>
        <v>411.72117884971584</v>
      </c>
      <c r="O368">
        <f t="shared" si="59"/>
        <v>0</v>
      </c>
      <c r="P368">
        <f t="shared" si="60"/>
        <v>391.87536474732019</v>
      </c>
      <c r="Q368">
        <f t="shared" si="61"/>
        <v>30.412335252679778</v>
      </c>
      <c r="R368">
        <f t="shared" si="62"/>
        <v>422.28769999999997</v>
      </c>
    </row>
    <row r="369" spans="1:18" x14ac:dyDescent="0.3">
      <c r="A369" t="s">
        <v>0</v>
      </c>
      <c r="B369" t="s">
        <v>0</v>
      </c>
      <c r="C369">
        <v>0</v>
      </c>
      <c r="D369">
        <v>22</v>
      </c>
      <c r="E369">
        <v>6</v>
      </c>
      <c r="F369">
        <v>20260207</v>
      </c>
      <c r="G369">
        <v>20260306</v>
      </c>
      <c r="H369">
        <v>42.2485</v>
      </c>
      <c r="I369">
        <f t="shared" si="53"/>
        <v>28</v>
      </c>
      <c r="J369">
        <f t="shared" si="54"/>
        <v>1.508875</v>
      </c>
      <c r="K369">
        <f t="shared" si="55"/>
        <v>0</v>
      </c>
      <c r="L369">
        <f t="shared" si="56"/>
        <v>33.195250000000001</v>
      </c>
      <c r="M369">
        <f t="shared" si="57"/>
        <v>6.6746719480226204</v>
      </c>
      <c r="N369">
        <f t="shared" si="58"/>
        <v>39.869921948022622</v>
      </c>
      <c r="O369">
        <f t="shared" si="59"/>
        <v>0</v>
      </c>
      <c r="P369">
        <f t="shared" si="60"/>
        <v>35.175627417915116</v>
      </c>
      <c r="Q369">
        <f t="shared" si="61"/>
        <v>7.0728725820848872</v>
      </c>
      <c r="R369">
        <f t="shared" si="62"/>
        <v>42.248500000000007</v>
      </c>
    </row>
    <row r="370" spans="1:18" x14ac:dyDescent="0.3">
      <c r="A370" t="s">
        <v>0</v>
      </c>
      <c r="B370" t="s">
        <v>0</v>
      </c>
      <c r="C370">
        <v>2</v>
      </c>
      <c r="D370">
        <v>28</v>
      </c>
      <c r="E370">
        <v>1</v>
      </c>
      <c r="F370">
        <v>20260130</v>
      </c>
      <c r="G370">
        <v>20260301</v>
      </c>
      <c r="H370">
        <v>1307.7127</v>
      </c>
      <c r="I370">
        <f t="shared" si="53"/>
        <v>31</v>
      </c>
      <c r="J370">
        <f t="shared" si="54"/>
        <v>42.184280645161294</v>
      </c>
      <c r="K370">
        <f t="shared" si="55"/>
        <v>102.32594846144529</v>
      </c>
      <c r="L370">
        <f t="shared" si="56"/>
        <v>1181.1598580645164</v>
      </c>
      <c r="M370">
        <f t="shared" si="57"/>
        <v>31.101122212439915</v>
      </c>
      <c r="N370">
        <f t="shared" si="58"/>
        <v>1314.5869287384014</v>
      </c>
      <c r="O370">
        <f t="shared" si="59"/>
        <v>101.79086633015338</v>
      </c>
      <c r="P370">
        <f t="shared" si="60"/>
        <v>1174.9833452273276</v>
      </c>
      <c r="Q370">
        <f t="shared" si="61"/>
        <v>30.938488442519148</v>
      </c>
      <c r="R370">
        <f t="shared" si="62"/>
        <v>1307.7127000000003</v>
      </c>
    </row>
    <row r="371" spans="1:18" x14ac:dyDescent="0.3">
      <c r="A371" t="s">
        <v>0</v>
      </c>
      <c r="B371" t="s">
        <v>0</v>
      </c>
      <c r="C371">
        <v>1</v>
      </c>
      <c r="D371">
        <v>28</v>
      </c>
      <c r="E371">
        <v>8</v>
      </c>
      <c r="F371">
        <v>20260131</v>
      </c>
      <c r="G371">
        <v>20260308</v>
      </c>
      <c r="H371">
        <v>211.15860000000001</v>
      </c>
      <c r="I371">
        <f t="shared" si="53"/>
        <v>37</v>
      </c>
      <c r="J371">
        <f t="shared" si="54"/>
        <v>5.7069891891891897</v>
      </c>
      <c r="K371">
        <f t="shared" si="55"/>
        <v>6.9216906476984397</v>
      </c>
      <c r="L371">
        <f t="shared" si="56"/>
        <v>159.79569729729732</v>
      </c>
      <c r="M371">
        <f t="shared" si="57"/>
        <v>33.660646197773787</v>
      </c>
      <c r="N371">
        <f t="shared" si="58"/>
        <v>200.37803414276954</v>
      </c>
      <c r="O371">
        <f t="shared" si="59"/>
        <v>7.2940854672709419</v>
      </c>
      <c r="P371">
        <f t="shared" si="60"/>
        <v>168.39288733254921</v>
      </c>
      <c r="Q371">
        <f t="shared" si="61"/>
        <v>35.471627200179881</v>
      </c>
      <c r="R371">
        <f t="shared" si="62"/>
        <v>211.15860000000004</v>
      </c>
    </row>
    <row r="372" spans="1:18" x14ac:dyDescent="0.3">
      <c r="A372" t="s">
        <v>0</v>
      </c>
      <c r="B372" t="s">
        <v>0</v>
      </c>
      <c r="C372">
        <v>0</v>
      </c>
      <c r="D372">
        <v>26</v>
      </c>
      <c r="E372">
        <v>4</v>
      </c>
      <c r="F372">
        <v>20260203</v>
      </c>
      <c r="G372">
        <v>20260304</v>
      </c>
      <c r="H372">
        <v>42.216900000000003</v>
      </c>
      <c r="I372">
        <f t="shared" si="53"/>
        <v>30</v>
      </c>
      <c r="J372">
        <f t="shared" si="54"/>
        <v>1.40723</v>
      </c>
      <c r="K372">
        <f t="shared" si="55"/>
        <v>0</v>
      </c>
      <c r="L372">
        <f t="shared" si="56"/>
        <v>36.587980000000002</v>
      </c>
      <c r="M372">
        <f t="shared" si="57"/>
        <v>4.15002285606423</v>
      </c>
      <c r="N372">
        <f t="shared" si="58"/>
        <v>40.738002856064234</v>
      </c>
      <c r="O372">
        <f t="shared" si="59"/>
        <v>0</v>
      </c>
      <c r="P372">
        <f t="shared" si="60"/>
        <v>37.916220348834976</v>
      </c>
      <c r="Q372">
        <f t="shared" si="61"/>
        <v>4.300679651165022</v>
      </c>
      <c r="R372">
        <f t="shared" si="62"/>
        <v>42.216899999999995</v>
      </c>
    </row>
    <row r="373" spans="1:18" x14ac:dyDescent="0.3">
      <c r="A373" t="s">
        <v>0</v>
      </c>
      <c r="B373" t="s">
        <v>0</v>
      </c>
      <c r="C373">
        <v>0</v>
      </c>
      <c r="D373">
        <v>25</v>
      </c>
      <c r="E373">
        <v>5</v>
      </c>
      <c r="F373">
        <v>20260204</v>
      </c>
      <c r="G373">
        <v>20260305</v>
      </c>
      <c r="H373">
        <v>295.56659999999999</v>
      </c>
      <c r="I373">
        <f t="shared" si="53"/>
        <v>30</v>
      </c>
      <c r="J373">
        <f t="shared" si="54"/>
        <v>9.8522199999999991</v>
      </c>
      <c r="K373">
        <f t="shared" si="55"/>
        <v>0</v>
      </c>
      <c r="L373">
        <f t="shared" si="56"/>
        <v>246.30549999999997</v>
      </c>
      <c r="M373">
        <f t="shared" si="57"/>
        <v>36.318634998341714</v>
      </c>
      <c r="N373">
        <f t="shared" si="58"/>
        <v>282.62413499834167</v>
      </c>
      <c r="O373">
        <f t="shared" si="59"/>
        <v>0</v>
      </c>
      <c r="P373">
        <f t="shared" si="60"/>
        <v>257.58479259645378</v>
      </c>
      <c r="Q373">
        <f t="shared" si="61"/>
        <v>37.981807403546242</v>
      </c>
      <c r="R373">
        <f t="shared" si="62"/>
        <v>295.56659999999999</v>
      </c>
    </row>
    <row r="374" spans="1:18" x14ac:dyDescent="0.3">
      <c r="A374" t="s">
        <v>0</v>
      </c>
      <c r="B374" t="s">
        <v>0</v>
      </c>
      <c r="C374">
        <v>0</v>
      </c>
      <c r="D374">
        <v>26</v>
      </c>
      <c r="E374">
        <v>3</v>
      </c>
      <c r="F374">
        <v>20260203</v>
      </c>
      <c r="G374">
        <v>20260303</v>
      </c>
      <c r="H374">
        <v>84.419899999999998</v>
      </c>
      <c r="I374">
        <f t="shared" si="53"/>
        <v>29</v>
      </c>
      <c r="J374">
        <f t="shared" si="54"/>
        <v>2.9110310344827584</v>
      </c>
      <c r="K374">
        <f t="shared" si="55"/>
        <v>0</v>
      </c>
      <c r="L374">
        <f t="shared" si="56"/>
        <v>75.686806896551715</v>
      </c>
      <c r="M374">
        <f t="shared" si="57"/>
        <v>6.4386304981146019</v>
      </c>
      <c r="N374">
        <f t="shared" si="58"/>
        <v>82.125437394666321</v>
      </c>
      <c r="O374">
        <f t="shared" si="59"/>
        <v>0</v>
      </c>
      <c r="P374">
        <f t="shared" si="60"/>
        <v>77.801383739615545</v>
      </c>
      <c r="Q374">
        <f t="shared" si="61"/>
        <v>6.6185162603844585</v>
      </c>
      <c r="R374">
        <f t="shared" si="62"/>
        <v>84.419899999999998</v>
      </c>
    </row>
    <row r="375" spans="1:18" x14ac:dyDescent="0.3">
      <c r="A375" t="s">
        <v>0</v>
      </c>
      <c r="B375" t="s">
        <v>0</v>
      </c>
      <c r="C375">
        <v>3</v>
      </c>
      <c r="D375">
        <v>28</v>
      </c>
      <c r="E375">
        <v>1</v>
      </c>
      <c r="F375">
        <v>20260129</v>
      </c>
      <c r="G375">
        <v>20260301</v>
      </c>
      <c r="H375">
        <v>379.60520000000002</v>
      </c>
      <c r="I375">
        <f t="shared" si="53"/>
        <v>32</v>
      </c>
      <c r="J375">
        <f t="shared" si="54"/>
        <v>11.862662500000001</v>
      </c>
      <c r="K375">
        <f t="shared" si="55"/>
        <v>43.162696140336614</v>
      </c>
      <c r="L375">
        <f t="shared" si="56"/>
        <v>332.15455000000003</v>
      </c>
      <c r="M375">
        <f t="shared" si="57"/>
        <v>8.745962015586656</v>
      </c>
      <c r="N375">
        <f t="shared" si="58"/>
        <v>384.06320815592329</v>
      </c>
      <c r="O375">
        <f t="shared" si="59"/>
        <v>42.661685766681821</v>
      </c>
      <c r="P375">
        <f t="shared" si="60"/>
        <v>328.29907084583471</v>
      </c>
      <c r="Q375">
        <f t="shared" si="61"/>
        <v>8.6444433874835145</v>
      </c>
      <c r="R375">
        <f t="shared" si="62"/>
        <v>379.60520000000008</v>
      </c>
    </row>
    <row r="376" spans="1:18" x14ac:dyDescent="0.3">
      <c r="A376" t="s">
        <v>0</v>
      </c>
      <c r="B376" t="s">
        <v>0</v>
      </c>
      <c r="C376">
        <v>0</v>
      </c>
      <c r="D376">
        <v>26</v>
      </c>
      <c r="E376">
        <v>7</v>
      </c>
      <c r="F376">
        <v>20260203</v>
      </c>
      <c r="G376">
        <v>20260307</v>
      </c>
      <c r="H376">
        <v>337.88529999999997</v>
      </c>
      <c r="I376">
        <f t="shared" si="53"/>
        <v>33</v>
      </c>
      <c r="J376">
        <f t="shared" si="54"/>
        <v>10.238948484848484</v>
      </c>
      <c r="K376">
        <f t="shared" si="55"/>
        <v>0</v>
      </c>
      <c r="L376">
        <f t="shared" si="56"/>
        <v>266.21266060606058</v>
      </c>
      <c r="M376">
        <f t="shared" si="57"/>
        <v>52.841946881337449</v>
      </c>
      <c r="N376">
        <f t="shared" si="58"/>
        <v>319.05460748739802</v>
      </c>
      <c r="O376">
        <f t="shared" si="59"/>
        <v>0</v>
      </c>
      <c r="P376">
        <f t="shared" si="60"/>
        <v>281.92460657766793</v>
      </c>
      <c r="Q376">
        <f t="shared" si="61"/>
        <v>55.960693422332049</v>
      </c>
      <c r="R376">
        <f t="shared" si="62"/>
        <v>337.88529999999997</v>
      </c>
    </row>
    <row r="377" spans="1:18" x14ac:dyDescent="0.3">
      <c r="A377" t="s">
        <v>0</v>
      </c>
      <c r="B377" t="s">
        <v>0</v>
      </c>
      <c r="C377">
        <v>4</v>
      </c>
      <c r="D377">
        <v>28</v>
      </c>
      <c r="E377">
        <v>5</v>
      </c>
      <c r="F377">
        <v>20260128</v>
      </c>
      <c r="G377">
        <v>20260305</v>
      </c>
      <c r="H377">
        <v>337.577</v>
      </c>
      <c r="I377">
        <f t="shared" si="53"/>
        <v>37</v>
      </c>
      <c r="J377">
        <f t="shared" si="54"/>
        <v>9.1237027027027029</v>
      </c>
      <c r="K377">
        <f t="shared" si="55"/>
        <v>44.262531836791794</v>
      </c>
      <c r="L377">
        <f t="shared" si="56"/>
        <v>255.46367567567569</v>
      </c>
      <c r="M377">
        <f t="shared" si="57"/>
        <v>33.633072372809707</v>
      </c>
      <c r="N377">
        <f t="shared" si="58"/>
        <v>333.35927988527715</v>
      </c>
      <c r="O377">
        <f t="shared" si="59"/>
        <v>44.822549157806058</v>
      </c>
      <c r="P377">
        <f t="shared" si="60"/>
        <v>258.69584693501224</v>
      </c>
      <c r="Q377">
        <f t="shared" si="61"/>
        <v>34.058603907181713</v>
      </c>
      <c r="R377">
        <f t="shared" si="62"/>
        <v>337.577</v>
      </c>
    </row>
    <row r="378" spans="1:18" x14ac:dyDescent="0.3">
      <c r="A378" t="s">
        <v>0</v>
      </c>
      <c r="B378" t="s">
        <v>0</v>
      </c>
      <c r="C378">
        <v>0</v>
      </c>
      <c r="D378">
        <v>16</v>
      </c>
      <c r="E378">
        <v>4</v>
      </c>
      <c r="F378">
        <v>20260213</v>
      </c>
      <c r="G378">
        <v>20260304</v>
      </c>
      <c r="H378">
        <v>84.507000000000005</v>
      </c>
      <c r="I378">
        <f t="shared" si="53"/>
        <v>20</v>
      </c>
      <c r="J378">
        <f t="shared" si="54"/>
        <v>4.2253500000000006</v>
      </c>
      <c r="K378">
        <f t="shared" si="55"/>
        <v>0</v>
      </c>
      <c r="L378">
        <f t="shared" si="56"/>
        <v>67.60560000000001</v>
      </c>
      <c r="M378">
        <f t="shared" si="57"/>
        <v>12.460862172403228</v>
      </c>
      <c r="N378">
        <f t="shared" si="58"/>
        <v>80.066462172403234</v>
      </c>
      <c r="O378">
        <f t="shared" si="59"/>
        <v>0</v>
      </c>
      <c r="P378">
        <f t="shared" si="60"/>
        <v>71.355050344277231</v>
      </c>
      <c r="Q378">
        <f t="shared" si="61"/>
        <v>13.151949655722779</v>
      </c>
      <c r="R378">
        <f t="shared" si="62"/>
        <v>84.507000000000005</v>
      </c>
    </row>
    <row r="379" spans="1:18" x14ac:dyDescent="0.3">
      <c r="A379" t="s">
        <v>0</v>
      </c>
      <c r="B379" t="s">
        <v>0</v>
      </c>
      <c r="C379">
        <v>0</v>
      </c>
      <c r="D379">
        <v>18</v>
      </c>
      <c r="E379">
        <v>8</v>
      </c>
      <c r="F379">
        <v>20260211</v>
      </c>
      <c r="G379">
        <v>20260308</v>
      </c>
      <c r="H379">
        <v>211.4007</v>
      </c>
      <c r="I379">
        <f t="shared" si="53"/>
        <v>26</v>
      </c>
      <c r="J379">
        <f t="shared" si="54"/>
        <v>8.1307961538461537</v>
      </c>
      <c r="K379">
        <f t="shared" si="55"/>
        <v>0</v>
      </c>
      <c r="L379">
        <f t="shared" si="56"/>
        <v>146.35433076923076</v>
      </c>
      <c r="M379">
        <f t="shared" si="57"/>
        <v>47.956609618130187</v>
      </c>
      <c r="N379">
        <f t="shared" si="58"/>
        <v>194.31094038736094</v>
      </c>
      <c r="O379">
        <f t="shared" si="59"/>
        <v>0</v>
      </c>
      <c r="P379">
        <f t="shared" si="60"/>
        <v>159.22627882387312</v>
      </c>
      <c r="Q379">
        <f t="shared" si="61"/>
        <v>52.174421176126891</v>
      </c>
      <c r="R379">
        <f t="shared" si="62"/>
        <v>211.4007</v>
      </c>
    </row>
    <row r="380" spans="1:18" x14ac:dyDescent="0.3">
      <c r="A380" t="s">
        <v>0</v>
      </c>
      <c r="B380" t="s">
        <v>0</v>
      </c>
      <c r="C380">
        <v>0</v>
      </c>
      <c r="D380">
        <v>18</v>
      </c>
      <c r="E380">
        <v>5</v>
      </c>
      <c r="F380">
        <v>20260211</v>
      </c>
      <c r="G380">
        <v>20260305</v>
      </c>
      <c r="H380">
        <v>422.63330000000002</v>
      </c>
      <c r="I380">
        <f t="shared" si="53"/>
        <v>23</v>
      </c>
      <c r="J380">
        <f t="shared" si="54"/>
        <v>18.375360869565217</v>
      </c>
      <c r="K380">
        <f t="shared" si="55"/>
        <v>0</v>
      </c>
      <c r="L380">
        <f t="shared" si="56"/>
        <v>330.7564956521739</v>
      </c>
      <c r="M380">
        <f t="shared" si="57"/>
        <v>67.737832121547228</v>
      </c>
      <c r="N380">
        <f t="shared" si="58"/>
        <v>398.49432777372112</v>
      </c>
      <c r="O380">
        <f t="shared" si="59"/>
        <v>0</v>
      </c>
      <c r="P380">
        <f t="shared" si="60"/>
        <v>350.79221838583049</v>
      </c>
      <c r="Q380">
        <f t="shared" si="61"/>
        <v>71.841081614169497</v>
      </c>
      <c r="R380">
        <f t="shared" si="62"/>
        <v>422.63329999999996</v>
      </c>
    </row>
    <row r="381" spans="1:18" x14ac:dyDescent="0.3">
      <c r="A381" t="s">
        <v>0</v>
      </c>
      <c r="B381" t="s">
        <v>0</v>
      </c>
      <c r="C381">
        <v>26</v>
      </c>
      <c r="D381">
        <v>3</v>
      </c>
      <c r="E381">
        <v>0</v>
      </c>
      <c r="F381">
        <v>20260106</v>
      </c>
      <c r="G381">
        <v>20260203</v>
      </c>
      <c r="H381">
        <v>1428.7556</v>
      </c>
      <c r="I381">
        <f t="shared" si="53"/>
        <v>29</v>
      </c>
      <c r="J381">
        <f t="shared" si="54"/>
        <v>49.267434482758617</v>
      </c>
      <c r="K381">
        <f t="shared" si="55"/>
        <v>1553.5972049283357</v>
      </c>
      <c r="L381">
        <f t="shared" si="56"/>
        <v>147.80230344827584</v>
      </c>
      <c r="M381">
        <f t="shared" si="57"/>
        <v>0</v>
      </c>
      <c r="N381">
        <f t="shared" si="58"/>
        <v>1701.3995083766115</v>
      </c>
      <c r="O381">
        <f t="shared" si="59"/>
        <v>1304.6381498038882</v>
      </c>
      <c r="P381">
        <f t="shared" si="60"/>
        <v>124.11745019611193</v>
      </c>
      <c r="Q381">
        <f t="shared" si="61"/>
        <v>0</v>
      </c>
      <c r="R381">
        <f t="shared" si="62"/>
        <v>1428.7556000000002</v>
      </c>
    </row>
    <row r="382" spans="1:18" x14ac:dyDescent="0.3">
      <c r="A382" t="s">
        <v>0</v>
      </c>
      <c r="B382" t="s">
        <v>0</v>
      </c>
      <c r="C382">
        <v>28</v>
      </c>
      <c r="D382">
        <v>7</v>
      </c>
      <c r="E382">
        <v>0</v>
      </c>
      <c r="F382">
        <v>20260104</v>
      </c>
      <c r="G382">
        <v>20260207</v>
      </c>
      <c r="H382">
        <v>42.022199999999998</v>
      </c>
      <c r="I382">
        <f t="shared" si="53"/>
        <v>35</v>
      </c>
      <c r="J382">
        <f t="shared" si="54"/>
        <v>1.2006342857142858</v>
      </c>
      <c r="K382">
        <f t="shared" si="55"/>
        <v>40.77311648484654</v>
      </c>
      <c r="L382">
        <f t="shared" si="56"/>
        <v>8.404440000000001</v>
      </c>
      <c r="M382">
        <f t="shared" si="57"/>
        <v>0</v>
      </c>
      <c r="N382">
        <f t="shared" si="58"/>
        <v>49.177556484846541</v>
      </c>
      <c r="O382">
        <f t="shared" si="59"/>
        <v>34.840609782583932</v>
      </c>
      <c r="P382">
        <f t="shared" si="60"/>
        <v>7.1815902174160673</v>
      </c>
      <c r="Q382">
        <f t="shared" si="61"/>
        <v>0</v>
      </c>
      <c r="R382">
        <f t="shared" si="62"/>
        <v>42.022199999999998</v>
      </c>
    </row>
    <row r="383" spans="1:18" x14ac:dyDescent="0.3">
      <c r="A383" t="s">
        <v>0</v>
      </c>
      <c r="B383" t="s">
        <v>0</v>
      </c>
      <c r="C383">
        <v>29</v>
      </c>
      <c r="D383">
        <v>6</v>
      </c>
      <c r="E383">
        <v>0</v>
      </c>
      <c r="F383">
        <v>20260103</v>
      </c>
      <c r="G383">
        <v>20260206</v>
      </c>
      <c r="H383">
        <v>378.17329999999998</v>
      </c>
      <c r="I383">
        <f t="shared" si="53"/>
        <v>35</v>
      </c>
      <c r="J383">
        <f t="shared" si="54"/>
        <v>10.804951428571428</v>
      </c>
      <c r="K383">
        <f t="shared" si="55"/>
        <v>380.03706234732186</v>
      </c>
      <c r="L383">
        <f t="shared" si="56"/>
        <v>64.829708571428569</v>
      </c>
      <c r="M383">
        <f t="shared" si="57"/>
        <v>0</v>
      </c>
      <c r="N383">
        <f t="shared" si="58"/>
        <v>444.86677091875043</v>
      </c>
      <c r="O383">
        <f t="shared" si="59"/>
        <v>323.06272211201218</v>
      </c>
      <c r="P383">
        <f t="shared" si="60"/>
        <v>55.110577887987816</v>
      </c>
      <c r="Q383">
        <f t="shared" si="61"/>
        <v>0</v>
      </c>
      <c r="R383">
        <f t="shared" si="62"/>
        <v>378.17329999999998</v>
      </c>
    </row>
    <row r="384" spans="1:18" x14ac:dyDescent="0.3">
      <c r="A384" t="s">
        <v>0</v>
      </c>
      <c r="B384" t="s">
        <v>0</v>
      </c>
      <c r="C384">
        <v>30</v>
      </c>
      <c r="D384">
        <v>13</v>
      </c>
      <c r="E384">
        <v>0</v>
      </c>
      <c r="F384">
        <v>20260102</v>
      </c>
      <c r="G384">
        <v>20260213</v>
      </c>
      <c r="H384">
        <v>3363.5954999999999</v>
      </c>
      <c r="I384">
        <f t="shared" si="53"/>
        <v>43</v>
      </c>
      <c r="J384">
        <f t="shared" si="54"/>
        <v>78.2231511627907</v>
      </c>
      <c r="K384">
        <f t="shared" si="55"/>
        <v>2846.1756412434002</v>
      </c>
      <c r="L384">
        <f t="shared" si="56"/>
        <v>1016.9009651162791</v>
      </c>
      <c r="M384">
        <f t="shared" si="57"/>
        <v>0</v>
      </c>
      <c r="N384">
        <f t="shared" si="58"/>
        <v>3863.0766063596793</v>
      </c>
      <c r="O384">
        <f t="shared" si="59"/>
        <v>2478.1759604082172</v>
      </c>
      <c r="P384">
        <f t="shared" si="60"/>
        <v>885.4195395917825</v>
      </c>
      <c r="Q384">
        <f t="shared" si="61"/>
        <v>0</v>
      </c>
      <c r="R384">
        <f t="shared" si="62"/>
        <v>3363.5954999999994</v>
      </c>
    </row>
    <row r="385" spans="1:18" x14ac:dyDescent="0.3">
      <c r="A385" t="s">
        <v>0</v>
      </c>
      <c r="B385" t="s">
        <v>0</v>
      </c>
      <c r="C385">
        <v>25</v>
      </c>
      <c r="D385">
        <v>28</v>
      </c>
      <c r="E385">
        <v>0</v>
      </c>
      <c r="F385">
        <v>20260107</v>
      </c>
      <c r="G385">
        <v>20260228</v>
      </c>
      <c r="H385">
        <v>2399.2094000000002</v>
      </c>
      <c r="I385">
        <f t="shared" si="53"/>
        <v>53</v>
      </c>
      <c r="J385">
        <f t="shared" si="54"/>
        <v>45.268101886792458</v>
      </c>
      <c r="K385">
        <f t="shared" si="55"/>
        <v>1372.579249240647</v>
      </c>
      <c r="L385">
        <f t="shared" si="56"/>
        <v>1267.5068528301888</v>
      </c>
      <c r="M385">
        <f t="shared" si="57"/>
        <v>0</v>
      </c>
      <c r="N385">
        <f t="shared" si="58"/>
        <v>2640.0861020708358</v>
      </c>
      <c r="O385">
        <f t="shared" si="59"/>
        <v>1247.3475900805097</v>
      </c>
      <c r="P385">
        <f t="shared" si="60"/>
        <v>1151.8618099194905</v>
      </c>
      <c r="Q385">
        <f t="shared" si="61"/>
        <v>0</v>
      </c>
      <c r="R385">
        <f t="shared" si="62"/>
        <v>2399.2094000000002</v>
      </c>
    </row>
    <row r="386" spans="1:18" x14ac:dyDescent="0.3">
      <c r="A386" t="s">
        <v>0</v>
      </c>
      <c r="B386" t="s">
        <v>0</v>
      </c>
      <c r="C386">
        <v>30</v>
      </c>
      <c r="D386">
        <v>12</v>
      </c>
      <c r="E386">
        <v>0</v>
      </c>
      <c r="F386">
        <v>20260102</v>
      </c>
      <c r="G386">
        <v>20260212</v>
      </c>
      <c r="H386">
        <v>924.88</v>
      </c>
      <c r="I386">
        <f t="shared" si="53"/>
        <v>42</v>
      </c>
      <c r="J386">
        <f t="shared" si="54"/>
        <v>22.02095238095238</v>
      </c>
      <c r="K386">
        <f t="shared" si="55"/>
        <v>801.23975232362</v>
      </c>
      <c r="L386">
        <f t="shared" si="56"/>
        <v>264.25142857142856</v>
      </c>
      <c r="M386">
        <f t="shared" si="57"/>
        <v>0</v>
      </c>
      <c r="N386">
        <f t="shared" si="58"/>
        <v>1065.4911808950485</v>
      </c>
      <c r="O386">
        <f t="shared" si="59"/>
        <v>695.50141326046651</v>
      </c>
      <c r="P386">
        <f t="shared" si="60"/>
        <v>229.37858673953349</v>
      </c>
      <c r="Q386">
        <f t="shared" si="61"/>
        <v>0</v>
      </c>
      <c r="R386">
        <f t="shared" si="62"/>
        <v>924.88</v>
      </c>
    </row>
    <row r="387" spans="1:18" x14ac:dyDescent="0.3">
      <c r="A387" t="s">
        <v>0</v>
      </c>
      <c r="B387" t="s">
        <v>0</v>
      </c>
      <c r="C387">
        <v>25</v>
      </c>
      <c r="D387">
        <v>20</v>
      </c>
      <c r="E387">
        <v>0</v>
      </c>
      <c r="F387">
        <v>20260107</v>
      </c>
      <c r="G387">
        <v>20260220</v>
      </c>
      <c r="H387">
        <v>42.066699999999997</v>
      </c>
      <c r="I387">
        <f t="shared" si="53"/>
        <v>45</v>
      </c>
      <c r="J387">
        <f t="shared" si="54"/>
        <v>0.93481555555555551</v>
      </c>
      <c r="K387">
        <f t="shared" si="55"/>
        <v>28.344648437695721</v>
      </c>
      <c r="L387">
        <f t="shared" si="56"/>
        <v>18.696311111111111</v>
      </c>
      <c r="M387">
        <f t="shared" si="57"/>
        <v>0</v>
      </c>
      <c r="N387">
        <f t="shared" si="58"/>
        <v>47.040959548806832</v>
      </c>
      <c r="O387">
        <f t="shared" si="59"/>
        <v>25.347395841211284</v>
      </c>
      <c r="P387">
        <f t="shared" si="60"/>
        <v>16.719304158788717</v>
      </c>
      <c r="Q387">
        <f t="shared" si="61"/>
        <v>0</v>
      </c>
      <c r="R387">
        <f t="shared" si="62"/>
        <v>42.066699999999997</v>
      </c>
    </row>
    <row r="388" spans="1:18" x14ac:dyDescent="0.3">
      <c r="A388" t="s">
        <v>0</v>
      </c>
      <c r="B388" t="s">
        <v>0</v>
      </c>
      <c r="C388">
        <v>26</v>
      </c>
      <c r="D388">
        <v>13</v>
      </c>
      <c r="E388">
        <v>0</v>
      </c>
      <c r="F388">
        <v>20260106</v>
      </c>
      <c r="G388">
        <v>20260213</v>
      </c>
      <c r="H388">
        <v>1640.2152000000001</v>
      </c>
      <c r="I388">
        <f t="shared" si="53"/>
        <v>39</v>
      </c>
      <c r="J388">
        <f t="shared" si="54"/>
        <v>42.056800000000003</v>
      </c>
      <c r="K388">
        <f t="shared" si="55"/>
        <v>1326.2173607009283</v>
      </c>
      <c r="L388">
        <f t="shared" si="56"/>
        <v>546.73840000000007</v>
      </c>
      <c r="M388">
        <f t="shared" si="57"/>
        <v>0</v>
      </c>
      <c r="N388">
        <f t="shared" si="58"/>
        <v>1872.9557607009283</v>
      </c>
      <c r="O388">
        <f t="shared" si="59"/>
        <v>1161.4165797015278</v>
      </c>
      <c r="P388">
        <f t="shared" si="60"/>
        <v>478.79862029847237</v>
      </c>
      <c r="Q388">
        <f t="shared" si="61"/>
        <v>0</v>
      </c>
      <c r="R388">
        <f t="shared" si="62"/>
        <v>1640.2152000000001</v>
      </c>
    </row>
    <row r="389" spans="1:18" x14ac:dyDescent="0.3">
      <c r="A389" t="s">
        <v>0</v>
      </c>
      <c r="B389" t="s">
        <v>0</v>
      </c>
      <c r="C389">
        <v>28</v>
      </c>
      <c r="D389">
        <v>27</v>
      </c>
      <c r="E389">
        <v>0</v>
      </c>
      <c r="F389">
        <v>20260104</v>
      </c>
      <c r="G389">
        <v>20260227</v>
      </c>
      <c r="H389">
        <v>967.73839999999996</v>
      </c>
      <c r="I389">
        <f t="shared" si="53"/>
        <v>55</v>
      </c>
      <c r="J389">
        <f t="shared" si="54"/>
        <v>17.595243636363637</v>
      </c>
      <c r="K389">
        <f t="shared" si="55"/>
        <v>597.52826227005789</v>
      </c>
      <c r="L389">
        <f t="shared" si="56"/>
        <v>475.07157818181821</v>
      </c>
      <c r="M389">
        <f t="shared" si="57"/>
        <v>0</v>
      </c>
      <c r="N389">
        <f t="shared" si="58"/>
        <v>1072.5998404518762</v>
      </c>
      <c r="O389">
        <f t="shared" si="59"/>
        <v>539.11162642015165</v>
      </c>
      <c r="P389">
        <f t="shared" si="60"/>
        <v>428.62677357984819</v>
      </c>
      <c r="Q389">
        <f t="shared" si="61"/>
        <v>0</v>
      </c>
      <c r="R389">
        <f t="shared" si="62"/>
        <v>967.73839999999984</v>
      </c>
    </row>
    <row r="390" spans="1:18" x14ac:dyDescent="0.3">
      <c r="A390" t="s">
        <v>0</v>
      </c>
      <c r="B390" t="s">
        <v>0</v>
      </c>
      <c r="C390">
        <v>27</v>
      </c>
      <c r="D390">
        <v>13</v>
      </c>
      <c r="E390">
        <v>0</v>
      </c>
      <c r="F390">
        <v>20260105</v>
      </c>
      <c r="G390">
        <v>20260213</v>
      </c>
      <c r="H390">
        <v>126.1615</v>
      </c>
      <c r="I390">
        <f t="shared" si="53"/>
        <v>40</v>
      </c>
      <c r="J390">
        <f t="shared" si="54"/>
        <v>3.1540375000000003</v>
      </c>
      <c r="K390">
        <f t="shared" si="55"/>
        <v>103.28464289104932</v>
      </c>
      <c r="L390">
        <f t="shared" si="56"/>
        <v>41.002487500000001</v>
      </c>
      <c r="M390">
        <f t="shared" si="57"/>
        <v>0</v>
      </c>
      <c r="N390">
        <f t="shared" si="58"/>
        <v>144.28713039104932</v>
      </c>
      <c r="O390">
        <f t="shared" si="59"/>
        <v>90.309824852594431</v>
      </c>
      <c r="P390">
        <f t="shared" si="60"/>
        <v>35.851675147405572</v>
      </c>
      <c r="Q390">
        <f t="shared" si="61"/>
        <v>0</v>
      </c>
      <c r="R390">
        <f t="shared" si="62"/>
        <v>126.1615</v>
      </c>
    </row>
    <row r="391" spans="1:18" x14ac:dyDescent="0.3">
      <c r="A391" t="s">
        <v>0</v>
      </c>
      <c r="B391" t="s">
        <v>0</v>
      </c>
      <c r="C391">
        <v>30</v>
      </c>
      <c r="D391">
        <v>28</v>
      </c>
      <c r="E391">
        <v>3</v>
      </c>
      <c r="F391">
        <v>20260102</v>
      </c>
      <c r="G391">
        <v>20260303</v>
      </c>
      <c r="H391">
        <v>759142.46680000005</v>
      </c>
      <c r="I391">
        <f t="shared" si="53"/>
        <v>61</v>
      </c>
      <c r="J391">
        <f t="shared" si="54"/>
        <v>12444.958472131148</v>
      </c>
      <c r="K391">
        <f t="shared" si="55"/>
        <v>452813.99602467363</v>
      </c>
      <c r="L391">
        <f t="shared" si="56"/>
        <v>348458.83721967216</v>
      </c>
      <c r="M391">
        <f t="shared" si="57"/>
        <v>27525.810689500529</v>
      </c>
      <c r="N391">
        <f t="shared" si="58"/>
        <v>828798.64393384638</v>
      </c>
      <c r="O391">
        <f t="shared" si="59"/>
        <v>414757.35567344126</v>
      </c>
      <c r="P391">
        <f t="shared" si="60"/>
        <v>319172.70039152721</v>
      </c>
      <c r="Q391">
        <f t="shared" si="61"/>
        <v>25212.410735031481</v>
      </c>
      <c r="R391">
        <f t="shared" si="62"/>
        <v>759142.46679999994</v>
      </c>
    </row>
    <row r="392" spans="1:18" x14ac:dyDescent="0.3">
      <c r="A392" t="s">
        <v>0</v>
      </c>
      <c r="B392" t="s">
        <v>0</v>
      </c>
      <c r="C392">
        <v>27</v>
      </c>
      <c r="D392">
        <v>28</v>
      </c>
      <c r="E392">
        <v>3</v>
      </c>
      <c r="F392">
        <v>20260105</v>
      </c>
      <c r="G392">
        <v>20260303</v>
      </c>
      <c r="H392">
        <v>183931.83420000001</v>
      </c>
      <c r="I392">
        <f t="shared" si="53"/>
        <v>58</v>
      </c>
      <c r="J392">
        <f t="shared" si="54"/>
        <v>3171.2385206896552</v>
      </c>
      <c r="K392">
        <f t="shared" si="55"/>
        <v>103847.92131728635</v>
      </c>
      <c r="L392">
        <f t="shared" si="56"/>
        <v>88794.678579310348</v>
      </c>
      <c r="M392">
        <f t="shared" si="57"/>
        <v>7014.1584937572679</v>
      </c>
      <c r="N392">
        <f t="shared" si="58"/>
        <v>199656.75839035396</v>
      </c>
      <c r="O392">
        <f t="shared" si="59"/>
        <v>95668.880932149725</v>
      </c>
      <c r="P392">
        <f t="shared" si="60"/>
        <v>81801.228418026149</v>
      </c>
      <c r="Q392">
        <f t="shared" si="61"/>
        <v>6461.7248498241352</v>
      </c>
      <c r="R392">
        <f t="shared" si="62"/>
        <v>183931.83420000001</v>
      </c>
    </row>
    <row r="393" spans="1:18" x14ac:dyDescent="0.3">
      <c r="A393" t="s">
        <v>0</v>
      </c>
      <c r="B393" t="s">
        <v>0</v>
      </c>
      <c r="C393">
        <v>28</v>
      </c>
      <c r="D393">
        <v>28</v>
      </c>
      <c r="E393">
        <v>3</v>
      </c>
      <c r="F393">
        <v>20260104</v>
      </c>
      <c r="G393">
        <v>20260303</v>
      </c>
      <c r="H393">
        <v>478161.00319999998</v>
      </c>
      <c r="I393">
        <f t="shared" si="53"/>
        <v>59</v>
      </c>
      <c r="J393">
        <f t="shared" si="54"/>
        <v>8104.4237830508473</v>
      </c>
      <c r="K393">
        <f t="shared" si="55"/>
        <v>275223.37058057997</v>
      </c>
      <c r="L393">
        <f t="shared" si="56"/>
        <v>226923.86592542371</v>
      </c>
      <c r="M393">
        <f t="shared" si="57"/>
        <v>17925.398087852493</v>
      </c>
      <c r="N393">
        <f t="shared" si="58"/>
        <v>520072.63459385617</v>
      </c>
      <c r="O393">
        <f t="shared" si="59"/>
        <v>253043.66011041438</v>
      </c>
      <c r="P393">
        <f t="shared" si="60"/>
        <v>208636.51760039118</v>
      </c>
      <c r="Q393">
        <f t="shared" si="61"/>
        <v>16480.825489194398</v>
      </c>
      <c r="R393">
        <f t="shared" si="62"/>
        <v>478161.00319999998</v>
      </c>
    </row>
    <row r="394" spans="1:18" x14ac:dyDescent="0.3">
      <c r="A394" t="s">
        <v>0</v>
      </c>
      <c r="B394" t="s">
        <v>0</v>
      </c>
      <c r="C394">
        <v>28</v>
      </c>
      <c r="D394">
        <v>28</v>
      </c>
      <c r="E394">
        <v>4</v>
      </c>
      <c r="F394">
        <v>20260104</v>
      </c>
      <c r="G394">
        <v>20260304</v>
      </c>
      <c r="H394">
        <v>211217.12830000001</v>
      </c>
      <c r="I394">
        <f t="shared" si="53"/>
        <v>60</v>
      </c>
      <c r="J394">
        <f t="shared" si="54"/>
        <v>3520.285471666667</v>
      </c>
      <c r="K394">
        <f t="shared" si="55"/>
        <v>119547.65185702385</v>
      </c>
      <c r="L394">
        <f t="shared" si="56"/>
        <v>98567.993206666681</v>
      </c>
      <c r="M394">
        <f t="shared" si="57"/>
        <v>10381.575980676589</v>
      </c>
      <c r="N394">
        <f t="shared" si="58"/>
        <v>228497.22104436715</v>
      </c>
      <c r="O394">
        <f t="shared" si="59"/>
        <v>110506.86570645806</v>
      </c>
      <c r="P394">
        <f t="shared" si="60"/>
        <v>91113.792860367379</v>
      </c>
      <c r="Q394">
        <f t="shared" si="61"/>
        <v>9596.4697331745574</v>
      </c>
      <c r="R394">
        <f t="shared" si="62"/>
        <v>211217.12830000001</v>
      </c>
    </row>
    <row r="395" spans="1:18" x14ac:dyDescent="0.3">
      <c r="A395" t="s">
        <v>0</v>
      </c>
      <c r="B395" t="s">
        <v>0</v>
      </c>
      <c r="C395">
        <v>27</v>
      </c>
      <c r="D395">
        <v>28</v>
      </c>
      <c r="E395">
        <v>2</v>
      </c>
      <c r="F395">
        <v>20260105</v>
      </c>
      <c r="G395">
        <v>20260302</v>
      </c>
      <c r="H395">
        <v>321769.25770000002</v>
      </c>
      <c r="I395">
        <f t="shared" ref="I395:I425" si="63">IF(C395&lt;0,0,C395)+D395+E395</f>
        <v>57</v>
      </c>
      <c r="J395">
        <f t="shared" ref="J395:J425" si="64">H395/I395</f>
        <v>5645.0746964912287</v>
      </c>
      <c r="K395">
        <f t="shared" ref="K395:K425" si="65">IF(C395&lt;0,0,C395)*$J395*$B$6</f>
        <v>184858.14582749736</v>
      </c>
      <c r="L395">
        <f t="shared" ref="L395:L425" si="66">IF(D395&lt;0,0,D395)*$J395*$C$6</f>
        <v>158062.09150175442</v>
      </c>
      <c r="M395">
        <f t="shared" ref="M395:M425" si="67">IF(E395&lt;0,0,E395)*$J395*$D$6</f>
        <v>8323.866395197816</v>
      </c>
      <c r="N395">
        <f t="shared" ref="N395:N425" si="68">K395+L395+M395</f>
        <v>351244.10372444958</v>
      </c>
      <c r="O395">
        <f t="shared" ref="O395:O425" si="69">K395/$N395*$H395</f>
        <v>169345.67080840009</v>
      </c>
      <c r="P395">
        <f t="shared" ref="P395:P425" si="70">L395/$N395*$H395</f>
        <v>144798.22241493969</v>
      </c>
      <c r="Q395">
        <f t="shared" ref="Q395:Q425" si="71">M395/$N395*$H395</f>
        <v>7625.364476660222</v>
      </c>
      <c r="R395">
        <f t="shared" ref="R395:R425" si="72">O395+P395+Q395</f>
        <v>321769.25770000002</v>
      </c>
    </row>
    <row r="396" spans="1:18" x14ac:dyDescent="0.3">
      <c r="A396" t="s">
        <v>0</v>
      </c>
      <c r="B396" t="s">
        <v>0</v>
      </c>
      <c r="C396">
        <v>28</v>
      </c>
      <c r="D396">
        <v>28</v>
      </c>
      <c r="E396">
        <v>5</v>
      </c>
      <c r="F396">
        <v>20260104</v>
      </c>
      <c r="G396">
        <v>20260305</v>
      </c>
      <c r="H396">
        <v>95915.705600000001</v>
      </c>
      <c r="I396">
        <f t="shared" si="63"/>
        <v>61</v>
      </c>
      <c r="J396">
        <f t="shared" si="64"/>
        <v>1572.3886163934426</v>
      </c>
      <c r="K396">
        <f t="shared" si="65"/>
        <v>53397.762314871135</v>
      </c>
      <c r="L396">
        <f t="shared" si="66"/>
        <v>44026.881259016394</v>
      </c>
      <c r="M396">
        <f t="shared" si="67"/>
        <v>5796.3594229870005</v>
      </c>
      <c r="N396">
        <f t="shared" si="68"/>
        <v>103221.00299687454</v>
      </c>
      <c r="O396">
        <f t="shared" si="69"/>
        <v>49618.623159930306</v>
      </c>
      <c r="P396">
        <f t="shared" si="70"/>
        <v>40910.950860008976</v>
      </c>
      <c r="Q396">
        <f t="shared" si="71"/>
        <v>5386.131580060709</v>
      </c>
      <c r="R396">
        <f t="shared" si="72"/>
        <v>95915.705600000001</v>
      </c>
    </row>
    <row r="397" spans="1:18" x14ac:dyDescent="0.3">
      <c r="A397" t="s">
        <v>0</v>
      </c>
      <c r="B397" t="s">
        <v>0</v>
      </c>
      <c r="C397">
        <v>30</v>
      </c>
      <c r="D397">
        <v>28</v>
      </c>
      <c r="E397">
        <v>6</v>
      </c>
      <c r="F397">
        <v>20260102</v>
      </c>
      <c r="G397">
        <v>20260306</v>
      </c>
      <c r="H397">
        <v>153343.63</v>
      </c>
      <c r="I397">
        <f t="shared" si="63"/>
        <v>64</v>
      </c>
      <c r="J397">
        <f t="shared" si="64"/>
        <v>2395.9942187500001</v>
      </c>
      <c r="K397">
        <f t="shared" si="65"/>
        <v>87179.054801491191</v>
      </c>
      <c r="L397">
        <f t="shared" si="66"/>
        <v>67087.838125000009</v>
      </c>
      <c r="M397">
        <f t="shared" si="67"/>
        <v>10598.939872100074</v>
      </c>
      <c r="N397">
        <f t="shared" si="68"/>
        <v>164865.83279859129</v>
      </c>
      <c r="O397">
        <f t="shared" si="69"/>
        <v>81086.253569355787</v>
      </c>
      <c r="P397">
        <f t="shared" si="70"/>
        <v>62399.179091932492</v>
      </c>
      <c r="Q397">
        <f t="shared" si="71"/>
        <v>9858.1973387117032</v>
      </c>
      <c r="R397">
        <f t="shared" si="72"/>
        <v>153343.62999999998</v>
      </c>
    </row>
    <row r="398" spans="1:18" x14ac:dyDescent="0.3">
      <c r="A398" t="s">
        <v>0</v>
      </c>
      <c r="B398" t="s">
        <v>0</v>
      </c>
      <c r="C398">
        <v>24</v>
      </c>
      <c r="D398">
        <v>28</v>
      </c>
      <c r="E398">
        <v>8</v>
      </c>
      <c r="F398">
        <v>20260108</v>
      </c>
      <c r="G398">
        <v>20260308</v>
      </c>
      <c r="H398">
        <v>46387.228999999999</v>
      </c>
      <c r="I398">
        <f t="shared" si="63"/>
        <v>60</v>
      </c>
      <c r="J398">
        <f t="shared" si="64"/>
        <v>773.12048333333337</v>
      </c>
      <c r="K398">
        <f t="shared" si="65"/>
        <v>22504.198869005566</v>
      </c>
      <c r="L398">
        <f t="shared" si="66"/>
        <v>21647.373533333335</v>
      </c>
      <c r="M398">
        <f t="shared" si="67"/>
        <v>4559.976231781241</v>
      </c>
      <c r="N398">
        <f t="shared" si="68"/>
        <v>48711.548634120147</v>
      </c>
      <c r="O398">
        <f t="shared" si="69"/>
        <v>21430.388802438814</v>
      </c>
      <c r="P398">
        <f t="shared" si="70"/>
        <v>20614.447733568966</v>
      </c>
      <c r="Q398">
        <f t="shared" si="71"/>
        <v>4342.3924639922134</v>
      </c>
      <c r="R398">
        <f t="shared" si="72"/>
        <v>46387.228999999992</v>
      </c>
    </row>
    <row r="399" spans="1:18" x14ac:dyDescent="0.3">
      <c r="A399" t="s">
        <v>0</v>
      </c>
      <c r="B399" t="s">
        <v>0</v>
      </c>
      <c r="C399">
        <v>24</v>
      </c>
      <c r="D399">
        <v>28</v>
      </c>
      <c r="E399">
        <v>1</v>
      </c>
      <c r="F399">
        <v>20260108</v>
      </c>
      <c r="G399">
        <v>20260301</v>
      </c>
      <c r="H399">
        <v>74728.005799999999</v>
      </c>
      <c r="I399">
        <f t="shared" si="63"/>
        <v>53</v>
      </c>
      <c r="J399">
        <f t="shared" si="64"/>
        <v>1409.9623735849057</v>
      </c>
      <c r="K399">
        <f t="shared" si="65"/>
        <v>41041.563814432418</v>
      </c>
      <c r="L399">
        <f t="shared" si="66"/>
        <v>39478.946460377359</v>
      </c>
      <c r="M399">
        <f t="shared" si="67"/>
        <v>1039.520205753134</v>
      </c>
      <c r="N399">
        <f t="shared" si="68"/>
        <v>81560.030480562913</v>
      </c>
      <c r="O399">
        <f t="shared" si="69"/>
        <v>37603.642380894904</v>
      </c>
      <c r="P399">
        <f t="shared" si="70"/>
        <v>36171.920518985651</v>
      </c>
      <c r="Q399">
        <f t="shared" si="71"/>
        <v>952.44290011944145</v>
      </c>
      <c r="R399">
        <f t="shared" si="72"/>
        <v>74728.005799999984</v>
      </c>
    </row>
    <row r="400" spans="1:18" x14ac:dyDescent="0.3">
      <c r="A400" t="s">
        <v>0</v>
      </c>
      <c r="B400" t="s">
        <v>0</v>
      </c>
      <c r="C400">
        <v>30</v>
      </c>
      <c r="D400">
        <v>28</v>
      </c>
      <c r="E400">
        <v>7</v>
      </c>
      <c r="F400">
        <v>20260102</v>
      </c>
      <c r="G400">
        <v>20260307</v>
      </c>
      <c r="H400">
        <v>102109.9611</v>
      </c>
      <c r="I400">
        <f t="shared" si="63"/>
        <v>65</v>
      </c>
      <c r="J400">
        <f t="shared" si="64"/>
        <v>1570.9224784615385</v>
      </c>
      <c r="K400">
        <f t="shared" si="65"/>
        <v>57158.542273170009</v>
      </c>
      <c r="L400">
        <f t="shared" si="66"/>
        <v>43985.82939692308</v>
      </c>
      <c r="M400">
        <f t="shared" si="67"/>
        <v>8107.3366356322649</v>
      </c>
      <c r="N400">
        <f t="shared" si="68"/>
        <v>109251.70830572536</v>
      </c>
      <c r="O400">
        <f t="shared" si="69"/>
        <v>53422.107704838825</v>
      </c>
      <c r="P400">
        <f t="shared" si="70"/>
        <v>41110.490612215712</v>
      </c>
      <c r="Q400">
        <f t="shared" si="71"/>
        <v>7577.3627829454481</v>
      </c>
      <c r="R400">
        <f t="shared" si="72"/>
        <v>102109.96109999999</v>
      </c>
    </row>
    <row r="401" spans="1:18" x14ac:dyDescent="0.3">
      <c r="A401" t="s">
        <v>0</v>
      </c>
      <c r="B401" t="s">
        <v>0</v>
      </c>
      <c r="C401">
        <v>23</v>
      </c>
      <c r="D401">
        <v>28</v>
      </c>
      <c r="E401">
        <v>1</v>
      </c>
      <c r="F401">
        <v>20260109</v>
      </c>
      <c r="G401">
        <v>20260301</v>
      </c>
      <c r="H401">
        <v>23747.904900000001</v>
      </c>
      <c r="I401">
        <f t="shared" si="63"/>
        <v>52</v>
      </c>
      <c r="J401">
        <f t="shared" si="64"/>
        <v>456.69047884615389</v>
      </c>
      <c r="K401">
        <f t="shared" si="65"/>
        <v>12739.574680312882</v>
      </c>
      <c r="L401">
        <f t="shared" si="66"/>
        <v>12787.333407692309</v>
      </c>
      <c r="M401">
        <f t="shared" si="67"/>
        <v>336.70329749906841</v>
      </c>
      <c r="N401">
        <f t="shared" si="68"/>
        <v>25863.61138550426</v>
      </c>
      <c r="O401">
        <f t="shared" si="69"/>
        <v>11697.446403176371</v>
      </c>
      <c r="P401">
        <f t="shared" si="70"/>
        <v>11741.29835018588</v>
      </c>
      <c r="Q401">
        <f t="shared" si="71"/>
        <v>309.16014663775024</v>
      </c>
      <c r="R401">
        <f t="shared" si="72"/>
        <v>23747.904900000001</v>
      </c>
    </row>
    <row r="402" spans="1:18" x14ac:dyDescent="0.3">
      <c r="A402" t="s">
        <v>0</v>
      </c>
      <c r="B402" t="s">
        <v>0</v>
      </c>
      <c r="C402">
        <v>27</v>
      </c>
      <c r="D402">
        <v>28</v>
      </c>
      <c r="E402">
        <v>8</v>
      </c>
      <c r="F402">
        <v>20260105</v>
      </c>
      <c r="G402">
        <v>20260308</v>
      </c>
      <c r="H402">
        <v>23208.1459</v>
      </c>
      <c r="I402">
        <f t="shared" si="63"/>
        <v>63</v>
      </c>
      <c r="J402">
        <f t="shared" si="64"/>
        <v>368.38326825396825</v>
      </c>
      <c r="K402">
        <f t="shared" si="65"/>
        <v>12063.374106569352</v>
      </c>
      <c r="L402">
        <f t="shared" si="66"/>
        <v>10314.731511111111</v>
      </c>
      <c r="M402">
        <f t="shared" si="67"/>
        <v>2172.777702359399</v>
      </c>
      <c r="N402">
        <f t="shared" si="68"/>
        <v>24550.883320039862</v>
      </c>
      <c r="O402">
        <f t="shared" si="69"/>
        <v>11403.603799583741</v>
      </c>
      <c r="P402">
        <f t="shared" si="70"/>
        <v>9750.5980012455802</v>
      </c>
      <c r="Q402">
        <f t="shared" si="71"/>
        <v>2053.9440991706783</v>
      </c>
      <c r="R402">
        <f t="shared" si="72"/>
        <v>23208.145900000003</v>
      </c>
    </row>
    <row r="403" spans="1:18" x14ac:dyDescent="0.3">
      <c r="A403" t="s">
        <v>0</v>
      </c>
      <c r="B403" t="s">
        <v>0</v>
      </c>
      <c r="C403">
        <v>25</v>
      </c>
      <c r="D403">
        <v>28</v>
      </c>
      <c r="E403">
        <v>9</v>
      </c>
      <c r="F403">
        <v>20260107</v>
      </c>
      <c r="G403">
        <v>20260309</v>
      </c>
      <c r="H403">
        <v>22034.470700000002</v>
      </c>
      <c r="I403">
        <f t="shared" si="63"/>
        <v>62</v>
      </c>
      <c r="J403">
        <f t="shared" si="64"/>
        <v>355.39468870967744</v>
      </c>
      <c r="K403">
        <f t="shared" si="65"/>
        <v>10775.962646570928</v>
      </c>
      <c r="L403">
        <f t="shared" si="66"/>
        <v>9951.0512838709692</v>
      </c>
      <c r="M403">
        <f t="shared" si="67"/>
        <v>2358.1903330693881</v>
      </c>
      <c r="N403">
        <f t="shared" si="68"/>
        <v>23085.204263511288</v>
      </c>
      <c r="O403">
        <f t="shared" si="69"/>
        <v>10285.489809395616</v>
      </c>
      <c r="P403">
        <f t="shared" si="70"/>
        <v>9498.1246622637263</v>
      </c>
      <c r="Q403">
        <f t="shared" si="71"/>
        <v>2250.8562283406573</v>
      </c>
      <c r="R403">
        <f t="shared" si="72"/>
        <v>22034.470699999998</v>
      </c>
    </row>
    <row r="404" spans="1:18" x14ac:dyDescent="0.3">
      <c r="A404" t="s">
        <v>0</v>
      </c>
      <c r="B404" t="s">
        <v>0</v>
      </c>
      <c r="C404">
        <v>29</v>
      </c>
      <c r="D404">
        <v>19</v>
      </c>
      <c r="E404">
        <v>0</v>
      </c>
      <c r="F404">
        <v>20260103</v>
      </c>
      <c r="G404">
        <v>20260219</v>
      </c>
      <c r="H404">
        <v>126.1615</v>
      </c>
      <c r="I404">
        <f t="shared" si="63"/>
        <v>48</v>
      </c>
      <c r="J404">
        <f t="shared" si="64"/>
        <v>2.6283645833333336</v>
      </c>
      <c r="K404">
        <f t="shared" si="65"/>
        <v>92.446130982729343</v>
      </c>
      <c r="L404">
        <f t="shared" si="66"/>
        <v>49.93892708333334</v>
      </c>
      <c r="M404">
        <f t="shared" si="67"/>
        <v>0</v>
      </c>
      <c r="N404">
        <f t="shared" si="68"/>
        <v>142.3850580660627</v>
      </c>
      <c r="O404">
        <f t="shared" si="69"/>
        <v>81.912686010678414</v>
      </c>
      <c r="P404">
        <f t="shared" si="70"/>
        <v>44.248813989321569</v>
      </c>
      <c r="Q404">
        <f t="shared" si="71"/>
        <v>0</v>
      </c>
      <c r="R404">
        <f t="shared" si="72"/>
        <v>126.16149999999999</v>
      </c>
    </row>
    <row r="405" spans="1:18" x14ac:dyDescent="0.3">
      <c r="A405" t="s">
        <v>0</v>
      </c>
      <c r="B405" t="s">
        <v>0</v>
      </c>
      <c r="C405">
        <v>28</v>
      </c>
      <c r="D405">
        <v>25</v>
      </c>
      <c r="E405">
        <v>0</v>
      </c>
      <c r="F405">
        <v>20260104</v>
      </c>
      <c r="G405">
        <v>20260225</v>
      </c>
      <c r="H405">
        <v>799.30460000000005</v>
      </c>
      <c r="I405">
        <f t="shared" si="63"/>
        <v>53</v>
      </c>
      <c r="J405">
        <f t="shared" si="64"/>
        <v>15.081218867924528</v>
      </c>
      <c r="K405">
        <f t="shared" si="65"/>
        <v>512.15286865602764</v>
      </c>
      <c r="L405">
        <f t="shared" si="66"/>
        <v>377.03047169811322</v>
      </c>
      <c r="M405">
        <f t="shared" si="67"/>
        <v>0</v>
      </c>
      <c r="N405">
        <f t="shared" si="68"/>
        <v>889.18334035414091</v>
      </c>
      <c r="O405">
        <f t="shared" si="69"/>
        <v>460.38440582671933</v>
      </c>
      <c r="P405">
        <f t="shared" si="70"/>
        <v>338.92019417328066</v>
      </c>
      <c r="Q405">
        <f t="shared" si="71"/>
        <v>0</v>
      </c>
      <c r="R405">
        <f t="shared" si="72"/>
        <v>799.30459999999994</v>
      </c>
    </row>
    <row r="406" spans="1:18" x14ac:dyDescent="0.3">
      <c r="A406" t="s">
        <v>0</v>
      </c>
      <c r="B406" t="s">
        <v>0</v>
      </c>
      <c r="C406">
        <v>29</v>
      </c>
      <c r="D406">
        <v>27</v>
      </c>
      <c r="E406">
        <v>0</v>
      </c>
      <c r="F406">
        <v>20260103</v>
      </c>
      <c r="G406">
        <v>20260227</v>
      </c>
      <c r="H406">
        <v>420.72620000000001</v>
      </c>
      <c r="I406">
        <f t="shared" si="63"/>
        <v>56</v>
      </c>
      <c r="J406">
        <f t="shared" si="64"/>
        <v>7.5129678571428569</v>
      </c>
      <c r="K406">
        <f t="shared" si="65"/>
        <v>264.24979814239896</v>
      </c>
      <c r="L406">
        <f t="shared" si="66"/>
        <v>202.85013214285715</v>
      </c>
      <c r="M406">
        <f t="shared" si="67"/>
        <v>0</v>
      </c>
      <c r="N406">
        <f t="shared" si="68"/>
        <v>467.09993028525611</v>
      </c>
      <c r="O406">
        <f t="shared" si="69"/>
        <v>238.01505034548671</v>
      </c>
      <c r="P406">
        <f t="shared" si="70"/>
        <v>182.71114965451326</v>
      </c>
      <c r="Q406">
        <f t="shared" si="71"/>
        <v>0</v>
      </c>
      <c r="R406">
        <f t="shared" si="72"/>
        <v>420.72619999999995</v>
      </c>
    </row>
    <row r="407" spans="1:18" x14ac:dyDescent="0.3">
      <c r="A407" t="s">
        <v>0</v>
      </c>
      <c r="B407" t="s">
        <v>0</v>
      </c>
      <c r="C407">
        <v>12</v>
      </c>
      <c r="D407">
        <v>27</v>
      </c>
      <c r="E407">
        <v>0</v>
      </c>
      <c r="F407">
        <v>20260120</v>
      </c>
      <c r="G407">
        <v>20260227</v>
      </c>
      <c r="H407">
        <v>294.90260000000001</v>
      </c>
      <c r="I407">
        <f t="shared" si="63"/>
        <v>39</v>
      </c>
      <c r="J407">
        <f t="shared" si="64"/>
        <v>7.5616051282051284</v>
      </c>
      <c r="K407">
        <f t="shared" si="65"/>
        <v>110.0526174396107</v>
      </c>
      <c r="L407">
        <f t="shared" si="66"/>
        <v>204.16333846153847</v>
      </c>
      <c r="M407">
        <f t="shared" si="67"/>
        <v>0</v>
      </c>
      <c r="N407">
        <f t="shared" si="68"/>
        <v>314.21595590114919</v>
      </c>
      <c r="O407">
        <f t="shared" si="69"/>
        <v>103.28820803090171</v>
      </c>
      <c r="P407">
        <f t="shared" si="70"/>
        <v>191.61439196909828</v>
      </c>
      <c r="Q407">
        <f t="shared" si="71"/>
        <v>0</v>
      </c>
      <c r="R407">
        <f t="shared" si="72"/>
        <v>294.90260000000001</v>
      </c>
    </row>
    <row r="408" spans="1:18" x14ac:dyDescent="0.3">
      <c r="A408" t="s">
        <v>0</v>
      </c>
      <c r="B408" t="s">
        <v>0</v>
      </c>
      <c r="C408">
        <v>15</v>
      </c>
      <c r="D408">
        <v>28</v>
      </c>
      <c r="E408">
        <v>6</v>
      </c>
      <c r="F408">
        <v>20260117</v>
      </c>
      <c r="G408">
        <v>20260306</v>
      </c>
      <c r="H408">
        <v>379.41840000000002</v>
      </c>
      <c r="I408">
        <f t="shared" si="63"/>
        <v>49</v>
      </c>
      <c r="J408">
        <f t="shared" si="64"/>
        <v>7.7432326530612245</v>
      </c>
      <c r="K408">
        <f t="shared" si="65"/>
        <v>140.87006106260466</v>
      </c>
      <c r="L408">
        <f t="shared" si="66"/>
        <v>216.81051428571428</v>
      </c>
      <c r="M408">
        <f t="shared" si="67"/>
        <v>34.253028101334124</v>
      </c>
      <c r="N408">
        <f t="shared" si="68"/>
        <v>391.93360344965305</v>
      </c>
      <c r="O408">
        <f t="shared" si="69"/>
        <v>136.37180559625494</v>
      </c>
      <c r="P408">
        <f t="shared" si="70"/>
        <v>209.88733221500883</v>
      </c>
      <c r="Q408">
        <f t="shared" si="71"/>
        <v>33.159262188736257</v>
      </c>
      <c r="R408">
        <f t="shared" si="72"/>
        <v>379.41840000000002</v>
      </c>
    </row>
    <row r="409" spans="1:18" x14ac:dyDescent="0.3">
      <c r="A409" t="s">
        <v>0</v>
      </c>
      <c r="B409" t="s">
        <v>0</v>
      </c>
      <c r="C409">
        <v>18</v>
      </c>
      <c r="D409">
        <v>28</v>
      </c>
      <c r="E409">
        <v>4</v>
      </c>
      <c r="F409">
        <v>20260114</v>
      </c>
      <c r="G409">
        <v>20260304</v>
      </c>
      <c r="H409">
        <v>463.47280000000001</v>
      </c>
      <c r="I409">
        <f t="shared" si="63"/>
        <v>50</v>
      </c>
      <c r="J409">
        <f t="shared" si="64"/>
        <v>9.2694559999999999</v>
      </c>
      <c r="K409">
        <f t="shared" si="65"/>
        <v>202.36336288630989</v>
      </c>
      <c r="L409">
        <f t="shared" si="66"/>
        <v>259.54476799999998</v>
      </c>
      <c r="M409">
        <f t="shared" si="67"/>
        <v>27.336294893714395</v>
      </c>
      <c r="N409">
        <f t="shared" si="68"/>
        <v>489.2444257800243</v>
      </c>
      <c r="O409">
        <f t="shared" si="69"/>
        <v>191.70359328019052</v>
      </c>
      <c r="P409">
        <f t="shared" si="70"/>
        <v>245.87288891135253</v>
      </c>
      <c r="Q409">
        <f t="shared" si="71"/>
        <v>25.896317808456899</v>
      </c>
      <c r="R409">
        <f t="shared" si="72"/>
        <v>463.47279999999995</v>
      </c>
    </row>
    <row r="410" spans="1:18" x14ac:dyDescent="0.3">
      <c r="A410" t="s">
        <v>0</v>
      </c>
      <c r="B410" t="s">
        <v>0</v>
      </c>
      <c r="C410">
        <v>19</v>
      </c>
      <c r="D410">
        <v>28</v>
      </c>
      <c r="E410">
        <v>2</v>
      </c>
      <c r="F410">
        <v>20260113</v>
      </c>
      <c r="G410">
        <v>20260302</v>
      </c>
      <c r="H410">
        <v>589.68060000000003</v>
      </c>
      <c r="I410">
        <f t="shared" si="63"/>
        <v>49</v>
      </c>
      <c r="J410">
        <f t="shared" si="64"/>
        <v>12.034297959183673</v>
      </c>
      <c r="K410">
        <f t="shared" si="65"/>
        <v>277.31891766613211</v>
      </c>
      <c r="L410">
        <f t="shared" si="66"/>
        <v>336.96034285714285</v>
      </c>
      <c r="M410">
        <f t="shared" si="67"/>
        <v>17.74500671080753</v>
      </c>
      <c r="N410">
        <f t="shared" si="68"/>
        <v>632.02426723408246</v>
      </c>
      <c r="O410">
        <f t="shared" si="69"/>
        <v>258.73940960584832</v>
      </c>
      <c r="P410">
        <f t="shared" si="70"/>
        <v>314.38504414042336</v>
      </c>
      <c r="Q410">
        <f t="shared" si="71"/>
        <v>16.556146253728432</v>
      </c>
      <c r="R410">
        <f t="shared" si="72"/>
        <v>589.68060000000014</v>
      </c>
    </row>
    <row r="411" spans="1:18" x14ac:dyDescent="0.3">
      <c r="A411" t="s">
        <v>0</v>
      </c>
      <c r="B411" t="s">
        <v>0</v>
      </c>
      <c r="C411">
        <v>31</v>
      </c>
      <c r="D411">
        <v>28</v>
      </c>
      <c r="E411">
        <v>3</v>
      </c>
      <c r="F411">
        <v>20251230</v>
      </c>
      <c r="G411">
        <v>20260303</v>
      </c>
      <c r="H411">
        <v>631.22260000000006</v>
      </c>
      <c r="I411">
        <f t="shared" si="63"/>
        <v>62</v>
      </c>
      <c r="J411">
        <f t="shared" si="64"/>
        <v>10.181009677419356</v>
      </c>
      <c r="K411">
        <f t="shared" si="65"/>
        <v>382.78744029447074</v>
      </c>
      <c r="L411">
        <f t="shared" si="66"/>
        <v>285.06827096774197</v>
      </c>
      <c r="M411">
        <f t="shared" si="67"/>
        <v>22.518399369204808</v>
      </c>
      <c r="N411">
        <f t="shared" si="68"/>
        <v>690.37411063141747</v>
      </c>
      <c r="O411">
        <f t="shared" si="69"/>
        <v>349.99007000571152</v>
      </c>
      <c r="P411">
        <f t="shared" si="70"/>
        <v>260.64351546031725</v>
      </c>
      <c r="Q411">
        <f t="shared" si="71"/>
        <v>20.58901453397138</v>
      </c>
      <c r="R411">
        <f t="shared" si="72"/>
        <v>631.22260000000017</v>
      </c>
    </row>
    <row r="412" spans="1:18" x14ac:dyDescent="0.3">
      <c r="A412" t="s">
        <v>0</v>
      </c>
      <c r="B412" t="s">
        <v>0</v>
      </c>
      <c r="C412">
        <v>17</v>
      </c>
      <c r="D412">
        <v>28</v>
      </c>
      <c r="E412">
        <v>2</v>
      </c>
      <c r="F412">
        <v>20260115</v>
      </c>
      <c r="G412">
        <v>20260302</v>
      </c>
      <c r="H412">
        <v>463.41829999999999</v>
      </c>
      <c r="I412">
        <f t="shared" si="63"/>
        <v>47</v>
      </c>
      <c r="J412">
        <f t="shared" si="64"/>
        <v>9.8599638297872332</v>
      </c>
      <c r="K412">
        <f t="shared" si="65"/>
        <v>203.2962551360026</v>
      </c>
      <c r="L412">
        <f t="shared" si="66"/>
        <v>276.07898723404253</v>
      </c>
      <c r="M412">
        <f t="shared" si="67"/>
        <v>14.538872555866353</v>
      </c>
      <c r="N412">
        <f t="shared" si="68"/>
        <v>493.91411492591152</v>
      </c>
      <c r="O412">
        <f t="shared" si="69"/>
        <v>190.7441032852939</v>
      </c>
      <c r="P412">
        <f t="shared" si="70"/>
        <v>259.03299999618974</v>
      </c>
      <c r="Q412">
        <f t="shared" si="71"/>
        <v>13.641196718516326</v>
      </c>
      <c r="R412">
        <f t="shared" si="72"/>
        <v>463.41829999999993</v>
      </c>
    </row>
    <row r="413" spans="1:18" x14ac:dyDescent="0.3">
      <c r="A413" t="s">
        <v>0</v>
      </c>
      <c r="B413" t="s">
        <v>0</v>
      </c>
      <c r="C413">
        <v>13</v>
      </c>
      <c r="D413">
        <v>28</v>
      </c>
      <c r="E413">
        <v>2</v>
      </c>
      <c r="F413">
        <v>20260119</v>
      </c>
      <c r="G413">
        <v>20260302</v>
      </c>
      <c r="H413">
        <v>463.58139999999997</v>
      </c>
      <c r="I413">
        <f t="shared" si="63"/>
        <v>43</v>
      </c>
      <c r="J413">
        <f t="shared" si="64"/>
        <v>10.780962790697673</v>
      </c>
      <c r="K413">
        <f t="shared" si="65"/>
        <v>169.98321339348192</v>
      </c>
      <c r="L413">
        <f t="shared" si="66"/>
        <v>301.86695813953486</v>
      </c>
      <c r="M413">
        <f t="shared" si="67"/>
        <v>15.896918766574528</v>
      </c>
      <c r="N413">
        <f t="shared" si="68"/>
        <v>487.74709029959132</v>
      </c>
      <c r="O413">
        <f t="shared" si="69"/>
        <v>161.56130422643162</v>
      </c>
      <c r="P413">
        <f t="shared" si="70"/>
        <v>286.91079834450875</v>
      </c>
      <c r="Q413">
        <f t="shared" si="71"/>
        <v>15.109297429059554</v>
      </c>
      <c r="R413">
        <f t="shared" si="72"/>
        <v>463.58139999999992</v>
      </c>
    </row>
    <row r="414" spans="1:18" x14ac:dyDescent="0.3">
      <c r="A414" t="s">
        <v>0</v>
      </c>
      <c r="B414" t="s">
        <v>0</v>
      </c>
      <c r="C414">
        <v>13</v>
      </c>
      <c r="D414">
        <v>28</v>
      </c>
      <c r="E414">
        <v>4</v>
      </c>
      <c r="F414">
        <v>20260119</v>
      </c>
      <c r="G414">
        <v>20260304</v>
      </c>
      <c r="H414">
        <v>379.39170000000001</v>
      </c>
      <c r="I414">
        <f t="shared" si="63"/>
        <v>45</v>
      </c>
      <c r="J414">
        <f t="shared" si="64"/>
        <v>8.4309266666666662</v>
      </c>
      <c r="K414">
        <f t="shared" si="65"/>
        <v>132.93024329156927</v>
      </c>
      <c r="L414">
        <f t="shared" si="66"/>
        <v>236.06594666666666</v>
      </c>
      <c r="M414">
        <f t="shared" si="67"/>
        <v>24.863411357395787</v>
      </c>
      <c r="N414">
        <f t="shared" si="68"/>
        <v>393.85960131563172</v>
      </c>
      <c r="O414">
        <f t="shared" si="69"/>
        <v>128.04723006710782</v>
      </c>
      <c r="P414">
        <f t="shared" si="70"/>
        <v>227.39438246219908</v>
      </c>
      <c r="Q414">
        <f t="shared" si="71"/>
        <v>23.950087470693113</v>
      </c>
      <c r="R414">
        <f t="shared" si="72"/>
        <v>379.39170000000001</v>
      </c>
    </row>
    <row r="415" spans="1:18" x14ac:dyDescent="0.3">
      <c r="A415" t="s">
        <v>0</v>
      </c>
      <c r="B415" t="s">
        <v>0</v>
      </c>
      <c r="C415">
        <v>26</v>
      </c>
      <c r="D415">
        <v>28</v>
      </c>
      <c r="E415">
        <v>12</v>
      </c>
      <c r="F415">
        <v>20260106</v>
      </c>
      <c r="G415">
        <v>20260312</v>
      </c>
      <c r="H415">
        <v>1010.9998000000001</v>
      </c>
      <c r="I415">
        <f t="shared" si="63"/>
        <v>66</v>
      </c>
      <c r="J415">
        <f t="shared" si="64"/>
        <v>15.318178787878789</v>
      </c>
      <c r="K415">
        <f t="shared" si="65"/>
        <v>483.04280503522739</v>
      </c>
      <c r="L415">
        <f t="shared" si="66"/>
        <v>428.90900606060609</v>
      </c>
      <c r="M415">
        <f t="shared" si="67"/>
        <v>135.52324513329427</v>
      </c>
      <c r="N415">
        <f t="shared" si="68"/>
        <v>1047.4750562291279</v>
      </c>
      <c r="O415">
        <f t="shared" si="69"/>
        <v>466.22225166880673</v>
      </c>
      <c r="P415">
        <f t="shared" si="70"/>
        <v>413.97350396725693</v>
      </c>
      <c r="Q415">
        <f t="shared" si="71"/>
        <v>130.80404436393627</v>
      </c>
      <c r="R415">
        <f t="shared" si="72"/>
        <v>1010.9998000000001</v>
      </c>
    </row>
    <row r="416" spans="1:18" x14ac:dyDescent="0.3">
      <c r="A416" t="s">
        <v>0</v>
      </c>
      <c r="B416" t="s">
        <v>0</v>
      </c>
      <c r="C416">
        <v>26</v>
      </c>
      <c r="D416">
        <v>28</v>
      </c>
      <c r="E416">
        <v>10</v>
      </c>
      <c r="F416">
        <v>20260106</v>
      </c>
      <c r="G416">
        <v>20260310</v>
      </c>
      <c r="H416">
        <v>926.81500000000005</v>
      </c>
      <c r="I416">
        <f t="shared" si="63"/>
        <v>64</v>
      </c>
      <c r="J416">
        <f t="shared" si="64"/>
        <v>14.481484375000001</v>
      </c>
      <c r="K416">
        <f t="shared" si="65"/>
        <v>456.65851864250806</v>
      </c>
      <c r="L416">
        <f t="shared" si="66"/>
        <v>405.4815625</v>
      </c>
      <c r="M416">
        <f t="shared" si="67"/>
        <v>106.76735705248436</v>
      </c>
      <c r="N416">
        <f t="shared" si="68"/>
        <v>968.90743819499244</v>
      </c>
      <c r="O416">
        <f t="shared" si="69"/>
        <v>436.81981195656749</v>
      </c>
      <c r="P416">
        <f t="shared" si="70"/>
        <v>387.86614647993503</v>
      </c>
      <c r="Q416">
        <f t="shared" si="71"/>
        <v>102.12904156349752</v>
      </c>
      <c r="R416">
        <f t="shared" si="72"/>
        <v>926.81499999999994</v>
      </c>
    </row>
    <row r="417" spans="1:18" x14ac:dyDescent="0.3">
      <c r="A417" t="s">
        <v>0</v>
      </c>
      <c r="B417" t="s">
        <v>0</v>
      </c>
      <c r="C417">
        <v>31</v>
      </c>
      <c r="D417">
        <v>28</v>
      </c>
      <c r="E417">
        <v>1</v>
      </c>
      <c r="F417">
        <v>20251226</v>
      </c>
      <c r="G417">
        <v>20260301</v>
      </c>
      <c r="H417">
        <v>1808.9952000000001</v>
      </c>
      <c r="I417">
        <f t="shared" si="63"/>
        <v>60</v>
      </c>
      <c r="J417">
        <f t="shared" si="64"/>
        <v>30.149920000000002</v>
      </c>
      <c r="K417">
        <f t="shared" si="65"/>
        <v>1133.5821365026384</v>
      </c>
      <c r="L417">
        <f t="shared" si="66"/>
        <v>844.19776000000002</v>
      </c>
      <c r="M417">
        <f t="shared" si="67"/>
        <v>22.228572640667846</v>
      </c>
      <c r="N417">
        <f t="shared" si="68"/>
        <v>2000.0084691433062</v>
      </c>
      <c r="O417">
        <f t="shared" si="69"/>
        <v>1025.317980087055</v>
      </c>
      <c r="P417">
        <f t="shared" si="70"/>
        <v>763.57161444666235</v>
      </c>
      <c r="Q417">
        <f t="shared" si="71"/>
        <v>20.105605466282753</v>
      </c>
      <c r="R417">
        <f t="shared" si="72"/>
        <v>1808.9952000000001</v>
      </c>
    </row>
    <row r="418" spans="1:18" x14ac:dyDescent="0.3">
      <c r="A418" t="s">
        <v>0</v>
      </c>
      <c r="B418" t="s">
        <v>0</v>
      </c>
      <c r="C418">
        <v>0</v>
      </c>
      <c r="D418">
        <v>5</v>
      </c>
      <c r="E418">
        <v>5</v>
      </c>
      <c r="F418">
        <v>20260224</v>
      </c>
      <c r="G418">
        <v>20260305</v>
      </c>
      <c r="H418">
        <v>42.390799999999999</v>
      </c>
      <c r="I418">
        <f t="shared" si="63"/>
        <v>10</v>
      </c>
      <c r="J418">
        <f t="shared" si="64"/>
        <v>4.2390799999999995</v>
      </c>
      <c r="K418">
        <f t="shared" si="65"/>
        <v>0</v>
      </c>
      <c r="L418">
        <f t="shared" si="66"/>
        <v>21.195399999999999</v>
      </c>
      <c r="M418">
        <f t="shared" si="67"/>
        <v>15.626691166942109</v>
      </c>
      <c r="N418">
        <f t="shared" si="68"/>
        <v>36.822091166942108</v>
      </c>
      <c r="O418">
        <f t="shared" si="69"/>
        <v>0</v>
      </c>
      <c r="P418">
        <f t="shared" si="70"/>
        <v>24.400840197979857</v>
      </c>
      <c r="Q418">
        <f t="shared" si="71"/>
        <v>17.989959802020145</v>
      </c>
      <c r="R418">
        <f t="shared" si="72"/>
        <v>42.390799999999999</v>
      </c>
    </row>
    <row r="419" spans="1:18" x14ac:dyDescent="0.3">
      <c r="A419" t="s">
        <v>0</v>
      </c>
      <c r="B419" t="s">
        <v>0</v>
      </c>
      <c r="C419">
        <v>0</v>
      </c>
      <c r="D419">
        <v>22</v>
      </c>
      <c r="E419">
        <v>3</v>
      </c>
      <c r="F419">
        <v>20260207</v>
      </c>
      <c r="G419">
        <v>20260303</v>
      </c>
      <c r="H419">
        <v>168.89519999999999</v>
      </c>
      <c r="I419">
        <f t="shared" si="63"/>
        <v>25</v>
      </c>
      <c r="J419">
        <f t="shared" si="64"/>
        <v>6.7558079999999991</v>
      </c>
      <c r="K419">
        <f t="shared" si="65"/>
        <v>0</v>
      </c>
      <c r="L419">
        <f t="shared" si="66"/>
        <v>148.62777599999998</v>
      </c>
      <c r="M419">
        <f t="shared" si="67"/>
        <v>14.942524113603445</v>
      </c>
      <c r="N419">
        <f t="shared" si="68"/>
        <v>163.57030011360342</v>
      </c>
      <c r="O419">
        <f t="shared" si="69"/>
        <v>0</v>
      </c>
      <c r="P419">
        <f t="shared" si="70"/>
        <v>153.4662340023886</v>
      </c>
      <c r="Q419">
        <f t="shared" si="71"/>
        <v>15.428965997611382</v>
      </c>
      <c r="R419">
        <f t="shared" si="72"/>
        <v>168.89519999999999</v>
      </c>
    </row>
    <row r="420" spans="1:18" x14ac:dyDescent="0.3">
      <c r="A420" t="s">
        <v>0</v>
      </c>
      <c r="B420" t="s">
        <v>0</v>
      </c>
      <c r="C420">
        <v>4</v>
      </c>
      <c r="D420">
        <v>28</v>
      </c>
      <c r="E420">
        <v>1</v>
      </c>
      <c r="F420">
        <v>20260128</v>
      </c>
      <c r="G420">
        <v>20260301</v>
      </c>
      <c r="H420">
        <v>1096.4571000000001</v>
      </c>
      <c r="I420">
        <f t="shared" si="63"/>
        <v>33</v>
      </c>
      <c r="J420">
        <f t="shared" si="64"/>
        <v>33.225972727272733</v>
      </c>
      <c r="K420">
        <f t="shared" si="65"/>
        <v>161.19175772941745</v>
      </c>
      <c r="L420">
        <f t="shared" si="66"/>
        <v>930.32723636363653</v>
      </c>
      <c r="M420">
        <f t="shared" si="67"/>
        <v>24.496448027889649</v>
      </c>
      <c r="N420">
        <f t="shared" si="68"/>
        <v>1116.0154421209438</v>
      </c>
      <c r="O420">
        <f t="shared" si="69"/>
        <v>158.36684740491805</v>
      </c>
      <c r="P420">
        <f t="shared" si="70"/>
        <v>914.02310858324313</v>
      </c>
      <c r="Q420">
        <f t="shared" si="71"/>
        <v>24.06714401183871</v>
      </c>
      <c r="R420">
        <f t="shared" si="72"/>
        <v>1096.4570999999999</v>
      </c>
    </row>
    <row r="421" spans="1:18" x14ac:dyDescent="0.3">
      <c r="A421" t="s">
        <v>0</v>
      </c>
      <c r="B421" t="s">
        <v>0</v>
      </c>
      <c r="C421">
        <v>4</v>
      </c>
      <c r="D421">
        <v>28</v>
      </c>
      <c r="E421">
        <v>4</v>
      </c>
      <c r="F421">
        <v>20260128</v>
      </c>
      <c r="G421">
        <v>20260304</v>
      </c>
      <c r="H421">
        <v>295.33139999999997</v>
      </c>
      <c r="I421">
        <f t="shared" si="63"/>
        <v>36</v>
      </c>
      <c r="J421">
        <f t="shared" si="64"/>
        <v>8.2036499999999997</v>
      </c>
      <c r="K421">
        <f t="shared" si="65"/>
        <v>39.799008268357113</v>
      </c>
      <c r="L421">
        <f t="shared" si="66"/>
        <v>229.7022</v>
      </c>
      <c r="M421">
        <f t="shared" si="67"/>
        <v>24.193156060595154</v>
      </c>
      <c r="N421">
        <f t="shared" si="68"/>
        <v>293.69436432895225</v>
      </c>
      <c r="O421">
        <f t="shared" si="69"/>
        <v>40.020845675269861</v>
      </c>
      <c r="P421">
        <f t="shared" si="70"/>
        <v>230.98254698921554</v>
      </c>
      <c r="Q421">
        <f t="shared" si="71"/>
        <v>24.328007335514613</v>
      </c>
      <c r="R421">
        <f t="shared" si="72"/>
        <v>295.33139999999997</v>
      </c>
    </row>
    <row r="422" spans="1:18" x14ac:dyDescent="0.3">
      <c r="A422" t="s">
        <v>0</v>
      </c>
      <c r="B422" t="s">
        <v>0</v>
      </c>
      <c r="C422">
        <v>3</v>
      </c>
      <c r="D422">
        <v>28</v>
      </c>
      <c r="E422">
        <v>6</v>
      </c>
      <c r="F422">
        <v>20260129</v>
      </c>
      <c r="G422">
        <v>20260306</v>
      </c>
      <c r="H422">
        <v>42.212000000000003</v>
      </c>
      <c r="I422">
        <f t="shared" si="63"/>
        <v>37</v>
      </c>
      <c r="J422">
        <f t="shared" si="64"/>
        <v>1.1408648648648649</v>
      </c>
      <c r="K422">
        <f t="shared" si="65"/>
        <v>4.1510751485468251</v>
      </c>
      <c r="L422">
        <f t="shared" si="66"/>
        <v>31.944216216216219</v>
      </c>
      <c r="M422">
        <f t="shared" si="67"/>
        <v>5.0467392660082062</v>
      </c>
      <c r="N422">
        <f t="shared" si="68"/>
        <v>41.142030630771245</v>
      </c>
      <c r="O422">
        <f t="shared" si="69"/>
        <v>4.2590310075605</v>
      </c>
      <c r="P422">
        <f t="shared" si="70"/>
        <v>32.77498057935896</v>
      </c>
      <c r="Q422">
        <f t="shared" si="71"/>
        <v>5.1779884130805467</v>
      </c>
      <c r="R422">
        <f t="shared" si="72"/>
        <v>42.21200000000001</v>
      </c>
    </row>
    <row r="423" spans="1:18" x14ac:dyDescent="0.3">
      <c r="A423" t="s">
        <v>0</v>
      </c>
      <c r="B423" t="s">
        <v>0</v>
      </c>
      <c r="C423">
        <v>0</v>
      </c>
      <c r="D423">
        <v>9</v>
      </c>
      <c r="E423">
        <v>6</v>
      </c>
      <c r="F423">
        <v>20260220</v>
      </c>
      <c r="G423">
        <v>20260306</v>
      </c>
      <c r="H423">
        <v>42.343400000000003</v>
      </c>
      <c r="I423">
        <f t="shared" si="63"/>
        <v>15</v>
      </c>
      <c r="J423">
        <f t="shared" si="64"/>
        <v>2.8228933333333335</v>
      </c>
      <c r="K423">
        <f t="shared" si="65"/>
        <v>0</v>
      </c>
      <c r="L423">
        <f t="shared" si="66"/>
        <v>25.406040000000001</v>
      </c>
      <c r="M423">
        <f t="shared" si="67"/>
        <v>12.487374331379385</v>
      </c>
      <c r="N423">
        <f t="shared" si="68"/>
        <v>37.89341433137939</v>
      </c>
      <c r="O423">
        <f t="shared" si="69"/>
        <v>0</v>
      </c>
      <c r="P423">
        <f t="shared" si="70"/>
        <v>28.389579907692625</v>
      </c>
      <c r="Q423">
        <f t="shared" si="71"/>
        <v>13.953820092307373</v>
      </c>
      <c r="R423">
        <f t="shared" si="72"/>
        <v>42.343399999999995</v>
      </c>
    </row>
    <row r="424" spans="1:18" x14ac:dyDescent="0.3">
      <c r="A424" t="s">
        <v>0</v>
      </c>
      <c r="B424" t="s">
        <v>0</v>
      </c>
      <c r="C424">
        <v>0</v>
      </c>
      <c r="D424">
        <v>10</v>
      </c>
      <c r="E424">
        <v>2</v>
      </c>
      <c r="F424">
        <v>20260219</v>
      </c>
      <c r="G424">
        <v>20260302</v>
      </c>
      <c r="H424">
        <v>42.281100000000002</v>
      </c>
      <c r="I424">
        <f t="shared" si="63"/>
        <v>12</v>
      </c>
      <c r="J424">
        <f t="shared" si="64"/>
        <v>3.523425</v>
      </c>
      <c r="K424">
        <f t="shared" si="65"/>
        <v>0</v>
      </c>
      <c r="L424">
        <f t="shared" si="66"/>
        <v>35.234250000000003</v>
      </c>
      <c r="M424">
        <f t="shared" si="67"/>
        <v>5.195417338184984</v>
      </c>
      <c r="N424">
        <f t="shared" si="68"/>
        <v>40.429667338184984</v>
      </c>
      <c r="O424">
        <f t="shared" si="69"/>
        <v>0</v>
      </c>
      <c r="P424">
        <f t="shared" si="70"/>
        <v>36.84776417311673</v>
      </c>
      <c r="Q424">
        <f t="shared" si="71"/>
        <v>5.433335826883277</v>
      </c>
      <c r="R424">
        <f t="shared" si="72"/>
        <v>42.281100000000009</v>
      </c>
    </row>
    <row r="425" spans="1:18" x14ac:dyDescent="0.3">
      <c r="A425" t="s">
        <v>0</v>
      </c>
      <c r="B425" t="s">
        <v>0</v>
      </c>
      <c r="C425">
        <v>0</v>
      </c>
      <c r="D425">
        <v>18</v>
      </c>
      <c r="E425">
        <v>7</v>
      </c>
      <c r="F425">
        <v>20260211</v>
      </c>
      <c r="G425">
        <v>20260307</v>
      </c>
      <c r="H425">
        <v>84.552400000000006</v>
      </c>
      <c r="I425">
        <f t="shared" si="63"/>
        <v>25</v>
      </c>
      <c r="J425">
        <f t="shared" si="64"/>
        <v>3.3820960000000002</v>
      </c>
      <c r="K425">
        <f t="shared" si="65"/>
        <v>0</v>
      </c>
      <c r="L425">
        <f t="shared" si="66"/>
        <v>60.877728000000005</v>
      </c>
      <c r="M425">
        <f t="shared" si="67"/>
        <v>17.454579192780116</v>
      </c>
      <c r="N425">
        <f t="shared" si="68"/>
        <v>78.332307192780121</v>
      </c>
      <c r="O425">
        <f t="shared" si="69"/>
        <v>0</v>
      </c>
      <c r="P425">
        <f t="shared" si="70"/>
        <v>65.711814108567864</v>
      </c>
      <c r="Q425">
        <f t="shared" si="71"/>
        <v>18.840585891432141</v>
      </c>
      <c r="R425">
        <f t="shared" si="72"/>
        <v>84.552400000000006</v>
      </c>
    </row>
  </sheetData>
  <autoFilter ref="A9:R9" xr:uid="{201CD250-BD35-43B0-BC0C-0A915CDB444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2월검증</vt:lpstr>
      <vt:lpstr>2월계산내역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2024-10-08T06:05:57Z</dcterms:created>
  <dcterms:modified xsi:type="dcterms:W3CDTF">2026-04-07T00:27:18Z</dcterms:modified>
</cp:coreProperties>
</file>
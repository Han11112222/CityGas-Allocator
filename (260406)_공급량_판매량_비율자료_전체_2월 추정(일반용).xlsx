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5A2EA419-432E-47C7-8C8A-259FC0760799}" xr6:coauthVersionLast="36" xr6:coauthVersionMax="47" xr10:uidLastSave="{00000000-0000-0000-0000-000000000000}"/>
  <bookViews>
    <workbookView xWindow="0" yWindow="0" windowWidth="28800" windowHeight="11400" xr2:uid="{B507BD70-4D25-4689-9D44-8F066B49CCC7}"/>
  </bookViews>
  <sheets>
    <sheet name="2월검증" sheetId="21" r:id="rId1"/>
    <sheet name="2월계산내역" sheetId="1" r:id="rId2"/>
  </sheets>
  <definedNames>
    <definedName name="_xlnm._FilterDatabase" localSheetId="1" hidden="1">'2월계산내역'!$A$9:$S$9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1" l="1"/>
  <c r="D6" i="21" s="1"/>
  <c r="C5" i="21"/>
  <c r="B5" i="21"/>
  <c r="B6" i="21" s="1"/>
  <c r="J11" i="1"/>
  <c r="K11" i="1"/>
  <c r="L11" i="1"/>
  <c r="M11" i="1"/>
  <c r="N11" i="1"/>
  <c r="O11" i="1"/>
  <c r="P11" i="1"/>
  <c r="Q11" i="1"/>
  <c r="R11" i="1"/>
  <c r="S11" i="1"/>
  <c r="J12" i="1"/>
  <c r="K12" i="1"/>
  <c r="N12" i="1" s="1"/>
  <c r="L12" i="1"/>
  <c r="M12" i="1"/>
  <c r="J13" i="1"/>
  <c r="K13" i="1"/>
  <c r="N13" i="1"/>
  <c r="J14" i="1"/>
  <c r="K14" i="1"/>
  <c r="N14" i="1"/>
  <c r="J15" i="1"/>
  <c r="K15" i="1"/>
  <c r="J16" i="1"/>
  <c r="K16" i="1"/>
  <c r="N16" i="1" s="1"/>
  <c r="L16" i="1"/>
  <c r="M16" i="1"/>
  <c r="J17" i="1"/>
  <c r="K17" i="1"/>
  <c r="N17" i="1" s="1"/>
  <c r="L17" i="1"/>
  <c r="M17" i="1"/>
  <c r="J18" i="1"/>
  <c r="K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 s="1"/>
  <c r="M21" i="1"/>
  <c r="N21" i="1"/>
  <c r="O21" i="1"/>
  <c r="J22" i="1"/>
  <c r="K22" i="1"/>
  <c r="J23" i="1"/>
  <c r="K23" i="1" s="1"/>
  <c r="J24" i="1"/>
  <c r="K24" i="1"/>
  <c r="L24" i="1" s="1"/>
  <c r="M24" i="1"/>
  <c r="N24" i="1"/>
  <c r="O24" i="1"/>
  <c r="J25" i="1"/>
  <c r="K25" i="1"/>
  <c r="M25" i="1"/>
  <c r="J26" i="1"/>
  <c r="K26" i="1"/>
  <c r="M26" i="1"/>
  <c r="J27" i="1"/>
  <c r="K27" i="1"/>
  <c r="L27" i="1"/>
  <c r="M27" i="1"/>
  <c r="N27" i="1"/>
  <c r="O27" i="1"/>
  <c r="P27" i="1"/>
  <c r="Q27" i="1"/>
  <c r="R27" i="1"/>
  <c r="J28" i="1"/>
  <c r="K28" i="1" s="1"/>
  <c r="J29" i="1"/>
  <c r="K29" i="1"/>
  <c r="L29" i="1"/>
  <c r="M29" i="1"/>
  <c r="N29" i="1"/>
  <c r="J30" i="1"/>
  <c r="K30" i="1"/>
  <c r="J31" i="1"/>
  <c r="K31" i="1" s="1"/>
  <c r="M31" i="1" s="1"/>
  <c r="L31" i="1"/>
  <c r="N31" i="1"/>
  <c r="J32" i="1"/>
  <c r="K32" i="1"/>
  <c r="J33" i="1"/>
  <c r="K33" i="1" s="1"/>
  <c r="N33" i="1" s="1"/>
  <c r="L33" i="1"/>
  <c r="M33" i="1"/>
  <c r="J34" i="1"/>
  <c r="K34" i="1"/>
  <c r="M34" i="1"/>
  <c r="J35" i="1"/>
  <c r="K35" i="1"/>
  <c r="L35" i="1"/>
  <c r="M35" i="1"/>
  <c r="N35" i="1"/>
  <c r="O35" i="1"/>
  <c r="P35" i="1"/>
  <c r="Q35" i="1"/>
  <c r="J36" i="1"/>
  <c r="K36" i="1"/>
  <c r="M36" i="1"/>
  <c r="J37" i="1"/>
  <c r="K37" i="1"/>
  <c r="J38" i="1"/>
  <c r="K38" i="1"/>
  <c r="N38" i="1"/>
  <c r="J39" i="1"/>
  <c r="K39" i="1" s="1"/>
  <c r="N39" i="1" s="1"/>
  <c r="L39" i="1"/>
  <c r="M39" i="1"/>
  <c r="J40" i="1"/>
  <c r="K40" i="1"/>
  <c r="L40" i="1"/>
  <c r="M40" i="1"/>
  <c r="N40" i="1"/>
  <c r="J41" i="1"/>
  <c r="K41" i="1"/>
  <c r="M41" i="1"/>
  <c r="J42" i="1"/>
  <c r="K42" i="1"/>
  <c r="M42" i="1"/>
  <c r="J43" i="1"/>
  <c r="K43" i="1"/>
  <c r="L43" i="1"/>
  <c r="M43" i="1"/>
  <c r="N43" i="1"/>
  <c r="J44" i="1"/>
  <c r="K44" i="1"/>
  <c r="J45" i="1"/>
  <c r="K45" i="1"/>
  <c r="L45" i="1"/>
  <c r="M45" i="1"/>
  <c r="N45" i="1"/>
  <c r="J46" i="1"/>
  <c r="K46" i="1" s="1"/>
  <c r="J47" i="1"/>
  <c r="K47" i="1" s="1"/>
  <c r="N47" i="1"/>
  <c r="J48" i="1"/>
  <c r="K48" i="1" s="1"/>
  <c r="J49" i="1"/>
  <c r="K49" i="1"/>
  <c r="N49" i="1" s="1"/>
  <c r="L49" i="1"/>
  <c r="M49" i="1"/>
  <c r="J50" i="1"/>
  <c r="K50" i="1" s="1"/>
  <c r="J51" i="1"/>
  <c r="K51" i="1"/>
  <c r="L51" i="1"/>
  <c r="M51" i="1"/>
  <c r="N51" i="1"/>
  <c r="J52" i="1"/>
  <c r="K52" i="1"/>
  <c r="N52" i="1"/>
  <c r="J53" i="1"/>
  <c r="K53" i="1"/>
  <c r="J54" i="1"/>
  <c r="K54" i="1"/>
  <c r="J55" i="1"/>
  <c r="K55" i="1"/>
  <c r="J56" i="1"/>
  <c r="K56" i="1"/>
  <c r="M56" i="1"/>
  <c r="J57" i="1"/>
  <c r="K57" i="1" s="1"/>
  <c r="J58" i="1"/>
  <c r="K58" i="1"/>
  <c r="M58" i="1"/>
  <c r="J59" i="1"/>
  <c r="K59" i="1"/>
  <c r="L59" i="1"/>
  <c r="M59" i="1"/>
  <c r="N59" i="1"/>
  <c r="O59" i="1"/>
  <c r="Q59" i="1" s="1"/>
  <c r="P59" i="1"/>
  <c r="J60" i="1"/>
  <c r="K60" i="1"/>
  <c r="L60" i="1"/>
  <c r="M60" i="1"/>
  <c r="N60" i="1"/>
  <c r="O60" i="1"/>
  <c r="J61" i="1"/>
  <c r="K61" i="1"/>
  <c r="N61" i="1" s="1"/>
  <c r="L61" i="1"/>
  <c r="M61" i="1"/>
  <c r="J62" i="1"/>
  <c r="K62" i="1"/>
  <c r="J63" i="1"/>
  <c r="K63" i="1" s="1"/>
  <c r="L63" i="1"/>
  <c r="M63" i="1"/>
  <c r="N63" i="1"/>
  <c r="O63" i="1" s="1"/>
  <c r="J64" i="1"/>
  <c r="K64" i="1" s="1"/>
  <c r="M64" i="1"/>
  <c r="J65" i="1"/>
  <c r="K65" i="1" s="1"/>
  <c r="L65" i="1"/>
  <c r="J66" i="1"/>
  <c r="K66" i="1" s="1"/>
  <c r="J67" i="1"/>
  <c r="K67" i="1"/>
  <c r="L67" i="1"/>
  <c r="M67" i="1"/>
  <c r="N67" i="1"/>
  <c r="J68" i="1"/>
  <c r="K68" i="1"/>
  <c r="L68" i="1"/>
  <c r="M68" i="1"/>
  <c r="N68" i="1"/>
  <c r="J69" i="1"/>
  <c r="K69" i="1"/>
  <c r="L69" i="1"/>
  <c r="M69" i="1"/>
  <c r="N69" i="1"/>
  <c r="O69" i="1"/>
  <c r="Q69" i="1" s="1"/>
  <c r="J70" i="1"/>
  <c r="K70" i="1"/>
  <c r="N70" i="1"/>
  <c r="J71" i="1"/>
  <c r="K71" i="1"/>
  <c r="N71" i="1" s="1"/>
  <c r="L71" i="1"/>
  <c r="M71" i="1"/>
  <c r="O71" i="1"/>
  <c r="Q71" i="1"/>
  <c r="J72" i="1"/>
  <c r="K72" i="1"/>
  <c r="N72" i="1"/>
  <c r="J73" i="1"/>
  <c r="K73" i="1" s="1"/>
  <c r="J74" i="1"/>
  <c r="K74" i="1"/>
  <c r="N74" i="1"/>
  <c r="J75" i="1"/>
  <c r="K75" i="1"/>
  <c r="L75" i="1"/>
  <c r="M75" i="1"/>
  <c r="N75" i="1"/>
  <c r="J76" i="1"/>
  <c r="K76" i="1"/>
  <c r="L76" i="1"/>
  <c r="M76" i="1"/>
  <c r="N76" i="1"/>
  <c r="J77" i="1"/>
  <c r="K77" i="1"/>
  <c r="L77" i="1"/>
  <c r="M77" i="1"/>
  <c r="N77" i="1"/>
  <c r="J78" i="1"/>
  <c r="K78" i="1" s="1"/>
  <c r="J79" i="1"/>
  <c r="K79" i="1" s="1"/>
  <c r="L79" i="1" s="1"/>
  <c r="M79" i="1"/>
  <c r="N79" i="1"/>
  <c r="J80" i="1"/>
  <c r="K80" i="1"/>
  <c r="M80" i="1"/>
  <c r="J81" i="1"/>
  <c r="K81" i="1"/>
  <c r="L81" i="1"/>
  <c r="J82" i="1"/>
  <c r="K82" i="1"/>
  <c r="M82" i="1"/>
  <c r="J83" i="1"/>
  <c r="K83" i="1"/>
  <c r="L83" i="1"/>
  <c r="M83" i="1"/>
  <c r="N83" i="1"/>
  <c r="J84" i="1"/>
  <c r="K84" i="1"/>
  <c r="J85" i="1"/>
  <c r="K85" i="1"/>
  <c r="L85" i="1"/>
  <c r="J86" i="1"/>
  <c r="K86" i="1"/>
  <c r="J87" i="1"/>
  <c r="K87" i="1"/>
  <c r="N87" i="1" s="1"/>
  <c r="L87" i="1"/>
  <c r="M87" i="1"/>
  <c r="O87" i="1"/>
  <c r="Q87" i="1"/>
  <c r="J88" i="1"/>
  <c r="K88" i="1"/>
  <c r="L88" i="1"/>
  <c r="M88" i="1"/>
  <c r="N88" i="1"/>
  <c r="J89" i="1"/>
  <c r="K89" i="1"/>
  <c r="M89" i="1"/>
  <c r="J90" i="1"/>
  <c r="K90" i="1"/>
  <c r="L90" i="1"/>
  <c r="M90" i="1"/>
  <c r="N90" i="1"/>
  <c r="O90" i="1"/>
  <c r="P90" i="1" s="1"/>
  <c r="Q90" i="1"/>
  <c r="J91" i="1"/>
  <c r="K91" i="1"/>
  <c r="L91" i="1"/>
  <c r="M91" i="1"/>
  <c r="N91" i="1"/>
  <c r="O91" i="1"/>
  <c r="P91" i="1" s="1"/>
  <c r="J92" i="1"/>
  <c r="K92" i="1"/>
  <c r="N92" i="1"/>
  <c r="J93" i="1"/>
  <c r="K93" i="1"/>
  <c r="L93" i="1" s="1"/>
  <c r="M93" i="1"/>
  <c r="N93" i="1"/>
  <c r="J94" i="1"/>
  <c r="K94" i="1"/>
  <c r="N94" i="1"/>
  <c r="J95" i="1"/>
  <c r="K95" i="1"/>
  <c r="J96" i="1"/>
  <c r="K96" i="1" s="1"/>
  <c r="J97" i="1"/>
  <c r="K97" i="1"/>
  <c r="N97" i="1" s="1"/>
  <c r="L97" i="1"/>
  <c r="M97" i="1"/>
  <c r="J98" i="1"/>
  <c r="K98" i="1" s="1"/>
  <c r="M98" i="1"/>
  <c r="J99" i="1"/>
  <c r="K99" i="1" s="1"/>
  <c r="N99" i="1" s="1"/>
  <c r="L99" i="1"/>
  <c r="M99" i="1"/>
  <c r="J100" i="1"/>
  <c r="K100" i="1" s="1"/>
  <c r="J101" i="1"/>
  <c r="K101" i="1" s="1"/>
  <c r="J102" i="1"/>
  <c r="K102" i="1"/>
  <c r="J103" i="1"/>
  <c r="K103" i="1"/>
  <c r="L103" i="1"/>
  <c r="J104" i="1"/>
  <c r="K104" i="1"/>
  <c r="L104" i="1"/>
  <c r="M104" i="1"/>
  <c r="N104" i="1"/>
  <c r="J105" i="1"/>
  <c r="K105" i="1" s="1"/>
  <c r="L105" i="1"/>
  <c r="J106" i="1"/>
  <c r="K106" i="1"/>
  <c r="L106" i="1"/>
  <c r="M106" i="1"/>
  <c r="N106" i="1"/>
  <c r="J107" i="1"/>
  <c r="K107" i="1" s="1"/>
  <c r="J108" i="1"/>
  <c r="K108" i="1"/>
  <c r="N108" i="1" s="1"/>
  <c r="L108" i="1"/>
  <c r="M108" i="1"/>
  <c r="J109" i="1"/>
  <c r="K109" i="1"/>
  <c r="L109" i="1" s="1"/>
  <c r="M109" i="1"/>
  <c r="N109" i="1"/>
  <c r="O109" i="1"/>
  <c r="J110" i="1"/>
  <c r="K110" i="1"/>
  <c r="N110" i="1"/>
  <c r="J111" i="1"/>
  <c r="K111" i="1"/>
  <c r="L111" i="1"/>
  <c r="M111" i="1"/>
  <c r="N111" i="1"/>
  <c r="J112" i="1"/>
  <c r="K112" i="1"/>
  <c r="L112" i="1"/>
  <c r="M112" i="1"/>
  <c r="O112" i="1" s="1"/>
  <c r="N112" i="1"/>
  <c r="Q112" i="1"/>
  <c r="J113" i="1"/>
  <c r="K113" i="1"/>
  <c r="N113" i="1" s="1"/>
  <c r="L113" i="1"/>
  <c r="M113" i="1"/>
  <c r="J114" i="1"/>
  <c r="K114" i="1"/>
  <c r="N114" i="1" s="1"/>
  <c r="L114" i="1"/>
  <c r="M114" i="1"/>
  <c r="J115" i="1"/>
  <c r="K115" i="1" s="1"/>
  <c r="L115" i="1"/>
  <c r="M115" i="1"/>
  <c r="N115" i="1"/>
  <c r="O115" i="1"/>
  <c r="P115" i="1"/>
  <c r="Q115" i="1"/>
  <c r="J116" i="1"/>
  <c r="K116" i="1" s="1"/>
  <c r="L116" i="1"/>
  <c r="J117" i="1"/>
  <c r="K117" i="1" s="1"/>
  <c r="M117" i="1" s="1"/>
  <c r="L117" i="1"/>
  <c r="N117" i="1"/>
  <c r="J118" i="1"/>
  <c r="K118" i="1" s="1"/>
  <c r="N118" i="1"/>
  <c r="J119" i="1"/>
  <c r="K119" i="1"/>
  <c r="L119" i="1"/>
  <c r="M119" i="1"/>
  <c r="N119" i="1"/>
  <c r="J120" i="1"/>
  <c r="K120" i="1" s="1"/>
  <c r="N120" i="1"/>
  <c r="J121" i="1"/>
  <c r="K121" i="1" s="1"/>
  <c r="J122" i="1"/>
  <c r="K122" i="1"/>
  <c r="N122" i="1"/>
  <c r="J123" i="1"/>
  <c r="K123" i="1" s="1"/>
  <c r="J124" i="1"/>
  <c r="K124" i="1" s="1"/>
  <c r="L124" i="1" s="1"/>
  <c r="M124" i="1"/>
  <c r="N124" i="1"/>
  <c r="J125" i="1"/>
  <c r="K125" i="1"/>
  <c r="M125" i="1"/>
  <c r="J126" i="1"/>
  <c r="K126" i="1" s="1"/>
  <c r="J127" i="1"/>
  <c r="K127" i="1"/>
  <c r="N127" i="1"/>
  <c r="J128" i="1"/>
  <c r="K128" i="1" s="1"/>
  <c r="N128" i="1"/>
  <c r="J129" i="1"/>
  <c r="K129" i="1"/>
  <c r="N129" i="1" s="1"/>
  <c r="L129" i="1"/>
  <c r="M129" i="1"/>
  <c r="J130" i="1"/>
  <c r="K130" i="1" s="1"/>
  <c r="L130" i="1" s="1"/>
  <c r="M130" i="1"/>
  <c r="O130" i="1" s="1"/>
  <c r="N130" i="1"/>
  <c r="Q130" i="1"/>
  <c r="J131" i="1"/>
  <c r="K131" i="1" s="1"/>
  <c r="J132" i="1"/>
  <c r="K132" i="1"/>
  <c r="M132" i="1" s="1"/>
  <c r="L132" i="1"/>
  <c r="N132" i="1"/>
  <c r="J133" i="1"/>
  <c r="K133" i="1"/>
  <c r="J134" i="1"/>
  <c r="K134" i="1" s="1"/>
  <c r="N134" i="1"/>
  <c r="J135" i="1"/>
  <c r="K135" i="1"/>
  <c r="L135" i="1" s="1"/>
  <c r="M135" i="1"/>
  <c r="N135" i="1"/>
  <c r="O135" i="1"/>
  <c r="P135" i="1"/>
  <c r="J136" i="1"/>
  <c r="K136" i="1" s="1"/>
  <c r="L136" i="1"/>
  <c r="J137" i="1"/>
  <c r="K137" i="1"/>
  <c r="J138" i="1"/>
  <c r="K138" i="1" s="1"/>
  <c r="N138" i="1" s="1"/>
  <c r="L138" i="1"/>
  <c r="M138" i="1"/>
  <c r="J139" i="1"/>
  <c r="K139" i="1"/>
  <c r="L139" i="1"/>
  <c r="O139" i="1" s="1"/>
  <c r="M139" i="1"/>
  <c r="N139" i="1"/>
  <c r="P139" i="1"/>
  <c r="R139" i="1"/>
  <c r="J140" i="1"/>
  <c r="K140" i="1"/>
  <c r="J141" i="1"/>
  <c r="K141" i="1" s="1"/>
  <c r="M141" i="1" s="1"/>
  <c r="L141" i="1"/>
  <c r="N141" i="1"/>
  <c r="J142" i="1"/>
  <c r="K142" i="1"/>
  <c r="J143" i="1"/>
  <c r="K143" i="1" s="1"/>
  <c r="L143" i="1"/>
  <c r="J144" i="1"/>
  <c r="K144" i="1"/>
  <c r="L144" i="1"/>
  <c r="J145" i="1"/>
  <c r="K145" i="1"/>
  <c r="J146" i="1"/>
  <c r="K146" i="1"/>
  <c r="N146" i="1"/>
  <c r="J147" i="1"/>
  <c r="K147" i="1" s="1"/>
  <c r="M147" i="1" s="1"/>
  <c r="L147" i="1"/>
  <c r="N147" i="1"/>
  <c r="O147" i="1"/>
  <c r="P147" i="1"/>
  <c r="J148" i="1"/>
  <c r="K148" i="1"/>
  <c r="N148" i="1" s="1"/>
  <c r="L148" i="1"/>
  <c r="M148" i="1"/>
  <c r="O148" i="1"/>
  <c r="R148" i="1"/>
  <c r="J149" i="1"/>
  <c r="K149" i="1"/>
  <c r="J150" i="1"/>
  <c r="K150" i="1"/>
  <c r="J151" i="1"/>
  <c r="K151" i="1" s="1"/>
  <c r="J152" i="1"/>
  <c r="K152" i="1"/>
  <c r="L152" i="1" s="1"/>
  <c r="M152" i="1"/>
  <c r="N152" i="1"/>
  <c r="J153" i="1"/>
  <c r="K153" i="1"/>
  <c r="N153" i="1" s="1"/>
  <c r="L153" i="1"/>
  <c r="M153" i="1"/>
  <c r="J154" i="1"/>
  <c r="K154" i="1"/>
  <c r="M154" i="1"/>
  <c r="J155" i="1"/>
  <c r="K155" i="1" s="1"/>
  <c r="L155" i="1"/>
  <c r="M155" i="1"/>
  <c r="N155" i="1"/>
  <c r="J156" i="1"/>
  <c r="K156" i="1"/>
  <c r="L156" i="1"/>
  <c r="M156" i="1"/>
  <c r="N156" i="1"/>
  <c r="J157" i="1"/>
  <c r="K157" i="1"/>
  <c r="L157" i="1"/>
  <c r="J158" i="1"/>
  <c r="K158" i="1" s="1"/>
  <c r="J159" i="1"/>
  <c r="K159" i="1" s="1"/>
  <c r="L159" i="1"/>
  <c r="J160" i="1"/>
  <c r="K160" i="1" s="1"/>
  <c r="N160" i="1"/>
  <c r="J161" i="1"/>
  <c r="K161" i="1" s="1"/>
  <c r="L161" i="1"/>
  <c r="J162" i="1"/>
  <c r="K162" i="1"/>
  <c r="N162" i="1"/>
  <c r="J163" i="1"/>
  <c r="K163" i="1" s="1"/>
  <c r="M163" i="1"/>
  <c r="J164" i="1"/>
  <c r="K164" i="1"/>
  <c r="J165" i="1"/>
  <c r="K165" i="1" s="1"/>
  <c r="L165" i="1"/>
  <c r="J166" i="1"/>
  <c r="K166" i="1"/>
  <c r="M166" i="1"/>
  <c r="J167" i="1"/>
  <c r="K167" i="1" s="1"/>
  <c r="J168" i="1"/>
  <c r="K168" i="1" s="1"/>
  <c r="J169" i="1"/>
  <c r="K169" i="1"/>
  <c r="L169" i="1"/>
  <c r="J170" i="1"/>
  <c r="K170" i="1"/>
  <c r="J171" i="1"/>
  <c r="K171" i="1" s="1"/>
  <c r="J172" i="1"/>
  <c r="K172" i="1"/>
  <c r="J173" i="1"/>
  <c r="K173" i="1"/>
  <c r="N173" i="1" s="1"/>
  <c r="L173" i="1"/>
  <c r="M173" i="1"/>
  <c r="J174" i="1"/>
  <c r="K174" i="1"/>
  <c r="N174" i="1"/>
  <c r="J175" i="1"/>
  <c r="K175" i="1"/>
  <c r="N175" i="1" s="1"/>
  <c r="L175" i="1"/>
  <c r="M175" i="1"/>
  <c r="J176" i="1"/>
  <c r="K176" i="1" s="1"/>
  <c r="J177" i="1"/>
  <c r="K177" i="1"/>
  <c r="L177" i="1"/>
  <c r="J178" i="1"/>
  <c r="K178" i="1" s="1"/>
  <c r="M178" i="1" s="1"/>
  <c r="L178" i="1"/>
  <c r="N178" i="1"/>
  <c r="J179" i="1"/>
  <c r="K179" i="1"/>
  <c r="N179" i="1" s="1"/>
  <c r="L179" i="1"/>
  <c r="M179" i="1"/>
  <c r="O179" i="1"/>
  <c r="P179" i="1"/>
  <c r="Q179" i="1"/>
  <c r="J180" i="1"/>
  <c r="K180" i="1"/>
  <c r="L180" i="1" s="1"/>
  <c r="M180" i="1"/>
  <c r="N180" i="1"/>
  <c r="J181" i="1"/>
  <c r="K181" i="1"/>
  <c r="N181" i="1"/>
  <c r="J182" i="1"/>
  <c r="K182" i="1" s="1"/>
  <c r="M182" i="1"/>
  <c r="J183" i="1"/>
  <c r="K183" i="1"/>
  <c r="M183" i="1"/>
  <c r="J184" i="1"/>
  <c r="K184" i="1"/>
  <c r="J185" i="1"/>
  <c r="K185" i="1" s="1"/>
  <c r="J186" i="1"/>
  <c r="K186" i="1"/>
  <c r="L186" i="1"/>
  <c r="J187" i="1"/>
  <c r="K187" i="1"/>
  <c r="L187" i="1"/>
  <c r="M187" i="1"/>
  <c r="N187" i="1"/>
  <c r="O187" i="1"/>
  <c r="P187" i="1"/>
  <c r="Q187" i="1"/>
  <c r="R187" i="1"/>
  <c r="J188" i="1"/>
  <c r="K188" i="1" s="1"/>
  <c r="M188" i="1" s="1"/>
  <c r="L188" i="1"/>
  <c r="N188" i="1"/>
  <c r="J189" i="1"/>
  <c r="K189" i="1"/>
  <c r="L189" i="1"/>
  <c r="M189" i="1"/>
  <c r="N189" i="1"/>
  <c r="O189" i="1"/>
  <c r="P189" i="1"/>
  <c r="Q189" i="1"/>
  <c r="R189" i="1"/>
  <c r="S189" i="1"/>
  <c r="J190" i="1"/>
  <c r="K190" i="1" s="1"/>
  <c r="L190" i="1" s="1"/>
  <c r="M190" i="1"/>
  <c r="N190" i="1"/>
  <c r="J191" i="1"/>
  <c r="K191" i="1" s="1"/>
  <c r="L191" i="1"/>
  <c r="J192" i="1"/>
  <c r="K192" i="1" s="1"/>
  <c r="N192" i="1"/>
  <c r="J193" i="1"/>
  <c r="K193" i="1" s="1"/>
  <c r="J194" i="1"/>
  <c r="K194" i="1"/>
  <c r="N194" i="1"/>
  <c r="J195" i="1"/>
  <c r="K195" i="1"/>
  <c r="M195" i="1"/>
  <c r="J196" i="1"/>
  <c r="K196" i="1"/>
  <c r="N196" i="1" s="1"/>
  <c r="L196" i="1"/>
  <c r="M196" i="1"/>
  <c r="J197" i="1"/>
  <c r="K197" i="1"/>
  <c r="M197" i="1" s="1"/>
  <c r="L197" i="1"/>
  <c r="N197" i="1"/>
  <c r="J198" i="1"/>
  <c r="K198" i="1" s="1"/>
  <c r="N198" i="1"/>
  <c r="J199" i="1"/>
  <c r="K199" i="1"/>
  <c r="N199" i="1" s="1"/>
  <c r="L199" i="1"/>
  <c r="M199" i="1"/>
  <c r="J200" i="1"/>
  <c r="K200" i="1"/>
  <c r="L200" i="1"/>
  <c r="J201" i="1"/>
  <c r="K201" i="1"/>
  <c r="L201" i="1"/>
  <c r="J202" i="1"/>
  <c r="K202" i="1"/>
  <c r="L202" i="1"/>
  <c r="J203" i="1"/>
  <c r="K203" i="1"/>
  <c r="J204" i="1"/>
  <c r="K204" i="1" s="1"/>
  <c r="M204" i="1" s="1"/>
  <c r="L204" i="1"/>
  <c r="N204" i="1"/>
  <c r="J205" i="1"/>
  <c r="K205" i="1" s="1"/>
  <c r="L205" i="1" s="1"/>
  <c r="M205" i="1"/>
  <c r="N205" i="1"/>
  <c r="O205" i="1"/>
  <c r="R205" i="1"/>
  <c r="J206" i="1"/>
  <c r="K206" i="1" s="1"/>
  <c r="L206" i="1" s="1"/>
  <c r="M206" i="1"/>
  <c r="N206" i="1"/>
  <c r="J207" i="1"/>
  <c r="K207" i="1" s="1"/>
  <c r="N207" i="1" s="1"/>
  <c r="L207" i="1"/>
  <c r="J208" i="1"/>
  <c r="K208" i="1" s="1"/>
  <c r="N208" i="1" s="1"/>
  <c r="L208" i="1"/>
  <c r="M208" i="1"/>
  <c r="J209" i="1"/>
  <c r="K209" i="1"/>
  <c r="L209" i="1"/>
  <c r="J210" i="1"/>
  <c r="K210" i="1"/>
  <c r="M210" i="1" s="1"/>
  <c r="L210" i="1"/>
  <c r="O210" i="1" s="1"/>
  <c r="Q210" i="1" s="1"/>
  <c r="N210" i="1"/>
  <c r="P210" i="1"/>
  <c r="R210" i="1"/>
  <c r="J211" i="1"/>
  <c r="K211" i="1"/>
  <c r="L211" i="1"/>
  <c r="M211" i="1"/>
  <c r="N211" i="1"/>
  <c r="O211" i="1"/>
  <c r="P211" i="1"/>
  <c r="Q211" i="1"/>
  <c r="J212" i="1"/>
  <c r="K212" i="1" s="1"/>
  <c r="N212" i="1"/>
  <c r="J213" i="1"/>
  <c r="K213" i="1" s="1"/>
  <c r="J214" i="1"/>
  <c r="K214" i="1" s="1"/>
  <c r="L214" i="1" s="1"/>
  <c r="M214" i="1"/>
  <c r="N214" i="1"/>
  <c r="O214" i="1"/>
  <c r="P214" i="1"/>
  <c r="Q214" i="1"/>
  <c r="R214" i="1"/>
  <c r="S214" i="1"/>
  <c r="J215" i="1"/>
  <c r="K215" i="1"/>
  <c r="J216" i="1"/>
  <c r="K216" i="1"/>
  <c r="J217" i="1"/>
  <c r="K217" i="1"/>
  <c r="L217" i="1"/>
  <c r="J218" i="1"/>
  <c r="K218" i="1"/>
  <c r="M218" i="1" s="1"/>
  <c r="L218" i="1"/>
  <c r="N218" i="1"/>
  <c r="J219" i="1"/>
  <c r="K219" i="1"/>
  <c r="J220" i="1"/>
  <c r="K220" i="1"/>
  <c r="J221" i="1"/>
  <c r="K221" i="1"/>
  <c r="J222" i="1"/>
  <c r="K222" i="1" s="1"/>
  <c r="M222" i="1"/>
  <c r="J223" i="1"/>
  <c r="K223" i="1" s="1"/>
  <c r="J224" i="1"/>
  <c r="K224" i="1"/>
  <c r="N224" i="1" s="1"/>
  <c r="L224" i="1"/>
  <c r="M224" i="1"/>
  <c r="O224" i="1"/>
  <c r="P224" i="1"/>
  <c r="J225" i="1"/>
  <c r="K225" i="1" s="1"/>
  <c r="L225" i="1"/>
  <c r="J226" i="1"/>
  <c r="K226" i="1"/>
  <c r="N226" i="1" s="1"/>
  <c r="L226" i="1"/>
  <c r="O226" i="1" s="1"/>
  <c r="M226" i="1"/>
  <c r="J227" i="1"/>
  <c r="K227" i="1"/>
  <c r="L227" i="1"/>
  <c r="M227" i="1"/>
  <c r="N227" i="1"/>
  <c r="J228" i="1"/>
  <c r="K228" i="1" s="1"/>
  <c r="L228" i="1"/>
  <c r="M228" i="1"/>
  <c r="N228" i="1"/>
  <c r="J229" i="1"/>
  <c r="K229" i="1" s="1"/>
  <c r="L229" i="1"/>
  <c r="J230" i="1"/>
  <c r="K230" i="1" s="1"/>
  <c r="L230" i="1" s="1"/>
  <c r="M230" i="1"/>
  <c r="N230" i="1"/>
  <c r="O230" i="1"/>
  <c r="Q230" i="1"/>
  <c r="R230" i="1"/>
  <c r="J231" i="1"/>
  <c r="K231" i="1"/>
  <c r="M231" i="1"/>
  <c r="J232" i="1"/>
  <c r="K232" i="1" s="1"/>
  <c r="M232" i="1"/>
  <c r="J233" i="1"/>
  <c r="K233" i="1"/>
  <c r="J234" i="1"/>
  <c r="K234" i="1"/>
  <c r="M234" i="1"/>
  <c r="J235" i="1"/>
  <c r="K235" i="1"/>
  <c r="N235" i="1" s="1"/>
  <c r="L235" i="1"/>
  <c r="M235" i="1"/>
  <c r="J236" i="1"/>
  <c r="K236" i="1"/>
  <c r="L236" i="1" s="1"/>
  <c r="M236" i="1"/>
  <c r="N236" i="1"/>
  <c r="J237" i="1"/>
  <c r="K237" i="1"/>
  <c r="N237" i="1" s="1"/>
  <c r="L237" i="1"/>
  <c r="M237" i="1"/>
  <c r="J238" i="1"/>
  <c r="K238" i="1" s="1"/>
  <c r="L238" i="1" s="1"/>
  <c r="M238" i="1"/>
  <c r="N238" i="1"/>
  <c r="O238" i="1"/>
  <c r="P238" i="1"/>
  <c r="J239" i="1"/>
  <c r="K239" i="1"/>
  <c r="N239" i="1" s="1"/>
  <c r="L239" i="1"/>
  <c r="M239" i="1"/>
  <c r="J240" i="1"/>
  <c r="K240" i="1"/>
  <c r="L240" i="1"/>
  <c r="M240" i="1"/>
  <c r="N240" i="1"/>
  <c r="J241" i="1"/>
  <c r="K241" i="1"/>
  <c r="L241" i="1"/>
  <c r="J242" i="1"/>
  <c r="K242" i="1"/>
  <c r="L242" i="1"/>
  <c r="M242" i="1"/>
  <c r="N242" i="1"/>
  <c r="J243" i="1"/>
  <c r="K243" i="1"/>
  <c r="L243" i="1" s="1"/>
  <c r="M243" i="1"/>
  <c r="N243" i="1"/>
  <c r="J244" i="1"/>
  <c r="K244" i="1"/>
  <c r="L244" i="1"/>
  <c r="M244" i="1"/>
  <c r="N244" i="1"/>
  <c r="J245" i="1"/>
  <c r="K245" i="1"/>
  <c r="N245" i="1" s="1"/>
  <c r="L245" i="1"/>
  <c r="M245" i="1"/>
  <c r="O245" i="1"/>
  <c r="R245" i="1" s="1"/>
  <c r="J246" i="1"/>
  <c r="K246" i="1" s="1"/>
  <c r="J247" i="1"/>
  <c r="K247" i="1" s="1"/>
  <c r="M247" i="1" s="1"/>
  <c r="L247" i="1"/>
  <c r="N247" i="1"/>
  <c r="J248" i="1"/>
  <c r="K248" i="1"/>
  <c r="L248" i="1"/>
  <c r="J249" i="1"/>
  <c r="K249" i="1" s="1"/>
  <c r="J250" i="1"/>
  <c r="K250" i="1"/>
  <c r="N250" i="1" s="1"/>
  <c r="L250" i="1"/>
  <c r="M250" i="1"/>
  <c r="J251" i="1"/>
  <c r="K251" i="1"/>
  <c r="L251" i="1" s="1"/>
  <c r="M251" i="1"/>
  <c r="N251" i="1"/>
  <c r="O251" i="1"/>
  <c r="J252" i="1"/>
  <c r="K252" i="1" s="1"/>
  <c r="L252" i="1"/>
  <c r="M252" i="1"/>
  <c r="N252" i="1"/>
  <c r="J253" i="1"/>
  <c r="K253" i="1" s="1"/>
  <c r="L253" i="1"/>
  <c r="M253" i="1"/>
  <c r="N253" i="1"/>
  <c r="O253" i="1"/>
  <c r="Q253" i="1" s="1"/>
  <c r="P253" i="1"/>
  <c r="J254" i="1"/>
  <c r="K254" i="1" s="1"/>
  <c r="L254" i="1" s="1"/>
  <c r="M254" i="1"/>
  <c r="N254" i="1"/>
  <c r="O254" i="1"/>
  <c r="J255" i="1"/>
  <c r="K255" i="1"/>
  <c r="L255" i="1"/>
  <c r="M255" i="1"/>
  <c r="N255" i="1"/>
  <c r="O255" i="1"/>
  <c r="P255" i="1" s="1"/>
  <c r="J256" i="1"/>
  <c r="K256" i="1" s="1"/>
  <c r="J257" i="1"/>
  <c r="K257" i="1" s="1"/>
  <c r="J258" i="1"/>
  <c r="K258" i="1" s="1"/>
  <c r="L258" i="1" s="1"/>
  <c r="M258" i="1"/>
  <c r="Q258" i="1" s="1"/>
  <c r="N258" i="1"/>
  <c r="O258" i="1"/>
  <c r="P258" i="1"/>
  <c r="J259" i="1"/>
  <c r="K259" i="1"/>
  <c r="M259" i="1"/>
  <c r="J260" i="1"/>
  <c r="K260" i="1"/>
  <c r="L260" i="1"/>
  <c r="M260" i="1"/>
  <c r="N260" i="1"/>
  <c r="J261" i="1"/>
  <c r="K261" i="1"/>
  <c r="N261" i="1"/>
  <c r="J262" i="1"/>
  <c r="K262" i="1" s="1"/>
  <c r="L262" i="1" s="1"/>
  <c r="M262" i="1"/>
  <c r="N262" i="1"/>
  <c r="O262" i="1"/>
  <c r="P262" i="1"/>
  <c r="R262" i="1"/>
  <c r="J263" i="1"/>
  <c r="K263" i="1"/>
  <c r="M263" i="1"/>
  <c r="J264" i="1"/>
  <c r="K264" i="1" s="1"/>
  <c r="N264" i="1"/>
  <c r="J265" i="1"/>
  <c r="K265" i="1"/>
  <c r="L265" i="1"/>
  <c r="J266" i="1"/>
  <c r="K266" i="1" s="1"/>
  <c r="M266" i="1"/>
  <c r="J267" i="1"/>
  <c r="K267" i="1"/>
  <c r="L267" i="1"/>
  <c r="M267" i="1"/>
  <c r="N267" i="1"/>
  <c r="O267" i="1"/>
  <c r="P267" i="1"/>
  <c r="R267" i="1"/>
  <c r="J268" i="1"/>
  <c r="K268" i="1"/>
  <c r="N268" i="1"/>
  <c r="J269" i="1"/>
  <c r="K269" i="1"/>
  <c r="N269" i="1"/>
  <c r="J270" i="1"/>
  <c r="K270" i="1" s="1"/>
  <c r="J271" i="1"/>
  <c r="K271" i="1"/>
  <c r="L271" i="1"/>
  <c r="M271" i="1"/>
  <c r="N271" i="1"/>
  <c r="O271" i="1"/>
  <c r="J272" i="1"/>
  <c r="K272" i="1" s="1"/>
  <c r="L272" i="1"/>
  <c r="J273" i="1"/>
  <c r="K273" i="1"/>
  <c r="J274" i="1"/>
  <c r="K274" i="1"/>
  <c r="M274" i="1"/>
  <c r="J275" i="1"/>
  <c r="K275" i="1"/>
  <c r="L275" i="1"/>
  <c r="M275" i="1"/>
  <c r="N275" i="1"/>
  <c r="O275" i="1"/>
  <c r="Q275" i="1"/>
  <c r="R275" i="1"/>
  <c r="J276" i="1"/>
  <c r="K276" i="1"/>
  <c r="N276" i="1"/>
  <c r="J277" i="1"/>
  <c r="K277" i="1"/>
  <c r="N277" i="1" s="1"/>
  <c r="L277" i="1"/>
  <c r="M277" i="1"/>
  <c r="O277" i="1"/>
  <c r="J278" i="1"/>
  <c r="K278" i="1" s="1"/>
  <c r="J279" i="1"/>
  <c r="K279" i="1" s="1"/>
  <c r="J280" i="1"/>
  <c r="K280" i="1"/>
  <c r="N280" i="1"/>
  <c r="J281" i="1"/>
  <c r="K281" i="1"/>
  <c r="J282" i="1"/>
  <c r="K282" i="1"/>
  <c r="L282" i="1"/>
  <c r="O282" i="1" s="1"/>
  <c r="Q282" i="1" s="1"/>
  <c r="M282" i="1"/>
  <c r="N282" i="1"/>
  <c r="J283" i="1"/>
  <c r="K283" i="1"/>
  <c r="J284" i="1"/>
  <c r="K284" i="1"/>
  <c r="L284" i="1"/>
  <c r="M284" i="1"/>
  <c r="N284" i="1"/>
  <c r="J285" i="1"/>
  <c r="K285" i="1" s="1"/>
  <c r="L285" i="1"/>
  <c r="J286" i="1"/>
  <c r="K286" i="1" s="1"/>
  <c r="J287" i="1"/>
  <c r="K287" i="1" s="1"/>
  <c r="J288" i="1"/>
  <c r="K288" i="1"/>
  <c r="M288" i="1" s="1"/>
  <c r="L288" i="1"/>
  <c r="N288" i="1"/>
  <c r="O288" i="1"/>
  <c r="P288" i="1"/>
  <c r="Q288" i="1"/>
  <c r="J289" i="1"/>
  <c r="K289" i="1" s="1"/>
  <c r="L289" i="1"/>
  <c r="J290" i="1"/>
  <c r="K290" i="1" s="1"/>
  <c r="L290" i="1"/>
  <c r="M290" i="1"/>
  <c r="N290" i="1"/>
  <c r="O290" i="1"/>
  <c r="P290" i="1"/>
  <c r="Q290" i="1"/>
  <c r="R290" i="1"/>
  <c r="J291" i="1"/>
  <c r="K291" i="1"/>
  <c r="M291" i="1" s="1"/>
  <c r="L291" i="1"/>
  <c r="N291" i="1"/>
  <c r="J292" i="1"/>
  <c r="K292" i="1"/>
  <c r="L292" i="1"/>
  <c r="M292" i="1"/>
  <c r="N292" i="1"/>
  <c r="J293" i="1"/>
  <c r="K293" i="1"/>
  <c r="N293" i="1" s="1"/>
  <c r="L293" i="1"/>
  <c r="M293" i="1"/>
  <c r="J294" i="1"/>
  <c r="K294" i="1" s="1"/>
  <c r="J295" i="1"/>
  <c r="K295" i="1"/>
  <c r="L295" i="1"/>
  <c r="J296" i="1"/>
  <c r="K296" i="1" s="1"/>
  <c r="J297" i="1"/>
  <c r="K297" i="1" s="1"/>
  <c r="J298" i="1"/>
  <c r="K298" i="1" s="1"/>
  <c r="M298" i="1" s="1"/>
  <c r="L298" i="1"/>
  <c r="N298" i="1"/>
  <c r="J299" i="1"/>
  <c r="K299" i="1"/>
  <c r="L299" i="1"/>
  <c r="M299" i="1"/>
  <c r="N299" i="1"/>
  <c r="J300" i="1"/>
  <c r="K300" i="1"/>
  <c r="J301" i="1"/>
  <c r="K301" i="1" s="1"/>
  <c r="N301" i="1"/>
  <c r="J302" i="1"/>
  <c r="K302" i="1" s="1"/>
  <c r="J303" i="1"/>
  <c r="K303" i="1"/>
  <c r="L303" i="1"/>
  <c r="M303" i="1"/>
  <c r="N303" i="1"/>
  <c r="J304" i="1"/>
  <c r="K304" i="1" s="1"/>
  <c r="J305" i="1"/>
  <c r="K305" i="1"/>
  <c r="L305" i="1"/>
  <c r="J306" i="1"/>
  <c r="K306" i="1" s="1"/>
  <c r="J307" i="1"/>
  <c r="K307" i="1"/>
  <c r="L307" i="1" s="1"/>
  <c r="M307" i="1"/>
  <c r="N307" i="1"/>
  <c r="O307" i="1"/>
  <c r="R307" i="1" s="1"/>
  <c r="P307" i="1"/>
  <c r="Q307" i="1"/>
  <c r="J308" i="1"/>
  <c r="K308" i="1"/>
  <c r="M308" i="1" s="1"/>
  <c r="L308" i="1"/>
  <c r="J309" i="1"/>
  <c r="K309" i="1"/>
  <c r="J310" i="1"/>
  <c r="K310" i="1" s="1"/>
  <c r="M310" i="1"/>
  <c r="J311" i="1"/>
  <c r="K311" i="1"/>
  <c r="L311" i="1"/>
  <c r="M311" i="1"/>
  <c r="N311" i="1"/>
  <c r="J312" i="1"/>
  <c r="K312" i="1"/>
  <c r="L312" i="1" s="1"/>
  <c r="M312" i="1"/>
  <c r="N312" i="1"/>
  <c r="J313" i="1"/>
  <c r="K313" i="1"/>
  <c r="M313" i="1" s="1"/>
  <c r="L313" i="1"/>
  <c r="N313" i="1"/>
  <c r="J314" i="1"/>
  <c r="K314" i="1"/>
  <c r="J315" i="1"/>
  <c r="K315" i="1"/>
  <c r="L315" i="1" s="1"/>
  <c r="M315" i="1"/>
  <c r="N315" i="1"/>
  <c r="O315" i="1"/>
  <c r="R315" i="1" s="1"/>
  <c r="P315" i="1"/>
  <c r="Q315" i="1"/>
  <c r="S315" i="1"/>
  <c r="J316" i="1"/>
  <c r="K316" i="1" s="1"/>
  <c r="L316" i="1" s="1"/>
  <c r="M316" i="1"/>
  <c r="N316" i="1"/>
  <c r="J317" i="1"/>
  <c r="K317" i="1" s="1"/>
  <c r="J318" i="1"/>
  <c r="K318" i="1" s="1"/>
  <c r="L318" i="1"/>
  <c r="M318" i="1"/>
  <c r="N318" i="1"/>
  <c r="J319" i="1"/>
  <c r="K319" i="1"/>
  <c r="L319" i="1"/>
  <c r="M319" i="1"/>
  <c r="N319" i="1"/>
  <c r="O319" i="1"/>
  <c r="P319" i="1" s="1"/>
  <c r="J320" i="1"/>
  <c r="K320" i="1"/>
  <c r="M320" i="1" s="1"/>
  <c r="L320" i="1"/>
  <c r="N320" i="1"/>
  <c r="O320" i="1"/>
  <c r="P320" i="1"/>
  <c r="J321" i="1"/>
  <c r="K321" i="1"/>
  <c r="M321" i="1" s="1"/>
  <c r="L321" i="1"/>
  <c r="N321" i="1"/>
  <c r="O321" i="1"/>
  <c r="R321" i="1"/>
  <c r="J322" i="1"/>
  <c r="K322" i="1"/>
  <c r="L322" i="1" s="1"/>
  <c r="M322" i="1"/>
  <c r="N322" i="1"/>
  <c r="O322" i="1"/>
  <c r="P322" i="1"/>
  <c r="J323" i="1"/>
  <c r="K323" i="1"/>
  <c r="L323" i="1"/>
  <c r="J324" i="1"/>
  <c r="K324" i="1"/>
  <c r="L324" i="1"/>
  <c r="J325" i="1"/>
  <c r="K325" i="1" s="1"/>
  <c r="M325" i="1"/>
  <c r="J326" i="1"/>
  <c r="K326" i="1" s="1"/>
  <c r="L326" i="1"/>
  <c r="J327" i="1"/>
  <c r="K327" i="1" s="1"/>
  <c r="L327" i="1"/>
  <c r="M327" i="1"/>
  <c r="N327" i="1"/>
  <c r="O327" i="1"/>
  <c r="P327" i="1"/>
  <c r="R327" i="1"/>
  <c r="J328" i="1"/>
  <c r="K328" i="1"/>
  <c r="L328" i="1"/>
  <c r="J329" i="1"/>
  <c r="K329" i="1"/>
  <c r="J330" i="1"/>
  <c r="K330" i="1" s="1"/>
  <c r="L330" i="1"/>
  <c r="M330" i="1"/>
  <c r="N330" i="1"/>
  <c r="J331" i="1"/>
  <c r="K331" i="1" s="1"/>
  <c r="L331" i="1"/>
  <c r="J332" i="1"/>
  <c r="K332" i="1"/>
  <c r="M332" i="1"/>
  <c r="J333" i="1"/>
  <c r="K333" i="1"/>
  <c r="J334" i="1"/>
  <c r="K334" i="1" s="1"/>
  <c r="J335" i="1"/>
  <c r="K335" i="1" s="1"/>
  <c r="J336" i="1"/>
  <c r="K336" i="1"/>
  <c r="L336" i="1"/>
  <c r="M336" i="1"/>
  <c r="N336" i="1"/>
  <c r="O336" i="1"/>
  <c r="P336" i="1"/>
  <c r="Q336" i="1"/>
  <c r="J337" i="1"/>
  <c r="K337" i="1"/>
  <c r="N337" i="1" s="1"/>
  <c r="L337" i="1"/>
  <c r="M337" i="1"/>
  <c r="J338" i="1"/>
  <c r="K338" i="1" s="1"/>
  <c r="L338" i="1"/>
  <c r="M338" i="1"/>
  <c r="N338" i="1"/>
  <c r="O338" i="1"/>
  <c r="Q338" i="1"/>
  <c r="R338" i="1"/>
  <c r="J339" i="1"/>
  <c r="K339" i="1" s="1"/>
  <c r="L339" i="1" s="1"/>
  <c r="M339" i="1"/>
  <c r="N339" i="1"/>
  <c r="O339" i="1"/>
  <c r="J340" i="1"/>
  <c r="K340" i="1"/>
  <c r="M340" i="1"/>
  <c r="J341" i="1"/>
  <c r="K341" i="1"/>
  <c r="L341" i="1"/>
  <c r="M341" i="1"/>
  <c r="N341" i="1"/>
  <c r="O341" i="1"/>
  <c r="P341" i="1" s="1"/>
  <c r="Q341" i="1"/>
  <c r="J342" i="1"/>
  <c r="K342" i="1" s="1"/>
  <c r="N342" i="1"/>
  <c r="J343" i="1"/>
  <c r="K343" i="1"/>
  <c r="N343" i="1" s="1"/>
  <c r="L343" i="1"/>
  <c r="M343" i="1"/>
  <c r="O343" i="1"/>
  <c r="P343" i="1"/>
  <c r="R343" i="1"/>
  <c r="J344" i="1"/>
  <c r="K344" i="1"/>
  <c r="N344" i="1"/>
  <c r="J345" i="1"/>
  <c r="K345" i="1"/>
  <c r="L345" i="1"/>
  <c r="M345" i="1"/>
  <c r="N345" i="1"/>
  <c r="J346" i="1"/>
  <c r="K346" i="1"/>
  <c r="M346" i="1" s="1"/>
  <c r="L346" i="1"/>
  <c r="J347" i="1"/>
  <c r="K347" i="1" s="1"/>
  <c r="J348" i="1"/>
  <c r="K348" i="1" s="1"/>
  <c r="L348" i="1" s="1"/>
  <c r="M348" i="1"/>
  <c r="N348" i="1"/>
  <c r="O348" i="1"/>
  <c r="J349" i="1"/>
  <c r="K349" i="1"/>
  <c r="N349" i="1"/>
  <c r="J350" i="1"/>
  <c r="K350" i="1"/>
  <c r="N350" i="1" s="1"/>
  <c r="L350" i="1"/>
  <c r="M350" i="1"/>
  <c r="J351" i="1"/>
  <c r="K351" i="1"/>
  <c r="N351" i="1" s="1"/>
  <c r="L351" i="1"/>
  <c r="M351" i="1"/>
  <c r="J352" i="1"/>
  <c r="K352" i="1" s="1"/>
  <c r="J353" i="1"/>
  <c r="K353" i="1"/>
  <c r="N353" i="1" s="1"/>
  <c r="L353" i="1"/>
  <c r="M353" i="1"/>
  <c r="J354" i="1"/>
  <c r="K354" i="1" s="1"/>
  <c r="J355" i="1"/>
  <c r="K355" i="1" s="1"/>
  <c r="L355" i="1" s="1"/>
  <c r="M355" i="1"/>
  <c r="N355" i="1"/>
  <c r="O355" i="1"/>
  <c r="P355" i="1"/>
  <c r="Q355" i="1"/>
  <c r="R355" i="1"/>
  <c r="J356" i="1"/>
  <c r="K356" i="1"/>
  <c r="L356" i="1" s="1"/>
  <c r="M356" i="1"/>
  <c r="N356" i="1"/>
  <c r="O356" i="1"/>
  <c r="P356" i="1"/>
  <c r="Q356" i="1"/>
  <c r="R356" i="1"/>
  <c r="S356" i="1"/>
  <c r="J357" i="1"/>
  <c r="K357" i="1"/>
  <c r="L357" i="1"/>
  <c r="M357" i="1"/>
  <c r="N357" i="1"/>
  <c r="O357" i="1"/>
  <c r="J358" i="1"/>
  <c r="K358" i="1" s="1"/>
  <c r="N358" i="1"/>
  <c r="J359" i="1"/>
  <c r="K359" i="1"/>
  <c r="J360" i="1"/>
  <c r="K360" i="1"/>
  <c r="L360" i="1"/>
  <c r="M360" i="1"/>
  <c r="N360" i="1"/>
  <c r="R360" i="1" s="1"/>
  <c r="O360" i="1"/>
  <c r="Q360" i="1" s="1"/>
  <c r="P360" i="1"/>
  <c r="S360" i="1" s="1"/>
  <c r="J361" i="1"/>
  <c r="K361" i="1"/>
  <c r="L361" i="1"/>
  <c r="M361" i="1"/>
  <c r="N361" i="1"/>
  <c r="J362" i="1"/>
  <c r="K362" i="1"/>
  <c r="L362" i="1" s="1"/>
  <c r="M362" i="1"/>
  <c r="N362" i="1"/>
  <c r="O362" i="1"/>
  <c r="R362" i="1"/>
  <c r="J363" i="1"/>
  <c r="K363" i="1"/>
  <c r="J364" i="1"/>
  <c r="K364" i="1"/>
  <c r="M364" i="1"/>
  <c r="J365" i="1"/>
  <c r="K365" i="1" s="1"/>
  <c r="N365" i="1"/>
  <c r="J366" i="1"/>
  <c r="K366" i="1" s="1"/>
  <c r="M366" i="1" s="1"/>
  <c r="L366" i="1"/>
  <c r="J367" i="1"/>
  <c r="K367" i="1"/>
  <c r="N367" i="1" s="1"/>
  <c r="L367" i="1"/>
  <c r="M367" i="1"/>
  <c r="J368" i="1"/>
  <c r="K368" i="1"/>
  <c r="N368" i="1" s="1"/>
  <c r="L368" i="1"/>
  <c r="M368" i="1"/>
  <c r="O368" i="1"/>
  <c r="P368" i="1"/>
  <c r="J369" i="1"/>
  <c r="K369" i="1"/>
  <c r="N369" i="1" s="1"/>
  <c r="L369" i="1"/>
  <c r="M369" i="1"/>
  <c r="O369" i="1"/>
  <c r="P369" i="1"/>
  <c r="R369" i="1"/>
  <c r="J370" i="1"/>
  <c r="K370" i="1"/>
  <c r="N370" i="1" s="1"/>
  <c r="L370" i="1"/>
  <c r="M370" i="1"/>
  <c r="J371" i="1"/>
  <c r="K371" i="1" s="1"/>
  <c r="N371" i="1" s="1"/>
  <c r="L371" i="1"/>
  <c r="M371" i="1"/>
  <c r="O371" i="1"/>
  <c r="J372" i="1"/>
  <c r="K372" i="1"/>
  <c r="J373" i="1"/>
  <c r="K373" i="1" s="1"/>
  <c r="J374" i="1"/>
  <c r="K374" i="1" s="1"/>
  <c r="N374" i="1"/>
  <c r="J375" i="1"/>
  <c r="K375" i="1"/>
  <c r="N375" i="1" s="1"/>
  <c r="L375" i="1"/>
  <c r="M375" i="1"/>
  <c r="O375" i="1"/>
  <c r="Q375" i="1"/>
  <c r="J376" i="1"/>
  <c r="K376" i="1"/>
  <c r="L376" i="1" s="1"/>
  <c r="M376" i="1"/>
  <c r="N376" i="1"/>
  <c r="O376" i="1"/>
  <c r="J377" i="1"/>
  <c r="K377" i="1"/>
  <c r="L377" i="1"/>
  <c r="M377" i="1"/>
  <c r="N377" i="1"/>
  <c r="J378" i="1"/>
  <c r="K378" i="1"/>
  <c r="M378" i="1" s="1"/>
  <c r="L378" i="1"/>
  <c r="N378" i="1"/>
  <c r="O378" i="1"/>
  <c r="J379" i="1"/>
  <c r="K379" i="1"/>
  <c r="N379" i="1" s="1"/>
  <c r="L379" i="1"/>
  <c r="M379" i="1"/>
  <c r="J380" i="1"/>
  <c r="K380" i="1" s="1"/>
  <c r="N380" i="1"/>
  <c r="J381" i="1"/>
  <c r="K381" i="1"/>
  <c r="J382" i="1"/>
  <c r="K382" i="1"/>
  <c r="L382" i="1"/>
  <c r="M382" i="1"/>
  <c r="N382" i="1"/>
  <c r="J383" i="1"/>
  <c r="K383" i="1" s="1"/>
  <c r="J384" i="1"/>
  <c r="K384" i="1"/>
  <c r="J385" i="1"/>
  <c r="K385" i="1"/>
  <c r="L385" i="1"/>
  <c r="M385" i="1"/>
  <c r="N385" i="1"/>
  <c r="J386" i="1"/>
  <c r="K386" i="1" s="1"/>
  <c r="J387" i="1"/>
  <c r="K387" i="1"/>
  <c r="L387" i="1"/>
  <c r="M387" i="1"/>
  <c r="N387" i="1"/>
  <c r="O387" i="1"/>
  <c r="P387" i="1"/>
  <c r="Q387" i="1"/>
  <c r="R387" i="1"/>
  <c r="J388" i="1"/>
  <c r="K388" i="1"/>
  <c r="M388" i="1"/>
  <c r="J389" i="1"/>
  <c r="K389" i="1" s="1"/>
  <c r="M389" i="1" s="1"/>
  <c r="L389" i="1"/>
  <c r="N389" i="1"/>
  <c r="J390" i="1"/>
  <c r="K390" i="1"/>
  <c r="J391" i="1"/>
  <c r="K391" i="1" s="1"/>
  <c r="J392" i="1"/>
  <c r="K392" i="1" s="1"/>
  <c r="N392" i="1"/>
  <c r="J393" i="1"/>
  <c r="K393" i="1"/>
  <c r="M393" i="1" s="1"/>
  <c r="L393" i="1"/>
  <c r="N393" i="1"/>
  <c r="J394" i="1"/>
  <c r="K394" i="1"/>
  <c r="M394" i="1" s="1"/>
  <c r="L394" i="1"/>
  <c r="N394" i="1"/>
  <c r="O394" i="1"/>
  <c r="J395" i="1"/>
  <c r="K395" i="1"/>
  <c r="N395" i="1" s="1"/>
  <c r="L395" i="1"/>
  <c r="M395" i="1"/>
  <c r="J396" i="1"/>
  <c r="K396" i="1" s="1"/>
  <c r="J397" i="1"/>
  <c r="K397" i="1"/>
  <c r="L397" i="1"/>
  <c r="J398" i="1"/>
  <c r="K398" i="1" s="1"/>
  <c r="N398" i="1" s="1"/>
  <c r="L398" i="1"/>
  <c r="J399" i="1"/>
  <c r="K399" i="1" s="1"/>
  <c r="J400" i="1"/>
  <c r="K400" i="1" s="1"/>
  <c r="L400" i="1"/>
  <c r="M400" i="1"/>
  <c r="N400" i="1"/>
  <c r="O400" i="1"/>
  <c r="P400" i="1"/>
  <c r="Q400" i="1"/>
  <c r="J401" i="1"/>
  <c r="K401" i="1"/>
  <c r="N401" i="1" s="1"/>
  <c r="L401" i="1"/>
  <c r="M401" i="1"/>
  <c r="J402" i="1"/>
  <c r="K402" i="1"/>
  <c r="J403" i="1"/>
  <c r="K403" i="1" s="1"/>
  <c r="L403" i="1" s="1"/>
  <c r="M403" i="1"/>
  <c r="N403" i="1"/>
  <c r="O403" i="1"/>
  <c r="P403" i="1"/>
  <c r="Q403" i="1"/>
  <c r="J404" i="1"/>
  <c r="K404" i="1"/>
  <c r="L404" i="1" s="1"/>
  <c r="M404" i="1"/>
  <c r="N404" i="1"/>
  <c r="J405" i="1"/>
  <c r="K405" i="1" s="1"/>
  <c r="J406" i="1"/>
  <c r="K406" i="1"/>
  <c r="J407" i="1"/>
  <c r="K407" i="1"/>
  <c r="N407" i="1" s="1"/>
  <c r="L407" i="1"/>
  <c r="M407" i="1"/>
  <c r="O407" i="1"/>
  <c r="Q407" i="1"/>
  <c r="R407" i="1"/>
  <c r="J408" i="1"/>
  <c r="K408" i="1" s="1"/>
  <c r="J409" i="1"/>
  <c r="K409" i="1"/>
  <c r="L409" i="1"/>
  <c r="M409" i="1"/>
  <c r="N409" i="1"/>
  <c r="O409" i="1"/>
  <c r="P409" i="1"/>
  <c r="J410" i="1"/>
  <c r="K410" i="1"/>
  <c r="L410" i="1"/>
  <c r="M410" i="1"/>
  <c r="N410" i="1"/>
  <c r="J411" i="1"/>
  <c r="K411" i="1"/>
  <c r="N411" i="1" s="1"/>
  <c r="L411" i="1"/>
  <c r="M411" i="1"/>
  <c r="O411" i="1"/>
  <c r="J412" i="1"/>
  <c r="K412" i="1"/>
  <c r="N412" i="1" s="1"/>
  <c r="L412" i="1"/>
  <c r="M412" i="1"/>
  <c r="J413" i="1"/>
  <c r="K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P415" i="1"/>
  <c r="R415" i="1"/>
  <c r="J416" i="1"/>
  <c r="K416" i="1"/>
  <c r="L416" i="1" s="1"/>
  <c r="M416" i="1"/>
  <c r="N416" i="1"/>
  <c r="O416" i="1"/>
  <c r="J417" i="1"/>
  <c r="K417" i="1"/>
  <c r="M417" i="1" s="1"/>
  <c r="L417" i="1"/>
  <c r="N417" i="1"/>
  <c r="J418" i="1"/>
  <c r="K418" i="1"/>
  <c r="L418" i="1"/>
  <c r="J419" i="1"/>
  <c r="K419" i="1"/>
  <c r="N419" i="1" s="1"/>
  <c r="L419" i="1"/>
  <c r="M419" i="1"/>
  <c r="J420" i="1"/>
  <c r="K420" i="1"/>
  <c r="L420" i="1"/>
  <c r="M420" i="1"/>
  <c r="N420" i="1"/>
  <c r="O420" i="1"/>
  <c r="P420" i="1"/>
  <c r="Q420" i="1"/>
  <c r="R420" i="1"/>
  <c r="S420" i="1"/>
  <c r="J421" i="1"/>
  <c r="K421" i="1"/>
  <c r="M421" i="1"/>
  <c r="J422" i="1"/>
  <c r="K422" i="1"/>
  <c r="L422" i="1"/>
  <c r="M422" i="1"/>
  <c r="N422" i="1"/>
  <c r="O422" i="1"/>
  <c r="Q422" i="1"/>
  <c r="R422" i="1"/>
  <c r="J423" i="1"/>
  <c r="K423" i="1"/>
  <c r="L423" i="1"/>
  <c r="J424" i="1"/>
  <c r="K424" i="1" s="1"/>
  <c r="J425" i="1"/>
  <c r="K425" i="1"/>
  <c r="L425" i="1"/>
  <c r="M425" i="1"/>
  <c r="N425" i="1"/>
  <c r="O425" i="1"/>
  <c r="P425" i="1"/>
  <c r="Q425" i="1"/>
  <c r="J426" i="1"/>
  <c r="K426" i="1"/>
  <c r="L426" i="1"/>
  <c r="M426" i="1"/>
  <c r="N426" i="1"/>
  <c r="O426" i="1"/>
  <c r="P426" i="1"/>
  <c r="J427" i="1"/>
  <c r="K427" i="1"/>
  <c r="N427" i="1" s="1"/>
  <c r="L427" i="1"/>
  <c r="M427" i="1"/>
  <c r="J428" i="1"/>
  <c r="K428" i="1"/>
  <c r="J429" i="1"/>
  <c r="K429" i="1"/>
  <c r="N429" i="1" s="1"/>
  <c r="L429" i="1"/>
  <c r="M429" i="1"/>
  <c r="O429" i="1"/>
  <c r="Q429" i="1"/>
  <c r="R429" i="1"/>
  <c r="J430" i="1"/>
  <c r="K430" i="1"/>
  <c r="L430" i="1"/>
  <c r="M430" i="1"/>
  <c r="N430" i="1"/>
  <c r="O430" i="1"/>
  <c r="Q430" i="1"/>
  <c r="R430" i="1"/>
  <c r="J431" i="1"/>
  <c r="K431" i="1" s="1"/>
  <c r="N431" i="1" s="1"/>
  <c r="L431" i="1"/>
  <c r="M431" i="1"/>
  <c r="O431" i="1"/>
  <c r="P431" i="1"/>
  <c r="J432" i="1"/>
  <c r="K432" i="1"/>
  <c r="L432" i="1" s="1"/>
  <c r="M432" i="1"/>
  <c r="N432" i="1"/>
  <c r="O432" i="1"/>
  <c r="J433" i="1"/>
  <c r="K433" i="1" s="1"/>
  <c r="N433" i="1" s="1"/>
  <c r="L433" i="1"/>
  <c r="M433" i="1"/>
  <c r="J434" i="1"/>
  <c r="K434" i="1"/>
  <c r="L434" i="1"/>
  <c r="M434" i="1"/>
  <c r="N434" i="1"/>
  <c r="O434" i="1"/>
  <c r="P434" i="1"/>
  <c r="Q434" i="1"/>
  <c r="J435" i="1"/>
  <c r="K435" i="1" s="1"/>
  <c r="J436" i="1"/>
  <c r="K436" i="1"/>
  <c r="L436" i="1"/>
  <c r="J437" i="1"/>
  <c r="K437" i="1"/>
  <c r="M437" i="1" s="1"/>
  <c r="L437" i="1"/>
  <c r="N437" i="1"/>
  <c r="O437" i="1"/>
  <c r="P437" i="1"/>
  <c r="Q437" i="1"/>
  <c r="R437" i="1"/>
  <c r="J438" i="1"/>
  <c r="K438" i="1"/>
  <c r="L438" i="1"/>
  <c r="J439" i="1"/>
  <c r="K439" i="1"/>
  <c r="L439" i="1"/>
  <c r="J440" i="1"/>
  <c r="K440" i="1" s="1"/>
  <c r="J441" i="1"/>
  <c r="K441" i="1" s="1"/>
  <c r="J442" i="1"/>
  <c r="K442" i="1"/>
  <c r="L442" i="1"/>
  <c r="M442" i="1"/>
  <c r="N442" i="1"/>
  <c r="R442" i="1" s="1"/>
  <c r="O442" i="1"/>
  <c r="P442" i="1"/>
  <c r="S442" i="1" s="1"/>
  <c r="Q442" i="1"/>
  <c r="J443" i="1"/>
  <c r="K443" i="1" s="1"/>
  <c r="N443" i="1" s="1"/>
  <c r="L443" i="1"/>
  <c r="M443" i="1"/>
  <c r="J444" i="1"/>
  <c r="K444" i="1"/>
  <c r="N444" i="1" s="1"/>
  <c r="L444" i="1"/>
  <c r="M444" i="1"/>
  <c r="O444" i="1"/>
  <c r="P444" i="1"/>
  <c r="Q444" i="1"/>
  <c r="R444" i="1"/>
  <c r="S444" i="1"/>
  <c r="J445" i="1"/>
  <c r="K445" i="1"/>
  <c r="J446" i="1"/>
  <c r="K446" i="1"/>
  <c r="J447" i="1"/>
  <c r="K447" i="1"/>
  <c r="L447" i="1"/>
  <c r="M447" i="1"/>
  <c r="N447" i="1"/>
  <c r="O447" i="1"/>
  <c r="P447" i="1"/>
  <c r="J448" i="1"/>
  <c r="K448" i="1" s="1"/>
  <c r="L448" i="1" s="1"/>
  <c r="M448" i="1"/>
  <c r="J449" i="1"/>
  <c r="K449" i="1"/>
  <c r="L449" i="1" s="1"/>
  <c r="M449" i="1"/>
  <c r="N449" i="1"/>
  <c r="O449" i="1"/>
  <c r="P449" i="1"/>
  <c r="Q449" i="1"/>
  <c r="J450" i="1"/>
  <c r="K450" i="1"/>
  <c r="L450" i="1"/>
  <c r="J451" i="1"/>
  <c r="K451" i="1" s="1"/>
  <c r="J452" i="1"/>
  <c r="K452" i="1"/>
  <c r="L452" i="1"/>
  <c r="M452" i="1"/>
  <c r="N452" i="1"/>
  <c r="O452" i="1"/>
  <c r="P452" i="1"/>
  <c r="Q452" i="1"/>
  <c r="R452" i="1"/>
  <c r="J453" i="1"/>
  <c r="K453" i="1"/>
  <c r="L453" i="1"/>
  <c r="M453" i="1"/>
  <c r="N453" i="1"/>
  <c r="O453" i="1"/>
  <c r="J454" i="1"/>
  <c r="K454" i="1"/>
  <c r="J455" i="1"/>
  <c r="K455" i="1"/>
  <c r="L455" i="1"/>
  <c r="J456" i="1"/>
  <c r="K456" i="1"/>
  <c r="J457" i="1"/>
  <c r="K457" i="1"/>
  <c r="L457" i="1"/>
  <c r="M457" i="1"/>
  <c r="N457" i="1"/>
  <c r="O457" i="1"/>
  <c r="P457" i="1"/>
  <c r="Q457" i="1"/>
  <c r="J458" i="1"/>
  <c r="K458" i="1" s="1"/>
  <c r="J459" i="1"/>
  <c r="K459" i="1"/>
  <c r="N459" i="1" s="1"/>
  <c r="L459" i="1"/>
  <c r="M459" i="1"/>
  <c r="J460" i="1"/>
  <c r="K460" i="1"/>
  <c r="N460" i="1" s="1"/>
  <c r="L460" i="1"/>
  <c r="M460" i="1"/>
  <c r="J461" i="1"/>
  <c r="K461" i="1"/>
  <c r="L461" i="1"/>
  <c r="M461" i="1"/>
  <c r="N461" i="1"/>
  <c r="R461" i="1" s="1"/>
  <c r="O461" i="1"/>
  <c r="Q461" i="1" s="1"/>
  <c r="P461" i="1"/>
  <c r="S461" i="1" s="1"/>
  <c r="J462" i="1"/>
  <c r="K462" i="1"/>
  <c r="L462" i="1"/>
  <c r="M462" i="1"/>
  <c r="N462" i="1"/>
  <c r="J463" i="1"/>
  <c r="K463" i="1"/>
  <c r="L463" i="1"/>
  <c r="M463" i="1"/>
  <c r="N463" i="1"/>
  <c r="O463" i="1"/>
  <c r="P463" i="1"/>
  <c r="J464" i="1"/>
  <c r="K464" i="1" s="1"/>
  <c r="J465" i="1"/>
  <c r="K465" i="1"/>
  <c r="J466" i="1"/>
  <c r="K466" i="1"/>
  <c r="L466" i="1"/>
  <c r="M466" i="1"/>
  <c r="N466" i="1"/>
  <c r="O466" i="1"/>
  <c r="Q466" i="1"/>
  <c r="R466" i="1"/>
  <c r="J467" i="1"/>
  <c r="K467" i="1" s="1"/>
  <c r="J468" i="1"/>
  <c r="K468" i="1"/>
  <c r="L468" i="1"/>
  <c r="M468" i="1"/>
  <c r="N468" i="1"/>
  <c r="O468" i="1"/>
  <c r="Q468" i="1"/>
  <c r="J469" i="1"/>
  <c r="K469" i="1"/>
  <c r="L469" i="1" s="1"/>
  <c r="M469" i="1"/>
  <c r="N469" i="1"/>
  <c r="O469" i="1"/>
  <c r="J470" i="1"/>
  <c r="K470" i="1"/>
  <c r="L470" i="1"/>
  <c r="J471" i="1"/>
  <c r="K471" i="1"/>
  <c r="M471" i="1" s="1"/>
  <c r="L471" i="1"/>
  <c r="N471" i="1"/>
  <c r="O471" i="1"/>
  <c r="P471" i="1"/>
  <c r="Q471" i="1"/>
  <c r="R471" i="1"/>
  <c r="S471" i="1"/>
  <c r="J472" i="1"/>
  <c r="K472" i="1" s="1"/>
  <c r="J473" i="1"/>
  <c r="K473" i="1"/>
  <c r="J474" i="1"/>
  <c r="K474" i="1"/>
  <c r="L474" i="1"/>
  <c r="M474" i="1"/>
  <c r="N474" i="1"/>
  <c r="J475" i="1"/>
  <c r="K475" i="1"/>
  <c r="L475" i="1"/>
  <c r="J476" i="1"/>
  <c r="K476" i="1"/>
  <c r="L476" i="1"/>
  <c r="M476" i="1"/>
  <c r="N476" i="1"/>
  <c r="O476" i="1"/>
  <c r="J477" i="1"/>
  <c r="K477" i="1"/>
  <c r="J478" i="1"/>
  <c r="K478" i="1"/>
  <c r="L478" i="1"/>
  <c r="J479" i="1"/>
  <c r="K479" i="1"/>
  <c r="L479" i="1"/>
  <c r="M479" i="1"/>
  <c r="N479" i="1"/>
  <c r="O479" i="1"/>
  <c r="Q479" i="1"/>
  <c r="R479" i="1"/>
  <c r="J480" i="1"/>
  <c r="K480" i="1"/>
  <c r="M480" i="1"/>
  <c r="J481" i="1"/>
  <c r="K481" i="1"/>
  <c r="J482" i="1"/>
  <c r="K482" i="1"/>
  <c r="L482" i="1"/>
  <c r="J483" i="1"/>
  <c r="K483" i="1"/>
  <c r="L483" i="1"/>
  <c r="J484" i="1"/>
  <c r="K484" i="1"/>
  <c r="L484" i="1"/>
  <c r="M484" i="1"/>
  <c r="N484" i="1"/>
  <c r="O484" i="1"/>
  <c r="J485" i="1"/>
  <c r="K485" i="1"/>
  <c r="J486" i="1"/>
  <c r="K486" i="1" s="1"/>
  <c r="J487" i="1"/>
  <c r="K487" i="1"/>
  <c r="L487" i="1"/>
  <c r="J488" i="1"/>
  <c r="K488" i="1"/>
  <c r="M488" i="1"/>
  <c r="J489" i="1"/>
  <c r="K489" i="1"/>
  <c r="L489" i="1"/>
  <c r="M489" i="1"/>
  <c r="N489" i="1"/>
  <c r="O489" i="1"/>
  <c r="P489" i="1" s="1"/>
  <c r="J490" i="1"/>
  <c r="K490" i="1" s="1"/>
  <c r="L490" i="1"/>
  <c r="M490" i="1"/>
  <c r="N490" i="1"/>
  <c r="O490" i="1"/>
  <c r="J491" i="1"/>
  <c r="K491" i="1" s="1"/>
  <c r="J492" i="1"/>
  <c r="K492" i="1" s="1"/>
  <c r="N492" i="1" s="1"/>
  <c r="L492" i="1"/>
  <c r="M492" i="1"/>
  <c r="J493" i="1"/>
  <c r="K493" i="1"/>
  <c r="L493" i="1"/>
  <c r="J494" i="1"/>
  <c r="K494" i="1"/>
  <c r="L494" i="1"/>
  <c r="M494" i="1"/>
  <c r="N494" i="1"/>
  <c r="O494" i="1"/>
  <c r="Q494" i="1"/>
  <c r="R494" i="1"/>
  <c r="J495" i="1"/>
  <c r="K495" i="1" s="1"/>
  <c r="N495" i="1"/>
  <c r="J496" i="1"/>
  <c r="K496" i="1"/>
  <c r="J497" i="1"/>
  <c r="K497" i="1"/>
  <c r="N497" i="1" s="1"/>
  <c r="L497" i="1"/>
  <c r="M497" i="1"/>
  <c r="J498" i="1"/>
  <c r="K498" i="1" s="1"/>
  <c r="L498" i="1"/>
  <c r="M498" i="1"/>
  <c r="N498" i="1"/>
  <c r="J499" i="1"/>
  <c r="K499" i="1" s="1"/>
  <c r="J500" i="1"/>
  <c r="K500" i="1" s="1"/>
  <c r="M500" i="1"/>
  <c r="J501" i="1"/>
  <c r="K501" i="1"/>
  <c r="L501" i="1"/>
  <c r="M501" i="1"/>
  <c r="N501" i="1"/>
  <c r="R501" i="1" s="1"/>
  <c r="O501" i="1"/>
  <c r="P501" i="1"/>
  <c r="Q501" i="1"/>
  <c r="J502" i="1"/>
  <c r="K502" i="1" s="1"/>
  <c r="N502" i="1" s="1"/>
  <c r="L502" i="1"/>
  <c r="M502" i="1"/>
  <c r="J503" i="1"/>
  <c r="K503" i="1"/>
  <c r="L503" i="1"/>
  <c r="M503" i="1"/>
  <c r="N503" i="1"/>
  <c r="O503" i="1"/>
  <c r="P503" i="1"/>
  <c r="Q503" i="1"/>
  <c r="R503" i="1"/>
  <c r="J504" i="1"/>
  <c r="K504" i="1" s="1"/>
  <c r="J505" i="1"/>
  <c r="K505" i="1"/>
  <c r="J506" i="1"/>
  <c r="K506" i="1"/>
  <c r="L506" i="1"/>
  <c r="M506" i="1"/>
  <c r="N506" i="1"/>
  <c r="O506" i="1"/>
  <c r="P506" i="1"/>
  <c r="Q506" i="1"/>
  <c r="R506" i="1"/>
  <c r="J507" i="1"/>
  <c r="K507" i="1"/>
  <c r="N507" i="1" s="1"/>
  <c r="L507" i="1"/>
  <c r="M507" i="1"/>
  <c r="O507" i="1"/>
  <c r="J508" i="1"/>
  <c r="K508" i="1" s="1"/>
  <c r="L508" i="1"/>
  <c r="M508" i="1"/>
  <c r="N508" i="1"/>
  <c r="J509" i="1"/>
  <c r="K509" i="1"/>
  <c r="J510" i="1"/>
  <c r="K510" i="1"/>
  <c r="N510" i="1" s="1"/>
  <c r="L510" i="1"/>
  <c r="M510" i="1"/>
  <c r="O510" i="1"/>
  <c r="Q510" i="1"/>
  <c r="R510" i="1"/>
  <c r="J511" i="1"/>
  <c r="K511" i="1"/>
  <c r="L511" i="1"/>
  <c r="M511" i="1"/>
  <c r="N511" i="1"/>
  <c r="J512" i="1"/>
  <c r="K512" i="1"/>
  <c r="M512" i="1"/>
  <c r="J513" i="1"/>
  <c r="K513" i="1"/>
  <c r="L513" i="1"/>
  <c r="M513" i="1"/>
  <c r="N513" i="1"/>
  <c r="O513" i="1"/>
  <c r="J514" i="1"/>
  <c r="K514" i="1"/>
  <c r="L514" i="1"/>
  <c r="J515" i="1"/>
  <c r="K515" i="1"/>
  <c r="N515" i="1" s="1"/>
  <c r="L515" i="1"/>
  <c r="M515" i="1"/>
  <c r="O515" i="1"/>
  <c r="P515" i="1"/>
  <c r="Q515" i="1"/>
  <c r="R515" i="1"/>
  <c r="J516" i="1"/>
  <c r="K516" i="1"/>
  <c r="L516" i="1"/>
  <c r="M516" i="1"/>
  <c r="N516" i="1"/>
  <c r="O516" i="1"/>
  <c r="P516" i="1" s="1"/>
  <c r="J517" i="1"/>
  <c r="K517" i="1"/>
  <c r="L517" i="1"/>
  <c r="M517" i="1"/>
  <c r="N517" i="1"/>
  <c r="J518" i="1"/>
  <c r="K518" i="1" s="1"/>
  <c r="L518" i="1" s="1"/>
  <c r="M518" i="1"/>
  <c r="N518" i="1"/>
  <c r="O518" i="1"/>
  <c r="R518" i="1"/>
  <c r="J519" i="1"/>
  <c r="K519" i="1"/>
  <c r="J520" i="1"/>
  <c r="K520" i="1"/>
  <c r="M520" i="1"/>
  <c r="J521" i="1"/>
  <c r="K521" i="1"/>
  <c r="L521" i="1"/>
  <c r="M521" i="1"/>
  <c r="N521" i="1"/>
  <c r="J522" i="1"/>
  <c r="K522" i="1"/>
  <c r="L522" i="1"/>
  <c r="J523" i="1"/>
  <c r="K523" i="1"/>
  <c r="N523" i="1" s="1"/>
  <c r="L523" i="1"/>
  <c r="M523" i="1"/>
  <c r="O523" i="1"/>
  <c r="Q523" i="1"/>
  <c r="R523" i="1"/>
  <c r="J524" i="1"/>
  <c r="K524" i="1"/>
  <c r="J525" i="1"/>
  <c r="K525" i="1"/>
  <c r="L525" i="1"/>
  <c r="M525" i="1"/>
  <c r="N525" i="1"/>
  <c r="J526" i="1"/>
  <c r="K526" i="1"/>
  <c r="L526" i="1"/>
  <c r="M526" i="1"/>
  <c r="N526" i="1"/>
  <c r="J527" i="1"/>
  <c r="K527" i="1"/>
  <c r="L527" i="1" s="1"/>
  <c r="M527" i="1"/>
  <c r="N527" i="1"/>
  <c r="O527" i="1"/>
  <c r="P527" i="1"/>
  <c r="J528" i="1"/>
  <c r="K528" i="1"/>
  <c r="J529" i="1"/>
  <c r="K529" i="1"/>
  <c r="M529" i="1"/>
  <c r="J530" i="1"/>
  <c r="K530" i="1"/>
  <c r="L530" i="1"/>
  <c r="M530" i="1"/>
  <c r="Q530" i="1" s="1"/>
  <c r="N530" i="1"/>
  <c r="R530" i="1" s="1"/>
  <c r="O530" i="1"/>
  <c r="P530" i="1"/>
  <c r="S530" i="1" s="1"/>
  <c r="J531" i="1"/>
  <c r="K531" i="1" s="1"/>
  <c r="J532" i="1"/>
  <c r="K532" i="1"/>
  <c r="L532" i="1"/>
  <c r="M532" i="1"/>
  <c r="N532" i="1"/>
  <c r="O532" i="1"/>
  <c r="P532" i="1"/>
  <c r="Q532" i="1"/>
  <c r="J533" i="1"/>
  <c r="K533" i="1"/>
  <c r="L533" i="1"/>
  <c r="J534" i="1"/>
  <c r="K534" i="1"/>
  <c r="N534" i="1" s="1"/>
  <c r="L534" i="1"/>
  <c r="M534" i="1"/>
  <c r="J535" i="1"/>
  <c r="K535" i="1"/>
  <c r="N535" i="1" s="1"/>
  <c r="L535" i="1"/>
  <c r="M535" i="1"/>
  <c r="J536" i="1"/>
  <c r="K536" i="1" s="1"/>
  <c r="J537" i="1"/>
  <c r="K537" i="1"/>
  <c r="N537" i="1" s="1"/>
  <c r="L537" i="1"/>
  <c r="M537" i="1"/>
  <c r="O537" i="1"/>
  <c r="Q537" i="1"/>
  <c r="J538" i="1"/>
  <c r="K538" i="1"/>
  <c r="L538" i="1"/>
  <c r="M538" i="1"/>
  <c r="Q538" i="1" s="1"/>
  <c r="N538" i="1"/>
  <c r="O538" i="1"/>
  <c r="P538" i="1"/>
  <c r="J539" i="1"/>
  <c r="K539" i="1"/>
  <c r="M539" i="1"/>
  <c r="J540" i="1"/>
  <c r="K540" i="1"/>
  <c r="L540" i="1"/>
  <c r="J541" i="1"/>
  <c r="K541" i="1"/>
  <c r="J542" i="1"/>
  <c r="K542" i="1" s="1"/>
  <c r="J543" i="1"/>
  <c r="K543" i="1"/>
  <c r="L543" i="1"/>
  <c r="M543" i="1"/>
  <c r="N543" i="1"/>
  <c r="O543" i="1"/>
  <c r="Q543" i="1" s="1"/>
  <c r="P543" i="1"/>
  <c r="J544" i="1"/>
  <c r="K544" i="1"/>
  <c r="M544" i="1"/>
  <c r="J545" i="1"/>
  <c r="K545" i="1"/>
  <c r="M545" i="1" s="1"/>
  <c r="L545" i="1"/>
  <c r="N545" i="1"/>
  <c r="O545" i="1"/>
  <c r="P545" i="1"/>
  <c r="Q545" i="1"/>
  <c r="J546" i="1"/>
  <c r="K546" i="1"/>
  <c r="L546" i="1"/>
  <c r="J547" i="1"/>
  <c r="K547" i="1"/>
  <c r="L547" i="1"/>
  <c r="J548" i="1"/>
  <c r="K548" i="1"/>
  <c r="L548" i="1"/>
  <c r="M548" i="1"/>
  <c r="N548" i="1"/>
  <c r="J549" i="1"/>
  <c r="K549" i="1"/>
  <c r="L549" i="1"/>
  <c r="M549" i="1"/>
  <c r="N549" i="1"/>
  <c r="O549" i="1"/>
  <c r="J550" i="1"/>
  <c r="K550" i="1"/>
  <c r="N550" i="1" s="1"/>
  <c r="L550" i="1"/>
  <c r="J551" i="1"/>
  <c r="K551" i="1"/>
  <c r="L551" i="1"/>
  <c r="J552" i="1"/>
  <c r="K552" i="1"/>
  <c r="L552" i="1" s="1"/>
  <c r="M552" i="1"/>
  <c r="Q552" i="1" s="1"/>
  <c r="N552" i="1"/>
  <c r="R552" i="1" s="1"/>
  <c r="O552" i="1"/>
  <c r="P552" i="1"/>
  <c r="S552" i="1" s="1"/>
  <c r="J553" i="1"/>
  <c r="K553" i="1"/>
  <c r="L553" i="1"/>
  <c r="M553" i="1"/>
  <c r="N553" i="1"/>
  <c r="O553" i="1"/>
  <c r="P553" i="1" s="1"/>
  <c r="Q553" i="1"/>
  <c r="J554" i="1"/>
  <c r="K554" i="1"/>
  <c r="L554" i="1"/>
  <c r="M554" i="1"/>
  <c r="N554" i="1"/>
  <c r="O554" i="1"/>
  <c r="J555" i="1"/>
  <c r="K555" i="1"/>
  <c r="N555" i="1" s="1"/>
  <c r="L555" i="1"/>
  <c r="M555" i="1"/>
  <c r="J556" i="1"/>
  <c r="K556" i="1"/>
  <c r="N556" i="1" s="1"/>
  <c r="L556" i="1"/>
  <c r="M556" i="1"/>
  <c r="J557" i="1"/>
  <c r="K557" i="1"/>
  <c r="L557" i="1"/>
  <c r="M557" i="1"/>
  <c r="N557" i="1"/>
  <c r="J558" i="1"/>
  <c r="K558" i="1"/>
  <c r="L558" i="1"/>
  <c r="M558" i="1"/>
  <c r="N558" i="1"/>
  <c r="O558" i="1"/>
  <c r="R558" i="1"/>
  <c r="J559" i="1"/>
  <c r="K559" i="1"/>
  <c r="N559" i="1" s="1"/>
  <c r="L559" i="1"/>
  <c r="M559" i="1"/>
  <c r="J560" i="1"/>
  <c r="K560" i="1"/>
  <c r="L560" i="1" s="1"/>
  <c r="M560" i="1"/>
  <c r="N560" i="1"/>
  <c r="O560" i="1"/>
  <c r="P560" i="1"/>
  <c r="R560" i="1"/>
  <c r="J561" i="1"/>
  <c r="K561" i="1"/>
  <c r="J562" i="1"/>
  <c r="K562" i="1"/>
  <c r="J563" i="1"/>
  <c r="K563" i="1" s="1"/>
  <c r="J564" i="1"/>
  <c r="K564" i="1"/>
  <c r="L564" i="1"/>
  <c r="M564" i="1"/>
  <c r="N564" i="1"/>
  <c r="J565" i="1"/>
  <c r="K565" i="1"/>
  <c r="L565" i="1"/>
  <c r="M565" i="1"/>
  <c r="N565" i="1"/>
  <c r="J566" i="1"/>
  <c r="K566" i="1"/>
  <c r="N566" i="1" s="1"/>
  <c r="L566" i="1"/>
  <c r="M566" i="1"/>
  <c r="J567" i="1"/>
  <c r="K567" i="1"/>
  <c r="J568" i="1"/>
  <c r="K568" i="1" s="1"/>
  <c r="J569" i="1"/>
  <c r="K569" i="1"/>
  <c r="N569" i="1" s="1"/>
  <c r="L569" i="1"/>
  <c r="M569" i="1"/>
  <c r="J570" i="1"/>
  <c r="K570" i="1"/>
  <c r="L570" i="1"/>
  <c r="M570" i="1"/>
  <c r="N570" i="1"/>
  <c r="O570" i="1"/>
  <c r="P570" i="1"/>
  <c r="R570" i="1"/>
  <c r="J571" i="1"/>
  <c r="K571" i="1"/>
  <c r="L571" i="1"/>
  <c r="J572" i="1"/>
  <c r="K572" i="1"/>
  <c r="L572" i="1"/>
  <c r="J573" i="1"/>
  <c r="K573" i="1"/>
  <c r="J574" i="1"/>
  <c r="K574" i="1"/>
  <c r="N574" i="1" s="1"/>
  <c r="L574" i="1"/>
  <c r="M574" i="1"/>
  <c r="J575" i="1"/>
  <c r="K575" i="1"/>
  <c r="L575" i="1"/>
  <c r="M575" i="1"/>
  <c r="N575" i="1"/>
  <c r="O575" i="1"/>
  <c r="P575" i="1"/>
  <c r="Q575" i="1"/>
  <c r="R575" i="1"/>
  <c r="S575" i="1"/>
  <c r="J576" i="1"/>
  <c r="K576" i="1"/>
  <c r="J577" i="1"/>
  <c r="K577" i="1"/>
  <c r="L577" i="1"/>
  <c r="M577" i="1"/>
  <c r="N577" i="1"/>
  <c r="O577" i="1"/>
  <c r="P577" i="1"/>
  <c r="Q577" i="1"/>
  <c r="J578" i="1"/>
  <c r="K578" i="1"/>
  <c r="L578" i="1"/>
  <c r="J579" i="1"/>
  <c r="K579" i="1"/>
  <c r="J580" i="1"/>
  <c r="K580" i="1"/>
  <c r="L580" i="1"/>
  <c r="M580" i="1"/>
  <c r="N580" i="1"/>
  <c r="J581" i="1"/>
  <c r="K581" i="1"/>
  <c r="L581" i="1"/>
  <c r="M581" i="1"/>
  <c r="N581" i="1"/>
  <c r="O581" i="1"/>
  <c r="J582" i="1"/>
  <c r="K582" i="1"/>
  <c r="N582" i="1" s="1"/>
  <c r="L582" i="1"/>
  <c r="M582" i="1"/>
  <c r="O582" i="1"/>
  <c r="Q582" i="1"/>
  <c r="J583" i="1"/>
  <c r="K583" i="1"/>
  <c r="L583" i="1"/>
  <c r="J584" i="1"/>
  <c r="K584" i="1"/>
  <c r="L584" i="1" s="1"/>
  <c r="M584" i="1"/>
  <c r="J585" i="1"/>
  <c r="K585" i="1"/>
  <c r="L585" i="1"/>
  <c r="M585" i="1"/>
  <c r="N585" i="1"/>
  <c r="J586" i="1"/>
  <c r="K586" i="1"/>
  <c r="L586" i="1" s="1"/>
  <c r="M586" i="1"/>
  <c r="N586" i="1"/>
  <c r="O586" i="1"/>
  <c r="P586" i="1" s="1"/>
  <c r="J587" i="1"/>
  <c r="K587" i="1"/>
  <c r="N587" i="1" s="1"/>
  <c r="L587" i="1"/>
  <c r="M587" i="1"/>
  <c r="O587" i="1"/>
  <c r="P587" i="1"/>
  <c r="J588" i="1"/>
  <c r="K588" i="1"/>
  <c r="M588" i="1"/>
  <c r="J589" i="1"/>
  <c r="K589" i="1"/>
  <c r="L589" i="1"/>
  <c r="M589" i="1"/>
  <c r="N589" i="1"/>
  <c r="J590" i="1"/>
  <c r="K590" i="1"/>
  <c r="L590" i="1"/>
  <c r="M590" i="1"/>
  <c r="N590" i="1"/>
  <c r="J591" i="1"/>
  <c r="K591" i="1"/>
  <c r="L591" i="1"/>
  <c r="M591" i="1"/>
  <c r="N591" i="1"/>
  <c r="J592" i="1"/>
  <c r="K592" i="1" s="1"/>
  <c r="L592" i="1" s="1"/>
  <c r="M592" i="1"/>
  <c r="N592" i="1"/>
  <c r="J593" i="1"/>
  <c r="K593" i="1" s="1"/>
  <c r="J594" i="1"/>
  <c r="K594" i="1" s="1"/>
  <c r="N594" i="1"/>
  <c r="J595" i="1"/>
  <c r="K595" i="1" s="1"/>
  <c r="J596" i="1"/>
  <c r="K596" i="1"/>
  <c r="J597" i="1"/>
  <c r="K597" i="1"/>
  <c r="M597" i="1" s="1"/>
  <c r="L597" i="1"/>
  <c r="N597" i="1"/>
  <c r="O597" i="1"/>
  <c r="P597" i="1"/>
  <c r="Q597" i="1"/>
  <c r="R597" i="1"/>
  <c r="S597" i="1"/>
  <c r="J598" i="1"/>
  <c r="K598" i="1"/>
  <c r="J599" i="1"/>
  <c r="K599" i="1"/>
  <c r="M599" i="1" s="1"/>
  <c r="L599" i="1"/>
  <c r="N599" i="1"/>
  <c r="O599" i="1"/>
  <c r="P599" i="1"/>
  <c r="Q599" i="1"/>
  <c r="R599" i="1"/>
  <c r="S599" i="1"/>
  <c r="J600" i="1"/>
  <c r="K600" i="1" s="1"/>
  <c r="J601" i="1"/>
  <c r="K601" i="1"/>
  <c r="M601" i="1" s="1"/>
  <c r="L601" i="1"/>
  <c r="N601" i="1"/>
  <c r="O601" i="1"/>
  <c r="P601" i="1"/>
  <c r="Q601" i="1"/>
  <c r="J602" i="1"/>
  <c r="K602" i="1"/>
  <c r="L602" i="1"/>
  <c r="M602" i="1"/>
  <c r="N602" i="1"/>
  <c r="O602" i="1"/>
  <c r="P602" i="1" s="1"/>
  <c r="R602" i="1"/>
  <c r="J603" i="1"/>
  <c r="K603" i="1" s="1"/>
  <c r="N603" i="1" s="1"/>
  <c r="L603" i="1"/>
  <c r="M603" i="1"/>
  <c r="O603" i="1"/>
  <c r="J604" i="1"/>
  <c r="K604" i="1"/>
  <c r="L604" i="1" s="1"/>
  <c r="M604" i="1"/>
  <c r="N604" i="1"/>
  <c r="O604" i="1"/>
  <c r="P604" i="1"/>
  <c r="Q604" i="1"/>
  <c r="J605" i="1"/>
  <c r="K605" i="1"/>
  <c r="J606" i="1"/>
  <c r="K606" i="1" s="1"/>
  <c r="L606" i="1"/>
  <c r="M606" i="1"/>
  <c r="N606" i="1"/>
  <c r="J607" i="1"/>
  <c r="K607" i="1"/>
  <c r="L607" i="1"/>
  <c r="M607" i="1"/>
  <c r="N607" i="1"/>
  <c r="O607" i="1"/>
  <c r="R607" i="1" s="1"/>
  <c r="P607" i="1"/>
  <c r="J608" i="1"/>
  <c r="K608" i="1"/>
  <c r="L608" i="1" s="1"/>
  <c r="O608" i="1" s="1"/>
  <c r="M608" i="1"/>
  <c r="N608" i="1"/>
  <c r="J609" i="1"/>
  <c r="K609" i="1"/>
  <c r="N609" i="1"/>
  <c r="D5" i="1"/>
  <c r="C5" i="1"/>
  <c r="B5" i="1"/>
  <c r="L496" i="1" l="1"/>
  <c r="M496" i="1"/>
  <c r="N496" i="1"/>
  <c r="O207" i="1"/>
  <c r="R207" i="1" s="1"/>
  <c r="O550" i="1"/>
  <c r="P401" i="1"/>
  <c r="O401" i="1"/>
  <c r="Q226" i="1"/>
  <c r="R226" i="1"/>
  <c r="L334" i="1"/>
  <c r="M334" i="1"/>
  <c r="N334" i="1"/>
  <c r="O190" i="1"/>
  <c r="P190" i="1" s="1"/>
  <c r="S187" i="1"/>
  <c r="O173" i="1"/>
  <c r="P173" i="1"/>
  <c r="P251" i="1"/>
  <c r="S251" i="1" s="1"/>
  <c r="R251" i="1"/>
  <c r="O153" i="1"/>
  <c r="R153" i="1" s="1"/>
  <c r="P153" i="1"/>
  <c r="O559" i="1"/>
  <c r="P559" i="1"/>
  <c r="Q516" i="1"/>
  <c r="S516" i="1" s="1"/>
  <c r="L456" i="1"/>
  <c r="N456" i="1"/>
  <c r="M456" i="1"/>
  <c r="L296" i="1"/>
  <c r="N296" i="1"/>
  <c r="M296" i="1"/>
  <c r="R592" i="1"/>
  <c r="S307" i="1"/>
  <c r="Q254" i="1"/>
  <c r="P254" i="1"/>
  <c r="S506" i="1"/>
  <c r="Q353" i="1"/>
  <c r="R254" i="1"/>
  <c r="O592" i="1"/>
  <c r="Q592" i="1" s="1"/>
  <c r="O533" i="1"/>
  <c r="P533" i="1"/>
  <c r="P490" i="1"/>
  <c r="Q459" i="1"/>
  <c r="R394" i="1"/>
  <c r="O385" i="1"/>
  <c r="N542" i="1"/>
  <c r="L542" i="1"/>
  <c r="M542" i="1"/>
  <c r="R353" i="1"/>
  <c r="L286" i="1"/>
  <c r="N286" i="1"/>
  <c r="M286" i="1"/>
  <c r="R484" i="1"/>
  <c r="P484" i="1"/>
  <c r="Q180" i="1"/>
  <c r="Q469" i="1"/>
  <c r="R330" i="1"/>
  <c r="O217" i="1"/>
  <c r="P217" i="1" s="1"/>
  <c r="Q484" i="1"/>
  <c r="P469" i="1"/>
  <c r="P606" i="1"/>
  <c r="O606" i="1"/>
  <c r="O346" i="1"/>
  <c r="P346" i="1" s="1"/>
  <c r="L528" i="1"/>
  <c r="M528" i="1"/>
  <c r="N528" i="1"/>
  <c r="N145" i="1"/>
  <c r="L145" i="1"/>
  <c r="M145" i="1"/>
  <c r="L576" i="1"/>
  <c r="N576" i="1"/>
  <c r="M576" i="1"/>
  <c r="P554" i="1"/>
  <c r="L536" i="1"/>
  <c r="M536" i="1"/>
  <c r="N536" i="1"/>
  <c r="Q511" i="1"/>
  <c r="R608" i="1"/>
  <c r="L504" i="1"/>
  <c r="M504" i="1"/>
  <c r="N504" i="1"/>
  <c r="L464" i="1"/>
  <c r="M464" i="1"/>
  <c r="N464" i="1"/>
  <c r="O382" i="1"/>
  <c r="R382" i="1" s="1"/>
  <c r="L304" i="1"/>
  <c r="N304" i="1"/>
  <c r="M304" i="1"/>
  <c r="Q404" i="1"/>
  <c r="N391" i="1"/>
  <c r="M391" i="1"/>
  <c r="L391" i="1"/>
  <c r="R378" i="1"/>
  <c r="L372" i="1"/>
  <c r="M372" i="1"/>
  <c r="N372" i="1"/>
  <c r="S355" i="1"/>
  <c r="O330" i="1"/>
  <c r="P330" i="1"/>
  <c r="R320" i="1"/>
  <c r="O311" i="1"/>
  <c r="Q311" i="1" s="1"/>
  <c r="R271" i="1"/>
  <c r="R258" i="1"/>
  <c r="S258" i="1" s="1"/>
  <c r="O247" i="1"/>
  <c r="O240" i="1"/>
  <c r="R240" i="1" s="1"/>
  <c r="P240" i="1"/>
  <c r="O229" i="1"/>
  <c r="P229" i="1"/>
  <c r="N161" i="1"/>
  <c r="M161" i="1"/>
  <c r="O83" i="1"/>
  <c r="P83" i="1" s="1"/>
  <c r="O75" i="1"/>
  <c r="P75" i="1" s="1"/>
  <c r="Q75" i="1"/>
  <c r="Q16" i="1"/>
  <c r="Q394" i="1"/>
  <c r="M314" i="1"/>
  <c r="N314" i="1"/>
  <c r="L314" i="1"/>
  <c r="L261" i="1"/>
  <c r="M261" i="1"/>
  <c r="M202" i="1"/>
  <c r="N202" i="1"/>
  <c r="L605" i="1"/>
  <c r="M605" i="1"/>
  <c r="N605" i="1"/>
  <c r="N547" i="1"/>
  <c r="M547" i="1"/>
  <c r="S532" i="1"/>
  <c r="L495" i="1"/>
  <c r="M495" i="1"/>
  <c r="Q378" i="1"/>
  <c r="R339" i="1"/>
  <c r="Q320" i="1"/>
  <c r="S320" i="1" s="1"/>
  <c r="P277" i="1"/>
  <c r="R277" i="1"/>
  <c r="Q277" i="1"/>
  <c r="P271" i="1"/>
  <c r="S271" i="1" s="1"/>
  <c r="M221" i="1"/>
  <c r="L221" i="1"/>
  <c r="N221" i="1"/>
  <c r="M213" i="1"/>
  <c r="N213" i="1"/>
  <c r="L213" i="1"/>
  <c r="O197" i="1"/>
  <c r="O152" i="1"/>
  <c r="O40" i="1"/>
  <c r="R40" i="1" s="1"/>
  <c r="R24" i="1"/>
  <c r="R16" i="1"/>
  <c r="R532" i="1"/>
  <c r="N524" i="1"/>
  <c r="L524" i="1"/>
  <c r="M524" i="1"/>
  <c r="P513" i="1"/>
  <c r="P371" i="1"/>
  <c r="Q368" i="1"/>
  <c r="S368" i="1" s="1"/>
  <c r="L365" i="1"/>
  <c r="M365" i="1"/>
  <c r="M326" i="1"/>
  <c r="N326" i="1"/>
  <c r="S319" i="1"/>
  <c r="L302" i="1"/>
  <c r="M302" i="1"/>
  <c r="N302" i="1"/>
  <c r="O291" i="1"/>
  <c r="P291" i="1"/>
  <c r="Q284" i="1"/>
  <c r="Q245" i="1"/>
  <c r="L220" i="1"/>
  <c r="M220" i="1"/>
  <c r="N220" i="1"/>
  <c r="M171" i="1"/>
  <c r="L171" i="1"/>
  <c r="N171" i="1"/>
  <c r="O124" i="1"/>
  <c r="O99" i="1"/>
  <c r="R90" i="1"/>
  <c r="O67" i="1"/>
  <c r="P67" i="1" s="1"/>
  <c r="L53" i="1"/>
  <c r="M53" i="1"/>
  <c r="N53" i="1"/>
  <c r="O31" i="1"/>
  <c r="Q31" i="1" s="1"/>
  <c r="P31" i="1"/>
  <c r="P24" i="1"/>
  <c r="S409" i="1"/>
  <c r="Q377" i="1"/>
  <c r="M15" i="1"/>
  <c r="N15" i="1"/>
  <c r="L15" i="1"/>
  <c r="L594" i="1"/>
  <c r="M594" i="1"/>
  <c r="O580" i="1"/>
  <c r="Q580" i="1"/>
  <c r="S515" i="1"/>
  <c r="M486" i="1"/>
  <c r="L486" i="1"/>
  <c r="N486" i="1"/>
  <c r="O474" i="1"/>
  <c r="R474" i="1" s="1"/>
  <c r="Q348" i="1"/>
  <c r="O316" i="1"/>
  <c r="L310" i="1"/>
  <c r="N310" i="1"/>
  <c r="R298" i="1"/>
  <c r="L294" i="1"/>
  <c r="M294" i="1"/>
  <c r="N294" i="1"/>
  <c r="L274" i="1"/>
  <c r="N274" i="1"/>
  <c r="O242" i="1"/>
  <c r="N231" i="1"/>
  <c r="L231" i="1"/>
  <c r="M164" i="1"/>
  <c r="N164" i="1"/>
  <c r="L164" i="1"/>
  <c r="L160" i="1"/>
  <c r="M160" i="1"/>
  <c r="O111" i="1"/>
  <c r="Q111" i="1" s="1"/>
  <c r="R87" i="1"/>
  <c r="O39" i="1"/>
  <c r="L30" i="1"/>
  <c r="M30" i="1"/>
  <c r="N30" i="1"/>
  <c r="N23" i="1"/>
  <c r="M23" i="1"/>
  <c r="L23" i="1"/>
  <c r="O19" i="1"/>
  <c r="P19" i="1"/>
  <c r="L500" i="1"/>
  <c r="N500" i="1"/>
  <c r="O572" i="1"/>
  <c r="P572" i="1" s="1"/>
  <c r="O548" i="1"/>
  <c r="P548" i="1" s="1"/>
  <c r="L505" i="1"/>
  <c r="M505" i="1"/>
  <c r="N505" i="1"/>
  <c r="R449" i="1"/>
  <c r="S449" i="1" s="1"/>
  <c r="L380" i="1"/>
  <c r="M380" i="1"/>
  <c r="L354" i="1"/>
  <c r="M354" i="1"/>
  <c r="N354" i="1"/>
  <c r="Q298" i="1"/>
  <c r="Q255" i="1"/>
  <c r="S255" i="1" s="1"/>
  <c r="R235" i="1"/>
  <c r="N200" i="1"/>
  <c r="M200" i="1"/>
  <c r="L192" i="1"/>
  <c r="M192" i="1"/>
  <c r="L182" i="1"/>
  <c r="N182" i="1"/>
  <c r="O108" i="1"/>
  <c r="R108" i="1" s="1"/>
  <c r="L86" i="1"/>
  <c r="M86" i="1"/>
  <c r="N86" i="1"/>
  <c r="N58" i="1"/>
  <c r="L58" i="1"/>
  <c r="S601" i="1"/>
  <c r="R178" i="1"/>
  <c r="Q560" i="1"/>
  <c r="S560" i="1" s="1"/>
  <c r="Q416" i="1"/>
  <c r="L402" i="1"/>
  <c r="M402" i="1"/>
  <c r="N402" i="1"/>
  <c r="P338" i="1"/>
  <c r="S338" i="1" s="1"/>
  <c r="O324" i="1"/>
  <c r="P324" i="1"/>
  <c r="R312" i="1"/>
  <c r="L283" i="1"/>
  <c r="M283" i="1"/>
  <c r="N283" i="1"/>
  <c r="L280" i="1"/>
  <c r="M280" i="1"/>
  <c r="M273" i="1"/>
  <c r="N273" i="1"/>
  <c r="L273" i="1"/>
  <c r="Q238" i="1"/>
  <c r="S238" i="1" s="1"/>
  <c r="O178" i="1"/>
  <c r="P178" i="1" s="1"/>
  <c r="L158" i="1"/>
  <c r="M158" i="1"/>
  <c r="N158" i="1"/>
  <c r="Q113" i="1"/>
  <c r="R29" i="1"/>
  <c r="N563" i="1"/>
  <c r="L563" i="1"/>
  <c r="M563" i="1"/>
  <c r="O350" i="1"/>
  <c r="R350" i="1" s="1"/>
  <c r="P350" i="1"/>
  <c r="Q312" i="1"/>
  <c r="M249" i="1"/>
  <c r="N249" i="1"/>
  <c r="L249" i="1"/>
  <c r="O199" i="1"/>
  <c r="Q199" i="1" s="1"/>
  <c r="N169" i="1"/>
  <c r="M169" i="1"/>
  <c r="P592" i="1"/>
  <c r="S592" i="1" s="1"/>
  <c r="N491" i="1"/>
  <c r="L491" i="1"/>
  <c r="M491" i="1"/>
  <c r="N37" i="1"/>
  <c r="M37" i="1"/>
  <c r="L37" i="1"/>
  <c r="O589" i="1"/>
  <c r="R589" i="1" s="1"/>
  <c r="N584" i="1"/>
  <c r="R581" i="1"/>
  <c r="O565" i="1"/>
  <c r="R565" i="1" s="1"/>
  <c r="M550" i="1"/>
  <c r="L509" i="1"/>
  <c r="M509" i="1"/>
  <c r="N509" i="1"/>
  <c r="N499" i="1"/>
  <c r="L499" i="1"/>
  <c r="M499" i="1"/>
  <c r="N467" i="1"/>
  <c r="L467" i="1"/>
  <c r="M467" i="1"/>
  <c r="O459" i="1"/>
  <c r="R459" i="1" s="1"/>
  <c r="N451" i="1"/>
  <c r="L451" i="1"/>
  <c r="M451" i="1"/>
  <c r="N448" i="1"/>
  <c r="N421" i="1"/>
  <c r="L421" i="1"/>
  <c r="M405" i="1"/>
  <c r="L405" i="1"/>
  <c r="N405" i="1"/>
  <c r="M398" i="1"/>
  <c r="Q382" i="1"/>
  <c r="N366" i="1"/>
  <c r="N346" i="1"/>
  <c r="Q343" i="1"/>
  <c r="S343" i="1" s="1"/>
  <c r="P282" i="1"/>
  <c r="M248" i="1"/>
  <c r="N248" i="1"/>
  <c r="L222" i="1"/>
  <c r="N222" i="1"/>
  <c r="M207" i="1"/>
  <c r="M203" i="1"/>
  <c r="N203" i="1"/>
  <c r="L203" i="1"/>
  <c r="R190" i="1"/>
  <c r="Q173" i="1"/>
  <c r="Q153" i="1"/>
  <c r="L84" i="1"/>
  <c r="M84" i="1"/>
  <c r="N84" i="1"/>
  <c r="L126" i="1"/>
  <c r="M126" i="1"/>
  <c r="N126" i="1"/>
  <c r="R63" i="1"/>
  <c r="Q608" i="1"/>
  <c r="Q589" i="1"/>
  <c r="R586" i="1"/>
  <c r="O584" i="1"/>
  <c r="P584" i="1" s="1"/>
  <c r="Q565" i="1"/>
  <c r="R554" i="1"/>
  <c r="L541" i="1"/>
  <c r="M541" i="1"/>
  <c r="N541" i="1"/>
  <c r="N533" i="1"/>
  <c r="M533" i="1"/>
  <c r="M519" i="1"/>
  <c r="N519" i="1"/>
  <c r="L519" i="1"/>
  <c r="R516" i="1"/>
  <c r="M514" i="1"/>
  <c r="N514" i="1"/>
  <c r="S501" i="1"/>
  <c r="O493" i="1"/>
  <c r="P493" i="1" s="1"/>
  <c r="R490" i="1"/>
  <c r="O487" i="1"/>
  <c r="P487" i="1" s="1"/>
  <c r="O478" i="1"/>
  <c r="P478" i="1" s="1"/>
  <c r="R469" i="1"/>
  <c r="S387" i="1"/>
  <c r="P353" i="1"/>
  <c r="S353" i="1" s="1"/>
  <c r="Q346" i="1"/>
  <c r="Q330" i="1"/>
  <c r="R311" i="1"/>
  <c r="M265" i="1"/>
  <c r="N265" i="1"/>
  <c r="R247" i="1"/>
  <c r="M233" i="1"/>
  <c r="N233" i="1"/>
  <c r="L233" i="1"/>
  <c r="P226" i="1"/>
  <c r="S226" i="1" s="1"/>
  <c r="M217" i="1"/>
  <c r="N217" i="1"/>
  <c r="S210" i="1"/>
  <c r="O161" i="1"/>
  <c r="P161" i="1"/>
  <c r="S135" i="1"/>
  <c r="R79" i="1"/>
  <c r="O33" i="1"/>
  <c r="Q33" i="1" s="1"/>
  <c r="P33" i="1"/>
  <c r="Q12" i="1"/>
  <c r="P608" i="1"/>
  <c r="L562" i="1"/>
  <c r="M562" i="1"/>
  <c r="N562" i="1"/>
  <c r="Q554" i="1"/>
  <c r="L544" i="1"/>
  <c r="N544" i="1"/>
  <c r="R538" i="1"/>
  <c r="S538" i="1" s="1"/>
  <c r="M522" i="1"/>
  <c r="N522" i="1"/>
  <c r="M493" i="1"/>
  <c r="N493" i="1"/>
  <c r="Q490" i="1"/>
  <c r="M487" i="1"/>
  <c r="N487" i="1"/>
  <c r="L481" i="1"/>
  <c r="M481" i="1"/>
  <c r="N481" i="1"/>
  <c r="M478" i="1"/>
  <c r="N478" i="1"/>
  <c r="N475" i="1"/>
  <c r="M475" i="1"/>
  <c r="M423" i="1"/>
  <c r="N423" i="1"/>
  <c r="P394" i="1"/>
  <c r="R357" i="1"/>
  <c r="Q303" i="1"/>
  <c r="O12" i="1"/>
  <c r="R591" i="1"/>
  <c r="O583" i="1"/>
  <c r="P583" i="1" s="1"/>
  <c r="O525" i="1"/>
  <c r="O511" i="1"/>
  <c r="P511" i="1" s="1"/>
  <c r="S503" i="1"/>
  <c r="R463" i="1"/>
  <c r="M439" i="1"/>
  <c r="N439" i="1"/>
  <c r="M436" i="1"/>
  <c r="N436" i="1"/>
  <c r="N428" i="1"/>
  <c r="L428" i="1"/>
  <c r="M428" i="1"/>
  <c r="O418" i="1"/>
  <c r="P418" i="1" s="1"/>
  <c r="L381" i="1"/>
  <c r="M381" i="1"/>
  <c r="N381" i="1"/>
  <c r="P378" i="1"/>
  <c r="S378" i="1" s="1"/>
  <c r="Q357" i="1"/>
  <c r="Q339" i="1"/>
  <c r="P339" i="1"/>
  <c r="O303" i="1"/>
  <c r="R303" i="1" s="1"/>
  <c r="P303" i="1"/>
  <c r="Q271" i="1"/>
  <c r="M229" i="1"/>
  <c r="N229" i="1"/>
  <c r="L166" i="1"/>
  <c r="N166" i="1"/>
  <c r="O156" i="1"/>
  <c r="R135" i="1"/>
  <c r="L100" i="1"/>
  <c r="N100" i="1"/>
  <c r="M100" i="1"/>
  <c r="O16" i="1"/>
  <c r="P16" i="1" s="1"/>
  <c r="Q591" i="1"/>
  <c r="M583" i="1"/>
  <c r="N583" i="1"/>
  <c r="O578" i="1"/>
  <c r="P578" i="1" s="1"/>
  <c r="R549" i="1"/>
  <c r="S543" i="1"/>
  <c r="O535" i="1"/>
  <c r="R527" i="1"/>
  <c r="S527" i="1" s="1"/>
  <c r="R513" i="1"/>
  <c r="Q463" i="1"/>
  <c r="S463" i="1" s="1"/>
  <c r="N458" i="1"/>
  <c r="L458" i="1"/>
  <c r="M458" i="1"/>
  <c r="S452" i="1"/>
  <c r="R447" i="1"/>
  <c r="O433" i="1"/>
  <c r="Q433" i="1" s="1"/>
  <c r="P433" i="1"/>
  <c r="M418" i="1"/>
  <c r="N418" i="1"/>
  <c r="O410" i="1"/>
  <c r="P410" i="1"/>
  <c r="S400" i="1"/>
  <c r="O397" i="1"/>
  <c r="P397" i="1" s="1"/>
  <c r="P375" i="1"/>
  <c r="S375" i="1" s="1"/>
  <c r="R322" i="1"/>
  <c r="O591" i="1"/>
  <c r="P591" i="1"/>
  <c r="M578" i="1"/>
  <c r="N578" i="1"/>
  <c r="L573" i="1"/>
  <c r="M573" i="1"/>
  <c r="N573" i="1"/>
  <c r="N561" i="1"/>
  <c r="L561" i="1"/>
  <c r="M561" i="1"/>
  <c r="Q549" i="1"/>
  <c r="Q527" i="1"/>
  <c r="R521" i="1"/>
  <c r="Q513" i="1"/>
  <c r="L480" i="1"/>
  <c r="N480" i="1"/>
  <c r="P466" i="1"/>
  <c r="S466" i="1" s="1"/>
  <c r="M455" i="1"/>
  <c r="N455" i="1"/>
  <c r="Q447" i="1"/>
  <c r="S447" i="1" s="1"/>
  <c r="R433" i="1"/>
  <c r="M397" i="1"/>
  <c r="N397" i="1"/>
  <c r="M390" i="1"/>
  <c r="N390" i="1"/>
  <c r="L390" i="1"/>
  <c r="L384" i="1"/>
  <c r="M384" i="1"/>
  <c r="N384" i="1"/>
  <c r="R375" i="1"/>
  <c r="Q371" i="1"/>
  <c r="O345" i="1"/>
  <c r="Q345" i="1" s="1"/>
  <c r="P345" i="1"/>
  <c r="L342" i="1"/>
  <c r="M342" i="1"/>
  <c r="L333" i="1"/>
  <c r="M333" i="1"/>
  <c r="N333" i="1"/>
  <c r="M329" i="1"/>
  <c r="L329" i="1"/>
  <c r="N329" i="1"/>
  <c r="Q322" i="1"/>
  <c r="S322" i="1" s="1"/>
  <c r="R291" i="1"/>
  <c r="O175" i="1"/>
  <c r="R175" i="1" s="1"/>
  <c r="S90" i="1"/>
  <c r="Q67" i="1"/>
  <c r="O49" i="1"/>
  <c r="P49" i="1"/>
  <c r="Q24" i="1"/>
  <c r="Q602" i="1"/>
  <c r="S602" i="1" s="1"/>
  <c r="N588" i="1"/>
  <c r="L588" i="1"/>
  <c r="O556" i="1"/>
  <c r="P556" i="1"/>
  <c r="P549" i="1"/>
  <c r="R543" i="1"/>
  <c r="O521" i="1"/>
  <c r="P521" i="1" s="1"/>
  <c r="Q521" i="1"/>
  <c r="R489" i="1"/>
  <c r="O483" i="1"/>
  <c r="P483" i="1"/>
  <c r="N438" i="1"/>
  <c r="M438" i="1"/>
  <c r="O412" i="1"/>
  <c r="P407" i="1"/>
  <c r="S407" i="1" s="1"/>
  <c r="R400" i="1"/>
  <c r="M216" i="1"/>
  <c r="N216" i="1"/>
  <c r="L216" i="1"/>
  <c r="Q607" i="1"/>
  <c r="S607" i="1" s="1"/>
  <c r="R585" i="1"/>
  <c r="L567" i="1"/>
  <c r="M567" i="1"/>
  <c r="N567" i="1"/>
  <c r="O564" i="1"/>
  <c r="P564" i="1"/>
  <c r="Q558" i="1"/>
  <c r="M546" i="1"/>
  <c r="N546" i="1"/>
  <c r="Q518" i="1"/>
  <c r="O508" i="1"/>
  <c r="Q489" i="1"/>
  <c r="S489" i="1" s="1"/>
  <c r="N483" i="1"/>
  <c r="M483" i="1"/>
  <c r="R468" i="1"/>
  <c r="O417" i="1"/>
  <c r="R417" i="1" s="1"/>
  <c r="P417" i="1"/>
  <c r="R371" i="1"/>
  <c r="N359" i="1"/>
  <c r="M359" i="1"/>
  <c r="L359" i="1"/>
  <c r="R348" i="1"/>
  <c r="R319" i="1"/>
  <c r="M306" i="1"/>
  <c r="L306" i="1"/>
  <c r="N306" i="1"/>
  <c r="Q291" i="1"/>
  <c r="R288" i="1"/>
  <c r="S288" i="1" s="1"/>
  <c r="O228" i="1"/>
  <c r="Q228" i="1" s="1"/>
  <c r="P228" i="1"/>
  <c r="S224" i="1"/>
  <c r="N151" i="1"/>
  <c r="M151" i="1"/>
  <c r="L151" i="1"/>
  <c r="N143" i="1"/>
  <c r="M143" i="1"/>
  <c r="O114" i="1"/>
  <c r="R114" i="1" s="1"/>
  <c r="Q114" i="1"/>
  <c r="P87" i="1"/>
  <c r="S87" i="1" s="1"/>
  <c r="O585" i="1"/>
  <c r="P518" i="1"/>
  <c r="L477" i="1"/>
  <c r="M477" i="1"/>
  <c r="N477" i="1"/>
  <c r="R462" i="1"/>
  <c r="O460" i="1"/>
  <c r="P460" i="1"/>
  <c r="M441" i="1"/>
  <c r="L441" i="1"/>
  <c r="N441" i="1"/>
  <c r="R432" i="1"/>
  <c r="R403" i="1"/>
  <c r="S403" i="1" s="1"/>
  <c r="O377" i="1"/>
  <c r="R377" i="1" s="1"/>
  <c r="R368" i="1"/>
  <c r="O351" i="1"/>
  <c r="R341" i="1"/>
  <c r="S341" i="1" s="1"/>
  <c r="R336" i="1"/>
  <c r="S336" i="1" s="1"/>
  <c r="R604" i="1"/>
  <c r="S604" i="1" s="1"/>
  <c r="O590" i="1"/>
  <c r="R590" i="1" s="1"/>
  <c r="Q590" i="1"/>
  <c r="M540" i="1"/>
  <c r="N540" i="1"/>
  <c r="Q534" i="1"/>
  <c r="O526" i="1"/>
  <c r="P526" i="1" s="1"/>
  <c r="Q526" i="1"/>
  <c r="O497" i="1"/>
  <c r="Q497" i="1" s="1"/>
  <c r="P497" i="1"/>
  <c r="O462" i="1"/>
  <c r="Q462" i="1"/>
  <c r="R457" i="1"/>
  <c r="S457" i="1" s="1"/>
  <c r="N454" i="1"/>
  <c r="L454" i="1"/>
  <c r="M454" i="1"/>
  <c r="Q432" i="1"/>
  <c r="O427" i="1"/>
  <c r="R414" i="1"/>
  <c r="R409" i="1"/>
  <c r="M406" i="1"/>
  <c r="N406" i="1"/>
  <c r="L406" i="1"/>
  <c r="L386" i="1"/>
  <c r="M386" i="1"/>
  <c r="N386" i="1"/>
  <c r="R351" i="1"/>
  <c r="P348" i="1"/>
  <c r="L344" i="1"/>
  <c r="M344" i="1"/>
  <c r="M328" i="1"/>
  <c r="N328" i="1"/>
  <c r="L309" i="1"/>
  <c r="M309" i="1"/>
  <c r="N309" i="1"/>
  <c r="O298" i="1"/>
  <c r="P298" i="1"/>
  <c r="R255" i="1"/>
  <c r="O235" i="1"/>
  <c r="P235" i="1" s="1"/>
  <c r="Q224" i="1"/>
  <c r="Q205" i="1"/>
  <c r="O186" i="1"/>
  <c r="P186" i="1"/>
  <c r="N170" i="1"/>
  <c r="L170" i="1"/>
  <c r="M170" i="1"/>
  <c r="L133" i="1"/>
  <c r="N133" i="1"/>
  <c r="M133" i="1"/>
  <c r="Q108" i="1"/>
  <c r="R69" i="1"/>
  <c r="L22" i="1"/>
  <c r="M22" i="1"/>
  <c r="N22" i="1"/>
  <c r="P582" i="1"/>
  <c r="S582" i="1" s="1"/>
  <c r="Q566" i="1"/>
  <c r="P537" i="1"/>
  <c r="S537" i="1" s="1"/>
  <c r="R517" i="1"/>
  <c r="P510" i="1"/>
  <c r="S510" i="1" s="1"/>
  <c r="L485" i="1"/>
  <c r="M485" i="1"/>
  <c r="N485" i="1"/>
  <c r="S437" i="1"/>
  <c r="P432" i="1"/>
  <c r="Q414" i="1"/>
  <c r="O389" i="1"/>
  <c r="Q389" i="1" s="1"/>
  <c r="O370" i="1"/>
  <c r="R370" i="1" s="1"/>
  <c r="N186" i="1"/>
  <c r="M186" i="1"/>
  <c r="N593" i="1"/>
  <c r="L593" i="1"/>
  <c r="M593" i="1"/>
  <c r="Q587" i="1"/>
  <c r="R582" i="1"/>
  <c r="R577" i="1"/>
  <c r="S577" i="1" s="1"/>
  <c r="N572" i="1"/>
  <c r="M572" i="1"/>
  <c r="O569" i="1"/>
  <c r="Q569" i="1" s="1"/>
  <c r="P569" i="1"/>
  <c r="O566" i="1"/>
  <c r="R566" i="1" s="1"/>
  <c r="R537" i="1"/>
  <c r="Q517" i="1"/>
  <c r="R476" i="1"/>
  <c r="O470" i="1"/>
  <c r="P470" i="1" s="1"/>
  <c r="M446" i="1"/>
  <c r="L446" i="1"/>
  <c r="N446" i="1"/>
  <c r="R416" i="1"/>
  <c r="P414" i="1"/>
  <c r="O395" i="1"/>
  <c r="R395" i="1" s="1"/>
  <c r="P395" i="1"/>
  <c r="O367" i="1"/>
  <c r="R367" i="1" s="1"/>
  <c r="O308" i="1"/>
  <c r="P308" i="1"/>
  <c r="L287" i="1"/>
  <c r="N287" i="1"/>
  <c r="M287" i="1"/>
  <c r="R238" i="1"/>
  <c r="O117" i="1"/>
  <c r="P117" i="1" s="1"/>
  <c r="L609" i="1"/>
  <c r="M609" i="1"/>
  <c r="L596" i="1"/>
  <c r="M596" i="1"/>
  <c r="N596" i="1"/>
  <c r="R569" i="1"/>
  <c r="O555" i="1"/>
  <c r="R555" i="1" s="1"/>
  <c r="P555" i="1"/>
  <c r="S555" i="1" s="1"/>
  <c r="R545" i="1"/>
  <c r="S545" i="1" s="1"/>
  <c r="P517" i="1"/>
  <c r="O517" i="1"/>
  <c r="Q476" i="1"/>
  <c r="N470" i="1"/>
  <c r="M470" i="1"/>
  <c r="O443" i="1"/>
  <c r="R443" i="1" s="1"/>
  <c r="S431" i="1"/>
  <c r="O419" i="1"/>
  <c r="Q419" i="1" s="1"/>
  <c r="P419" i="1"/>
  <c r="S419" i="1" s="1"/>
  <c r="N383" i="1"/>
  <c r="L383" i="1"/>
  <c r="M383" i="1"/>
  <c r="P376" i="1"/>
  <c r="Q376" i="1"/>
  <c r="M305" i="1"/>
  <c r="N305" i="1"/>
  <c r="L276" i="1"/>
  <c r="M276" i="1"/>
  <c r="M181" i="1"/>
  <c r="L181" i="1"/>
  <c r="R601" i="1"/>
  <c r="R587" i="1"/>
  <c r="O571" i="1"/>
  <c r="P571" i="1" s="1"/>
  <c r="N539" i="1"/>
  <c r="L539" i="1"/>
  <c r="P523" i="1"/>
  <c r="S523" i="1" s="1"/>
  <c r="O502" i="1"/>
  <c r="R502" i="1" s="1"/>
  <c r="M482" i="1"/>
  <c r="N482" i="1"/>
  <c r="P476" i="1"/>
  <c r="N473" i="1"/>
  <c r="L473" i="1"/>
  <c r="M473" i="1"/>
  <c r="R453" i="1"/>
  <c r="R434" i="1"/>
  <c r="S434" i="1" s="1"/>
  <c r="R419" i="1"/>
  <c r="P416" i="1"/>
  <c r="S416" i="1" s="1"/>
  <c r="L388" i="1"/>
  <c r="N388" i="1"/>
  <c r="Q379" i="1"/>
  <c r="R376" i="1"/>
  <c r="N347" i="1"/>
  <c r="L347" i="1"/>
  <c r="M347" i="1"/>
  <c r="M324" i="1"/>
  <c r="N324" i="1"/>
  <c r="Q318" i="1"/>
  <c r="L301" i="1"/>
  <c r="M301" i="1"/>
  <c r="N259" i="1"/>
  <c r="L259" i="1"/>
  <c r="O252" i="1"/>
  <c r="R252" i="1" s="1"/>
  <c r="P252" i="1"/>
  <c r="O188" i="1"/>
  <c r="R188" i="1" s="1"/>
  <c r="P188" i="1"/>
  <c r="Q178" i="1"/>
  <c r="R141" i="1"/>
  <c r="N137" i="1"/>
  <c r="L137" i="1"/>
  <c r="M137" i="1"/>
  <c r="L127" i="1"/>
  <c r="M127" i="1"/>
  <c r="O113" i="1"/>
  <c r="P113" i="1" s="1"/>
  <c r="N571" i="1"/>
  <c r="M571" i="1"/>
  <c r="O557" i="1"/>
  <c r="R557" i="1" s="1"/>
  <c r="Q557" i="1"/>
  <c r="L520" i="1"/>
  <c r="N520" i="1"/>
  <c r="L488" i="1"/>
  <c r="N488" i="1"/>
  <c r="Q453" i="1"/>
  <c r="Q431" i="1"/>
  <c r="L424" i="1"/>
  <c r="M424" i="1"/>
  <c r="N424" i="1"/>
  <c r="O379" i="1"/>
  <c r="R379" i="1" s="1"/>
  <c r="P379" i="1"/>
  <c r="M373" i="1"/>
  <c r="L373" i="1"/>
  <c r="N373" i="1"/>
  <c r="S369" i="1"/>
  <c r="M363" i="1"/>
  <c r="N363" i="1"/>
  <c r="L363" i="1"/>
  <c r="O353" i="1"/>
  <c r="O318" i="1"/>
  <c r="P318" i="1" s="1"/>
  <c r="S318" i="1" s="1"/>
  <c r="O312" i="1"/>
  <c r="P312" i="1"/>
  <c r="O248" i="1"/>
  <c r="P248" i="1" s="1"/>
  <c r="R113" i="1"/>
  <c r="R106" i="1"/>
  <c r="P76" i="1"/>
  <c r="O76" i="1"/>
  <c r="N56" i="1"/>
  <c r="L56" i="1"/>
  <c r="L34" i="1"/>
  <c r="N34" i="1"/>
  <c r="R224" i="1"/>
  <c r="M219" i="1"/>
  <c r="L219" i="1"/>
  <c r="N219" i="1"/>
  <c r="P205" i="1"/>
  <c r="Q197" i="1"/>
  <c r="N184" i="1"/>
  <c r="L184" i="1"/>
  <c r="M184" i="1"/>
  <c r="M177" i="1"/>
  <c r="N177" i="1"/>
  <c r="Q63" i="1"/>
  <c r="N55" i="1"/>
  <c r="M55" i="1"/>
  <c r="L55" i="1"/>
  <c r="N41" i="1"/>
  <c r="L41" i="1"/>
  <c r="R21" i="1"/>
  <c r="Q603" i="1"/>
  <c r="Q586" i="1"/>
  <c r="S586" i="1" s="1"/>
  <c r="Q581" i="1"/>
  <c r="O574" i="1"/>
  <c r="R553" i="1"/>
  <c r="S553" i="1" s="1"/>
  <c r="O551" i="1"/>
  <c r="P551" i="1" s="1"/>
  <c r="P534" i="1"/>
  <c r="S534" i="1" s="1"/>
  <c r="O534" i="1"/>
  <c r="R534" i="1" s="1"/>
  <c r="O498" i="1"/>
  <c r="P498" i="1"/>
  <c r="P453" i="1"/>
  <c r="P429" i="1"/>
  <c r="S429" i="1" s="1"/>
  <c r="R426" i="1"/>
  <c r="R393" i="1"/>
  <c r="Q362" i="1"/>
  <c r="M352" i="1"/>
  <c r="N352" i="1"/>
  <c r="L352" i="1"/>
  <c r="O299" i="1"/>
  <c r="L264" i="1"/>
  <c r="M264" i="1"/>
  <c r="M257" i="1"/>
  <c r="N257" i="1"/>
  <c r="L257" i="1"/>
  <c r="R243" i="1"/>
  <c r="O227" i="1"/>
  <c r="R211" i="1"/>
  <c r="S211" i="1" s="1"/>
  <c r="Q208" i="1"/>
  <c r="N154" i="1"/>
  <c r="L154" i="1"/>
  <c r="L102" i="1"/>
  <c r="M102" i="1"/>
  <c r="N102" i="1"/>
  <c r="N73" i="1"/>
  <c r="L73" i="1"/>
  <c r="M73" i="1"/>
  <c r="P63" i="1"/>
  <c r="S63" i="1" s="1"/>
  <c r="O29" i="1"/>
  <c r="P29" i="1" s="1"/>
  <c r="Q21" i="1"/>
  <c r="L18" i="1"/>
  <c r="N18" i="1"/>
  <c r="M18" i="1"/>
  <c r="P603" i="1"/>
  <c r="S603" i="1" s="1"/>
  <c r="N598" i="1"/>
  <c r="L598" i="1"/>
  <c r="M598" i="1"/>
  <c r="N579" i="1"/>
  <c r="L579" i="1"/>
  <c r="M579" i="1"/>
  <c r="M551" i="1"/>
  <c r="N551" i="1"/>
  <c r="L512" i="1"/>
  <c r="N512" i="1"/>
  <c r="Q507" i="1"/>
  <c r="P468" i="1"/>
  <c r="S468" i="1" s="1"/>
  <c r="N465" i="1"/>
  <c r="L465" i="1"/>
  <c r="M465" i="1"/>
  <c r="R431" i="1"/>
  <c r="Q426" i="1"/>
  <c r="L408" i="1"/>
  <c r="M408" i="1"/>
  <c r="N408" i="1"/>
  <c r="O393" i="1"/>
  <c r="Q393" i="1" s="1"/>
  <c r="P393" i="1"/>
  <c r="P362" i="1"/>
  <c r="L349" i="1"/>
  <c r="M349" i="1"/>
  <c r="L340" i="1"/>
  <c r="N340" i="1"/>
  <c r="O331" i="1"/>
  <c r="P331" i="1"/>
  <c r="N295" i="1"/>
  <c r="M295" i="1"/>
  <c r="M289" i="1"/>
  <c r="N289" i="1"/>
  <c r="R282" i="1"/>
  <c r="L279" i="1"/>
  <c r="M279" i="1"/>
  <c r="N279" i="1"/>
  <c r="Q267" i="1"/>
  <c r="S267" i="1" s="1"/>
  <c r="L256" i="1"/>
  <c r="M256" i="1"/>
  <c r="N256" i="1"/>
  <c r="R253" i="1"/>
  <c r="S253" i="1" s="1"/>
  <c r="Q250" i="1"/>
  <c r="L246" i="1"/>
  <c r="M246" i="1"/>
  <c r="N246" i="1"/>
  <c r="O243" i="1"/>
  <c r="Q243" i="1" s="1"/>
  <c r="L234" i="1"/>
  <c r="N234" i="1"/>
  <c r="O208" i="1"/>
  <c r="R208" i="1" s="1"/>
  <c r="P208" i="1"/>
  <c r="L172" i="1"/>
  <c r="M172" i="1"/>
  <c r="N172" i="1"/>
  <c r="M157" i="1"/>
  <c r="N157" i="1"/>
  <c r="M149" i="1"/>
  <c r="L149" i="1"/>
  <c r="N149" i="1"/>
  <c r="N95" i="1"/>
  <c r="L95" i="1"/>
  <c r="M95" i="1"/>
  <c r="L44" i="1"/>
  <c r="M44" i="1"/>
  <c r="N44" i="1"/>
  <c r="P21" i="1"/>
  <c r="R603" i="1"/>
  <c r="Q559" i="1"/>
  <c r="Q555" i="1"/>
  <c r="N529" i="1"/>
  <c r="L529" i="1"/>
  <c r="R526" i="1"/>
  <c r="P507" i="1"/>
  <c r="L396" i="1"/>
  <c r="N396" i="1"/>
  <c r="M396" i="1"/>
  <c r="M331" i="1"/>
  <c r="N331" i="1"/>
  <c r="M285" i="1"/>
  <c r="N285" i="1"/>
  <c r="O250" i="1"/>
  <c r="O119" i="1"/>
  <c r="O88" i="1"/>
  <c r="Q88" i="1" s="1"/>
  <c r="P88" i="1"/>
  <c r="R67" i="1"/>
  <c r="P479" i="1"/>
  <c r="S479" i="1" s="1"/>
  <c r="O450" i="1"/>
  <c r="P450" i="1" s="1"/>
  <c r="N435" i="1"/>
  <c r="L435" i="1"/>
  <c r="M435" i="1"/>
  <c r="P422" i="1"/>
  <c r="S422" i="1" s="1"/>
  <c r="Q411" i="1"/>
  <c r="Q409" i="1"/>
  <c r="O404" i="1"/>
  <c r="R404" i="1" s="1"/>
  <c r="P404" i="1"/>
  <c r="N399" i="1"/>
  <c r="L399" i="1"/>
  <c r="M399" i="1"/>
  <c r="Q369" i="1"/>
  <c r="P357" i="1"/>
  <c r="S357" i="1" s="1"/>
  <c r="Q337" i="1"/>
  <c r="L332" i="1"/>
  <c r="N332" i="1"/>
  <c r="P293" i="1"/>
  <c r="S293" i="1" s="1"/>
  <c r="O293" i="1"/>
  <c r="Q293" i="1" s="1"/>
  <c r="O284" i="1"/>
  <c r="R284" i="1" s="1"/>
  <c r="P284" i="1"/>
  <c r="S284" i="1" s="1"/>
  <c r="L278" i="1"/>
  <c r="M278" i="1"/>
  <c r="N278" i="1"/>
  <c r="O236" i="1"/>
  <c r="R236" i="1" s="1"/>
  <c r="P236" i="1"/>
  <c r="M193" i="1"/>
  <c r="N193" i="1"/>
  <c r="L193" i="1"/>
  <c r="R173" i="1"/>
  <c r="O155" i="1"/>
  <c r="Q155" i="1" s="1"/>
  <c r="N96" i="1"/>
  <c r="L96" i="1"/>
  <c r="M96" i="1"/>
  <c r="O77" i="1"/>
  <c r="R77" i="1" s="1"/>
  <c r="O43" i="1"/>
  <c r="Q43" i="1"/>
  <c r="N28" i="1"/>
  <c r="L28" i="1"/>
  <c r="M28" i="1"/>
  <c r="P581" i="1"/>
  <c r="R559" i="1"/>
  <c r="P557" i="1"/>
  <c r="S557" i="1" s="1"/>
  <c r="R507" i="1"/>
  <c r="O492" i="1"/>
  <c r="M450" i="1"/>
  <c r="N450" i="1"/>
  <c r="P411" i="1"/>
  <c r="L364" i="1"/>
  <c r="N364" i="1"/>
  <c r="L300" i="1"/>
  <c r="M300" i="1"/>
  <c r="N300" i="1"/>
  <c r="M297" i="1"/>
  <c r="N297" i="1"/>
  <c r="L297" i="1"/>
  <c r="R293" i="1"/>
  <c r="S290" i="1"/>
  <c r="M281" i="1"/>
  <c r="N281" i="1"/>
  <c r="L281" i="1"/>
  <c r="M269" i="1"/>
  <c r="L269" i="1"/>
  <c r="Q251" i="1"/>
  <c r="O206" i="1"/>
  <c r="Q206" i="1"/>
  <c r="S179" i="1"/>
  <c r="L140" i="1"/>
  <c r="M140" i="1"/>
  <c r="N140" i="1"/>
  <c r="O105" i="1"/>
  <c r="P105" i="1" s="1"/>
  <c r="S91" i="1"/>
  <c r="N48" i="1"/>
  <c r="M48" i="1"/>
  <c r="L48" i="1"/>
  <c r="L472" i="1"/>
  <c r="M472" i="1"/>
  <c r="N472" i="1"/>
  <c r="Q415" i="1"/>
  <c r="S415" i="1" s="1"/>
  <c r="L413" i="1"/>
  <c r="M413" i="1"/>
  <c r="N413" i="1"/>
  <c r="R411" i="1"/>
  <c r="Q361" i="1"/>
  <c r="R318" i="1"/>
  <c r="O241" i="1"/>
  <c r="P241" i="1"/>
  <c r="N232" i="1"/>
  <c r="L232" i="1"/>
  <c r="N183" i="1"/>
  <c r="L183" i="1"/>
  <c r="N163" i="1"/>
  <c r="L163" i="1"/>
  <c r="O132" i="1"/>
  <c r="R132" i="1" s="1"/>
  <c r="L128" i="1"/>
  <c r="M128" i="1"/>
  <c r="N123" i="1"/>
  <c r="L123" i="1"/>
  <c r="M123" i="1"/>
  <c r="N105" i="1"/>
  <c r="M105" i="1"/>
  <c r="R91" i="1"/>
  <c r="Q60" i="1"/>
  <c r="N57" i="1"/>
  <c r="L57" i="1"/>
  <c r="M57" i="1"/>
  <c r="Q117" i="1"/>
  <c r="Q79" i="1"/>
  <c r="L72" i="1"/>
  <c r="M72" i="1"/>
  <c r="O51" i="1"/>
  <c r="N595" i="1"/>
  <c r="L595" i="1"/>
  <c r="M595" i="1"/>
  <c r="Q570" i="1"/>
  <c r="S570" i="1" s="1"/>
  <c r="L568" i="1"/>
  <c r="M568" i="1"/>
  <c r="N568" i="1"/>
  <c r="N531" i="1"/>
  <c r="L531" i="1"/>
  <c r="M531" i="1"/>
  <c r="L440" i="1"/>
  <c r="M440" i="1"/>
  <c r="N440" i="1"/>
  <c r="L392" i="1"/>
  <c r="M392" i="1"/>
  <c r="O361" i="1"/>
  <c r="R361" i="1" s="1"/>
  <c r="P361" i="1"/>
  <c r="S361" i="1" s="1"/>
  <c r="L317" i="1"/>
  <c r="M317" i="1"/>
  <c r="N317" i="1"/>
  <c r="O272" i="1"/>
  <c r="P272" i="1"/>
  <c r="L263" i="1"/>
  <c r="N263" i="1"/>
  <c r="O260" i="1"/>
  <c r="P260" i="1"/>
  <c r="L167" i="1"/>
  <c r="N167" i="1"/>
  <c r="M167" i="1"/>
  <c r="L92" i="1"/>
  <c r="M92" i="1"/>
  <c r="O79" i="1"/>
  <c r="P79" i="1"/>
  <c r="S79" i="1" s="1"/>
  <c r="R75" i="1"/>
  <c r="P69" i="1"/>
  <c r="S69" i="1" s="1"/>
  <c r="Q91" i="1"/>
  <c r="L78" i="1"/>
  <c r="M78" i="1"/>
  <c r="N78" i="1"/>
  <c r="O65" i="1"/>
  <c r="P65" i="1"/>
  <c r="O61" i="1"/>
  <c r="P61" i="1"/>
  <c r="L600" i="1"/>
  <c r="M600" i="1"/>
  <c r="N600" i="1"/>
  <c r="L445" i="1"/>
  <c r="M445" i="1"/>
  <c r="N445" i="1"/>
  <c r="R425" i="1"/>
  <c r="S425" i="1" s="1"/>
  <c r="L358" i="1"/>
  <c r="M358" i="1"/>
  <c r="N335" i="1"/>
  <c r="L335" i="1"/>
  <c r="M335" i="1"/>
  <c r="P245" i="1"/>
  <c r="S245" i="1" s="1"/>
  <c r="N195" i="1"/>
  <c r="L195" i="1"/>
  <c r="L168" i="1"/>
  <c r="M168" i="1"/>
  <c r="N168" i="1"/>
  <c r="L131" i="1"/>
  <c r="M131" i="1"/>
  <c r="N131" i="1"/>
  <c r="O106" i="1"/>
  <c r="P106" i="1"/>
  <c r="M103" i="1"/>
  <c r="N103" i="1"/>
  <c r="L82" i="1"/>
  <c r="N82" i="1"/>
  <c r="L50" i="1"/>
  <c r="N50" i="1"/>
  <c r="M50" i="1"/>
  <c r="O45" i="1"/>
  <c r="R31" i="1"/>
  <c r="L374" i="1"/>
  <c r="M374" i="1"/>
  <c r="P311" i="1"/>
  <c r="S311" i="1" s="1"/>
  <c r="Q308" i="1"/>
  <c r="L215" i="1"/>
  <c r="M215" i="1"/>
  <c r="N215" i="1"/>
  <c r="N65" i="1"/>
  <c r="M65" i="1"/>
  <c r="Q319" i="1"/>
  <c r="O313" i="1"/>
  <c r="P275" i="1"/>
  <c r="S275" i="1" s="1"/>
  <c r="O237" i="1"/>
  <c r="P237" i="1" s="1"/>
  <c r="O218" i="1"/>
  <c r="R218" i="1" s="1"/>
  <c r="P218" i="1"/>
  <c r="M209" i="1"/>
  <c r="N209" i="1"/>
  <c r="O204" i="1"/>
  <c r="M194" i="1"/>
  <c r="L194" i="1"/>
  <c r="O191" i="1"/>
  <c r="P191" i="1" s="1"/>
  <c r="M174" i="1"/>
  <c r="L174" i="1"/>
  <c r="O159" i="1"/>
  <c r="P159" i="1"/>
  <c r="Q135" i="1"/>
  <c r="L122" i="1"/>
  <c r="M122" i="1"/>
  <c r="R115" i="1"/>
  <c r="S115" i="1" s="1"/>
  <c r="N101" i="1"/>
  <c r="L101" i="1"/>
  <c r="M101" i="1"/>
  <c r="Q97" i="1"/>
  <c r="N89" i="1"/>
  <c r="L89" i="1"/>
  <c r="N81" i="1"/>
  <c r="M81" i="1"/>
  <c r="Q77" i="1"/>
  <c r="M47" i="1"/>
  <c r="L47" i="1"/>
  <c r="R35" i="1"/>
  <c r="S35" i="1" s="1"/>
  <c r="O20" i="1"/>
  <c r="L14" i="1"/>
  <c r="M14" i="1"/>
  <c r="P558" i="1"/>
  <c r="S558" i="1" s="1"/>
  <c r="P494" i="1"/>
  <c r="S494" i="1" s="1"/>
  <c r="P462" i="1"/>
  <c r="P430" i="1"/>
  <c r="S430" i="1" s="1"/>
  <c r="O337" i="1"/>
  <c r="P321" i="1"/>
  <c r="S321" i="1" s="1"/>
  <c r="O292" i="1"/>
  <c r="P292" i="1"/>
  <c r="N266" i="1"/>
  <c r="L266" i="1"/>
  <c r="O244" i="1"/>
  <c r="P244" i="1"/>
  <c r="Q239" i="1"/>
  <c r="R237" i="1"/>
  <c r="M191" i="1"/>
  <c r="N191" i="1"/>
  <c r="M159" i="1"/>
  <c r="N159" i="1"/>
  <c r="R147" i="1"/>
  <c r="Q138" i="1"/>
  <c r="L125" i="1"/>
  <c r="N125" i="1"/>
  <c r="O97" i="1"/>
  <c r="P97" i="1" s="1"/>
  <c r="P77" i="1"/>
  <c r="S59" i="1"/>
  <c r="L38" i="1"/>
  <c r="M38" i="1"/>
  <c r="N32" i="1"/>
  <c r="M32" i="1"/>
  <c r="L32" i="1"/>
  <c r="Q327" i="1"/>
  <c r="S327" i="1" s="1"/>
  <c r="M323" i="1"/>
  <c r="N323" i="1"/>
  <c r="Q321" i="1"/>
  <c r="N308" i="1"/>
  <c r="O239" i="1"/>
  <c r="R239" i="1" s="1"/>
  <c r="P239" i="1"/>
  <c r="L223" i="1"/>
  <c r="M223" i="1"/>
  <c r="N223" i="1"/>
  <c r="M162" i="1"/>
  <c r="L162" i="1"/>
  <c r="M144" i="1"/>
  <c r="N144" i="1"/>
  <c r="O138" i="1"/>
  <c r="P138" i="1" s="1"/>
  <c r="R97" i="1"/>
  <c r="L66" i="1"/>
  <c r="N66" i="1"/>
  <c r="M66" i="1"/>
  <c r="L62" i="1"/>
  <c r="M62" i="1"/>
  <c r="N62" i="1"/>
  <c r="N26" i="1"/>
  <c r="L26" i="1"/>
  <c r="O17" i="1"/>
  <c r="Q17" i="1" s="1"/>
  <c r="P17" i="1"/>
  <c r="N325" i="1"/>
  <c r="L325" i="1"/>
  <c r="R179" i="1"/>
  <c r="M176" i="1"/>
  <c r="L176" i="1"/>
  <c r="N176" i="1"/>
  <c r="R138" i="1"/>
  <c r="P71" i="1"/>
  <c r="S71" i="1" s="1"/>
  <c r="L46" i="1"/>
  <c r="M46" i="1"/>
  <c r="N46" i="1"/>
  <c r="M272" i="1"/>
  <c r="N272" i="1"/>
  <c r="M241" i="1"/>
  <c r="N241" i="1"/>
  <c r="L198" i="1"/>
  <c r="M198" i="1"/>
  <c r="Q106" i="1"/>
  <c r="N80" i="1"/>
  <c r="L80" i="1"/>
  <c r="M268" i="1"/>
  <c r="L268" i="1"/>
  <c r="Q262" i="1"/>
  <c r="S262" i="1" s="1"/>
  <c r="L212" i="1"/>
  <c r="M212" i="1"/>
  <c r="M201" i="1"/>
  <c r="N201" i="1"/>
  <c r="O196" i="1"/>
  <c r="M185" i="1"/>
  <c r="N185" i="1"/>
  <c r="L185" i="1"/>
  <c r="O180" i="1"/>
  <c r="R180" i="1" s="1"/>
  <c r="P180" i="1"/>
  <c r="L142" i="1"/>
  <c r="M142" i="1"/>
  <c r="N142" i="1"/>
  <c r="N121" i="1"/>
  <c r="M121" i="1"/>
  <c r="L121" i="1"/>
  <c r="L110" i="1"/>
  <c r="M110" i="1"/>
  <c r="L98" i="1"/>
  <c r="N98" i="1"/>
  <c r="N85" i="1"/>
  <c r="M85" i="1"/>
  <c r="R71" i="1"/>
  <c r="L54" i="1"/>
  <c r="M54" i="1"/>
  <c r="N54" i="1"/>
  <c r="S27" i="1"/>
  <c r="L270" i="1"/>
  <c r="M270" i="1"/>
  <c r="N270" i="1"/>
  <c r="L150" i="1"/>
  <c r="M150" i="1"/>
  <c r="N150" i="1"/>
  <c r="O136" i="1"/>
  <c r="P136" i="1" s="1"/>
  <c r="R130" i="1"/>
  <c r="L107" i="1"/>
  <c r="N107" i="1"/>
  <c r="M107" i="1"/>
  <c r="O104" i="1"/>
  <c r="L74" i="1"/>
  <c r="M74" i="1"/>
  <c r="O68" i="1"/>
  <c r="R51" i="1"/>
  <c r="L42" i="1"/>
  <c r="N42" i="1"/>
  <c r="N36" i="1"/>
  <c r="L36" i="1"/>
  <c r="P243" i="1"/>
  <c r="M225" i="1"/>
  <c r="N225" i="1"/>
  <c r="P112" i="1"/>
  <c r="R109" i="1"/>
  <c r="O93" i="1"/>
  <c r="R93" i="1" s="1"/>
  <c r="P93" i="1"/>
  <c r="P60" i="1"/>
  <c r="R39" i="1"/>
  <c r="Q147" i="1"/>
  <c r="S147" i="1" s="1"/>
  <c r="Q139" i="1"/>
  <c r="S139" i="1" s="1"/>
  <c r="L120" i="1"/>
  <c r="M120" i="1"/>
  <c r="R112" i="1"/>
  <c r="R60" i="1"/>
  <c r="L13" i="1"/>
  <c r="M13" i="1"/>
  <c r="P230" i="1"/>
  <c r="S230" i="1" s="1"/>
  <c r="M165" i="1"/>
  <c r="N165" i="1"/>
  <c r="P148" i="1"/>
  <c r="S148" i="1" s="1"/>
  <c r="M116" i="1"/>
  <c r="N116" i="1"/>
  <c r="P109" i="1"/>
  <c r="S109" i="1" s="1"/>
  <c r="L94" i="1"/>
  <c r="M94" i="1"/>
  <c r="R68" i="1"/>
  <c r="N25" i="1"/>
  <c r="L25" i="1"/>
  <c r="Q148" i="1"/>
  <c r="L146" i="1"/>
  <c r="M146" i="1"/>
  <c r="O141" i="1"/>
  <c r="M136" i="1"/>
  <c r="N136" i="1"/>
  <c r="O129" i="1"/>
  <c r="Q109" i="1"/>
  <c r="R59" i="1"/>
  <c r="L52" i="1"/>
  <c r="M52" i="1"/>
  <c r="P114" i="1"/>
  <c r="S114" i="1" s="1"/>
  <c r="P130" i="1"/>
  <c r="S130" i="1" s="1"/>
  <c r="R83" i="1"/>
  <c r="N64" i="1"/>
  <c r="L64" i="1"/>
  <c r="L118" i="1"/>
  <c r="M118" i="1"/>
  <c r="L70" i="1"/>
  <c r="M70" i="1"/>
  <c r="L134" i="1"/>
  <c r="M134" i="1"/>
  <c r="D6" i="1"/>
  <c r="B6" i="1"/>
  <c r="J10" i="1"/>
  <c r="K10" i="1" s="1"/>
  <c r="O98" i="1" l="1"/>
  <c r="Q98" i="1" s="1"/>
  <c r="O201" i="1"/>
  <c r="P201" i="1" s="1"/>
  <c r="Q201" i="1"/>
  <c r="Q131" i="1"/>
  <c r="O445" i="1"/>
  <c r="Q445" i="1" s="1"/>
  <c r="O96" i="1"/>
  <c r="P96" i="1" s="1"/>
  <c r="R177" i="1"/>
  <c r="S76" i="1"/>
  <c r="Q427" i="1"/>
  <c r="R427" i="1"/>
  <c r="O381" i="1"/>
  <c r="P381" i="1"/>
  <c r="O84" i="1"/>
  <c r="R84" i="1" s="1"/>
  <c r="O499" i="1"/>
  <c r="R499" i="1" s="1"/>
  <c r="P499" i="1"/>
  <c r="O505" i="1"/>
  <c r="P505" i="1"/>
  <c r="R310" i="1"/>
  <c r="Q542" i="1"/>
  <c r="S136" i="1"/>
  <c r="Q110" i="1"/>
  <c r="Q212" i="1"/>
  <c r="O131" i="1"/>
  <c r="P131" i="1" s="1"/>
  <c r="S131" i="1" s="1"/>
  <c r="O529" i="1"/>
  <c r="Q529" i="1" s="1"/>
  <c r="P529" i="1"/>
  <c r="O177" i="1"/>
  <c r="P177" i="1" s="1"/>
  <c r="R328" i="1"/>
  <c r="R156" i="1"/>
  <c r="Q156" i="1"/>
  <c r="S418" i="1"/>
  <c r="Q541" i="1"/>
  <c r="Q398" i="1"/>
  <c r="O398" i="1"/>
  <c r="O169" i="1"/>
  <c r="P169" i="1" s="1"/>
  <c r="P111" i="1"/>
  <c r="O310" i="1"/>
  <c r="Q310" i="1" s="1"/>
  <c r="S346" i="1"/>
  <c r="R150" i="1"/>
  <c r="O110" i="1"/>
  <c r="R110" i="1" s="1"/>
  <c r="P110" i="1"/>
  <c r="O212" i="1"/>
  <c r="R212" i="1" s="1"/>
  <c r="P212" i="1"/>
  <c r="Q204" i="1"/>
  <c r="R204" i="1"/>
  <c r="P204" i="1"/>
  <c r="O269" i="1"/>
  <c r="R269" i="1" s="1"/>
  <c r="R450" i="1"/>
  <c r="O332" i="1"/>
  <c r="Q332" i="1" s="1"/>
  <c r="P332" i="1"/>
  <c r="R529" i="1"/>
  <c r="Q299" i="1"/>
  <c r="P299" i="1"/>
  <c r="S376" i="1"/>
  <c r="Q328" i="1"/>
  <c r="O328" i="1"/>
  <c r="P328" i="1" s="1"/>
  <c r="Q412" i="1"/>
  <c r="R412" i="1"/>
  <c r="P412" i="1"/>
  <c r="S412" i="1" s="1"/>
  <c r="P156" i="1"/>
  <c r="O541" i="1"/>
  <c r="R541" i="1" s="1"/>
  <c r="P541" i="1"/>
  <c r="O192" i="1"/>
  <c r="R192" i="1" s="1"/>
  <c r="P192" i="1"/>
  <c r="Q548" i="1"/>
  <c r="S548" i="1" s="1"/>
  <c r="Q160" i="1"/>
  <c r="O372" i="1"/>
  <c r="R372" i="1" s="1"/>
  <c r="P372" i="1"/>
  <c r="O121" i="1"/>
  <c r="P121" i="1"/>
  <c r="O374" i="1"/>
  <c r="R374" i="1" s="1"/>
  <c r="P374" i="1"/>
  <c r="O600" i="1"/>
  <c r="R600" i="1" s="1"/>
  <c r="P600" i="1"/>
  <c r="Q269" i="1"/>
  <c r="Q450" i="1"/>
  <c r="S450" i="1" s="1"/>
  <c r="P155" i="1"/>
  <c r="R299" i="1"/>
  <c r="R574" i="1"/>
  <c r="Q574" i="1"/>
  <c r="S248" i="1"/>
  <c r="Q344" i="1"/>
  <c r="O438" i="1"/>
  <c r="P438" i="1" s="1"/>
  <c r="R49" i="1"/>
  <c r="Q49" i="1"/>
  <c r="S49" i="1" s="1"/>
  <c r="R166" i="1"/>
  <c r="O200" i="1"/>
  <c r="P200" i="1" s="1"/>
  <c r="O160" i="1"/>
  <c r="R160" i="1" s="1"/>
  <c r="P160" i="1"/>
  <c r="S160" i="1" s="1"/>
  <c r="S606" i="1"/>
  <c r="R385" i="1"/>
  <c r="Q385" i="1"/>
  <c r="O150" i="1"/>
  <c r="Q150" i="1" s="1"/>
  <c r="P150" i="1"/>
  <c r="O101" i="1"/>
  <c r="Q101" i="1" s="1"/>
  <c r="O209" i="1"/>
  <c r="P209" i="1" s="1"/>
  <c r="O168" i="1"/>
  <c r="Q168" i="1" s="1"/>
  <c r="P168" i="1"/>
  <c r="Q492" i="1"/>
  <c r="R492" i="1"/>
  <c r="P492" i="1"/>
  <c r="S492" i="1" s="1"/>
  <c r="S88" i="1"/>
  <c r="P574" i="1"/>
  <c r="P502" i="1"/>
  <c r="S502" i="1" s="1"/>
  <c r="O383" i="1"/>
  <c r="Q383" i="1" s="1"/>
  <c r="O344" i="1"/>
  <c r="R344" i="1" s="1"/>
  <c r="P344" i="1"/>
  <c r="O166" i="1"/>
  <c r="Q166" i="1" s="1"/>
  <c r="P166" i="1"/>
  <c r="S469" i="1"/>
  <c r="R36" i="1"/>
  <c r="R270" i="1"/>
  <c r="R101" i="1"/>
  <c r="S218" i="1"/>
  <c r="O154" i="1"/>
  <c r="Q154" i="1" s="1"/>
  <c r="O352" i="1"/>
  <c r="R352" i="1" s="1"/>
  <c r="S483" i="1"/>
  <c r="P535" i="1"/>
  <c r="Q535" i="1"/>
  <c r="Q502" i="1"/>
  <c r="O202" i="1"/>
  <c r="P202" i="1" s="1"/>
  <c r="R42" i="1"/>
  <c r="P590" i="1"/>
  <c r="S590" i="1" s="1"/>
  <c r="Q48" i="1"/>
  <c r="P385" i="1"/>
  <c r="O539" i="1"/>
  <c r="Q539" i="1" s="1"/>
  <c r="R273" i="1"/>
  <c r="Q261" i="1"/>
  <c r="O25" i="1"/>
  <c r="Q25" i="1" s="1"/>
  <c r="P25" i="1"/>
  <c r="Q120" i="1"/>
  <c r="O42" i="1"/>
  <c r="Q42" i="1" s="1"/>
  <c r="Q218" i="1"/>
  <c r="O232" i="1"/>
  <c r="Q232" i="1" s="1"/>
  <c r="P232" i="1"/>
  <c r="O488" i="1"/>
  <c r="Q488" i="1" s="1"/>
  <c r="P488" i="1"/>
  <c r="O359" i="1"/>
  <c r="Q359" i="1" s="1"/>
  <c r="P359" i="1"/>
  <c r="R564" i="1"/>
  <c r="Q564" i="1"/>
  <c r="S564" i="1" s="1"/>
  <c r="R535" i="1"/>
  <c r="S410" i="1"/>
  <c r="O261" i="1"/>
  <c r="R261" i="1" s="1"/>
  <c r="P261" i="1"/>
  <c r="O120" i="1"/>
  <c r="R120" i="1" s="1"/>
  <c r="O144" i="1"/>
  <c r="P144" i="1" s="1"/>
  <c r="O14" i="1"/>
  <c r="R14" i="1" s="1"/>
  <c r="Q122" i="1"/>
  <c r="R232" i="1"/>
  <c r="O157" i="1"/>
  <c r="P157" i="1" s="1"/>
  <c r="O363" i="1"/>
  <c r="R363" i="1" s="1"/>
  <c r="O143" i="1"/>
  <c r="P143" i="1" s="1"/>
  <c r="Q562" i="1"/>
  <c r="S277" i="1"/>
  <c r="S401" i="1"/>
  <c r="Q68" i="1"/>
  <c r="P68" i="1"/>
  <c r="S68" i="1" s="1"/>
  <c r="O325" i="1"/>
  <c r="Q325" i="1" s="1"/>
  <c r="P325" i="1"/>
  <c r="R155" i="1"/>
  <c r="R20" i="1"/>
  <c r="P20" i="1"/>
  <c r="Q20" i="1"/>
  <c r="S105" i="1"/>
  <c r="O295" i="1"/>
  <c r="P295" i="1" s="1"/>
  <c r="Q465" i="1"/>
  <c r="Q18" i="1"/>
  <c r="O520" i="1"/>
  <c r="Q520" i="1" s="1"/>
  <c r="P520" i="1"/>
  <c r="Q186" i="1"/>
  <c r="S186" i="1" s="1"/>
  <c r="R143" i="1"/>
  <c r="R359" i="1"/>
  <c r="O562" i="1"/>
  <c r="P562" i="1"/>
  <c r="O546" i="1"/>
  <c r="P546" i="1" s="1"/>
  <c r="R576" i="1"/>
  <c r="R550" i="1"/>
  <c r="P550" i="1"/>
  <c r="S550" i="1" s="1"/>
  <c r="Q94" i="1"/>
  <c r="O162" i="1"/>
  <c r="R162" i="1" s="1"/>
  <c r="P162" i="1"/>
  <c r="Q38" i="1"/>
  <c r="S244" i="1"/>
  <c r="Q105" i="1"/>
  <c r="O465" i="1"/>
  <c r="R465" i="1" s="1"/>
  <c r="P465" i="1"/>
  <c r="R18" i="1"/>
  <c r="R186" i="1"/>
  <c r="O151" i="1"/>
  <c r="R151" i="1" s="1"/>
  <c r="O329" i="1"/>
  <c r="R329" i="1" s="1"/>
  <c r="P329" i="1"/>
  <c r="Q390" i="1"/>
  <c r="O561" i="1"/>
  <c r="Q561" i="1" s="1"/>
  <c r="P561" i="1"/>
  <c r="R265" i="1"/>
  <c r="O576" i="1"/>
  <c r="P576" i="1" s="1"/>
  <c r="S576" i="1" s="1"/>
  <c r="O94" i="1"/>
  <c r="R94" i="1" s="1"/>
  <c r="R241" i="1"/>
  <c r="S241" i="1" s="1"/>
  <c r="O38" i="1"/>
  <c r="R38" i="1" s="1"/>
  <c r="Q244" i="1"/>
  <c r="R244" i="1"/>
  <c r="O568" i="1"/>
  <c r="Q568" i="1" s="1"/>
  <c r="P568" i="1"/>
  <c r="R105" i="1"/>
  <c r="O18" i="1"/>
  <c r="P18" i="1" s="1"/>
  <c r="S18" i="1" s="1"/>
  <c r="S526" i="1"/>
  <c r="O441" i="1"/>
  <c r="R441" i="1" s="1"/>
  <c r="P441" i="1"/>
  <c r="Q151" i="1"/>
  <c r="Q329" i="1"/>
  <c r="R397" i="1"/>
  <c r="R99" i="1"/>
  <c r="Q99" i="1"/>
  <c r="O302" i="1"/>
  <c r="Q302" i="1" s="1"/>
  <c r="Q241" i="1"/>
  <c r="R111" i="1"/>
  <c r="O246" i="1"/>
  <c r="Q246" i="1" s="1"/>
  <c r="P246" i="1"/>
  <c r="Q441" i="1"/>
  <c r="R333" i="1"/>
  <c r="Q397" i="1"/>
  <c r="S397" i="1" s="1"/>
  <c r="S16" i="1"/>
  <c r="R487" i="1"/>
  <c r="R563" i="1"/>
  <c r="P99" i="1"/>
  <c r="S99" i="1" s="1"/>
  <c r="O145" i="1"/>
  <c r="R145" i="1" s="1"/>
  <c r="P145" i="1"/>
  <c r="O52" i="1"/>
  <c r="R52" i="1" s="1"/>
  <c r="R272" i="1"/>
  <c r="O26" i="1"/>
  <c r="Q26" i="1" s="1"/>
  <c r="P26" i="1"/>
  <c r="Q317" i="1"/>
  <c r="Q595" i="1"/>
  <c r="R340" i="1"/>
  <c r="O56" i="1"/>
  <c r="Q56" i="1" s="1"/>
  <c r="P56" i="1"/>
  <c r="O287" i="1"/>
  <c r="Q287" i="1" s="1"/>
  <c r="O15" i="1"/>
  <c r="P15" i="1"/>
  <c r="R124" i="1"/>
  <c r="P124" i="1"/>
  <c r="R196" i="1"/>
  <c r="Q196" i="1"/>
  <c r="P196" i="1"/>
  <c r="S196" i="1" s="1"/>
  <c r="Q272" i="1"/>
  <c r="S272" i="1" s="1"/>
  <c r="O149" i="1"/>
  <c r="R149" i="1" s="1"/>
  <c r="R56" i="1"/>
  <c r="S517" i="1"/>
  <c r="O540" i="1"/>
  <c r="P540" i="1" s="1"/>
  <c r="Q540" i="1"/>
  <c r="Q460" i="1"/>
  <c r="S460" i="1" s="1"/>
  <c r="R460" i="1"/>
  <c r="O294" i="1"/>
  <c r="Q294" i="1" s="1"/>
  <c r="P294" i="1"/>
  <c r="R15" i="1"/>
  <c r="Q124" i="1"/>
  <c r="O464" i="1"/>
  <c r="Q464" i="1" s="1"/>
  <c r="S173" i="1"/>
  <c r="R98" i="1"/>
  <c r="R201" i="1"/>
  <c r="R17" i="1"/>
  <c r="S17" i="1" s="1"/>
  <c r="Q149" i="1"/>
  <c r="Q76" i="1"/>
  <c r="R76" i="1"/>
  <c r="P427" i="1"/>
  <c r="S427" i="1" s="1"/>
  <c r="R548" i="1"/>
  <c r="P12" i="1"/>
  <c r="R12" i="1"/>
  <c r="Q84" i="1"/>
  <c r="O366" i="1"/>
  <c r="Q499" i="1"/>
  <c r="R491" i="1"/>
  <c r="Q15" i="1"/>
  <c r="R504" i="1"/>
  <c r="R388" i="1"/>
  <c r="R383" i="1"/>
  <c r="S348" i="1"/>
  <c r="R567" i="1"/>
  <c r="O333" i="1"/>
  <c r="Q333" i="1" s="1"/>
  <c r="P333" i="1"/>
  <c r="R229" i="1"/>
  <c r="Q265" i="1"/>
  <c r="R500" i="1"/>
  <c r="O164" i="1"/>
  <c r="Q164" i="1" s="1"/>
  <c r="P316" i="1"/>
  <c r="Q316" i="1"/>
  <c r="R326" i="1"/>
  <c r="S240" i="1"/>
  <c r="Q121" i="1"/>
  <c r="S77" i="1"/>
  <c r="O266" i="1"/>
  <c r="Q266" i="1" s="1"/>
  <c r="O122" i="1"/>
  <c r="R122" i="1" s="1"/>
  <c r="S237" i="1"/>
  <c r="P45" i="1"/>
  <c r="Q45" i="1"/>
  <c r="R45" i="1"/>
  <c r="Q92" i="1"/>
  <c r="R595" i="1"/>
  <c r="O123" i="1"/>
  <c r="P123" i="1" s="1"/>
  <c r="S123" i="1" s="1"/>
  <c r="O193" i="1"/>
  <c r="P193" i="1" s="1"/>
  <c r="S193" i="1" s="1"/>
  <c r="Q256" i="1"/>
  <c r="O340" i="1"/>
  <c r="Q340" i="1" s="1"/>
  <c r="R512" i="1"/>
  <c r="Q352" i="1"/>
  <c r="O373" i="1"/>
  <c r="R373" i="1" s="1"/>
  <c r="S252" i="1"/>
  <c r="O388" i="1"/>
  <c r="Q388" i="1" s="1"/>
  <c r="P388" i="1"/>
  <c r="P370" i="1"/>
  <c r="S417" i="1"/>
  <c r="Q567" i="1"/>
  <c r="Q342" i="1"/>
  <c r="R418" i="1"/>
  <c r="Q229" i="1"/>
  <c r="S229" i="1" s="1"/>
  <c r="S394" i="1"/>
  <c r="S493" i="1"/>
  <c r="O405" i="1"/>
  <c r="P405" i="1"/>
  <c r="O58" i="1"/>
  <c r="Q58" i="1" s="1"/>
  <c r="P58" i="1"/>
  <c r="O500" i="1"/>
  <c r="Q500" i="1" s="1"/>
  <c r="R171" i="1"/>
  <c r="P40" i="1"/>
  <c r="S40" i="1" s="1"/>
  <c r="Q134" i="1"/>
  <c r="R116" i="1"/>
  <c r="Q74" i="1"/>
  <c r="O270" i="1"/>
  <c r="Q270" i="1" s="1"/>
  <c r="P270" i="1"/>
  <c r="R195" i="1"/>
  <c r="O92" i="1"/>
  <c r="R92" i="1" s="1"/>
  <c r="P51" i="1"/>
  <c r="Q51" i="1"/>
  <c r="R123" i="1"/>
  <c r="S581" i="1"/>
  <c r="R193" i="1"/>
  <c r="Q399" i="1"/>
  <c r="P119" i="1"/>
  <c r="Q119" i="1"/>
  <c r="O256" i="1"/>
  <c r="R256" i="1" s="1"/>
  <c r="O512" i="1"/>
  <c r="Q512" i="1" s="1"/>
  <c r="R227" i="1"/>
  <c r="P227" i="1"/>
  <c r="Q571" i="1"/>
  <c r="S571" i="1" s="1"/>
  <c r="P367" i="1"/>
  <c r="S367" i="1" s="1"/>
  <c r="P566" i="1"/>
  <c r="S566" i="1" s="1"/>
  <c r="Q22" i="1"/>
  <c r="Q370" i="1"/>
  <c r="Q477" i="1"/>
  <c r="S228" i="1"/>
  <c r="O567" i="1"/>
  <c r="P567" i="1"/>
  <c r="Q418" i="1"/>
  <c r="R583" i="1"/>
  <c r="R423" i="1"/>
  <c r="R493" i="1"/>
  <c r="O203" i="1"/>
  <c r="Q203" i="1" s="1"/>
  <c r="P203" i="1"/>
  <c r="Q405" i="1"/>
  <c r="O509" i="1"/>
  <c r="Q509" i="1" s="1"/>
  <c r="P509" i="1"/>
  <c r="P199" i="1"/>
  <c r="S199" i="1" s="1"/>
  <c r="R158" i="1"/>
  <c r="Q283" i="1"/>
  <c r="S19" i="1"/>
  <c r="S24" i="1"/>
  <c r="O171" i="1"/>
  <c r="P171" i="1"/>
  <c r="P247" i="1"/>
  <c r="Q247" i="1"/>
  <c r="Q391" i="1"/>
  <c r="R528" i="1"/>
  <c r="Q584" i="1"/>
  <c r="S584" i="1" s="1"/>
  <c r="S490" i="1"/>
  <c r="S190" i="1"/>
  <c r="P207" i="1"/>
  <c r="O134" i="1"/>
  <c r="R134" i="1" s="1"/>
  <c r="P134" i="1"/>
  <c r="R142" i="1"/>
  <c r="O46" i="1"/>
  <c r="R46" i="1" s="1"/>
  <c r="O223" i="1"/>
  <c r="R223" i="1" s="1"/>
  <c r="P223" i="1"/>
  <c r="O47" i="1"/>
  <c r="R47" i="1" s="1"/>
  <c r="P47" i="1"/>
  <c r="S159" i="1"/>
  <c r="Q313" i="1"/>
  <c r="P313" i="1"/>
  <c r="R313" i="1"/>
  <c r="R61" i="1"/>
  <c r="Q61" i="1"/>
  <c r="S61" i="1" s="1"/>
  <c r="Q392" i="1"/>
  <c r="Q72" i="1"/>
  <c r="Q128" i="1"/>
  <c r="O140" i="1"/>
  <c r="R140" i="1" s="1"/>
  <c r="O297" i="1"/>
  <c r="R297" i="1" s="1"/>
  <c r="P297" i="1"/>
  <c r="Q28" i="1"/>
  <c r="Q193" i="1"/>
  <c r="O399" i="1"/>
  <c r="P399" i="1"/>
  <c r="R250" i="1"/>
  <c r="P250" i="1"/>
  <c r="S250" i="1" s="1"/>
  <c r="S21" i="1"/>
  <c r="O172" i="1"/>
  <c r="Q172" i="1" s="1"/>
  <c r="P172" i="1"/>
  <c r="O349" i="1"/>
  <c r="R349" i="1" s="1"/>
  <c r="P349" i="1"/>
  <c r="R551" i="1"/>
  <c r="S551" i="1" s="1"/>
  <c r="Q73" i="1"/>
  <c r="S205" i="1"/>
  <c r="Q188" i="1"/>
  <c r="S188" i="1" s="1"/>
  <c r="S379" i="1"/>
  <c r="R571" i="1"/>
  <c r="O259" i="1"/>
  <c r="Q259" i="1" s="1"/>
  <c r="S569" i="1"/>
  <c r="P389" i="1"/>
  <c r="O22" i="1"/>
  <c r="R22" i="1" s="1"/>
  <c r="P22" i="1"/>
  <c r="R386" i="1"/>
  <c r="O477" i="1"/>
  <c r="R477" i="1" s="1"/>
  <c r="P477" i="1"/>
  <c r="S345" i="1"/>
  <c r="O573" i="1"/>
  <c r="Q573" i="1" s="1"/>
  <c r="P573" i="1"/>
  <c r="S433" i="1"/>
  <c r="Q583" i="1"/>
  <c r="S583" i="1" s="1"/>
  <c r="S303" i="1"/>
  <c r="Q493" i="1"/>
  <c r="O421" i="1"/>
  <c r="Q421" i="1" s="1"/>
  <c r="Q550" i="1"/>
  <c r="O249" i="1"/>
  <c r="Q249" i="1" s="1"/>
  <c r="P249" i="1"/>
  <c r="Q158" i="1"/>
  <c r="O283" i="1"/>
  <c r="R283" i="1" s="1"/>
  <c r="P283" i="1"/>
  <c r="R86" i="1"/>
  <c r="Q354" i="1"/>
  <c r="Q19" i="1"/>
  <c r="R19" i="1"/>
  <c r="O231" i="1"/>
  <c r="Q231" i="1" s="1"/>
  <c r="P231" i="1"/>
  <c r="P474" i="1"/>
  <c r="S31" i="1"/>
  <c r="Q171" i="1"/>
  <c r="O365" i="1"/>
  <c r="R365" i="1" s="1"/>
  <c r="P152" i="1"/>
  <c r="Q152" i="1"/>
  <c r="Q495" i="1"/>
  <c r="R391" i="1"/>
  <c r="Q528" i="1"/>
  <c r="O296" i="1"/>
  <c r="R296" i="1" s="1"/>
  <c r="Q190" i="1"/>
  <c r="Q142" i="1"/>
  <c r="Q40" i="1"/>
  <c r="O62" i="1"/>
  <c r="P62" i="1" s="1"/>
  <c r="S239" i="1"/>
  <c r="O125" i="1"/>
  <c r="Q125" i="1" s="1"/>
  <c r="Q292" i="1"/>
  <c r="S292" i="1" s="1"/>
  <c r="R292" i="1"/>
  <c r="Q47" i="1"/>
  <c r="O50" i="1"/>
  <c r="Q50" i="1" s="1"/>
  <c r="P50" i="1"/>
  <c r="O392" i="1"/>
  <c r="R392" i="1" s="1"/>
  <c r="P392" i="1"/>
  <c r="O72" i="1"/>
  <c r="R72" i="1" s="1"/>
  <c r="P72" i="1"/>
  <c r="O128" i="1"/>
  <c r="R128" i="1" s="1"/>
  <c r="P128" i="1"/>
  <c r="S128" i="1" s="1"/>
  <c r="O28" i="1"/>
  <c r="P28" i="1" s="1"/>
  <c r="S236" i="1"/>
  <c r="R399" i="1"/>
  <c r="R285" i="1"/>
  <c r="S208" i="1"/>
  <c r="S362" i="1"/>
  <c r="Q551" i="1"/>
  <c r="O73" i="1"/>
  <c r="P73" i="1"/>
  <c r="Q417" i="1"/>
  <c r="Q596" i="1"/>
  <c r="Q386" i="1"/>
  <c r="P175" i="1"/>
  <c r="S175" i="1" s="1"/>
  <c r="O455" i="1"/>
  <c r="P455" i="1" s="1"/>
  <c r="R578" i="1"/>
  <c r="Q439" i="1"/>
  <c r="O436" i="1"/>
  <c r="P436" i="1" s="1"/>
  <c r="O158" i="1"/>
  <c r="P158" i="1" s="1"/>
  <c r="S158" i="1" s="1"/>
  <c r="Q86" i="1"/>
  <c r="O354" i="1"/>
  <c r="P354" i="1" s="1"/>
  <c r="O23" i="1"/>
  <c r="Q23" i="1" s="1"/>
  <c r="R231" i="1"/>
  <c r="R486" i="1"/>
  <c r="R220" i="1"/>
  <c r="P197" i="1"/>
  <c r="R197" i="1"/>
  <c r="O495" i="1"/>
  <c r="R495" i="1" s="1"/>
  <c r="O528" i="1"/>
  <c r="P528" i="1"/>
  <c r="S484" i="1"/>
  <c r="Q496" i="1"/>
  <c r="O70" i="1"/>
  <c r="R70" i="1" s="1"/>
  <c r="P70" i="1"/>
  <c r="R129" i="1"/>
  <c r="P129" i="1"/>
  <c r="Q129" i="1"/>
  <c r="R165" i="1"/>
  <c r="Q104" i="1"/>
  <c r="R104" i="1"/>
  <c r="O142" i="1"/>
  <c r="P142" i="1"/>
  <c r="O80" i="1"/>
  <c r="Q80" i="1" s="1"/>
  <c r="O174" i="1"/>
  <c r="R174" i="1" s="1"/>
  <c r="P174" i="1"/>
  <c r="R82" i="1"/>
  <c r="O335" i="1"/>
  <c r="P335" i="1" s="1"/>
  <c r="O167" i="1"/>
  <c r="R167" i="1" s="1"/>
  <c r="P167" i="1"/>
  <c r="O413" i="1"/>
  <c r="P413" i="1" s="1"/>
  <c r="S404" i="1"/>
  <c r="O285" i="1"/>
  <c r="P285" i="1" s="1"/>
  <c r="S393" i="1"/>
  <c r="R73" i="1"/>
  <c r="O257" i="1"/>
  <c r="R257" i="1" s="1"/>
  <c r="P257" i="1"/>
  <c r="Q29" i="1"/>
  <c r="S29" i="1" s="1"/>
  <c r="O219" i="1"/>
  <c r="Q219" i="1" s="1"/>
  <c r="P219" i="1"/>
  <c r="Q301" i="1"/>
  <c r="O181" i="1"/>
  <c r="R181" i="1" s="1"/>
  <c r="O596" i="1"/>
  <c r="R596" i="1" s="1"/>
  <c r="P596" i="1"/>
  <c r="S414" i="1"/>
  <c r="Q572" i="1"/>
  <c r="S432" i="1"/>
  <c r="Q474" i="1"/>
  <c r="O216" i="1"/>
  <c r="Q216" i="1" s="1"/>
  <c r="P216" i="1"/>
  <c r="S549" i="1"/>
  <c r="R228" i="1"/>
  <c r="Q578" i="1"/>
  <c r="S578" i="1" s="1"/>
  <c r="S339" i="1"/>
  <c r="Q522" i="1"/>
  <c r="O522" i="1"/>
  <c r="P522" i="1" s="1"/>
  <c r="Q207" i="1"/>
  <c r="O86" i="1"/>
  <c r="P86" i="1" s="1"/>
  <c r="S86" i="1" s="1"/>
  <c r="Q367" i="1"/>
  <c r="Q235" i="1"/>
  <c r="S235" i="1" s="1"/>
  <c r="O486" i="1"/>
  <c r="Q486" i="1" s="1"/>
  <c r="Q220" i="1"/>
  <c r="S371" i="1"/>
  <c r="O213" i="1"/>
  <c r="Q213" i="1" s="1"/>
  <c r="P213" i="1"/>
  <c r="O265" i="1"/>
  <c r="P265" i="1" s="1"/>
  <c r="O496" i="1"/>
  <c r="R496" i="1" s="1"/>
  <c r="P496" i="1"/>
  <c r="R136" i="1"/>
  <c r="O165" i="1"/>
  <c r="P165" i="1" s="1"/>
  <c r="Q165" i="1"/>
  <c r="P104" i="1"/>
  <c r="S104" i="1" s="1"/>
  <c r="R54" i="1"/>
  <c r="S180" i="1"/>
  <c r="R80" i="1"/>
  <c r="R66" i="1"/>
  <c r="R308" i="1"/>
  <c r="S308" i="1" s="1"/>
  <c r="P337" i="1"/>
  <c r="S337" i="1" s="1"/>
  <c r="R337" i="1"/>
  <c r="Q65" i="1"/>
  <c r="S65" i="1" s="1"/>
  <c r="O82" i="1"/>
  <c r="Q82" i="1" s="1"/>
  <c r="R78" i="1"/>
  <c r="Q175" i="1"/>
  <c r="P132" i="1"/>
  <c r="R33" i="1"/>
  <c r="S33" i="1" s="1"/>
  <c r="R278" i="1"/>
  <c r="R331" i="1"/>
  <c r="Q44" i="1"/>
  <c r="O81" i="1"/>
  <c r="P81" i="1" s="1"/>
  <c r="O41" i="1"/>
  <c r="Q41" i="1" s="1"/>
  <c r="P41" i="1"/>
  <c r="O301" i="1"/>
  <c r="R301" i="1" s="1"/>
  <c r="P301" i="1"/>
  <c r="Q473" i="1"/>
  <c r="Q181" i="1"/>
  <c r="P443" i="1"/>
  <c r="Q609" i="1"/>
  <c r="R389" i="1"/>
  <c r="S497" i="1"/>
  <c r="P585" i="1"/>
  <c r="Q585" i="1"/>
  <c r="Q483" i="1"/>
  <c r="O439" i="1"/>
  <c r="P439" i="1" s="1"/>
  <c r="O519" i="1"/>
  <c r="P519" i="1"/>
  <c r="R584" i="1"/>
  <c r="S178" i="1"/>
  <c r="Q380" i="1"/>
  <c r="R23" i="1"/>
  <c r="Q242" i="1"/>
  <c r="P242" i="1"/>
  <c r="R242" i="1"/>
  <c r="O220" i="1"/>
  <c r="P220" i="1"/>
  <c r="O547" i="1"/>
  <c r="P547" i="1" s="1"/>
  <c r="Q547" i="1"/>
  <c r="S75" i="1"/>
  <c r="R536" i="1"/>
  <c r="O456" i="1"/>
  <c r="Q456" i="1" s="1"/>
  <c r="O334" i="1"/>
  <c r="Q334" i="1" s="1"/>
  <c r="O118" i="1"/>
  <c r="R118" i="1" s="1"/>
  <c r="Q136" i="1"/>
  <c r="S112" i="1"/>
  <c r="Q54" i="1"/>
  <c r="O66" i="1"/>
  <c r="P66" i="1" s="1"/>
  <c r="R81" i="1"/>
  <c r="S191" i="1"/>
  <c r="R65" i="1"/>
  <c r="R103" i="1"/>
  <c r="Q358" i="1"/>
  <c r="Q78" i="1"/>
  <c r="O440" i="1"/>
  <c r="Q440" i="1" s="1"/>
  <c r="P440" i="1"/>
  <c r="O163" i="1"/>
  <c r="Q163" i="1" s="1"/>
  <c r="P163" i="1"/>
  <c r="R472" i="1"/>
  <c r="Q278" i="1"/>
  <c r="Q331" i="1"/>
  <c r="S331" i="1" s="1"/>
  <c r="O44" i="1"/>
  <c r="P44" i="1" s="1"/>
  <c r="R234" i="1"/>
  <c r="O279" i="1"/>
  <c r="R279" i="1" s="1"/>
  <c r="P279" i="1"/>
  <c r="O579" i="1"/>
  <c r="Q579" i="1" s="1"/>
  <c r="P579" i="1"/>
  <c r="R102" i="1"/>
  <c r="Q257" i="1"/>
  <c r="S453" i="1"/>
  <c r="S312" i="1"/>
  <c r="S113" i="1"/>
  <c r="O473" i="1"/>
  <c r="P473" i="1"/>
  <c r="Q470" i="1"/>
  <c r="S470" i="1" s="1"/>
  <c r="O609" i="1"/>
  <c r="R609" i="1" s="1"/>
  <c r="P609" i="1"/>
  <c r="R485" i="1"/>
  <c r="R133" i="1"/>
  <c r="S298" i="1"/>
  <c r="O406" i="1"/>
  <c r="Q406" i="1" s="1"/>
  <c r="P406" i="1"/>
  <c r="R483" i="1"/>
  <c r="Q556" i="1"/>
  <c r="R556" i="1"/>
  <c r="S556" i="1" s="1"/>
  <c r="O480" i="1"/>
  <c r="Q480" i="1" s="1"/>
  <c r="S591" i="1"/>
  <c r="R345" i="1"/>
  <c r="R519" i="1"/>
  <c r="O222" i="1"/>
  <c r="Q222" i="1" s="1"/>
  <c r="O451" i="1"/>
  <c r="R451" i="1" s="1"/>
  <c r="P451" i="1"/>
  <c r="S350" i="1"/>
  <c r="P108" i="1"/>
  <c r="S108" i="1" s="1"/>
  <c r="O380" i="1"/>
  <c r="R380" i="1" s="1"/>
  <c r="P380" i="1"/>
  <c r="S513" i="1"/>
  <c r="R547" i="1"/>
  <c r="Q304" i="1"/>
  <c r="Q536" i="1"/>
  <c r="O514" i="1"/>
  <c r="P514" i="1" s="1"/>
  <c r="Q132" i="1"/>
  <c r="P141" i="1"/>
  <c r="Q141" i="1"/>
  <c r="O54" i="1"/>
  <c r="P54" i="1"/>
  <c r="O185" i="1"/>
  <c r="Q185" i="1" s="1"/>
  <c r="P185" i="1"/>
  <c r="R152" i="1"/>
  <c r="O176" i="1"/>
  <c r="P176" i="1" s="1"/>
  <c r="R323" i="1"/>
  <c r="R159" i="1"/>
  <c r="O89" i="1"/>
  <c r="Q89" i="1" s="1"/>
  <c r="P89" i="1"/>
  <c r="O194" i="1"/>
  <c r="R194" i="1" s="1"/>
  <c r="P194" i="1"/>
  <c r="R88" i="1"/>
  <c r="O103" i="1"/>
  <c r="P103" i="1" s="1"/>
  <c r="O358" i="1"/>
  <c r="R358" i="1" s="1"/>
  <c r="P358" i="1"/>
  <c r="O78" i="1"/>
  <c r="P78" i="1" s="1"/>
  <c r="S78" i="1" s="1"/>
  <c r="R163" i="1"/>
  <c r="Q472" i="1"/>
  <c r="O300" i="1"/>
  <c r="Q300" i="1" s="1"/>
  <c r="P300" i="1"/>
  <c r="P43" i="1"/>
  <c r="R43" i="1"/>
  <c r="O278" i="1"/>
  <c r="P278" i="1" s="1"/>
  <c r="S278" i="1" s="1"/>
  <c r="O234" i="1"/>
  <c r="Q234" i="1" s="1"/>
  <c r="Q102" i="1"/>
  <c r="Q264" i="1"/>
  <c r="S498" i="1"/>
  <c r="O55" i="1"/>
  <c r="Q55" i="1" s="1"/>
  <c r="Q227" i="1"/>
  <c r="S117" i="1"/>
  <c r="Q443" i="1"/>
  <c r="Q485" i="1"/>
  <c r="P133" i="1"/>
  <c r="S133" i="1" s="1"/>
  <c r="O133" i="1"/>
  <c r="P377" i="1"/>
  <c r="S377" i="1" s="1"/>
  <c r="O306" i="1"/>
  <c r="R306" i="1" s="1"/>
  <c r="P306" i="1"/>
  <c r="R316" i="1"/>
  <c r="O458" i="1"/>
  <c r="P458" i="1" s="1"/>
  <c r="Q100" i="1"/>
  <c r="O475" i="1"/>
  <c r="P475" i="1" s="1"/>
  <c r="R544" i="1"/>
  <c r="R217" i="1"/>
  <c r="S217" i="1" s="1"/>
  <c r="Q519" i="1"/>
  <c r="R248" i="1"/>
  <c r="O37" i="1"/>
  <c r="P37" i="1" s="1"/>
  <c r="S37" i="1" s="1"/>
  <c r="R117" i="1"/>
  <c r="Q395" i="1"/>
  <c r="S395" i="1" s="1"/>
  <c r="O53" i="1"/>
  <c r="Q53" i="1" s="1"/>
  <c r="Q524" i="1"/>
  <c r="R221" i="1"/>
  <c r="R605" i="1"/>
  <c r="Q83" i="1"/>
  <c r="S83" i="1" s="1"/>
  <c r="O536" i="1"/>
  <c r="P536" i="1" s="1"/>
  <c r="S536" i="1" s="1"/>
  <c r="S559" i="1"/>
  <c r="O64" i="1"/>
  <c r="Q64" i="1" s="1"/>
  <c r="O13" i="1"/>
  <c r="R13" i="1" s="1"/>
  <c r="O225" i="1"/>
  <c r="P225" i="1" s="1"/>
  <c r="O107" i="1"/>
  <c r="R107" i="1" s="1"/>
  <c r="R185" i="1"/>
  <c r="Q198" i="1"/>
  <c r="O323" i="1"/>
  <c r="P323" i="1" s="1"/>
  <c r="Q159" i="1"/>
  <c r="S462" i="1"/>
  <c r="R215" i="1"/>
  <c r="S106" i="1"/>
  <c r="Q260" i="1"/>
  <c r="S260" i="1" s="1"/>
  <c r="R260" i="1"/>
  <c r="O531" i="1"/>
  <c r="Q531" i="1" s="1"/>
  <c r="O57" i="1"/>
  <c r="Q57" i="1" s="1"/>
  <c r="P57" i="1"/>
  <c r="O183" i="1"/>
  <c r="Q183" i="1" s="1"/>
  <c r="O472" i="1"/>
  <c r="P472" i="1"/>
  <c r="P206" i="1"/>
  <c r="R206" i="1"/>
  <c r="R364" i="1"/>
  <c r="Q95" i="1"/>
  <c r="Q237" i="1"/>
  <c r="O127" i="1"/>
  <c r="R127" i="1" s="1"/>
  <c r="P127" i="1"/>
  <c r="S127" i="1" s="1"/>
  <c r="Q324" i="1"/>
  <c r="S324" i="1" s="1"/>
  <c r="S476" i="1"/>
  <c r="R305" i="1"/>
  <c r="R446" i="1"/>
  <c r="S587" i="1"/>
  <c r="O485" i="1"/>
  <c r="P485" i="1" s="1"/>
  <c r="S485" i="1" s="1"/>
  <c r="R309" i="1"/>
  <c r="Q306" i="1"/>
  <c r="P508" i="1"/>
  <c r="Q508" i="1"/>
  <c r="R508" i="1"/>
  <c r="O588" i="1"/>
  <c r="Q588" i="1" s="1"/>
  <c r="P588" i="1"/>
  <c r="R458" i="1"/>
  <c r="R100" i="1"/>
  <c r="P525" i="1"/>
  <c r="R525" i="1"/>
  <c r="O544" i="1"/>
  <c r="Q544" i="1" s="1"/>
  <c r="Q217" i="1"/>
  <c r="O423" i="1"/>
  <c r="P423" i="1" s="1"/>
  <c r="Q248" i="1"/>
  <c r="Q37" i="1"/>
  <c r="Q252" i="1"/>
  <c r="O30" i="1"/>
  <c r="R30" i="1" s="1"/>
  <c r="O274" i="1"/>
  <c r="Q274" i="1" s="1"/>
  <c r="P274" i="1"/>
  <c r="P580" i="1"/>
  <c r="S580" i="1" s="1"/>
  <c r="R580" i="1"/>
  <c r="S67" i="1"/>
  <c r="O524" i="1"/>
  <c r="P524" i="1"/>
  <c r="O221" i="1"/>
  <c r="Q221" i="1" s="1"/>
  <c r="P221" i="1"/>
  <c r="Q605" i="1"/>
  <c r="O304" i="1"/>
  <c r="R304" i="1" s="1"/>
  <c r="P304" i="1"/>
  <c r="S554" i="1"/>
  <c r="Q525" i="1"/>
  <c r="O286" i="1"/>
  <c r="Q286" i="1" s="1"/>
  <c r="P286" i="1"/>
  <c r="R64" i="1"/>
  <c r="O146" i="1"/>
  <c r="R146" i="1" s="1"/>
  <c r="S243" i="1"/>
  <c r="O198" i="1"/>
  <c r="R198" i="1" s="1"/>
  <c r="P198" i="1"/>
  <c r="S138" i="1"/>
  <c r="R191" i="1"/>
  <c r="R199" i="1"/>
  <c r="Q215" i="1"/>
  <c r="R445" i="1"/>
  <c r="O85" i="1"/>
  <c r="P85" i="1" s="1"/>
  <c r="R263" i="1"/>
  <c r="R531" i="1"/>
  <c r="R57" i="1"/>
  <c r="R511" i="1"/>
  <c r="S511" i="1" s="1"/>
  <c r="O364" i="1"/>
  <c r="Q364" i="1" s="1"/>
  <c r="O95" i="1"/>
  <c r="R95" i="1" s="1"/>
  <c r="P95" i="1"/>
  <c r="S426" i="1"/>
  <c r="O598" i="1"/>
  <c r="R598" i="1" s="1"/>
  <c r="R119" i="1"/>
  <c r="O289" i="1"/>
  <c r="P289" i="1" s="1"/>
  <c r="R55" i="1"/>
  <c r="R34" i="1"/>
  <c r="O448" i="1"/>
  <c r="Q137" i="1"/>
  <c r="O305" i="1"/>
  <c r="P305" i="1" s="1"/>
  <c r="Q305" i="1"/>
  <c r="O482" i="1"/>
  <c r="P482" i="1" s="1"/>
  <c r="O446" i="1"/>
  <c r="P446" i="1" s="1"/>
  <c r="S446" i="1" s="1"/>
  <c r="R497" i="1"/>
  <c r="O170" i="1"/>
  <c r="Q170" i="1" s="1"/>
  <c r="P170" i="1"/>
  <c r="Q309" i="1"/>
  <c r="R588" i="1"/>
  <c r="O326" i="1"/>
  <c r="P326" i="1" s="1"/>
  <c r="O384" i="1"/>
  <c r="R384" i="1" s="1"/>
  <c r="O100" i="1"/>
  <c r="P100" i="1" s="1"/>
  <c r="S100" i="1" s="1"/>
  <c r="R381" i="1"/>
  <c r="R478" i="1"/>
  <c r="Q533" i="1"/>
  <c r="O126" i="1"/>
  <c r="P126" i="1" s="1"/>
  <c r="S282" i="1"/>
  <c r="R37" i="1"/>
  <c r="O402" i="1"/>
  <c r="R402" i="1" s="1"/>
  <c r="O182" i="1"/>
  <c r="Q182" i="1" s="1"/>
  <c r="R505" i="1"/>
  <c r="Q39" i="1"/>
  <c r="P39" i="1"/>
  <c r="S291" i="1"/>
  <c r="R524" i="1"/>
  <c r="O605" i="1"/>
  <c r="P605" i="1"/>
  <c r="Q161" i="1"/>
  <c r="S161" i="1" s="1"/>
  <c r="S330" i="1"/>
  <c r="P565" i="1"/>
  <c r="S565" i="1" s="1"/>
  <c r="P589" i="1"/>
  <c r="S589" i="1" s="1"/>
  <c r="O36" i="1"/>
  <c r="Q36" i="1" s="1"/>
  <c r="R85" i="1"/>
  <c r="R144" i="1"/>
  <c r="O32" i="1"/>
  <c r="R32" i="1" s="1"/>
  <c r="Q191" i="1"/>
  <c r="O215" i="1"/>
  <c r="P215" i="1"/>
  <c r="R131" i="1"/>
  <c r="O263" i="1"/>
  <c r="Q263" i="1" s="1"/>
  <c r="P263" i="1"/>
  <c r="O48" i="1"/>
  <c r="R48" i="1" s="1"/>
  <c r="S411" i="1"/>
  <c r="Q96" i="1"/>
  <c r="O435" i="1"/>
  <c r="Q435" i="1" s="1"/>
  <c r="P435" i="1"/>
  <c r="O396" i="1"/>
  <c r="R396" i="1" s="1"/>
  <c r="O34" i="1"/>
  <c r="Q34" i="1" s="1"/>
  <c r="P34" i="1"/>
  <c r="O137" i="1"/>
  <c r="R137" i="1" s="1"/>
  <c r="P137" i="1"/>
  <c r="O347" i="1"/>
  <c r="Q347" i="1" s="1"/>
  <c r="P347" i="1"/>
  <c r="Q482" i="1"/>
  <c r="Q350" i="1"/>
  <c r="Q446" i="1"/>
  <c r="O593" i="1"/>
  <c r="Q593" i="1" s="1"/>
  <c r="P593" i="1"/>
  <c r="O309" i="1"/>
  <c r="P309" i="1"/>
  <c r="R540" i="1"/>
  <c r="O390" i="1"/>
  <c r="R390" i="1" s="1"/>
  <c r="P390" i="1"/>
  <c r="Q381" i="1"/>
  <c r="Q478" i="1"/>
  <c r="S478" i="1" s="1"/>
  <c r="R562" i="1"/>
  <c r="O233" i="1"/>
  <c r="P233" i="1" s="1"/>
  <c r="R533" i="1"/>
  <c r="S533" i="1" s="1"/>
  <c r="O467" i="1"/>
  <c r="R467" i="1" s="1"/>
  <c r="O594" i="1"/>
  <c r="R594" i="1" s="1"/>
  <c r="P594" i="1"/>
  <c r="Q93" i="1"/>
  <c r="S93" i="1" s="1"/>
  <c r="Q236" i="1"/>
  <c r="R161" i="1"/>
  <c r="P382" i="1"/>
  <c r="S382" i="1" s="1"/>
  <c r="Q576" i="1"/>
  <c r="Q606" i="1"/>
  <c r="R606" i="1"/>
  <c r="P459" i="1"/>
  <c r="S459" i="1" s="1"/>
  <c r="S153" i="1"/>
  <c r="O184" i="1"/>
  <c r="R184" i="1" s="1"/>
  <c r="O454" i="1"/>
  <c r="Q454" i="1" s="1"/>
  <c r="Q487" i="1"/>
  <c r="S487" i="1" s="1"/>
  <c r="R405" i="1"/>
  <c r="R169" i="1"/>
  <c r="O280" i="1"/>
  <c r="R280" i="1" s="1"/>
  <c r="O314" i="1"/>
  <c r="P314" i="1" s="1"/>
  <c r="S314" i="1" s="1"/>
  <c r="R314" i="1"/>
  <c r="Q504" i="1"/>
  <c r="O542" i="1"/>
  <c r="P542" i="1" s="1"/>
  <c r="S542" i="1" s="1"/>
  <c r="O116" i="1"/>
  <c r="P116" i="1" s="1"/>
  <c r="S60" i="1"/>
  <c r="O74" i="1"/>
  <c r="R74" i="1" s="1"/>
  <c r="P74" i="1"/>
  <c r="R121" i="1"/>
  <c r="O268" i="1"/>
  <c r="R268" i="1" s="1"/>
  <c r="P268" i="1"/>
  <c r="Q46" i="1"/>
  <c r="R62" i="1"/>
  <c r="Q223" i="1"/>
  <c r="S97" i="1"/>
  <c r="O195" i="1"/>
  <c r="Q195" i="1" s="1"/>
  <c r="O317" i="1"/>
  <c r="P317" i="1" s="1"/>
  <c r="O595" i="1"/>
  <c r="P595" i="1" s="1"/>
  <c r="S595" i="1" s="1"/>
  <c r="Q123" i="1"/>
  <c r="O281" i="1"/>
  <c r="R281" i="1" s="1"/>
  <c r="P281" i="1"/>
  <c r="R332" i="1"/>
  <c r="S507" i="1"/>
  <c r="O408" i="1"/>
  <c r="Q408" i="1" s="1"/>
  <c r="P408" i="1"/>
  <c r="Q598" i="1"/>
  <c r="O102" i="1"/>
  <c r="P102" i="1"/>
  <c r="O264" i="1"/>
  <c r="R264" i="1" s="1"/>
  <c r="P264" i="1"/>
  <c r="Q498" i="1"/>
  <c r="R498" i="1"/>
  <c r="O424" i="1"/>
  <c r="R424" i="1" s="1"/>
  <c r="P424" i="1"/>
  <c r="Q127" i="1"/>
  <c r="R324" i="1"/>
  <c r="R473" i="1"/>
  <c r="O276" i="1"/>
  <c r="R276" i="1" s="1"/>
  <c r="P276" i="1"/>
  <c r="R470" i="1"/>
  <c r="R572" i="1"/>
  <c r="S572" i="1" s="1"/>
  <c r="Q133" i="1"/>
  <c r="O386" i="1"/>
  <c r="P386" i="1" s="1"/>
  <c r="S386" i="1" s="1"/>
  <c r="P351" i="1"/>
  <c r="Q351" i="1"/>
  <c r="S518" i="1"/>
  <c r="S521" i="1"/>
  <c r="O342" i="1"/>
  <c r="R342" i="1" s="1"/>
  <c r="P342" i="1"/>
  <c r="S342" i="1" s="1"/>
  <c r="Q410" i="1"/>
  <c r="R410" i="1"/>
  <c r="O428" i="1"/>
  <c r="R428" i="1" s="1"/>
  <c r="P428" i="1"/>
  <c r="O481" i="1"/>
  <c r="R481" i="1" s="1"/>
  <c r="P481" i="1"/>
  <c r="S608" i="1"/>
  <c r="Q240" i="1"/>
  <c r="R346" i="1"/>
  <c r="O491" i="1"/>
  <c r="Q491" i="1" s="1"/>
  <c r="P491" i="1"/>
  <c r="O563" i="1"/>
  <c r="Q563" i="1" s="1"/>
  <c r="P563" i="1"/>
  <c r="O273" i="1"/>
  <c r="Q273" i="1" s="1"/>
  <c r="P273" i="1"/>
  <c r="Q192" i="1"/>
  <c r="Q505" i="1"/>
  <c r="R294" i="1"/>
  <c r="Q594" i="1"/>
  <c r="Q314" i="1"/>
  <c r="O391" i="1"/>
  <c r="P391" i="1"/>
  <c r="O504" i="1"/>
  <c r="P504" i="1" s="1"/>
  <c r="S504" i="1" s="1"/>
  <c r="R542" i="1"/>
  <c r="S254" i="1"/>
  <c r="Q401" i="1"/>
  <c r="R401" i="1"/>
  <c r="M10" i="1"/>
  <c r="S44" i="1" l="1"/>
  <c r="S354" i="1"/>
  <c r="S96" i="1"/>
  <c r="S317" i="1"/>
  <c r="S458" i="1"/>
  <c r="S66" i="1"/>
  <c r="S440" i="1"/>
  <c r="S213" i="1"/>
  <c r="S436" i="1"/>
  <c r="S372" i="1"/>
  <c r="P32" i="1"/>
  <c r="P384" i="1"/>
  <c r="R183" i="1"/>
  <c r="S525" i="1"/>
  <c r="S43" i="1"/>
  <c r="S141" i="1"/>
  <c r="R440" i="1"/>
  <c r="P287" i="1"/>
  <c r="S325" i="1"/>
  <c r="S157" i="1"/>
  <c r="S212" i="1"/>
  <c r="S326" i="1"/>
  <c r="S300" i="1"/>
  <c r="S579" i="1"/>
  <c r="S283" i="1"/>
  <c r="S573" i="1"/>
  <c r="S47" i="1"/>
  <c r="P373" i="1"/>
  <c r="S162" i="1"/>
  <c r="S286" i="1"/>
  <c r="P107" i="1"/>
  <c r="S107" i="1" s="1"/>
  <c r="S514" i="1"/>
  <c r="Q296" i="1"/>
  <c r="P149" i="1"/>
  <c r="S149" i="1" s="1"/>
  <c r="S329" i="1"/>
  <c r="R435" i="1"/>
  <c r="S435" i="1" s="1"/>
  <c r="P30" i="1"/>
  <c r="Q384" i="1"/>
  <c r="P531" i="1"/>
  <c r="S531" i="1" s="1"/>
  <c r="P222" i="1"/>
  <c r="P456" i="1"/>
  <c r="S257" i="1"/>
  <c r="S70" i="1"/>
  <c r="P23" i="1"/>
  <c r="S23" i="1" s="1"/>
  <c r="Q455" i="1"/>
  <c r="S455" i="1" s="1"/>
  <c r="S45" i="1"/>
  <c r="S273" i="1"/>
  <c r="R96" i="1"/>
  <c r="P36" i="1"/>
  <c r="S36" i="1" s="1"/>
  <c r="S588" i="1"/>
  <c r="Q225" i="1"/>
  <c r="S609" i="1"/>
  <c r="Q451" i="1"/>
  <c r="S451" i="1" s="1"/>
  <c r="P486" i="1"/>
  <c r="S486" i="1" s="1"/>
  <c r="S249" i="1"/>
  <c r="Q140" i="1"/>
  <c r="Q402" i="1"/>
  <c r="P55" i="1"/>
  <c r="S55" i="1" s="1"/>
  <c r="R222" i="1"/>
  <c r="S301" i="1"/>
  <c r="Q413" i="1"/>
  <c r="P125" i="1"/>
  <c r="S125" i="1" s="1"/>
  <c r="S477" i="1"/>
  <c r="R413" i="1"/>
  <c r="S413" i="1" s="1"/>
  <c r="S223" i="1"/>
  <c r="R573" i="1"/>
  <c r="Q366" i="1"/>
  <c r="P366" i="1"/>
  <c r="S441" i="1"/>
  <c r="Q162" i="1"/>
  <c r="Q32" i="1"/>
  <c r="R593" i="1"/>
  <c r="R202" i="1"/>
  <c r="S202" i="1" s="1"/>
  <c r="Q200" i="1"/>
  <c r="S200" i="1" s="1"/>
  <c r="S541" i="1"/>
  <c r="S332" i="1"/>
  <c r="S74" i="1"/>
  <c r="S137" i="1"/>
  <c r="R568" i="1"/>
  <c r="S568" i="1" s="1"/>
  <c r="Q467" i="1"/>
  <c r="P598" i="1"/>
  <c r="S598" i="1" s="1"/>
  <c r="S304" i="1"/>
  <c r="Q30" i="1"/>
  <c r="S519" i="1"/>
  <c r="R334" i="1"/>
  <c r="Q373" i="1"/>
  <c r="R287" i="1"/>
  <c r="S144" i="1"/>
  <c r="S168" i="1"/>
  <c r="Q372" i="1"/>
  <c r="Q177" i="1"/>
  <c r="S177" i="1" s="1"/>
  <c r="P445" i="1"/>
  <c r="S445" i="1" s="1"/>
  <c r="S547" i="1"/>
  <c r="S165" i="1"/>
  <c r="Q365" i="1"/>
  <c r="S51" i="1"/>
  <c r="Q363" i="1"/>
  <c r="S295" i="1"/>
  <c r="Q233" i="1"/>
  <c r="S233" i="1" s="1"/>
  <c r="Q144" i="1"/>
  <c r="Q428" i="1"/>
  <c r="S428" i="1" s="1"/>
  <c r="S499" i="1"/>
  <c r="R213" i="1"/>
  <c r="R335" i="1"/>
  <c r="R44" i="1"/>
  <c r="Q66" i="1"/>
  <c r="R219" i="1"/>
  <c r="S72" i="1"/>
  <c r="P421" i="1"/>
  <c r="S171" i="1"/>
  <c r="P500" i="1"/>
  <c r="S500" i="1" s="1"/>
  <c r="P266" i="1"/>
  <c r="S266" i="1" s="1"/>
  <c r="S294" i="1"/>
  <c r="R561" i="1"/>
  <c r="S561" i="1" s="1"/>
  <c r="R546" i="1"/>
  <c r="Q126" i="1"/>
  <c r="S126" i="1" s="1"/>
  <c r="P64" i="1"/>
  <c r="S64" i="1" s="1"/>
  <c r="R579" i="1"/>
  <c r="P480" i="1"/>
  <c r="R176" i="1"/>
  <c r="S220" i="1"/>
  <c r="R480" i="1"/>
  <c r="Q118" i="1"/>
  <c r="S528" i="1"/>
  <c r="R249" i="1"/>
  <c r="R203" i="1"/>
  <c r="Q167" i="1"/>
  <c r="S167" i="1" s="1"/>
  <c r="P46" i="1"/>
  <c r="S46" i="1" s="1"/>
  <c r="Q436" i="1"/>
  <c r="S58" i="1"/>
  <c r="R172" i="1"/>
  <c r="S172" i="1" s="1"/>
  <c r="S12" i="1"/>
  <c r="P94" i="1"/>
  <c r="S94" i="1" s="1"/>
  <c r="S465" i="1"/>
  <c r="R302" i="1"/>
  <c r="P120" i="1"/>
  <c r="S120" i="1" s="1"/>
  <c r="S232" i="1"/>
  <c r="S385" i="1"/>
  <c r="Q209" i="1"/>
  <c r="S209" i="1" s="1"/>
  <c r="S374" i="1"/>
  <c r="P269" i="1"/>
  <c r="S269" i="1" s="1"/>
  <c r="S111" i="1"/>
  <c r="S529" i="1"/>
  <c r="S482" i="1"/>
  <c r="S423" i="1"/>
  <c r="S358" i="1"/>
  <c r="R421" i="1"/>
  <c r="S389" i="1"/>
  <c r="P84" i="1"/>
  <c r="S84" i="1" s="1"/>
  <c r="S351" i="1"/>
  <c r="Q70" i="1"/>
  <c r="S215" i="1"/>
  <c r="S524" i="1"/>
  <c r="S206" i="1"/>
  <c r="R286" i="1"/>
  <c r="Q424" i="1"/>
  <c r="S424" i="1" s="1"/>
  <c r="Q107" i="1"/>
  <c r="R53" i="1"/>
  <c r="R216" i="1"/>
  <c r="S596" i="1"/>
  <c r="S231" i="1"/>
  <c r="Q349" i="1"/>
  <c r="S349" i="1" s="1"/>
  <c r="R26" i="1"/>
  <c r="S26" i="1" s="1"/>
  <c r="P52" i="1"/>
  <c r="R295" i="1"/>
  <c r="Q143" i="1"/>
  <c r="S261" i="1"/>
  <c r="Q14" i="1"/>
  <c r="R488" i="1"/>
  <c r="P352" i="1"/>
  <c r="S352" i="1" s="1"/>
  <c r="Q546" i="1"/>
  <c r="P101" i="1"/>
  <c r="S101" i="1" s="1"/>
  <c r="R209" i="1"/>
  <c r="R168" i="1"/>
  <c r="S169" i="1"/>
  <c r="P98" i="1"/>
  <c r="S98" i="1" s="1"/>
  <c r="S309" i="1"/>
  <c r="R28" i="1"/>
  <c r="S28" i="1" s="1"/>
  <c r="S134" i="1"/>
  <c r="S391" i="1"/>
  <c r="S102" i="1"/>
  <c r="P195" i="1"/>
  <c r="S195" i="1" s="1"/>
  <c r="R482" i="1"/>
  <c r="Q85" i="1"/>
  <c r="Q323" i="1"/>
  <c r="S323" i="1" s="1"/>
  <c r="R406" i="1"/>
  <c r="S406" i="1" s="1"/>
  <c r="Q103" i="1"/>
  <c r="S103" i="1" s="1"/>
  <c r="R225" i="1"/>
  <c r="R41" i="1"/>
  <c r="S163" i="1"/>
  <c r="Q81" i="1"/>
  <c r="S81" i="1" s="1"/>
  <c r="R456" i="1"/>
  <c r="Q297" i="1"/>
  <c r="S297" i="1" s="1"/>
  <c r="R439" i="1"/>
  <c r="S439" i="1" s="1"/>
  <c r="S399" i="1"/>
  <c r="R354" i="1"/>
  <c r="S567" i="1"/>
  <c r="P256" i="1"/>
  <c r="S256" i="1" s="1"/>
  <c r="S270" i="1"/>
  <c r="S388" i="1"/>
  <c r="Q145" i="1"/>
  <c r="R520" i="1"/>
  <c r="P154" i="1"/>
  <c r="R347" i="1"/>
  <c r="R266" i="1"/>
  <c r="P184" i="1"/>
  <c r="S184" i="1" s="1"/>
  <c r="P467" i="1"/>
  <c r="S467" i="1" s="1"/>
  <c r="R170" i="1"/>
  <c r="S170" i="1" s="1"/>
  <c r="P396" i="1"/>
  <c r="S396" i="1" s="1"/>
  <c r="S39" i="1"/>
  <c r="P364" i="1"/>
  <c r="S364" i="1" s="1"/>
  <c r="R475" i="1"/>
  <c r="P183" i="1"/>
  <c r="Q176" i="1"/>
  <c r="S176" i="1" s="1"/>
  <c r="R126" i="1"/>
  <c r="Q13" i="1"/>
  <c r="P118" i="1"/>
  <c r="S242" i="1"/>
  <c r="S585" i="1"/>
  <c r="Q279" i="1"/>
  <c r="S279" i="1" s="1"/>
  <c r="S265" i="1"/>
  <c r="P181" i="1"/>
  <c r="S181" i="1" s="1"/>
  <c r="S197" i="1"/>
  <c r="R522" i="1"/>
  <c r="S522" i="1" s="1"/>
  <c r="Q335" i="1"/>
  <c r="S335" i="1" s="1"/>
  <c r="P296" i="1"/>
  <c r="S296" i="1" s="1"/>
  <c r="P259" i="1"/>
  <c r="S313" i="1"/>
  <c r="S207" i="1"/>
  <c r="R58" i="1"/>
  <c r="R464" i="1"/>
  <c r="P302" i="1"/>
  <c r="S302" i="1" s="1"/>
  <c r="Q481" i="1"/>
  <c r="S481" i="1" s="1"/>
  <c r="P363" i="1"/>
  <c r="R233" i="1"/>
  <c r="P42" i="1"/>
  <c r="S42" i="1" s="1"/>
  <c r="Q281" i="1"/>
  <c r="S281" i="1" s="1"/>
  <c r="P383" i="1"/>
  <c r="S383" i="1" s="1"/>
  <c r="S328" i="1"/>
  <c r="P398" i="1"/>
  <c r="R398" i="1"/>
  <c r="S593" i="1"/>
  <c r="Q448" i="1"/>
  <c r="P448" i="1"/>
  <c r="P146" i="1"/>
  <c r="S57" i="1"/>
  <c r="S219" i="1"/>
  <c r="S119" i="1"/>
  <c r="P334" i="1"/>
  <c r="S334" i="1" s="1"/>
  <c r="S129" i="1"/>
  <c r="R436" i="1"/>
  <c r="S56" i="1"/>
  <c r="S574" i="1"/>
  <c r="Q184" i="1"/>
  <c r="R157" i="1"/>
  <c r="P182" i="1"/>
  <c r="S443" i="1"/>
  <c r="S316" i="1"/>
  <c r="S520" i="1"/>
  <c r="S299" i="1"/>
  <c r="S110" i="1"/>
  <c r="S225" i="1"/>
  <c r="Q475" i="1"/>
  <c r="S475" i="1" s="1"/>
  <c r="R408" i="1"/>
  <c r="S408" i="1" s="1"/>
  <c r="R300" i="1"/>
  <c r="R455" i="1"/>
  <c r="R325" i="1"/>
  <c r="S359" i="1"/>
  <c r="Q202" i="1"/>
  <c r="S155" i="1"/>
  <c r="S192" i="1"/>
  <c r="P280" i="1"/>
  <c r="S347" i="1"/>
  <c r="P402" i="1"/>
  <c r="S85" i="1"/>
  <c r="R182" i="1"/>
  <c r="P53" i="1"/>
  <c r="S53" i="1" s="1"/>
  <c r="S132" i="1"/>
  <c r="S216" i="1"/>
  <c r="P140" i="1"/>
  <c r="S140" i="1" s="1"/>
  <c r="R125" i="1"/>
  <c r="Q326" i="1"/>
  <c r="P164" i="1"/>
  <c r="P38" i="1"/>
  <c r="S38" i="1" s="1"/>
  <c r="P14" i="1"/>
  <c r="S14" i="1" s="1"/>
  <c r="P48" i="1"/>
  <c r="S48" i="1" s="1"/>
  <c r="R274" i="1"/>
  <c r="S274" i="1" s="1"/>
  <c r="S152" i="1"/>
  <c r="S203" i="1"/>
  <c r="P464" i="1"/>
  <c r="S464" i="1" s="1"/>
  <c r="P151" i="1"/>
  <c r="S151" i="1" s="1"/>
  <c r="S505" i="1"/>
  <c r="S563" i="1"/>
  <c r="S390" i="1"/>
  <c r="P13" i="1"/>
  <c r="Q458" i="1"/>
  <c r="S247" i="1"/>
  <c r="R164" i="1"/>
  <c r="P122" i="1"/>
  <c r="S122" i="1" s="1"/>
  <c r="R509" i="1"/>
  <c r="S509" i="1" s="1"/>
  <c r="R366" i="1"/>
  <c r="Q280" i="1"/>
  <c r="S488" i="1"/>
  <c r="S535" i="1"/>
  <c r="R200" i="1"/>
  <c r="S263" i="1"/>
  <c r="Q146" i="1"/>
  <c r="Q276" i="1"/>
  <c r="S276" i="1" s="1"/>
  <c r="R259" i="1"/>
  <c r="P365" i="1"/>
  <c r="Q62" i="1"/>
  <c r="S62" i="1" s="1"/>
  <c r="S227" i="1"/>
  <c r="P340" i="1"/>
  <c r="S340" i="1" s="1"/>
  <c r="S491" i="1"/>
  <c r="S34" i="1"/>
  <c r="R289" i="1"/>
  <c r="S508" i="1"/>
  <c r="Q396" i="1"/>
  <c r="Q194" i="1"/>
  <c r="S194" i="1" s="1"/>
  <c r="S185" i="1"/>
  <c r="S473" i="1"/>
  <c r="S22" i="1"/>
  <c r="S124" i="1"/>
  <c r="S546" i="1"/>
  <c r="Q295" i="1"/>
  <c r="P539" i="1"/>
  <c r="S166" i="1"/>
  <c r="S156" i="1"/>
  <c r="P310" i="1"/>
  <c r="S310" i="1" s="1"/>
  <c r="Q157" i="1"/>
  <c r="S116" i="1"/>
  <c r="S594" i="1"/>
  <c r="S605" i="1"/>
  <c r="S95" i="1"/>
  <c r="S221" i="1"/>
  <c r="R89" i="1"/>
  <c r="S89" i="1" s="1"/>
  <c r="S41" i="1"/>
  <c r="S285" i="1"/>
  <c r="P92" i="1"/>
  <c r="S92" i="1" s="1"/>
  <c r="S201" i="1"/>
  <c r="Q116" i="1"/>
  <c r="S198" i="1"/>
  <c r="S306" i="1"/>
  <c r="S54" i="1"/>
  <c r="P82" i="1"/>
  <c r="S82" i="1" s="1"/>
  <c r="S496" i="1"/>
  <c r="Q285" i="1"/>
  <c r="P80" i="1"/>
  <c r="S80" i="1" s="1"/>
  <c r="S73" i="1"/>
  <c r="S392" i="1"/>
  <c r="S474" i="1"/>
  <c r="R514" i="1"/>
  <c r="Q268" i="1"/>
  <c r="S268" i="1" s="1"/>
  <c r="P512" i="1"/>
  <c r="S512" i="1" s="1"/>
  <c r="R454" i="1"/>
  <c r="S333" i="1"/>
  <c r="S15" i="1"/>
  <c r="R317" i="1"/>
  <c r="S562" i="1"/>
  <c r="S143" i="1"/>
  <c r="R25" i="1"/>
  <c r="S25" i="1" s="1"/>
  <c r="R438" i="1"/>
  <c r="Q438" i="1"/>
  <c r="S438" i="1" s="1"/>
  <c r="Q600" i="1"/>
  <c r="S600" i="1" s="1"/>
  <c r="S264" i="1"/>
  <c r="P454" i="1"/>
  <c r="Q289" i="1"/>
  <c r="S289" i="1" s="1"/>
  <c r="S142" i="1"/>
  <c r="S381" i="1"/>
  <c r="R539" i="1"/>
  <c r="R246" i="1"/>
  <c r="S246" i="1" s="1"/>
  <c r="S305" i="1"/>
  <c r="S472" i="1"/>
  <c r="P234" i="1"/>
  <c r="S234" i="1" s="1"/>
  <c r="S380" i="1"/>
  <c r="Q174" i="1"/>
  <c r="S174" i="1" s="1"/>
  <c r="R448" i="1"/>
  <c r="P495" i="1"/>
  <c r="S495" i="1" s="1"/>
  <c r="Q514" i="1"/>
  <c r="Q423" i="1"/>
  <c r="R50" i="1"/>
  <c r="S50" i="1" s="1"/>
  <c r="S370" i="1"/>
  <c r="S145" i="1"/>
  <c r="Q52" i="1"/>
  <c r="S20" i="1"/>
  <c r="S344" i="1"/>
  <c r="S150" i="1"/>
  <c r="S121" i="1"/>
  <c r="Q374" i="1"/>
  <c r="Q169" i="1"/>
  <c r="P544" i="1"/>
  <c r="S544" i="1" s="1"/>
  <c r="S405" i="1"/>
  <c r="S540" i="1"/>
  <c r="R154" i="1"/>
  <c r="S204" i="1"/>
  <c r="L10" i="1"/>
  <c r="N10" i="1"/>
  <c r="S287" i="1" l="1"/>
  <c r="S373" i="1"/>
  <c r="S454" i="1"/>
  <c r="S222" i="1"/>
  <c r="S402" i="1"/>
  <c r="S366" i="1"/>
  <c r="S363" i="1"/>
  <c r="S421" i="1"/>
  <c r="S30" i="1"/>
  <c r="S398" i="1"/>
  <c r="S456" i="1"/>
  <c r="S280" i="1"/>
  <c r="S154" i="1"/>
  <c r="S384" i="1"/>
  <c r="S32" i="1"/>
  <c r="S146" i="1"/>
  <c r="S118" i="1"/>
  <c r="S182" i="1"/>
  <c r="S448" i="1"/>
  <c r="S164" i="1"/>
  <c r="S480" i="1"/>
  <c r="S539" i="1"/>
  <c r="S365" i="1"/>
  <c r="S183" i="1"/>
  <c r="S13" i="1"/>
  <c r="S259" i="1"/>
  <c r="S52" i="1"/>
  <c r="O10" i="1"/>
  <c r="P10" i="1" s="1"/>
  <c r="Q10" i="1" l="1"/>
  <c r="R10" i="1"/>
  <c r="S10" i="1" l="1"/>
</calcChain>
</file>

<file path=xl/sharedStrings.xml><?xml version="1.0" encoding="utf-8"?>
<sst xmlns="http://schemas.openxmlformats.org/spreadsheetml/2006/main" count="1846" uniqueCount="38">
  <si>
    <t>상품</t>
    <phoneticPr fontId="1" type="noConversion"/>
  </si>
  <si>
    <t>서비스</t>
    <phoneticPr fontId="1" type="noConversion"/>
  </si>
  <si>
    <t>용도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</si>
  <si>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</si>
  <si>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</si>
  <si>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</si>
  <si>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</si>
  <si>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</si>
  <si>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</si>
  <si>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</si>
  <si>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</si>
  <si>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공급량합계</t>
    <phoneticPr fontId="1" type="noConversion"/>
  </si>
  <si>
    <t>보정공급량합계</t>
    <phoneticPr fontId="1" type="noConversion"/>
  </si>
  <si>
    <t>일반용(1)</t>
  </si>
  <si>
    <t>업무용</t>
  </si>
  <si>
    <t>영업용</t>
  </si>
  <si>
    <t>총합계</t>
  </si>
  <si>
    <t>합계 : 보정공급량합계</t>
  </si>
  <si>
    <t>공급월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</si>
  <si>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</si>
  <si>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</si>
  <si>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</si>
  <si>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상품</t>
  </si>
  <si>
    <t>서비스</t>
  </si>
  <si>
    <t>일반용(1)(동절기)</t>
  </si>
  <si>
    <t>용도</t>
  </si>
  <si>
    <t>2026년 1월</t>
    <phoneticPr fontId="1" type="noConversion"/>
  </si>
  <si>
    <t>1월 공급량</t>
    <phoneticPr fontId="1" type="noConversion"/>
  </si>
  <si>
    <t>1월보정공급량</t>
    <phoneticPr fontId="1" type="noConversion"/>
  </si>
  <si>
    <t>합계 : 1월보정공급량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</si>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</sst>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pivotButton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18.641898495371" createdVersion="8" refreshedVersion="8" minRefreshableVersion="3" recordCount="600" xr:uid="{08CF56F8-F70F-439C-9F1B-EEC1CAFBF018}">
  <cacheSource type="worksheet">
    <worksheetSource ref="A9:S609" sheet="2월계산내역"/>
  </cacheSource>
  <cacheFields count="19">
    <cacheField name="상품" numFmtId="0">
      <sharedItems count="1">
        <s v="일반용(1)"/>
      </sharedItems>
    </cacheField>
    <cacheField name="서비스" numFmtId="0">
      <sharedItems count="1">
        <s v="일반용(1)(동절기)"/>
      </sharedItems>
    </cacheField>
    <cacheField name="용도" numFmtId="0">
      <sharedItems count="2">
        <s v="영업용"/>
        <s v="업무용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1" maxValue="28"/>
    </cacheField>
    <cacheField name="이후일수" numFmtId="0">
      <sharedItems containsSemiMixedTypes="0" containsString="0" containsNumber="1" containsInteger="1" minValue="0" maxValue="27"/>
    </cacheField>
    <cacheField name="사용기간시작일" numFmtId="0">
      <sharedItems containsSemiMixedTypes="0" containsString="0" containsNumber="1" containsInteger="1" minValue="20251226" maxValue="20260227"/>
    </cacheField>
    <cacheField name="사용기간종료일" numFmtId="0">
      <sharedItems containsSemiMixedTypes="0" containsString="0" containsNumber="1" containsInteger="1" minValue="20260201" maxValue="20260327"/>
    </cacheField>
    <cacheField name="사용열량" numFmtId="0">
      <sharedItems containsSemiMixedTypes="0" containsString="0" containsNumber="1" minValue="42.012300000000003" maxValue="21821826.804900002"/>
    </cacheField>
    <cacheField name="총일수" numFmtId="0">
      <sharedItems containsSemiMixedTypes="0" containsString="0" containsNumber="1" containsInteger="1" minValue="1" maxValue="40"/>
    </cacheField>
    <cacheField name="일평균" numFmtId="0">
      <sharedItems containsSemiMixedTypes="0" containsString="0" containsNumber="1" minValue="1.1354675675675676" maxValue="728949.49426428578"/>
    </cacheField>
    <cacheField name="1월 공급량" numFmtId="0">
      <sharedItems containsSemiMixedTypes="0" containsString="0" containsNumber="1" minValue="0" maxValue="25612725.849180594"/>
    </cacheField>
    <cacheField name="2월 공급량" numFmtId="0">
      <sharedItems containsSemiMixedTypes="0" containsString="0" containsNumber="1" minValue="4.0028666666666668" maxValue="19681636.345135715"/>
    </cacheField>
    <cacheField name="3월 공급량" numFmtId="0">
      <sharedItems containsSemiMixedTypes="0" containsString="0" containsNumber="1" minValue="0" maxValue="8050023.6968898643"/>
    </cacheField>
    <cacheField name="공급량합계" numFmtId="0">
      <sharedItems containsSemiMixedTypes="0" containsString="0" containsNumber="1" minValue="32.241903336733813" maxValue="26316655.746112853"/>
    </cacheField>
    <cacheField name="1월보정공급량" numFmtId="0">
      <sharedItems containsSemiMixedTypes="0" containsString="0" containsNumber="1" minValue="0" maxValue="21238126.640189074"/>
    </cacheField>
    <cacheField name="2월보정공급량" numFmtId="0">
      <sharedItems containsSemiMixedTypes="0" containsString="0" containsNumber="1" minValue="3.3564943725677914" maxValue="19868064.03307873"/>
    </cacheField>
    <cacheField name="3월보정공급량" numFmtId="0">
      <sharedItems containsSemiMixedTypes="0" containsString="0" containsNumber="1" minValue="0" maxValue="9677235.9143598713"/>
    </cacheField>
    <cacheField name="보정공급량합계" numFmtId="0">
      <sharedItems containsSemiMixedTypes="0" containsString="0" containsNumber="1" minValue="42.012300000000003" maxValue="21821826.8049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n v="26"/>
    <n v="4"/>
    <n v="0"/>
    <n v="20260106"/>
    <n v="20260204"/>
    <n v="4365275.8152999999"/>
    <n v="30"/>
    <n v="145509.19384333334"/>
    <n v="4588480.7930376371"/>
    <n v="582036.77537333337"/>
    <n v="0"/>
    <n v="5170517.5684109703"/>
    <n v="3873883.7978596166"/>
    <n v="491392.01744038309"/>
    <n v="0"/>
    <n v="4365275.8152999999"/>
  </r>
  <r>
    <x v="0"/>
    <x v="0"/>
    <x v="0"/>
    <n v="16"/>
    <n v="19"/>
    <n v="0"/>
    <n v="20260116"/>
    <n v="20260219"/>
    <n v="7501617.2790000001"/>
    <n v="35"/>
    <n v="214331.92225714287"/>
    <n v="4159220.8083401429"/>
    <n v="4072306.5228857147"/>
    <n v="0"/>
    <n v="8231527.3312258571"/>
    <n v="3790412.3290293762"/>
    <n v="3711204.9499706249"/>
    <n v="0"/>
    <n v="7501617.279000001"/>
  </r>
  <r>
    <x v="0"/>
    <x v="0"/>
    <x v="0"/>
    <n v="29"/>
    <n v="2"/>
    <n v="0"/>
    <n v="20260103"/>
    <n v="20260202"/>
    <n v="12584279.218"/>
    <n v="31"/>
    <n v="405944.49090322584"/>
    <n v="14278079.158319578"/>
    <n v="811888.98180645169"/>
    <n v="0"/>
    <n v="15089968.140126029"/>
    <n v="11907204.386151828"/>
    <n v="677074.83184817235"/>
    <n v="0"/>
    <n v="12584279.218"/>
  </r>
  <r>
    <x v="0"/>
    <x v="0"/>
    <x v="0"/>
    <n v="26"/>
    <n v="5"/>
    <n v="0"/>
    <n v="20260106"/>
    <n v="20260205"/>
    <n v="2317318.3429999999"/>
    <n v="31"/>
    <n v="74752.204612903224"/>
    <n v="2357232.8733593677"/>
    <n v="373761.02306451614"/>
    <n v="0"/>
    <n v="2730993.8964238837"/>
    <n v="2000172.5318065002"/>
    <n v="317145.81119349977"/>
    <n v="0"/>
    <n v="2317318.3429999999"/>
  </r>
  <r>
    <x v="0"/>
    <x v="0"/>
    <x v="1"/>
    <n v="25"/>
    <n v="3"/>
    <n v="0"/>
    <n v="20260107"/>
    <n v="20260203"/>
    <n v="723209.55229999998"/>
    <n v="28"/>
    <n v="25828.912582142857"/>
    <n v="783161.38656221365"/>
    <n v="77486.737746428567"/>
    <n v="0"/>
    <n v="860648.12430864223"/>
    <n v="658096.82233292039"/>
    <n v="65112.729967079518"/>
    <n v="0"/>
    <n v="723209.55229999986"/>
  </r>
  <r>
    <x v="0"/>
    <x v="0"/>
    <x v="0"/>
    <n v="30"/>
    <n v="3"/>
    <n v="0"/>
    <n v="20260102"/>
    <n v="20260203"/>
    <n v="4315791.6845000004"/>
    <n v="33"/>
    <n v="130781.56619696971"/>
    <n v="4758531.2340438925"/>
    <n v="392344.69859090913"/>
    <n v="0"/>
    <n v="5150875.9326348016"/>
    <n v="3987055.7549645845"/>
    <n v="328735.92953541607"/>
    <n v="0"/>
    <n v="4315791.6845000004"/>
  </r>
  <r>
    <x v="0"/>
    <x v="0"/>
    <x v="1"/>
    <n v="0"/>
    <n v="25"/>
    <n v="5"/>
    <n v="20260204"/>
    <n v="20260305"/>
    <n v="530332.66319999995"/>
    <n v="30"/>
    <n v="17677.755439999997"/>
    <n v="0"/>
    <n v="441943.88599999994"/>
    <n v="65166.22115780093"/>
    <n v="507110.10715780087"/>
    <n v="0"/>
    <n v="462182.22579106357"/>
    <n v="68150.437408936428"/>
    <n v="530332.66319999995"/>
  </r>
  <r>
    <x v="0"/>
    <x v="0"/>
    <x v="1"/>
    <n v="0"/>
    <n v="24"/>
    <n v="1"/>
    <n v="20260205"/>
    <n v="20260301"/>
    <n v="232582.36960000001"/>
    <n v="25"/>
    <n v="9303.2947839999997"/>
    <n v="0"/>
    <n v="223279.07481600001"/>
    <n v="6859.021977626815"/>
    <n v="230138.09679362681"/>
    <n v="0"/>
    <n v="225650.49866284928"/>
    <n v="6931.8709371507284"/>
    <n v="232582.36960000001"/>
  </r>
  <r>
    <x v="0"/>
    <x v="0"/>
    <x v="1"/>
    <n v="24"/>
    <n v="6"/>
    <n v="0"/>
    <n v="20260108"/>
    <n v="20260206"/>
    <n v="270500.6347"/>
    <n v="30"/>
    <n v="9016.6878233333337"/>
    <n v="262460.17314295826"/>
    <n v="54100.126940000002"/>
    <n v="0"/>
    <n v="316560.30008295825"/>
    <n v="224272.10044985704"/>
    <n v="46228.534250142962"/>
    <n v="0"/>
    <n v="270500.6347"/>
  </r>
  <r>
    <x v="0"/>
    <x v="0"/>
    <x v="1"/>
    <n v="15"/>
    <n v="20"/>
    <n v="0"/>
    <n v="20260117"/>
    <n v="20260220"/>
    <n v="1390145.9997"/>
    <n v="35"/>
    <n v="39718.457134285716"/>
    <n v="722584.70493034727"/>
    <n v="794369.14268571429"/>
    <n v="0"/>
    <n v="1516953.8476160616"/>
    <n v="662181.14584166568"/>
    <n v="727964.85385833436"/>
    <n v="0"/>
    <n v="1390145.9997"/>
  </r>
  <r>
    <x v="0"/>
    <x v="0"/>
    <x v="1"/>
    <n v="0"/>
    <n v="23"/>
    <n v="5"/>
    <n v="20260206"/>
    <n v="20260305"/>
    <n v="526051.86710000003"/>
    <n v="28"/>
    <n v="18787.566682142857"/>
    <n v="0"/>
    <n v="432114.03368928569"/>
    <n v="69257.362993899063"/>
    <n v="501371.39668318478"/>
    <n v="0"/>
    <n v="453385.2463984905"/>
    <n v="72666.620701509513"/>
    <n v="526051.86710000003"/>
  </r>
  <r>
    <x v="0"/>
    <x v="0"/>
    <x v="1"/>
    <n v="0"/>
    <n v="28"/>
    <n v="0"/>
    <n v="20260201"/>
    <n v="20260228"/>
    <n v="1992848.0697000001"/>
    <n v="28"/>
    <n v="71173.145346428573"/>
    <n v="0"/>
    <n v="1992848.0697000001"/>
    <n v="0"/>
    <n v="1992848.0697000001"/>
    <n v="0"/>
    <n v="1992848.0697000001"/>
    <n v="0"/>
    <n v="1992848.0697000001"/>
  </r>
  <r>
    <x v="0"/>
    <x v="0"/>
    <x v="1"/>
    <n v="16"/>
    <n v="17"/>
    <n v="0"/>
    <n v="20260116"/>
    <n v="20260217"/>
    <n v="329032.5759"/>
    <n v="33"/>
    <n v="9970.6841181818181"/>
    <n v="193486.23583926429"/>
    <n v="169501.63000909091"/>
    <n v="0"/>
    <n v="362987.86584835523"/>
    <n v="175386.78443313178"/>
    <n v="153645.79146686822"/>
    <n v="0"/>
    <n v="329032.5759"/>
  </r>
  <r>
    <x v="0"/>
    <x v="0"/>
    <x v="1"/>
    <n v="0"/>
    <n v="26"/>
    <n v="4"/>
    <n v="20260203"/>
    <n v="20260304"/>
    <n v="713443.67339999997"/>
    <n v="30"/>
    <n v="23781.45578"/>
    <n v="0"/>
    <n v="618317.85028000001"/>
    <n v="70133.229846919683"/>
    <n v="688451.08012691967"/>
    <n v="0"/>
    <n v="640764.42199964123"/>
    <n v="72679.251400358713"/>
    <n v="713443.67339999997"/>
  </r>
  <r>
    <x v="0"/>
    <x v="0"/>
    <x v="0"/>
    <n v="25"/>
    <n v="1"/>
    <n v="0"/>
    <n v="20260107"/>
    <n v="20260201"/>
    <n v="779363.17740000004"/>
    <n v="26"/>
    <n v="29975.506823076925"/>
    <n v="908890.74063056801"/>
    <n v="29975.506823076925"/>
    <n v="0"/>
    <n v="938866.24745364487"/>
    <n v="754480.18016246008"/>
    <n v="24882.997237540021"/>
    <n v="0"/>
    <n v="779363.17740000004"/>
  </r>
  <r>
    <x v="0"/>
    <x v="0"/>
    <x v="0"/>
    <n v="0"/>
    <n v="23"/>
    <n v="3"/>
    <n v="20260206"/>
    <n v="20260303"/>
    <n v="1963669.0233"/>
    <n v="26"/>
    <n v="75525.731665384621"/>
    <n v="0"/>
    <n v="1737091.8283038463"/>
    <n v="167048.12608759059"/>
    <n v="1904139.9543914369"/>
    <n v="0"/>
    <n v="1791398.476777409"/>
    <n v="172270.54652259094"/>
    <n v="1963669.0233"/>
  </r>
  <r>
    <x v="0"/>
    <x v="0"/>
    <x v="1"/>
    <n v="23"/>
    <n v="4"/>
    <n v="0"/>
    <n v="20260109"/>
    <n v="20260204"/>
    <n v="48349.414100000002"/>
    <n v="27"/>
    <n v="1790.7190407407409"/>
    <n v="49952.867440137656"/>
    <n v="7162.8761629629635"/>
    <n v="0"/>
    <n v="57115.743603100622"/>
    <n v="42285.921901479189"/>
    <n v="6063.4921985208084"/>
    <n v="0"/>
    <n v="48349.414099999995"/>
  </r>
  <r>
    <x v="0"/>
    <x v="0"/>
    <x v="0"/>
    <n v="0"/>
    <n v="9"/>
    <n v="0"/>
    <n v="20260220"/>
    <n v="20260228"/>
    <n v="3337.9449"/>
    <n v="9"/>
    <n v="370.88276666666667"/>
    <n v="0"/>
    <n v="3337.9449"/>
    <n v="0"/>
    <n v="3337.9449"/>
    <n v="0"/>
    <n v="3337.9449"/>
    <n v="0"/>
    <n v="3337.9449"/>
  </r>
  <r>
    <x v="0"/>
    <x v="0"/>
    <x v="1"/>
    <n v="26"/>
    <n v="1"/>
    <n v="0"/>
    <n v="20260106"/>
    <n v="20260201"/>
    <n v="155752.4234"/>
    <n v="27"/>
    <n v="5768.608274074074"/>
    <n v="181907.05046889102"/>
    <n v="5768.608274074074"/>
    <n v="0"/>
    <n v="187675.65874296508"/>
    <n v="150965.04327649207"/>
    <n v="4787.3801235079309"/>
    <n v="0"/>
    <n v="155752.4234"/>
  </r>
  <r>
    <x v="0"/>
    <x v="0"/>
    <x v="1"/>
    <n v="26"/>
    <n v="2"/>
    <n v="0"/>
    <n v="20260106"/>
    <n v="20260202"/>
    <n v="526601.92059999995"/>
    <n v="28"/>
    <n v="18807.211449999999"/>
    <n v="593065.81412193214"/>
    <n v="37614.422899999998"/>
    <n v="0"/>
    <n v="630680.23702193215"/>
    <n v="495194.83634612663"/>
    <n v="31407.08425387332"/>
    <n v="0"/>
    <n v="526601.92059999995"/>
  </r>
  <r>
    <x v="0"/>
    <x v="0"/>
    <x v="0"/>
    <n v="24"/>
    <n v="4"/>
    <n v="0"/>
    <n v="20260108"/>
    <n v="20260204"/>
    <n v="904930.84539999999"/>
    <n v="28"/>
    <n v="32318.958764285715"/>
    <n v="940748.94010678155"/>
    <n v="129275.83505714286"/>
    <n v="0"/>
    <n v="1070024.7751639243"/>
    <n v="795600.95564101823"/>
    <n v="109329.88975898191"/>
    <n v="0"/>
    <n v="904930.84540000011"/>
  </r>
  <r>
    <x v="0"/>
    <x v="0"/>
    <x v="1"/>
    <n v="0"/>
    <n v="27"/>
    <n v="5"/>
    <n v="20260202"/>
    <n v="20260305"/>
    <n v="67612.448199999999"/>
    <n v="32"/>
    <n v="2112.88900625"/>
    <n v="0"/>
    <n v="57048.003168750001"/>
    <n v="7788.8277576021128"/>
    <n v="64836.830926352115"/>
    <n v="0"/>
    <n v="59490.186427246445"/>
    <n v="8122.2617727535508"/>
    <n v="67612.448199999999"/>
  </r>
  <r>
    <x v="0"/>
    <x v="0"/>
    <x v="1"/>
    <n v="25"/>
    <n v="1"/>
    <n v="0"/>
    <n v="20260107"/>
    <n v="20260201"/>
    <n v="96484.479699999996"/>
    <n v="26"/>
    <n v="3710.9415269230767"/>
    <n v="112519.87873797129"/>
    <n v="3710.9415269230767"/>
    <n v="0"/>
    <n v="116230.82026489437"/>
    <n v="93403.986405654388"/>
    <n v="3080.4932943456065"/>
    <n v="0"/>
    <n v="96484.479699999996"/>
  </r>
  <r>
    <x v="0"/>
    <x v="0"/>
    <x v="0"/>
    <n v="0"/>
    <n v="9"/>
    <n v="17"/>
    <n v="20260220"/>
    <n v="20260317"/>
    <n v="640634.54630000005"/>
    <n v="26"/>
    <n v="24639.790242307696"/>
    <n v="0"/>
    <n v="221758.11218076927"/>
    <n v="308824.21058773098"/>
    <n v="530582.32276850031"/>
    <n v="0"/>
    <n v="267754.69420841744"/>
    <n v="372879.85209158261"/>
    <n v="640634.54630000005"/>
  </r>
  <r>
    <x v="0"/>
    <x v="0"/>
    <x v="0"/>
    <n v="0"/>
    <n v="21"/>
    <n v="3"/>
    <n v="20260208"/>
    <n v="20260303"/>
    <n v="28000.2824"/>
    <n v="24"/>
    <n v="1166.6784333333333"/>
    <n v="0"/>
    <n v="24500.247099999997"/>
    <n v="2580.464190649649"/>
    <n v="27080.711290649648"/>
    <n v="0"/>
    <n v="25332.194206680455"/>
    <n v="2668.0881933195446"/>
    <n v="28000.2824"/>
  </r>
  <r>
    <x v="0"/>
    <x v="0"/>
    <x v="0"/>
    <n v="0"/>
    <n v="27"/>
    <n v="7"/>
    <n v="20260202"/>
    <n v="20260307"/>
    <n v="305751.1544"/>
    <n v="34"/>
    <n v="8992.6810117647055"/>
    <n v="0"/>
    <n v="242802.38731764705"/>
    <n v="46410.114578432156"/>
    <n v="289212.50189607922"/>
    <n v="0"/>
    <n v="256687.07170937455"/>
    <n v="49064.082690625452"/>
    <n v="305751.1544"/>
  </r>
  <r>
    <x v="0"/>
    <x v="0"/>
    <x v="1"/>
    <n v="30"/>
    <n v="8"/>
    <n v="0"/>
    <n v="20260102"/>
    <n v="20260208"/>
    <n v="21472.8478"/>
    <n v="38"/>
    <n v="565.07494210526318"/>
    <n v="20560.441656843712"/>
    <n v="4520.5995368421054"/>
    <n v="0"/>
    <n v="25081.041193685818"/>
    <n v="17602.587986232837"/>
    <n v="3870.259813767163"/>
    <n v="0"/>
    <n v="21472.8478"/>
  </r>
  <r>
    <x v="0"/>
    <x v="0"/>
    <x v="0"/>
    <n v="16"/>
    <n v="16"/>
    <n v="0"/>
    <n v="20260116"/>
    <n v="20260216"/>
    <n v="441686.31459999998"/>
    <n v="32"/>
    <n v="13802.697331249999"/>
    <n v="267848.41635713342"/>
    <n v="220843.15729999999"/>
    <n v="0"/>
    <n v="488691.57365713338"/>
    <n v="242085.16428243456"/>
    <n v="199601.15031756542"/>
    <n v="0"/>
    <n v="441686.31459999998"/>
  </r>
  <r>
    <x v="0"/>
    <x v="0"/>
    <x v="0"/>
    <n v="0"/>
    <n v="25"/>
    <n v="7"/>
    <n v="20260204"/>
    <n v="20260307"/>
    <n v="399127.0626"/>
    <n v="32"/>
    <n v="12472.72070625"/>
    <n v="0"/>
    <n v="311818.01765624998"/>
    <n v="64370.169065771341"/>
    <n v="376188.18672202132"/>
    <n v="0"/>
    <n v="330831.78538208106"/>
    <n v="68295.277217918949"/>
    <n v="399127.0626"/>
  </r>
  <r>
    <x v="0"/>
    <x v="0"/>
    <x v="0"/>
    <n v="0"/>
    <n v="26"/>
    <n v="9"/>
    <n v="20260203"/>
    <n v="20260309"/>
    <n v="44819.383000000002"/>
    <n v="35"/>
    <n v="1280.5538000000001"/>
    <n v="0"/>
    <n v="33294.398800000003"/>
    <n v="8497.0025947746853"/>
    <n v="41791.401394774686"/>
    <n v="0"/>
    <n v="35706.733006529888"/>
    <n v="9112.6499934701133"/>
    <n v="44819.383000000002"/>
  </r>
  <r>
    <x v="0"/>
    <x v="0"/>
    <x v="0"/>
    <n v="0"/>
    <n v="22"/>
    <n v="9"/>
    <n v="20260207"/>
    <n v="20260309"/>
    <n v="234280.5508"/>
    <n v="31"/>
    <n v="7557.4371225806453"/>
    <n v="0"/>
    <n v="166263.6166967742"/>
    <n v="50146.712180631752"/>
    <n v="216410.32887740596"/>
    <n v="0"/>
    <n v="179992.94164829995"/>
    <n v="54287.609151700024"/>
    <n v="234280.55079999997"/>
  </r>
  <r>
    <x v="0"/>
    <x v="0"/>
    <x v="0"/>
    <n v="29"/>
    <n v="6"/>
    <n v="0"/>
    <n v="20260103"/>
    <n v="20260206"/>
    <n v="149294.4031"/>
    <n v="35"/>
    <n v="4265.5543742857144"/>
    <n v="150030.17499918927"/>
    <n v="25593.326245714285"/>
    <n v="0"/>
    <n v="175623.50124490354"/>
    <n v="127537.97336187941"/>
    <n v="21756.429738120591"/>
    <n v="0"/>
    <n v="149294.4031"/>
  </r>
  <r>
    <x v="0"/>
    <x v="0"/>
    <x v="0"/>
    <n v="0"/>
    <n v="20"/>
    <n v="0"/>
    <n v="20260204"/>
    <n v="20260223"/>
    <n v="12814.107900000001"/>
    <n v="20"/>
    <n v="640.70539500000007"/>
    <n v="0"/>
    <n v="12814.107900000001"/>
    <n v="0"/>
    <n v="12814.107900000001"/>
    <n v="0"/>
    <n v="12814.107900000001"/>
    <n v="0"/>
    <n v="12814.107900000001"/>
  </r>
  <r>
    <x v="0"/>
    <x v="0"/>
    <x v="1"/>
    <n v="0"/>
    <n v="26"/>
    <n v="11"/>
    <n v="20260203"/>
    <n v="20260311"/>
    <n v="253.40209999999999"/>
    <n v="37"/>
    <n v="6.8487054054054051"/>
    <n v="0"/>
    <n v="178.06634054054052"/>
    <n v="55.542648258584904"/>
    <n v="233.60898879912543"/>
    <n v="0"/>
    <n v="193.1534606790654"/>
    <n v="60.248639320934593"/>
    <n v="253.40209999999999"/>
  </r>
  <r>
    <x v="0"/>
    <x v="0"/>
    <x v="1"/>
    <n v="15"/>
    <n v="18"/>
    <n v="0"/>
    <n v="20260117"/>
    <n v="20260218"/>
    <n v="1347.1142"/>
    <n v="33"/>
    <n v="40.821642424242427"/>
    <n v="742.65458867562393"/>
    <n v="734.78956363636371"/>
    <n v="0"/>
    <n v="1477.4441523119876"/>
    <n v="677.14271333677584"/>
    <n v="669.97148666322403"/>
    <n v="0"/>
    <n v="1347.1142"/>
  </r>
  <r>
    <x v="0"/>
    <x v="0"/>
    <x v="0"/>
    <n v="0"/>
    <n v="24"/>
    <n v="0"/>
    <n v="20260205"/>
    <n v="20260228"/>
    <n v="36149.388700000003"/>
    <n v="24"/>
    <n v="1506.2245291666668"/>
    <n v="0"/>
    <n v="36149.388700000003"/>
    <n v="0"/>
    <n v="36149.388700000003"/>
    <n v="0"/>
    <n v="36149.388700000003"/>
    <n v="0"/>
    <n v="36149.388700000003"/>
  </r>
  <r>
    <x v="0"/>
    <x v="0"/>
    <x v="0"/>
    <n v="0"/>
    <n v="26"/>
    <n v="0"/>
    <n v="20260202"/>
    <n v="20260227"/>
    <n v="5061.7579999999998"/>
    <n v="26"/>
    <n v="194.68299999999999"/>
    <n v="0"/>
    <n v="5061.7579999999998"/>
    <n v="0"/>
    <n v="5061.7579999999998"/>
    <n v="0"/>
    <n v="5061.7579999999998"/>
    <n v="0"/>
    <n v="5061.7579999999998"/>
  </r>
  <r>
    <x v="0"/>
    <x v="0"/>
    <x v="0"/>
    <n v="0"/>
    <n v="19"/>
    <n v="4"/>
    <n v="20260210"/>
    <n v="20260304"/>
    <n v="12631.419599999999"/>
    <n v="23"/>
    <n v="549.19215652173909"/>
    <n v="0"/>
    <n v="10434.650973913043"/>
    <n v="1619.6073150347997"/>
    <n v="12054.258288947844"/>
    <n v="0"/>
    <n v="10934.265026649671"/>
    <n v="1697.154573350329"/>
    <n v="12631.419600000001"/>
  </r>
  <r>
    <x v="0"/>
    <x v="0"/>
    <x v="0"/>
    <n v="22"/>
    <n v="2"/>
    <n v="0"/>
    <n v="20260110"/>
    <n v="20260202"/>
    <n v="2017.5407"/>
    <n v="24"/>
    <n v="84.064195833333329"/>
    <n v="2243.0496105684588"/>
    <n v="168.12839166666666"/>
    <n v="0"/>
    <n v="2411.1780022351254"/>
    <n v="1876.8601394198181"/>
    <n v="140.68056058018203"/>
    <n v="0"/>
    <n v="2017.5407"/>
  </r>
  <r>
    <x v="0"/>
    <x v="0"/>
    <x v="0"/>
    <n v="0"/>
    <n v="20"/>
    <n v="6"/>
    <n v="20260209"/>
    <n v="20260306"/>
    <n v="38121.530700000003"/>
    <n v="26"/>
    <n v="1466.2127192307694"/>
    <n v="0"/>
    <n v="29324.254384615386"/>
    <n v="6485.95072943987"/>
    <n v="35810.205114055258"/>
    <n v="0"/>
    <n v="31216.952268697361"/>
    <n v="6904.5784313026397"/>
    <n v="38121.530700000003"/>
  </r>
  <r>
    <x v="0"/>
    <x v="0"/>
    <x v="0"/>
    <n v="27"/>
    <n v="8"/>
    <n v="0"/>
    <n v="20260105"/>
    <n v="20260208"/>
    <n v="2311.6024000000002"/>
    <n v="35"/>
    <n v="66.045782857142868"/>
    <n v="2162.7882030127375"/>
    <n v="528.36626285714294"/>
    <n v="0"/>
    <n v="2691.1544658698804"/>
    <n v="1857.7552735011468"/>
    <n v="453.8471264988537"/>
    <n v="0"/>
    <n v="2311.6024000000007"/>
  </r>
  <r>
    <x v="0"/>
    <x v="0"/>
    <x v="0"/>
    <n v="0"/>
    <n v="24"/>
    <n v="8"/>
    <n v="20260205"/>
    <n v="20260308"/>
    <n v="29821.869900000002"/>
    <n v="32"/>
    <n v="931.93343437500005"/>
    <n v="0"/>
    <n v="22366.402425"/>
    <n v="5496.6779460169046"/>
    <n v="27863.080371016906"/>
    <n v="0"/>
    <n v="23938.77253942153"/>
    <n v="5883.0973605784702"/>
    <n v="29821.869900000002"/>
  </r>
  <r>
    <x v="0"/>
    <x v="0"/>
    <x v="1"/>
    <n v="0"/>
    <n v="19"/>
    <n v="3"/>
    <n v="20260210"/>
    <n v="20260303"/>
    <n v="422.37639999999999"/>
    <n v="22"/>
    <n v="19.198927272727271"/>
    <n v="0"/>
    <n v="364.77961818181814"/>
    <n v="42.46426685424543"/>
    <n v="407.24388503606355"/>
    <n v="0"/>
    <n v="378.33423062292712"/>
    <n v="44.042169377072888"/>
    <n v="422.37639999999999"/>
  </r>
  <r>
    <x v="0"/>
    <x v="0"/>
    <x v="0"/>
    <n v="16"/>
    <n v="17"/>
    <n v="0"/>
    <n v="20260116"/>
    <n v="20260217"/>
    <n v="293705.52140000003"/>
    <n v="33"/>
    <n v="8900.1673151515151"/>
    <n v="172712.30857751216"/>
    <n v="151302.84435757576"/>
    <n v="0"/>
    <n v="324015.15293508791"/>
    <n v="156556.13073478168"/>
    <n v="137149.39066521835"/>
    <n v="0"/>
    <n v="293705.52140000003"/>
  </r>
  <r>
    <x v="0"/>
    <x v="0"/>
    <x v="0"/>
    <n v="0"/>
    <n v="20"/>
    <n v="1"/>
    <n v="20260209"/>
    <n v="20260301"/>
    <n v="6459.4867999999997"/>
    <n v="21"/>
    <n v="307.59460952380948"/>
    <n v="0"/>
    <n v="6151.8921904761901"/>
    <n v="226.77967708298596"/>
    <n v="6378.6718675591765"/>
    <n v="0"/>
    <n v="6229.8339253826452"/>
    <n v="229.65287461735389"/>
    <n v="6459.4867999999988"/>
  </r>
  <r>
    <x v="0"/>
    <x v="0"/>
    <x v="1"/>
    <n v="0"/>
    <n v="21"/>
    <n v="9"/>
    <n v="20260208"/>
    <n v="20260309"/>
    <n v="3592.7197000000001"/>
    <n v="30"/>
    <n v="119.75732333333333"/>
    <n v="0"/>
    <n v="2514.9037899999998"/>
    <n v="794.6392311721728"/>
    <n v="3309.5430211721728"/>
    <n v="0"/>
    <n v="2730.0882122201656"/>
    <n v="862.6314877798344"/>
    <n v="3592.7197000000001"/>
  </r>
  <r>
    <x v="0"/>
    <x v="0"/>
    <x v="1"/>
    <n v="0"/>
    <n v="13"/>
    <n v="0"/>
    <n v="20260216"/>
    <n v="20260228"/>
    <n v="28120.399099999999"/>
    <n v="13"/>
    <n v="2163.1076230769231"/>
    <n v="0"/>
    <n v="28120.399100000002"/>
    <n v="0"/>
    <n v="28120.399100000002"/>
    <n v="0"/>
    <n v="28120.399099999999"/>
    <n v="0"/>
    <n v="28120.399099999999"/>
  </r>
  <r>
    <x v="0"/>
    <x v="0"/>
    <x v="0"/>
    <n v="0"/>
    <n v="20"/>
    <n v="9"/>
    <n v="20260209"/>
    <n v="20260309"/>
    <n v="9891.7021999999997"/>
    <n v="29"/>
    <n v="341.09317931034479"/>
    <n v="0"/>
    <n v="6821.8635862068959"/>
    <n v="2263.2939199117964"/>
    <n v="9085.1575061186923"/>
    <n v="0"/>
    <n v="7427.4819119356125"/>
    <n v="2464.2202880643881"/>
    <n v="9891.7021999999997"/>
  </r>
  <r>
    <x v="0"/>
    <x v="0"/>
    <x v="0"/>
    <n v="0"/>
    <n v="24"/>
    <n v="12"/>
    <n v="20260205"/>
    <n v="20260312"/>
    <n v="1478.0409"/>
    <n v="36"/>
    <n v="41.056691666666666"/>
    <n v="0"/>
    <n v="985.36059999999998"/>
    <n v="363.23744265908584"/>
    <n v="1348.5980426590859"/>
    <n v="0"/>
    <n v="1079.938737844295"/>
    <n v="398.10216215570489"/>
    <n v="1478.0409"/>
  </r>
  <r>
    <x v="0"/>
    <x v="0"/>
    <x v="0"/>
    <n v="0"/>
    <n v="10"/>
    <n v="0"/>
    <n v="20260205"/>
    <n v="20260214"/>
    <n v="42.150700000000001"/>
    <n v="10"/>
    <n v="4.2150699999999999"/>
    <n v="0"/>
    <n v="42.150700000000001"/>
    <n v="0"/>
    <n v="42.150700000000001"/>
    <n v="0"/>
    <n v="42.150700000000001"/>
    <n v="0"/>
    <n v="42.150700000000001"/>
  </r>
  <r>
    <x v="0"/>
    <x v="0"/>
    <x v="0"/>
    <n v="0"/>
    <n v="9"/>
    <n v="0"/>
    <n v="20260204"/>
    <n v="20260212"/>
    <n v="716.61199999999997"/>
    <n v="9"/>
    <n v="79.623555555555555"/>
    <n v="0"/>
    <n v="716.61199999999997"/>
    <n v="0"/>
    <n v="716.61199999999997"/>
    <n v="0"/>
    <n v="716.61199999999997"/>
    <n v="0"/>
    <n v="716.61199999999997"/>
  </r>
  <r>
    <x v="0"/>
    <x v="0"/>
    <x v="0"/>
    <n v="0"/>
    <n v="19"/>
    <n v="1"/>
    <n v="20260210"/>
    <n v="20260301"/>
    <n v="11483.263499999999"/>
    <n v="20"/>
    <n v="574.16317499999991"/>
    <n v="0"/>
    <n v="10909.100324999998"/>
    <n v="423.31216278796035"/>
    <n v="11332.412487787959"/>
    <n v="0"/>
    <n v="11054.31643217244"/>
    <n v="428.94706782755765"/>
    <n v="11483.263499999997"/>
  </r>
  <r>
    <x v="0"/>
    <x v="0"/>
    <x v="1"/>
    <n v="0"/>
    <n v="19"/>
    <n v="1"/>
    <n v="20260210"/>
    <n v="20260301"/>
    <n v="39689.601000000002"/>
    <n v="20"/>
    <n v="1984.4800500000001"/>
    <n v="0"/>
    <n v="37705.120950000004"/>
    <n v="1463.0937311071193"/>
    <n v="39168.214681107122"/>
    <n v="0"/>
    <n v="38207.031347897559"/>
    <n v="1482.5696521024447"/>
    <n v="39689.601000000002"/>
  </r>
  <r>
    <x v="0"/>
    <x v="0"/>
    <x v="0"/>
    <n v="29"/>
    <n v="10"/>
    <n v="0"/>
    <n v="20260103"/>
    <n v="20260210"/>
    <n v="1975.4621999999999"/>
    <n v="39"/>
    <n v="50.652876923076924"/>
    <n v="1781.587883346157"/>
    <n v="506.52876923076923"/>
    <n v="0"/>
    <n v="2288.1166525769263"/>
    <n v="1538.1468928014015"/>
    <n v="437.31530719859859"/>
    <n v="0"/>
    <n v="1975.4621999999999"/>
  </r>
  <r>
    <x v="0"/>
    <x v="0"/>
    <x v="0"/>
    <n v="31"/>
    <n v="1"/>
    <n v="0"/>
    <n v="20251230"/>
    <n v="20260201"/>
    <n v="11672.561"/>
    <n v="32"/>
    <n v="364.76753124999999"/>
    <n v="13714.595508086517"/>
    <n v="364.76753124999999"/>
    <n v="0"/>
    <n v="14079.363039336517"/>
    <n v="11370.148792328446"/>
    <n v="302.41220767155363"/>
    <n v="0"/>
    <n v="11672.561"/>
  </r>
  <r>
    <x v="0"/>
    <x v="0"/>
    <x v="0"/>
    <n v="31"/>
    <n v="5"/>
    <n v="0"/>
    <n v="20251230"/>
    <n v="20260205"/>
    <n v="6091.5020000000004"/>
    <n v="36"/>
    <n v="169.20838888888889"/>
    <n v="6361.9275603661945"/>
    <n v="846.04194444444443"/>
    <n v="0"/>
    <n v="7207.9695048106387"/>
    <n v="5376.5064394294905"/>
    <n v="714.99556057050984"/>
    <n v="0"/>
    <n v="6091.5020000000004"/>
  </r>
  <r>
    <x v="0"/>
    <x v="0"/>
    <x v="1"/>
    <n v="31"/>
    <n v="6"/>
    <n v="0"/>
    <n v="20251231"/>
    <n v="20260206"/>
    <n v="84654.854600000006"/>
    <n v="37"/>
    <n v="2287.9690432432435"/>
    <n v="86023.473239450483"/>
    <n v="13727.814259459461"/>
    <n v="0"/>
    <n v="99751.287498909951"/>
    <n v="73004.617803577232"/>
    <n v="11650.236796422771"/>
    <n v="0"/>
    <n v="84654.854600000006"/>
  </r>
  <r>
    <x v="0"/>
    <x v="0"/>
    <x v="1"/>
    <n v="0"/>
    <n v="5"/>
    <n v="4"/>
    <n v="20260224"/>
    <n v="20260304"/>
    <n v="58696.224099999999"/>
    <n v="9"/>
    <n v="6521.8026777777777"/>
    <n v="0"/>
    <n v="32609.013388888889"/>
    <n v="19233.266897037924"/>
    <n v="51842.280285926812"/>
    <n v="0"/>
    <n v="36920.173013178726"/>
    <n v="21776.051086821273"/>
    <n v="58696.224099999999"/>
  </r>
  <r>
    <x v="0"/>
    <x v="0"/>
    <x v="0"/>
    <n v="0"/>
    <n v="2"/>
    <n v="16"/>
    <n v="20260227"/>
    <n v="20260316"/>
    <n v="1902.4728"/>
    <n v="18"/>
    <n v="105.69293333333333"/>
    <n v="0"/>
    <n v="211.38586666666666"/>
    <n v="1246.7843609297875"/>
    <n v="1458.1702275964542"/>
    <n v="0"/>
    <n v="275.79486539143346"/>
    <n v="1626.6779346085664"/>
    <n v="1902.4727999999998"/>
  </r>
  <r>
    <x v="0"/>
    <x v="0"/>
    <x v="1"/>
    <n v="20"/>
    <n v="19"/>
    <n v="0"/>
    <n v="20260112"/>
    <n v="20260219"/>
    <n v="967.85199999999998"/>
    <n v="39"/>
    <n v="24.816717948717947"/>
    <n v="601.97641466573543"/>
    <n v="471.51764102564101"/>
    <n v="0"/>
    <n v="1073.4940556913764"/>
    <n v="542.73619290031968"/>
    <n v="425.11580709968035"/>
    <n v="0"/>
    <n v="967.85200000000009"/>
  </r>
  <r>
    <x v="0"/>
    <x v="0"/>
    <x v="0"/>
    <n v="0"/>
    <n v="4"/>
    <n v="1"/>
    <n v="20260225"/>
    <n v="20260301"/>
    <n v="5252.9075999999995"/>
    <n v="5"/>
    <n v="1050.58152"/>
    <n v="0"/>
    <n v="4202.3260799999998"/>
    <n v="774.56018564106432"/>
    <n v="4976.8862656410638"/>
    <n v="0"/>
    <n v="4435.3898050082998"/>
    <n v="817.51779499169982"/>
    <n v="5252.9075999999995"/>
  </r>
  <r>
    <x v="0"/>
    <x v="0"/>
    <x v="0"/>
    <n v="5"/>
    <n v="28"/>
    <n v="3"/>
    <n v="20260127"/>
    <n v="20260303"/>
    <n v="187014.43280000001"/>
    <n v="36"/>
    <n v="5194.8453555555561"/>
    <n v="31502.69899047865"/>
    <n v="145455.66995555558"/>
    <n v="11489.980471888746"/>
    <n v="188448.34941792296"/>
    <n v="31262.992759400484"/>
    <n v="144348.88763050674"/>
    <n v="11402.552410092814"/>
    <n v="187014.43280000004"/>
  </r>
  <r>
    <x v="0"/>
    <x v="0"/>
    <x v="0"/>
    <n v="17"/>
    <n v="2"/>
    <n v="0"/>
    <n v="20260115"/>
    <n v="20260202"/>
    <n v="4119.9204"/>
    <n v="19"/>
    <n v="216.83791578947367"/>
    <n v="4470.8415783759656"/>
    <n v="433.67583157894734"/>
    <n v="0"/>
    <n v="4904.5174099549131"/>
    <n v="3755.6215799198617"/>
    <n v="364.298820080138"/>
    <n v="0"/>
    <n v="4119.9204"/>
  </r>
  <r>
    <x v="0"/>
    <x v="0"/>
    <x v="0"/>
    <n v="17"/>
    <n v="3"/>
    <n v="0"/>
    <n v="20260115"/>
    <n v="20260203"/>
    <n v="53698.966800000002"/>
    <n v="20"/>
    <n v="2684.9483399999999"/>
    <n v="55359.223642041012"/>
    <n v="8054.8450199999997"/>
    <n v="0"/>
    <n v="63414.068662041012"/>
    <n v="46878.132489347467"/>
    <n v="6820.8343106525408"/>
    <n v="0"/>
    <n v="53698.966800000009"/>
  </r>
  <r>
    <x v="0"/>
    <x v="0"/>
    <x v="0"/>
    <n v="12"/>
    <n v="1"/>
    <n v="0"/>
    <n v="20260120"/>
    <n v="20260201"/>
    <n v="4793.3491000000004"/>
    <n v="13"/>
    <n v="368.71916153846155"/>
    <n v="5366.3882389317923"/>
    <n v="368.71916153846155"/>
    <n v="0"/>
    <n v="5735.1074004702541"/>
    <n v="4485.1770750143442"/>
    <n v="308.17202498565598"/>
    <n v="0"/>
    <n v="4793.3491000000004"/>
  </r>
  <r>
    <x v="0"/>
    <x v="0"/>
    <x v="0"/>
    <n v="12"/>
    <n v="5"/>
    <n v="0"/>
    <n v="20260120"/>
    <n v="20260205"/>
    <n v="26469.269100000001"/>
    <n v="17"/>
    <n v="1557.0158294117648"/>
    <n v="22661.017669715948"/>
    <n v="7785.0791470588238"/>
    <n v="0"/>
    <n v="30446.096816774771"/>
    <n v="19701.066392493554"/>
    <n v="6768.2027075064498"/>
    <n v="0"/>
    <n v="26469.269100000005"/>
  </r>
  <r>
    <x v="0"/>
    <x v="0"/>
    <x v="0"/>
    <n v="0"/>
    <n v="17"/>
    <n v="5"/>
    <n v="20260212"/>
    <n v="20260305"/>
    <n v="17329.994200000001"/>
    <n v="22"/>
    <n v="787.72700909090918"/>
    <n v="0"/>
    <n v="13391.359154545456"/>
    <n v="2903.829768469252"/>
    <n v="16295.188923014708"/>
    <n v="0"/>
    <n v="14241.760410069241"/>
    <n v="3088.2337899307618"/>
    <n v="17329.994200000001"/>
  </r>
  <r>
    <x v="0"/>
    <x v="0"/>
    <x v="0"/>
    <n v="20"/>
    <n v="1"/>
    <n v="0"/>
    <n v="20260112"/>
    <n v="20260201"/>
    <n v="1848.8036"/>
    <n v="21"/>
    <n v="88.038266666666658"/>
    <n v="2135.534611422047"/>
    <n v="88.038266666666658"/>
    <n v="0"/>
    <n v="2223.5728780887134"/>
    <n v="1775.6036316270274"/>
    <n v="73.199968372972521"/>
    <n v="0"/>
    <n v="1848.8036"/>
  </r>
  <r>
    <x v="0"/>
    <x v="0"/>
    <x v="0"/>
    <n v="20"/>
    <n v="7"/>
    <n v="0"/>
    <n v="20260112"/>
    <n v="20260207"/>
    <n v="3447.7665999999999"/>
    <n v="27"/>
    <n v="127.69505925925925"/>
    <n v="3097.4850946149645"/>
    <n v="893.86541481481481"/>
    <n v="0"/>
    <n v="3991.3505094297793"/>
    <n v="2675.6371378511226"/>
    <n v="772.12946214887745"/>
    <n v="0"/>
    <n v="3447.7665999999999"/>
  </r>
  <r>
    <x v="0"/>
    <x v="0"/>
    <x v="0"/>
    <n v="0"/>
    <n v="6"/>
    <n v="7"/>
    <n v="20260223"/>
    <n v="20260307"/>
    <n v="127.1784"/>
    <n v="13"/>
    <n v="9.7829538461538466"/>
    <n v="0"/>
    <n v="58.697723076923083"/>
    <n v="50.488614943811513"/>
    <n v="109.1863380207346"/>
    <n v="0"/>
    <n v="68.37011516173871"/>
    <n v="58.808284838261287"/>
    <n v="127.1784"/>
  </r>
  <r>
    <x v="0"/>
    <x v="0"/>
    <x v="0"/>
    <n v="4"/>
    <n v="28"/>
    <n v="4"/>
    <n v="20260128"/>
    <n v="20260304"/>
    <n v="13922.7696"/>
    <n v="36"/>
    <n v="386.74360000000001"/>
    <n v="1876.2394463603637"/>
    <n v="10828.820800000001"/>
    <n v="1140.5347949067047"/>
    <n v="13845.59504126707"/>
    <n v="1886.6974982475238"/>
    <n v="10889.180030812915"/>
    <n v="1146.8920709395609"/>
    <n v="13922.7696"/>
  </r>
  <r>
    <x v="0"/>
    <x v="0"/>
    <x v="0"/>
    <n v="0"/>
    <n v="9"/>
    <n v="1"/>
    <n v="20260220"/>
    <n v="20260301"/>
    <n v="718.7287"/>
    <n v="10"/>
    <n v="71.872870000000006"/>
    <n v="0"/>
    <n v="646.85583000000008"/>
    <n v="52.989570509250996"/>
    <n v="699.84540050925102"/>
    <n v="0"/>
    <n v="664.30935953143489"/>
    <n v="54.419340468565203"/>
    <n v="718.72870000000012"/>
  </r>
  <r>
    <x v="0"/>
    <x v="0"/>
    <x v="0"/>
    <n v="4"/>
    <n v="28"/>
    <n v="6"/>
    <n v="20260128"/>
    <n v="20260306"/>
    <n v="17050.434399999998"/>
    <n v="38"/>
    <n v="448.69564210526312"/>
    <n v="2176.7922290837823"/>
    <n v="12563.477978947367"/>
    <n v="1984.853758966115"/>
    <n v="16725.123966997264"/>
    <n v="2219.1317193020641"/>
    <n v="12807.842712471398"/>
    <n v="2023.4599682265357"/>
    <n v="17050.434399999998"/>
  </r>
  <r>
    <x v="0"/>
    <x v="0"/>
    <x v="1"/>
    <n v="16"/>
    <n v="2"/>
    <n v="0"/>
    <n v="20260116"/>
    <n v="20260202"/>
    <n v="8156.1442999999999"/>
    <n v="18"/>
    <n v="453.11912777777775"/>
    <n v="8793.0089230908397"/>
    <n v="906.2382555555555"/>
    <n v="0"/>
    <n v="9699.2471786463957"/>
    <n v="7394.084127045121"/>
    <n v="762.06017295487834"/>
    <n v="0"/>
    <n v="8156.144299999999"/>
  </r>
  <r>
    <x v="0"/>
    <x v="0"/>
    <x v="0"/>
    <n v="5"/>
    <n v="28"/>
    <n v="4"/>
    <n v="20260127"/>
    <n v="20260304"/>
    <n v="5483.8281999999999"/>
    <n v="37"/>
    <n v="148.21157297297296"/>
    <n v="898.78798129758775"/>
    <n v="4149.9240432432425"/>
    <n v="437.08662789385477"/>
    <n v="5485.7986524346852"/>
    <n v="898.46514426359863"/>
    <n v="4148.43342565903"/>
    <n v="436.92963007737103"/>
    <n v="5483.8281999999999"/>
  </r>
  <r>
    <x v="0"/>
    <x v="0"/>
    <x v="0"/>
    <n v="2"/>
    <n v="3"/>
    <n v="0"/>
    <n v="20260130"/>
    <n v="20260203"/>
    <n v="50414.580399999999"/>
    <n v="5"/>
    <n v="10082.916079999999"/>
    <n v="24458.019322927652"/>
    <n v="30248.748239999997"/>
    <n v="0"/>
    <n v="54706.767562927649"/>
    <n v="22539.090436336923"/>
    <n v="27875.489963663076"/>
    <n v="0"/>
    <n v="50414.580399999999"/>
  </r>
  <r>
    <x v="0"/>
    <x v="0"/>
    <x v="0"/>
    <n v="2"/>
    <n v="28"/>
    <n v="5"/>
    <n v="20260130"/>
    <n v="20260305"/>
    <n v="6795.9650000000001"/>
    <n v="35"/>
    <n v="194.17042857142857"/>
    <n v="470.99708618631524"/>
    <n v="5436.7719999999999"/>
    <n v="715.77826345303856"/>
    <n v="6623.5473496393533"/>
    <n v="483.25761768706417"/>
    <n v="5578.2966852334494"/>
    <n v="734.41069707948748"/>
    <n v="6795.9650000000011"/>
  </r>
  <r>
    <x v="0"/>
    <x v="0"/>
    <x v="0"/>
    <n v="20"/>
    <n v="4"/>
    <n v="0"/>
    <n v="20260112"/>
    <n v="20260204"/>
    <n v="16313.822200000001"/>
    <n v="24"/>
    <n v="679.74259166666673"/>
    <n v="16488.441746110671"/>
    <n v="2718.9703666666669"/>
    <n v="0"/>
    <n v="19207.41211277734"/>
    <n v="14004.463767514379"/>
    <n v="2309.3584324856211"/>
    <n v="0"/>
    <n v="16313.822199999999"/>
  </r>
  <r>
    <x v="0"/>
    <x v="0"/>
    <x v="0"/>
    <n v="0"/>
    <n v="2"/>
    <n v="0"/>
    <n v="20260205"/>
    <n v="20260206"/>
    <n v="2397.2377999999999"/>
    <n v="2"/>
    <n v="1198.6188999999999"/>
    <n v="0"/>
    <n v="2397.2377999999999"/>
    <n v="0"/>
    <n v="2397.2377999999999"/>
    <n v="0"/>
    <n v="2397.2377999999999"/>
    <n v="0"/>
    <n v="2397.2377999999999"/>
  </r>
  <r>
    <x v="0"/>
    <x v="0"/>
    <x v="0"/>
    <n v="0"/>
    <n v="4"/>
    <n v="6"/>
    <n v="20260225"/>
    <n v="20260306"/>
    <n v="1060.4374"/>
    <n v="10"/>
    <n v="106.04374"/>
    <n v="0"/>
    <n v="424.17496"/>
    <n v="469.09596662507113"/>
    <n v="893.27092662507107"/>
    <n v="0"/>
    <n v="503.55494432911428"/>
    <n v="556.88245567088575"/>
    <n v="1060.4374"/>
  </r>
  <r>
    <x v="0"/>
    <x v="0"/>
    <x v="1"/>
    <n v="0"/>
    <n v="24"/>
    <n v="4"/>
    <n v="20260205"/>
    <n v="20260304"/>
    <n v="1112281.4410000001"/>
    <n v="28"/>
    <n v="39724.337178571433"/>
    <n v="0"/>
    <n v="953384.09228571435"/>
    <n v="117149.93798673528"/>
    <n v="1070534.0302724496"/>
    <n v="0"/>
    <n v="990563.02929870703"/>
    <n v="121718.41170129308"/>
    <n v="1112281.4410000001"/>
  </r>
  <r>
    <x v="0"/>
    <x v="0"/>
    <x v="1"/>
    <n v="26"/>
    <n v="4"/>
    <n v="0"/>
    <n v="20260106"/>
    <n v="20260204"/>
    <n v="1036046.0596"/>
    <n v="30"/>
    <n v="34534.868653333331"/>
    <n v="1089021.0942719595"/>
    <n v="138139.47461333332"/>
    <n v="0"/>
    <n v="1227160.5688852929"/>
    <n v="919420.03528244712"/>
    <n v="116626.02431755292"/>
    <n v="0"/>
    <n v="1036046.0596"/>
  </r>
  <r>
    <x v="0"/>
    <x v="0"/>
    <x v="0"/>
    <n v="0"/>
    <n v="23"/>
    <n v="5"/>
    <n v="20260206"/>
    <n v="20260305"/>
    <n v="2923506.5375999999"/>
    <n v="28"/>
    <n v="104410.94777142857"/>
    <n v="0"/>
    <n v="2401451.7987428573"/>
    <n v="384894.27783194388"/>
    <n v="2786346.076574801"/>
    <n v="0"/>
    <n v="2519665.4831859143"/>
    <n v="403841.05441408581"/>
    <n v="2923506.5376000004"/>
  </r>
  <r>
    <x v="0"/>
    <x v="0"/>
    <x v="0"/>
    <n v="0"/>
    <n v="27"/>
    <n v="1"/>
    <n v="20260202"/>
    <n v="20260301"/>
    <n v="20410585.839400001"/>
    <n v="28"/>
    <n v="728949.49426428578"/>
    <n v="0"/>
    <n v="19681636.345135715"/>
    <n v="537431.17012024461"/>
    <n v="20219067.515255958"/>
    <n v="0"/>
    <n v="19868064.03307873"/>
    <n v="542521.80632127309"/>
    <n v="20410585.839400005"/>
  </r>
  <r>
    <x v="0"/>
    <x v="0"/>
    <x v="1"/>
    <n v="15"/>
    <n v="19"/>
    <n v="0"/>
    <n v="20260117"/>
    <n v="20260219"/>
    <n v="7541400.7696000002"/>
    <n v="34"/>
    <n v="221805.9049882353"/>
    <n v="4035241.194436566"/>
    <n v="4214312.1947764708"/>
    <n v="0"/>
    <n v="8249553.3892130367"/>
    <n v="3688850.7308816304"/>
    <n v="3852550.0387183698"/>
    <n v="0"/>
    <n v="7541400.7696000002"/>
  </r>
  <r>
    <x v="0"/>
    <x v="0"/>
    <x v="0"/>
    <n v="0"/>
    <n v="26"/>
    <n v="2"/>
    <n v="20260203"/>
    <n v="20260302"/>
    <n v="5155103.4617999997"/>
    <n v="28"/>
    <n v="184110.83792142855"/>
    <n v="0"/>
    <n v="4786881.7859571427"/>
    <n v="271478.07587354782"/>
    <n v="5058359.8618306909"/>
    <n v="0"/>
    <n v="4878433.2352906438"/>
    <n v="276670.22650935547"/>
    <n v="5155103.4617999997"/>
  </r>
  <r>
    <x v="0"/>
    <x v="0"/>
    <x v="0"/>
    <n v="0"/>
    <n v="25"/>
    <n v="6"/>
    <n v="20260204"/>
    <n v="20260306"/>
    <n v="1394608.3317"/>
    <n v="31"/>
    <n v="44987.365538709673"/>
    <n v="0"/>
    <n v="1124684.1384677419"/>
    <n v="199006.48282771269"/>
    <n v="1323690.6212954547"/>
    <n v="0"/>
    <n v="1184939.9284123606"/>
    <n v="209668.4032876392"/>
    <n v="1394608.3316999997"/>
  </r>
  <r>
    <x v="0"/>
    <x v="0"/>
    <x v="0"/>
    <n v="24"/>
    <n v="2"/>
    <n v="0"/>
    <n v="20260108"/>
    <n v="20260202"/>
    <n v="252457.6042"/>
    <n v="26"/>
    <n v="9709.9078538461545"/>
    <n v="282638.60815140244"/>
    <n v="19419.815707692309"/>
    <n v="0"/>
    <n v="302058.42385909474"/>
    <n v="236226.70394920436"/>
    <n v="16230.900250795677"/>
    <n v="0"/>
    <n v="252457.60420000003"/>
  </r>
  <r>
    <x v="0"/>
    <x v="0"/>
    <x v="0"/>
    <n v="0"/>
    <n v="24"/>
    <n v="4"/>
    <n v="20260205"/>
    <n v="20260304"/>
    <n v="6477900.1799999997"/>
    <n v="28"/>
    <n v="231353.57785714284"/>
    <n v="0"/>
    <n v="5552485.8685714286"/>
    <n v="682278.40220815223"/>
    <n v="6234764.2707795808"/>
    <n v="0"/>
    <n v="5769015.0974976476"/>
    <n v="708885.08250235231"/>
    <n v="6477900.1799999997"/>
  </r>
  <r>
    <x v="0"/>
    <x v="0"/>
    <x v="0"/>
    <n v="0"/>
    <n v="26"/>
    <n v="1"/>
    <n v="20260203"/>
    <n v="20260301"/>
    <n v="6657338.7609000001"/>
    <n v="27"/>
    <n v="246568.10225555557"/>
    <n v="0"/>
    <n v="6410770.6586444452"/>
    <n v="181786.78324384391"/>
    <n v="6592557.4418882895"/>
    <n v="0"/>
    <n v="6473765.6621479122"/>
    <n v="183573.09875208756"/>
    <n v="6657338.7609000001"/>
  </r>
  <r>
    <x v="0"/>
    <x v="0"/>
    <x v="1"/>
    <n v="30"/>
    <n v="1"/>
    <n v="0"/>
    <n v="20260102"/>
    <n v="20260201"/>
    <n v="3916576.4758000001"/>
    <n v="31"/>
    <n v="126341.17663870969"/>
    <n v="4596966.1678136932"/>
    <n v="126341.17663870969"/>
    <n v="0"/>
    <n v="4723307.3444524026"/>
    <n v="3811814.1039570495"/>
    <n v="104762.37184295076"/>
    <n v="0"/>
    <n v="3916576.4758000001"/>
  </r>
  <r>
    <x v="0"/>
    <x v="0"/>
    <x v="0"/>
    <n v="29"/>
    <n v="3"/>
    <n v="0"/>
    <n v="20260103"/>
    <n v="20260203"/>
    <n v="8432206.4626000002"/>
    <n v="32"/>
    <n v="263506.45195625001"/>
    <n v="9268178.4432842378"/>
    <n v="790519.35586875002"/>
    <n v="0"/>
    <n v="10058697.799152987"/>
    <n v="7769514.0789071368"/>
    <n v="662692.38369286456"/>
    <n v="0"/>
    <n v="8432206.4626000021"/>
  </r>
  <r>
    <x v="0"/>
    <x v="0"/>
    <x v="1"/>
    <n v="0"/>
    <n v="25"/>
    <n v="4"/>
    <n v="20260204"/>
    <n v="20260304"/>
    <n v="1463669.1706000001"/>
    <n v="29"/>
    <n v="50471.350710344828"/>
    <n v="0"/>
    <n v="1261783.7677586207"/>
    <n v="148843.65670456472"/>
    <n v="1410627.4244631855"/>
    <n v="0"/>
    <n v="1309228.7650189535"/>
    <n v="154440.40558104648"/>
    <n v="1463669.1705999998"/>
  </r>
  <r>
    <x v="0"/>
    <x v="0"/>
    <x v="1"/>
    <n v="0"/>
    <n v="8"/>
    <n v="17"/>
    <n v="20260221"/>
    <n v="20260317"/>
    <n v="1036114.7496"/>
    <n v="25"/>
    <n v="41444.589983999998"/>
    <n v="0"/>
    <n v="331556.71987199999"/>
    <n v="519448.12269401248"/>
    <n v="851004.8425660124"/>
    <n v="0"/>
    <n v="403676.67797580943"/>
    <n v="632438.07162419066"/>
    <n v="1036114.7496000001"/>
  </r>
  <r>
    <x v="0"/>
    <x v="0"/>
    <x v="1"/>
    <n v="11"/>
    <n v="2"/>
    <n v="0"/>
    <n v="20260121"/>
    <n v="20260202"/>
    <n v="1177.7565"/>
    <n v="13"/>
    <n v="90.596653846153842"/>
    <n v="1208.676221273281"/>
    <n v="181.19330769230768"/>
    <n v="0"/>
    <n v="1389.8695289655886"/>
    <n v="1024.2157600645476"/>
    <n v="153.54073993545254"/>
    <n v="0"/>
    <n v="1177.7565000000002"/>
  </r>
  <r>
    <x v="0"/>
    <x v="0"/>
    <x v="1"/>
    <n v="0"/>
    <n v="25"/>
    <n v="3"/>
    <n v="20260204"/>
    <n v="20260303"/>
    <n v="1545542.7054999999"/>
    <n v="28"/>
    <n v="55197.953767857143"/>
    <n v="0"/>
    <n v="1379948.8441964285"/>
    <n v="122087.06274627308"/>
    <n v="1502035.9069427017"/>
    <n v="0"/>
    <n v="1419919.364279422"/>
    <n v="125623.34122057786"/>
    <n v="1545542.7054999999"/>
  </r>
  <r>
    <x v="0"/>
    <x v="0"/>
    <x v="1"/>
    <n v="28"/>
    <n v="5"/>
    <n v="0"/>
    <n v="20260104"/>
    <n v="20260205"/>
    <n v="71942.035300000003"/>
    <n v="33"/>
    <n v="2180.0616757575758"/>
    <n v="74034.124885024299"/>
    <n v="10900.308378787879"/>
    <n v="0"/>
    <n v="84934.433263812185"/>
    <n v="62709.144232935425"/>
    <n v="9232.891067064571"/>
    <n v="0"/>
    <n v="71942.035299999989"/>
  </r>
  <r>
    <x v="0"/>
    <x v="0"/>
    <x v="0"/>
    <n v="30"/>
    <n v="4"/>
    <n v="0"/>
    <n v="20260102"/>
    <n v="20260204"/>
    <n v="1263707.2727000001"/>
    <n v="34"/>
    <n v="37167.860961764709"/>
    <n v="1352365.1110186514"/>
    <n v="148671.44384705884"/>
    <n v="0"/>
    <n v="1501036.5548657102"/>
    <n v="1138542.3097127089"/>
    <n v="125164.96298729135"/>
    <n v="0"/>
    <n v="1263707.2727000003"/>
  </r>
  <r>
    <x v="0"/>
    <x v="0"/>
    <x v="0"/>
    <n v="0"/>
    <n v="8"/>
    <n v="16"/>
    <n v="20260221"/>
    <n v="20260316"/>
    <n v="385677.81910000002"/>
    <n v="24"/>
    <n v="16069.909129166668"/>
    <n v="0"/>
    <n v="128559.27303333335"/>
    <n v="189565.28834921625"/>
    <n v="318124.56138254958"/>
    <n v="0"/>
    <n v="155858.63547629004"/>
    <n v="229819.18362370998"/>
    <n v="385677.81910000002"/>
  </r>
  <r>
    <x v="0"/>
    <x v="0"/>
    <x v="1"/>
    <n v="30"/>
    <n v="5"/>
    <n v="0"/>
    <n v="20260102"/>
    <n v="20260205"/>
    <n v="98656.563500000004"/>
    <n v="35"/>
    <n v="2818.7589571428571"/>
    <n v="102561.49187419708"/>
    <n v="14093.794785714286"/>
    <n v="0"/>
    <n v="116655.28665991136"/>
    <n v="86737.297772366102"/>
    <n v="11919.265727633907"/>
    <n v="0"/>
    <n v="98656.563500000004"/>
  </r>
  <r>
    <x v="0"/>
    <x v="0"/>
    <x v="1"/>
    <n v="24"/>
    <n v="7"/>
    <n v="0"/>
    <n v="20260108"/>
    <n v="20260207"/>
    <n v="50781.246099999997"/>
    <n v="31"/>
    <n v="1638.1047129032256"/>
    <n v="47682.392359452366"/>
    <n v="11466.73299032258"/>
    <n v="0"/>
    <n v="59149.125349774942"/>
    <n v="40936.72200093358"/>
    <n v="9844.5240990664188"/>
    <n v="0"/>
    <n v="50781.246099999997"/>
  </r>
  <r>
    <x v="0"/>
    <x v="0"/>
    <x v="1"/>
    <n v="29"/>
    <n v="1"/>
    <n v="0"/>
    <n v="20260103"/>
    <n v="20260201"/>
    <n v="613977.12410000002"/>
    <n v="30"/>
    <n v="20465.904136666668"/>
    <n v="719836.83941548644"/>
    <n v="20465.904136666668"/>
    <n v="0"/>
    <n v="740302.74355215312"/>
    <n v="597003.53177796688"/>
    <n v="16973.592322033139"/>
    <n v="0"/>
    <n v="613977.12410000002"/>
  </r>
  <r>
    <x v="0"/>
    <x v="0"/>
    <x v="0"/>
    <n v="23"/>
    <n v="5"/>
    <n v="0"/>
    <n v="20260109"/>
    <n v="20260205"/>
    <n v="162710.11439999999"/>
    <n v="28"/>
    <n v="5811.0755142857142"/>
    <n v="162102.41709926093"/>
    <n v="29055.377571428573"/>
    <n v="0"/>
    <n v="191157.7946706895"/>
    <n v="137978.69386479945"/>
    <n v="24731.420535200534"/>
    <n v="0"/>
    <n v="162710.11439999999"/>
  </r>
  <r>
    <x v="0"/>
    <x v="0"/>
    <x v="1"/>
    <n v="24"/>
    <n v="1"/>
    <n v="0"/>
    <n v="20260108"/>
    <n v="20260201"/>
    <n v="61714.6682"/>
    <n v="25"/>
    <n v="2468.5867280000002"/>
    <n v="71856.28611568897"/>
    <n v="2468.5867280000002"/>
    <n v="0"/>
    <n v="74324.872843688965"/>
    <n v="59664.910090600431"/>
    <n v="2049.7581093995746"/>
    <n v="0"/>
    <n v="61714.668200000007"/>
  </r>
  <r>
    <x v="0"/>
    <x v="0"/>
    <x v="1"/>
    <n v="15"/>
    <n v="16"/>
    <n v="0"/>
    <n v="20260117"/>
    <n v="20260216"/>
    <n v="374083.75429999997"/>
    <n v="31"/>
    <n v="12067.217880645161"/>
    <n v="219534.88883356657"/>
    <n v="193075.48609032258"/>
    <n v="0"/>
    <n v="412610.37492388918"/>
    <n v="199036.28315173252"/>
    <n v="175047.47114826742"/>
    <n v="0"/>
    <n v="374083.75429999991"/>
  </r>
  <r>
    <x v="0"/>
    <x v="0"/>
    <x v="1"/>
    <n v="14"/>
    <n v="19"/>
    <n v="0"/>
    <n v="20260118"/>
    <n v="20260219"/>
    <n v="217247.66680000001"/>
    <n v="33"/>
    <n v="6583.2626303030302"/>
    <n v="111782.63742318218"/>
    <n v="125081.98997575758"/>
    <n v="0"/>
    <n v="236864.62739893975"/>
    <n v="102524.87860095482"/>
    <n v="114722.7881990452"/>
    <n v="0"/>
    <n v="217247.66680000001"/>
  </r>
  <r>
    <x v="0"/>
    <x v="0"/>
    <x v="0"/>
    <n v="15"/>
    <n v="20"/>
    <n v="0"/>
    <n v="20260117"/>
    <n v="20260220"/>
    <n v="582079.64370000002"/>
    <n v="35"/>
    <n v="16630.846962857144"/>
    <n v="302559.47769492847"/>
    <n v="332616.93925714289"/>
    <n v="0"/>
    <n v="635176.41695207136"/>
    <n v="277267.39890598162"/>
    <n v="304812.24479401839"/>
    <n v="0"/>
    <n v="582079.64370000002"/>
  </r>
  <r>
    <x v="0"/>
    <x v="0"/>
    <x v="0"/>
    <n v="28"/>
    <n v="7"/>
    <n v="0"/>
    <n v="20260104"/>
    <n v="20260207"/>
    <n v="52401.704400000002"/>
    <n v="35"/>
    <n v="1497.1915542857143"/>
    <n v="50844.096632391811"/>
    <n v="10480.34088"/>
    <n v="0"/>
    <n v="61324.437512391814"/>
    <n v="43446.257809984039"/>
    <n v="8955.4465900159576"/>
    <n v="0"/>
    <n v="52401.704399999995"/>
  </r>
  <r>
    <x v="0"/>
    <x v="0"/>
    <x v="0"/>
    <n v="0"/>
    <n v="24"/>
    <n v="7"/>
    <n v="20260205"/>
    <n v="20260307"/>
    <n v="264781.59769999998"/>
    <n v="31"/>
    <n v="8541.3418612903224"/>
    <n v="0"/>
    <n v="204992.20467096774"/>
    <n v="44080.809039867541"/>
    <n v="249073.01371083528"/>
    <n v="0"/>
    <n v="217920.69184917485"/>
    <n v="46860.90585082514"/>
    <n v="264781.59769999998"/>
  </r>
  <r>
    <x v="0"/>
    <x v="0"/>
    <x v="1"/>
    <n v="27"/>
    <n v="6"/>
    <n v="0"/>
    <n v="20260105"/>
    <n v="20260206"/>
    <n v="35931.530200000001"/>
    <n v="33"/>
    <n v="1088.8342484848486"/>
    <n v="35655.840021655305"/>
    <n v="6533.0054909090913"/>
    <n v="0"/>
    <n v="42188.845512564396"/>
    <n v="30367.479294092729"/>
    <n v="5564.050905907271"/>
    <n v="0"/>
    <n v="35931.530200000001"/>
  </r>
  <r>
    <x v="0"/>
    <x v="0"/>
    <x v="1"/>
    <n v="0"/>
    <n v="26"/>
    <n v="9"/>
    <n v="20260203"/>
    <n v="20260309"/>
    <n v="23360.149700000002"/>
    <n v="35"/>
    <n v="667.43284857142862"/>
    <n v="0"/>
    <n v="17353.254062857144"/>
    <n v="4428.6922159375799"/>
    <n v="21781.946278794723"/>
    <n v="0"/>
    <n v="18610.578113725245"/>
    <n v="4749.5715862747575"/>
    <n v="23360.149700000002"/>
  </r>
  <r>
    <x v="0"/>
    <x v="0"/>
    <x v="0"/>
    <n v="16"/>
    <n v="18"/>
    <n v="0"/>
    <n v="20260116"/>
    <n v="20260218"/>
    <n v="341757.01949999999"/>
    <n v="34"/>
    <n v="10051.677044117647"/>
    <n v="195057.94508039404"/>
    <n v="180930.18679411765"/>
    <n v="0"/>
    <n v="375988.13187451172"/>
    <n v="177299.27167679628"/>
    <n v="164457.74782320371"/>
    <n v="0"/>
    <n v="341757.01949999999"/>
  </r>
  <r>
    <x v="0"/>
    <x v="0"/>
    <x v="0"/>
    <n v="22"/>
    <n v="5"/>
    <n v="0"/>
    <n v="20260110"/>
    <n v="20260205"/>
    <n v="9797.3932999999997"/>
    <n v="27"/>
    <n v="362.86641851851851"/>
    <n v="9682.2121555773447"/>
    <n v="1814.3320925925925"/>
    <n v="0"/>
    <n v="11496.544248169937"/>
    <n v="8251.2134476699175"/>
    <n v="1546.1798523300818"/>
    <n v="0"/>
    <n v="9797.3932999999997"/>
  </r>
  <r>
    <x v="0"/>
    <x v="0"/>
    <x v="1"/>
    <n v="0"/>
    <n v="21"/>
    <n v="4"/>
    <n v="20260208"/>
    <n v="20260304"/>
    <n v="3717.0866000000001"/>
    <n v="25"/>
    <n v="148.68346400000001"/>
    <n v="0"/>
    <n v="3122.3527440000003"/>
    <n v="438.47826859774392"/>
    <n v="3560.8310125977441"/>
    <n v="0"/>
    <n v="3259.3671264193554"/>
    <n v="457.71947358064506"/>
    <n v="3717.0866000000005"/>
  </r>
  <r>
    <x v="0"/>
    <x v="0"/>
    <x v="0"/>
    <n v="25"/>
    <n v="7"/>
    <n v="0"/>
    <n v="20260107"/>
    <n v="20260207"/>
    <n v="216974.79519999999"/>
    <n v="32"/>
    <n v="6780.4623499999998"/>
    <n v="205591.16759836636"/>
    <n v="47463.236449999997"/>
    <n v="0"/>
    <n v="253054.40404836636"/>
    <n v="176278.70043336001"/>
    <n v="40696.094766639995"/>
    <n v="0"/>
    <n v="216974.79519999999"/>
  </r>
  <r>
    <x v="0"/>
    <x v="0"/>
    <x v="1"/>
    <n v="0"/>
    <n v="22"/>
    <n v="9"/>
    <n v="20260207"/>
    <n v="20260309"/>
    <n v="36202.967700000001"/>
    <n v="31"/>
    <n v="1167.8376677419355"/>
    <n v="0"/>
    <n v="25692.42869032258"/>
    <n v="7749.0845703467076"/>
    <n v="33441.513260669286"/>
    <n v="0"/>
    <n v="27813.997493476054"/>
    <n v="8388.9702065239508"/>
    <n v="36202.967700000008"/>
  </r>
  <r>
    <x v="0"/>
    <x v="0"/>
    <x v="1"/>
    <n v="26"/>
    <n v="7"/>
    <n v="0"/>
    <n v="20260106"/>
    <n v="20260207"/>
    <n v="13575.729600000001"/>
    <n v="33"/>
    <n v="411.38574545454549"/>
    <n v="12972.620778725703"/>
    <n v="2879.7002181818184"/>
    <n v="0"/>
    <n v="15852.320996907521"/>
    <n v="11109.590319908217"/>
    <n v="2466.1392800917829"/>
    <n v="0"/>
    <n v="13575.729599999999"/>
  </r>
  <r>
    <x v="0"/>
    <x v="0"/>
    <x v="0"/>
    <n v="0"/>
    <n v="28"/>
    <n v="0"/>
    <n v="20260201"/>
    <n v="20260228"/>
    <n v="45749.366099999999"/>
    <n v="28"/>
    <n v="1633.9059321428572"/>
    <n v="0"/>
    <n v="45749.366099999999"/>
    <n v="0"/>
    <n v="45749.366099999999"/>
    <n v="0"/>
    <n v="45749.366099999999"/>
    <n v="0"/>
    <n v="45749.366099999999"/>
  </r>
  <r>
    <x v="0"/>
    <x v="0"/>
    <x v="0"/>
    <n v="25"/>
    <n v="9"/>
    <n v="0"/>
    <n v="20260107"/>
    <n v="20260209"/>
    <n v="65627.532099999997"/>
    <n v="34"/>
    <n v="1930.221532352941"/>
    <n v="58526.465906849116"/>
    <n v="17371.993791176468"/>
    <n v="0"/>
    <n v="75898.459698025588"/>
    <n v="50606.396167763254"/>
    <n v="15021.135932236743"/>
    <n v="0"/>
    <n v="65627.532099999997"/>
  </r>
  <r>
    <x v="0"/>
    <x v="0"/>
    <x v="0"/>
    <n v="24"/>
    <n v="10"/>
    <n v="0"/>
    <n v="20260108"/>
    <n v="20260210"/>
    <n v="31662.820299999999"/>
    <n v="34"/>
    <n v="931.25942058823523"/>
    <n v="27107.34956755344"/>
    <n v="9312.594205882353"/>
    <n v="0"/>
    <n v="36419.943773435793"/>
    <n v="23566.624471088719"/>
    <n v="8096.1958289112781"/>
    <n v="0"/>
    <n v="31662.820299999996"/>
  </r>
  <r>
    <x v="0"/>
    <x v="0"/>
    <x v="1"/>
    <n v="0"/>
    <n v="20"/>
    <n v="4"/>
    <n v="20260209"/>
    <n v="20260304"/>
    <n v="6167.7061000000003"/>
    <n v="24"/>
    <n v="256.98775416666666"/>
    <n v="0"/>
    <n v="5139.7550833333335"/>
    <n v="757.87543864207146"/>
    <n v="5897.6305219754049"/>
    <n v="0"/>
    <n v="5375.1245795850509"/>
    <n v="792.58152041494975"/>
    <n v="6167.7061000000003"/>
  </r>
  <r>
    <x v="0"/>
    <x v="0"/>
    <x v="1"/>
    <n v="0"/>
    <n v="21"/>
    <n v="2"/>
    <n v="20260208"/>
    <n v="20260302"/>
    <n v="380.01429999999999"/>
    <n v="23"/>
    <n v="16.522360869565215"/>
    <n v="0"/>
    <n v="346.96957826086953"/>
    <n v="24.362817465814722"/>
    <n v="371.33239572668424"/>
    <n v="0"/>
    <n v="355.08186983273345"/>
    <n v="24.932430167266581"/>
    <n v="380.01430000000005"/>
  </r>
  <r>
    <x v="0"/>
    <x v="0"/>
    <x v="1"/>
    <n v="0"/>
    <n v="23"/>
    <n v="9"/>
    <n v="20260206"/>
    <n v="20260309"/>
    <n v="844.99009999999998"/>
    <n v="32"/>
    <n v="26.405940624999999"/>
    <n v="0"/>
    <n v="607.33663437500002"/>
    <n v="175.21430650402291"/>
    <n v="782.55094087902296"/>
    <n v="0"/>
    <n v="655.79557394402377"/>
    <n v="189.19452605597616"/>
    <n v="844.99009999999998"/>
  </r>
  <r>
    <x v="0"/>
    <x v="0"/>
    <x v="1"/>
    <n v="0"/>
    <n v="19"/>
    <n v="9"/>
    <n v="20260210"/>
    <n v="20260309"/>
    <n v="126.82559999999999"/>
    <n v="28"/>
    <n v="4.5294857142857143"/>
    <n v="0"/>
    <n v="86.060228571428567"/>
    <n v="30.055005785216196"/>
    <n v="116.11523435664476"/>
    <n v="0"/>
    <n v="93.998347289939176"/>
    <n v="32.827252710060826"/>
    <n v="126.82560000000001"/>
  </r>
  <r>
    <x v="0"/>
    <x v="0"/>
    <x v="1"/>
    <n v="23"/>
    <n v="1"/>
    <n v="0"/>
    <n v="20260109"/>
    <n v="20260201"/>
    <n v="36597.908000000003"/>
    <n v="24"/>
    <n v="1524.9128333333335"/>
    <n v="42538.090503441032"/>
    <n v="1524.9128333333335"/>
    <n v="0"/>
    <n v="44063.003336774367"/>
    <n v="35331.34386782303"/>
    <n v="1266.5641321769726"/>
    <n v="0"/>
    <n v="36597.908000000003"/>
  </r>
  <r>
    <x v="0"/>
    <x v="0"/>
    <x v="0"/>
    <n v="0"/>
    <n v="20"/>
    <n v="7"/>
    <n v="20260209"/>
    <n v="20260307"/>
    <n v="12806.6895"/>
    <n v="27"/>
    <n v="474.32183333333336"/>
    <n v="0"/>
    <n v="9486.4366666666665"/>
    <n v="2447.9163225352913"/>
    <n v="11934.352989201958"/>
    <n v="0"/>
    <n v="10179.84376374131"/>
    <n v="2626.8457362586914"/>
    <n v="12806.6895"/>
  </r>
  <r>
    <x v="0"/>
    <x v="0"/>
    <x v="1"/>
    <n v="0"/>
    <n v="13"/>
    <n v="0"/>
    <n v="20260202"/>
    <n v="20260214"/>
    <n v="126.51430000000001"/>
    <n v="13"/>
    <n v="9.7318692307692309"/>
    <n v="0"/>
    <n v="126.51430000000001"/>
    <n v="0"/>
    <n v="126.51430000000001"/>
    <n v="0"/>
    <n v="126.51430000000001"/>
    <n v="0"/>
    <n v="126.51430000000001"/>
  </r>
  <r>
    <x v="0"/>
    <x v="0"/>
    <x v="0"/>
    <n v="30"/>
    <n v="8"/>
    <n v="0"/>
    <n v="20260102"/>
    <n v="20260208"/>
    <n v="27439.8622"/>
    <n v="38"/>
    <n v="722.10163684210522"/>
    <n v="26273.910712249868"/>
    <n v="5776.8130947368418"/>
    <n v="0"/>
    <n v="32050.723806986709"/>
    <n v="22494.109454154681"/>
    <n v="4945.7527458453205"/>
    <n v="0"/>
    <n v="27439.862200000003"/>
  </r>
  <r>
    <x v="0"/>
    <x v="0"/>
    <x v="1"/>
    <n v="0"/>
    <n v="19"/>
    <n v="5"/>
    <n v="20260210"/>
    <n v="20260305"/>
    <n v="15085.189200000001"/>
    <n v="24"/>
    <n v="628.54955000000007"/>
    <n v="0"/>
    <n v="11942.441450000002"/>
    <n v="2317.0474963837528"/>
    <n v="14259.488946383755"/>
    <n v="0"/>
    <n v="12633.972329622648"/>
    <n v="2451.2168703773518"/>
    <n v="15085.189199999999"/>
  </r>
  <r>
    <x v="0"/>
    <x v="0"/>
    <x v="1"/>
    <n v="23"/>
    <n v="9"/>
    <n v="0"/>
    <n v="20260109"/>
    <n v="20260209"/>
    <n v="7737.7245999999996"/>
    <n v="32"/>
    <n v="241.80389374999999"/>
    <n v="6745.2222130873288"/>
    <n v="2176.2350437499999"/>
    <n v="0"/>
    <n v="8921.4572568373296"/>
    <n v="5850.2406443378113"/>
    <n v="1887.4839556621873"/>
    <n v="0"/>
    <n v="7737.7245999999986"/>
  </r>
  <r>
    <x v="0"/>
    <x v="0"/>
    <x v="0"/>
    <n v="28"/>
    <n v="11"/>
    <n v="0"/>
    <n v="20260104"/>
    <n v="20260211"/>
    <n v="8954.1"/>
    <n v="39"/>
    <n v="229.59230769230771"/>
    <n v="7796.8737166238707"/>
    <n v="2525.5153846153848"/>
    <n v="0"/>
    <n v="10322.389101239256"/>
    <n v="6763.3554849855709"/>
    <n v="2190.744515014429"/>
    <n v="0"/>
    <n v="8954.1"/>
  </r>
  <r>
    <x v="0"/>
    <x v="0"/>
    <x v="0"/>
    <n v="0"/>
    <n v="25"/>
    <n v="8"/>
    <n v="20260204"/>
    <n v="20260308"/>
    <n v="130517.3746"/>
    <n v="33"/>
    <n v="3955.0719575757576"/>
    <n v="0"/>
    <n v="98876.798939393935"/>
    <n v="23327.585428562623"/>
    <n v="122204.38436795656"/>
    <n v="0"/>
    <n v="105602.92311251676"/>
    <n v="24914.451487483242"/>
    <n v="130517.3746"/>
  </r>
  <r>
    <x v="0"/>
    <x v="0"/>
    <x v="1"/>
    <n v="0"/>
    <n v="19"/>
    <n v="8"/>
    <n v="20260210"/>
    <n v="20260308"/>
    <n v="84.544499999999999"/>
    <n v="27"/>
    <n v="3.1312777777777776"/>
    <n v="0"/>
    <n v="59.494277777777775"/>
    <n v="18.468728418899239"/>
    <n v="77.963006196677014"/>
    <n v="0"/>
    <n v="64.51667544597224"/>
    <n v="20.027824554027767"/>
    <n v="84.544499999999999"/>
  </r>
  <r>
    <x v="0"/>
    <x v="0"/>
    <x v="0"/>
    <n v="0"/>
    <n v="14"/>
    <n v="0"/>
    <n v="20260206"/>
    <n v="20260219"/>
    <n v="4383.6710000000003"/>
    <n v="14"/>
    <n v="313.11935714285715"/>
    <n v="0"/>
    <n v="4383.6710000000003"/>
    <n v="0"/>
    <n v="4383.6710000000003"/>
    <n v="0"/>
    <n v="4383.6710000000003"/>
    <n v="0"/>
    <n v="4383.6710000000003"/>
  </r>
  <r>
    <x v="0"/>
    <x v="0"/>
    <x v="0"/>
    <n v="0"/>
    <n v="15"/>
    <n v="0"/>
    <n v="20260206"/>
    <n v="20260220"/>
    <n v="1264.3723"/>
    <n v="15"/>
    <n v="84.291486666666671"/>
    <n v="0"/>
    <n v="1264.3723"/>
    <n v="0"/>
    <n v="1264.3723"/>
    <n v="0"/>
    <n v="1264.3723"/>
    <n v="0"/>
    <n v="1264.3723"/>
  </r>
  <r>
    <x v="0"/>
    <x v="0"/>
    <x v="0"/>
    <n v="0"/>
    <n v="5"/>
    <n v="16"/>
    <n v="20260224"/>
    <n v="20260316"/>
    <n v="887.84140000000002"/>
    <n v="21"/>
    <n v="42.278161904761909"/>
    <n v="0"/>
    <n v="211.39080952380954"/>
    <n v="498.72540584594111"/>
    <n v="710.11621536975065"/>
    <n v="0"/>
    <n v="264.29689706075567"/>
    <n v="623.54450293924435"/>
    <n v="887.84140000000002"/>
  </r>
  <r>
    <x v="0"/>
    <x v="0"/>
    <x v="0"/>
    <n v="0"/>
    <n v="21"/>
    <n v="0"/>
    <n v="20260205"/>
    <n v="20260225"/>
    <n v="6787.8509000000004"/>
    <n v="21"/>
    <n v="323.23099523809526"/>
    <n v="0"/>
    <n v="6787.8509000000004"/>
    <n v="0"/>
    <n v="6787.8509000000004"/>
    <n v="0"/>
    <n v="6787.8509000000004"/>
    <n v="0"/>
    <n v="6787.8509000000004"/>
  </r>
  <r>
    <x v="0"/>
    <x v="0"/>
    <x v="0"/>
    <n v="26"/>
    <n v="11"/>
    <n v="0"/>
    <n v="20260106"/>
    <n v="20260211"/>
    <n v="91742.070900000006"/>
    <n v="37"/>
    <n v="2479.5154297297299"/>
    <n v="78188.935178933971"/>
    <n v="27274.669727027031"/>
    <n v="0"/>
    <n v="105463.60490596099"/>
    <n v="68016.021651994772"/>
    <n v="23726.049248005238"/>
    <n v="0"/>
    <n v="91742.070900000006"/>
  </r>
  <r>
    <x v="0"/>
    <x v="0"/>
    <x v="0"/>
    <n v="31"/>
    <n v="2"/>
    <n v="0"/>
    <n v="20251229"/>
    <n v="20260202"/>
    <n v="49765.880499999999"/>
    <n v="33"/>
    <n v="1508.0569848484847"/>
    <n v="56700.198834765462"/>
    <n v="3016.1139696969694"/>
    <n v="0"/>
    <n v="59716.312804462432"/>
    <n v="47252.336707003065"/>
    <n v="2513.5437929969362"/>
    <n v="0"/>
    <n v="49765.880499999999"/>
  </r>
  <r>
    <x v="0"/>
    <x v="0"/>
    <x v="0"/>
    <n v="31"/>
    <n v="4"/>
    <n v="0"/>
    <n v="20251226"/>
    <n v="20260204"/>
    <n v="28902.4467"/>
    <n v="35"/>
    <n v="825.78419142857149"/>
    <n v="31047.983145882434"/>
    <n v="3303.136765714286"/>
    <n v="0"/>
    <n v="34351.119911596717"/>
    <n v="26123.243734869371"/>
    <n v="2779.2029651306334"/>
    <n v="0"/>
    <n v="28902.446700000004"/>
  </r>
  <r>
    <x v="0"/>
    <x v="0"/>
    <x v="0"/>
    <n v="31"/>
    <n v="1"/>
    <n v="0"/>
    <n v="20251226"/>
    <n v="20260201"/>
    <n v="14570.7363"/>
    <n v="32"/>
    <n v="455.33550937500002"/>
    <n v="17119.786704005503"/>
    <n v="455.33550937500002"/>
    <n v="0"/>
    <n v="17575.122213380502"/>
    <n v="14193.238291475303"/>
    <n v="377.49800852469696"/>
    <n v="0"/>
    <n v="14570.7363"/>
  </r>
  <r>
    <x v="0"/>
    <x v="0"/>
    <x v="0"/>
    <n v="9"/>
    <n v="1"/>
    <n v="0"/>
    <n v="20260123"/>
    <n v="20260201"/>
    <n v="14089.6914"/>
    <n v="10"/>
    <n v="1408.9691399999999"/>
    <n v="15379.744689085957"/>
    <n v="1408.9691399999999"/>
    <n v="0"/>
    <n v="16788.713829085958"/>
    <n v="12907.233912379328"/>
    <n v="1182.4574876206707"/>
    <n v="0"/>
    <n v="14089.6914"/>
  </r>
  <r>
    <x v="0"/>
    <x v="0"/>
    <x v="0"/>
    <n v="9"/>
    <n v="4"/>
    <n v="0"/>
    <n v="20260123"/>
    <n v="20260204"/>
    <n v="11619.133099999999"/>
    <n v="13"/>
    <n v="893.77946923076911"/>
    <n v="9756.1399003501156"/>
    <n v="3575.1178769230764"/>
    <n v="0"/>
    <n v="13331.257777273193"/>
    <n v="8503.1652630435601"/>
    <n v="3115.9678369564376"/>
    <n v="0"/>
    <n v="11619.133099999997"/>
  </r>
  <r>
    <x v="0"/>
    <x v="0"/>
    <x v="0"/>
    <n v="0"/>
    <n v="6"/>
    <n v="5"/>
    <n v="20260223"/>
    <n v="20260305"/>
    <n v="423.84890000000001"/>
    <n v="11"/>
    <n v="38.531718181818185"/>
    <n v="0"/>
    <n v="231.19030909090912"/>
    <n v="142.04102308966117"/>
    <n v="373.23133218057029"/>
    <n v="0"/>
    <n v="262.54429826763351"/>
    <n v="161.30460173236654"/>
    <n v="423.84890000000007"/>
  </r>
  <r>
    <x v="0"/>
    <x v="0"/>
    <x v="0"/>
    <n v="0"/>
    <n v="17"/>
    <n v="2"/>
    <n v="20260212"/>
    <n v="20260302"/>
    <n v="29357.223300000001"/>
    <n v="19"/>
    <n v="1545.1170157894737"/>
    <n v="0"/>
    <n v="26266.989268421054"/>
    <n v="2278.3308097539389"/>
    <n v="28545.320078174991"/>
    <n v="0"/>
    <n v="27014.090830297722"/>
    <n v="2343.1324697022787"/>
    <n v="29357.223300000001"/>
  </r>
  <r>
    <x v="0"/>
    <x v="0"/>
    <x v="0"/>
    <n v="12"/>
    <n v="3"/>
    <n v="0"/>
    <n v="20260120"/>
    <n v="20260203"/>
    <n v="8162.2790999999997"/>
    <n v="15"/>
    <n v="544.15193999999997"/>
    <n v="7919.6604777029361"/>
    <n v="1632.4558199999999"/>
    <n v="0"/>
    <n v="9552.1162977029362"/>
    <n v="6767.3463326441824"/>
    <n v="1394.9327673558173"/>
    <n v="0"/>
    <n v="8162.2790999999997"/>
  </r>
  <r>
    <x v="0"/>
    <x v="0"/>
    <x v="0"/>
    <n v="16"/>
    <n v="3"/>
    <n v="0"/>
    <n v="20260116"/>
    <n v="20260203"/>
    <n v="14171.8109"/>
    <n v="19"/>
    <n v="745.88478421052639"/>
    <n v="14474.276544726556"/>
    <n v="2237.6543526315791"/>
    <n v="0"/>
    <n v="16711.930897358136"/>
    <n v="12274.267489856429"/>
    <n v="1897.5434101435706"/>
    <n v="0"/>
    <n v="14171.8109"/>
  </r>
  <r>
    <x v="0"/>
    <x v="0"/>
    <x v="0"/>
    <n v="11"/>
    <n v="1"/>
    <n v="0"/>
    <n v="20260121"/>
    <n v="20260201"/>
    <n v="10091.2613"/>
    <n v="12"/>
    <n v="840.93844166666668"/>
    <n v="11219.203522937385"/>
    <n v="840.93844166666668"/>
    <n v="0"/>
    <n v="12060.141964604052"/>
    <n v="9387.6104162061329"/>
    <n v="703.65088379386668"/>
    <n v="0"/>
    <n v="10091.2613"/>
  </r>
  <r>
    <x v="0"/>
    <x v="0"/>
    <x v="0"/>
    <n v="22"/>
    <n v="3"/>
    <n v="0"/>
    <n v="20260110"/>
    <n v="20260203"/>
    <n v="6894.7227999999996"/>
    <n v="25"/>
    <n v="275.78891199999998"/>
    <n v="7358.7596422995457"/>
    <n v="827.36673599999995"/>
    <n v="0"/>
    <n v="8186.1263782995456"/>
    <n v="6197.8774258823169"/>
    <n v="696.84537411768292"/>
    <n v="0"/>
    <n v="6894.7227999999996"/>
  </r>
  <r>
    <x v="0"/>
    <x v="0"/>
    <x v="0"/>
    <n v="22"/>
    <n v="4"/>
    <n v="0"/>
    <n v="20260110"/>
    <n v="20260204"/>
    <n v="588.65689999999995"/>
    <n v="26"/>
    <n v="22.640649999999997"/>
    <n v="604.11094952007784"/>
    <n v="90.562599999999989"/>
    <n v="0"/>
    <n v="694.67354952007781"/>
    <n v="511.91538679747492"/>
    <n v="76.741513202525041"/>
    <n v="0"/>
    <n v="588.65689999999995"/>
  </r>
  <r>
    <x v="0"/>
    <x v="0"/>
    <x v="0"/>
    <n v="0"/>
    <n v="11"/>
    <n v="0"/>
    <n v="20260204"/>
    <n v="20260214"/>
    <n v="84.311199999999999"/>
    <n v="11"/>
    <n v="7.6646545454545452"/>
    <n v="0"/>
    <n v="84.311199999999999"/>
    <n v="0"/>
    <n v="84.311199999999999"/>
    <n v="0"/>
    <n v="84.311199999999999"/>
    <n v="0"/>
    <n v="84.311199999999999"/>
  </r>
  <r>
    <x v="0"/>
    <x v="0"/>
    <x v="0"/>
    <n v="4"/>
    <n v="28"/>
    <n v="1"/>
    <n v="20260128"/>
    <n v="20260301"/>
    <n v="8054.7440999999999"/>
    <n v="33"/>
    <n v="244.08315454545453"/>
    <n v="1184.1396800108771"/>
    <n v="6834.3283272727267"/>
    <n v="179.95471069830342"/>
    <n v="8198.4227179819063"/>
    <n v="1163.3874501522807"/>
    <n v="6714.5556731079932"/>
    <n v="176.80097673972674"/>
    <n v="8054.7441000000008"/>
  </r>
  <r>
    <x v="0"/>
    <x v="0"/>
    <x v="0"/>
    <n v="18"/>
    <n v="4"/>
    <n v="0"/>
    <n v="20260114"/>
    <n v="20260204"/>
    <n v="588.72609999999997"/>
    <n v="22"/>
    <n v="26.760277272727272"/>
    <n v="584.20900867097055"/>
    <n v="107.04110909090909"/>
    <n v="0"/>
    <n v="691.25011776187966"/>
    <n v="497.56098758193059"/>
    <n v="91.16511241806937"/>
    <n v="0"/>
    <n v="588.72609999999997"/>
  </r>
  <r>
    <x v="0"/>
    <x v="0"/>
    <x v="0"/>
    <n v="1"/>
    <n v="28"/>
    <n v="4"/>
    <n v="20260131"/>
    <n v="20260304"/>
    <n v="3081.4002999999998"/>
    <n v="33"/>
    <n v="93.375766666666664"/>
    <n v="113.25028827506205"/>
    <n v="2614.5214666666666"/>
    <n v="275.37187657254827"/>
    <n v="3003.1436315142769"/>
    <n v="116.20139263532378"/>
    <n v="2682.6513215023383"/>
    <n v="282.54758586233783"/>
    <n v="3081.4002999999998"/>
  </r>
  <r>
    <x v="0"/>
    <x v="0"/>
    <x v="0"/>
    <n v="0"/>
    <n v="16"/>
    <n v="4"/>
    <n v="20260213"/>
    <n v="20260304"/>
    <n v="3929.5713999999998"/>
    <n v="20"/>
    <n v="196.47856999999999"/>
    <n v="0"/>
    <n v="3143.6571199999998"/>
    <n v="579.42948645695139"/>
    <n v="3723.0866064569514"/>
    <n v="0"/>
    <n v="3318.0063790979666"/>
    <n v="611.56502090203264"/>
    <n v="3929.5713999999994"/>
  </r>
  <r>
    <x v="0"/>
    <x v="0"/>
    <x v="0"/>
    <n v="19"/>
    <n v="6"/>
    <n v="0"/>
    <n v="20260113"/>
    <n v="20260206"/>
    <n v="1051.1977999999999"/>
    <n v="25"/>
    <n v="42.047911999999997"/>
    <n v="968.95402502995285"/>
    <n v="252.28747199999998"/>
    <n v="0"/>
    <n v="1221.2414970299528"/>
    <n v="834.03842883636435"/>
    <n v="217.15937116363565"/>
    <n v="0"/>
    <n v="1051.1977999999999"/>
  </r>
  <r>
    <x v="0"/>
    <x v="0"/>
    <x v="0"/>
    <n v="11"/>
    <n v="6"/>
    <n v="0"/>
    <n v="20260121"/>
    <n v="20260206"/>
    <n v="631.20780000000002"/>
    <n v="17"/>
    <n v="37.129870588235292"/>
    <n v="495.36036678753561"/>
    <n v="222.77922352941175"/>
    <n v="0"/>
    <n v="718.13959031694731"/>
    <n v="435.39630949625786"/>
    <n v="195.81149050374219"/>
    <n v="0"/>
    <n v="631.20780000000002"/>
  </r>
  <r>
    <x v="0"/>
    <x v="0"/>
    <x v="0"/>
    <n v="0"/>
    <n v="27"/>
    <n v="3"/>
    <n v="20260202"/>
    <n v="20260303"/>
    <n v="4400015.5805000002"/>
    <n v="30"/>
    <n v="146667.18601666667"/>
    <n v="0"/>
    <n v="3960014.02245"/>
    <n v="324399.08945434861"/>
    <n v="4284413.1119043482"/>
    <n v="0"/>
    <n v="4066863.5219524275"/>
    <n v="333152.05854757305"/>
    <n v="4400015.5805000002"/>
  </r>
  <r>
    <x v="0"/>
    <x v="0"/>
    <x v="0"/>
    <n v="30"/>
    <n v="1"/>
    <n v="0"/>
    <n v="20260102"/>
    <n v="20260201"/>
    <n v="21821826.804900002"/>
    <n v="31"/>
    <n v="703929.89693225815"/>
    <n v="25612725.849180594"/>
    <n v="703929.89693225815"/>
    <n v="0"/>
    <n v="26316655.746112853"/>
    <n v="21238126.640189074"/>
    <n v="583700.16471092741"/>
    <n v="0"/>
    <n v="21821826.804900002"/>
  </r>
  <r>
    <x v="0"/>
    <x v="0"/>
    <x v="1"/>
    <n v="16"/>
    <n v="19"/>
    <n v="0"/>
    <n v="20260116"/>
    <n v="20260219"/>
    <n v="17273704.561500002"/>
    <n v="35"/>
    <n v="493534.41604285716"/>
    <n v="9577288.3069406766"/>
    <n v="9377153.9048142862"/>
    <n v="0"/>
    <n v="18954442.211754963"/>
    <n v="8728046.2735961657"/>
    <n v="8545658.287903836"/>
    <n v="0"/>
    <n v="17273704.561500002"/>
  </r>
  <r>
    <x v="0"/>
    <x v="0"/>
    <x v="1"/>
    <n v="25"/>
    <n v="4"/>
    <n v="0"/>
    <n v="20260107"/>
    <n v="20260204"/>
    <n v="593241.68339999998"/>
    <n v="29"/>
    <n v="20456.609772413791"/>
    <n v="620267.1840239187"/>
    <n v="81826.439089655163"/>
    <n v="0"/>
    <n v="702093.62311357388"/>
    <n v="524101.53901740088"/>
    <n v="69140.144382599072"/>
    <n v="0"/>
    <n v="593241.68339999998"/>
  </r>
  <r>
    <x v="0"/>
    <x v="0"/>
    <x v="0"/>
    <n v="28"/>
    <n v="1"/>
    <n v="0"/>
    <n v="20260104"/>
    <n v="20260201"/>
    <n v="3012531.6121999999"/>
    <n v="29"/>
    <n v="103880.40042068965"/>
    <n v="3527741.7255542264"/>
    <n v="103880.40042068965"/>
    <n v="0"/>
    <n v="3631622.1259749159"/>
    <n v="2926359.9293266581"/>
    <n v="86171.682873341779"/>
    <n v="0"/>
    <n v="3012531.6121999999"/>
  </r>
  <r>
    <x v="0"/>
    <x v="0"/>
    <x v="0"/>
    <n v="0"/>
    <n v="26"/>
    <n v="5"/>
    <n v="20260203"/>
    <n v="20260305"/>
    <n v="1555820.7115"/>
    <n v="31"/>
    <n v="50187.764887096775"/>
    <n v="0"/>
    <n v="1304881.8870645161"/>
    <n v="185009.17705015297"/>
    <n v="1489891.0641146691"/>
    <n v="0"/>
    <n v="1362624.6340114481"/>
    <n v="193196.07748855176"/>
    <n v="1555820.7115"/>
  </r>
  <r>
    <x v="0"/>
    <x v="0"/>
    <x v="0"/>
    <n v="0"/>
    <n v="25"/>
    <n v="4"/>
    <n v="20260204"/>
    <n v="20260304"/>
    <n v="7725593.3835000005"/>
    <n v="29"/>
    <n v="266399.77184482763"/>
    <n v="0"/>
    <n v="6659994.2961206911"/>
    <n v="785632.15821602067"/>
    <n v="7445626.4543367121"/>
    <n v="0"/>
    <n v="6910420.2559462609"/>
    <n v="815173.12755373912"/>
    <n v="7725593.3835000005"/>
  </r>
  <r>
    <x v="0"/>
    <x v="0"/>
    <x v="0"/>
    <n v="30"/>
    <n v="5"/>
    <n v="0"/>
    <n v="20260102"/>
    <n v="20260205"/>
    <n v="1027092.6719"/>
    <n v="35"/>
    <n v="29345.504911428568"/>
    <n v="1067746.0574948895"/>
    <n v="146727.52455714284"/>
    <n v="0"/>
    <n v="1214473.5820520322"/>
    <n v="903003.71066954324"/>
    <n v="124088.96123045686"/>
    <n v="0"/>
    <n v="1027092.6719000001"/>
  </r>
  <r>
    <x v="0"/>
    <x v="0"/>
    <x v="0"/>
    <n v="0"/>
    <n v="23"/>
    <n v="6"/>
    <n v="20260206"/>
    <n v="20260306"/>
    <n v="1675304.7938999999"/>
    <n v="29"/>
    <n v="57769.13082413793"/>
    <n v="0"/>
    <n v="1328690.0089551725"/>
    <n v="255548.0056157881"/>
    <n v="1584238.0145709605"/>
    <n v="0"/>
    <n v="1405067.1181580399"/>
    <n v="270237.67574196012"/>
    <n v="1675304.7938999999"/>
  </r>
  <r>
    <x v="0"/>
    <x v="0"/>
    <x v="0"/>
    <n v="0"/>
    <n v="25"/>
    <n v="2"/>
    <n v="20260204"/>
    <n v="20260302"/>
    <n v="2450339.5071999999"/>
    <n v="27"/>
    <n v="90753.315081481473"/>
    <n v="0"/>
    <n v="2268832.8770370367"/>
    <n v="133819.03876827052"/>
    <n v="2402651.9158053072"/>
    <n v="0"/>
    <n v="2313864.4417307195"/>
    <n v="136475.06546928055"/>
    <n v="2450339.5071999999"/>
  </r>
  <r>
    <x v="0"/>
    <x v="0"/>
    <x v="0"/>
    <n v="0"/>
    <n v="27"/>
    <n v="5"/>
    <n v="20260202"/>
    <n v="20260305"/>
    <n v="968057.96920000005"/>
    <n v="32"/>
    <n v="30251.811537500002"/>
    <n v="0"/>
    <n v="816798.91151250002"/>
    <n v="111518.47007771701"/>
    <n v="928317.381590217"/>
    <n v="0"/>
    <n v="851765.47504590452"/>
    <n v="116292.49415409565"/>
    <n v="968057.96920000017"/>
  </r>
  <r>
    <x v="0"/>
    <x v="0"/>
    <x v="1"/>
    <n v="0"/>
    <n v="27"/>
    <n v="2"/>
    <n v="20260202"/>
    <n v="20260302"/>
    <n v="633132.53630000004"/>
    <n v="29"/>
    <n v="21832.156424137931"/>
    <n v="0"/>
    <n v="589468.22345172416"/>
    <n v="32192.302664575767"/>
    <n v="621660.52611629991"/>
    <n v="0"/>
    <n v="600346.16274224408"/>
    <n v="32786.373557755949"/>
    <n v="633132.53630000004"/>
  </r>
  <r>
    <x v="0"/>
    <x v="0"/>
    <x v="0"/>
    <n v="27"/>
    <n v="2"/>
    <n v="0"/>
    <n v="20260105"/>
    <n v="20260202"/>
    <n v="923029.88190000004"/>
    <n v="29"/>
    <n v="31828.61661724138"/>
    <n v="1042285.4202043868"/>
    <n v="63657.233234482759"/>
    <n v="0"/>
    <n v="1105942.6534388696"/>
    <n v="869900.97119942983"/>
    <n v="53128.91070057021"/>
    <n v="0"/>
    <n v="923029.88190000004"/>
  </r>
  <r>
    <x v="0"/>
    <x v="0"/>
    <x v="1"/>
    <n v="26"/>
    <n v="5"/>
    <n v="0"/>
    <n v="20260106"/>
    <n v="20260205"/>
    <n v="759416.48930000002"/>
    <n v="31"/>
    <n v="24497.306106451615"/>
    <n v="772497.01947796775"/>
    <n v="122486.53053225807"/>
    <n v="0"/>
    <n v="894983.55001022585"/>
    <n v="655483.52762457938"/>
    <n v="103932.96167542061"/>
    <n v="0"/>
    <n v="759416.48930000002"/>
  </r>
  <r>
    <x v="0"/>
    <x v="0"/>
    <x v="1"/>
    <n v="29"/>
    <n v="5"/>
    <n v="0"/>
    <n v="20260103"/>
    <n v="20260205"/>
    <n v="44887.727500000001"/>
    <n v="34"/>
    <n v="1320.2272794117648"/>
    <n v="46435.682771484768"/>
    <n v="6601.1363970588245"/>
    <n v="0"/>
    <n v="53036.819168543589"/>
    <n v="39300.85376913246"/>
    <n v="5586.8737308675427"/>
    <n v="0"/>
    <n v="44887.727500000001"/>
  </r>
  <r>
    <x v="0"/>
    <x v="0"/>
    <x v="0"/>
    <n v="25"/>
    <n v="2"/>
    <n v="0"/>
    <n v="20260107"/>
    <n v="20260202"/>
    <n v="1041776.3367"/>
    <n v="27"/>
    <n v="38584.308766666669"/>
    <n v="1169919.2003204448"/>
    <n v="77168.617533333338"/>
    <n v="0"/>
    <n v="1247087.8178537781"/>
    <n v="977312.19990774605"/>
    <n v="64464.136792253921"/>
    <n v="0"/>
    <n v="1041776.3367"/>
  </r>
  <r>
    <x v="0"/>
    <x v="0"/>
    <x v="0"/>
    <n v="0"/>
    <n v="23"/>
    <n v="4"/>
    <n v="20260206"/>
    <n v="20260304"/>
    <n v="2523884.3804000001"/>
    <n v="27"/>
    <n v="93477.199274074082"/>
    <n v="0"/>
    <n v="2149975.5833037039"/>
    <n v="275671.00865407794"/>
    <n v="2425646.5919577819"/>
    <n v="0"/>
    <n v="2237048.7980122217"/>
    <n v="286835.58238777856"/>
    <n v="2523884.3804000001"/>
  </r>
  <r>
    <x v="0"/>
    <x v="0"/>
    <x v="0"/>
    <n v="0"/>
    <n v="22"/>
    <n v="4"/>
    <n v="20260207"/>
    <n v="20260304"/>
    <n v="397771.21779999998"/>
    <n v="26"/>
    <n v="15298.892992307692"/>
    <n v="0"/>
    <n v="336575.64583076921"/>
    <n v="45117.539841076301"/>
    <n v="381693.18567184551"/>
    <n v="0"/>
    <n v="350753.19536625891"/>
    <n v="47018.022433741098"/>
    <n v="397771.21779999998"/>
  </r>
  <r>
    <x v="0"/>
    <x v="0"/>
    <x v="0"/>
    <n v="15"/>
    <n v="19"/>
    <n v="0"/>
    <n v="20260117"/>
    <n v="20260219"/>
    <n v="1991238.5669"/>
    <n v="34"/>
    <n v="58565.840202941174"/>
    <n v="1065468.8881535067"/>
    <n v="1112750.9638558824"/>
    <n v="0"/>
    <n v="2178219.8520093891"/>
    <n v="974007.62368691328"/>
    <n v="1017230.9432130867"/>
    <n v="0"/>
    <n v="1991238.5669"/>
  </r>
  <r>
    <x v="0"/>
    <x v="0"/>
    <x v="0"/>
    <n v="0"/>
    <n v="27"/>
    <n v="8"/>
    <n v="20260202"/>
    <n v="20260308"/>
    <n v="230971.6501"/>
    <n v="35"/>
    <n v="6599.1900028571426"/>
    <n v="0"/>
    <n v="178178.13007714285"/>
    <n v="38922.975410370316"/>
    <n v="217101.10548751318"/>
    <n v="0"/>
    <n v="189561.8938615545"/>
    <n v="41409.756238445465"/>
    <n v="230971.65009999997"/>
  </r>
  <r>
    <x v="0"/>
    <x v="0"/>
    <x v="1"/>
    <n v="0"/>
    <n v="22"/>
    <n v="3"/>
    <n v="20260207"/>
    <n v="20260303"/>
    <n v="90310.191500000001"/>
    <n v="25"/>
    <n v="3612.4076599999999"/>
    <n v="0"/>
    <n v="79472.968519999995"/>
    <n v="7989.9382231874852"/>
    <n v="87462.906743187486"/>
    <n v="0"/>
    <n v="82060.147248350026"/>
    <n v="8250.0442516499734"/>
    <n v="90310.191500000001"/>
  </r>
  <r>
    <x v="0"/>
    <x v="0"/>
    <x v="1"/>
    <n v="0"/>
    <n v="23"/>
    <n v="2"/>
    <n v="20260206"/>
    <n v="20260302"/>
    <n v="21778.3073"/>
    <n v="25"/>
    <n v="871.13229200000001"/>
    <n v="0"/>
    <n v="20036.042716"/>
    <n v="1284.5160074954408"/>
    <n v="21320.55872349544"/>
    <n v="0"/>
    <n v="20466.212963927253"/>
    <n v="1312.0943360727492"/>
    <n v="21778.307300000004"/>
  </r>
  <r>
    <x v="0"/>
    <x v="0"/>
    <x v="1"/>
    <n v="0"/>
    <n v="8"/>
    <n v="0"/>
    <n v="20260221"/>
    <n v="20260228"/>
    <n v="45433.9182"/>
    <n v="8"/>
    <n v="5679.239775"/>
    <n v="0"/>
    <n v="45433.9182"/>
    <n v="0"/>
    <n v="45433.9182"/>
    <n v="0"/>
    <n v="45433.9182"/>
    <n v="0"/>
    <n v="45433.9182"/>
  </r>
  <r>
    <x v="0"/>
    <x v="0"/>
    <x v="0"/>
    <n v="0"/>
    <n v="26"/>
    <n v="6"/>
    <n v="20260203"/>
    <n v="20260306"/>
    <n v="405307.25420000002"/>
    <n v="32"/>
    <n v="12665.851693750001"/>
    <n v="0"/>
    <n v="329312.14403750002"/>
    <n v="56028.766463814376"/>
    <n v="385340.91050131439"/>
    <n v="0"/>
    <n v="346375.37109909015"/>
    <n v="58931.883100909923"/>
    <n v="405307.25420000008"/>
  </r>
  <r>
    <x v="0"/>
    <x v="0"/>
    <x v="0"/>
    <n v="29"/>
    <n v="5"/>
    <n v="0"/>
    <n v="20260103"/>
    <n v="20260205"/>
    <n v="588635.22"/>
    <n v="34"/>
    <n v="17312.800588235292"/>
    <n v="608934.33163982595"/>
    <n v="86564.002941176455"/>
    <n v="0"/>
    <n v="695498.33458100236"/>
    <n v="515371.75065458845"/>
    <n v="73263.469345411548"/>
    <n v="0"/>
    <n v="588635.22"/>
  </r>
  <r>
    <x v="0"/>
    <x v="0"/>
    <x v="0"/>
    <n v="0"/>
    <n v="27"/>
    <n v="6"/>
    <n v="20260202"/>
    <n v="20260306"/>
    <n v="234233.5344"/>
    <n v="33"/>
    <n v="7097.9858909090908"/>
    <n v="0"/>
    <n v="191645.61905454544"/>
    <n v="31398.709179694313"/>
    <n v="223044.32823423977"/>
    <n v="0"/>
    <n v="201259.68258775515"/>
    <n v="32973.851812244851"/>
    <n v="234233.5344"/>
  </r>
  <r>
    <x v="0"/>
    <x v="0"/>
    <x v="0"/>
    <n v="0"/>
    <n v="13"/>
    <n v="16"/>
    <n v="20260216"/>
    <n v="20260316"/>
    <n v="1350851.7409999999"/>
    <n v="29"/>
    <n v="46581.094517241378"/>
    <n v="0"/>
    <n v="605554.22872413788"/>
    <n v="549484.04143470479"/>
    <n v="1155038.2701588427"/>
    <n v="0"/>
    <n v="708213.7495144807"/>
    <n v="642637.9914855191"/>
    <n v="1350851.7409999999"/>
  </r>
  <r>
    <x v="0"/>
    <x v="0"/>
    <x v="1"/>
    <n v="0"/>
    <n v="9"/>
    <n v="18"/>
    <n v="20260220"/>
    <n v="20260318"/>
    <n v="52862.422200000001"/>
    <n v="27"/>
    <n v="1957.8674888888888"/>
    <n v="0"/>
    <n v="17620.807399999998"/>
    <n v="25982.516522638696"/>
    <n v="43603.323922638694"/>
    <n v="0"/>
    <n v="21362.558550268317"/>
    <n v="31499.863649731684"/>
    <n v="52862.422200000001"/>
  </r>
  <r>
    <x v="0"/>
    <x v="0"/>
    <x v="0"/>
    <n v="28"/>
    <n v="6"/>
    <n v="0"/>
    <n v="20260104"/>
    <n v="20260206"/>
    <n v="194899.0416"/>
    <n v="34"/>
    <n v="5732.3247529411765"/>
    <n v="194667.72493640005"/>
    <n v="34393.948517647063"/>
    <n v="0"/>
    <n v="229061.67345404712"/>
    <n v="165634.66270217474"/>
    <n v="29264.378897825245"/>
    <n v="0"/>
    <n v="194899.0416"/>
  </r>
  <r>
    <x v="0"/>
    <x v="0"/>
    <x v="1"/>
    <n v="30"/>
    <n v="6"/>
    <n v="0"/>
    <n v="20260102"/>
    <n v="20260206"/>
    <n v="152246.17610000001"/>
    <n v="36"/>
    <n v="4229.0604472222221"/>
    <n v="153875.78550984556"/>
    <n v="25374.362683333333"/>
    <n v="0"/>
    <n v="179250.1481931789"/>
    <n v="130694.45227465233"/>
    <n v="21551.723825347675"/>
    <n v="0"/>
    <n v="152246.17610000001"/>
  </r>
  <r>
    <x v="0"/>
    <x v="0"/>
    <x v="0"/>
    <n v="23"/>
    <n v="6"/>
    <n v="0"/>
    <n v="20260109"/>
    <n v="20260206"/>
    <n v="155058.1139"/>
    <n v="29"/>
    <n v="5346.8315137931031"/>
    <n v="149152.1337276753"/>
    <n v="32080.98908275862"/>
    <n v="0"/>
    <n v="181233.12281043391"/>
    <n v="127610.49515305505"/>
    <n v="27447.618746944951"/>
    <n v="0"/>
    <n v="155058.1139"/>
  </r>
  <r>
    <x v="0"/>
    <x v="0"/>
    <x v="0"/>
    <n v="0"/>
    <n v="22"/>
    <n v="1"/>
    <n v="20260207"/>
    <n v="20260301"/>
    <n v="166122.9026"/>
    <n v="23"/>
    <n v="7222.7348956521737"/>
    <n v="0"/>
    <n v="158900.16770434781"/>
    <n v="5325.0916517287878"/>
    <n v="164225.2593560766"/>
    <n v="0"/>
    <n v="160736.27885366045"/>
    <n v="5386.6237463395555"/>
    <n v="166122.9026"/>
  </r>
  <r>
    <x v="0"/>
    <x v="0"/>
    <x v="1"/>
    <n v="0"/>
    <n v="25"/>
    <n v="9"/>
    <n v="20260204"/>
    <n v="20260309"/>
    <n v="139358.2892"/>
    <n v="34"/>
    <n v="4098.7732117647056"/>
    <n v="0"/>
    <n v="102469.33029411764"/>
    <n v="27197.050694596099"/>
    <n v="129666.38098871373"/>
    <n v="0"/>
    <n v="110128.39609135776"/>
    <n v="29229.893108642249"/>
    <n v="139358.2892"/>
  </r>
  <r>
    <x v="0"/>
    <x v="0"/>
    <x v="0"/>
    <n v="27"/>
    <n v="5"/>
    <n v="0"/>
    <n v="20260105"/>
    <n v="20260205"/>
    <n v="883495.38899999997"/>
    <n v="32"/>
    <n v="27609.230906249999"/>
    <n v="904114.0299215063"/>
    <n v="138046.15453125001"/>
    <n v="0"/>
    <n v="1042160.1844527563"/>
    <n v="766466.21937999164"/>
    <n v="117029.16962000838"/>
    <n v="0"/>
    <n v="883495.38899999997"/>
  </r>
  <r>
    <x v="0"/>
    <x v="0"/>
    <x v="1"/>
    <n v="26"/>
    <n v="8"/>
    <n v="0"/>
    <n v="20260106"/>
    <n v="20260208"/>
    <n v="1975.5551"/>
    <n v="34"/>
    <n v="58.104561764705885"/>
    <n v="1832.2668046135773"/>
    <n v="464.83649411764708"/>
    <n v="0"/>
    <n v="2297.1032987312242"/>
    <n v="1575.7863533670322"/>
    <n v="399.76874663296798"/>
    <n v="0"/>
    <n v="1975.5551000000003"/>
  </r>
  <r>
    <x v="0"/>
    <x v="0"/>
    <x v="1"/>
    <n v="0"/>
    <n v="23"/>
    <n v="0"/>
    <n v="20260204"/>
    <n v="20260226"/>
    <n v="969.85209999999995"/>
    <n v="23"/>
    <n v="42.16748260869565"/>
    <n v="0"/>
    <n v="969.85209999999995"/>
    <n v="0"/>
    <n v="969.85209999999995"/>
    <n v="0"/>
    <n v="969.85209999999995"/>
    <n v="0"/>
    <n v="969.85209999999995"/>
  </r>
  <r>
    <x v="0"/>
    <x v="0"/>
    <x v="1"/>
    <n v="12"/>
    <n v="15"/>
    <n v="0"/>
    <n v="20260120"/>
    <n v="20260215"/>
    <n v="54342.7716"/>
    <n v="27"/>
    <n v="2012.6952444444444"/>
    <n v="29293.037126886502"/>
    <n v="30190.428666666667"/>
    <n v="0"/>
    <n v="59483.465793553172"/>
    <n v="26761.467322390617"/>
    <n v="27581.304277609375"/>
    <n v="0"/>
    <n v="54342.771599999993"/>
  </r>
  <r>
    <x v="0"/>
    <x v="0"/>
    <x v="1"/>
    <n v="0"/>
    <n v="22"/>
    <n v="1"/>
    <n v="20260207"/>
    <n v="20260301"/>
    <n v="16038.2883"/>
    <n v="23"/>
    <n v="697.31688260869566"/>
    <n v="0"/>
    <n v="15340.971417391305"/>
    <n v="514.10945629810772"/>
    <n v="15855.080873689412"/>
    <n v="0"/>
    <n v="15518.238245159338"/>
    <n v="520.05005484066146"/>
    <n v="16038.2883"/>
  </r>
  <r>
    <x v="0"/>
    <x v="0"/>
    <x v="0"/>
    <n v="0"/>
    <n v="24"/>
    <n v="9"/>
    <n v="20260205"/>
    <n v="20260309"/>
    <n v="127074.5003"/>
    <n v="33"/>
    <n v="3850.7424333333333"/>
    <n v="0"/>
    <n v="92417.818400000004"/>
    <n v="25551.264185731456"/>
    <n v="117969.08258573146"/>
    <n v="0"/>
    <n v="99551.067403287525"/>
    <n v="27523.432896712467"/>
    <n v="127074.50029999999"/>
  </r>
  <r>
    <x v="0"/>
    <x v="0"/>
    <x v="1"/>
    <n v="0"/>
    <n v="21"/>
    <n v="7"/>
    <n v="20260208"/>
    <n v="20260307"/>
    <n v="13438.7986"/>
    <n v="28"/>
    <n v="479.95709285714287"/>
    <n v="0"/>
    <n v="10079.09895"/>
    <n v="2476.9992000261141"/>
    <n v="12556.098150026113"/>
    <n v="0"/>
    <n v="10787.665024603186"/>
    <n v="2651.1335753968146"/>
    <n v="13438.7986"/>
  </r>
  <r>
    <x v="0"/>
    <x v="0"/>
    <x v="0"/>
    <n v="0"/>
    <n v="19"/>
    <n v="5"/>
    <n v="20260210"/>
    <n v="20260305"/>
    <n v="37396.0573"/>
    <n v="24"/>
    <n v="1558.1690541666667"/>
    <n v="0"/>
    <n v="29605.212029166665"/>
    <n v="5743.9412786144139"/>
    <n v="35349.153307781082"/>
    <n v="0"/>
    <n v="31319.511270377901"/>
    <n v="6076.5460296220954"/>
    <n v="37396.0573"/>
  </r>
  <r>
    <x v="0"/>
    <x v="0"/>
    <x v="1"/>
    <n v="13"/>
    <n v="15"/>
    <n v="0"/>
    <n v="20260119"/>
    <n v="20260215"/>
    <n v="6653.6040000000003"/>
    <n v="28"/>
    <n v="237.6287142857143"/>
    <n v="3746.6869363189185"/>
    <n v="3564.4307142857142"/>
    <n v="0"/>
    <n v="7311.1176506046322"/>
    <n v="3409.7346503756053"/>
    <n v="3243.8693496243955"/>
    <n v="0"/>
    <n v="6653.6040000000012"/>
  </r>
  <r>
    <x v="0"/>
    <x v="0"/>
    <x v="0"/>
    <n v="27"/>
    <n v="7"/>
    <n v="0"/>
    <n v="20260105"/>
    <n v="20260207"/>
    <n v="151378.26300000001"/>
    <n v="34"/>
    <n v="4452.3018529411765"/>
    <n v="145798.64916767369"/>
    <n v="31166.112970588234"/>
    <n v="0"/>
    <n v="176964.76213826193"/>
    <n v="124718.31110368202"/>
    <n v="26659.951896317983"/>
    <n v="0"/>
    <n v="151378.26300000001"/>
  </r>
  <r>
    <x v="0"/>
    <x v="0"/>
    <x v="0"/>
    <n v="0"/>
    <n v="19"/>
    <n v="6"/>
    <n v="20260210"/>
    <n v="20260306"/>
    <n v="42984.829299999998"/>
    <n v="25"/>
    <n v="1719.3931719999998"/>
    <n v="0"/>
    <n v="32668.470267999997"/>
    <n v="7605.9218774053725"/>
    <n v="40274.392145405371"/>
    <n v="0"/>
    <n v="34867.034439458475"/>
    <n v="8117.7948605415195"/>
    <n v="42984.829299999998"/>
  </r>
  <r>
    <x v="0"/>
    <x v="0"/>
    <x v="0"/>
    <n v="0"/>
    <n v="17"/>
    <n v="0"/>
    <n v="20260208"/>
    <n v="20260224"/>
    <n v="4175.2655999999997"/>
    <n v="17"/>
    <n v="245.60385882352941"/>
    <n v="0"/>
    <n v="4175.2655999999997"/>
    <n v="0"/>
    <n v="4175.2655999999997"/>
    <n v="0"/>
    <n v="4175.2655999999997"/>
    <n v="0"/>
    <n v="4175.2655999999997"/>
  </r>
  <r>
    <x v="0"/>
    <x v="0"/>
    <x v="0"/>
    <n v="0"/>
    <n v="19"/>
    <n v="2"/>
    <n v="20260210"/>
    <n v="20260302"/>
    <n v="3969.5025999999998"/>
    <n v="21"/>
    <n v="189.02393333333333"/>
    <n v="0"/>
    <n v="3591.4547333333335"/>
    <n v="278.72261239331687"/>
    <n v="3870.1773457266504"/>
    <n v="0"/>
    <n v="3683.6267768169328"/>
    <n v="285.87582318306698"/>
    <n v="3969.5025999999998"/>
  </r>
  <r>
    <x v="0"/>
    <x v="0"/>
    <x v="1"/>
    <n v="0"/>
    <n v="20"/>
    <n v="5"/>
    <n v="20260209"/>
    <n v="20260305"/>
    <n v="591.54840000000002"/>
    <n v="25"/>
    <n v="23.661936000000001"/>
    <n v="0"/>
    <n v="473.23872"/>
    <n v="87.225946734656929"/>
    <n v="560.46466673465693"/>
    <n v="0"/>
    <n v="499.48484578882983"/>
    <n v="92.063554211170214"/>
    <n v="591.54840000000002"/>
  </r>
  <r>
    <x v="0"/>
    <x v="0"/>
    <x v="0"/>
    <n v="27"/>
    <n v="9"/>
    <n v="0"/>
    <n v="20260105"/>
    <n v="20260209"/>
    <n v="1723.4376"/>
    <n v="36"/>
    <n v="47.873266666666666"/>
    <n v="1567.696405541989"/>
    <n v="430.85939999999999"/>
    <n v="0"/>
    <n v="1998.555805541989"/>
    <n v="1351.8896611261764"/>
    <n v="371.54793887382345"/>
    <n v="0"/>
    <n v="1723.4375999999997"/>
  </r>
  <r>
    <x v="0"/>
    <x v="0"/>
    <x v="1"/>
    <n v="0"/>
    <n v="15"/>
    <n v="0"/>
    <n v="20260201"/>
    <n v="20260215"/>
    <n v="28422.881099999999"/>
    <n v="15"/>
    <n v="1894.8587399999999"/>
    <n v="0"/>
    <n v="28422.881099999999"/>
    <n v="0"/>
    <n v="28422.881099999999"/>
    <n v="0"/>
    <n v="28422.881099999999"/>
    <n v="0"/>
    <n v="28422.881099999999"/>
  </r>
  <r>
    <x v="0"/>
    <x v="0"/>
    <x v="0"/>
    <n v="0"/>
    <n v="25"/>
    <n v="0"/>
    <n v="20260202"/>
    <n v="20260226"/>
    <n v="84.352800000000002"/>
    <n v="25"/>
    <n v="3.3741120000000002"/>
    <n v="0"/>
    <n v="84.352800000000002"/>
    <n v="0"/>
    <n v="84.352800000000002"/>
    <n v="0"/>
    <n v="84.352800000000002"/>
    <n v="0"/>
    <n v="84.352800000000002"/>
  </r>
  <r>
    <x v="0"/>
    <x v="0"/>
    <x v="0"/>
    <n v="0"/>
    <n v="26"/>
    <n v="11"/>
    <n v="20260203"/>
    <n v="20260311"/>
    <n v="20905.6774"/>
    <n v="37"/>
    <n v="565.01830810810816"/>
    <n v="0"/>
    <n v="14690.476010810813"/>
    <n v="4582.2693909626159"/>
    <n v="19272.745401773427"/>
    <n v="0"/>
    <n v="15935.163669322894"/>
    <n v="4970.5137306771085"/>
    <n v="20905.6774"/>
  </r>
  <r>
    <x v="0"/>
    <x v="0"/>
    <x v="1"/>
    <n v="0"/>
    <n v="24"/>
    <n v="9"/>
    <n v="20260205"/>
    <n v="20260309"/>
    <n v="380.19220000000001"/>
    <n v="33"/>
    <n v="11.520975757575759"/>
    <n v="0"/>
    <n v="276.50341818181823"/>
    <n v="76.446425684307414"/>
    <n v="352.94984386612566"/>
    <n v="0"/>
    <n v="297.84527374926199"/>
    <n v="82.346926250738008"/>
    <n v="380.19220000000001"/>
  </r>
  <r>
    <x v="0"/>
    <x v="0"/>
    <x v="0"/>
    <n v="0"/>
    <n v="25"/>
    <n v="11"/>
    <n v="20260204"/>
    <n v="20260311"/>
    <n v="12290.004199999999"/>
    <n v="36"/>
    <n v="341.38900555555551"/>
    <n v="0"/>
    <n v="8534.7251388888872"/>
    <n v="2768.6472599558228"/>
    <n v="11303.372398844709"/>
    <n v="0"/>
    <n v="9279.6914143526537"/>
    <n v="3010.312785647347"/>
    <n v="12290.004200000001"/>
  </r>
  <r>
    <x v="0"/>
    <x v="0"/>
    <x v="0"/>
    <n v="12"/>
    <n v="20"/>
    <n v="0"/>
    <n v="20260120"/>
    <n v="20260220"/>
    <n v="126493.0034"/>
    <n v="32"/>
    <n v="3952.90635625"/>
    <n v="57531.130444290706"/>
    <n v="79058.127124999999"/>
    <n v="0"/>
    <n v="136589.2575692907"/>
    <n v="53278.607764624503"/>
    <n v="73214.395635375491"/>
    <n v="0"/>
    <n v="126493.00339999999"/>
  </r>
  <r>
    <x v="0"/>
    <x v="0"/>
    <x v="0"/>
    <n v="23"/>
    <n v="8"/>
    <n v="0"/>
    <n v="20260109"/>
    <n v="20260208"/>
    <n v="7904.8212999999996"/>
    <n v="31"/>
    <n v="254.99423548387097"/>
    <n v="7113.1723923905083"/>
    <n v="2039.9538838709677"/>
    <n v="0"/>
    <n v="9153.1262762614751"/>
    <n v="6143.0766866800495"/>
    <n v="1761.7446133199505"/>
    <n v="0"/>
    <n v="7904.8212999999996"/>
  </r>
  <r>
    <x v="0"/>
    <x v="0"/>
    <x v="0"/>
    <n v="31"/>
    <n v="1"/>
    <n v="0"/>
    <n v="20251229"/>
    <n v="20260201"/>
    <n v="38671.517099999997"/>
    <n v="32"/>
    <n v="1208.4849093749999"/>
    <n v="45436.833845678841"/>
    <n v="1208.4849093749999"/>
    <n v="0"/>
    <n v="46645.318755053842"/>
    <n v="37669.617100486677"/>
    <n v="1001.8999995133233"/>
    <n v="0"/>
    <n v="38671.517099999997"/>
  </r>
  <r>
    <x v="0"/>
    <x v="0"/>
    <x v="0"/>
    <n v="31"/>
    <n v="1"/>
    <n v="0"/>
    <n v="20251231"/>
    <n v="20260201"/>
    <n v="97205.938500000004"/>
    <n v="32"/>
    <n v="3037.6855781250001"/>
    <n v="114211.45089851612"/>
    <n v="3037.6855781250001"/>
    <n v="0"/>
    <n v="117249.13647664113"/>
    <n v="94687.531231828922"/>
    <n v="2518.4072681710786"/>
    <n v="0"/>
    <n v="97205.938500000004"/>
  </r>
  <r>
    <x v="0"/>
    <x v="0"/>
    <x v="0"/>
    <n v="31"/>
    <n v="3"/>
    <n v="0"/>
    <n v="20251226"/>
    <n v="20260203"/>
    <n v="17767.873500000002"/>
    <n v="34"/>
    <n v="522.58451470588238"/>
    <n v="19648.226949971624"/>
    <n v="1567.7535441176472"/>
    <n v="0"/>
    <n v="21215.980494089272"/>
    <n v="16454.917605323364"/>
    <n v="1312.9558946766354"/>
    <n v="0"/>
    <n v="17767.873499999998"/>
  </r>
  <r>
    <x v="0"/>
    <x v="0"/>
    <x v="0"/>
    <n v="31"/>
    <n v="4"/>
    <n v="0"/>
    <n v="20251227"/>
    <n v="20260204"/>
    <n v="38650.438900000001"/>
    <n v="35"/>
    <n v="1104.2982542857144"/>
    <n v="41519.605174054654"/>
    <n v="4417.1930171428576"/>
    <n v="0"/>
    <n v="45936.798191197508"/>
    <n v="34933.887996561083"/>
    <n v="3716.5509034389252"/>
    <n v="0"/>
    <n v="38650.438900000008"/>
  </r>
  <r>
    <x v="0"/>
    <x v="0"/>
    <x v="0"/>
    <n v="6"/>
    <n v="28"/>
    <n v="5"/>
    <n v="20260126"/>
    <n v="20260305"/>
    <n v="1181.2152000000001"/>
    <n v="39"/>
    <n v="30.287569230769233"/>
    <n v="220.40467686526543"/>
    <n v="848.0519384615385"/>
    <n v="111.65028510115619"/>
    <n v="1180.1069004279602"/>
    <n v="220.61167032404174"/>
    <n v="848.84838800362968"/>
    <n v="111.75514167232856"/>
    <n v="1181.2152000000001"/>
  </r>
  <r>
    <x v="0"/>
    <x v="0"/>
    <x v="0"/>
    <n v="16"/>
    <n v="4"/>
    <n v="0"/>
    <n v="20260116"/>
    <n v="20260204"/>
    <n v="4963.1692999999996"/>
    <n v="20"/>
    <n v="248.15846499999998"/>
    <n v="4815.6422082355093"/>
    <n v="992.63385999999991"/>
    <n v="0"/>
    <n v="5808.2760682355092"/>
    <n v="4114.9641110222747"/>
    <n v="848.2051889777249"/>
    <n v="0"/>
    <n v="4963.1692999999996"/>
  </r>
  <r>
    <x v="0"/>
    <x v="0"/>
    <x v="0"/>
    <n v="0"/>
    <n v="15"/>
    <n v="1"/>
    <n v="20260214"/>
    <n v="20260301"/>
    <n v="2955.1824999999999"/>
    <n v="16"/>
    <n v="184.69890624999999"/>
    <n v="0"/>
    <n v="2770.4835937499997"/>
    <n v="136.17260192498105"/>
    <n v="2906.6561956749806"/>
    <n v="0"/>
    <n v="2816.7365115177872"/>
    <n v="138.44598848221261"/>
    <n v="2955.1824999999999"/>
  </r>
  <r>
    <x v="0"/>
    <x v="0"/>
    <x v="0"/>
    <n v="2"/>
    <n v="28"/>
    <n v="3"/>
    <n v="20260130"/>
    <n v="20260303"/>
    <n v="23799.7376"/>
    <n v="33"/>
    <n v="721.20416969696976"/>
    <n v="1749.4170712392245"/>
    <n v="20193.716751515152"/>
    <n v="1595.162369405454"/>
    <n v="23538.296192159833"/>
    <n v="1768.84796199999"/>
    <n v="20418.009694978078"/>
    <n v="1612.8799430219306"/>
    <n v="23799.737599999997"/>
  </r>
  <r>
    <x v="0"/>
    <x v="0"/>
    <x v="0"/>
    <n v="0"/>
    <n v="4"/>
    <n v="5"/>
    <n v="20260225"/>
    <n v="20260305"/>
    <n v="42.403700000000001"/>
    <n v="9"/>
    <n v="4.7115222222222224"/>
    <n v="0"/>
    <n v="18.84608888888889"/>
    <n v="17.368273939829269"/>
    <n v="36.214362828718158"/>
    <n v="0"/>
    <n v="22.067042935353069"/>
    <n v="20.336657064646932"/>
    <n v="42.403700000000001"/>
  </r>
  <r>
    <x v="0"/>
    <x v="0"/>
    <x v="0"/>
    <n v="0"/>
    <n v="1"/>
    <n v="0"/>
    <n v="20260211"/>
    <n v="20260211"/>
    <n v="5735.8527000000004"/>
    <n v="1"/>
    <n v="5735.8527000000004"/>
    <n v="0"/>
    <n v="5735.8527000000004"/>
    <n v="0"/>
    <n v="5735.8527000000004"/>
    <n v="0"/>
    <n v="5735.8527000000004"/>
    <n v="0"/>
    <n v="5735.8527000000004"/>
  </r>
  <r>
    <x v="0"/>
    <x v="0"/>
    <x v="1"/>
    <n v="0"/>
    <n v="6"/>
    <n v="3"/>
    <n v="20260223"/>
    <n v="20260303"/>
    <n v="84.738200000000006"/>
    <n v="9"/>
    <n v="9.415355555555557"/>
    <n v="0"/>
    <n v="56.492133333333342"/>
    <n v="20.824922411507121"/>
    <n v="77.317055744840459"/>
    <n v="0"/>
    <n v="61.914433325354835"/>
    <n v="22.823766674645174"/>
    <n v="84.738200000000006"/>
  </r>
  <r>
    <x v="0"/>
    <x v="0"/>
    <x v="0"/>
    <n v="10"/>
    <n v="2"/>
    <n v="0"/>
    <n v="20260122"/>
    <n v="20260202"/>
    <n v="2986.7347"/>
    <n v="12"/>
    <n v="248.89455833333332"/>
    <n v="3018.7040479108155"/>
    <n v="497.78911666666664"/>
    <n v="0"/>
    <n v="3516.4931645774823"/>
    <n v="2563.9373395480507"/>
    <n v="422.79736045194926"/>
    <n v="0"/>
    <n v="2986.7347"/>
  </r>
  <r>
    <x v="0"/>
    <x v="0"/>
    <x v="0"/>
    <n v="2"/>
    <n v="28"/>
    <n v="2"/>
    <n v="20260130"/>
    <n v="20260302"/>
    <n v="9999.3140999999996"/>
    <n v="32"/>
    <n v="312.47856562499999"/>
    <n v="757.97584105817202"/>
    <n v="8749.3998374999992"/>
    <n v="460.76092372032872"/>
    <n v="9968.1366022785005"/>
    <n v="760.34657402466655"/>
    <n v="8776.7654730627964"/>
    <n v="462.20205291253524"/>
    <n v="9999.3140999999978"/>
  </r>
  <r>
    <x v="0"/>
    <x v="0"/>
    <x v="0"/>
    <n v="0"/>
    <n v="3"/>
    <n v="0"/>
    <n v="20260204"/>
    <n v="20260206"/>
    <n v="27875.621899999998"/>
    <n v="3"/>
    <n v="9291.8739666666661"/>
    <n v="0"/>
    <n v="27875.621899999998"/>
    <n v="0"/>
    <n v="27875.621899999998"/>
    <n v="0"/>
    <n v="27875.621899999998"/>
    <n v="0"/>
    <n v="27875.621899999998"/>
  </r>
  <r>
    <x v="0"/>
    <x v="0"/>
    <x v="0"/>
    <n v="20"/>
    <n v="9"/>
    <n v="0"/>
    <n v="20260112"/>
    <n v="20260209"/>
    <n v="5088.7537000000002"/>
    <n v="29"/>
    <n v="175.47426551724138"/>
    <n v="4256.4600782606412"/>
    <n v="1579.2683896551723"/>
    <n v="0"/>
    <n v="5835.7284679158138"/>
    <n v="3711.6320766526105"/>
    <n v="1377.1216233473895"/>
    <n v="0"/>
    <n v="5088.7537000000002"/>
  </r>
  <r>
    <x v="0"/>
    <x v="0"/>
    <x v="0"/>
    <n v="6"/>
    <n v="28"/>
    <n v="4"/>
    <n v="20260126"/>
    <n v="20260304"/>
    <n v="6959.5911999999998"/>
    <n v="38"/>
    <n v="183.14713684210525"/>
    <n v="1332.7740237890839"/>
    <n v="5128.119831578947"/>
    <n v="540.11412769587059"/>
    <n v="7001.0079830639015"/>
    <n v="1324.8895573308241"/>
    <n v="5097.7827391054079"/>
    <n v="536.91890356376803"/>
    <n v="6959.5912000000008"/>
  </r>
  <r>
    <x v="0"/>
    <x v="0"/>
    <x v="0"/>
    <n v="0"/>
    <n v="8"/>
    <n v="3"/>
    <n v="20260221"/>
    <n v="20260303"/>
    <n v="42.330500000000001"/>
    <n v="11"/>
    <n v="3.8482272727272728"/>
    <n v="0"/>
    <n v="30.785818181818183"/>
    <n v="8.5115250192654521"/>
    <n v="39.297343201083635"/>
    <n v="0"/>
    <n v="33.16201479263156"/>
    <n v="9.1684852073684446"/>
    <n v="42.330500000000001"/>
  </r>
  <r>
    <x v="0"/>
    <x v="0"/>
    <x v="0"/>
    <n v="19"/>
    <n v="1"/>
    <n v="0"/>
    <n v="20260113"/>
    <n v="20260201"/>
    <n v="12857.5888"/>
    <n v="20"/>
    <n v="642.87943999999993"/>
    <n v="14814.543490221395"/>
    <n v="642.87943999999993"/>
    <n v="0"/>
    <n v="15457.422930221395"/>
    <n v="12322.837339500504"/>
    <n v="534.75146049949467"/>
    <n v="0"/>
    <n v="12857.588799999998"/>
  </r>
  <r>
    <x v="0"/>
    <x v="0"/>
    <x v="1"/>
    <n v="12"/>
    <n v="4"/>
    <n v="0"/>
    <n v="20260120"/>
    <n v="20260204"/>
    <n v="42.081499999999998"/>
    <n v="16"/>
    <n v="2.6300937499999999"/>
    <n v="38.278737965224394"/>
    <n v="10.520375"/>
    <n v="0"/>
    <n v="48.799112965224396"/>
    <n v="33.00934410081409"/>
    <n v="9.0721558991859066"/>
    <n v="0"/>
    <n v="42.081499999999998"/>
  </r>
  <r>
    <x v="0"/>
    <x v="0"/>
    <x v="0"/>
    <n v="18"/>
    <n v="3"/>
    <n v="0"/>
    <n v="20260114"/>
    <n v="20260203"/>
    <n v="4666.9889000000003"/>
    <n v="21"/>
    <n v="222.23756666666668"/>
    <n v="4851.7131264593254"/>
    <n v="666.71270000000004"/>
    <n v="0"/>
    <n v="5518.4258264593254"/>
    <n v="4103.1431823552957"/>
    <n v="563.84571764470456"/>
    <n v="0"/>
    <n v="4666.9889000000003"/>
  </r>
  <r>
    <x v="0"/>
    <x v="0"/>
    <x v="0"/>
    <n v="0"/>
    <n v="25"/>
    <n v="5"/>
    <n v="20260204"/>
    <n v="20260305"/>
    <n v="2966813.7571"/>
    <n v="30"/>
    <n v="98893.791903333331"/>
    <n v="0"/>
    <n v="2472344.7975833332"/>
    <n v="364556.16416798695"/>
    <n v="2836900.9617513204"/>
    <n v="0"/>
    <n v="2585563.1397286067"/>
    <n v="381250.61737139313"/>
    <n v="2966813.7571"/>
  </r>
  <r>
    <x v="0"/>
    <x v="0"/>
    <x v="1"/>
    <n v="0"/>
    <n v="24"/>
    <n v="5"/>
    <n v="20260205"/>
    <n v="20260305"/>
    <n v="654607.78480000002"/>
    <n v="29"/>
    <n v="22572.68223448276"/>
    <n v="0"/>
    <n v="541744.37362758629"/>
    <n v="83210.586751791139"/>
    <n v="624954.96037937747"/>
    <n v="0"/>
    <n v="567449.02725940512"/>
    <n v="87158.757540594845"/>
    <n v="654607.78480000002"/>
  </r>
  <r>
    <x v="0"/>
    <x v="0"/>
    <x v="1"/>
    <n v="0"/>
    <n v="13"/>
    <n v="16"/>
    <n v="20260216"/>
    <n v="20260316"/>
    <n v="1595902.1804"/>
    <n v="29"/>
    <n v="55031.109668965517"/>
    <n v="0"/>
    <n v="715404.42569655168"/>
    <n v="649162.86014591542"/>
    <n v="1364567.2858424671"/>
    <n v="0"/>
    <n v="836686.8344876488"/>
    <n v="759215.34591235104"/>
    <n v="1595902.1804"/>
  </r>
  <r>
    <x v="0"/>
    <x v="0"/>
    <x v="1"/>
    <n v="16"/>
    <n v="15"/>
    <n v="0"/>
    <n v="20260116"/>
    <n v="20260215"/>
    <n v="8929899.3244000003"/>
    <n v="31"/>
    <n v="288061.26852903224"/>
    <n v="5589976.5631056391"/>
    <n v="4320919.0279354835"/>
    <n v="0"/>
    <n v="9910895.5910411216"/>
    <n v="5036671.7594534857"/>
    <n v="3893227.5649465155"/>
    <n v="0"/>
    <n v="8929899.3244000003"/>
  </r>
  <r>
    <x v="0"/>
    <x v="0"/>
    <x v="0"/>
    <n v="25"/>
    <n v="3"/>
    <n v="0"/>
    <n v="20260107"/>
    <n v="20260203"/>
    <n v="2761161.4750000001"/>
    <n v="28"/>
    <n v="98612.909821428577"/>
    <n v="2990053.2181938761"/>
    <n v="295838.72946428572"/>
    <n v="0"/>
    <n v="3285891.9476581616"/>
    <n v="2512565.8073329902"/>
    <n v="248595.66766701016"/>
    <n v="0"/>
    <n v="2761161.4750000006"/>
  </r>
  <r>
    <x v="0"/>
    <x v="0"/>
    <x v="0"/>
    <n v="0"/>
    <n v="27"/>
    <n v="12"/>
    <n v="20260202"/>
    <n v="20260312"/>
    <n v="39527.960400000004"/>
    <n v="39"/>
    <n v="1013.5374461538462"/>
    <n v="0"/>
    <n v="27365.511046153846"/>
    <n v="8966.9852838884126"/>
    <n v="36332.496330042261"/>
    <n v="0"/>
    <n v="29772.323573145291"/>
    <n v="9755.6368268547121"/>
    <n v="39527.960400000004"/>
  </r>
  <r>
    <x v="0"/>
    <x v="0"/>
    <x v="1"/>
    <n v="0"/>
    <n v="13"/>
    <n v="17"/>
    <n v="20260216"/>
    <n v="20260317"/>
    <n v="517920.1838"/>
    <n v="30"/>
    <n v="17264.006126666667"/>
    <n v="0"/>
    <n v="224432.07964666668"/>
    <n v="216379.40141613179"/>
    <n v="440811.48106279847"/>
    <n v="0"/>
    <n v="263690.73614182579"/>
    <n v="254229.44765817415"/>
    <n v="517920.18379999994"/>
  </r>
  <r>
    <x v="0"/>
    <x v="0"/>
    <x v="1"/>
    <n v="0"/>
    <n v="13"/>
    <n v="15"/>
    <n v="20260216"/>
    <n v="20260315"/>
    <n v="7298599.2774999999"/>
    <n v="28"/>
    <n v="260664.25991071429"/>
    <n v="0"/>
    <n v="3388635.3788392856"/>
    <n v="2882691.4480625"/>
    <n v="6271326.826901786"/>
    <n v="0"/>
    <n v="3943709.5865606167"/>
    <n v="3354889.6909393826"/>
    <n v="7298599.2774999999"/>
  </r>
  <r>
    <x v="0"/>
    <x v="0"/>
    <x v="0"/>
    <n v="28"/>
    <n v="2"/>
    <n v="0"/>
    <n v="20260104"/>
    <n v="20260202"/>
    <n v="4430689.4216"/>
    <n v="30"/>
    <n v="147689.64738666668"/>
    <n v="5015488.2866100892"/>
    <n v="295379.29477333336"/>
    <n v="0"/>
    <n v="5310867.5813834229"/>
    <n v="4184263.7864929452"/>
    <n v="246425.63510705446"/>
    <n v="0"/>
    <n v="4430689.4216"/>
  </r>
  <r>
    <x v="0"/>
    <x v="0"/>
    <x v="1"/>
    <n v="29"/>
    <n v="4"/>
    <n v="0"/>
    <n v="20260103"/>
    <n v="20260204"/>
    <n v="525862.41500000004"/>
    <n v="33"/>
    <n v="15935.224696969699"/>
    <n v="560481.55530501483"/>
    <n v="63740.898787878796"/>
    <n v="0"/>
    <n v="624222.45409289363"/>
    <n v="472165.30309528083"/>
    <n v="53697.111904719146"/>
    <n v="0"/>
    <n v="525862.41500000004"/>
  </r>
  <r>
    <x v="0"/>
    <x v="0"/>
    <x v="1"/>
    <n v="0"/>
    <n v="23"/>
    <n v="6"/>
    <n v="20260206"/>
    <n v="20260306"/>
    <n v="415657.22730000003"/>
    <n v="29"/>
    <n v="14333.007837931036"/>
    <n v="0"/>
    <n v="329659.18027241383"/>
    <n v="63403.612192280103"/>
    <n v="393062.79246469395"/>
    <n v="0"/>
    <n v="348608.98424602323"/>
    <n v="67048.243053976752"/>
    <n v="415657.22729999997"/>
  </r>
  <r>
    <x v="0"/>
    <x v="0"/>
    <x v="1"/>
    <n v="0"/>
    <n v="26"/>
    <n v="6"/>
    <n v="20260203"/>
    <n v="20260306"/>
    <n v="182834.2108"/>
    <n v="32"/>
    <n v="5713.5690875"/>
    <n v="0"/>
    <n v="148552.796275"/>
    <n v="25274.591540999387"/>
    <n v="173827.38781599939"/>
    <n v="0"/>
    <n v="156250.02256734655"/>
    <n v="26584.188232653454"/>
    <n v="182834.2108"/>
  </r>
  <r>
    <x v="0"/>
    <x v="0"/>
    <x v="1"/>
    <n v="24"/>
    <n v="3"/>
    <n v="0"/>
    <n v="20260108"/>
    <n v="20260203"/>
    <n v="386576.5931"/>
    <n v="27"/>
    <n v="14317.651596296297"/>
    <n v="416762.05171926116"/>
    <n v="42952.954788888892"/>
    <n v="0"/>
    <n v="459715.00650815002"/>
    <n v="350457.24374051241"/>
    <n v="36119.349359487627"/>
    <n v="0"/>
    <n v="386576.59310000006"/>
  </r>
  <r>
    <x v="0"/>
    <x v="0"/>
    <x v="1"/>
    <n v="28"/>
    <n v="1"/>
    <n v="0"/>
    <n v="20260104"/>
    <n v="20260201"/>
    <n v="557965.81270000001"/>
    <n v="29"/>
    <n v="19240.200437931035"/>
    <n v="653390.41453480569"/>
    <n v="19240.200437931035"/>
    <n v="0"/>
    <n v="672630.61497273669"/>
    <n v="542005.53103144083"/>
    <n v="15960.281668559222"/>
    <n v="0"/>
    <n v="557965.81270000001"/>
  </r>
  <r>
    <x v="0"/>
    <x v="0"/>
    <x v="1"/>
    <n v="0"/>
    <n v="9"/>
    <n v="17"/>
    <n v="20260220"/>
    <n v="20260317"/>
    <n v="2939234.4884000001"/>
    <n v="26"/>
    <n v="113047.48032307693"/>
    <n v="0"/>
    <n v="1017427.3229076924"/>
    <n v="1416887.0159357549"/>
    <n v="2434314.3388434472"/>
    <n v="0"/>
    <n v="1228459.8702859187"/>
    <n v="1710774.6181140814"/>
    <n v="2939234.4884000001"/>
  </r>
  <r>
    <x v="0"/>
    <x v="0"/>
    <x v="1"/>
    <n v="0"/>
    <n v="21"/>
    <n v="6"/>
    <n v="20260208"/>
    <n v="20260306"/>
    <n v="38513.683400000002"/>
    <n v="27"/>
    <n v="1426.4327185185186"/>
    <n v="0"/>
    <n v="29955.087088888893"/>
    <n v="6309.9795887911214"/>
    <n v="36265.066677680014"/>
    <n v="0"/>
    <n v="31812.45330705398"/>
    <n v="6701.2300929460253"/>
    <n v="38513.683400000009"/>
  </r>
  <r>
    <x v="0"/>
    <x v="0"/>
    <x v="0"/>
    <n v="0"/>
    <n v="13"/>
    <n v="15"/>
    <n v="20260216"/>
    <n v="20260315"/>
    <n v="3938011.9172"/>
    <n v="28"/>
    <n v="140643.28275714285"/>
    <n v="0"/>
    <n v="1828362.675842857"/>
    <n v="1555376.9763845825"/>
    <n v="3383739.6522274395"/>
    <n v="0"/>
    <n v="2127856.9708201927"/>
    <n v="1810154.9463798073"/>
    <n v="3938011.9172"/>
  </r>
  <r>
    <x v="0"/>
    <x v="0"/>
    <x v="0"/>
    <n v="16"/>
    <n v="15"/>
    <n v="0"/>
    <n v="20260116"/>
    <n v="20260215"/>
    <n v="5726166.0832000002"/>
    <n v="31"/>
    <n v="184715.0349419355"/>
    <n v="3584489.9296990801"/>
    <n v="2770725.5241290326"/>
    <n v="0"/>
    <n v="6355215.4538281132"/>
    <n v="3229691.3944359198"/>
    <n v="2496474.6887640799"/>
    <n v="0"/>
    <n v="5726166.0832000002"/>
  </r>
  <r>
    <x v="0"/>
    <x v="0"/>
    <x v="0"/>
    <n v="26"/>
    <n v="6"/>
    <n v="0"/>
    <n v="20260106"/>
    <n v="20260206"/>
    <n v="620980.45759999997"/>
    <n v="32"/>
    <n v="19405.639299999999"/>
    <n v="611936.61275133165"/>
    <n v="116433.8358"/>
    <n v="0"/>
    <n v="728370.44855133165"/>
    <n v="521713.47501028591"/>
    <n v="99266.982589714069"/>
    <n v="0"/>
    <n v="620980.45759999997"/>
  </r>
  <r>
    <x v="0"/>
    <x v="0"/>
    <x v="1"/>
    <n v="30"/>
    <n v="4"/>
    <n v="0"/>
    <n v="20260102"/>
    <n v="20260204"/>
    <n v="240465.49729999999"/>
    <n v="34"/>
    <n v="7072.5146264705882"/>
    <n v="257335.82133895849"/>
    <n v="28290.058505882353"/>
    <n v="0"/>
    <n v="285625.87984484085"/>
    <n v="216648.38734148172"/>
    <n v="23817.109958518246"/>
    <n v="0"/>
    <n v="240465.49729999996"/>
  </r>
  <r>
    <x v="0"/>
    <x v="0"/>
    <x v="1"/>
    <n v="30"/>
    <n v="3"/>
    <n v="0"/>
    <n v="20260102"/>
    <n v="20260203"/>
    <n v="745577.95770000003"/>
    <n v="33"/>
    <n v="22593.271445454546"/>
    <n v="822063.77380819712"/>
    <n v="67779.814336363634"/>
    <n v="0"/>
    <n v="889843.58814456081"/>
    <n v="688786.92586083873"/>
    <n v="56791.03183916118"/>
    <n v="0"/>
    <n v="745577.95769999991"/>
  </r>
  <r>
    <x v="0"/>
    <x v="0"/>
    <x v="1"/>
    <n v="0"/>
    <n v="24"/>
    <n v="6"/>
    <n v="20260205"/>
    <n v="20260306"/>
    <n v="169659.30360000001"/>
    <n v="30"/>
    <n v="5655.3101200000001"/>
    <n v="0"/>
    <n v="135727.44287999999"/>
    <n v="25016.876689806933"/>
    <n v="160744.31956980692"/>
    <n v="0"/>
    <n v="143254.97473289803"/>
    <n v="26404.328867101976"/>
    <n v="169659.30360000001"/>
  </r>
  <r>
    <x v="0"/>
    <x v="0"/>
    <x v="1"/>
    <n v="0"/>
    <n v="12"/>
    <n v="16"/>
    <n v="20260217"/>
    <n v="20260316"/>
    <n v="744455.4558"/>
    <n v="28"/>
    <n v="26587.69485"/>
    <n v="0"/>
    <n v="319052.3382"/>
    <n v="313636.1257720805"/>
    <n v="632688.4639720805"/>
    <n v="0"/>
    <n v="375414.23209704383"/>
    <n v="369041.22370295622"/>
    <n v="744455.45580000011"/>
  </r>
  <r>
    <x v="0"/>
    <x v="0"/>
    <x v="1"/>
    <n v="0"/>
    <n v="27"/>
    <n v="6"/>
    <n v="20260202"/>
    <n v="20260306"/>
    <n v="63056.376900000003"/>
    <n v="33"/>
    <n v="1910.7993000000001"/>
    <n v="0"/>
    <n v="51591.581100000003"/>
    <n v="8452.6276106445257"/>
    <n v="60044.208710644525"/>
    <n v="0"/>
    <n v="54179.716121928002"/>
    <n v="8876.6607780720042"/>
    <n v="63056.376900000003"/>
  </r>
  <r>
    <x v="0"/>
    <x v="0"/>
    <x v="1"/>
    <n v="0"/>
    <n v="10"/>
    <n v="16"/>
    <n v="20260219"/>
    <n v="20260316"/>
    <n v="338839.31300000002"/>
    <n v="26"/>
    <n v="13032.281269230771"/>
    <n v="0"/>
    <n v="130322.81269230771"/>
    <n v="153732.55298413322"/>
    <n v="284055.36567644094"/>
    <n v="0"/>
    <n v="155457.34267589531"/>
    <n v="183381.97032410471"/>
    <n v="338839.31300000002"/>
  </r>
  <r>
    <x v="0"/>
    <x v="0"/>
    <x v="0"/>
    <n v="0"/>
    <n v="12"/>
    <n v="16"/>
    <n v="20260217"/>
    <n v="20260316"/>
    <n v="193718.5012"/>
    <n v="28"/>
    <n v="6918.5178999999998"/>
    <n v="0"/>
    <n v="83022.214800000002"/>
    <n v="81612.834902864488"/>
    <n v="164635.04970286449"/>
    <n v="0"/>
    <n v="97688.426895652883"/>
    <n v="96030.074304347101"/>
    <n v="193718.5012"/>
  </r>
  <r>
    <x v="0"/>
    <x v="0"/>
    <x v="1"/>
    <n v="14"/>
    <n v="15"/>
    <n v="0"/>
    <n v="20260118"/>
    <n v="20260215"/>
    <n v="1725.9901"/>
    <n v="29"/>
    <n v="59.5169"/>
    <n v="1010.5864564217686"/>
    <n v="892.75350000000003"/>
    <n v="0"/>
    <n v="1903.3399564217686"/>
    <n v="916.42179479971787"/>
    <n v="809.56830520028211"/>
    <n v="0"/>
    <n v="1725.9901"/>
  </r>
  <r>
    <x v="0"/>
    <x v="0"/>
    <x v="0"/>
    <n v="0"/>
    <n v="20"/>
    <n v="4"/>
    <n v="20260209"/>
    <n v="20260304"/>
    <n v="75364.298299999995"/>
    <n v="24"/>
    <n v="3140.1790958333331"/>
    <n v="0"/>
    <n v="62803.581916666662"/>
    <n v="9260.6148389697773"/>
    <n v="72064.19675563644"/>
    <n v="0"/>
    <n v="65679.603672345838"/>
    <n v="9684.6946276541621"/>
    <n v="75364.298299999995"/>
  </r>
  <r>
    <x v="0"/>
    <x v="0"/>
    <x v="1"/>
    <n v="27"/>
    <n v="1"/>
    <n v="0"/>
    <n v="20260105"/>
    <n v="20260201"/>
    <n v="77910.883900000001"/>
    <n v="28"/>
    <n v="2782.5315678571428"/>
    <n v="91119.011527033697"/>
    <n v="2782.5315678571428"/>
    <n v="0"/>
    <n v="93901.543094890847"/>
    <n v="75602.194534668379"/>
    <n v="2308.6893653316147"/>
    <n v="0"/>
    <n v="77910.883899999986"/>
  </r>
  <r>
    <x v="0"/>
    <x v="0"/>
    <x v="0"/>
    <n v="0"/>
    <n v="19"/>
    <n v="7"/>
    <n v="20260210"/>
    <n v="20260307"/>
    <n v="20795.9931"/>
    <n v="26"/>
    <n v="799.84588846153849"/>
    <n v="0"/>
    <n v="15197.071880769232"/>
    <n v="4127.9057135490821"/>
    <n v="19324.977594318312"/>
    <n v="0"/>
    <n v="16353.871585631156"/>
    <n v="4442.121514368846"/>
    <n v="20795.9931"/>
  </r>
  <r>
    <x v="0"/>
    <x v="0"/>
    <x v="0"/>
    <n v="24"/>
    <n v="6"/>
    <n v="0"/>
    <n v="20260108"/>
    <n v="20260206"/>
    <n v="719085.60309999995"/>
    <n v="30"/>
    <n v="23969.520103333332"/>
    <n v="697711.23496086407"/>
    <n v="143817.12062"/>
    <n v="0"/>
    <n v="841528.35558086401"/>
    <n v="596193.93791569991"/>
    <n v="122891.66518430006"/>
    <n v="0"/>
    <n v="719085.60309999995"/>
  </r>
  <r>
    <x v="0"/>
    <x v="0"/>
    <x v="1"/>
    <n v="0"/>
    <n v="19"/>
    <n v="4"/>
    <n v="20260210"/>
    <n v="20260304"/>
    <n v="38892.402499999997"/>
    <n v="23"/>
    <n v="1690.9740217391302"/>
    <n v="0"/>
    <n v="32128.506413043473"/>
    <n v="4986.8044592769074"/>
    <n v="37115.310872320377"/>
    <n v="0"/>
    <n v="33666.828426642736"/>
    <n v="5225.5740733572638"/>
    <n v="38892.402499999997"/>
  </r>
  <r>
    <x v="0"/>
    <x v="0"/>
    <x v="0"/>
    <n v="30"/>
    <n v="6"/>
    <n v="0"/>
    <n v="20260102"/>
    <n v="20260206"/>
    <n v="240044.69639999999"/>
    <n v="36"/>
    <n v="6667.9082333333326"/>
    <n v="242614.08176032599"/>
    <n v="40007.449399999998"/>
    <n v="0"/>
    <n v="282621.53116032598"/>
    <n v="206064.35525071429"/>
    <n v="33980.341149285719"/>
    <n v="0"/>
    <n v="240044.69640000002"/>
  </r>
  <r>
    <x v="0"/>
    <x v="0"/>
    <x v="1"/>
    <n v="28"/>
    <n v="6"/>
    <n v="0"/>
    <n v="20260104"/>
    <n v="20260206"/>
    <n v="10799.709699999999"/>
    <n v="34"/>
    <n v="317.63852058823528"/>
    <n v="10786.892023755192"/>
    <n v="1905.8311235294118"/>
    <n v="0"/>
    <n v="12692.723147284603"/>
    <n v="9178.1173409367093"/>
    <n v="1621.5923590632915"/>
    <n v="0"/>
    <n v="10799.709700000001"/>
  </r>
  <r>
    <x v="0"/>
    <x v="0"/>
    <x v="0"/>
    <n v="14"/>
    <n v="19"/>
    <n v="0"/>
    <n v="20260118"/>
    <n v="20260219"/>
    <n v="49849.076999999997"/>
    <n v="33"/>
    <n v="1510.5780909090909"/>
    <n v="25649.349345146984"/>
    <n v="28700.983727272727"/>
    <n v="0"/>
    <n v="54350.333072419715"/>
    <n v="23525.088407507115"/>
    <n v="26323.988592492882"/>
    <n v="0"/>
    <n v="49849.076999999997"/>
  </r>
  <r>
    <x v="0"/>
    <x v="0"/>
    <x v="0"/>
    <n v="0"/>
    <n v="11"/>
    <n v="0"/>
    <n v="20260202"/>
    <n v="20260212"/>
    <n v="84.346800000000002"/>
    <n v="11"/>
    <n v="7.6678909090909091"/>
    <n v="0"/>
    <n v="84.346800000000002"/>
    <n v="0"/>
    <n v="84.346800000000002"/>
    <n v="0"/>
    <n v="84.346800000000002"/>
    <n v="0"/>
    <n v="84.346800000000002"/>
  </r>
  <r>
    <x v="0"/>
    <x v="0"/>
    <x v="1"/>
    <n v="0"/>
    <n v="17"/>
    <n v="0"/>
    <n v="20260204"/>
    <n v="20260220"/>
    <n v="168.583"/>
    <n v="17"/>
    <n v="9.9166470588235285"/>
    <n v="0"/>
    <n v="168.58299999999997"/>
    <n v="0"/>
    <n v="168.58299999999997"/>
    <n v="0"/>
    <n v="168.583"/>
    <n v="0"/>
    <n v="168.583"/>
  </r>
  <r>
    <x v="0"/>
    <x v="0"/>
    <x v="0"/>
    <n v="0"/>
    <n v="27"/>
    <n v="11"/>
    <n v="20260202"/>
    <n v="20260311"/>
    <n v="48275.368499999997"/>
    <n v="38"/>
    <n v="1270.4044342105262"/>
    <n v="0"/>
    <n v="34300.919723684208"/>
    <n v="10302.914559561928"/>
    <n v="44603.834283246135"/>
    <n v="0"/>
    <n v="37124.376551003152"/>
    <n v="11150.991948996849"/>
    <n v="48275.368499999997"/>
  </r>
  <r>
    <x v="0"/>
    <x v="0"/>
    <x v="0"/>
    <n v="0"/>
    <n v="22"/>
    <n v="8"/>
    <n v="20260207"/>
    <n v="20260308"/>
    <n v="295.78800000000001"/>
    <n v="30"/>
    <n v="9.8596000000000004"/>
    <n v="0"/>
    <n v="216.91120000000001"/>
    <n v="58.153344302851536"/>
    <n v="275.06454430285157"/>
    <n v="0"/>
    <n v="233.25336309051471"/>
    <n v="62.534636909485279"/>
    <n v="295.78800000000001"/>
  </r>
  <r>
    <x v="0"/>
    <x v="0"/>
    <x v="0"/>
    <n v="0"/>
    <n v="18"/>
    <n v="0"/>
    <n v="20260207"/>
    <n v="20260224"/>
    <n v="969.8066"/>
    <n v="18"/>
    <n v="53.878144444444445"/>
    <n v="0"/>
    <n v="969.8066"/>
    <n v="0"/>
    <n v="969.8066"/>
    <n v="0"/>
    <n v="969.8066"/>
    <n v="0"/>
    <n v="969.8066"/>
  </r>
  <r>
    <x v="0"/>
    <x v="0"/>
    <x v="0"/>
    <n v="0"/>
    <n v="21"/>
    <n v="0"/>
    <n v="20260204"/>
    <n v="20260224"/>
    <n v="4004.8780999999999"/>
    <n v="21"/>
    <n v="190.70848095238094"/>
    <n v="0"/>
    <n v="4004.8780999999999"/>
    <n v="0"/>
    <n v="4004.8780999999999"/>
    <n v="0"/>
    <n v="4004.8780999999999"/>
    <n v="0"/>
    <n v="4004.8780999999999"/>
  </r>
  <r>
    <x v="0"/>
    <x v="0"/>
    <x v="1"/>
    <n v="0"/>
    <n v="27"/>
    <n v="7"/>
    <n v="20260202"/>
    <n v="20260307"/>
    <n v="3463.4058"/>
    <n v="34"/>
    <n v="101.86487647058823"/>
    <n v="0"/>
    <n v="2750.3516647058823"/>
    <n v="525.71202985327625"/>
    <n v="3276.0636945591586"/>
    <n v="0"/>
    <n v="2907.630863039069"/>
    <n v="555.77493696093063"/>
    <n v="3463.4057999999995"/>
  </r>
  <r>
    <x v="0"/>
    <x v="0"/>
    <x v="0"/>
    <n v="0"/>
    <n v="19"/>
    <n v="9"/>
    <n v="20260210"/>
    <n v="20260309"/>
    <n v="5030.7483000000002"/>
    <n v="28"/>
    <n v="179.66958214285714"/>
    <n v="0"/>
    <n v="3413.7220607142858"/>
    <n v="1192.1817776574014"/>
    <n v="4605.903838371687"/>
    <n v="0"/>
    <n v="3728.6007385864614"/>
    <n v="1302.1475614135388"/>
    <n v="5030.7483000000002"/>
  </r>
  <r>
    <x v="0"/>
    <x v="0"/>
    <x v="0"/>
    <n v="0"/>
    <n v="13"/>
    <n v="9"/>
    <n v="20260216"/>
    <n v="20260309"/>
    <n v="16712.7546"/>
    <n v="22"/>
    <n v="759.67066363636366"/>
    <n v="0"/>
    <n v="9875.7186272727267"/>
    <n v="5040.7281600291908"/>
    <n v="14916.446787301917"/>
    <n v="0"/>
    <n v="11064.998539515605"/>
    <n v="5647.7560604843957"/>
    <n v="16712.7546"/>
  </r>
  <r>
    <x v="0"/>
    <x v="0"/>
    <x v="1"/>
    <n v="0"/>
    <n v="9"/>
    <n v="0"/>
    <n v="20260220"/>
    <n v="20260228"/>
    <n v="3509572.4974000002"/>
    <n v="9"/>
    <n v="389952.49971111113"/>
    <n v="0"/>
    <n v="3509572.4974000002"/>
    <n v="0"/>
    <n v="3509572.4974000002"/>
    <n v="0"/>
    <n v="3509572.4974000002"/>
    <n v="0"/>
    <n v="3509572.4974000002"/>
  </r>
  <r>
    <x v="0"/>
    <x v="0"/>
    <x v="1"/>
    <n v="27"/>
    <n v="7"/>
    <n v="0"/>
    <n v="20260105"/>
    <n v="20260207"/>
    <n v="12481.772300000001"/>
    <n v="34"/>
    <n v="367.11095"/>
    <n v="12021.709752069804"/>
    <n v="2569.7766499999998"/>
    <n v="0"/>
    <n v="14591.486402069804"/>
    <n v="10283.547518554369"/>
    <n v="2198.2247814456309"/>
    <n v="0"/>
    <n v="12481.772300000001"/>
  </r>
  <r>
    <x v="0"/>
    <x v="0"/>
    <x v="0"/>
    <n v="29"/>
    <n v="9"/>
    <n v="0"/>
    <n v="20260103"/>
    <n v="20260209"/>
    <n v="22527.615900000001"/>
    <n v="38"/>
    <n v="592.83199736842107"/>
    <n v="20851.378392098672"/>
    <n v="5335.4879763157896"/>
    <n v="0"/>
    <n v="26186.866368414463"/>
    <n v="17937.688182856808"/>
    <n v="4589.9277171431913"/>
    <n v="0"/>
    <n v="22527.615899999997"/>
  </r>
  <r>
    <x v="0"/>
    <x v="0"/>
    <x v="0"/>
    <n v="0"/>
    <n v="23"/>
    <n v="0"/>
    <n v="20260203"/>
    <n v="20260225"/>
    <n v="3120.3206"/>
    <n v="23"/>
    <n v="135.66611304347825"/>
    <n v="0"/>
    <n v="3120.3205999999996"/>
    <n v="0"/>
    <n v="3120.3205999999996"/>
    <n v="0"/>
    <n v="3120.3206"/>
    <n v="0"/>
    <n v="3120.3206"/>
  </r>
  <r>
    <x v="0"/>
    <x v="0"/>
    <x v="1"/>
    <n v="0"/>
    <n v="26"/>
    <n v="0"/>
    <n v="20260202"/>
    <n v="20260227"/>
    <n v="801.44500000000005"/>
    <n v="26"/>
    <n v="30.824807692307694"/>
    <n v="0"/>
    <n v="801.44500000000005"/>
    <n v="0"/>
    <n v="801.44500000000005"/>
    <n v="0"/>
    <n v="801.44500000000005"/>
    <n v="0"/>
    <n v="801.44500000000005"/>
  </r>
  <r>
    <x v="0"/>
    <x v="0"/>
    <x v="0"/>
    <n v="15"/>
    <n v="24"/>
    <n v="0"/>
    <n v="20260117"/>
    <n v="20260224"/>
    <n v="125852.5193"/>
    <n v="39"/>
    <n v="3226.9876743589743"/>
    <n v="58707.515465844153"/>
    <n v="77447.704184615388"/>
    <n v="0"/>
    <n v="136155.21965045953"/>
    <n v="54265.188967327726"/>
    <n v="71587.330332672282"/>
    <n v="0"/>
    <n v="125852.51930000001"/>
  </r>
  <r>
    <x v="0"/>
    <x v="0"/>
    <x v="1"/>
    <n v="29"/>
    <n v="8"/>
    <n v="0"/>
    <n v="20260103"/>
    <n v="20260208"/>
    <n v="12396.845499999999"/>
    <n v="37"/>
    <n v="335.04987837837837"/>
    <n v="11784.539001447547"/>
    <n v="2680.3990270270269"/>
    <n v="0"/>
    <n v="14464.938028474575"/>
    <n v="10099.670596727457"/>
    <n v="2297.1749032725406"/>
    <n v="0"/>
    <n v="12396.845499999998"/>
  </r>
  <r>
    <x v="0"/>
    <x v="0"/>
    <x v="0"/>
    <n v="0"/>
    <n v="17"/>
    <n v="0"/>
    <n v="20260205"/>
    <n v="20260221"/>
    <n v="3497.6864999999998"/>
    <n v="17"/>
    <n v="205.74626470588234"/>
    <n v="0"/>
    <n v="3497.6864999999998"/>
    <n v="0"/>
    <n v="3497.6864999999998"/>
    <n v="0"/>
    <n v="3497.6864999999998"/>
    <n v="0"/>
    <n v="3497.6864999999998"/>
  </r>
  <r>
    <x v="0"/>
    <x v="0"/>
    <x v="0"/>
    <n v="31"/>
    <n v="4"/>
    <n v="0"/>
    <n v="20251230"/>
    <n v="20260204"/>
    <n v="14240.8416"/>
    <n v="35"/>
    <n v="406.88118857142854"/>
    <n v="15297.99240076036"/>
    <n v="1627.5247542857142"/>
    <n v="0"/>
    <n v="16925.517155046073"/>
    <n v="12871.470016635896"/>
    <n v="1369.3715833641058"/>
    <n v="0"/>
    <n v="14240.841600000002"/>
  </r>
  <r>
    <x v="0"/>
    <x v="0"/>
    <x v="0"/>
    <n v="3"/>
    <n v="28"/>
    <n v="5"/>
    <n v="20260129"/>
    <n v="20260305"/>
    <n v="18780.800299999999"/>
    <n v="36"/>
    <n v="521.68889722222218"/>
    <n v="1898.182583428473"/>
    <n v="14607.289122222221"/>
    <n v="1923.1227724209662"/>
    <n v="18428.59447807166"/>
    <n v="1934.4604969591003"/>
    <n v="14886.462462194455"/>
    <n v="1959.8773408464419"/>
    <n v="18780.800299999995"/>
  </r>
  <r>
    <x v="0"/>
    <x v="0"/>
    <x v="0"/>
    <n v="10"/>
    <n v="1"/>
    <n v="0"/>
    <n v="20260122"/>
    <n v="20260201"/>
    <n v="3700.4769999999999"/>
    <n v="11"/>
    <n v="336.40699999999998"/>
    <n v="4080.093913847254"/>
    <n v="336.40699999999998"/>
    <n v="0"/>
    <n v="4416.5009138472542"/>
    <n v="3418.6098860963402"/>
    <n v="281.86711390365946"/>
    <n v="0"/>
    <n v="3700.4769999999999"/>
  </r>
  <r>
    <x v="0"/>
    <x v="0"/>
    <x v="0"/>
    <n v="9"/>
    <n v="2"/>
    <n v="0"/>
    <n v="20260123"/>
    <n v="20260202"/>
    <n v="2566.6705999999999"/>
    <n v="11"/>
    <n v="233.3336909090909"/>
    <n v="2546.9774260236218"/>
    <n v="466.66738181818181"/>
    <n v="0"/>
    <n v="3013.6448078418034"/>
    <n v="2169.2178392184524"/>
    <n v="397.45276078154774"/>
    <n v="0"/>
    <n v="2566.6705999999999"/>
  </r>
  <r>
    <x v="0"/>
    <x v="0"/>
    <x v="0"/>
    <n v="13"/>
    <n v="5"/>
    <n v="0"/>
    <n v="20260119"/>
    <n v="20260205"/>
    <n v="32525.186900000001"/>
    <n v="18"/>
    <n v="1806.9548277777778"/>
    <n v="28490.218735153943"/>
    <n v="9034.7741388888899"/>
    <n v="0"/>
    <n v="37524.992874042829"/>
    <n v="24694.200270555022"/>
    <n v="7830.9866294449839"/>
    <n v="0"/>
    <n v="32525.186900000008"/>
  </r>
  <r>
    <x v="0"/>
    <x v="0"/>
    <x v="0"/>
    <n v="13"/>
    <n v="6"/>
    <n v="0"/>
    <n v="20260119"/>
    <n v="20260206"/>
    <n v="13127.272499999999"/>
    <n v="19"/>
    <n v="690.90907894736836"/>
    <n v="10893.548904884443"/>
    <n v="4145.4544736842099"/>
    <n v="0"/>
    <n v="15039.003378568654"/>
    <n v="9508.7806928935606"/>
    <n v="3618.4918071064371"/>
    <n v="0"/>
    <n v="13127.272499999997"/>
  </r>
  <r>
    <x v="0"/>
    <x v="0"/>
    <x v="0"/>
    <n v="2"/>
    <n v="28"/>
    <n v="7"/>
    <n v="20260130"/>
    <n v="20260307"/>
    <n v="1899.9380000000001"/>
    <n v="37"/>
    <n v="51.349675675675677"/>
    <n v="124.55834700369179"/>
    <n v="1437.790918918919"/>
    <n v="265.0093257567662"/>
    <n v="1827.358591679377"/>
    <n v="129.50558131669794"/>
    <n v="1494.8973974497676"/>
    <n v="275.53502123353451"/>
    <n v="1899.9380000000001"/>
  </r>
  <r>
    <x v="0"/>
    <x v="0"/>
    <x v="0"/>
    <n v="0"/>
    <n v="6"/>
    <n v="2"/>
    <n v="20260223"/>
    <n v="20260302"/>
    <n v="296.5213"/>
    <n v="8"/>
    <n v="37.0651625"/>
    <n v="0"/>
    <n v="222.390975"/>
    <n v="54.653919948670364"/>
    <n v="277.04489494867039"/>
    <n v="0"/>
    <n v="238.02518009756233"/>
    <n v="58.496119902437663"/>
    <n v="296.5213"/>
  </r>
  <r>
    <x v="0"/>
    <x v="0"/>
    <x v="0"/>
    <n v="0"/>
    <n v="6"/>
    <n v="1"/>
    <n v="20260223"/>
    <n v="20260301"/>
    <n v="1482.0530000000001"/>
    <n v="7"/>
    <n v="211.72185714285715"/>
    <n v="0"/>
    <n v="1270.3311428571428"/>
    <n v="156.09576015847139"/>
    <n v="1426.4269030156142"/>
    <n v="0"/>
    <n v="1319.8700033521791"/>
    <n v="162.18299664782097"/>
    <n v="1482.0530000000001"/>
  </r>
  <r>
    <x v="0"/>
    <x v="0"/>
    <x v="0"/>
    <n v="3"/>
    <n v="28"/>
    <n v="3"/>
    <n v="20260129"/>
    <n v="20260303"/>
    <n v="42.1922"/>
    <n v="34"/>
    <n v="1.2409470588235294"/>
    <n v="4.5152275744373931"/>
    <n v="34.746517647058823"/>
    <n v="2.744731844092648"/>
    <n v="42.006477065588861"/>
    <n v="4.5351907175819424"/>
    <n v="34.900142175197765"/>
    <n v="2.7568671072202995"/>
    <n v="42.192200000000007"/>
  </r>
  <r>
    <x v="0"/>
    <x v="0"/>
    <x v="0"/>
    <n v="0"/>
    <n v="18"/>
    <n v="3"/>
    <n v="20260211"/>
    <n v="20260303"/>
    <n v="591.43780000000004"/>
    <n v="21"/>
    <n v="28.163704761904764"/>
    <n v="0"/>
    <n v="506.94668571428576"/>
    <n v="62.292598832466844"/>
    <n v="569.23928454675263"/>
    <n v="0"/>
    <n v="526.71598861080236"/>
    <n v="64.721811389197697"/>
    <n v="591.43780000000004"/>
  </r>
  <r>
    <x v="0"/>
    <x v="0"/>
    <x v="1"/>
    <n v="19"/>
    <n v="1"/>
    <n v="0"/>
    <n v="20260113"/>
    <n v="20260201"/>
    <n v="1512.6575"/>
    <n v="20"/>
    <n v="75.632874999999999"/>
    <n v="1742.8874626601507"/>
    <n v="75.632874999999999"/>
    <n v="0"/>
    <n v="1818.5203376601507"/>
    <n v="1449.7455637152966"/>
    <n v="62.911936284703273"/>
    <n v="0"/>
    <n v="1512.6574999999998"/>
  </r>
  <r>
    <x v="0"/>
    <x v="0"/>
    <x v="0"/>
    <n v="0"/>
    <n v="8"/>
    <n v="2"/>
    <n v="20260221"/>
    <n v="20260302"/>
    <n v="8209.8233"/>
    <n v="10"/>
    <n v="820.98233000000005"/>
    <n v="0"/>
    <n v="6567.8586400000004"/>
    <n v="1210.5680783968742"/>
    <n v="7778.426718396875"/>
    <n v="0"/>
    <n v="6932.116332246087"/>
    <n v="1277.7069677539121"/>
    <n v="8209.8233"/>
  </r>
  <r>
    <x v="0"/>
    <x v="0"/>
    <x v="0"/>
    <n v="10"/>
    <n v="3"/>
    <n v="0"/>
    <n v="20260122"/>
    <n v="20260203"/>
    <n v="2819.3948999999998"/>
    <n v="13"/>
    <n v="216.87653076923075"/>
    <n v="2630.3751504809507"/>
    <n v="650.62959230769229"/>
    <n v="0"/>
    <n v="3281.0047427886429"/>
    <n v="2260.3034331640574"/>
    <n v="559.09146683594247"/>
    <n v="0"/>
    <n v="2819.3948999999998"/>
  </r>
  <r>
    <x v="0"/>
    <x v="0"/>
    <x v="0"/>
    <n v="6"/>
    <n v="28"/>
    <n v="1"/>
    <n v="20260126"/>
    <n v="20260301"/>
    <n v="3457.2473"/>
    <n v="35"/>
    <n v="98.778494285714288"/>
    <n v="718.81774164177091"/>
    <n v="2765.7978400000002"/>
    <n v="72.82622758421229"/>
    <n v="3557.4418092259834"/>
    <n v="698.57240954387294"/>
    <n v="2687.8997963894485"/>
    <n v="70.775094066678363"/>
    <n v="3457.2473"/>
  </r>
  <r>
    <x v="0"/>
    <x v="0"/>
    <x v="1"/>
    <n v="4"/>
    <n v="28"/>
    <n v="3"/>
    <n v="20260128"/>
    <n v="20260303"/>
    <n v="126.5528"/>
    <n v="35"/>
    <n v="3.6157942857142857"/>
    <n v="17.541585352108058"/>
    <n v="101.24224"/>
    <n v="7.997428775968066"/>
    <n v="126.78125412807611"/>
    <n v="17.509976202835563"/>
    <n v="101.05980602880496"/>
    <n v="7.9830177683594892"/>
    <n v="126.5528"/>
  </r>
  <r>
    <x v="0"/>
    <x v="0"/>
    <x v="1"/>
    <n v="0"/>
    <n v="6"/>
    <n v="5"/>
    <n v="20260223"/>
    <n v="20260305"/>
    <n v="42.384900000000002"/>
    <n v="11"/>
    <n v="3.8531727272727276"/>
    <n v="0"/>
    <n v="23.119036363636365"/>
    <n v="14.204105660184513"/>
    <n v="37.323142023820878"/>
    <n v="0"/>
    <n v="26.254436021053298"/>
    <n v="16.130463978946704"/>
    <n v="42.384900000000002"/>
  </r>
  <r>
    <x v="0"/>
    <x v="0"/>
    <x v="1"/>
    <n v="0"/>
    <n v="9"/>
    <n v="16"/>
    <n v="20260220"/>
    <n v="20260316"/>
    <n v="17060500.6886"/>
    <n v="25"/>
    <n v="682420.02754399995"/>
    <n v="0"/>
    <n v="6141780.2478959998"/>
    <n v="8050023.6968898643"/>
    <n v="14191803.944785863"/>
    <n v="0"/>
    <n v="7383264.7742401296"/>
    <n v="9677235.9143598713"/>
    <n v="17060500.6886"/>
  </r>
  <r>
    <x v="0"/>
    <x v="0"/>
    <x v="0"/>
    <n v="0"/>
    <n v="9"/>
    <n v="16"/>
    <n v="20260220"/>
    <n v="20260316"/>
    <n v="5676662.2922"/>
    <n v="25"/>
    <n v="227066.49168800001"/>
    <n v="0"/>
    <n v="2043598.4251920001"/>
    <n v="2678541.9024651791"/>
    <n v="4722140.327657179"/>
    <n v="0"/>
    <n v="2456686.4421079806"/>
    <n v="3219975.8500920194"/>
    <n v="5676662.2922"/>
  </r>
  <r>
    <x v="0"/>
    <x v="0"/>
    <x v="0"/>
    <n v="29"/>
    <n v="1"/>
    <n v="0"/>
    <n v="20260103"/>
    <n v="20260201"/>
    <n v="7318658.2868999997"/>
    <n v="30"/>
    <n v="243955.27622999999"/>
    <n v="8580514.8811146952"/>
    <n v="243955.27622999999"/>
    <n v="0"/>
    <n v="8824470.1573446952"/>
    <n v="7116331.657405124"/>
    <n v="202326.62949487573"/>
    <n v="0"/>
    <n v="7318658.2868999997"/>
  </r>
  <r>
    <x v="0"/>
    <x v="0"/>
    <x v="0"/>
    <n v="26"/>
    <n v="2"/>
    <n v="0"/>
    <n v="20260106"/>
    <n v="20260202"/>
    <n v="2345069.5036999998"/>
    <n v="28"/>
    <n v="83752.482274999988"/>
    <n v="2641047.2502639703"/>
    <n v="167504.96454999998"/>
    <n v="0"/>
    <n v="2808552.2148139705"/>
    <n v="2205207.128340682"/>
    <n v="139862.37535931767"/>
    <n v="0"/>
    <n v="2345069.5036999998"/>
  </r>
  <r>
    <x v="0"/>
    <x v="0"/>
    <x v="0"/>
    <n v="30"/>
    <n v="2"/>
    <n v="0"/>
    <n v="20260102"/>
    <n v="20260202"/>
    <n v="7786849.1771"/>
    <n v="32"/>
    <n v="243339.036784375"/>
    <n v="8853972.6252906304"/>
    <n v="486678.07356875"/>
    <n v="0"/>
    <n v="9340650.6988593806"/>
    <n v="7381129.1819026414"/>
    <n v="405719.99519735883"/>
    <n v="0"/>
    <n v="7786849.1771"/>
  </r>
  <r>
    <x v="0"/>
    <x v="0"/>
    <x v="0"/>
    <n v="0"/>
    <n v="15"/>
    <n v="0"/>
    <n v="20260201"/>
    <n v="20260215"/>
    <n v="9488.3505000000005"/>
    <n v="15"/>
    <n v="632.55669999999998"/>
    <n v="0"/>
    <n v="9488.3505000000005"/>
    <n v="0"/>
    <n v="9488.3505000000005"/>
    <n v="0"/>
    <n v="9488.3505000000005"/>
    <n v="0"/>
    <n v="9488.3505000000005"/>
  </r>
  <r>
    <x v="0"/>
    <x v="0"/>
    <x v="0"/>
    <n v="25"/>
    <n v="5"/>
    <n v="0"/>
    <n v="20260107"/>
    <n v="20260205"/>
    <n v="4415441.5921"/>
    <n v="30"/>
    <n v="147181.38640333334"/>
    <n v="4462703.5027202275"/>
    <n v="735906.93201666675"/>
    <n v="0"/>
    <n v="5198610.4347368944"/>
    <n v="3790398.7818465037"/>
    <n v="625042.81025349605"/>
    <n v="0"/>
    <n v="4415441.5921"/>
  </r>
  <r>
    <x v="0"/>
    <x v="0"/>
    <x v="0"/>
    <n v="0"/>
    <n v="24"/>
    <n v="2"/>
    <n v="20260205"/>
    <n v="20260302"/>
    <n v="508902.83600000001"/>
    <n v="26"/>
    <n v="19573.186000000002"/>
    <n v="0"/>
    <n v="469756.46400000004"/>
    <n v="28861.369238147425"/>
    <n v="498617.83323814743"/>
    <n v="0"/>
    <n v="479446.14256256068"/>
    <n v="29456.69343743939"/>
    <n v="508902.83600000007"/>
  </r>
  <r>
    <x v="0"/>
    <x v="0"/>
    <x v="0"/>
    <n v="28"/>
    <n v="4"/>
    <n v="0"/>
    <n v="20260104"/>
    <n v="20260204"/>
    <n v="3221943.9531999999"/>
    <n v="32"/>
    <n v="100685.7485375"/>
    <n v="3419252.4754039738"/>
    <n v="402742.99414999998"/>
    <n v="0"/>
    <n v="3821995.469553974"/>
    <n v="2882431.4223683798"/>
    <n v="339512.53083161992"/>
    <n v="0"/>
    <n v="3221943.9531999999"/>
  </r>
  <r>
    <x v="0"/>
    <x v="0"/>
    <x v="1"/>
    <n v="0"/>
    <n v="26"/>
    <n v="1"/>
    <n v="20260203"/>
    <n v="20260301"/>
    <n v="803585.67590000003"/>
    <n v="27"/>
    <n v="29762.43244074074"/>
    <n v="0"/>
    <n v="773823.24345925928"/>
    <n v="21942.890444550922"/>
    <n v="795766.13390381017"/>
    <n v="0"/>
    <n v="781427.16512927716"/>
    <n v="22158.510770722904"/>
    <n v="803585.67590000003"/>
  </r>
  <r>
    <x v="0"/>
    <x v="0"/>
    <x v="0"/>
    <n v="0"/>
    <n v="9"/>
    <n v="15"/>
    <n v="20260220"/>
    <n v="20260315"/>
    <n v="670406.47620000003"/>
    <n v="24"/>
    <n v="27933.603175"/>
    <n v="0"/>
    <n v="251402.428575"/>
    <n v="308918.29594792164"/>
    <n v="560320.72452292161"/>
    <n v="0"/>
    <n v="300795.2568461409"/>
    <n v="369611.2193538592"/>
    <n v="670406.47620000015"/>
  </r>
  <r>
    <x v="0"/>
    <x v="0"/>
    <x v="1"/>
    <n v="0"/>
    <n v="25"/>
    <n v="2"/>
    <n v="20260204"/>
    <n v="20260302"/>
    <n v="281176.98859999998"/>
    <n v="27"/>
    <n v="10413.96254074074"/>
    <n v="0"/>
    <n v="260349.06351851849"/>
    <n v="15355.763651382784"/>
    <n v="275704.82716990128"/>
    <n v="0"/>
    <n v="265516.44531002553"/>
    <n v="15660.543289974406"/>
    <n v="281176.98859999992"/>
  </r>
  <r>
    <x v="0"/>
    <x v="0"/>
    <x v="0"/>
    <n v="0"/>
    <n v="23"/>
    <n v="7"/>
    <n v="20260206"/>
    <n v="20260307"/>
    <n v="192499.46170000001"/>
    <n v="30"/>
    <n v="6416.6487233333337"/>
    <n v="0"/>
    <n v="147582.92063666668"/>
    <n v="33115.530515299717"/>
    <n v="180698.45115196641"/>
    <n v="0"/>
    <n v="157221.23016306217"/>
    <n v="35278.231536937819"/>
    <n v="192499.46169999999"/>
  </r>
  <r>
    <x v="0"/>
    <x v="0"/>
    <x v="0"/>
    <n v="16"/>
    <n v="20"/>
    <n v="0"/>
    <n v="20260116"/>
    <n v="20260220"/>
    <n v="568810.85719999997"/>
    <n v="36"/>
    <n v="15800.301588888888"/>
    <n v="306612.95085905661"/>
    <n v="316006.03177777777"/>
    <n v="0"/>
    <n v="622618.98263683438"/>
    <n v="280114.7736744954"/>
    <n v="288696.08352550451"/>
    <n v="0"/>
    <n v="568810.85719999997"/>
  </r>
  <r>
    <x v="0"/>
    <x v="0"/>
    <x v="0"/>
    <n v="0"/>
    <n v="21"/>
    <n v="5"/>
    <n v="20260208"/>
    <n v="20260305"/>
    <n v="255857.00440000001"/>
    <n v="26"/>
    <n v="9840.6540153846163"/>
    <n v="0"/>
    <n v="206653.73432307693"/>
    <n v="36275.998843886919"/>
    <n v="242929.73316696385"/>
    <n v="0"/>
    <n v="217650.61329745149"/>
    <n v="38206.391102548507"/>
    <n v="255857.00440000001"/>
  </r>
  <r>
    <x v="0"/>
    <x v="0"/>
    <x v="1"/>
    <n v="16"/>
    <n v="20"/>
    <n v="0"/>
    <n v="20260116"/>
    <n v="20260220"/>
    <n v="952855.64339999994"/>
    <n v="36"/>
    <n v="26468.212316666664"/>
    <n v="513629.22642465157"/>
    <n v="529364.24633333331"/>
    <n v="0"/>
    <n v="1042993.4727579849"/>
    <n v="469240.2395575383"/>
    <n v="483615.4038424617"/>
    <n v="0"/>
    <n v="952855.64339999994"/>
  </r>
  <r>
    <x v="0"/>
    <x v="0"/>
    <x v="0"/>
    <n v="0"/>
    <n v="22"/>
    <n v="3"/>
    <n v="20260207"/>
    <n v="20260303"/>
    <n v="438578.71029999998"/>
    <n v="25"/>
    <n v="17543.148411999999"/>
    <n v="0"/>
    <n v="385949.26506399998"/>
    <n v="38802.008312674669"/>
    <n v="424751.27337667462"/>
    <n v="0"/>
    <n v="398513.53373787773"/>
    <n v="40065.176562122273"/>
    <n v="438578.71030000004"/>
  </r>
  <r>
    <x v="0"/>
    <x v="0"/>
    <x v="1"/>
    <n v="0"/>
    <n v="24"/>
    <n v="3"/>
    <n v="20260205"/>
    <n v="20260303"/>
    <n v="542035.47030000004"/>
    <n v="27"/>
    <n v="20075.387788888889"/>
    <n v="0"/>
    <n v="481809.30693333334"/>
    <n v="44402.82585375612"/>
    <n v="526212.13278708945"/>
    <n v="0"/>
    <n v="496297.43977072719"/>
    <n v="45738.030529272895"/>
    <n v="542035.47030000004"/>
  </r>
  <r>
    <x v="0"/>
    <x v="0"/>
    <x v="0"/>
    <n v="0"/>
    <n v="19"/>
    <n v="0"/>
    <n v="20260201"/>
    <n v="20260219"/>
    <n v="4849.2605000000003"/>
    <n v="19"/>
    <n v="255.22423684210528"/>
    <n v="0"/>
    <n v="4849.2605000000003"/>
    <n v="0"/>
    <n v="4849.2605000000003"/>
    <n v="0"/>
    <n v="4849.2605000000003"/>
    <n v="0"/>
    <n v="4849.2605000000003"/>
  </r>
  <r>
    <x v="0"/>
    <x v="0"/>
    <x v="1"/>
    <n v="25"/>
    <n v="6"/>
    <n v="0"/>
    <n v="20260107"/>
    <n v="20260206"/>
    <n v="198713.63519999999"/>
    <n v="31"/>
    <n v="6410.1172645161287"/>
    <n v="194361.8922763161"/>
    <n v="38460.703587096774"/>
    <n v="0"/>
    <n v="232822.59586341286"/>
    <n v="165887.49908636734"/>
    <n v="32826.13611363266"/>
    <n v="0"/>
    <n v="198713.63520000002"/>
  </r>
  <r>
    <x v="0"/>
    <x v="0"/>
    <x v="1"/>
    <n v="0"/>
    <n v="22"/>
    <n v="6"/>
    <n v="20260207"/>
    <n v="20260306"/>
    <n v="209240.75760000001"/>
    <n v="28"/>
    <n v="7472.8842000000004"/>
    <n v="0"/>
    <n v="164403.45240000001"/>
    <n v="33057.112445074286"/>
    <n v="197460.56484507429"/>
    <n v="0"/>
    <n v="174211.50881048772"/>
    <n v="35029.24878951229"/>
    <n v="209240.75760000001"/>
  </r>
  <r>
    <x v="0"/>
    <x v="0"/>
    <x v="1"/>
    <n v="27"/>
    <n v="4"/>
    <n v="0"/>
    <n v="20260105"/>
    <n v="20260204"/>
    <n v="191041.98240000001"/>
    <n v="31"/>
    <n v="6162.6445935483871"/>
    <n v="201806.90499371075"/>
    <n v="24650.578374193548"/>
    <n v="0"/>
    <n v="226457.48336790429"/>
    <n v="170246.4878556146"/>
    <n v="20795.494544385416"/>
    <n v="0"/>
    <n v="191041.98240000001"/>
  </r>
  <r>
    <x v="0"/>
    <x v="0"/>
    <x v="0"/>
    <n v="0"/>
    <n v="23"/>
    <n v="9"/>
    <n v="20260206"/>
    <n v="20260309"/>
    <n v="16392.807100000002"/>
    <n v="32"/>
    <n v="512.27522187500006"/>
    <n v="0"/>
    <n v="11782.330103125001"/>
    <n v="3399.157371998469"/>
    <n v="15181.487475123471"/>
    <n v="0"/>
    <n v="12722.433482591297"/>
    <n v="3670.373617408703"/>
    <n v="16392.807100000002"/>
  </r>
  <r>
    <x v="0"/>
    <x v="0"/>
    <x v="0"/>
    <n v="0"/>
    <n v="23"/>
    <n v="2"/>
    <n v="20260206"/>
    <n v="20260302"/>
    <n v="314308.24589999998"/>
    <n v="25"/>
    <n v="12572.329835999999"/>
    <n v="0"/>
    <n v="289163.586228"/>
    <n v="18538.354133076413"/>
    <n v="307701.94036107638"/>
    <n v="0"/>
    <n v="295371.87662458111"/>
    <n v="18936.369275418889"/>
    <n v="314308.24589999998"/>
  </r>
  <r>
    <x v="0"/>
    <x v="0"/>
    <x v="0"/>
    <n v="27"/>
    <n v="1"/>
    <n v="0"/>
    <n v="20260105"/>
    <n v="20260201"/>
    <n v="887932.07129999995"/>
    <n v="28"/>
    <n v="31711.859689285713"/>
    <n v="1038462.0041514842"/>
    <n v="31711.859689285713"/>
    <n v="0"/>
    <n v="1070173.86384077"/>
    <n v="861620.48006226809"/>
    <n v="26311.591237731845"/>
    <n v="0"/>
    <n v="887932.07129999995"/>
  </r>
  <r>
    <x v="0"/>
    <x v="0"/>
    <x v="0"/>
    <n v="0"/>
    <n v="21"/>
    <n v="7"/>
    <n v="20260208"/>
    <n v="20260307"/>
    <n v="261803.01079999999"/>
    <n v="28"/>
    <n v="9350.1075285714287"/>
    <n v="0"/>
    <n v="196352.25810000001"/>
    <n v="48254.748628796922"/>
    <n v="244607.00672879693"/>
    <n v="0"/>
    <n v="210155.92740135046"/>
    <n v="51647.083398649542"/>
    <n v="261803.01079999999"/>
  </r>
  <r>
    <x v="0"/>
    <x v="0"/>
    <x v="0"/>
    <n v="26"/>
    <n v="7"/>
    <n v="0"/>
    <n v="20260106"/>
    <n v="20260207"/>
    <n v="231712.06479999999"/>
    <n v="33"/>
    <n v="7021.5777212121211"/>
    <n v="221418.13626767555"/>
    <n v="49151.044048484851"/>
    <n v="0"/>
    <n v="270569.18031616043"/>
    <n v="189619.72490289033"/>
    <n v="42092.339897109654"/>
    <n v="0"/>
    <n v="231712.06479999999"/>
  </r>
  <r>
    <x v="0"/>
    <x v="0"/>
    <x v="0"/>
    <n v="0"/>
    <n v="21"/>
    <n v="1"/>
    <n v="20260208"/>
    <n v="20260301"/>
    <n v="107859.1097"/>
    <n v="22"/>
    <n v="4902.6868045454548"/>
    <n v="0"/>
    <n v="102956.42289545455"/>
    <n v="3614.5943262629671"/>
    <n v="106571.01722171753"/>
    <n v="0"/>
    <n v="104200.82683734992"/>
    <n v="3658.2828626500723"/>
    <n v="107859.10969999999"/>
  </r>
  <r>
    <x v="0"/>
    <x v="0"/>
    <x v="0"/>
    <n v="0"/>
    <n v="9"/>
    <n v="18"/>
    <n v="20260220"/>
    <n v="20260318"/>
    <n v="60321.000699999997"/>
    <n v="27"/>
    <n v="2234.1111370370368"/>
    <n v="0"/>
    <n v="20107.000233333332"/>
    <n v="29648.497592867596"/>
    <n v="49755.497826200924"/>
    <n v="0"/>
    <n v="24376.690579731436"/>
    <n v="35944.310120268565"/>
    <n v="60321.000700000004"/>
  </r>
  <r>
    <x v="0"/>
    <x v="0"/>
    <x v="1"/>
    <n v="0"/>
    <n v="23"/>
    <n v="3"/>
    <n v="20260206"/>
    <n v="20260303"/>
    <n v="71668.214099999997"/>
    <n v="26"/>
    <n v="2756.469773076923"/>
    <n v="0"/>
    <n v="63398.804780769227"/>
    <n v="6096.771260021148"/>
    <n v="69495.576040790373"/>
    <n v="0"/>
    <n v="65380.839667338878"/>
    <n v="6287.374432661124"/>
    <n v="71668.214099999997"/>
  </r>
  <r>
    <x v="0"/>
    <x v="0"/>
    <x v="1"/>
    <n v="24"/>
    <n v="2"/>
    <n v="0"/>
    <n v="20260108"/>
    <n v="20260202"/>
    <n v="27706.144499999999"/>
    <n v="26"/>
    <n v="1065.6209423076923"/>
    <n v="31018.380862546557"/>
    <n v="2131.2418846153846"/>
    <n v="0"/>
    <n v="33149.622747161942"/>
    <n v="25924.872475579705"/>
    <n v="1781.2720244202937"/>
    <n v="0"/>
    <n v="27706.144499999999"/>
  </r>
  <r>
    <x v="0"/>
    <x v="0"/>
    <x v="0"/>
    <n v="0"/>
    <n v="10"/>
    <n v="0"/>
    <n v="20260201"/>
    <n v="20260210"/>
    <n v="42.163499999999999"/>
    <n v="10"/>
    <n v="4.2163500000000003"/>
    <n v="0"/>
    <n v="42.163499999999999"/>
    <n v="0"/>
    <n v="42.163499999999999"/>
    <n v="0"/>
    <n v="42.163499999999999"/>
    <n v="0"/>
    <n v="42.163499999999999"/>
  </r>
  <r>
    <x v="0"/>
    <x v="0"/>
    <x v="1"/>
    <n v="0"/>
    <n v="20"/>
    <n v="1"/>
    <n v="20260209"/>
    <n v="20260301"/>
    <n v="16803.109700000001"/>
    <n v="21"/>
    <n v="800.14808095238095"/>
    <n v="0"/>
    <n v="16002.961619047619"/>
    <n v="589.92361308888962"/>
    <n v="16592.885232136508"/>
    <n v="0"/>
    <n v="16205.712017398384"/>
    <n v="597.3976826016185"/>
    <n v="16803.109700000001"/>
  </r>
  <r>
    <x v="0"/>
    <x v="0"/>
    <x v="1"/>
    <n v="24"/>
    <n v="9"/>
    <n v="0"/>
    <n v="20260108"/>
    <n v="20260209"/>
    <n v="34183.3439"/>
    <n v="33"/>
    <n v="1035.8589060606062"/>
    <n v="30152.059510455041"/>
    <n v="9322.7301545454557"/>
    <n v="0"/>
    <n v="39474.789665000499"/>
    <n v="26110.290346980553"/>
    <n v="8073.0535530194429"/>
    <n v="0"/>
    <n v="34183.343899999993"/>
  </r>
  <r>
    <x v="0"/>
    <x v="0"/>
    <x v="1"/>
    <n v="0"/>
    <n v="10"/>
    <n v="15"/>
    <n v="20260219"/>
    <n v="20260315"/>
    <n v="46196.012900000002"/>
    <n v="25"/>
    <n v="1847.840516"/>
    <n v="0"/>
    <n v="18478.405159999998"/>
    <n v="20435.306530635149"/>
    <n v="38913.711690635144"/>
    <n v="0"/>
    <n v="21936.448774898494"/>
    <n v="24259.564125101515"/>
    <n v="46196.012900000009"/>
  </r>
  <r>
    <x v="0"/>
    <x v="0"/>
    <x v="1"/>
    <n v="0"/>
    <n v="25"/>
    <n v="7"/>
    <n v="20260204"/>
    <n v="20260307"/>
    <n v="380.12099999999998"/>
    <n v="32"/>
    <n v="11.878781249999999"/>
    <n v="0"/>
    <n v="296.96953124999999"/>
    <n v="61.304920984453595"/>
    <n v="358.27445223445358"/>
    <n v="0"/>
    <n v="315.07788089341659"/>
    <n v="65.04311910658339"/>
    <n v="380.12099999999998"/>
  </r>
  <r>
    <x v="0"/>
    <x v="0"/>
    <x v="1"/>
    <n v="0"/>
    <n v="21"/>
    <n v="5"/>
    <n v="20260208"/>
    <n v="20260305"/>
    <n v="22011.4761"/>
    <n v="26"/>
    <n v="846.59523461538458"/>
    <n v="0"/>
    <n v="17778.499926923076"/>
    <n v="3120.8380768325942"/>
    <n v="20899.338003755671"/>
    <n v="0"/>
    <n v="18724.565637676933"/>
    <n v="3286.9104623230678"/>
    <n v="22011.4761"/>
  </r>
  <r>
    <x v="0"/>
    <x v="0"/>
    <x v="0"/>
    <n v="0"/>
    <n v="18"/>
    <n v="6"/>
    <n v="20260211"/>
    <n v="20260306"/>
    <n v="4481.0659999999998"/>
    <n v="24"/>
    <n v="186.71108333333333"/>
    <n v="0"/>
    <n v="3360.7995000000001"/>
    <n v="825.93669476259709"/>
    <n v="4186.7361947625968"/>
    <n v="0"/>
    <n v="3597.065511580663"/>
    <n v="884.00048841933688"/>
    <n v="4481.0659999999998"/>
  </r>
  <r>
    <x v="0"/>
    <x v="0"/>
    <x v="0"/>
    <n v="0"/>
    <n v="9"/>
    <n v="10"/>
    <n v="20260220"/>
    <n v="20260310"/>
    <n v="8085.8872000000001"/>
    <n v="19"/>
    <n v="425.57301052631578"/>
    <n v="0"/>
    <n v="3830.1570947368418"/>
    <n v="3137.6138239809293"/>
    <n v="6967.7709187177716"/>
    <n v="0"/>
    <n v="4444.7813493875656"/>
    <n v="3641.1058506124336"/>
    <n v="8085.8871999999992"/>
  </r>
  <r>
    <x v="0"/>
    <x v="0"/>
    <x v="1"/>
    <n v="0"/>
    <n v="6"/>
    <n v="0"/>
    <n v="20260220"/>
    <n v="20260225"/>
    <n v="6921.7875999999997"/>
    <n v="6"/>
    <n v="1153.6312666666665"/>
    <n v="0"/>
    <n v="6921.7875999999997"/>
    <n v="0"/>
    <n v="6921.7875999999997"/>
    <n v="0"/>
    <n v="6921.7875999999997"/>
    <n v="0"/>
    <n v="6921.7875999999997"/>
  </r>
  <r>
    <x v="0"/>
    <x v="0"/>
    <x v="0"/>
    <n v="0"/>
    <n v="21"/>
    <n v="9"/>
    <n v="20260208"/>
    <n v="20260309"/>
    <n v="56046.427000000003"/>
    <n v="30"/>
    <n v="1868.2142333333334"/>
    <n v="0"/>
    <n v="39232.498899999999"/>
    <n v="12396.371935508163"/>
    <n v="51628.870835508162"/>
    <n v="0"/>
    <n v="42589.375867468319"/>
    <n v="13457.05113253168"/>
    <n v="56046.426999999996"/>
  </r>
  <r>
    <x v="0"/>
    <x v="0"/>
    <x v="0"/>
    <n v="0"/>
    <n v="24"/>
    <n v="0"/>
    <n v="20260202"/>
    <n v="20260225"/>
    <n v="28129.006300000001"/>
    <n v="24"/>
    <n v="1172.0419291666667"/>
    <n v="0"/>
    <n v="28129.006300000001"/>
    <n v="0"/>
    <n v="28129.006300000001"/>
    <n v="0"/>
    <n v="28129.006300000001"/>
    <n v="0"/>
    <n v="28129.006300000001"/>
  </r>
  <r>
    <x v="0"/>
    <x v="0"/>
    <x v="0"/>
    <n v="26"/>
    <n v="8"/>
    <n v="0"/>
    <n v="20260106"/>
    <n v="20260208"/>
    <n v="24084.9588"/>
    <n v="34"/>
    <n v="708.38114117647058"/>
    <n v="22338.061084565885"/>
    <n v="5667.0491294117646"/>
    <n v="0"/>
    <n v="28005.110213977649"/>
    <n v="19211.182415740877"/>
    <n v="4873.776384259123"/>
    <n v="0"/>
    <n v="24084.9588"/>
  </r>
  <r>
    <x v="0"/>
    <x v="0"/>
    <x v="0"/>
    <n v="0"/>
    <n v="25"/>
    <n v="10"/>
    <n v="20260204"/>
    <n v="20260310"/>
    <n v="6082.5054"/>
    <n v="35"/>
    <n v="173.78586857142858"/>
    <n v="0"/>
    <n v="4344.6467142857146"/>
    <n v="1281.2676794703123"/>
    <n v="5625.9143937560266"/>
    <n v="0"/>
    <n v="4697.2519045196696"/>
    <n v="1385.2534954803311"/>
    <n v="6082.5054000000009"/>
  </r>
  <r>
    <x v="0"/>
    <x v="0"/>
    <x v="0"/>
    <n v="0"/>
    <n v="20"/>
    <n v="2"/>
    <n v="20260209"/>
    <n v="20260302"/>
    <n v="295.60129999999998"/>
    <n v="22"/>
    <n v="13.436422727272726"/>
    <n v="0"/>
    <n v="268.7284545454545"/>
    <n v="19.812490290116997"/>
    <n v="288.54094483557151"/>
    <n v="0"/>
    <n v="275.30401467249328"/>
    <n v="20.297285327506685"/>
    <n v="295.60129999999998"/>
  </r>
  <r>
    <x v="0"/>
    <x v="0"/>
    <x v="0"/>
    <n v="29"/>
    <n v="8"/>
    <n v="0"/>
    <n v="20260103"/>
    <n v="20260208"/>
    <n v="3025.6707999999999"/>
    <n v="37"/>
    <n v="81.77488648648648"/>
    <n v="2876.2265003739053"/>
    <n v="654.19909189189184"/>
    <n v="0"/>
    <n v="3530.4255922657971"/>
    <n v="2465.0043766486278"/>
    <n v="560.66642335137203"/>
    <n v="0"/>
    <n v="3025.6707999999999"/>
  </r>
  <r>
    <x v="0"/>
    <x v="0"/>
    <x v="0"/>
    <n v="0"/>
    <n v="17"/>
    <n v="0"/>
    <n v="20260204"/>
    <n v="20260220"/>
    <n v="1812.2669000000001"/>
    <n v="17"/>
    <n v="106.60393529411765"/>
    <n v="0"/>
    <n v="1812.2669000000001"/>
    <n v="0"/>
    <n v="1812.2669000000001"/>
    <n v="0"/>
    <n v="1812.2669000000001"/>
    <n v="0"/>
    <n v="1812.2669000000001"/>
  </r>
  <r>
    <x v="0"/>
    <x v="0"/>
    <x v="1"/>
    <n v="0"/>
    <n v="21"/>
    <n v="1"/>
    <n v="20260208"/>
    <n v="20260301"/>
    <n v="4854.7152999999998"/>
    <n v="22"/>
    <n v="220.66887727272726"/>
    <n v="0"/>
    <n v="4634.0464227272723"/>
    <n v="162.69211221759247"/>
    <n v="4796.738534944865"/>
    <n v="0"/>
    <n v="4690.0567761680059"/>
    <n v="164.65852383199399"/>
    <n v="4854.7152999999998"/>
  </r>
  <r>
    <x v="0"/>
    <x v="0"/>
    <x v="0"/>
    <n v="0"/>
    <n v="19"/>
    <n v="0"/>
    <n v="20260205"/>
    <n v="20260223"/>
    <n v="716.51120000000003"/>
    <n v="19"/>
    <n v="37.711115789473688"/>
    <n v="0"/>
    <n v="716.51120000000003"/>
    <n v="0"/>
    <n v="716.51120000000003"/>
    <n v="0"/>
    <n v="716.51120000000003"/>
    <n v="0"/>
    <n v="716.51120000000003"/>
  </r>
  <r>
    <x v="0"/>
    <x v="0"/>
    <x v="0"/>
    <n v="31"/>
    <n v="2"/>
    <n v="0"/>
    <n v="20251230"/>
    <n v="20260202"/>
    <n v="12934.624900000001"/>
    <n v="33"/>
    <n v="391.95833030303032"/>
    <n v="14736.92008087968"/>
    <n v="783.91666060606065"/>
    <n v="0"/>
    <n v="15520.83674148574"/>
    <n v="12281.331000535314"/>
    <n v="653.29389946468677"/>
    <n v="0"/>
    <n v="12934.624900000001"/>
  </r>
  <r>
    <x v="0"/>
    <x v="0"/>
    <x v="0"/>
    <n v="31"/>
    <n v="2"/>
    <n v="0"/>
    <n v="20251231"/>
    <n v="20260202"/>
    <n v="80299.242599999998"/>
    <n v="33"/>
    <n v="2433.3103818181817"/>
    <n v="91488.043132303661"/>
    <n v="4866.6207636363633"/>
    <n v="0"/>
    <n v="96354.66389594003"/>
    <n v="76243.538957429351"/>
    <n v="4055.7036425706387"/>
    <n v="0"/>
    <n v="80299.242599999983"/>
  </r>
  <r>
    <x v="0"/>
    <x v="0"/>
    <x v="1"/>
    <n v="31"/>
    <n v="1"/>
    <n v="0"/>
    <n v="20251230"/>
    <n v="20260201"/>
    <n v="2603.2330000000002"/>
    <n v="32"/>
    <n v="81.351031250000005"/>
    <n v="3058.6507629561829"/>
    <n v="81.351031250000005"/>
    <n v="0"/>
    <n v="3140.0017942061831"/>
    <n v="2535.7885515526164"/>
    <n v="67.444448447383721"/>
    <n v="0"/>
    <n v="2603.2330000000002"/>
  </r>
  <r>
    <x v="0"/>
    <x v="0"/>
    <x v="0"/>
    <n v="31"/>
    <n v="3"/>
    <n v="0"/>
    <n v="20251229"/>
    <n v="20260203"/>
    <n v="14953.225"/>
    <n v="34"/>
    <n v="439.80073529411766"/>
    <n v="16535.707462909922"/>
    <n v="1319.402205882353"/>
    <n v="0"/>
    <n v="17855.109668792276"/>
    <n v="13848.257379188424"/>
    <n v="1104.967620811575"/>
    <n v="0"/>
    <n v="14953.224999999999"/>
  </r>
  <r>
    <x v="0"/>
    <x v="0"/>
    <x v="0"/>
    <n v="11"/>
    <n v="2"/>
    <n v="0"/>
    <n v="20260121"/>
    <n v="20260202"/>
    <n v="4206.2732999999998"/>
    <n v="13"/>
    <n v="323.55948461538458"/>
    <n v="4316.7008782262665"/>
    <n v="647.11896923076915"/>
    <n v="0"/>
    <n v="4963.8198474570354"/>
    <n v="3657.9135033419152"/>
    <n v="548.35979665808486"/>
    <n v="0"/>
    <n v="4206.2732999999998"/>
  </r>
  <r>
    <x v="0"/>
    <x v="0"/>
    <x v="0"/>
    <n v="16"/>
    <n v="1"/>
    <n v="0"/>
    <n v="20260116"/>
    <n v="20260201"/>
    <n v="4118.8550999999998"/>
    <n v="17"/>
    <n v="242.28559411764704"/>
    <n v="4701.6761385929676"/>
    <n v="242.28559411764704"/>
    <n v="0"/>
    <n v="4943.9617327106143"/>
    <n v="3917.0049828388255"/>
    <n v="201.85011716117441"/>
    <n v="0"/>
    <n v="4118.8550999999998"/>
  </r>
  <r>
    <x v="0"/>
    <x v="0"/>
    <x v="0"/>
    <n v="19"/>
    <n v="2"/>
    <n v="0"/>
    <n v="20260113"/>
    <n v="20260202"/>
    <n v="1933.3856000000001"/>
    <n v="21"/>
    <n v="92.065980952380954"/>
    <n v="2121.5727147673947"/>
    <n v="184.13196190476191"/>
    <n v="0"/>
    <n v="2305.7046766721564"/>
    <n v="1778.9867790025814"/>
    <n v="154.3988209974186"/>
    <n v="0"/>
    <n v="1933.3856000000001"/>
  </r>
  <r>
    <x v="0"/>
    <x v="0"/>
    <x v="0"/>
    <n v="0"/>
    <n v="16"/>
    <n v="1"/>
    <n v="20260213"/>
    <n v="20260301"/>
    <n v="14185.8719"/>
    <n v="17"/>
    <n v="834.46305294117644"/>
    <n v="0"/>
    <n v="13351.408847058823"/>
    <n v="615.22294547568936"/>
    <n v="13966.631792534512"/>
    <n v="0"/>
    <n v="13560.991540576202"/>
    <n v="624.88035942379827"/>
    <n v="14185.8719"/>
  </r>
  <r>
    <x v="0"/>
    <x v="0"/>
    <x v="0"/>
    <n v="0"/>
    <n v="4"/>
    <n v="7"/>
    <n v="20260225"/>
    <n v="20260307"/>
    <n v="2883.8521999999998"/>
    <n v="11"/>
    <n v="262.16838181818179"/>
    <n v="0"/>
    <n v="1048.6735272727271"/>
    <n v="1353.0185962457804"/>
    <n v="2401.6921235185073"/>
    <n v="0"/>
    <n v="1259.2036377571562"/>
    <n v="1624.6485622428436"/>
    <n v="2883.8521999999998"/>
  </r>
  <r>
    <x v="0"/>
    <x v="0"/>
    <x v="0"/>
    <n v="9"/>
    <n v="3"/>
    <n v="0"/>
    <n v="20260123"/>
    <n v="20260203"/>
    <n v="1683.616"/>
    <n v="12"/>
    <n v="140.30133333333333"/>
    <n v="1531.4733480997406"/>
    <n v="420.904"/>
    <n v="0"/>
    <n v="1952.3773480997406"/>
    <n v="1320.6530156395618"/>
    <n v="362.96298436043821"/>
    <n v="0"/>
    <n v="1683.616"/>
  </r>
  <r>
    <x v="0"/>
    <x v="0"/>
    <x v="1"/>
    <n v="13"/>
    <n v="1"/>
    <n v="0"/>
    <n v="20260119"/>
    <n v="20260201"/>
    <n v="168.17189999999999"/>
    <n v="14"/>
    <n v="12.01227857142857"/>
    <n v="189.39734339041863"/>
    <n v="12.01227857142857"/>
    <n v="0"/>
    <n v="201.40962196184719"/>
    <n v="158.14195361010459"/>
    <n v="10.029946389895409"/>
    <n v="0"/>
    <n v="168.17189999999999"/>
  </r>
  <r>
    <x v="0"/>
    <x v="0"/>
    <x v="0"/>
    <n v="11"/>
    <n v="4"/>
    <n v="0"/>
    <n v="20260121"/>
    <n v="20260204"/>
    <n v="5428.7695999999996"/>
    <n v="15"/>
    <n v="361.91797333333329"/>
    <n v="4828.4525956362168"/>
    <n v="1447.6718933333332"/>
    <n v="0"/>
    <n v="6276.1244889695499"/>
    <n v="4176.5514231434108"/>
    <n v="1252.218176856589"/>
    <n v="0"/>
    <n v="5428.7695999999996"/>
  </r>
  <r>
    <x v="0"/>
    <x v="0"/>
    <x v="0"/>
    <n v="17"/>
    <n v="5"/>
    <n v="0"/>
    <n v="20260115"/>
    <n v="20260205"/>
    <n v="715.01610000000005"/>
    <n v="22"/>
    <n v="32.500731818181819"/>
    <n v="670.11169431018766"/>
    <n v="162.50365909090908"/>
    <n v="0"/>
    <n v="832.61535340109674"/>
    <n v="575.46458670603647"/>
    <n v="139.55151329396361"/>
    <n v="0"/>
    <n v="715.01610000000005"/>
  </r>
  <r>
    <x v="0"/>
    <x v="0"/>
    <x v="0"/>
    <n v="20"/>
    <n v="2"/>
    <n v="0"/>
    <n v="20260112"/>
    <n v="20260202"/>
    <n v="3992.7676999999999"/>
    <n v="22"/>
    <n v="181.48944090909092"/>
    <n v="4402.3695302459391"/>
    <n v="362.97888181818183"/>
    <n v="0"/>
    <n v="4765.3484120641206"/>
    <n v="3688.636662815672"/>
    <n v="304.13103718432848"/>
    <n v="0"/>
    <n v="3992.7677000000003"/>
  </r>
  <r>
    <x v="0"/>
    <x v="0"/>
    <x v="1"/>
    <n v="0"/>
    <n v="8"/>
    <n v="4"/>
    <n v="20260221"/>
    <n v="20260304"/>
    <n v="1397.1685"/>
    <n v="12"/>
    <n v="116.43070833333333"/>
    <n v="0"/>
    <n v="931.44566666666663"/>
    <n v="343.36256385315926"/>
    <n v="1274.8082305198259"/>
    <n v="0"/>
    <n v="1020.8488726163173"/>
    <n v="376.31962738368264"/>
    <n v="1397.1685"/>
  </r>
  <r>
    <x v="0"/>
    <x v="0"/>
    <x v="0"/>
    <n v="20"/>
    <n v="3"/>
    <n v="0"/>
    <n v="20260112"/>
    <n v="20260203"/>
    <n v="8954.3104000000003"/>
    <n v="23"/>
    <n v="389.3178434782609"/>
    <n v="9443.6403744737199"/>
    <n v="1167.9535304347828"/>
    <n v="0"/>
    <n v="10611.593904908503"/>
    <n v="7968.7639742692409"/>
    <n v="985.54642573076001"/>
    <n v="0"/>
    <n v="8954.3104000000003"/>
  </r>
  <r>
    <x v="0"/>
    <x v="0"/>
    <x v="0"/>
    <n v="0"/>
    <n v="9"/>
    <n v="4"/>
    <n v="20260220"/>
    <n v="20260304"/>
    <n v="1269.501"/>
    <n v="13"/>
    <n v="97.653923076923078"/>
    <n v="0"/>
    <n v="878.88530769230772"/>
    <n v="287.98846866082226"/>
    <n v="1166.8737763531299"/>
    <n v="0"/>
    <n v="956.18377892403271"/>
    <n v="313.31722107596738"/>
    <n v="1269.5010000000002"/>
  </r>
  <r>
    <x v="0"/>
    <x v="0"/>
    <x v="0"/>
    <n v="20"/>
    <n v="6"/>
    <n v="0"/>
    <n v="20260112"/>
    <n v="20260206"/>
    <n v="20140.002199999999"/>
    <n v="26"/>
    <n v="774.61546923076924"/>
    <n v="18789.7627670078"/>
    <n v="4647.6928153846156"/>
    <n v="0"/>
    <n v="23437.455582392417"/>
    <n v="16146.200774000004"/>
    <n v="3993.8014259999936"/>
    <n v="0"/>
    <n v="20140.002199999999"/>
  </r>
  <r>
    <x v="0"/>
    <x v="0"/>
    <x v="0"/>
    <n v="8"/>
    <n v="2"/>
    <n v="0"/>
    <n v="20260124"/>
    <n v="20260202"/>
    <n v="883.71169999999995"/>
    <n v="10"/>
    <n v="88.371169999999992"/>
    <n v="857.44392447615189"/>
    <n v="176.74233999999998"/>
    <n v="0"/>
    <n v="1034.1862644761518"/>
    <n v="732.68544959578219"/>
    <n v="151.02625040421785"/>
    <n v="0"/>
    <n v="883.71170000000006"/>
  </r>
  <r>
    <x v="0"/>
    <x v="0"/>
    <x v="0"/>
    <n v="27"/>
    <n v="3"/>
    <n v="0"/>
    <n v="20260105"/>
    <n v="20260203"/>
    <n v="2922851.0652999999"/>
    <n v="30"/>
    <n v="97428.36884333333"/>
    <n v="3190467.546261298"/>
    <n v="292285.10652999999"/>
    <n v="0"/>
    <n v="3482752.652791298"/>
    <n v="2677554.9101717165"/>
    <n v="245296.15512828328"/>
    <n v="0"/>
    <n v="2922851.0652999999"/>
  </r>
  <r>
    <x v="0"/>
    <x v="0"/>
    <x v="0"/>
    <n v="24"/>
    <n v="5"/>
    <n v="0"/>
    <n v="20260108"/>
    <n v="20260205"/>
    <n v="1497569.5427000001"/>
    <n v="29"/>
    <n v="51640.329058620693"/>
    <n v="1503160.5808522259"/>
    <n v="258201.64529310347"/>
    <n v="0"/>
    <n v="1761362.2261453294"/>
    <n v="1278037.799526307"/>
    <n v="219531.74317369299"/>
    <n v="0"/>
    <n v="1497569.5427000001"/>
  </r>
  <r>
    <x v="0"/>
    <x v="0"/>
    <x v="0"/>
    <n v="0"/>
    <n v="25"/>
    <n v="1"/>
    <n v="20260204"/>
    <n v="20260301"/>
    <n v="3218596.7760999999"/>
    <n v="26"/>
    <n v="123792.18369615384"/>
    <n v="0"/>
    <n v="3094804.5924038459"/>
    <n v="91268.021528310957"/>
    <n v="3186072.6139321569"/>
    <n v="0"/>
    <n v="3126397.0696126129"/>
    <n v="92199.706487387084"/>
    <n v="3218596.7760999999"/>
  </r>
  <r>
    <x v="0"/>
    <x v="0"/>
    <x v="1"/>
    <n v="0"/>
    <n v="27"/>
    <n v="3"/>
    <n v="20260202"/>
    <n v="20260303"/>
    <n v="459145.75069999998"/>
    <n v="30"/>
    <n v="15304.858356666666"/>
    <n v="0"/>
    <n v="413231.17562999995"/>
    <n v="33851.349098401981"/>
    <n v="447082.52472840191"/>
    <n v="0"/>
    <n v="424381.02107108961"/>
    <n v="34764.729628910412"/>
    <n v="459145.75070000003"/>
  </r>
  <r>
    <x v="0"/>
    <x v="0"/>
    <x v="0"/>
    <n v="0"/>
    <n v="13"/>
    <n v="0"/>
    <n v="20260216"/>
    <n v="20260228"/>
    <n v="7304.5481"/>
    <n v="13"/>
    <n v="561.88831538461534"/>
    <n v="0"/>
    <n v="7304.5480999999991"/>
    <n v="0"/>
    <n v="7304.5480999999991"/>
    <n v="0"/>
    <n v="7304.5481"/>
    <n v="0"/>
    <n v="7304.5481"/>
  </r>
  <r>
    <x v="0"/>
    <x v="0"/>
    <x v="0"/>
    <n v="25"/>
    <n v="4"/>
    <n v="0"/>
    <n v="20260107"/>
    <n v="20260204"/>
    <n v="3331772.2475000001"/>
    <n v="29"/>
    <n v="114888.69818965517"/>
    <n v="3483553.2424521944"/>
    <n v="459554.79275862069"/>
    <n v="0"/>
    <n v="3943108.0352108153"/>
    <n v="2943466.400679111"/>
    <n v="388305.84682088875"/>
    <n v="0"/>
    <n v="3331772.2474999996"/>
  </r>
  <r>
    <x v="0"/>
    <x v="0"/>
    <x v="0"/>
    <n v="26"/>
    <n v="3"/>
    <n v="0"/>
    <n v="20260106"/>
    <n v="20260203"/>
    <n v="5859641.3982999995"/>
    <n v="29"/>
    <n v="202056.5999413793"/>
    <n v="6371644.3164116004"/>
    <n v="606169.79982413794"/>
    <n v="0"/>
    <n v="6977814.1162357386"/>
    <n v="5350608.3982399637"/>
    <n v="509033.00006003538"/>
    <n v="0"/>
    <n v="5859641.3982999995"/>
  </r>
  <r>
    <x v="0"/>
    <x v="0"/>
    <x v="1"/>
    <n v="25"/>
    <n v="2"/>
    <n v="0"/>
    <n v="20260107"/>
    <n v="20260202"/>
    <n v="293363.36969999998"/>
    <n v="27"/>
    <n v="10865.309988888888"/>
    <n v="329448.29594605148"/>
    <n v="21730.619977777777"/>
    <n v="0"/>
    <n v="351178.91592382925"/>
    <n v="275210.32117320929"/>
    <n v="18153.04852679071"/>
    <n v="0"/>
    <n v="293363.36969999998"/>
  </r>
  <r>
    <x v="0"/>
    <x v="0"/>
    <x v="0"/>
    <n v="0"/>
    <n v="27"/>
    <n v="2"/>
    <n v="20260202"/>
    <n v="20260302"/>
    <n v="3705383.7483999999"/>
    <n v="29"/>
    <n v="127771.85339310345"/>
    <n v="0"/>
    <n v="3449840.041613793"/>
    <n v="188404.20966830838"/>
    <n v="3638244.2512821015"/>
    <n v="0"/>
    <n v="3513502.7617430193"/>
    <n v="191880.98665698027"/>
    <n v="3705383.7483999995"/>
  </r>
  <r>
    <x v="0"/>
    <x v="0"/>
    <x v="1"/>
    <n v="0"/>
    <n v="25"/>
    <n v="6"/>
    <n v="20260204"/>
    <n v="20260306"/>
    <n v="550249.89260000002"/>
    <n v="31"/>
    <n v="17749.996535483871"/>
    <n v="0"/>
    <n v="443749.91338709678"/>
    <n v="78519.031697717102"/>
    <n v="522268.94508481387"/>
    <n v="0"/>
    <n v="467524.14532871905"/>
    <n v="82725.747271280983"/>
    <n v="550249.89260000002"/>
  </r>
  <r>
    <x v="0"/>
    <x v="0"/>
    <x v="0"/>
    <n v="0"/>
    <n v="26"/>
    <n v="3"/>
    <n v="20260203"/>
    <n v="20260303"/>
    <n v="10011445.515000001"/>
    <n v="29"/>
    <n v="345222.25913793105"/>
    <n v="0"/>
    <n v="8975778.7375862077"/>
    <n v="763564.02250051999"/>
    <n v="9739342.7600867283"/>
    <n v="0"/>
    <n v="9226548.6490835454"/>
    <n v="784896.86591645505"/>
    <n v="10011445.515000001"/>
  </r>
  <r>
    <x v="0"/>
    <x v="0"/>
    <x v="0"/>
    <n v="0"/>
    <n v="22"/>
    <n v="0"/>
    <n v="20260202"/>
    <n v="20260223"/>
    <n v="2782.7276999999999"/>
    <n v="22"/>
    <n v="126.48762272727272"/>
    <n v="0"/>
    <n v="2782.7276999999999"/>
    <n v="0"/>
    <n v="2782.7276999999999"/>
    <n v="0"/>
    <n v="2782.7276999999999"/>
    <n v="0"/>
    <n v="2782.7276999999999"/>
  </r>
  <r>
    <x v="0"/>
    <x v="0"/>
    <x v="1"/>
    <n v="0"/>
    <n v="26"/>
    <n v="2"/>
    <n v="20260203"/>
    <n v="20260302"/>
    <n v="797872.61340000003"/>
    <n v="28"/>
    <n v="28495.450478571431"/>
    <n v="0"/>
    <n v="740881.71244285721"/>
    <n v="42017.570255010847"/>
    <n v="782899.28269786807"/>
    <n v="0"/>
    <n v="755051.4366164963"/>
    <n v="42821.176783503652"/>
    <n v="797872.61339999991"/>
  </r>
  <r>
    <x v="0"/>
    <x v="0"/>
    <x v="1"/>
    <n v="0"/>
    <n v="11"/>
    <n v="16"/>
    <n v="20260218"/>
    <n v="20260316"/>
    <n v="339261.88400000002"/>
    <n v="27"/>
    <n v="12565.254962962963"/>
    <n v="0"/>
    <n v="138217.80459259258"/>
    <n v="148223.37581936369"/>
    <n v="286441.18041195627"/>
    <n v="0"/>
    <n v="163705.62612885219"/>
    <n v="175556.25787114783"/>
    <n v="339261.88400000002"/>
  </r>
  <r>
    <x v="0"/>
    <x v="0"/>
    <x v="0"/>
    <n v="25"/>
    <n v="6"/>
    <n v="0"/>
    <n v="20260107"/>
    <n v="20260206"/>
    <n v="841502.40179999999"/>
    <n v="31"/>
    <n v="27145.238767741936"/>
    <n v="823073.86206436274"/>
    <n v="162871.43260645162"/>
    <n v="0"/>
    <n v="985945.29467081442"/>
    <n v="702491.94912706933"/>
    <n v="139010.45267293061"/>
    <n v="0"/>
    <n v="841502.40179999988"/>
  </r>
  <r>
    <x v="0"/>
    <x v="0"/>
    <x v="1"/>
    <n v="24"/>
    <n v="5"/>
    <n v="0"/>
    <n v="20260108"/>
    <n v="20260205"/>
    <n v="193480.10810000001"/>
    <n v="29"/>
    <n v="6671.7278655172422"/>
    <n v="194202.44828871245"/>
    <n v="33358.639327586214"/>
    <n v="0"/>
    <n v="227561.08761629867"/>
    <n v="165117.46837640597"/>
    <n v="28362.63972359402"/>
    <n v="0"/>
    <n v="193480.10809999998"/>
  </r>
  <r>
    <x v="0"/>
    <x v="0"/>
    <x v="0"/>
    <n v="0"/>
    <n v="23"/>
    <n v="8"/>
    <n v="20260206"/>
    <n v="20260308"/>
    <n v="55300.718500000003"/>
    <n v="31"/>
    <n v="1783.8941451612905"/>
    <n v="0"/>
    <n v="41029.565338709683"/>
    <n v="10521.665222058251"/>
    <n v="51551.23056076793"/>
    <n v="0"/>
    <n v="44013.778493584454"/>
    <n v="11286.940006415547"/>
    <n v="55300.718500000003"/>
  </r>
  <r>
    <x v="0"/>
    <x v="0"/>
    <x v="1"/>
    <n v="0"/>
    <n v="22"/>
    <n v="5"/>
    <n v="20260207"/>
    <n v="20260305"/>
    <n v="106069.8944"/>
    <n v="27"/>
    <n v="3928.5146074074078"/>
    <n v="0"/>
    <n v="86427.321362962975"/>
    <n v="14481.841464368776"/>
    <n v="100909.16282733175"/>
    <n v="0"/>
    <n v="90847.417552465602"/>
    <n v="15222.476847534412"/>
    <n v="106069.89440000002"/>
  </r>
  <r>
    <x v="0"/>
    <x v="0"/>
    <x v="1"/>
    <n v="0"/>
    <n v="11"/>
    <n v="0"/>
    <n v="20260205"/>
    <n v="20260215"/>
    <n v="84.287499999999994"/>
    <n v="11"/>
    <n v="7.6624999999999996"/>
    <n v="0"/>
    <n v="84.287499999999994"/>
    <n v="0"/>
    <n v="84.287499999999994"/>
    <n v="0"/>
    <n v="84.287499999999994"/>
    <n v="0"/>
    <n v="84.287499999999994"/>
  </r>
  <r>
    <x v="0"/>
    <x v="0"/>
    <x v="0"/>
    <n v="24"/>
    <n v="3"/>
    <n v="0"/>
    <n v="20260108"/>
    <n v="20260203"/>
    <n v="1025510.8744"/>
    <n v="27"/>
    <n v="37981.884237037033"/>
    <n v="1105586.8971476986"/>
    <n v="113945.65271111109"/>
    <n v="0"/>
    <n v="1219532.5498588097"/>
    <n v="929693.41880246066"/>
    <n v="95817.4555975392"/>
    <n v="0"/>
    <n v="1025510.8743999999"/>
  </r>
  <r>
    <x v="0"/>
    <x v="0"/>
    <x v="1"/>
    <n v="0"/>
    <n v="10"/>
    <n v="0"/>
    <n v="20260211"/>
    <n v="20260220"/>
    <n v="55751.459499999997"/>
    <n v="10"/>
    <n v="5575.1459500000001"/>
    <n v="0"/>
    <n v="55751.459499999997"/>
    <n v="0"/>
    <n v="55751.459499999997"/>
    <n v="0"/>
    <n v="55751.459499999997"/>
    <n v="0"/>
    <n v="55751.459499999997"/>
  </r>
  <r>
    <x v="0"/>
    <x v="0"/>
    <x v="1"/>
    <n v="16"/>
    <n v="16"/>
    <n v="0"/>
    <n v="20260116"/>
    <n v="20260216"/>
    <n v="818859.57290000003"/>
    <n v="32"/>
    <n v="25589.361653125001"/>
    <n v="496574.67883915204"/>
    <n v="409429.78645000001"/>
    <n v="0"/>
    <n v="906004.46528915199"/>
    <n v="448811.17588908132"/>
    <n v="370048.39701091871"/>
    <n v="0"/>
    <n v="818859.57290000003"/>
  </r>
  <r>
    <x v="0"/>
    <x v="0"/>
    <x v="0"/>
    <n v="0"/>
    <n v="24"/>
    <n v="6"/>
    <n v="20260205"/>
    <n v="20260306"/>
    <n v="628690.73309999995"/>
    <n v="30"/>
    <n v="20956.357769999999"/>
    <n v="0"/>
    <n v="502952.58647999994"/>
    <n v="92702.717813036114"/>
    <n v="595655.304293036"/>
    <n v="0"/>
    <n v="530846.66254074872"/>
    <n v="97844.070559251268"/>
    <n v="628690.73309999995"/>
  </r>
  <r>
    <x v="0"/>
    <x v="0"/>
    <x v="1"/>
    <n v="16"/>
    <n v="18"/>
    <n v="0"/>
    <n v="20260116"/>
    <n v="20260218"/>
    <n v="442781.4276"/>
    <n v="34"/>
    <n v="13022.983164705882"/>
    <n v="252717.66330879787"/>
    <n v="234413.69696470589"/>
    <n v="0"/>
    <n v="487131.36027350376"/>
    <n v="229709.47236240192"/>
    <n v="213071.95523759807"/>
    <n v="0"/>
    <n v="442781.4276"/>
  </r>
  <r>
    <x v="0"/>
    <x v="0"/>
    <x v="0"/>
    <n v="0"/>
    <n v="8"/>
    <n v="17"/>
    <n v="20260221"/>
    <n v="20260317"/>
    <n v="502609.61540000001"/>
    <n v="25"/>
    <n v="20104.384615999999"/>
    <n v="0"/>
    <n v="160835.07692799999"/>
    <n v="251979.4465509553"/>
    <n v="412814.52347895526"/>
    <n v="0"/>
    <n v="195819.79693050327"/>
    <n v="306789.81846949679"/>
    <n v="502609.61540000007"/>
  </r>
  <r>
    <x v="0"/>
    <x v="0"/>
    <x v="1"/>
    <n v="27"/>
    <n v="2"/>
    <n v="0"/>
    <n v="20260105"/>
    <n v="20260202"/>
    <n v="100245.9031"/>
    <n v="29"/>
    <n v="3456.7552793103446"/>
    <n v="113197.68220425989"/>
    <n v="6913.5105586206892"/>
    <n v="0"/>
    <n v="120111.19276288059"/>
    <n v="94475.823779344893"/>
    <n v="5770.0793206551052"/>
    <n v="0"/>
    <n v="100245.9031"/>
  </r>
  <r>
    <x v="0"/>
    <x v="0"/>
    <x v="0"/>
    <n v="28"/>
    <n v="8"/>
    <n v="0"/>
    <n v="20260104"/>
    <n v="20260208"/>
    <n v="8363.0110999999997"/>
    <n v="36"/>
    <n v="232.30586388888889"/>
    <n v="7889.025127097344"/>
    <n v="1858.4469111111111"/>
    <n v="0"/>
    <n v="9747.4720382084561"/>
    <n v="6768.5246438747527"/>
    <n v="1594.4864561252466"/>
    <n v="0"/>
    <n v="8363.0110999999997"/>
  </r>
  <r>
    <x v="0"/>
    <x v="0"/>
    <x v="0"/>
    <n v="26"/>
    <n v="9"/>
    <n v="0"/>
    <n v="20260106"/>
    <n v="20260209"/>
    <n v="39012.207000000002"/>
    <n v="35"/>
    <n v="1114.6344857142858"/>
    <n v="35148.836948846241"/>
    <n v="10031.710371428573"/>
    <n v="0"/>
    <n v="45180.547320274811"/>
    <n v="30350.090563030775"/>
    <n v="8662.1164369692269"/>
    <n v="0"/>
    <n v="39012.207000000002"/>
  </r>
  <r>
    <x v="0"/>
    <x v="0"/>
    <x v="0"/>
    <n v="30"/>
    <n v="7"/>
    <n v="0"/>
    <n v="20260102"/>
    <n v="20260207"/>
    <n v="63237.487300000001"/>
    <n v="37"/>
    <n v="1709.1212783783783"/>
    <n v="62186.952048605948"/>
    <n v="11963.848948648649"/>
    <n v="0"/>
    <n v="74150.800997254599"/>
    <n v="53034.445178077425"/>
    <n v="10203.042121922577"/>
    <n v="0"/>
    <n v="63237.487300000001"/>
  </r>
  <r>
    <x v="0"/>
    <x v="0"/>
    <x v="0"/>
    <n v="0"/>
    <n v="21"/>
    <n v="4"/>
    <n v="20260208"/>
    <n v="20260304"/>
    <n v="106781.7614"/>
    <n v="25"/>
    <n v="4271.2704560000002"/>
    <n v="0"/>
    <n v="89696.67957600001"/>
    <n v="12596.284912083942"/>
    <n v="102292.96448808395"/>
    <n v="0"/>
    <n v="93632.729140159179"/>
    <n v="13149.032259840822"/>
    <n v="106781.7614"/>
  </r>
  <r>
    <x v="0"/>
    <x v="0"/>
    <x v="0"/>
    <n v="0"/>
    <n v="19"/>
    <n v="0"/>
    <n v="20260203"/>
    <n v="20260221"/>
    <n v="4552.3805000000002"/>
    <n v="19"/>
    <n v="239.59897368421053"/>
    <n v="0"/>
    <n v="4552.3805000000002"/>
    <n v="0"/>
    <n v="4552.3805000000002"/>
    <n v="0"/>
    <n v="4552.3805000000002"/>
    <n v="0"/>
    <n v="4552.3805000000002"/>
  </r>
  <r>
    <x v="0"/>
    <x v="0"/>
    <x v="1"/>
    <n v="23"/>
    <n v="5"/>
    <n v="0"/>
    <n v="20260109"/>
    <n v="20260205"/>
    <n v="21610.594000000001"/>
    <n v="28"/>
    <n v="771.80692857142856"/>
    <n v="21529.88174870822"/>
    <n v="3859.0346428571429"/>
    <n v="0"/>
    <n v="25388.916391565363"/>
    <n v="18325.852358705444"/>
    <n v="3284.7416412945577"/>
    <n v="0"/>
    <n v="21610.594000000001"/>
  </r>
  <r>
    <x v="0"/>
    <x v="0"/>
    <x v="1"/>
    <n v="23"/>
    <n v="7"/>
    <n v="0"/>
    <n v="20260109"/>
    <n v="20260207"/>
    <n v="40445.336199999998"/>
    <n v="30"/>
    <n v="1348.1778733333333"/>
    <n v="37607.993805934471"/>
    <n v="9437.2451133333325"/>
    <n v="0"/>
    <n v="47045.238919267802"/>
    <n v="32332.027389610517"/>
    <n v="8113.3088103894852"/>
    <n v="0"/>
    <n v="40445.336200000005"/>
  </r>
  <r>
    <x v="0"/>
    <x v="0"/>
    <x v="1"/>
    <n v="23"/>
    <n v="6"/>
    <n v="0"/>
    <n v="20260109"/>
    <n v="20260206"/>
    <n v="2312.4176000000002"/>
    <n v="29"/>
    <n v="79.738537931034486"/>
    <n v="2224.3403484958167"/>
    <n v="478.43122758620689"/>
    <n v="0"/>
    <n v="2702.7715760820238"/>
    <n v="1903.0848983945959"/>
    <n v="409.33270160540394"/>
    <n v="0"/>
    <n v="2312.4175999999998"/>
  </r>
  <r>
    <x v="0"/>
    <x v="0"/>
    <x v="0"/>
    <n v="29"/>
    <n v="7"/>
    <n v="0"/>
    <n v="20260103"/>
    <n v="20260207"/>
    <n v="48155.195500000002"/>
    <n v="36"/>
    <n v="1337.6443194444446"/>
    <n v="47048.283464098939"/>
    <n v="9363.510236111113"/>
    <n v="0"/>
    <n v="56411.793700210052"/>
    <n v="40162.156519846059"/>
    <n v="7993.0389801539468"/>
    <n v="0"/>
    <n v="48155.195500000009"/>
  </r>
  <r>
    <x v="0"/>
    <x v="0"/>
    <x v="0"/>
    <n v="0"/>
    <n v="21"/>
    <n v="6"/>
    <n v="20260208"/>
    <n v="20260306"/>
    <n v="354209.88030000002"/>
    <n v="27"/>
    <n v="13118.884455555557"/>
    <n v="0"/>
    <n v="275496.57356666669"/>
    <n v="58032.805941411112"/>
    <n v="333529.37950807781"/>
    <n v="0"/>
    <n v="292578.74820513604"/>
    <n v="61631.13209486397"/>
    <n v="354209.88030000002"/>
  </r>
  <r>
    <x v="0"/>
    <x v="0"/>
    <x v="1"/>
    <n v="0"/>
    <n v="9"/>
    <n v="6"/>
    <n v="20260220"/>
    <n v="20260306"/>
    <n v="4615.4286000000002"/>
    <n v="15"/>
    <n v="307.69524000000001"/>
    <n v="0"/>
    <n v="2769.2571600000001"/>
    <n v="1361.1232123059151"/>
    <n v="4130.3803723059154"/>
    <n v="0"/>
    <n v="3094.4628690173654"/>
    <n v="1520.9657309826346"/>
    <n v="4615.4286000000002"/>
  </r>
  <r>
    <x v="0"/>
    <x v="0"/>
    <x v="0"/>
    <n v="0"/>
    <n v="22"/>
    <n v="7"/>
    <n v="20260207"/>
    <n v="20260307"/>
    <n v="250044.2542"/>
    <n v="29"/>
    <n v="8622.2156620689657"/>
    <n v="0"/>
    <n v="189688.74456551723"/>
    <n v="44498.188724037347"/>
    <n v="234186.93328955458"/>
    <n v="0"/>
    <n v="202532.99361657683"/>
    <n v="47511.26058342318"/>
    <n v="250044.25420000002"/>
  </r>
  <r>
    <x v="0"/>
    <x v="0"/>
    <x v="1"/>
    <n v="0"/>
    <n v="22"/>
    <n v="7"/>
    <n v="20260207"/>
    <n v="20260307"/>
    <n v="17618.8668"/>
    <n v="29"/>
    <n v="607.54713103448273"/>
    <n v="0"/>
    <n v="13366.036882758621"/>
    <n v="3135.4756080216935"/>
    <n v="16501.512490780315"/>
    <n v="0"/>
    <n v="14271.081127429152"/>
    <n v="3347.7856725708484"/>
    <n v="17618.8668"/>
  </r>
  <r>
    <x v="0"/>
    <x v="0"/>
    <x v="0"/>
    <n v="0"/>
    <n v="24"/>
    <n v="10"/>
    <n v="20260205"/>
    <n v="20260310"/>
    <n v="20360.4499"/>
    <n v="34"/>
    <n v="598.8367617647059"/>
    <n v="0"/>
    <n v="14372.082282352942"/>
    <n v="4415.0320991860244"/>
    <n v="18787.114381538966"/>
    <n v="0"/>
    <n v="15575.67891086392"/>
    <n v="4784.770989136081"/>
    <n v="20360.4499"/>
  </r>
  <r>
    <x v="0"/>
    <x v="0"/>
    <x v="0"/>
    <n v="24"/>
    <n v="9"/>
    <n v="0"/>
    <n v="20260108"/>
    <n v="20260209"/>
    <n v="44736.873299999999"/>
    <n v="33"/>
    <n v="1355.6628272727273"/>
    <n v="39460.998022878834"/>
    <n v="12200.965445454545"/>
    <n v="0"/>
    <n v="51661.963468333379"/>
    <n v="34171.400975171484"/>
    <n v="10565.472324828515"/>
    <n v="0"/>
    <n v="44736.873299999999"/>
  </r>
  <r>
    <x v="0"/>
    <x v="0"/>
    <x v="1"/>
    <n v="0"/>
    <n v="23"/>
    <n v="0"/>
    <n v="20260203"/>
    <n v="20260225"/>
    <n v="6788.8055000000004"/>
    <n v="23"/>
    <n v="295.16545652173915"/>
    <n v="0"/>
    <n v="6788.8055000000004"/>
    <n v="0"/>
    <n v="6788.8055000000004"/>
    <n v="0"/>
    <n v="6788.8055000000004"/>
    <n v="0"/>
    <n v="6788.8055000000004"/>
  </r>
  <r>
    <x v="0"/>
    <x v="0"/>
    <x v="0"/>
    <n v="23"/>
    <n v="9"/>
    <n v="0"/>
    <n v="20260109"/>
    <n v="20260209"/>
    <n v="7106.9318000000003"/>
    <n v="32"/>
    <n v="222.09161875000001"/>
    <n v="6195.3399380816318"/>
    <n v="1998.82456875"/>
    <n v="0"/>
    <n v="8194.164506831632"/>
    <n v="5373.3188272036577"/>
    <n v="1733.6129727963425"/>
    <n v="0"/>
    <n v="7106.9318000000003"/>
  </r>
  <r>
    <x v="0"/>
    <x v="0"/>
    <x v="0"/>
    <n v="0"/>
    <n v="20"/>
    <n v="0"/>
    <n v="20260205"/>
    <n v="20260224"/>
    <n v="4004.5965000000001"/>
    <n v="20"/>
    <n v="200.22982500000001"/>
    <n v="0"/>
    <n v="4004.5965000000001"/>
    <n v="0"/>
    <n v="4004.5965000000001"/>
    <n v="0"/>
    <n v="4004.5965000000001"/>
    <n v="0"/>
    <n v="4004.5965000000001"/>
  </r>
  <r>
    <x v="0"/>
    <x v="0"/>
    <x v="1"/>
    <n v="0"/>
    <n v="9"/>
    <n v="3"/>
    <n v="20260220"/>
    <n v="20260303"/>
    <n v="211.5341"/>
    <n v="12"/>
    <n v="17.627841666666665"/>
    <n v="0"/>
    <n v="158.65057499999998"/>
    <n v="38.989333204103815"/>
    <n v="197.63990820410379"/>
    <n v="0"/>
    <n v="169.80379571138991"/>
    <n v="41.730304288610093"/>
    <n v="211.5341"/>
  </r>
  <r>
    <x v="0"/>
    <x v="0"/>
    <x v="1"/>
    <n v="25"/>
    <n v="9"/>
    <n v="0"/>
    <n v="20260107"/>
    <n v="20260209"/>
    <n v="27615.565699999999"/>
    <n v="34"/>
    <n v="812.22252058823528"/>
    <n v="24627.491126386605"/>
    <n v="7310.0026852941173"/>
    <n v="0"/>
    <n v="31937.493811680724"/>
    <n v="21294.786098029952"/>
    <n v="6320.7796019700463"/>
    <n v="0"/>
    <n v="27615.565699999999"/>
  </r>
  <r>
    <x v="0"/>
    <x v="0"/>
    <x v="0"/>
    <n v="0"/>
    <n v="25"/>
    <n v="12"/>
    <n v="20260204"/>
    <n v="20260312"/>
    <n v="8656.8938999999991"/>
    <n v="37"/>
    <n v="233.97010540540538"/>
    <n v="0"/>
    <n v="5849.2526351351344"/>
    <n v="2069.9841924948787"/>
    <n v="7919.2368276300131"/>
    <n v="0"/>
    <n v="6394.0958653984571"/>
    <n v="2262.7980346015411"/>
    <n v="8656.8938999999991"/>
  </r>
  <r>
    <x v="0"/>
    <x v="0"/>
    <x v="1"/>
    <n v="27"/>
    <n v="8"/>
    <n v="0"/>
    <n v="20260105"/>
    <n v="20260208"/>
    <n v="672.46609999999998"/>
    <n v="35"/>
    <n v="19.213317142857143"/>
    <n v="629.17470063449662"/>
    <n v="153.70653714285714"/>
    <n v="0"/>
    <n v="782.88123777735382"/>
    <n v="540.43785537069402"/>
    <n v="132.02824462930593"/>
    <n v="0"/>
    <n v="672.46609999999998"/>
  </r>
  <r>
    <x v="0"/>
    <x v="0"/>
    <x v="0"/>
    <n v="0"/>
    <n v="20"/>
    <n v="8"/>
    <n v="20260209"/>
    <n v="20260308"/>
    <n v="6340.39"/>
    <n v="28"/>
    <n v="226.44250000000002"/>
    <n v="0"/>
    <n v="4528.8500000000004"/>
    <n v="1335.5905581665036"/>
    <n v="5864.4405581665042"/>
    <n v="0"/>
    <n v="4896.4048602237935"/>
    <n v="1443.9851397762072"/>
    <n v="6340.3900000000012"/>
  </r>
  <r>
    <x v="0"/>
    <x v="0"/>
    <x v="0"/>
    <n v="0"/>
    <n v="25"/>
    <n v="0"/>
    <n v="20260203"/>
    <n v="20260227"/>
    <n v="33656.748"/>
    <n v="25"/>
    <n v="1346.26992"/>
    <n v="0"/>
    <n v="33656.748"/>
    <n v="0"/>
    <n v="33656.748"/>
    <n v="0"/>
    <n v="33656.748"/>
    <n v="0"/>
    <n v="33656.748"/>
  </r>
  <r>
    <x v="0"/>
    <x v="0"/>
    <x v="1"/>
    <n v="19"/>
    <n v="2"/>
    <n v="0"/>
    <n v="20260113"/>
    <n v="20260202"/>
    <n v="42.030099999999997"/>
    <n v="21"/>
    <n v="2.0014333333333334"/>
    <n v="46.121122118083981"/>
    <n v="4.0028666666666668"/>
    <n v="0"/>
    <n v="50.123988784750651"/>
    <n v="38.673605627432202"/>
    <n v="3.3564943725677914"/>
    <n v="0"/>
    <n v="42.03009999999999"/>
  </r>
  <r>
    <x v="0"/>
    <x v="0"/>
    <x v="0"/>
    <n v="0"/>
    <n v="26"/>
    <n v="10"/>
    <n v="20260203"/>
    <n v="20260310"/>
    <n v="17698.401099999999"/>
    <n v="36"/>
    <n v="491.62225277777776"/>
    <n v="0"/>
    <n v="12782.178572222221"/>
    <n v="3624.5737824974667"/>
    <n v="16406.752354719687"/>
    <n v="0"/>
    <n v="13788.476744938305"/>
    <n v="3909.9243550616952"/>
    <n v="17698.401099999999"/>
  </r>
  <r>
    <x v="0"/>
    <x v="0"/>
    <x v="0"/>
    <n v="16"/>
    <n v="23"/>
    <n v="0"/>
    <n v="20260116"/>
    <n v="20260223"/>
    <n v="1473.4754"/>
    <n v="39"/>
    <n v="37.78142051282051"/>
    <n v="733.16783011465407"/>
    <n v="868.97267179487176"/>
    <n v="0"/>
    <n v="1602.1405019095259"/>
    <n v="674.28840383084423"/>
    <n v="799.18699616915569"/>
    <n v="0"/>
    <n v="1473.4753999999998"/>
  </r>
  <r>
    <x v="0"/>
    <x v="0"/>
    <x v="0"/>
    <n v="0"/>
    <n v="23"/>
    <n v="0"/>
    <n v="20260205"/>
    <n v="20260227"/>
    <n v="84.3429"/>
    <n v="23"/>
    <n v="3.6670826086956523"/>
    <n v="0"/>
    <n v="84.3429"/>
    <n v="0"/>
    <n v="84.3429"/>
    <n v="0"/>
    <n v="84.3429"/>
    <n v="0"/>
    <n v="84.3429"/>
  </r>
  <r>
    <x v="0"/>
    <x v="0"/>
    <x v="1"/>
    <n v="0"/>
    <n v="17"/>
    <n v="1"/>
    <n v="20260212"/>
    <n v="20260301"/>
    <n v="4102.3680000000004"/>
    <n v="18"/>
    <n v="227.90933333333336"/>
    <n v="0"/>
    <n v="3874.4586666666673"/>
    <n v="168.03026911800038"/>
    <n v="4042.4889357846678"/>
    <n v="0"/>
    <n v="3931.8487951212687"/>
    <n v="170.51920487873201"/>
    <n v="4102.3680000000004"/>
  </r>
  <r>
    <x v="0"/>
    <x v="0"/>
    <x v="1"/>
    <n v="24"/>
    <n v="11"/>
    <n v="0"/>
    <n v="20260108"/>
    <n v="20260211"/>
    <n v="5063.9260000000004"/>
    <n v="35"/>
    <n v="144.68360000000001"/>
    <n v="4211.4891244962964"/>
    <n v="1591.5196000000001"/>
    <n v="0"/>
    <n v="5803.0087244962961"/>
    <n v="3675.1054993640732"/>
    <n v="1388.8205006359276"/>
    <n v="0"/>
    <n v="5063.9260000000013"/>
  </r>
  <r>
    <x v="0"/>
    <x v="0"/>
    <x v="0"/>
    <n v="1"/>
    <n v="28"/>
    <n v="3"/>
    <n v="20260131"/>
    <n v="20260303"/>
    <n v="6626.1903000000002"/>
    <n v="32"/>
    <n v="207.06844687500001"/>
    <n v="251.14183410110107"/>
    <n v="5797.9165125"/>
    <n v="457.99484837285218"/>
    <n v="6507.0531949739534"/>
    <n v="255.73996941200454"/>
    <n v="5904.0700919751916"/>
    <n v="466.38023861280442"/>
    <n v="6626.1903000000011"/>
  </r>
  <r>
    <x v="0"/>
    <x v="0"/>
    <x v="0"/>
    <n v="0"/>
    <n v="18"/>
    <n v="0"/>
    <n v="20260203"/>
    <n v="20260220"/>
    <n v="5437.6931000000004"/>
    <n v="18"/>
    <n v="302.09406111111116"/>
    <n v="0"/>
    <n v="5437.6931000000004"/>
    <n v="0"/>
    <n v="5437.6931000000004"/>
    <n v="0"/>
    <n v="5437.6931000000004"/>
    <n v="0"/>
    <n v="5437.6931000000004"/>
  </r>
  <r>
    <x v="0"/>
    <x v="0"/>
    <x v="0"/>
    <n v="0"/>
    <n v="4"/>
    <n v="17"/>
    <n v="20260225"/>
    <n v="20260317"/>
    <n v="56591.932200000003"/>
    <n v="21"/>
    <n v="2694.8539142857144"/>
    <n v="0"/>
    <n v="10779.415657142858"/>
    <n v="33776.104607398534"/>
    <n v="44555.520264541396"/>
    <n v="0"/>
    <n v="13691.411443580997"/>
    <n v="42900.520756419006"/>
    <n v="56591.932200000003"/>
  </r>
  <r>
    <x v="0"/>
    <x v="0"/>
    <x v="1"/>
    <n v="31"/>
    <n v="1"/>
    <n v="0"/>
    <n v="20251231"/>
    <n v="20260201"/>
    <n v="2477.3868000000002"/>
    <n v="32"/>
    <n v="77.418337500000007"/>
    <n v="2910.7886331947916"/>
    <n v="77.418337500000007"/>
    <n v="0"/>
    <n v="2988.2069706947914"/>
    <n v="2413.2027694822445"/>
    <n v="64.184030517755772"/>
    <n v="0"/>
    <n v="2477.3868000000002"/>
  </r>
  <r>
    <x v="0"/>
    <x v="0"/>
    <x v="0"/>
    <n v="31"/>
    <n v="3"/>
    <n v="0"/>
    <n v="20251231"/>
    <n v="20260203"/>
    <n v="18607.962100000001"/>
    <n v="34"/>
    <n v="547.2930029411765"/>
    <n v="20577.221152394552"/>
    <n v="1641.8790088235296"/>
    <n v="0"/>
    <n v="22219.100161218081"/>
    <n v="17232.927911068251"/>
    <n v="1375.0341889317492"/>
    <n v="0"/>
    <n v="18607.962100000001"/>
  </r>
  <r>
    <x v="0"/>
    <x v="0"/>
    <x v="0"/>
    <n v="4"/>
    <n v="28"/>
    <n v="3"/>
    <n v="20260128"/>
    <n v="20260303"/>
    <n v="48427.5553"/>
    <n v="35"/>
    <n v="1383.6444371428572"/>
    <n v="6712.5823742254852"/>
    <n v="38742.044240000003"/>
    <n v="3060.3504964410495"/>
    <n v="48514.977110666543"/>
    <n v="6700.4866021494818"/>
    <n v="38672.232815609175"/>
    <n v="3054.8358822413384"/>
    <n v="48427.555299999993"/>
  </r>
  <r>
    <x v="0"/>
    <x v="0"/>
    <x v="0"/>
    <n v="11"/>
    <n v="3"/>
    <n v="0"/>
    <n v="20260121"/>
    <n v="20260203"/>
    <n v="10729.272800000001"/>
    <n v="14"/>
    <n v="766.37662857142857"/>
    <n v="10224.452760328917"/>
    <n v="2299.1298857142856"/>
    <n v="0"/>
    <n v="12523.582646043204"/>
    <n v="8759.5495631548947"/>
    <n v="1969.7232368451043"/>
    <n v="0"/>
    <n v="10729.272799999999"/>
  </r>
  <r>
    <x v="0"/>
    <x v="0"/>
    <x v="0"/>
    <n v="1"/>
    <n v="28"/>
    <n v="2"/>
    <n v="20260131"/>
    <n v="20260302"/>
    <n v="11435.6895"/>
    <n v="31"/>
    <n v="368.89320967741935"/>
    <n v="447.41011324509236"/>
    <n v="10329.009870967742"/>
    <n v="543.94635262472536"/>
    <n v="11320.36633683756"/>
    <n v="451.96798248315662"/>
    <n v="10434.233858885862"/>
    <n v="549.48765863098311"/>
    <n v="11435.689500000002"/>
  </r>
  <r>
    <x v="0"/>
    <x v="0"/>
    <x v="0"/>
    <n v="0"/>
    <n v="4"/>
    <n v="4"/>
    <n v="20260225"/>
    <n v="20260304"/>
    <n v="1992.4612999999999"/>
    <n v="8"/>
    <n v="249.05766249999999"/>
    <n v="0"/>
    <n v="996.23064999999997"/>
    <n v="734.48902585428891"/>
    <n v="1730.7196758542889"/>
    <n v="0"/>
    <n v="1146.8934245628579"/>
    <n v="845.56787543714188"/>
    <n v="1992.4612999999999"/>
  </r>
  <r>
    <x v="0"/>
    <x v="0"/>
    <x v="0"/>
    <n v="0"/>
    <n v="4"/>
    <n v="3"/>
    <n v="20260225"/>
    <n v="20260303"/>
    <n v="2755.2745"/>
    <n v="7"/>
    <n v="393.61064285714286"/>
    <n v="0"/>
    <n v="1574.4425714285715"/>
    <n v="870.58965001134004"/>
    <n v="2445.0322214399116"/>
    <n v="0"/>
    <n v="1774.218527973776"/>
    <n v="981.0559720262238"/>
    <n v="2755.2744999999995"/>
  </r>
  <r>
    <x v="0"/>
    <x v="0"/>
    <x v="0"/>
    <n v="0"/>
    <n v="16"/>
    <n v="16"/>
    <n v="20260213"/>
    <n v="20260316"/>
    <n v="78765.834799999997"/>
    <n v="32"/>
    <n v="2461.4323374999999"/>
    <n v="0"/>
    <n v="39382.917399999998"/>
    <n v="29035.766603271968"/>
    <n v="68418.684003271963"/>
    <n v="0"/>
    <n v="45338.907216077088"/>
    <n v="33426.927583922916"/>
    <n v="78765.834800000011"/>
  </r>
  <r>
    <x v="0"/>
    <x v="0"/>
    <x v="1"/>
    <n v="2"/>
    <n v="28"/>
    <n v="5"/>
    <n v="20260130"/>
    <n v="20260305"/>
    <n v="1519.5947000000001"/>
    <n v="35"/>
    <n v="43.416991428571428"/>
    <n v="105.31612153449404"/>
    <n v="1215.6757600000001"/>
    <n v="160.04980242223746"/>
    <n v="1481.0416839567315"/>
    <n v="108.05760691408638"/>
    <n v="1247.3210320989467"/>
    <n v="164.21606098696719"/>
    <n v="1519.5947000000003"/>
  </r>
  <r>
    <x v="0"/>
    <x v="0"/>
    <x v="0"/>
    <n v="0"/>
    <n v="17"/>
    <n v="3"/>
    <n v="20260212"/>
    <n v="20260303"/>
    <n v="9548.6108999999997"/>
    <n v="20"/>
    <n v="477.430545"/>
    <n v="0"/>
    <n v="8116.3192650000001"/>
    <n v="1055.9828567113418"/>
    <n v="9172.3021217113419"/>
    <n v="0"/>
    <n v="8449.3046100404008"/>
    <n v="1099.3062899595993"/>
    <n v="9548.6108999999997"/>
  </r>
  <r>
    <x v="0"/>
    <x v="0"/>
    <x v="0"/>
    <n v="0"/>
    <n v="16"/>
    <n v="5"/>
    <n v="20260213"/>
    <n v="20260305"/>
    <n v="13270.998299999999"/>
    <n v="21"/>
    <n v="631.95229999999992"/>
    <n v="0"/>
    <n v="10111.236799999999"/>
    <n v="2329.5911906212546"/>
    <n v="12440.827990621254"/>
    <n v="0"/>
    <n v="10785.954639422405"/>
    <n v="2485.0436605775949"/>
    <n v="13270.998299999999"/>
  </r>
  <r>
    <x v="0"/>
    <x v="0"/>
    <x v="0"/>
    <n v="0"/>
    <n v="6"/>
    <n v="3"/>
    <n v="20260223"/>
    <n v="20260303"/>
    <n v="83933.137700000007"/>
    <n v="9"/>
    <n v="9325.9041888888896"/>
    <n v="0"/>
    <n v="55955.425133333338"/>
    <n v="20627.073508250625"/>
    <n v="76582.498641583967"/>
    <n v="0"/>
    <n v="61326.210114381422"/>
    <n v="22606.927585618578"/>
    <n v="83933.137699999992"/>
  </r>
  <r>
    <x v="0"/>
    <x v="0"/>
    <x v="0"/>
    <n v="12"/>
    <n v="6"/>
    <n v="0"/>
    <n v="20260120"/>
    <n v="20260206"/>
    <n v="16747.260600000001"/>
    <n v="18"/>
    <n v="930.40336666666678"/>
    <n v="13541.215659934529"/>
    <n v="5582.4202000000005"/>
    <n v="0"/>
    <n v="19123.635859934529"/>
    <n v="11858.53302994763"/>
    <n v="4888.7275700523714"/>
    <n v="0"/>
    <n v="16747.260600000001"/>
  </r>
  <r>
    <x v="0"/>
    <x v="0"/>
    <x v="0"/>
    <n v="18"/>
    <n v="5"/>
    <n v="0"/>
    <n v="20260114"/>
    <n v="20260205"/>
    <n v="39656.770400000001"/>
    <n v="23"/>
    <n v="1724.2074086956522"/>
    <n v="37641.519581854889"/>
    <n v="8621.0370434782617"/>
    <n v="0"/>
    <n v="46262.556625333149"/>
    <n v="32266.722992721629"/>
    <n v="7390.0474072783754"/>
    <n v="0"/>
    <n v="39656.770400000001"/>
  </r>
  <r>
    <x v="0"/>
    <x v="0"/>
    <x v="0"/>
    <n v="0"/>
    <n v="18"/>
    <n v="1"/>
    <n v="20260211"/>
    <n v="20260301"/>
    <n v="9880.6026000000002"/>
    <n v="19"/>
    <n v="520.03171578947365"/>
    <n v="0"/>
    <n v="9360.570884210525"/>
    <n v="383.40276756546785"/>
    <n v="9743.973651775992"/>
    <n v="0"/>
    <n v="9491.8238001554328"/>
    <n v="388.77879984456746"/>
    <n v="9880.6026000000002"/>
  </r>
  <r>
    <x v="0"/>
    <x v="0"/>
    <x v="0"/>
    <n v="1"/>
    <n v="28"/>
    <n v="1"/>
    <n v="20260131"/>
    <n v="20260301"/>
    <n v="506.2944"/>
    <n v="30"/>
    <n v="16.876480000000001"/>
    <n v="20.468546532968968"/>
    <n v="472.54144000000002"/>
    <n v="12.442489452667804"/>
    <n v="505.4524759856368"/>
    <n v="20.502640659882903"/>
    <n v="473.32854463400537"/>
    <n v="12.463214706111728"/>
    <n v="506.2944"/>
  </r>
  <r>
    <x v="0"/>
    <x v="0"/>
    <x v="1"/>
    <n v="1"/>
    <n v="28"/>
    <n v="3"/>
    <n v="20260131"/>
    <n v="20260303"/>
    <n v="11986.229600000001"/>
    <n v="32"/>
    <n v="374.56967500000002"/>
    <n v="454.29478318799676"/>
    <n v="10487.9509"/>
    <n v="828.47475844667383"/>
    <n v="11770.72044163467"/>
    <n v="462.61242923694226"/>
    <n v="10679.973935687865"/>
    <n v="843.64323507519259"/>
    <n v="11986.229600000001"/>
  </r>
  <r>
    <x v="0"/>
    <x v="0"/>
    <x v="1"/>
    <n v="6"/>
    <n v="28"/>
    <n v="5"/>
    <n v="20260126"/>
    <n v="20260305"/>
    <n v="10673.123299999999"/>
    <n v="39"/>
    <n v="273.66982820512817"/>
    <n v="1991.5137327047901"/>
    <n v="7662.7551897435887"/>
    <n v="1008.8400990478219"/>
    <n v="10663.109021496201"/>
    <n v="1993.3840664998625"/>
    <n v="7669.9516804126633"/>
    <n v="1009.7875530874738"/>
    <n v="10673.123299999999"/>
  </r>
  <r>
    <x v="0"/>
    <x v="0"/>
    <x v="1"/>
    <n v="9"/>
    <n v="1"/>
    <n v="0"/>
    <n v="20260123"/>
    <n v="20260201"/>
    <n v="2397.3505"/>
    <n v="10"/>
    <n v="239.73505"/>
    <n v="2616.8521065161563"/>
    <n v="239.73505"/>
    <n v="0"/>
    <n v="2856.587156516156"/>
    <n v="2196.1562389833143"/>
    <n v="201.19426101668623"/>
    <n v="0"/>
    <n v="2397.3505000000005"/>
  </r>
  <r>
    <x v="0"/>
    <x v="0"/>
    <x v="0"/>
    <n v="0"/>
    <n v="5"/>
    <n v="3"/>
    <n v="20260224"/>
    <n v="20260303"/>
    <n v="1822.1251999999999"/>
    <n v="8"/>
    <n v="227.76564999999999"/>
    <n v="0"/>
    <n v="1138.82825"/>
    <n v="503.77300796226928"/>
    <n v="1642.6012579622693"/>
    <n v="0"/>
    <n v="1263.293597723864"/>
    <n v="558.83160227613598"/>
    <n v="1822.1251999999999"/>
  </r>
  <r>
    <x v="0"/>
    <x v="0"/>
    <x v="0"/>
    <n v="0"/>
    <n v="10"/>
    <n v="1"/>
    <n v="20260219"/>
    <n v="20260301"/>
    <n v="126.79300000000001"/>
    <n v="11"/>
    <n v="11.526636363636364"/>
    <n v="0"/>
    <n v="115.26636363636364"/>
    <n v="8.4982206822324695"/>
    <n v="123.76458431859611"/>
    <n v="0"/>
    <n v="118.08683497795661"/>
    <n v="8.7061650220433933"/>
    <n v="126.79300000000001"/>
  </r>
  <r>
    <x v="0"/>
    <x v="0"/>
    <x v="1"/>
    <n v="0"/>
    <n v="25"/>
    <n v="1"/>
    <n v="20260204"/>
    <n v="20260301"/>
    <n v="518634.60499999998"/>
    <n v="26"/>
    <n v="19947.484807692308"/>
    <n v="0"/>
    <n v="498687.12019230769"/>
    <n v="14706.643170078287"/>
    <n v="513393.76336238597"/>
    <n v="0"/>
    <n v="503777.83303332224"/>
    <n v="14856.771966677776"/>
    <n v="518634.60500000004"/>
  </r>
  <r>
    <x v="0"/>
    <x v="0"/>
    <x v="1"/>
    <n v="28"/>
    <n v="3"/>
    <n v="0"/>
    <n v="20260104"/>
    <n v="20260203"/>
    <n v="811296.34920000006"/>
    <n v="31"/>
    <n v="26170.849974193548"/>
    <n v="888752.82607010764"/>
    <n v="78512.549922580642"/>
    <n v="0"/>
    <n v="967265.37599268823"/>
    <n v="745443.7438038839"/>
    <n v="65852.605396116152"/>
    <n v="0"/>
    <n v="811296.34920000006"/>
  </r>
  <r>
    <x v="0"/>
    <x v="0"/>
    <x v="0"/>
    <n v="28"/>
    <n v="3"/>
    <n v="0"/>
    <n v="20260104"/>
    <n v="20260203"/>
    <n v="7824360.3013000004"/>
    <n v="31"/>
    <n v="252398.71939677422"/>
    <n v="8571371.4067963343"/>
    <n v="757196.15819032269"/>
    <n v="0"/>
    <n v="9328567.5649866574"/>
    <n v="7189260.054754301"/>
    <n v="635100.24654569884"/>
    <n v="0"/>
    <n v="7824360.3012999995"/>
  </r>
  <r>
    <x v="0"/>
    <x v="0"/>
    <x v="1"/>
    <n v="0"/>
    <n v="26"/>
    <n v="3"/>
    <n v="20260203"/>
    <n v="20260303"/>
    <n v="1814000.2779000001"/>
    <n v="29"/>
    <n v="62551.733720689655"/>
    <n v="0"/>
    <n v="1626345.076737931"/>
    <n v="138352.18370165449"/>
    <n v="1764697.2604395854"/>
    <n v="0"/>
    <n v="1671782.7399069075"/>
    <n v="142217.53799309256"/>
    <n v="1814000.2779000001"/>
  </r>
  <r>
    <x v="0"/>
    <x v="0"/>
    <x v="1"/>
    <n v="30"/>
    <n v="2"/>
    <n v="0"/>
    <n v="20260102"/>
    <n v="20260202"/>
    <n v="1021131.3975"/>
    <n v="32"/>
    <n v="31910.356171874999"/>
    <n v="1161069.0325013928"/>
    <n v="63820.712343749998"/>
    <n v="0"/>
    <n v="1224889.7448451428"/>
    <n v="967927.15323288995"/>
    <n v="53204.244267109927"/>
    <n v="0"/>
    <n v="1021131.3974999998"/>
  </r>
  <r>
    <x v="0"/>
    <x v="0"/>
    <x v="0"/>
    <n v="27"/>
    <n v="4"/>
    <n v="0"/>
    <n v="20260105"/>
    <n v="20260204"/>
    <n v="1258834.7069000001"/>
    <n v="31"/>
    <n v="40607.571190322582"/>
    <n v="1329768.1112115283"/>
    <n v="162430.28476129033"/>
    <n v="0"/>
    <n v="1492198.3959728186"/>
    <n v="1121806.761781577"/>
    <n v="137027.94511842317"/>
    <n v="0"/>
    <n v="1258834.7069000001"/>
  </r>
  <r>
    <x v="0"/>
    <x v="0"/>
    <x v="1"/>
    <n v="0"/>
    <n v="27"/>
    <n v="1"/>
    <n v="20260202"/>
    <n v="20260301"/>
    <n v="3352450.486"/>
    <n v="28"/>
    <n v="119730.37450000001"/>
    <n v="0"/>
    <n v="3232720.1115000001"/>
    <n v="88273.379394294083"/>
    <n v="3320993.4908942943"/>
    <n v="0"/>
    <n v="3263340.9666761383"/>
    <n v="89109.519323861561"/>
    <n v="3352450.486"/>
  </r>
  <r>
    <x v="0"/>
    <x v="0"/>
    <x v="1"/>
    <n v="26"/>
    <n v="3"/>
    <n v="0"/>
    <n v="20260106"/>
    <n v="20260203"/>
    <n v="1086541.0574"/>
    <n v="29"/>
    <n v="37466.933013793103"/>
    <n v="1181480.688381217"/>
    <n v="112400.7990413793"/>
    <n v="0"/>
    <n v="1293881.4874225962"/>
    <n v="992152.13211573497"/>
    <n v="94388.92528426506"/>
    <n v="0"/>
    <n v="1086541.0574"/>
  </r>
  <r>
    <x v="0"/>
    <x v="0"/>
    <x v="1"/>
    <n v="0"/>
    <n v="26"/>
    <n v="5"/>
    <n v="20260203"/>
    <n v="20260305"/>
    <n v="226201.66450000001"/>
    <n v="31"/>
    <n v="7296.8278870967742"/>
    <n v="0"/>
    <n v="189717.52506451614"/>
    <n v="26898.590234199877"/>
    <n v="216616.11529871603"/>
    <n v="0"/>
    <n v="198112.77612117899"/>
    <n v="28088.888378821015"/>
    <n v="226201.66450000001"/>
  </r>
  <r>
    <x v="0"/>
    <x v="0"/>
    <x v="1"/>
    <n v="28"/>
    <n v="4"/>
    <n v="0"/>
    <n v="20260104"/>
    <n v="20260204"/>
    <n v="361660.6911"/>
    <n v="32"/>
    <n v="11301.896596875"/>
    <n v="383808.41853931075"/>
    <n v="45207.5863875"/>
    <n v="0"/>
    <n v="429016.00492681074"/>
    <n v="323550.67481131759"/>
    <n v="38110.016288682389"/>
    <n v="0"/>
    <n v="361660.6911"/>
  </r>
  <r>
    <x v="0"/>
    <x v="0"/>
    <x v="1"/>
    <n v="29"/>
    <n v="3"/>
    <n v="0"/>
    <n v="20260103"/>
    <n v="20260203"/>
    <n v="1382005.3940000001"/>
    <n v="32"/>
    <n v="43187.668562500003"/>
    <n v="1519017.9056910679"/>
    <n v="129563.0056875"/>
    <n v="0"/>
    <n v="1648580.911378568"/>
    <n v="1273392.7250753988"/>
    <n v="108612.66892460118"/>
    <n v="0"/>
    <n v="1382005.3940000001"/>
  </r>
  <r>
    <x v="0"/>
    <x v="0"/>
    <x v="0"/>
    <n v="0"/>
    <n v="24"/>
    <n v="3"/>
    <n v="20260205"/>
    <n v="20260303"/>
    <n v="3180579.8144999999"/>
    <n v="27"/>
    <n v="117799.25238888888"/>
    <n v="0"/>
    <n v="2827182.0573333334"/>
    <n v="260548.87429977744"/>
    <n v="3087730.9316331111"/>
    <n v="0"/>
    <n v="2912196.166883959"/>
    <n v="268383.64761604066"/>
    <n v="3180579.8144999994"/>
  </r>
  <r>
    <x v="0"/>
    <x v="0"/>
    <x v="1"/>
    <n v="0"/>
    <n v="22"/>
    <n v="4"/>
    <n v="20260207"/>
    <n v="20260304"/>
    <n v="126539.0444"/>
    <n v="26"/>
    <n v="4866.886323076923"/>
    <n v="0"/>
    <n v="107071.4991076923"/>
    <n v="14352.799100811972"/>
    <n v="121424.29820850427"/>
    <n v="0"/>
    <n v="111581.66346819303"/>
    <n v="14957.380931806978"/>
    <n v="126539.04440000001"/>
  </r>
  <r>
    <x v="0"/>
    <x v="0"/>
    <x v="1"/>
    <n v="25"/>
    <n v="5"/>
    <n v="0"/>
    <n v="20260107"/>
    <n v="20260205"/>
    <n v="841098.94889999996"/>
    <n v="30"/>
    <n v="28036.63163"/>
    <n v="850101.8860958633"/>
    <n v="140183.15815"/>
    <n v="0"/>
    <n v="990285.04424586333"/>
    <n v="722034.33446543734"/>
    <n v="119064.61443456258"/>
    <n v="0"/>
    <n v="841098.94889999996"/>
  </r>
  <r>
    <x v="0"/>
    <x v="0"/>
    <x v="1"/>
    <n v="0"/>
    <n v="23"/>
    <n v="4"/>
    <n v="20260206"/>
    <n v="20260304"/>
    <n v="488073.3174"/>
    <n v="27"/>
    <n v="18076.789533333333"/>
    <n v="0"/>
    <n v="415766.15926666663"/>
    <n v="53309.75727322184"/>
    <n v="469075.91653988848"/>
    <n v="0"/>
    <n v="432604.53470474173"/>
    <n v="55468.782695258233"/>
    <n v="488073.31739999994"/>
  </r>
  <r>
    <x v="0"/>
    <x v="0"/>
    <x v="0"/>
    <n v="23"/>
    <n v="7"/>
    <n v="0"/>
    <n v="20260109"/>
    <n v="20260207"/>
    <n v="304096.79460000002"/>
    <n v="30"/>
    <n v="10136.55982"/>
    <n v="282763.63710190461"/>
    <n v="70955.918740000008"/>
    <n v="0"/>
    <n v="353719.5558419046"/>
    <n v="243095.17031780697"/>
    <n v="61001.624282193072"/>
    <n v="0"/>
    <n v="304096.79460000002"/>
  </r>
  <r>
    <x v="0"/>
    <x v="0"/>
    <x v="1"/>
    <n v="0"/>
    <n v="9"/>
    <n v="15"/>
    <n v="20260220"/>
    <n v="20260315"/>
    <n v="1757933.4805999999"/>
    <n v="24"/>
    <n v="73247.228358333334"/>
    <n v="0"/>
    <n v="659225.05522500002"/>
    <n v="810042.61518312409"/>
    <n v="1469267.6704081241"/>
    <n v="0"/>
    <n v="788742.45936991635"/>
    <n v="969191.02123008354"/>
    <n v="1757933.4805999999"/>
  </r>
  <r>
    <x v="0"/>
    <x v="0"/>
    <x v="1"/>
    <n v="24"/>
    <n v="4"/>
    <n v="0"/>
    <n v="20260108"/>
    <n v="20260204"/>
    <n v="208622.52919999999"/>
    <n v="28"/>
    <n v="7450.8046142857138"/>
    <n v="216880.02373324346"/>
    <n v="29803.218457142855"/>
    <n v="0"/>
    <n v="246683.24219038631"/>
    <n v="183417.64394869216"/>
    <n v="25204.885251307824"/>
    <n v="0"/>
    <n v="208622.52919999999"/>
  </r>
  <r>
    <x v="0"/>
    <x v="0"/>
    <x v="1"/>
    <n v="0"/>
    <n v="23"/>
    <n v="1"/>
    <n v="20260206"/>
    <n v="20260301"/>
    <n v="87291.271599999993"/>
    <n v="24"/>
    <n v="3637.1363166666665"/>
    <n v="0"/>
    <n v="83654.135283333337"/>
    <n v="2681.5443894722134"/>
    <n v="86335.679672805549"/>
    <n v="0"/>
    <n v="84580.046988159651"/>
    <n v="2711.2246118403514"/>
    <n v="87291.271600000007"/>
  </r>
  <r>
    <x v="0"/>
    <x v="0"/>
    <x v="0"/>
    <n v="0"/>
    <n v="23"/>
    <n v="1"/>
    <n v="20260206"/>
    <n v="20260301"/>
    <n v="948422.65410000004"/>
    <n v="24"/>
    <n v="39517.610587499999"/>
    <n v="0"/>
    <n v="908905.04351250001"/>
    <n v="29135.07158658691"/>
    <n v="938040.11509908689"/>
    <n v="0"/>
    <n v="918965.10588136618"/>
    <n v="29457.54821863391"/>
    <n v="948422.65410000004"/>
  </r>
  <r>
    <x v="0"/>
    <x v="0"/>
    <x v="1"/>
    <n v="0"/>
    <n v="10"/>
    <n v="0"/>
    <n v="20260201"/>
    <n v="20260210"/>
    <n v="61596.914299999997"/>
    <n v="10"/>
    <n v="6159.6914299999999"/>
    <n v="0"/>
    <n v="61596.914299999997"/>
    <n v="0"/>
    <n v="61596.914299999997"/>
    <n v="0"/>
    <n v="61596.914299999997"/>
    <n v="0"/>
    <n v="61596.914299999997"/>
  </r>
  <r>
    <x v="0"/>
    <x v="0"/>
    <x v="0"/>
    <n v="28"/>
    <n v="5"/>
    <n v="0"/>
    <n v="20260104"/>
    <n v="20260205"/>
    <n v="1198767.7779999999"/>
    <n v="33"/>
    <n v="36326.2963030303"/>
    <n v="1233628.1982363525"/>
    <n v="181631.48151515151"/>
    <n v="0"/>
    <n v="1415259.679751504"/>
    <n v="1044920.4165398072"/>
    <n v="153847.36146019274"/>
    <n v="0"/>
    <n v="1198767.7779999999"/>
  </r>
  <r>
    <x v="0"/>
    <x v="0"/>
    <x v="0"/>
    <n v="30"/>
    <n v="9"/>
    <n v="0"/>
    <n v="20260102"/>
    <n v="20260209"/>
    <n v="20971.551800000001"/>
    <n v="39"/>
    <n v="537.73209743589746"/>
    <n v="19565.563065232211"/>
    <n v="4839.5888769230769"/>
    <n v="0"/>
    <n v="24405.151942155288"/>
    <n v="16812.852478493834"/>
    <n v="4158.6993215061684"/>
    <n v="0"/>
    <n v="20971.551800000001"/>
  </r>
  <r>
    <x v="0"/>
    <x v="0"/>
    <x v="1"/>
    <n v="0"/>
    <n v="12"/>
    <n v="15"/>
    <n v="20260217"/>
    <n v="20260315"/>
    <n v="206522.4976"/>
    <n v="27"/>
    <n v="7648.9813925925928"/>
    <n v="0"/>
    <n v="91787.776711111117"/>
    <n v="84590.243612103019"/>
    <n v="176378.02032321412"/>
    <n v="0"/>
    <n v="107475.07461979854"/>
    <n v="99047.422980201474"/>
    <n v="206522.4976"/>
  </r>
  <r>
    <x v="0"/>
    <x v="0"/>
    <x v="0"/>
    <n v="0"/>
    <n v="21"/>
    <n v="2"/>
    <n v="20260208"/>
    <n v="20260302"/>
    <n v="337.79039999999998"/>
    <n v="23"/>
    <n v="14.686539130434781"/>
    <n v="0"/>
    <n v="308.41732173913039"/>
    <n v="21.655832048700645"/>
    <n v="330.07315378783102"/>
    <n v="0"/>
    <n v="315.62824568324652"/>
    <n v="22.162154316753465"/>
    <n v="337.79039999999998"/>
  </r>
  <r>
    <x v="0"/>
    <x v="0"/>
    <x v="1"/>
    <n v="29"/>
    <n v="6"/>
    <n v="0"/>
    <n v="20260103"/>
    <n v="20260206"/>
    <n v="80957.0671"/>
    <n v="35"/>
    <n v="2313.05906"/>
    <n v="81356.050141400832"/>
    <n v="13878.354360000001"/>
    <n v="0"/>
    <n v="95234.40450140083"/>
    <n v="69159.325821074162"/>
    <n v="11797.741278925841"/>
    <n v="0"/>
    <n v="80957.0671"/>
  </r>
  <r>
    <x v="0"/>
    <x v="0"/>
    <x v="0"/>
    <n v="0"/>
    <n v="21"/>
    <n v="8"/>
    <n v="20260208"/>
    <n v="20260308"/>
    <n v="88628.291200000007"/>
    <n v="29"/>
    <n v="3056.1479724137935"/>
    <n v="0"/>
    <n v="64179.107420689659"/>
    <n v="18025.601979820778"/>
    <n v="82204.709400510445"/>
    <n v="0"/>
    <n v="69194.145480449137"/>
    <n v="19434.145719550863"/>
    <n v="88628.291200000007"/>
  </r>
  <r>
    <x v="0"/>
    <x v="0"/>
    <x v="0"/>
    <n v="15"/>
    <n v="15"/>
    <n v="0"/>
    <n v="20260117"/>
    <n v="20260215"/>
    <n v="398806.50679999997"/>
    <n v="30"/>
    <n v="13293.550226666666"/>
    <n v="241845.14608753141"/>
    <n v="199403.25339999999"/>
    <n v="0"/>
    <n v="441248.39948753139"/>
    <n v="218583.04304269666"/>
    <n v="180223.46375730331"/>
    <n v="0"/>
    <n v="398806.50679999997"/>
  </r>
  <r>
    <x v="0"/>
    <x v="0"/>
    <x v="1"/>
    <n v="12"/>
    <n v="19"/>
    <n v="0"/>
    <n v="20260120"/>
    <n v="20260219"/>
    <n v="284363.28169999999"/>
    <n v="31"/>
    <n v="9173.0090870967742"/>
    <n v="133505.2072564332"/>
    <n v="174287.17265483871"/>
    <n v="0"/>
    <n v="307792.37991127191"/>
    <n v="123342.81592813303"/>
    <n v="161020.46577186699"/>
    <n v="0"/>
    <n v="284363.28170000005"/>
  </r>
  <r>
    <x v="0"/>
    <x v="0"/>
    <x v="0"/>
    <n v="0"/>
    <n v="12"/>
    <n v="15"/>
    <n v="20260217"/>
    <n v="20260315"/>
    <n v="224693.149"/>
    <n v="27"/>
    <n v="8321.9684814814809"/>
    <n v="0"/>
    <n v="99863.621777777764"/>
    <n v="92032.82176401763"/>
    <n v="191896.44354179539"/>
    <n v="0"/>
    <n v="116931.14908045017"/>
    <n v="107761.99991954984"/>
    <n v="224693.149"/>
  </r>
  <r>
    <x v="0"/>
    <x v="0"/>
    <x v="0"/>
    <n v="0"/>
    <n v="20"/>
    <n v="0"/>
    <n v="20260206"/>
    <n v="20260225"/>
    <n v="10751.9519"/>
    <n v="20"/>
    <n v="537.59759499999996"/>
    <n v="0"/>
    <n v="10751.9519"/>
    <n v="0"/>
    <n v="10751.9519"/>
    <n v="0"/>
    <n v="10751.9519"/>
    <n v="0"/>
    <n v="10751.9519"/>
  </r>
  <r>
    <x v="0"/>
    <x v="0"/>
    <x v="1"/>
    <n v="0"/>
    <n v="23"/>
    <n v="7"/>
    <n v="20260206"/>
    <n v="20260307"/>
    <n v="6294.1453000000001"/>
    <n v="30"/>
    <n v="209.80484333333334"/>
    <n v="0"/>
    <n v="4825.5113966666668"/>
    <n v="1082.7768499151096"/>
    <n v="5908.2882465817765"/>
    <n v="0"/>
    <n v="5140.654722625939"/>
    <n v="1153.4905773740611"/>
    <n v="6294.1453000000001"/>
  </r>
  <r>
    <x v="0"/>
    <x v="0"/>
    <x v="0"/>
    <n v="23"/>
    <n v="4"/>
    <n v="0"/>
    <n v="20260109"/>
    <n v="20260204"/>
    <n v="356776.63530000002"/>
    <n v="27"/>
    <n v="13213.949455555556"/>
    <n v="368608.72671628167"/>
    <n v="52855.797822222223"/>
    <n v="0"/>
    <n v="421464.5245385039"/>
    <n v="312033.3351995743"/>
    <n v="44743.300100425702"/>
    <n v="0"/>
    <n v="356776.63530000002"/>
  </r>
  <r>
    <x v="0"/>
    <x v="0"/>
    <x v="1"/>
    <n v="25"/>
    <n v="7"/>
    <n v="0"/>
    <n v="20260107"/>
    <n v="20260207"/>
    <n v="12736.0255"/>
    <n v="32"/>
    <n v="398.00079687499999"/>
    <n v="12067.827282399332"/>
    <n v="2786.0055781249998"/>
    <n v="0"/>
    <n v="14853.832860524331"/>
    <n v="10347.238819867009"/>
    <n v="2388.7866801329906"/>
    <n v="0"/>
    <n v="12736.0255"/>
  </r>
  <r>
    <x v="0"/>
    <x v="0"/>
    <x v="0"/>
    <n v="0"/>
    <n v="8"/>
    <n v="0"/>
    <n v="20260220"/>
    <n v="20260227"/>
    <n v="929.07600000000002"/>
    <n v="8"/>
    <n v="116.1345"/>
    <n v="0"/>
    <n v="929.07600000000002"/>
    <n v="0"/>
    <n v="929.07600000000002"/>
    <n v="0"/>
    <n v="929.07600000000002"/>
    <n v="0"/>
    <n v="929.07600000000002"/>
  </r>
  <r>
    <x v="0"/>
    <x v="0"/>
    <x v="1"/>
    <n v="30"/>
    <n v="7"/>
    <n v="0"/>
    <n v="20260102"/>
    <n v="20260207"/>
    <n v="8277.598"/>
    <n v="37"/>
    <n v="223.71886486486486"/>
    <n v="8140.0860768172315"/>
    <n v="1566.032054054054"/>
    <n v="0"/>
    <n v="9706.1181308712858"/>
    <n v="6942.0502945436183"/>
    <n v="1335.5477054563817"/>
    <n v="0"/>
    <n v="8277.598"/>
  </r>
  <r>
    <x v="0"/>
    <x v="0"/>
    <x v="0"/>
    <n v="0"/>
    <n v="27"/>
    <n v="9"/>
    <n v="20260202"/>
    <n v="20260309"/>
    <n v="40849.535600000003"/>
    <n v="36"/>
    <n v="1134.7093222222222"/>
    <n v="0"/>
    <n v="30637.151699999999"/>
    <n v="7529.264334881711"/>
    <n v="38166.416034881709"/>
    <n v="0"/>
    <n v="32790.959934722341"/>
    <n v="8058.5756652776599"/>
    <n v="40849.535600000003"/>
  </r>
  <r>
    <x v="0"/>
    <x v="0"/>
    <x v="1"/>
    <n v="13"/>
    <n v="19"/>
    <n v="0"/>
    <n v="20260119"/>
    <n v="20260219"/>
    <n v="12421.3331"/>
    <n v="32"/>
    <n v="388.16665937499999"/>
    <n v="6120.2155478829663"/>
    <n v="7375.1665281249998"/>
    <n v="0"/>
    <n v="13495.382076007965"/>
    <n v="5633.1295798733672"/>
    <n v="6788.2035201266326"/>
    <n v="0"/>
    <n v="12421.3331"/>
  </r>
  <r>
    <x v="0"/>
    <x v="0"/>
    <x v="0"/>
    <n v="0"/>
    <n v="15"/>
    <n v="0"/>
    <n v="20260205"/>
    <n v="20260219"/>
    <n v="11590.079"/>
    <n v="15"/>
    <n v="772.6719333333333"/>
    <n v="0"/>
    <n v="11590.079"/>
    <n v="0"/>
    <n v="11590.079"/>
    <n v="0"/>
    <n v="11590.079"/>
    <n v="0"/>
    <n v="11590.079"/>
  </r>
  <r>
    <x v="0"/>
    <x v="0"/>
    <x v="1"/>
    <n v="23"/>
    <n v="3"/>
    <n v="0"/>
    <n v="20260109"/>
    <n v="20260203"/>
    <n v="181007.2383"/>
    <n v="26"/>
    <n v="6961.8168576923072"/>
    <n v="194202.83513094578"/>
    <n v="20885.450573076923"/>
    <n v="0"/>
    <n v="215088.28570402271"/>
    <n v="163431.11732944218"/>
    <n v="17576.120970557822"/>
    <n v="0"/>
    <n v="181007.2383"/>
  </r>
  <r>
    <x v="0"/>
    <x v="0"/>
    <x v="0"/>
    <n v="0"/>
    <n v="23"/>
    <n v="0"/>
    <n v="20260204"/>
    <n v="20260226"/>
    <n v="22180.095700000002"/>
    <n v="23"/>
    <n v="964.35198695652184"/>
    <n v="0"/>
    <n v="22180.095700000002"/>
    <n v="0"/>
    <n v="22180.095700000002"/>
    <n v="0"/>
    <n v="22180.095700000002"/>
    <n v="0"/>
    <n v="22180.095700000002"/>
  </r>
  <r>
    <x v="0"/>
    <x v="0"/>
    <x v="1"/>
    <n v="24"/>
    <n v="10"/>
    <n v="0"/>
    <n v="20260108"/>
    <n v="20260210"/>
    <n v="10638.3712"/>
    <n v="34"/>
    <n v="312.89327058823528"/>
    <n v="9107.7814362542103"/>
    <n v="3128.9327058823528"/>
    <n v="0"/>
    <n v="12236.714142136563"/>
    <n v="7918.135424419077"/>
    <n v="2720.2357755809221"/>
    <n v="0"/>
    <n v="10638.3712"/>
  </r>
  <r>
    <x v="0"/>
    <x v="0"/>
    <x v="0"/>
    <n v="23"/>
    <n v="2"/>
    <n v="0"/>
    <n v="20260109"/>
    <n v="20260202"/>
    <n v="158866.39199999999"/>
    <n v="25"/>
    <n v="6354.6556799999998"/>
    <n v="177265.81646188884"/>
    <n v="12709.31136"/>
    <n v="0"/>
    <n v="189975.12782188883"/>
    <n v="148238.25102324644"/>
    <n v="10628.140976753566"/>
    <n v="0"/>
    <n v="158866.39199999999"/>
  </r>
  <r>
    <x v="0"/>
    <x v="0"/>
    <x v="0"/>
    <n v="0"/>
    <n v="22"/>
    <n v="2"/>
    <n v="20260207"/>
    <n v="20260302"/>
    <n v="85358.559899999993"/>
    <n v="24"/>
    <n v="3556.6066624999999"/>
    <n v="0"/>
    <n v="78245.346575000003"/>
    <n v="5244.344897211301"/>
    <n v="83489.6914722113"/>
    <n v="0"/>
    <n v="79996.823377187888"/>
    <n v="5361.7365228121107"/>
    <n v="85358.559899999993"/>
  </r>
  <r>
    <x v="0"/>
    <x v="0"/>
    <x v="1"/>
    <n v="28"/>
    <n v="8"/>
    <n v="0"/>
    <n v="20260104"/>
    <n v="20260208"/>
    <n v="1596.9568999999999"/>
    <n v="36"/>
    <n v="44.359913888888883"/>
    <n v="1506.4470153568825"/>
    <n v="354.87931111111106"/>
    <n v="0"/>
    <n v="1861.3263264679936"/>
    <n v="1292.482098087354"/>
    <n v="304.47480191264606"/>
    <n v="0"/>
    <n v="1596.9569000000001"/>
  </r>
  <r>
    <x v="0"/>
    <x v="0"/>
    <x v="0"/>
    <n v="25"/>
    <n v="8"/>
    <n v="0"/>
    <n v="20260107"/>
    <n v="20260208"/>
    <n v="58850.472300000001"/>
    <n v="33"/>
    <n v="1783.3476454545455"/>
    <n v="54073.086131478558"/>
    <n v="14266.781163636364"/>
    <n v="0"/>
    <n v="68339.86729511492"/>
    <n v="46564.718128792236"/>
    <n v="12285.754171207771"/>
    <n v="0"/>
    <n v="58850.472300000009"/>
  </r>
  <r>
    <x v="0"/>
    <x v="0"/>
    <x v="1"/>
    <n v="28"/>
    <n v="7"/>
    <n v="0"/>
    <n v="20260104"/>
    <n v="20260207"/>
    <n v="882.46659999999997"/>
    <n v="35"/>
    <n v="25.213331428571429"/>
    <n v="856.23583429202836"/>
    <n v="176.49332000000001"/>
    <n v="0"/>
    <n v="1032.7291542920284"/>
    <n v="731.65313707429834"/>
    <n v="150.8134629257016"/>
    <n v="0"/>
    <n v="882.46659999999997"/>
  </r>
  <r>
    <x v="0"/>
    <x v="0"/>
    <x v="1"/>
    <n v="0"/>
    <n v="27"/>
    <n v="8"/>
    <n v="20260202"/>
    <n v="20260308"/>
    <n v="12672.182699999999"/>
    <n v="35"/>
    <n v="362.06236285714283"/>
    <n v="0"/>
    <n v="9775.6837971428558"/>
    <n v="2135.4960897333958"/>
    <n v="11911.179886876253"/>
    <n v="0"/>
    <n v="10400.250207900417"/>
    <n v="2271.9324920995823"/>
    <n v="12672.182699999999"/>
  </r>
  <r>
    <x v="0"/>
    <x v="0"/>
    <x v="1"/>
    <n v="0"/>
    <n v="24"/>
    <n v="10"/>
    <n v="20260205"/>
    <n v="20260310"/>
    <n v="6674.1724000000004"/>
    <n v="34"/>
    <n v="196.29918823529414"/>
    <n v="0"/>
    <n v="4711.1805176470589"/>
    <n v="1447.2511917087563"/>
    <n v="6158.4317093558147"/>
    <n v="0"/>
    <n v="5105.7204928536494"/>
    <n v="1568.4519071463512"/>
    <n v="6674.1724000000004"/>
  </r>
  <r>
    <x v="0"/>
    <x v="0"/>
    <x v="0"/>
    <n v="0"/>
    <n v="22"/>
    <n v="0"/>
    <n v="20260203"/>
    <n v="20260224"/>
    <n v="6661.5254000000004"/>
    <n v="22"/>
    <n v="302.7966090909091"/>
    <n v="0"/>
    <n v="6661.5254000000004"/>
    <n v="0"/>
    <n v="6661.5254000000004"/>
    <n v="0"/>
    <n v="6661.5254000000004"/>
    <n v="0"/>
    <n v="6661.5254000000004"/>
  </r>
  <r>
    <x v="0"/>
    <x v="0"/>
    <x v="0"/>
    <n v="28"/>
    <n v="9"/>
    <n v="0"/>
    <n v="20260104"/>
    <n v="20260209"/>
    <n v="6682.9466000000002"/>
    <n v="37"/>
    <n v="180.6201783783784"/>
    <n v="6133.7974936756855"/>
    <n v="1625.5816054054055"/>
    <n v="0"/>
    <n v="7759.3790990810912"/>
    <n v="5282.876449521963"/>
    <n v="1400.0701504780368"/>
    <n v="0"/>
    <n v="6682.9465999999993"/>
  </r>
  <r>
    <x v="0"/>
    <x v="0"/>
    <x v="0"/>
    <n v="0"/>
    <n v="19"/>
    <n v="0"/>
    <n v="20260202"/>
    <n v="20260220"/>
    <n v="42.159599999999998"/>
    <n v="19"/>
    <n v="2.2189263157894734"/>
    <n v="0"/>
    <n v="42.159599999999998"/>
    <n v="0"/>
    <n v="42.159599999999998"/>
    <n v="0"/>
    <n v="42.159599999999998"/>
    <n v="0"/>
    <n v="42.159599999999998"/>
  </r>
  <r>
    <x v="0"/>
    <x v="0"/>
    <x v="0"/>
    <n v="24"/>
    <n v="8"/>
    <n v="0"/>
    <n v="20260108"/>
    <n v="20260208"/>
    <n v="24215.0425"/>
    <n v="32"/>
    <n v="756.72007812499999"/>
    <n v="22026.811465234659"/>
    <n v="6053.7606249999999"/>
    <n v="0"/>
    <n v="28080.572090234658"/>
    <n v="18994.633515876041"/>
    <n v="5220.4089841239611"/>
    <n v="0"/>
    <n v="24215.042500000003"/>
  </r>
  <r>
    <x v="0"/>
    <x v="0"/>
    <x v="0"/>
    <n v="25"/>
    <n v="10"/>
    <n v="0"/>
    <n v="20260107"/>
    <n v="20260210"/>
    <n v="8451.0339999999997"/>
    <n v="35"/>
    <n v="241.45811428571429"/>
    <n v="7321.2788567581656"/>
    <n v="2414.5811428571428"/>
    <n v="0"/>
    <n v="9735.859999615308"/>
    <n v="6355.1013001819192"/>
    <n v="2095.9326998180804"/>
    <n v="0"/>
    <n v="8451.0339999999997"/>
  </r>
  <r>
    <x v="0"/>
    <x v="0"/>
    <x v="0"/>
    <n v="0"/>
    <n v="26"/>
    <n v="12"/>
    <n v="20260203"/>
    <n v="20260312"/>
    <n v="506.75689999999997"/>
    <n v="38"/>
    <n v="13.335707894736842"/>
    <n v="0"/>
    <n v="346.72840526315792"/>
    <n v="117.98389580584713"/>
    <n v="464.71230106900504"/>
    <n v="0"/>
    <n v="378.09847380607835"/>
    <n v="128.65842619392168"/>
    <n v="506.75690000000003"/>
  </r>
  <r>
    <x v="0"/>
    <x v="0"/>
    <x v="0"/>
    <n v="0"/>
    <n v="24"/>
    <n v="11"/>
    <n v="20260205"/>
    <n v="20260311"/>
    <n v="17316.218700000001"/>
    <n v="35"/>
    <n v="494.74910571428575"/>
    <n v="0"/>
    <n v="11873.978537142859"/>
    <n v="4012.3897770882977"/>
    <n v="15886.368314231157"/>
    <n v="0"/>
    <n v="12942.694335248563"/>
    <n v="4373.5243647514399"/>
    <n v="17316.218700000005"/>
  </r>
  <r>
    <x v="0"/>
    <x v="0"/>
    <x v="0"/>
    <n v="0"/>
    <n v="24"/>
    <n v="0"/>
    <n v="20260204"/>
    <n v="20260227"/>
    <n v="6241.6648999999998"/>
    <n v="24"/>
    <n v="260.06937083333332"/>
    <n v="0"/>
    <n v="6241.6648999999998"/>
    <n v="0"/>
    <n v="6241.6648999999998"/>
    <n v="0"/>
    <n v="6241.6648999999998"/>
    <n v="0"/>
    <n v="6241.6648999999998"/>
  </r>
  <r>
    <x v="0"/>
    <x v="0"/>
    <x v="0"/>
    <n v="29"/>
    <n v="11"/>
    <n v="0"/>
    <n v="20260103"/>
    <n v="20260211"/>
    <n v="5926.9440000000004"/>
    <n v="40"/>
    <n v="148.17360000000002"/>
    <n v="5211.6346874566498"/>
    <n v="1629.9096000000002"/>
    <n v="0"/>
    <n v="6841.5442874566497"/>
    <n v="4514.9261107094444"/>
    <n v="1412.0178892905562"/>
    <n v="0"/>
    <n v="5926.9440000000004"/>
  </r>
  <r>
    <x v="0"/>
    <x v="0"/>
    <x v="0"/>
    <n v="0"/>
    <n v="7"/>
    <n v="0"/>
    <n v="20260206"/>
    <n v="20260212"/>
    <n v="1601.9137000000001"/>
    <n v="7"/>
    <n v="228.84481428571431"/>
    <n v="0"/>
    <n v="1601.9137000000001"/>
    <n v="0"/>
    <n v="1601.9137000000001"/>
    <n v="0"/>
    <n v="1601.9137000000001"/>
    <n v="0"/>
    <n v="1601.9137000000001"/>
  </r>
  <r>
    <x v="0"/>
    <x v="0"/>
    <x v="0"/>
    <n v="0"/>
    <n v="19"/>
    <n v="0"/>
    <n v="20260209"/>
    <n v="20260227"/>
    <n v="548.53700000000003"/>
    <n v="19"/>
    <n v="28.870368421052632"/>
    <n v="0"/>
    <n v="548.53700000000003"/>
    <n v="0"/>
    <n v="548.53700000000003"/>
    <n v="0"/>
    <n v="548.53700000000003"/>
    <n v="0"/>
    <n v="548.53700000000003"/>
  </r>
  <r>
    <x v="0"/>
    <x v="0"/>
    <x v="0"/>
    <n v="31"/>
    <n v="2"/>
    <n v="0"/>
    <n v="20251226"/>
    <n v="20260202"/>
    <n v="230566.33979999999"/>
    <n v="33"/>
    <n v="6986.8587818181813"/>
    <n v="262693.17813565256"/>
    <n v="13973.717563636363"/>
    <n v="0"/>
    <n v="276666.89569928893"/>
    <n v="218921.04011966352"/>
    <n v="11645.299680336459"/>
    <n v="0"/>
    <n v="230566.33979999999"/>
  </r>
  <r>
    <x v="0"/>
    <x v="0"/>
    <x v="0"/>
    <n v="17"/>
    <n v="1"/>
    <n v="0"/>
    <n v="20260115"/>
    <n v="20260201"/>
    <n v="6178.1374999999998"/>
    <n v="18"/>
    <n v="343.22986111111112"/>
    <n v="7076.8358403039801"/>
    <n v="343.22986111111112"/>
    <n v="0"/>
    <n v="7420.0657014150911"/>
    <n v="5892.3554919450116"/>
    <n v="285.78200805498795"/>
    <n v="0"/>
    <n v="6178.1374999999998"/>
  </r>
  <r>
    <x v="0"/>
    <x v="0"/>
    <x v="0"/>
    <n v="0"/>
    <n v="3"/>
    <n v="27"/>
    <n v="20260226"/>
    <n v="20260327"/>
    <n v="42.226799999999997"/>
    <n v="30"/>
    <n v="1.4075599999999999"/>
    <n v="0"/>
    <n v="4.2226799999999995"/>
    <n v="28.019223336733816"/>
    <n v="32.241903336733813"/>
    <n v="0"/>
    <n v="5.530388884357448"/>
    <n v="36.696411115642555"/>
    <n v="42.226800000000004"/>
  </r>
  <r>
    <x v="0"/>
    <x v="0"/>
    <x v="0"/>
    <n v="0"/>
    <n v="4"/>
    <n v="2"/>
    <n v="20260225"/>
    <n v="20260302"/>
    <n v="1907.0975000000001"/>
    <n v="6"/>
    <n v="317.84958333333333"/>
    <n v="0"/>
    <n v="1271.3983333333333"/>
    <n v="468.68068319458274"/>
    <n v="1740.0790165279161"/>
    <n v="0"/>
    <n v="1393.4313097127492"/>
    <n v="513.66619028725086"/>
    <n v="1907.0975000000001"/>
  </r>
  <r>
    <x v="0"/>
    <x v="0"/>
    <x v="0"/>
    <n v="0"/>
    <n v="10"/>
    <n v="0"/>
    <n v="20260206"/>
    <n v="20260215"/>
    <n v="210.74850000000001"/>
    <n v="10"/>
    <n v="21.074850000000001"/>
    <n v="0"/>
    <n v="210.74850000000001"/>
    <n v="0"/>
    <n v="210.74850000000001"/>
    <n v="0"/>
    <n v="210.74850000000001"/>
    <n v="0"/>
    <n v="210.74850000000001"/>
  </r>
  <r>
    <x v="0"/>
    <x v="0"/>
    <x v="0"/>
    <n v="0"/>
    <n v="10"/>
    <n v="3"/>
    <n v="20260219"/>
    <n v="20260303"/>
    <n v="19793.578799999999"/>
    <n v="13"/>
    <n v="1522.5829846153845"/>
    <n v="0"/>
    <n v="15225.829846153845"/>
    <n v="3367.6553511552856"/>
    <n v="18593.485197309132"/>
    <n v="0"/>
    <n v="16208.562281742268"/>
    <n v="3585.0165182577298"/>
    <n v="19793.578799999999"/>
  </r>
  <r>
    <x v="0"/>
    <x v="0"/>
    <x v="1"/>
    <n v="17"/>
    <n v="4"/>
    <n v="0"/>
    <n v="20260115"/>
    <n v="20260204"/>
    <n v="14215.5337"/>
    <n v="21"/>
    <n v="676.93017619047623"/>
    <n v="13957.188097620827"/>
    <n v="2707.7207047619049"/>
    <n v="0"/>
    <n v="16664.908802382732"/>
    <n v="11905.788391149159"/>
    <n v="2309.7453088508414"/>
    <n v="0"/>
    <n v="14215.5337"/>
  </r>
  <r>
    <x v="0"/>
    <x v="0"/>
    <x v="0"/>
    <n v="5"/>
    <n v="19"/>
    <n v="0"/>
    <n v="20260127"/>
    <n v="20260219"/>
    <n v="16261.7718"/>
    <n v="24"/>
    <n v="677.57382500000006"/>
    <n v="4108.9585525341399"/>
    <n v="12873.902675000001"/>
    <n v="0"/>
    <n v="16982.86122753414"/>
    <n v="3934.4928644082438"/>
    <n v="12327.278935591758"/>
    <n v="0"/>
    <n v="16261.771800000002"/>
  </r>
  <r>
    <x v="0"/>
    <x v="0"/>
    <x v="0"/>
    <n v="0"/>
    <n v="17"/>
    <n v="1"/>
    <n v="20260212"/>
    <n v="20260301"/>
    <n v="8023.4625999999998"/>
    <n v="18"/>
    <n v="445.7479222222222"/>
    <n v="0"/>
    <n v="7577.7146777777771"/>
    <n v="328.63570014591835"/>
    <n v="7906.3503779236953"/>
    <n v="0"/>
    <n v="7689.9590081900396"/>
    <n v="333.50359180996037"/>
    <n v="8023.4625999999998"/>
  </r>
  <r>
    <x v="0"/>
    <x v="0"/>
    <x v="0"/>
    <n v="3"/>
    <n v="28"/>
    <n v="2"/>
    <n v="20260129"/>
    <n v="20260302"/>
    <n v="1940.5224000000001"/>
    <n v="33"/>
    <n v="58.803709090909095"/>
    <n v="213.95927157294233"/>
    <n v="1646.5038545454547"/>
    <n v="86.708191535365458"/>
    <n v="1947.1713176537623"/>
    <n v="213.22867454480738"/>
    <n v="1640.8816124519003"/>
    <n v="86.412113003292603"/>
    <n v="1940.5224000000003"/>
  </r>
  <r>
    <x v="0"/>
    <x v="0"/>
    <x v="0"/>
    <n v="3"/>
    <n v="28"/>
    <n v="1"/>
    <n v="20260129"/>
    <n v="20260301"/>
    <n v="36484.274799999999"/>
    <n v="32"/>
    <n v="1140.1335875"/>
    <n v="4148.4143712808464"/>
    <n v="31923.740449999998"/>
    <n v="840.58406356663556"/>
    <n v="36912.73888484748"/>
    <n v="4100.2617112275275"/>
    <n v="31553.186092614378"/>
    <n v="830.82699615809111"/>
    <n v="36484.274799999992"/>
  </r>
  <r>
    <x v="0"/>
    <x v="0"/>
    <x v="0"/>
    <n v="2"/>
    <n v="28"/>
    <n v="1"/>
    <n v="20260130"/>
    <n v="20260301"/>
    <n v="2067.0297999999998"/>
    <n v="31"/>
    <n v="66.678380645161283"/>
    <n v="161.74101909622161"/>
    <n v="1866.994658064516"/>
    <n v="49.159839486574704"/>
    <n v="2077.8955166473124"/>
    <n v="160.89524409470337"/>
    <n v="1857.2317827062268"/>
    <n v="48.902773199069379"/>
    <n v="2067.0297999999998"/>
  </r>
  <r>
    <x v="0"/>
    <x v="0"/>
    <x v="0"/>
    <n v="2"/>
    <n v="28"/>
    <n v="4"/>
    <n v="20260130"/>
    <n v="20260304"/>
    <n v="9791.3385999999991"/>
    <n v="34"/>
    <n v="287.9805470588235"/>
    <n v="698.55126520025362"/>
    <n v="8063.4553176470581"/>
    <n v="849.27542220958765"/>
    <n v="9611.2820050569007"/>
    <n v="711.63784013780855"/>
    <n v="8214.5151145823111"/>
    <n v="865.1856452798778"/>
    <n v="9791.3385999999973"/>
  </r>
  <r>
    <x v="0"/>
    <x v="0"/>
    <x v="0"/>
    <n v="0"/>
    <n v="18"/>
    <n v="2"/>
    <n v="20260211"/>
    <n v="20260302"/>
    <n v="929.18470000000002"/>
    <n v="20"/>
    <n v="46.459235"/>
    <n v="0"/>
    <n v="836.26622999999995"/>
    <n v="68.505818922727357"/>
    <n v="904.77204892272732"/>
    <n v="0"/>
    <n v="858.83045013147296"/>
    <n v="70.354249868527049"/>
    <n v="929.18470000000002"/>
  </r>
  <r>
    <x v="0"/>
    <x v="0"/>
    <x v="0"/>
    <n v="12"/>
    <n v="4"/>
    <n v="0"/>
    <n v="20260120"/>
    <n v="20260204"/>
    <n v="23776.052500000002"/>
    <n v="16"/>
    <n v="1486.0032812500001"/>
    <n v="21627.49149851879"/>
    <n v="5944.0131250000004"/>
    <n v="0"/>
    <n v="27571.504623518791"/>
    <n v="18650.283339033092"/>
    <n v="5125.7691609669064"/>
    <n v="0"/>
    <n v="23776.052499999998"/>
  </r>
  <r>
    <x v="0"/>
    <x v="0"/>
    <x v="0"/>
    <n v="0"/>
    <n v="9"/>
    <n v="3"/>
    <n v="20260220"/>
    <n v="20260303"/>
    <n v="1184.5909999999999"/>
    <n v="12"/>
    <n v="98.715916666666658"/>
    <n v="0"/>
    <n v="888.44324999999992"/>
    <n v="218.34027331566188"/>
    <n v="1106.7835233156618"/>
    <n v="0"/>
    <n v="950.90128809279952"/>
    <n v="233.68971190720035"/>
    <n v="1184.5909999999999"/>
  </r>
  <r>
    <x v="0"/>
    <x v="0"/>
    <x v="0"/>
    <n v="0"/>
    <n v="15"/>
    <n v="3"/>
    <n v="20260214"/>
    <n v="20260303"/>
    <n v="42.242600000000003"/>
    <n v="18"/>
    <n v="2.3468111111111112"/>
    <n v="0"/>
    <n v="35.20216666666667"/>
    <n v="5.1906865348823228"/>
    <n v="40.392853201548995"/>
    <n v="0"/>
    <n v="36.814211618413438"/>
    <n v="5.4283883815865597"/>
    <n v="42.242599999999996"/>
  </r>
  <r>
    <x v="0"/>
    <x v="0"/>
    <x v="1"/>
    <n v="19"/>
    <n v="3"/>
    <n v="0"/>
    <n v="20260113"/>
    <n v="20260203"/>
    <n v="26947.642800000001"/>
    <n v="22"/>
    <n v="1224.8928545454546"/>
    <n v="28226.487480335454"/>
    <n v="3674.6785636363638"/>
    <n v="0"/>
    <n v="31901.166043971818"/>
    <n v="23843.557977482931"/>
    <n v="3104.0848225170689"/>
    <n v="0"/>
    <n v="26947.642800000001"/>
  </r>
  <r>
    <x v="0"/>
    <x v="0"/>
    <x v="0"/>
    <n v="8"/>
    <n v="3"/>
    <n v="0"/>
    <n v="20260124"/>
    <n v="20260203"/>
    <n v="15912.413399999999"/>
    <n v="11"/>
    <n v="1446.5830363636362"/>
    <n v="14035.842637143587"/>
    <n v="4339.7491090909089"/>
    <n v="0"/>
    <n v="18375.591746234495"/>
    <n v="12154.391191529512"/>
    <n v="3758.0222084704883"/>
    <n v="0"/>
    <n v="15912.413400000001"/>
  </r>
  <r>
    <x v="0"/>
    <x v="0"/>
    <x v="0"/>
    <n v="0"/>
    <n v="24"/>
    <n v="5"/>
    <n v="20260205"/>
    <n v="20260305"/>
    <n v="3351997.0227000001"/>
    <n v="29"/>
    <n v="115586.10423103449"/>
    <n v="0"/>
    <n v="2774066.5015448276"/>
    <n v="426089.70673078985"/>
    <n v="3200156.2082756176"/>
    <n v="0"/>
    <n v="2905690.2378401672"/>
    <n v="446306.78485983267"/>
    <n v="3351997.0227000001"/>
  </r>
  <r>
    <x v="0"/>
    <x v="0"/>
    <x v="0"/>
    <n v="23"/>
    <n v="3"/>
    <n v="0"/>
    <n v="20260109"/>
    <n v="20260203"/>
    <n v="405437.71759999997"/>
    <n v="26"/>
    <n v="15593.758369230769"/>
    <n v="434994.50611163635"/>
    <n v="46781.275107692309"/>
    <n v="0"/>
    <n v="481775.78121932864"/>
    <n v="366069.00263870187"/>
    <n v="39368.714961298101"/>
    <n v="0"/>
    <n v="405437.71759999997"/>
  </r>
  <r>
    <x v="0"/>
    <x v="0"/>
    <x v="0"/>
    <n v="0"/>
    <n v="26"/>
    <n v="4"/>
    <n v="20260203"/>
    <n v="20260304"/>
    <n v="3502651.1131000002"/>
    <n v="30"/>
    <n v="116755.03710333334"/>
    <n v="0"/>
    <n v="3035630.9646866666"/>
    <n v="344319.03280875232"/>
    <n v="3379949.9974954189"/>
    <n v="0"/>
    <n v="3145832.3896210217"/>
    <n v="356818.72347897844"/>
    <n v="3502651.1131000002"/>
  </r>
  <r>
    <x v="0"/>
    <x v="0"/>
    <x v="1"/>
    <n v="29"/>
    <n v="2"/>
    <n v="0"/>
    <n v="20260103"/>
    <n v="20260202"/>
    <n v="2287347.7048999998"/>
    <n v="31"/>
    <n v="73785.409835483864"/>
    <n v="2595216.7007268006"/>
    <n v="147570.81967096773"/>
    <n v="0"/>
    <n v="2742787.5203977684"/>
    <n v="2164281.0170234093"/>
    <n v="123066.6878765905"/>
    <n v="0"/>
    <n v="2287347.7048999998"/>
  </r>
  <r>
    <x v="0"/>
    <x v="0"/>
    <x v="0"/>
    <n v="0"/>
    <n v="25"/>
    <n v="3"/>
    <n v="20260204"/>
    <n v="20260303"/>
    <n v="12043937.243799999"/>
    <n v="28"/>
    <n v="430140.61585"/>
    <n v="0"/>
    <n v="10753515.39625"/>
    <n v="951386.79556595779"/>
    <n v="11704902.191815957"/>
    <n v="0"/>
    <n v="11064993.321621129"/>
    <n v="978943.92217887077"/>
    <n v="12043937.243799999"/>
  </r>
  <r>
    <x v="0"/>
    <x v="0"/>
    <x v="1"/>
    <n v="28"/>
    <n v="2"/>
    <n v="0"/>
    <n v="20260104"/>
    <n v="20260202"/>
    <n v="538272.72140000004"/>
    <n v="30"/>
    <n v="17942.424046666667"/>
    <n v="609318.38643940119"/>
    <n v="35884.848093333334"/>
    <n v="0"/>
    <n v="645203.2345327345"/>
    <n v="508335.12374642823"/>
    <n v="29937.597653571815"/>
    <n v="0"/>
    <n v="538272.72140000004"/>
  </r>
  <r>
    <x v="0"/>
    <x v="0"/>
    <x v="0"/>
    <n v="0"/>
    <n v="27"/>
    <n v="4"/>
    <n v="20260202"/>
    <n v="20260304"/>
    <n v="2942220.8095"/>
    <n v="31"/>
    <n v="94910.348693548382"/>
    <n v="0"/>
    <n v="2562579.4147258061"/>
    <n v="279897.46974926034"/>
    <n v="2842476.8844750663"/>
    <n v="0"/>
    <n v="2652501.5985820354"/>
    <n v="289719.21091796458"/>
    <n v="2942220.8095"/>
  </r>
  <r>
    <x v="0"/>
    <x v="0"/>
    <x v="0"/>
    <n v="29"/>
    <n v="4"/>
    <n v="0"/>
    <n v="20260103"/>
    <n v="20260204"/>
    <n v="2727332.2563999998"/>
    <n v="33"/>
    <n v="82646.432012121208"/>
    <n v="2906880.9279716392"/>
    <n v="330585.72804848483"/>
    <n v="0"/>
    <n v="3237466.656020124"/>
    <n v="2448837.6137028965"/>
    <n v="278494.6426971035"/>
    <n v="0"/>
    <n v="2727332.2563999998"/>
  </r>
  <r>
    <x v="0"/>
    <x v="0"/>
    <x v="0"/>
    <n v="26"/>
    <n v="1"/>
    <n v="0"/>
    <n v="20260106"/>
    <n v="20260201"/>
    <n v="1274834.4262000001"/>
    <n v="27"/>
    <n v="47216.089859259264"/>
    <n v="1488910.1899280183"/>
    <n v="47216.089859259264"/>
    <n v="0"/>
    <n v="1536126.2797872776"/>
    <n v="1235649.6940492867"/>
    <n v="39184.732150713484"/>
    <n v="0"/>
    <n v="1274834.4262000001"/>
  </r>
  <r>
    <x v="0"/>
    <x v="0"/>
    <x v="1"/>
    <n v="26"/>
    <n v="6"/>
    <n v="0"/>
    <n v="20260106"/>
    <n v="20260206"/>
    <n v="141026.5864"/>
    <n v="32"/>
    <n v="4407.080825"/>
    <n v="138972.70120710967"/>
    <n v="26442.484949999998"/>
    <n v="0"/>
    <n v="165415.18615710968"/>
    <n v="118482.74701580935"/>
    <n v="22543.839384190633"/>
    <n v="0"/>
    <n v="141026.58639999997"/>
  </r>
  <r>
    <x v="0"/>
    <x v="0"/>
    <x v="1"/>
    <n v="0"/>
    <n v="8"/>
    <n v="16"/>
    <n v="20260221"/>
    <n v="20260316"/>
    <n v="1115830.3012999999"/>
    <n v="24"/>
    <n v="46492.929220833328"/>
    <n v="0"/>
    <n v="371943.43376666663"/>
    <n v="548444.01814013289"/>
    <n v="920387.45190679957"/>
    <n v="0"/>
    <n v="450925.04564962559"/>
    <n v="664905.25565037434"/>
    <n v="1115830.3012999999"/>
  </r>
  <r>
    <x v="0"/>
    <x v="0"/>
    <x v="0"/>
    <n v="0"/>
    <n v="22"/>
    <n v="6"/>
    <n v="20260207"/>
    <n v="20260306"/>
    <n v="866728.27709999995"/>
    <n v="28"/>
    <n v="30954.581324999999"/>
    <n v="0"/>
    <n v="681000.78914999997"/>
    <n v="136930.94234629266"/>
    <n v="817931.73149629263"/>
    <n v="0"/>
    <n v="721628.24592212948"/>
    <n v="145100.03117787049"/>
    <n v="866728.27709999995"/>
  </r>
  <r>
    <x v="0"/>
    <x v="0"/>
    <x v="1"/>
    <n v="0"/>
    <n v="27"/>
    <n v="4"/>
    <n v="20260202"/>
    <n v="20260304"/>
    <n v="412436.12760000001"/>
    <n v="31"/>
    <n v="13304.391212903227"/>
    <n v="0"/>
    <n v="359218.56274838711"/>
    <n v="39235.610113178722"/>
    <n v="398454.17286156584"/>
    <n v="0"/>
    <n v="371823.72044941667"/>
    <n v="40612.407150583349"/>
    <n v="412436.12760000001"/>
  </r>
  <r>
    <x v="0"/>
    <x v="0"/>
    <x v="1"/>
    <n v="15"/>
    <n v="15"/>
    <n v="0"/>
    <n v="20260117"/>
    <n v="20260215"/>
    <n v="1089138.7305999999"/>
    <n v="30"/>
    <n v="36304.624353333333"/>
    <n v="660477.97846899496"/>
    <n v="544569.36529999995"/>
    <n v="0"/>
    <n v="1205047.3437689948"/>
    <n v="596949.28234858927"/>
    <n v="492189.44825141068"/>
    <n v="0"/>
    <n v="1089138.7305999999"/>
  </r>
  <r>
    <x v="0"/>
    <x v="0"/>
    <x v="0"/>
    <n v="0"/>
    <n v="24"/>
    <n v="1"/>
    <n v="20260205"/>
    <n v="20260301"/>
    <n v="1207624.7818"/>
    <n v="25"/>
    <n v="48304.991271999999"/>
    <n v="0"/>
    <n v="1159319.7905279999"/>
    <n v="35613.726583568983"/>
    <n v="1194933.5171115689"/>
    <n v="0"/>
    <n v="1171632.8055279411"/>
    <n v="35991.976272058797"/>
    <n v="1207624.7818"/>
  </r>
  <r>
    <x v="0"/>
    <x v="0"/>
    <x v="0"/>
    <n v="0"/>
    <n v="27"/>
    <n v="0"/>
    <n v="20260202"/>
    <n v="20260228"/>
    <n v="14808.4172"/>
    <n v="27"/>
    <n v="548.45989629629628"/>
    <n v="0"/>
    <n v="14808.4172"/>
    <n v="0"/>
    <n v="14808.4172"/>
    <n v="0"/>
    <n v="14808.4172"/>
    <n v="0"/>
    <n v="14808.4172"/>
  </r>
  <r>
    <x v="0"/>
    <x v="0"/>
    <x v="1"/>
    <n v="0"/>
    <n v="24"/>
    <n v="8"/>
    <n v="20260205"/>
    <n v="20260308"/>
    <n v="2914.6019999999999"/>
    <n v="32"/>
    <n v="91.081312499999996"/>
    <n v="0"/>
    <n v="2185.9515000000001"/>
    <n v="537.21073120290021"/>
    <n v="2723.1622312029003"/>
    <n v="0"/>
    <n v="2339.6250655946651"/>
    <n v="574.97693440533487"/>
    <n v="2914.6019999999999"/>
  </r>
  <r>
    <x v="0"/>
    <x v="0"/>
    <x v="0"/>
    <n v="15"/>
    <n v="16"/>
    <n v="0"/>
    <n v="20260117"/>
    <n v="20260216"/>
    <n v="25045.553500000002"/>
    <n v="31"/>
    <n v="807.9210806451614"/>
    <n v="14698.24000693752"/>
    <n v="12926.737290322582"/>
    <n v="0"/>
    <n v="27624.977297260102"/>
    <n v="13325.822949585028"/>
    <n v="11719.730550414974"/>
    <n v="0"/>
    <n v="25045.553500000002"/>
  </r>
  <r>
    <x v="0"/>
    <x v="0"/>
    <x v="1"/>
    <n v="27"/>
    <n v="3"/>
    <n v="0"/>
    <n v="20260105"/>
    <n v="20260203"/>
    <n v="124791.3091"/>
    <n v="30"/>
    <n v="4159.7103033333333"/>
    <n v="136217.21149796151"/>
    <n v="12479.13091"/>
    <n v="0"/>
    <n v="148696.34240796152"/>
    <n v="114318.37440994137"/>
    <n v="10472.934690058617"/>
    <n v="0"/>
    <n v="124791.30909999998"/>
  </r>
  <r>
    <x v="0"/>
    <x v="0"/>
    <x v="0"/>
    <n v="0"/>
    <n v="22"/>
    <n v="5"/>
    <n v="20260207"/>
    <n v="20260305"/>
    <n v="507171.12709999998"/>
    <n v="27"/>
    <n v="18784.11581851852"/>
    <n v="0"/>
    <n v="413250.54800740746"/>
    <n v="69244.641936472282"/>
    <n v="482495.18994387973"/>
    <n v="0"/>
    <n v="434385.15155350527"/>
    <n v="72785.975546494767"/>
    <n v="507171.12710000004"/>
  </r>
  <r>
    <x v="0"/>
    <x v="0"/>
    <x v="0"/>
    <n v="27"/>
    <n v="6"/>
    <n v="0"/>
    <n v="20260105"/>
    <n v="20260206"/>
    <n v="512581.13740000001"/>
    <n v="33"/>
    <n v="15532.76173939394"/>
    <n v="508648.27997925103"/>
    <n v="93196.570436363632"/>
    <n v="0"/>
    <n v="601844.85041561467"/>
    <n v="433207.18571949378"/>
    <n v="79373.951680506216"/>
    <n v="0"/>
    <n v="512581.13740000001"/>
  </r>
  <r>
    <x v="0"/>
    <x v="0"/>
    <x v="1"/>
    <n v="26"/>
    <n v="9"/>
    <n v="0"/>
    <n v="20260106"/>
    <n v="20260209"/>
    <n v="48854.007799999999"/>
    <n v="35"/>
    <n v="1395.8287942857144"/>
    <n v="44016.006437673786"/>
    <n v="12562.45914857143"/>
    <n v="0"/>
    <n v="56578.46558624522"/>
    <n v="38006.656765073858"/>
    <n v="10847.351034926138"/>
    <n v="0"/>
    <n v="48854.007799999992"/>
  </r>
  <r>
    <x v="0"/>
    <x v="0"/>
    <x v="0"/>
    <n v="24"/>
    <n v="1"/>
    <n v="0"/>
    <n v="20260108"/>
    <n v="20260201"/>
    <n v="132461.7757"/>
    <n v="25"/>
    <n v="5298.4710279999999"/>
    <n v="154229.31908578935"/>
    <n v="5298.4710279999999"/>
    <n v="0"/>
    <n v="159527.79011378935"/>
    <n v="128062.26085457233"/>
    <n v="4399.5148454276623"/>
    <n v="0"/>
    <n v="132461.7757"/>
  </r>
  <r>
    <x v="0"/>
    <x v="0"/>
    <x v="1"/>
    <n v="27"/>
    <n v="5"/>
    <n v="0"/>
    <n v="20260105"/>
    <n v="20260205"/>
    <n v="59633.732400000001"/>
    <n v="32"/>
    <n v="1863.5541375"/>
    <n v="61025.439171165504"/>
    <n v="9317.7706875000003"/>
    <n v="0"/>
    <n v="70343.209858665505"/>
    <n v="51734.555708186177"/>
    <n v="7899.1766918138246"/>
    <n v="0"/>
    <n v="59633.732400000001"/>
  </r>
  <r>
    <x v="0"/>
    <x v="0"/>
    <x v="1"/>
    <n v="0"/>
    <n v="22"/>
    <n v="2"/>
    <n v="20260207"/>
    <n v="20260302"/>
    <n v="49813.600599999998"/>
    <n v="24"/>
    <n v="2075.5666916666664"/>
    <n v="0"/>
    <n v="45662.467216666664"/>
    <n v="3060.4980030635661"/>
    <n v="48722.965219730228"/>
    <n v="0"/>
    <n v="46684.59512026023"/>
    <n v="3129.0054797397688"/>
    <n v="49813.600599999998"/>
  </r>
  <r>
    <x v="0"/>
    <x v="0"/>
    <x v="1"/>
    <n v="0"/>
    <n v="21"/>
    <n v="8"/>
    <n v="20260208"/>
    <n v="20260308"/>
    <n v="48519.446000000004"/>
    <n v="29"/>
    <n v="1673.0843448275864"/>
    <n v="0"/>
    <n v="35134.771241379312"/>
    <n v="9868.0930212655094"/>
    <n v="45002.86426264482"/>
    <n v="0"/>
    <n v="37880.247488679961"/>
    <n v="10639.198511320044"/>
    <n v="48519.446000000004"/>
  </r>
  <r>
    <x v="0"/>
    <x v="0"/>
    <x v="0"/>
    <n v="0"/>
    <n v="10"/>
    <n v="16"/>
    <n v="20260219"/>
    <n v="20260316"/>
    <n v="229462.32089999999"/>
    <n v="26"/>
    <n v="8825.4738807692302"/>
    <n v="0"/>
    <n v="88254.738807692309"/>
    <n v="104107.83829449395"/>
    <n v="192362.57710218627"/>
    <n v="0"/>
    <n v="105275.86759496691"/>
    <n v="124186.45330503306"/>
    <n v="229462.32089999999"/>
  </r>
  <r>
    <x v="0"/>
    <x v="0"/>
    <x v="1"/>
    <n v="0"/>
    <n v="19"/>
    <n v="6"/>
    <n v="20260210"/>
    <n v="20260306"/>
    <n v="43111.628199999999"/>
    <n v="25"/>
    <n v="1724.465128"/>
    <n v="0"/>
    <n v="32764.837432"/>
    <n v="7628.3582239780226"/>
    <n v="40393.195655978023"/>
    <n v="0"/>
    <n v="34969.88704316035"/>
    <n v="8141.7411568396501"/>
    <n v="43111.628199999999"/>
  </r>
  <r>
    <x v="0"/>
    <x v="0"/>
    <x v="0"/>
    <n v="24"/>
    <n v="7"/>
    <n v="0"/>
    <n v="20260108"/>
    <n v="20260207"/>
    <n v="475522.99449999997"/>
    <n v="31"/>
    <n v="15339.45143548387"/>
    <n v="446504.87613163772"/>
    <n v="107376.16004838709"/>
    <n v="0"/>
    <n v="553881.03618002485"/>
    <n v="383337.43509492109"/>
    <n v="92185.55940507882"/>
    <n v="0"/>
    <n v="475522.99449999991"/>
  </r>
  <r>
    <x v="0"/>
    <x v="0"/>
    <x v="1"/>
    <n v="0"/>
    <n v="20"/>
    <n v="8"/>
    <n v="20260209"/>
    <n v="20260308"/>
    <n v="1563.9629"/>
    <n v="28"/>
    <n v="55.85581785714286"/>
    <n v="0"/>
    <n v="1117.1163571428572"/>
    <n v="329.44567803600467"/>
    <n v="1446.5620351788618"/>
    <n v="0"/>
    <n v="1207.779891263739"/>
    <n v="356.18300873626112"/>
    <n v="1563.9629000000002"/>
  </r>
  <r>
    <x v="0"/>
    <x v="0"/>
    <x v="1"/>
    <n v="0"/>
    <n v="24"/>
    <n v="7"/>
    <n v="20260205"/>
    <n v="20260307"/>
    <n v="6124.3152"/>
    <n v="31"/>
    <n v="197.55855483870968"/>
    <n v="0"/>
    <n v="4741.4053161290321"/>
    <n v="1019.5752694907098"/>
    <n v="5760.9805856197418"/>
    <n v="0"/>
    <n v="5040.4371643627173"/>
    <n v="1083.8780356372831"/>
    <n v="6124.3152000000009"/>
  </r>
  <r>
    <x v="0"/>
    <x v="0"/>
    <x v="1"/>
    <n v="0"/>
    <n v="24"/>
    <n v="2"/>
    <n v="20260205"/>
    <n v="20260302"/>
    <n v="110825.98330000001"/>
    <n v="26"/>
    <n v="4262.5378192307699"/>
    <n v="0"/>
    <n v="102300.90766153848"/>
    <n v="6285.2658679270171"/>
    <n v="108586.17352946551"/>
    <n v="0"/>
    <n v="104411.0710927297"/>
    <n v="6414.9122072703021"/>
    <n v="110825.98330000001"/>
  </r>
  <r>
    <x v="0"/>
    <x v="0"/>
    <x v="0"/>
    <n v="0"/>
    <n v="26"/>
    <n v="7"/>
    <n v="20260203"/>
    <n v="20260307"/>
    <n v="161593.66570000001"/>
    <n v="33"/>
    <n v="4896.7777484848484"/>
    <n v="0"/>
    <n v="127316.22146060606"/>
    <n v="25271.664376283908"/>
    <n v="152587.88583688997"/>
    <n v="0"/>
    <n v="134830.46059688216"/>
    <n v="26763.205103117874"/>
    <n v="161593.66570000004"/>
  </r>
  <r>
    <x v="0"/>
    <x v="0"/>
    <x v="0"/>
    <n v="0"/>
    <n v="20"/>
    <n v="3"/>
    <n v="20260209"/>
    <n v="20260303"/>
    <n v="25933.913700000001"/>
    <n v="23"/>
    <n v="1127.5614652173913"/>
    <n v="0"/>
    <n v="22551.229304347828"/>
    <n v="2493.9451185677426"/>
    <n v="25045.17442291557"/>
    <n v="0"/>
    <n v="23351.469817385474"/>
    <n v="2582.443882614526"/>
    <n v="25933.913700000001"/>
  </r>
  <r>
    <x v="0"/>
    <x v="0"/>
    <x v="0"/>
    <n v="0"/>
    <n v="25"/>
    <n v="9"/>
    <n v="20260204"/>
    <n v="20260309"/>
    <n v="75234.044599999994"/>
    <n v="34"/>
    <n v="2212.7660176470586"/>
    <n v="0"/>
    <n v="55319.150441176462"/>
    <n v="14682.615126030867"/>
    <n v="70001.765567207331"/>
    <n v="0"/>
    <n v="59453.978021880546"/>
    <n v="15780.066578119442"/>
    <n v="75234.044599999994"/>
  </r>
  <r>
    <x v="0"/>
    <x v="0"/>
    <x v="0"/>
    <n v="0"/>
    <n v="22"/>
    <n v="0"/>
    <n v="20260204"/>
    <n v="20260225"/>
    <n v="11889.836600000001"/>
    <n v="22"/>
    <n v="540.44711818181815"/>
    <n v="0"/>
    <n v="11889.836599999999"/>
    <n v="0"/>
    <n v="11889.836599999999"/>
    <n v="0"/>
    <n v="11889.836600000001"/>
    <n v="0"/>
    <n v="11889.836600000001"/>
  </r>
  <r>
    <x v="0"/>
    <x v="0"/>
    <x v="0"/>
    <n v="23"/>
    <n v="1"/>
    <n v="0"/>
    <n v="20260109"/>
    <n v="20260201"/>
    <n v="76767.368400000007"/>
    <n v="24"/>
    <n v="3198.6403500000001"/>
    <n v="89227.429740251784"/>
    <n v="3198.6403500000001"/>
    <n v="0"/>
    <n v="92426.070090251786"/>
    <n v="74110.637437753307"/>
    <n v="2656.7309622466937"/>
    <n v="0"/>
    <n v="76767.368400000007"/>
  </r>
  <r>
    <x v="0"/>
    <x v="0"/>
    <x v="0"/>
    <n v="0"/>
    <n v="10"/>
    <n v="15"/>
    <n v="20260219"/>
    <n v="20260315"/>
    <n v="12214.6757"/>
    <n v="25"/>
    <n v="488.58702799999998"/>
    <n v="0"/>
    <n v="4885.8702800000001"/>
    <n v="5403.2940600767834"/>
    <n v="10289.164340076783"/>
    <n v="0"/>
    <n v="5800.2106886381835"/>
    <n v="6414.4650113618172"/>
    <n v="12214.6757"/>
  </r>
  <r>
    <x v="0"/>
    <x v="0"/>
    <x v="0"/>
    <n v="0"/>
    <n v="13"/>
    <n v="17"/>
    <n v="20260216"/>
    <n v="20260317"/>
    <n v="236645.98120000001"/>
    <n v="30"/>
    <n v="7888.1993733333338"/>
    <n v="0"/>
    <n v="102546.59185333335"/>
    <n v="98867.194910022299"/>
    <n v="201413.78676335566"/>
    <n v="0"/>
    <n v="120484.49730186528"/>
    <n v="116161.4838981347"/>
    <n v="236645.98119999998"/>
  </r>
  <r>
    <x v="0"/>
    <x v="0"/>
    <x v="0"/>
    <n v="15"/>
    <n v="2"/>
    <n v="0"/>
    <n v="20260117"/>
    <n v="20260202"/>
    <n v="13118.3313"/>
    <n v="17"/>
    <n v="771.66654705882354"/>
    <n v="14038.673313163365"/>
    <n v="1543.3330941176471"/>
    <n v="0"/>
    <n v="15582.006407281011"/>
    <n v="11819.01500492846"/>
    <n v="1299.3162950715409"/>
    <n v="0"/>
    <n v="13118.331300000002"/>
  </r>
  <r>
    <x v="0"/>
    <x v="0"/>
    <x v="0"/>
    <n v="0"/>
    <n v="19"/>
    <n v="3"/>
    <n v="20260210"/>
    <n v="20260303"/>
    <n v="19260.366000000002"/>
    <n v="22"/>
    <n v="875.47118181818189"/>
    <n v="0"/>
    <n v="16633.952454545455"/>
    <n v="1936.3707857125441"/>
    <n v="18570.323240258"/>
    <n v="0"/>
    <n v="17252.042851177255"/>
    <n v="2008.3231488227466"/>
    <n v="19260.366000000002"/>
  </r>
  <r>
    <x v="0"/>
    <x v="0"/>
    <x v="0"/>
    <n v="0"/>
    <n v="11"/>
    <n v="0"/>
    <n v="20260203"/>
    <n v="20260213"/>
    <n v="506.05720000000002"/>
    <n v="11"/>
    <n v="46.005200000000002"/>
    <n v="0"/>
    <n v="506.05720000000002"/>
    <n v="0"/>
    <n v="506.05720000000002"/>
    <n v="0"/>
    <n v="506.05720000000002"/>
    <n v="0"/>
    <n v="506.05720000000002"/>
  </r>
  <r>
    <x v="0"/>
    <x v="0"/>
    <x v="1"/>
    <n v="30"/>
    <n v="10"/>
    <n v="0"/>
    <n v="20260102"/>
    <n v="20260210"/>
    <n v="129155.5294"/>
    <n v="40"/>
    <n v="3228.8882349999999"/>
    <n v="117484.18346927832"/>
    <n v="32288.88235"/>
    <n v="0"/>
    <n v="149773.0658192783"/>
    <n v="101311.48634168011"/>
    <n v="27844.043058319905"/>
    <n v="0"/>
    <n v="129155.52940000001"/>
  </r>
  <r>
    <x v="0"/>
    <x v="0"/>
    <x v="0"/>
    <n v="0"/>
    <n v="11"/>
    <n v="16"/>
    <n v="20260218"/>
    <n v="20260316"/>
    <n v="338716.04"/>
    <n v="27"/>
    <n v="12545.038518518517"/>
    <n v="0"/>
    <n v="137995.42370370368"/>
    <n v="147984.89680310394"/>
    <n v="285980.32050680765"/>
    <n v="0"/>
    <n v="163442.23746657415"/>
    <n v="175273.80253342577"/>
    <n v="338716.03999999992"/>
  </r>
  <r>
    <x v="0"/>
    <x v="0"/>
    <x v="0"/>
    <n v="0"/>
    <n v="21"/>
    <n v="0"/>
    <n v="20260203"/>
    <n v="20260223"/>
    <n v="1349.0116"/>
    <n v="21"/>
    <n v="64.238647619047626"/>
    <n v="0"/>
    <n v="1349.0116"/>
    <n v="0"/>
    <n v="1349.0116"/>
    <n v="0"/>
    <n v="1349.0116"/>
    <n v="0"/>
    <n v="1349.0116"/>
  </r>
  <r>
    <x v="0"/>
    <x v="0"/>
    <x v="0"/>
    <n v="0"/>
    <n v="20"/>
    <n v="5"/>
    <n v="20260209"/>
    <n v="20260305"/>
    <n v="7056.3271000000004"/>
    <n v="25"/>
    <n v="282.253084"/>
    <n v="0"/>
    <n v="5645.0616799999998"/>
    <n v="1040.4809002389595"/>
    <n v="6685.5425802389591"/>
    <n v="0"/>
    <n v="5958.1404554201163"/>
    <n v="1098.1866445798848"/>
    <n v="7056.3271000000013"/>
  </r>
  <r>
    <x v="0"/>
    <x v="0"/>
    <x v="1"/>
    <n v="0"/>
    <n v="19"/>
    <n v="0"/>
    <n v="20260201"/>
    <n v="20260219"/>
    <n v="5114026.4467000002"/>
    <n v="19"/>
    <n v="269159.28666842106"/>
    <n v="0"/>
    <n v="5114026.4467000002"/>
    <n v="0"/>
    <n v="5114026.4467000002"/>
    <n v="0"/>
    <n v="5114026.4467000002"/>
    <n v="0"/>
    <n v="5114026.4467000002"/>
  </r>
  <r>
    <x v="0"/>
    <x v="0"/>
    <x v="0"/>
    <n v="0"/>
    <n v="22"/>
    <n v="0"/>
    <n v="20260205"/>
    <n v="20260226"/>
    <n v="3078.0819999999999"/>
    <n v="22"/>
    <n v="139.91281818181818"/>
    <n v="0"/>
    <n v="3078.0819999999999"/>
    <n v="0"/>
    <n v="3078.0819999999999"/>
    <n v="0"/>
    <n v="3078.0819999999999"/>
    <n v="0"/>
    <n v="3078.0819999999999"/>
  </r>
  <r>
    <x v="0"/>
    <x v="0"/>
    <x v="0"/>
    <n v="15"/>
    <n v="3"/>
    <n v="0"/>
    <n v="20260117"/>
    <n v="20260203"/>
    <n v="3196.3921999999998"/>
    <n v="18"/>
    <n v="177.57734444444444"/>
    <n v="3230.6056754389861"/>
    <n v="532.73203333333333"/>
    <n v="0"/>
    <n v="3763.3377087723193"/>
    <n v="2743.916061048255"/>
    <n v="452.47613895174527"/>
    <n v="0"/>
    <n v="3196.3922000000002"/>
  </r>
  <r>
    <x v="0"/>
    <x v="0"/>
    <x v="0"/>
    <n v="0"/>
    <n v="27"/>
    <n v="10"/>
    <n v="20260202"/>
    <n v="20260310"/>
    <n v="13010.411899999999"/>
    <n v="37"/>
    <n v="351.63275405405403"/>
    <n v="0"/>
    <n v="9494.0843594594589"/>
    <n v="2592.4759390169625"/>
    <n v="12086.560298476421"/>
    <n v="0"/>
    <n v="10219.776766884277"/>
    <n v="2790.6351331157234"/>
    <n v="13010.411900000001"/>
  </r>
  <r>
    <x v="0"/>
    <x v="0"/>
    <x v="0"/>
    <n v="0"/>
    <n v="10"/>
    <n v="0"/>
    <n v="20260204"/>
    <n v="20260213"/>
    <n v="5607.7493999999997"/>
    <n v="10"/>
    <n v="560.77494000000002"/>
    <n v="0"/>
    <n v="5607.7494000000006"/>
    <n v="0"/>
    <n v="5607.7494000000006"/>
    <n v="0"/>
    <n v="5607.7493999999997"/>
    <n v="0"/>
    <n v="5607.7493999999997"/>
  </r>
  <r>
    <x v="0"/>
    <x v="0"/>
    <x v="0"/>
    <n v="0"/>
    <n v="12"/>
    <n v="0"/>
    <n v="20260203"/>
    <n v="20260214"/>
    <n v="758.94349999999997"/>
    <n v="12"/>
    <n v="63.245291666666667"/>
    <n v="0"/>
    <n v="758.94349999999997"/>
    <n v="0"/>
    <n v="758.94349999999997"/>
    <n v="0"/>
    <n v="758.94349999999997"/>
    <n v="0"/>
    <n v="758.94349999999997"/>
  </r>
  <r>
    <x v="0"/>
    <x v="0"/>
    <x v="0"/>
    <n v="16"/>
    <n v="2"/>
    <n v="0"/>
    <n v="20260116"/>
    <n v="20260202"/>
    <n v="18414.387599999998"/>
    <n v="18"/>
    <n v="1023.0215333333332"/>
    <n v="19852.25720933521"/>
    <n v="2046.0430666666664"/>
    <n v="0"/>
    <n v="21898.300276001875"/>
    <n v="16693.85999735396"/>
    <n v="1720.5276026460404"/>
    <n v="0"/>
    <n v="18414.387600000002"/>
  </r>
  <r>
    <x v="0"/>
    <x v="0"/>
    <x v="1"/>
    <n v="0"/>
    <n v="15"/>
    <n v="16"/>
    <n v="20260214"/>
    <n v="20260316"/>
    <n v="5574.7168000000001"/>
    <n v="31"/>
    <n v="179.82957419354838"/>
    <n v="0"/>
    <n v="2697.4436129032256"/>
    <n v="2121.3215838193441"/>
    <n v="4818.7651967225702"/>
    <n v="0"/>
    <n v="3120.609453254101"/>
    <n v="2454.1073467458991"/>
    <n v="5574.7168000000001"/>
  </r>
  <r>
    <x v="0"/>
    <x v="0"/>
    <x v="0"/>
    <n v="0"/>
    <n v="22"/>
    <n v="10"/>
    <n v="20260207"/>
    <n v="20260310"/>
    <n v="5704.4832999999999"/>
    <n v="32"/>
    <n v="178.265103125"/>
    <n v="0"/>
    <n v="3921.8322687499999"/>
    <n v="1314.2916445914971"/>
    <n v="5236.1239133414965"/>
    <n v="0"/>
    <n v="4272.6312541004218"/>
    <n v="1431.8520458995786"/>
    <n v="5704.4832999999999"/>
  </r>
  <r>
    <x v="0"/>
    <x v="0"/>
    <x v="0"/>
    <n v="0"/>
    <n v="17"/>
    <n v="4"/>
    <n v="20260212"/>
    <n v="20260304"/>
    <n v="33595.4254"/>
    <n v="21"/>
    <n v="1599.782161904762"/>
    <n v="0"/>
    <n v="27196.296752380953"/>
    <n v="4717.8730816061397"/>
    <n v="31914.169833987093"/>
    <n v="0"/>
    <n v="28629.012236685525"/>
    <n v="4966.4131633144734"/>
    <n v="33595.4254"/>
  </r>
  <r>
    <x v="0"/>
    <x v="0"/>
    <x v="0"/>
    <n v="0"/>
    <n v="9"/>
    <n v="0"/>
    <n v="20260205"/>
    <n v="20260213"/>
    <n v="42.159599999999998"/>
    <n v="9"/>
    <n v="4.6844000000000001"/>
    <n v="0"/>
    <n v="42.159599999999998"/>
    <n v="0"/>
    <n v="42.159599999999998"/>
    <n v="0"/>
    <n v="42.159599999999998"/>
    <n v="0"/>
    <n v="42.159599999999998"/>
  </r>
  <r>
    <x v="0"/>
    <x v="0"/>
    <x v="1"/>
    <n v="31"/>
    <n v="3"/>
    <n v="0"/>
    <n v="20251231"/>
    <n v="20260203"/>
    <n v="16619.846000000001"/>
    <n v="34"/>
    <n v="488.81900000000002"/>
    <n v="18378.705030828711"/>
    <n v="1466.4570000000001"/>
    <n v="0"/>
    <n v="19845.162030828709"/>
    <n v="15391.72352522451"/>
    <n v="1228.1224747754929"/>
    <n v="0"/>
    <n v="16619.846000000001"/>
  </r>
  <r>
    <x v="0"/>
    <x v="0"/>
    <x v="0"/>
    <n v="31"/>
    <n v="4"/>
    <n v="0"/>
    <n v="20251231"/>
    <n v="20260204"/>
    <n v="5167.2740999999996"/>
    <n v="35"/>
    <n v="147.63640285714285"/>
    <n v="5550.8601341683234"/>
    <n v="590.54561142857142"/>
    <n v="0"/>
    <n v="6141.405745596895"/>
    <n v="4670.3990897482645"/>
    <n v="496.87501025173492"/>
    <n v="0"/>
    <n v="5167.2740999999996"/>
  </r>
  <r>
    <x v="0"/>
    <x v="0"/>
    <x v="0"/>
    <n v="31"/>
    <n v="6"/>
    <n v="0"/>
    <n v="20251231"/>
    <n v="20260206"/>
    <n v="42.012300000000003"/>
    <n v="37"/>
    <n v="1.1354675675675676"/>
    <n v="42.691514643246052"/>
    <n v="6.8128054054054061"/>
    <n v="0"/>
    <n v="49.504320048651458"/>
    <n v="36.230549553731414"/>
    <n v="5.7817504462685871"/>
    <n v="0"/>
    <n v="42.012300000000003"/>
  </r>
  <r>
    <x v="0"/>
    <x v="0"/>
    <x v="0"/>
    <n v="31"/>
    <n v="3"/>
    <n v="0"/>
    <n v="20251227"/>
    <n v="20260203"/>
    <n v="77417.805600000007"/>
    <n v="34"/>
    <n v="2276.9942823529414"/>
    <n v="85610.842197721868"/>
    <n v="6830.9828470588236"/>
    <n v="0"/>
    <n v="92441.825044780693"/>
    <n v="71697.021724796825"/>
    <n v="5720.7838752031766"/>
    <n v="0"/>
    <n v="77417.805600000007"/>
  </r>
  <r>
    <x v="0"/>
    <x v="0"/>
    <x v="0"/>
    <n v="31"/>
    <n v="3"/>
    <n v="0"/>
    <n v="20251230"/>
    <n v="20260203"/>
    <n v="33979.984299999996"/>
    <n v="34"/>
    <n v="999.41130294117636"/>
    <n v="37576.046637368992"/>
    <n v="2998.233908823529"/>
    <n v="0"/>
    <n v="40574.280546192524"/>
    <n v="31469.03549750517"/>
    <n v="2510.9488024948232"/>
    <n v="0"/>
    <n v="33979.984299999996"/>
  </r>
  <r>
    <x v="0"/>
    <x v="0"/>
    <x v="0"/>
    <n v="0"/>
    <n v="16"/>
    <n v="2"/>
    <n v="20260213"/>
    <n v="20260302"/>
    <n v="295.62889999999999"/>
    <n v="18"/>
    <n v="16.423827777777777"/>
    <n v="0"/>
    <n v="262.78124444444444"/>
    <n v="24.217526865487649"/>
    <n v="286.99877130993207"/>
    <n v="0"/>
    <n v="270.68314571928545"/>
    <n v="24.945754280714574"/>
    <n v="295.62890000000004"/>
  </r>
  <r>
    <x v="0"/>
    <x v="0"/>
    <x v="0"/>
    <n v="5"/>
    <n v="28"/>
    <n v="1"/>
    <n v="20260127"/>
    <n v="20260301"/>
    <n v="24371.091199999999"/>
    <n v="34"/>
    <n v="716.79679999999996"/>
    <n v="4346.8154068512067"/>
    <n v="20070.310399999998"/>
    <n v="528.47137695218623"/>
    <n v="24945.597183803391"/>
    <n v="4246.7067005602939"/>
    <n v="19608.084006435125"/>
    <n v="516.30049300457824"/>
    <n v="24371.091199999999"/>
  </r>
  <r>
    <x v="0"/>
    <x v="0"/>
    <x v="0"/>
    <n v="13"/>
    <n v="4"/>
    <n v="0"/>
    <n v="20260119"/>
    <n v="20260204"/>
    <n v="2187.9814999999999"/>
    <n v="17"/>
    <n v="128.70479411764705"/>
    <n v="2029.2857797581155"/>
    <n v="514.81917647058822"/>
    <n v="0"/>
    <n v="2544.1049562287035"/>
    <n v="1745.2266399046673"/>
    <n v="442.75486009533273"/>
    <n v="0"/>
    <n v="2187.9814999999999"/>
  </r>
  <r>
    <x v="0"/>
    <x v="0"/>
    <x v="0"/>
    <n v="4"/>
    <n v="28"/>
    <n v="5"/>
    <n v="20260128"/>
    <n v="20260305"/>
    <n v="24896.305700000001"/>
    <n v="37"/>
    <n v="672.87312702702707"/>
    <n v="3264.361978644135"/>
    <n v="18840.447556756757"/>
    <n v="2480.4392817748098"/>
    <n v="24585.2488171757"/>
    <n v="3305.6632593038548"/>
    <n v="19078.820205803338"/>
    <n v="2511.8222348928111"/>
    <n v="24896.305700000004"/>
  </r>
  <r>
    <x v="0"/>
    <x v="0"/>
    <x v="0"/>
    <n v="0"/>
    <n v="16"/>
    <n v="3"/>
    <n v="20260213"/>
    <n v="20260303"/>
    <n v="1225.0923"/>
    <n v="19"/>
    <n v="64.478542105263159"/>
    <n v="0"/>
    <n v="1031.6566736842105"/>
    <n v="142.61390646653811"/>
    <n v="1174.2705801507486"/>
    <n v="0"/>
    <n v="1076.3061499947376"/>
    <n v="148.78615000526261"/>
    <n v="1225.0923000000003"/>
  </r>
  <r>
    <x v="0"/>
    <x v="0"/>
    <x v="0"/>
    <n v="0"/>
    <n v="10"/>
    <n v="6"/>
    <n v="20260219"/>
    <n v="20260306"/>
    <n v="3894.3182999999999"/>
    <n v="16"/>
    <n v="243.39489374999999"/>
    <n v="0"/>
    <n v="2433.9489374999998"/>
    <n v="1076.6836680341787"/>
    <n v="3510.6326055341788"/>
    <n v="0"/>
    <n v="2699.9612188497699"/>
    <n v="1194.3570811502298"/>
    <n v="3894.3182999999999"/>
  </r>
  <r>
    <x v="0"/>
    <x v="0"/>
    <x v="0"/>
    <n v="0"/>
    <n v="9"/>
    <n v="5"/>
    <n v="20260220"/>
    <n v="20260305"/>
    <n v="3047.6561999999999"/>
    <n v="14"/>
    <n v="217.68972857142856"/>
    <n v="0"/>
    <n v="1959.207557142857"/>
    <n v="802.47840536181627"/>
    <n v="2761.6859625046732"/>
    <n v="0"/>
    <n v="2162.081836849391"/>
    <n v="885.57436315060897"/>
    <n v="3047.6561999999999"/>
  </r>
  <r>
    <x v="0"/>
    <x v="0"/>
    <x v="0"/>
    <n v="6"/>
    <n v="28"/>
    <n v="6"/>
    <n v="20260126"/>
    <n v="20260306"/>
    <n v="7004.0671000000002"/>
    <n v="40"/>
    <n v="175.10167749999999"/>
    <n v="1274.2266754357572"/>
    <n v="4902.8469699999996"/>
    <n v="774.58123095747067"/>
    <n v="6951.6548763932269"/>
    <n v="1283.833748086249"/>
    <n v="4939.8121410665408"/>
    <n v="780.42121084721111"/>
    <n v="7004.0671000000011"/>
  </r>
  <r>
    <x v="0"/>
    <x v="0"/>
    <x v="0"/>
    <n v="19"/>
    <n v="4"/>
    <n v="0"/>
    <n v="20260113"/>
    <n v="20260204"/>
    <n v="12193.6073"/>
    <n v="23"/>
    <n v="530.15683913043472"/>
    <n v="12216.958672587405"/>
    <n v="2120.6273565217389"/>
    <n v="0"/>
    <n v="14337.586029109145"/>
    <n v="10390.089109241506"/>
    <n v="1803.5181907584933"/>
    <n v="0"/>
    <n v="12193.6073"/>
  </r>
  <r>
    <x v="0"/>
    <x v="0"/>
    <x v="1"/>
    <n v="0"/>
    <n v="9"/>
    <n v="10"/>
    <n v="20260220"/>
    <n v="20260310"/>
    <n v="42.334499999999998"/>
    <n v="19"/>
    <n v="2.2281315789473681"/>
    <n v="0"/>
    <n v="20.053184210526315"/>
    <n v="16.427302180436136"/>
    <n v="36.480486390962454"/>
    <n v="0"/>
    <n v="23.271113160674304"/>
    <n v="19.063386839325688"/>
    <n v="42.33449999999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2014B-0016-42C5-AEE7-936DBF0ACB9B}" name="피벗 테이블3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G11" firstHeaderRow="0" firstDataRow="1" firstDataCol="3"/>
  <pivotFields count="1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2"/>
  </rowFields>
  <rowItems count="3">
    <i>
      <x/>
      <x/>
      <x/>
    </i>
    <i r="2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1월보정공급량" fld="15" baseField="0" baseItem="0"/>
    <dataField name="합계 : 2월보정공급량" fld="16" baseField="0" baseItem="0"/>
    <dataField name="합계 : 3월보정공급량" fld="17" baseField="0" baseItem="0"/>
    <dataField name="합계 : 보정공급량합계" fld="18" baseField="0" baseItem="0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B528-63DB-4053-8150-846C57FE0092}">
  <dimension ref="A2:G11"/>
  <sheetViews>
    <sheetView tabSelected="1" workbookViewId="0">
      <selection activeCell="E10" sqref="E10"/>
    </sheetView>
  </sheetViews>
  <sheetFormatPr defaultRowHeight="16.5" x14ac:dyDescent="0.3"/>
  <cols>
    <col min="1" max="1" width="22.125" bestFit="1" customWidth="1"/>
    <col min="2" max="2" width="20.625" bestFit="1" customWidth="1"/>
    <col min="3" max="3" width="20.625" customWidth="1"/>
    <col min="4" max="6" width="20.625" bestFit="1" customWidth="1"/>
    <col min="7" max="7" width="21.5" bestFit="1" customWidth="1"/>
  </cols>
  <sheetData>
    <row r="2" spans="1:7" x14ac:dyDescent="0.3">
      <c r="A2" s="1" t="s">
        <v>18</v>
      </c>
      <c r="B2" s="4" t="s">
        <v>26</v>
      </c>
      <c r="C2" s="4" t="s">
        <v>30</v>
      </c>
      <c r="D2" s="4" t="s">
        <v>34</v>
      </c>
    </row>
    <row r="3" spans="1:7" x14ac:dyDescent="0.3">
      <c r="A3" s="1" t="s">
        <v>19</v>
      </c>
      <c r="B3" s="2">
        <v>7667260</v>
      </c>
      <c r="C3" s="2">
        <v>5709938</v>
      </c>
      <c r="D3" s="2">
        <v>4660800</v>
      </c>
    </row>
    <row r="4" spans="1:7" x14ac:dyDescent="0.3">
      <c r="A4" s="1" t="s">
        <v>20</v>
      </c>
      <c r="B4" s="2">
        <v>31</v>
      </c>
      <c r="C4" s="2">
        <v>28</v>
      </c>
      <c r="D4" s="2">
        <v>31</v>
      </c>
    </row>
    <row r="5" spans="1:7" x14ac:dyDescent="0.3">
      <c r="A5" s="1" t="s">
        <v>10</v>
      </c>
      <c r="B5" s="2">
        <f>B3/B4</f>
        <v>247330.96774193548</v>
      </c>
      <c r="C5" s="2">
        <f>C3/C4</f>
        <v>203926.35714285713</v>
      </c>
      <c r="D5" s="2">
        <f>D3/D4</f>
        <v>150348.38709677418</v>
      </c>
    </row>
    <row r="6" spans="1:7" x14ac:dyDescent="0.3">
      <c r="A6" s="1" t="s">
        <v>21</v>
      </c>
      <c r="B6" s="2">
        <f>B5/C5</f>
        <v>1.2128445346997103</v>
      </c>
      <c r="C6" s="2">
        <v>1</v>
      </c>
      <c r="D6" s="2">
        <f>D5/C5</f>
        <v>0.73726804716788119</v>
      </c>
    </row>
    <row r="7" spans="1:7" ht="17.25" thickBot="1" x14ac:dyDescent="0.35"/>
    <row r="8" spans="1:7" x14ac:dyDescent="0.3">
      <c r="A8" s="3" t="s">
        <v>22</v>
      </c>
      <c r="B8" s="3" t="s">
        <v>23</v>
      </c>
      <c r="C8" s="3" t="s">
        <v>25</v>
      </c>
      <c r="D8" t="s">
        <v>29</v>
      </c>
      <c r="E8" s="6" t="s">
        <v>33</v>
      </c>
      <c r="F8" t="s">
        <v>37</v>
      </c>
      <c r="G8" t="s">
        <v>17</v>
      </c>
    </row>
    <row r="9" spans="1:7" x14ac:dyDescent="0.3">
      <c r="A9" t="s">
        <v>13</v>
      </c>
      <c r="B9" t="s">
        <v>24</v>
      </c>
      <c r="C9" t="s">
        <v>14</v>
      </c>
      <c r="D9" s="5">
        <v>41277064.95060882</v>
      </c>
      <c r="E9" s="7">
        <v>66368830.858394288</v>
      </c>
      <c r="F9" s="5">
        <v>20618682.817396939</v>
      </c>
      <c r="G9" s="5">
        <v>128264578.62639996</v>
      </c>
    </row>
    <row r="10" spans="1:7" x14ac:dyDescent="0.3">
      <c r="C10" t="s">
        <v>15</v>
      </c>
      <c r="D10" s="5">
        <v>134249523.7789745</v>
      </c>
      <c r="E10" s="7">
        <v>139080754.83002108</v>
      </c>
      <c r="F10" s="5">
        <v>17626215.067504406</v>
      </c>
      <c r="G10" s="5">
        <v>290956493.67649984</v>
      </c>
    </row>
    <row r="11" spans="1:7" ht="17.25" thickBot="1" x14ac:dyDescent="0.35">
      <c r="A11" t="s">
        <v>16</v>
      </c>
      <c r="D11" s="5">
        <v>175526588.72958332</v>
      </c>
      <c r="E11" s="8">
        <v>205449585.68841538</v>
      </c>
      <c r="F11" s="5">
        <v>38244897.884901345</v>
      </c>
      <c r="G11" s="5">
        <v>419221072.30289984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7CE4-068E-4220-B194-7E4D930DC5D0}">
  <dimension ref="A2:S609"/>
  <sheetViews>
    <sheetView workbookViewId="0">
      <selection activeCell="F2" sqref="F2:I6"/>
    </sheetView>
  </sheetViews>
  <sheetFormatPr defaultRowHeight="16.5" x14ac:dyDescent="0.3"/>
  <cols>
    <col min="1" max="1" width="10.125" customWidth="1"/>
    <col min="2" max="2" width="16.875" bestFit="1" customWidth="1"/>
    <col min="3" max="4" width="12.75" bestFit="1" customWidth="1"/>
    <col min="7" max="7" width="15.25" customWidth="1"/>
    <col min="8" max="8" width="14.25" customWidth="1"/>
    <col min="10" max="10" width="7.125" bestFit="1" customWidth="1"/>
    <col min="11" max="14" width="12.75" bestFit="1" customWidth="1"/>
    <col min="15" max="15" width="13" bestFit="1" customWidth="1"/>
    <col min="16" max="18" width="16.125" bestFit="1" customWidth="1"/>
    <col min="19" max="19" width="15.125" bestFit="1" customWidth="1"/>
  </cols>
  <sheetData>
    <row r="2" spans="1:19" x14ac:dyDescent="0.3">
      <c r="B2" s="4" t="s">
        <v>26</v>
      </c>
      <c r="C2" s="4" t="s">
        <v>30</v>
      </c>
      <c r="D2" s="4" t="s">
        <v>34</v>
      </c>
    </row>
    <row r="3" spans="1:19" x14ac:dyDescent="0.3">
      <c r="A3" t="s">
        <v>19</v>
      </c>
      <c r="B3" s="2">
        <v>7667260</v>
      </c>
      <c r="C3" s="2">
        <v>5709938</v>
      </c>
      <c r="D3" s="2">
        <v>4660800</v>
      </c>
    </row>
    <row r="4" spans="1:19" x14ac:dyDescent="0.3">
      <c r="A4" t="s">
        <v>20</v>
      </c>
      <c r="B4" s="2">
        <v>31</v>
      </c>
      <c r="C4" s="2">
        <v>28</v>
      </c>
      <c r="D4" s="2">
        <v>31</v>
      </c>
    </row>
    <row r="5" spans="1:19" x14ac:dyDescent="0.3">
      <c r="A5" t="s">
        <v>10</v>
      </c>
      <c r="B5">
        <f>B3/B4</f>
        <v>247330.96774193548</v>
      </c>
      <c r="C5">
        <f>C3/C4</f>
        <v>203926.35714285713</v>
      </c>
      <c r="D5">
        <f>D3/D4</f>
        <v>150348.38709677418</v>
      </c>
    </row>
    <row r="6" spans="1:19" x14ac:dyDescent="0.3">
      <c r="A6" t="s">
        <v>21</v>
      </c>
      <c r="B6">
        <f>B5/C5</f>
        <v>1.2128445346997103</v>
      </c>
      <c r="C6">
        <v>1</v>
      </c>
      <c r="D6">
        <f>D5/C5</f>
        <v>0.73726804716788119</v>
      </c>
    </row>
    <row r="9" spans="1:1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27</v>
      </c>
      <c r="M9" t="s">
        <v>31</v>
      </c>
      <c r="N9" t="s">
        <v>35</v>
      </c>
      <c r="O9" t="s">
        <v>11</v>
      </c>
      <c r="P9" t="s">
        <v>28</v>
      </c>
      <c r="Q9" t="s">
        <v>32</v>
      </c>
      <c r="R9" t="s">
        <v>36</v>
      </c>
      <c r="S9" t="s">
        <v>12</v>
      </c>
    </row>
    <row r="10" spans="1:19" x14ac:dyDescent="0.3">
      <c r="A10" t="s">
        <v>13</v>
      </c>
      <c r="B10" t="s">
        <v>24</v>
      </c>
      <c r="C10" t="s">
        <v>15</v>
      </c>
      <c r="D10">
        <v>26</v>
      </c>
      <c r="E10">
        <v>4</v>
      </c>
      <c r="F10">
        <v>0</v>
      </c>
      <c r="G10">
        <v>20260106</v>
      </c>
      <c r="H10">
        <v>20260204</v>
      </c>
      <c r="I10">
        <v>4365275.8152999999</v>
      </c>
      <c r="J10">
        <f>IF(D10&lt;0,0,D10)+E10+F10</f>
        <v>30</v>
      </c>
      <c r="K10">
        <f>I10/J10</f>
        <v>145509.19384333334</v>
      </c>
      <c r="L10">
        <f t="shared" ref="L10" si="0">IF(D10&lt;0,0,D10)*$K10*$B$6</f>
        <v>4588480.7930376371</v>
      </c>
      <c r="M10">
        <f>IF(E10&lt;0,0,E10)*$K10*$C$6</f>
        <v>582036.77537333337</v>
      </c>
      <c r="N10">
        <f>IF(F10&lt;0,0,F10)*$K10*$D$6</f>
        <v>0</v>
      </c>
      <c r="O10">
        <f>L10+M10+N10</f>
        <v>5170517.5684109703</v>
      </c>
      <c r="P10">
        <f>L10/$O10*$I10</f>
        <v>3873883.7978596166</v>
      </c>
      <c r="Q10">
        <f>M10/$O10*$I10</f>
        <v>491392.01744038309</v>
      </c>
      <c r="R10">
        <f>N10/$O10*$I10</f>
        <v>0</v>
      </c>
      <c r="S10">
        <f>P10+Q10+R10</f>
        <v>4365275.8152999999</v>
      </c>
    </row>
    <row r="11" spans="1:19" x14ac:dyDescent="0.3">
      <c r="A11" t="s">
        <v>13</v>
      </c>
      <c r="B11" t="s">
        <v>24</v>
      </c>
      <c r="C11" t="s">
        <v>15</v>
      </c>
      <c r="D11">
        <v>16</v>
      </c>
      <c r="E11">
        <v>19</v>
      </c>
      <c r="F11">
        <v>0</v>
      </c>
      <c r="G11">
        <v>20260116</v>
      </c>
      <c r="H11">
        <v>20260219</v>
      </c>
      <c r="I11">
        <v>7501617.2790000001</v>
      </c>
      <c r="J11">
        <f t="shared" ref="J11:J74" si="1">IF(D11&lt;0,0,D11)+E11+F11</f>
        <v>35</v>
      </c>
      <c r="K11">
        <f t="shared" ref="K11:K74" si="2">I11/J11</f>
        <v>214331.92225714287</v>
      </c>
      <c r="L11">
        <f t="shared" ref="L11:L74" si="3">IF(D11&lt;0,0,D11)*$K11*$B$6</f>
        <v>4159220.8083401429</v>
      </c>
      <c r="M11">
        <f t="shared" ref="M11:M74" si="4">IF(E11&lt;0,0,E11)*$K11*$C$6</f>
        <v>4072306.5228857147</v>
      </c>
      <c r="N11">
        <f t="shared" ref="N11:N74" si="5">IF(F11&lt;0,0,F11)*$K11*$D$6</f>
        <v>0</v>
      </c>
      <c r="O11">
        <f t="shared" ref="O11:O74" si="6">L11+M11+N11</f>
        <v>8231527.3312258571</v>
      </c>
      <c r="P11">
        <f t="shared" ref="P11:P74" si="7">L11/$O11*$I11</f>
        <v>3790412.3290293762</v>
      </c>
      <c r="Q11">
        <f t="shared" ref="Q11:Q74" si="8">M11/$O11*$I11</f>
        <v>3711204.9499706249</v>
      </c>
      <c r="R11">
        <f t="shared" ref="R11:R74" si="9">N11/$O11*$I11</f>
        <v>0</v>
      </c>
      <c r="S11">
        <f t="shared" ref="S11:S74" si="10">P11+Q11+R11</f>
        <v>7501617.279000001</v>
      </c>
    </row>
    <row r="12" spans="1:19" x14ac:dyDescent="0.3">
      <c r="A12" t="s">
        <v>13</v>
      </c>
      <c r="B12" t="s">
        <v>24</v>
      </c>
      <c r="C12" t="s">
        <v>15</v>
      </c>
      <c r="D12">
        <v>29</v>
      </c>
      <c r="E12">
        <v>2</v>
      </c>
      <c r="F12">
        <v>0</v>
      </c>
      <c r="G12">
        <v>20260103</v>
      </c>
      <c r="H12">
        <v>20260202</v>
      </c>
      <c r="I12">
        <v>12584279.218</v>
      </c>
      <c r="J12">
        <f t="shared" si="1"/>
        <v>31</v>
      </c>
      <c r="K12">
        <f t="shared" si="2"/>
        <v>405944.49090322584</v>
      </c>
      <c r="L12">
        <f t="shared" si="3"/>
        <v>14278079.158319578</v>
      </c>
      <c r="M12">
        <f t="shared" si="4"/>
        <v>811888.98180645169</v>
      </c>
      <c r="N12">
        <f t="shared" si="5"/>
        <v>0</v>
      </c>
      <c r="O12">
        <f t="shared" si="6"/>
        <v>15089968.140126029</v>
      </c>
      <c r="P12">
        <f t="shared" si="7"/>
        <v>11907204.386151828</v>
      </c>
      <c r="Q12">
        <f t="shared" si="8"/>
        <v>677074.83184817235</v>
      </c>
      <c r="R12">
        <f t="shared" si="9"/>
        <v>0</v>
      </c>
      <c r="S12">
        <f t="shared" si="10"/>
        <v>12584279.218</v>
      </c>
    </row>
    <row r="13" spans="1:19" x14ac:dyDescent="0.3">
      <c r="A13" t="s">
        <v>13</v>
      </c>
      <c r="B13" t="s">
        <v>24</v>
      </c>
      <c r="C13" t="s">
        <v>15</v>
      </c>
      <c r="D13">
        <v>26</v>
      </c>
      <c r="E13">
        <v>5</v>
      </c>
      <c r="F13">
        <v>0</v>
      </c>
      <c r="G13">
        <v>20260106</v>
      </c>
      <c r="H13">
        <v>20260205</v>
      </c>
      <c r="I13">
        <v>2317318.3429999999</v>
      </c>
      <c r="J13">
        <f t="shared" si="1"/>
        <v>31</v>
      </c>
      <c r="K13">
        <f t="shared" si="2"/>
        <v>74752.204612903224</v>
      </c>
      <c r="L13">
        <f t="shared" si="3"/>
        <v>2357232.8733593677</v>
      </c>
      <c r="M13">
        <f t="shared" si="4"/>
        <v>373761.02306451614</v>
      </c>
      <c r="N13">
        <f t="shared" si="5"/>
        <v>0</v>
      </c>
      <c r="O13">
        <f t="shared" si="6"/>
        <v>2730993.8964238837</v>
      </c>
      <c r="P13">
        <f t="shared" si="7"/>
        <v>2000172.5318065002</v>
      </c>
      <c r="Q13">
        <f t="shared" si="8"/>
        <v>317145.81119349977</v>
      </c>
      <c r="R13">
        <f t="shared" si="9"/>
        <v>0</v>
      </c>
      <c r="S13">
        <f t="shared" si="10"/>
        <v>2317318.3429999999</v>
      </c>
    </row>
    <row r="14" spans="1:19" x14ac:dyDescent="0.3">
      <c r="A14" t="s">
        <v>13</v>
      </c>
      <c r="B14" t="s">
        <v>24</v>
      </c>
      <c r="C14" t="s">
        <v>14</v>
      </c>
      <c r="D14">
        <v>25</v>
      </c>
      <c r="E14">
        <v>3</v>
      </c>
      <c r="F14">
        <v>0</v>
      </c>
      <c r="G14">
        <v>20260107</v>
      </c>
      <c r="H14">
        <v>20260203</v>
      </c>
      <c r="I14">
        <v>723209.55229999998</v>
      </c>
      <c r="J14">
        <f t="shared" si="1"/>
        <v>28</v>
      </c>
      <c r="K14">
        <f t="shared" si="2"/>
        <v>25828.912582142857</v>
      </c>
      <c r="L14">
        <f t="shared" si="3"/>
        <v>783161.38656221365</v>
      </c>
      <c r="M14">
        <f t="shared" si="4"/>
        <v>77486.737746428567</v>
      </c>
      <c r="N14">
        <f t="shared" si="5"/>
        <v>0</v>
      </c>
      <c r="O14">
        <f t="shared" si="6"/>
        <v>860648.12430864223</v>
      </c>
      <c r="P14">
        <f t="shared" si="7"/>
        <v>658096.82233292039</v>
      </c>
      <c r="Q14">
        <f t="shared" si="8"/>
        <v>65112.729967079518</v>
      </c>
      <c r="R14">
        <f t="shared" si="9"/>
        <v>0</v>
      </c>
      <c r="S14">
        <f t="shared" si="10"/>
        <v>723209.55229999986</v>
      </c>
    </row>
    <row r="15" spans="1:19" x14ac:dyDescent="0.3">
      <c r="A15" t="s">
        <v>13</v>
      </c>
      <c r="B15" t="s">
        <v>24</v>
      </c>
      <c r="C15" t="s">
        <v>15</v>
      </c>
      <c r="D15">
        <v>30</v>
      </c>
      <c r="E15">
        <v>3</v>
      </c>
      <c r="F15">
        <v>0</v>
      </c>
      <c r="G15">
        <v>20260102</v>
      </c>
      <c r="H15">
        <v>20260203</v>
      </c>
      <c r="I15">
        <v>4315791.6845000004</v>
      </c>
      <c r="J15">
        <f t="shared" si="1"/>
        <v>33</v>
      </c>
      <c r="K15">
        <f t="shared" si="2"/>
        <v>130781.56619696971</v>
      </c>
      <c r="L15">
        <f t="shared" si="3"/>
        <v>4758531.2340438925</v>
      </c>
      <c r="M15">
        <f t="shared" si="4"/>
        <v>392344.69859090913</v>
      </c>
      <c r="N15">
        <f t="shared" si="5"/>
        <v>0</v>
      </c>
      <c r="O15">
        <f t="shared" si="6"/>
        <v>5150875.9326348016</v>
      </c>
      <c r="P15">
        <f t="shared" si="7"/>
        <v>3987055.7549645845</v>
      </c>
      <c r="Q15">
        <f t="shared" si="8"/>
        <v>328735.92953541607</v>
      </c>
      <c r="R15">
        <f t="shared" si="9"/>
        <v>0</v>
      </c>
      <c r="S15">
        <f t="shared" si="10"/>
        <v>4315791.6845000004</v>
      </c>
    </row>
    <row r="16" spans="1:19" x14ac:dyDescent="0.3">
      <c r="A16" t="s">
        <v>13</v>
      </c>
      <c r="B16" t="s">
        <v>24</v>
      </c>
      <c r="C16" t="s">
        <v>14</v>
      </c>
      <c r="D16">
        <v>0</v>
      </c>
      <c r="E16">
        <v>25</v>
      </c>
      <c r="F16">
        <v>5</v>
      </c>
      <c r="G16">
        <v>20260204</v>
      </c>
      <c r="H16">
        <v>20260305</v>
      </c>
      <c r="I16">
        <v>530332.66319999995</v>
      </c>
      <c r="J16">
        <f t="shared" si="1"/>
        <v>30</v>
      </c>
      <c r="K16">
        <f t="shared" si="2"/>
        <v>17677.755439999997</v>
      </c>
      <c r="L16">
        <f t="shared" si="3"/>
        <v>0</v>
      </c>
      <c r="M16">
        <f t="shared" si="4"/>
        <v>441943.88599999994</v>
      </c>
      <c r="N16">
        <f t="shared" si="5"/>
        <v>65166.22115780093</v>
      </c>
      <c r="O16">
        <f t="shared" si="6"/>
        <v>507110.10715780087</v>
      </c>
      <c r="P16">
        <f t="shared" si="7"/>
        <v>0</v>
      </c>
      <c r="Q16">
        <f t="shared" si="8"/>
        <v>462182.22579106357</v>
      </c>
      <c r="R16">
        <f t="shared" si="9"/>
        <v>68150.437408936428</v>
      </c>
      <c r="S16">
        <f t="shared" si="10"/>
        <v>530332.66319999995</v>
      </c>
    </row>
    <row r="17" spans="1:19" x14ac:dyDescent="0.3">
      <c r="A17" t="s">
        <v>13</v>
      </c>
      <c r="B17" t="s">
        <v>24</v>
      </c>
      <c r="C17" t="s">
        <v>14</v>
      </c>
      <c r="D17">
        <v>0</v>
      </c>
      <c r="E17">
        <v>24</v>
      </c>
      <c r="F17">
        <v>1</v>
      </c>
      <c r="G17">
        <v>20260205</v>
      </c>
      <c r="H17">
        <v>20260301</v>
      </c>
      <c r="I17">
        <v>232582.36960000001</v>
      </c>
      <c r="J17">
        <f t="shared" si="1"/>
        <v>25</v>
      </c>
      <c r="K17">
        <f t="shared" si="2"/>
        <v>9303.2947839999997</v>
      </c>
      <c r="L17">
        <f t="shared" si="3"/>
        <v>0</v>
      </c>
      <c r="M17">
        <f t="shared" si="4"/>
        <v>223279.07481600001</v>
      </c>
      <c r="N17">
        <f t="shared" si="5"/>
        <v>6859.021977626815</v>
      </c>
      <c r="O17">
        <f t="shared" si="6"/>
        <v>230138.09679362681</v>
      </c>
      <c r="P17">
        <f t="shared" si="7"/>
        <v>0</v>
      </c>
      <c r="Q17">
        <f t="shared" si="8"/>
        <v>225650.49866284928</v>
      </c>
      <c r="R17">
        <f t="shared" si="9"/>
        <v>6931.8709371507284</v>
      </c>
      <c r="S17">
        <f t="shared" si="10"/>
        <v>232582.36960000001</v>
      </c>
    </row>
    <row r="18" spans="1:19" x14ac:dyDescent="0.3">
      <c r="A18" t="s">
        <v>13</v>
      </c>
      <c r="B18" t="s">
        <v>24</v>
      </c>
      <c r="C18" t="s">
        <v>14</v>
      </c>
      <c r="D18">
        <v>24</v>
      </c>
      <c r="E18">
        <v>6</v>
      </c>
      <c r="F18">
        <v>0</v>
      </c>
      <c r="G18">
        <v>20260108</v>
      </c>
      <c r="H18">
        <v>20260206</v>
      </c>
      <c r="I18">
        <v>270500.6347</v>
      </c>
      <c r="J18">
        <f t="shared" si="1"/>
        <v>30</v>
      </c>
      <c r="K18">
        <f t="shared" si="2"/>
        <v>9016.6878233333337</v>
      </c>
      <c r="L18">
        <f t="shared" si="3"/>
        <v>262460.17314295826</v>
      </c>
      <c r="M18">
        <f t="shared" si="4"/>
        <v>54100.126940000002</v>
      </c>
      <c r="N18">
        <f t="shared" si="5"/>
        <v>0</v>
      </c>
      <c r="O18">
        <f t="shared" si="6"/>
        <v>316560.30008295825</v>
      </c>
      <c r="P18">
        <f t="shared" si="7"/>
        <v>224272.10044985704</v>
      </c>
      <c r="Q18">
        <f t="shared" si="8"/>
        <v>46228.534250142962</v>
      </c>
      <c r="R18">
        <f t="shared" si="9"/>
        <v>0</v>
      </c>
      <c r="S18">
        <f t="shared" si="10"/>
        <v>270500.6347</v>
      </c>
    </row>
    <row r="19" spans="1:19" x14ac:dyDescent="0.3">
      <c r="A19" t="s">
        <v>13</v>
      </c>
      <c r="B19" t="s">
        <v>24</v>
      </c>
      <c r="C19" t="s">
        <v>14</v>
      </c>
      <c r="D19">
        <v>15</v>
      </c>
      <c r="E19">
        <v>20</v>
      </c>
      <c r="F19">
        <v>0</v>
      </c>
      <c r="G19">
        <v>20260117</v>
      </c>
      <c r="H19">
        <v>20260220</v>
      </c>
      <c r="I19">
        <v>1390145.9997</v>
      </c>
      <c r="J19">
        <f t="shared" si="1"/>
        <v>35</v>
      </c>
      <c r="K19">
        <f t="shared" si="2"/>
        <v>39718.457134285716</v>
      </c>
      <c r="L19">
        <f t="shared" si="3"/>
        <v>722584.70493034727</v>
      </c>
      <c r="M19">
        <f t="shared" si="4"/>
        <v>794369.14268571429</v>
      </c>
      <c r="N19">
        <f t="shared" si="5"/>
        <v>0</v>
      </c>
      <c r="O19">
        <f t="shared" si="6"/>
        <v>1516953.8476160616</v>
      </c>
      <c r="P19">
        <f t="shared" si="7"/>
        <v>662181.14584166568</v>
      </c>
      <c r="Q19">
        <f t="shared" si="8"/>
        <v>727964.85385833436</v>
      </c>
      <c r="R19">
        <f t="shared" si="9"/>
        <v>0</v>
      </c>
      <c r="S19">
        <f t="shared" si="10"/>
        <v>1390145.9997</v>
      </c>
    </row>
    <row r="20" spans="1:19" x14ac:dyDescent="0.3">
      <c r="A20" t="s">
        <v>13</v>
      </c>
      <c r="B20" t="s">
        <v>24</v>
      </c>
      <c r="C20" t="s">
        <v>14</v>
      </c>
      <c r="D20">
        <v>0</v>
      </c>
      <c r="E20">
        <v>23</v>
      </c>
      <c r="F20">
        <v>5</v>
      </c>
      <c r="G20">
        <v>20260206</v>
      </c>
      <c r="H20">
        <v>20260305</v>
      </c>
      <c r="I20">
        <v>526051.86710000003</v>
      </c>
      <c r="J20">
        <f t="shared" si="1"/>
        <v>28</v>
      </c>
      <c r="K20">
        <f t="shared" si="2"/>
        <v>18787.566682142857</v>
      </c>
      <c r="L20">
        <f t="shared" si="3"/>
        <v>0</v>
      </c>
      <c r="M20">
        <f t="shared" si="4"/>
        <v>432114.03368928569</v>
      </c>
      <c r="N20">
        <f t="shared" si="5"/>
        <v>69257.362993899063</v>
      </c>
      <c r="O20">
        <f t="shared" si="6"/>
        <v>501371.39668318478</v>
      </c>
      <c r="P20">
        <f t="shared" si="7"/>
        <v>0</v>
      </c>
      <c r="Q20">
        <f t="shared" si="8"/>
        <v>453385.2463984905</v>
      </c>
      <c r="R20">
        <f t="shared" si="9"/>
        <v>72666.620701509513</v>
      </c>
      <c r="S20">
        <f t="shared" si="10"/>
        <v>526051.86710000003</v>
      </c>
    </row>
    <row r="21" spans="1:19" x14ac:dyDescent="0.3">
      <c r="A21" t="s">
        <v>13</v>
      </c>
      <c r="B21" t="s">
        <v>24</v>
      </c>
      <c r="C21" t="s">
        <v>14</v>
      </c>
      <c r="D21">
        <v>0</v>
      </c>
      <c r="E21">
        <v>28</v>
      </c>
      <c r="F21">
        <v>0</v>
      </c>
      <c r="G21">
        <v>20260201</v>
      </c>
      <c r="H21">
        <v>20260228</v>
      </c>
      <c r="I21">
        <v>1992848.0697000001</v>
      </c>
      <c r="J21">
        <f t="shared" si="1"/>
        <v>28</v>
      </c>
      <c r="K21">
        <f t="shared" si="2"/>
        <v>71173.145346428573</v>
      </c>
      <c r="L21">
        <f t="shared" si="3"/>
        <v>0</v>
      </c>
      <c r="M21">
        <f t="shared" si="4"/>
        <v>1992848.0697000001</v>
      </c>
      <c r="N21">
        <f t="shared" si="5"/>
        <v>0</v>
      </c>
      <c r="O21">
        <f t="shared" si="6"/>
        <v>1992848.0697000001</v>
      </c>
      <c r="P21">
        <f t="shared" si="7"/>
        <v>0</v>
      </c>
      <c r="Q21">
        <f t="shared" si="8"/>
        <v>1992848.0697000001</v>
      </c>
      <c r="R21">
        <f t="shared" si="9"/>
        <v>0</v>
      </c>
      <c r="S21">
        <f t="shared" si="10"/>
        <v>1992848.0697000001</v>
      </c>
    </row>
    <row r="22" spans="1:19" x14ac:dyDescent="0.3">
      <c r="A22" t="s">
        <v>13</v>
      </c>
      <c r="B22" t="s">
        <v>24</v>
      </c>
      <c r="C22" t="s">
        <v>14</v>
      </c>
      <c r="D22">
        <v>16</v>
      </c>
      <c r="E22">
        <v>17</v>
      </c>
      <c r="F22">
        <v>0</v>
      </c>
      <c r="G22">
        <v>20260116</v>
      </c>
      <c r="H22">
        <v>20260217</v>
      </c>
      <c r="I22">
        <v>329032.5759</v>
      </c>
      <c r="J22">
        <f t="shared" si="1"/>
        <v>33</v>
      </c>
      <c r="K22">
        <f t="shared" si="2"/>
        <v>9970.6841181818181</v>
      </c>
      <c r="L22">
        <f t="shared" si="3"/>
        <v>193486.23583926429</v>
      </c>
      <c r="M22">
        <f t="shared" si="4"/>
        <v>169501.63000909091</v>
      </c>
      <c r="N22">
        <f t="shared" si="5"/>
        <v>0</v>
      </c>
      <c r="O22">
        <f t="shared" si="6"/>
        <v>362987.86584835523</v>
      </c>
      <c r="P22">
        <f t="shared" si="7"/>
        <v>175386.78443313178</v>
      </c>
      <c r="Q22">
        <f t="shared" si="8"/>
        <v>153645.79146686822</v>
      </c>
      <c r="R22">
        <f t="shared" si="9"/>
        <v>0</v>
      </c>
      <c r="S22">
        <f t="shared" si="10"/>
        <v>329032.5759</v>
      </c>
    </row>
    <row r="23" spans="1:19" x14ac:dyDescent="0.3">
      <c r="A23" t="s">
        <v>13</v>
      </c>
      <c r="B23" t="s">
        <v>24</v>
      </c>
      <c r="C23" t="s">
        <v>14</v>
      </c>
      <c r="D23">
        <v>0</v>
      </c>
      <c r="E23">
        <v>26</v>
      </c>
      <c r="F23">
        <v>4</v>
      </c>
      <c r="G23">
        <v>20260203</v>
      </c>
      <c r="H23">
        <v>20260304</v>
      </c>
      <c r="I23">
        <v>713443.67339999997</v>
      </c>
      <c r="J23">
        <f t="shared" si="1"/>
        <v>30</v>
      </c>
      <c r="K23">
        <f t="shared" si="2"/>
        <v>23781.45578</v>
      </c>
      <c r="L23">
        <f t="shared" si="3"/>
        <v>0</v>
      </c>
      <c r="M23">
        <f t="shared" si="4"/>
        <v>618317.85028000001</v>
      </c>
      <c r="N23">
        <f t="shared" si="5"/>
        <v>70133.229846919683</v>
      </c>
      <c r="O23">
        <f t="shared" si="6"/>
        <v>688451.08012691967</v>
      </c>
      <c r="P23">
        <f t="shared" si="7"/>
        <v>0</v>
      </c>
      <c r="Q23">
        <f t="shared" si="8"/>
        <v>640764.42199964123</v>
      </c>
      <c r="R23">
        <f t="shared" si="9"/>
        <v>72679.251400358713</v>
      </c>
      <c r="S23">
        <f t="shared" si="10"/>
        <v>713443.67339999997</v>
      </c>
    </row>
    <row r="24" spans="1:19" x14ac:dyDescent="0.3">
      <c r="A24" t="s">
        <v>13</v>
      </c>
      <c r="B24" t="s">
        <v>24</v>
      </c>
      <c r="C24" t="s">
        <v>15</v>
      </c>
      <c r="D24">
        <v>25</v>
      </c>
      <c r="E24">
        <v>1</v>
      </c>
      <c r="F24">
        <v>0</v>
      </c>
      <c r="G24">
        <v>20260107</v>
      </c>
      <c r="H24">
        <v>20260201</v>
      </c>
      <c r="I24">
        <v>779363.17740000004</v>
      </c>
      <c r="J24">
        <f t="shared" si="1"/>
        <v>26</v>
      </c>
      <c r="K24">
        <f t="shared" si="2"/>
        <v>29975.506823076925</v>
      </c>
      <c r="L24">
        <f t="shared" si="3"/>
        <v>908890.74063056801</v>
      </c>
      <c r="M24">
        <f t="shared" si="4"/>
        <v>29975.506823076925</v>
      </c>
      <c r="N24">
        <f t="shared" si="5"/>
        <v>0</v>
      </c>
      <c r="O24">
        <f t="shared" si="6"/>
        <v>938866.24745364487</v>
      </c>
      <c r="P24">
        <f t="shared" si="7"/>
        <v>754480.18016246008</v>
      </c>
      <c r="Q24">
        <f t="shared" si="8"/>
        <v>24882.997237540021</v>
      </c>
      <c r="R24">
        <f t="shared" si="9"/>
        <v>0</v>
      </c>
      <c r="S24">
        <f t="shared" si="10"/>
        <v>779363.17740000004</v>
      </c>
    </row>
    <row r="25" spans="1:19" x14ac:dyDescent="0.3">
      <c r="A25" t="s">
        <v>13</v>
      </c>
      <c r="B25" t="s">
        <v>24</v>
      </c>
      <c r="C25" t="s">
        <v>15</v>
      </c>
      <c r="D25">
        <v>0</v>
      </c>
      <c r="E25">
        <v>23</v>
      </c>
      <c r="F25">
        <v>3</v>
      </c>
      <c r="G25">
        <v>20260206</v>
      </c>
      <c r="H25">
        <v>20260303</v>
      </c>
      <c r="I25">
        <v>1963669.0233</v>
      </c>
      <c r="J25">
        <f t="shared" si="1"/>
        <v>26</v>
      </c>
      <c r="K25">
        <f t="shared" si="2"/>
        <v>75525.731665384621</v>
      </c>
      <c r="L25">
        <f t="shared" si="3"/>
        <v>0</v>
      </c>
      <c r="M25">
        <f t="shared" si="4"/>
        <v>1737091.8283038463</v>
      </c>
      <c r="N25">
        <f t="shared" si="5"/>
        <v>167048.12608759059</v>
      </c>
      <c r="O25">
        <f t="shared" si="6"/>
        <v>1904139.9543914369</v>
      </c>
      <c r="P25">
        <f t="shared" si="7"/>
        <v>0</v>
      </c>
      <c r="Q25">
        <f t="shared" si="8"/>
        <v>1791398.476777409</v>
      </c>
      <c r="R25">
        <f t="shared" si="9"/>
        <v>172270.54652259094</v>
      </c>
      <c r="S25">
        <f t="shared" si="10"/>
        <v>1963669.0233</v>
      </c>
    </row>
    <row r="26" spans="1:19" x14ac:dyDescent="0.3">
      <c r="A26" t="s">
        <v>13</v>
      </c>
      <c r="B26" t="s">
        <v>24</v>
      </c>
      <c r="C26" t="s">
        <v>14</v>
      </c>
      <c r="D26">
        <v>23</v>
      </c>
      <c r="E26">
        <v>4</v>
      </c>
      <c r="F26">
        <v>0</v>
      </c>
      <c r="G26">
        <v>20260109</v>
      </c>
      <c r="H26">
        <v>20260204</v>
      </c>
      <c r="I26">
        <v>48349.414100000002</v>
      </c>
      <c r="J26">
        <f t="shared" si="1"/>
        <v>27</v>
      </c>
      <c r="K26">
        <f t="shared" si="2"/>
        <v>1790.7190407407409</v>
      </c>
      <c r="L26">
        <f t="shared" si="3"/>
        <v>49952.867440137656</v>
      </c>
      <c r="M26">
        <f t="shared" si="4"/>
        <v>7162.8761629629635</v>
      </c>
      <c r="N26">
        <f t="shared" si="5"/>
        <v>0</v>
      </c>
      <c r="O26">
        <f t="shared" si="6"/>
        <v>57115.743603100622</v>
      </c>
      <c r="P26">
        <f t="shared" si="7"/>
        <v>42285.921901479189</v>
      </c>
      <c r="Q26">
        <f t="shared" si="8"/>
        <v>6063.4921985208084</v>
      </c>
      <c r="R26">
        <f t="shared" si="9"/>
        <v>0</v>
      </c>
      <c r="S26">
        <f t="shared" si="10"/>
        <v>48349.414099999995</v>
      </c>
    </row>
    <row r="27" spans="1:19" x14ac:dyDescent="0.3">
      <c r="A27" t="s">
        <v>13</v>
      </c>
      <c r="B27" t="s">
        <v>24</v>
      </c>
      <c r="C27" t="s">
        <v>15</v>
      </c>
      <c r="D27">
        <v>0</v>
      </c>
      <c r="E27">
        <v>9</v>
      </c>
      <c r="F27">
        <v>0</v>
      </c>
      <c r="G27">
        <v>20260220</v>
      </c>
      <c r="H27">
        <v>20260228</v>
      </c>
      <c r="I27">
        <v>3337.9449</v>
      </c>
      <c r="J27">
        <f t="shared" si="1"/>
        <v>9</v>
      </c>
      <c r="K27">
        <f t="shared" si="2"/>
        <v>370.88276666666667</v>
      </c>
      <c r="L27">
        <f t="shared" si="3"/>
        <v>0</v>
      </c>
      <c r="M27">
        <f t="shared" si="4"/>
        <v>3337.9449</v>
      </c>
      <c r="N27">
        <f t="shared" si="5"/>
        <v>0</v>
      </c>
      <c r="O27">
        <f t="shared" si="6"/>
        <v>3337.9449</v>
      </c>
      <c r="P27">
        <f t="shared" si="7"/>
        <v>0</v>
      </c>
      <c r="Q27">
        <f t="shared" si="8"/>
        <v>3337.9449</v>
      </c>
      <c r="R27">
        <f t="shared" si="9"/>
        <v>0</v>
      </c>
      <c r="S27">
        <f t="shared" si="10"/>
        <v>3337.9449</v>
      </c>
    </row>
    <row r="28" spans="1:19" x14ac:dyDescent="0.3">
      <c r="A28" t="s">
        <v>13</v>
      </c>
      <c r="B28" t="s">
        <v>24</v>
      </c>
      <c r="C28" t="s">
        <v>14</v>
      </c>
      <c r="D28">
        <v>26</v>
      </c>
      <c r="E28">
        <v>1</v>
      </c>
      <c r="F28">
        <v>0</v>
      </c>
      <c r="G28">
        <v>20260106</v>
      </c>
      <c r="H28">
        <v>20260201</v>
      </c>
      <c r="I28">
        <v>155752.4234</v>
      </c>
      <c r="J28">
        <f t="shared" si="1"/>
        <v>27</v>
      </c>
      <c r="K28">
        <f t="shared" si="2"/>
        <v>5768.608274074074</v>
      </c>
      <c r="L28">
        <f t="shared" si="3"/>
        <v>181907.05046889102</v>
      </c>
      <c r="M28">
        <f t="shared" si="4"/>
        <v>5768.608274074074</v>
      </c>
      <c r="N28">
        <f t="shared" si="5"/>
        <v>0</v>
      </c>
      <c r="O28">
        <f t="shared" si="6"/>
        <v>187675.65874296508</v>
      </c>
      <c r="P28">
        <f t="shared" si="7"/>
        <v>150965.04327649207</v>
      </c>
      <c r="Q28">
        <f t="shared" si="8"/>
        <v>4787.3801235079309</v>
      </c>
      <c r="R28">
        <f t="shared" si="9"/>
        <v>0</v>
      </c>
      <c r="S28">
        <f t="shared" si="10"/>
        <v>155752.4234</v>
      </c>
    </row>
    <row r="29" spans="1:19" x14ac:dyDescent="0.3">
      <c r="A29" t="s">
        <v>13</v>
      </c>
      <c r="B29" t="s">
        <v>24</v>
      </c>
      <c r="C29" t="s">
        <v>14</v>
      </c>
      <c r="D29">
        <v>26</v>
      </c>
      <c r="E29">
        <v>2</v>
      </c>
      <c r="F29">
        <v>0</v>
      </c>
      <c r="G29">
        <v>20260106</v>
      </c>
      <c r="H29">
        <v>20260202</v>
      </c>
      <c r="I29">
        <v>526601.92059999995</v>
      </c>
      <c r="J29">
        <f t="shared" si="1"/>
        <v>28</v>
      </c>
      <c r="K29">
        <f t="shared" si="2"/>
        <v>18807.211449999999</v>
      </c>
      <c r="L29">
        <f t="shared" si="3"/>
        <v>593065.81412193214</v>
      </c>
      <c r="M29">
        <f t="shared" si="4"/>
        <v>37614.422899999998</v>
      </c>
      <c r="N29">
        <f t="shared" si="5"/>
        <v>0</v>
      </c>
      <c r="O29">
        <f t="shared" si="6"/>
        <v>630680.23702193215</v>
      </c>
      <c r="P29">
        <f t="shared" si="7"/>
        <v>495194.83634612663</v>
      </c>
      <c r="Q29">
        <f t="shared" si="8"/>
        <v>31407.08425387332</v>
      </c>
      <c r="R29">
        <f t="shared" si="9"/>
        <v>0</v>
      </c>
      <c r="S29">
        <f t="shared" si="10"/>
        <v>526601.92059999995</v>
      </c>
    </row>
    <row r="30" spans="1:19" x14ac:dyDescent="0.3">
      <c r="A30" t="s">
        <v>13</v>
      </c>
      <c r="B30" t="s">
        <v>24</v>
      </c>
      <c r="C30" t="s">
        <v>15</v>
      </c>
      <c r="D30">
        <v>24</v>
      </c>
      <c r="E30">
        <v>4</v>
      </c>
      <c r="F30">
        <v>0</v>
      </c>
      <c r="G30">
        <v>20260108</v>
      </c>
      <c r="H30">
        <v>20260204</v>
      </c>
      <c r="I30">
        <v>904930.84539999999</v>
      </c>
      <c r="J30">
        <f t="shared" si="1"/>
        <v>28</v>
      </c>
      <c r="K30">
        <f t="shared" si="2"/>
        <v>32318.958764285715</v>
      </c>
      <c r="L30">
        <f t="shared" si="3"/>
        <v>940748.94010678155</v>
      </c>
      <c r="M30">
        <f t="shared" si="4"/>
        <v>129275.83505714286</v>
      </c>
      <c r="N30">
        <f t="shared" si="5"/>
        <v>0</v>
      </c>
      <c r="O30">
        <f t="shared" si="6"/>
        <v>1070024.7751639243</v>
      </c>
      <c r="P30">
        <f t="shared" si="7"/>
        <v>795600.95564101823</v>
      </c>
      <c r="Q30">
        <f t="shared" si="8"/>
        <v>109329.88975898191</v>
      </c>
      <c r="R30">
        <f t="shared" si="9"/>
        <v>0</v>
      </c>
      <c r="S30">
        <f t="shared" si="10"/>
        <v>904930.84540000011</v>
      </c>
    </row>
    <row r="31" spans="1:19" x14ac:dyDescent="0.3">
      <c r="A31" t="s">
        <v>13</v>
      </c>
      <c r="B31" t="s">
        <v>24</v>
      </c>
      <c r="C31" t="s">
        <v>14</v>
      </c>
      <c r="D31">
        <v>0</v>
      </c>
      <c r="E31">
        <v>27</v>
      </c>
      <c r="F31">
        <v>5</v>
      </c>
      <c r="G31">
        <v>20260202</v>
      </c>
      <c r="H31">
        <v>20260305</v>
      </c>
      <c r="I31">
        <v>67612.448199999999</v>
      </c>
      <c r="J31">
        <f t="shared" si="1"/>
        <v>32</v>
      </c>
      <c r="K31">
        <f t="shared" si="2"/>
        <v>2112.88900625</v>
      </c>
      <c r="L31">
        <f t="shared" si="3"/>
        <v>0</v>
      </c>
      <c r="M31">
        <f t="shared" si="4"/>
        <v>57048.003168750001</v>
      </c>
      <c r="N31">
        <f t="shared" si="5"/>
        <v>7788.8277576021128</v>
      </c>
      <c r="O31">
        <f t="shared" si="6"/>
        <v>64836.830926352115</v>
      </c>
      <c r="P31">
        <f t="shared" si="7"/>
        <v>0</v>
      </c>
      <c r="Q31">
        <f t="shared" si="8"/>
        <v>59490.186427246445</v>
      </c>
      <c r="R31">
        <f t="shared" si="9"/>
        <v>8122.2617727535508</v>
      </c>
      <c r="S31">
        <f t="shared" si="10"/>
        <v>67612.448199999999</v>
      </c>
    </row>
    <row r="32" spans="1:19" x14ac:dyDescent="0.3">
      <c r="A32" t="s">
        <v>13</v>
      </c>
      <c r="B32" t="s">
        <v>24</v>
      </c>
      <c r="C32" t="s">
        <v>14</v>
      </c>
      <c r="D32">
        <v>25</v>
      </c>
      <c r="E32">
        <v>1</v>
      </c>
      <c r="F32">
        <v>0</v>
      </c>
      <c r="G32">
        <v>20260107</v>
      </c>
      <c r="H32">
        <v>20260201</v>
      </c>
      <c r="I32">
        <v>96484.479699999996</v>
      </c>
      <c r="J32">
        <f t="shared" si="1"/>
        <v>26</v>
      </c>
      <c r="K32">
        <f t="shared" si="2"/>
        <v>3710.9415269230767</v>
      </c>
      <c r="L32">
        <f t="shared" si="3"/>
        <v>112519.87873797129</v>
      </c>
      <c r="M32">
        <f t="shared" si="4"/>
        <v>3710.9415269230767</v>
      </c>
      <c r="N32">
        <f t="shared" si="5"/>
        <v>0</v>
      </c>
      <c r="O32">
        <f t="shared" si="6"/>
        <v>116230.82026489437</v>
      </c>
      <c r="P32">
        <f t="shared" si="7"/>
        <v>93403.986405654388</v>
      </c>
      <c r="Q32">
        <f t="shared" si="8"/>
        <v>3080.4932943456065</v>
      </c>
      <c r="R32">
        <f t="shared" si="9"/>
        <v>0</v>
      </c>
      <c r="S32">
        <f t="shared" si="10"/>
        <v>96484.479699999996</v>
      </c>
    </row>
    <row r="33" spans="1:19" x14ac:dyDescent="0.3">
      <c r="A33" t="s">
        <v>13</v>
      </c>
      <c r="B33" t="s">
        <v>24</v>
      </c>
      <c r="C33" t="s">
        <v>15</v>
      </c>
      <c r="D33">
        <v>0</v>
      </c>
      <c r="E33">
        <v>9</v>
      </c>
      <c r="F33">
        <v>17</v>
      </c>
      <c r="G33">
        <v>20260220</v>
      </c>
      <c r="H33">
        <v>20260317</v>
      </c>
      <c r="I33">
        <v>640634.54630000005</v>
      </c>
      <c r="J33">
        <f t="shared" si="1"/>
        <v>26</v>
      </c>
      <c r="K33">
        <f t="shared" si="2"/>
        <v>24639.790242307696</v>
      </c>
      <c r="L33">
        <f t="shared" si="3"/>
        <v>0</v>
      </c>
      <c r="M33">
        <f t="shared" si="4"/>
        <v>221758.11218076927</v>
      </c>
      <c r="N33">
        <f t="shared" si="5"/>
        <v>308824.21058773098</v>
      </c>
      <c r="O33">
        <f t="shared" si="6"/>
        <v>530582.32276850031</v>
      </c>
      <c r="P33">
        <f t="shared" si="7"/>
        <v>0</v>
      </c>
      <c r="Q33">
        <f t="shared" si="8"/>
        <v>267754.69420841744</v>
      </c>
      <c r="R33">
        <f t="shared" si="9"/>
        <v>372879.85209158261</v>
      </c>
      <c r="S33">
        <f t="shared" si="10"/>
        <v>640634.54630000005</v>
      </c>
    </row>
    <row r="34" spans="1:19" x14ac:dyDescent="0.3">
      <c r="A34" t="s">
        <v>13</v>
      </c>
      <c r="B34" t="s">
        <v>24</v>
      </c>
      <c r="C34" t="s">
        <v>15</v>
      </c>
      <c r="D34">
        <v>0</v>
      </c>
      <c r="E34">
        <v>21</v>
      </c>
      <c r="F34">
        <v>3</v>
      </c>
      <c r="G34">
        <v>20260208</v>
      </c>
      <c r="H34">
        <v>20260303</v>
      </c>
      <c r="I34">
        <v>28000.2824</v>
      </c>
      <c r="J34">
        <f t="shared" si="1"/>
        <v>24</v>
      </c>
      <c r="K34">
        <f t="shared" si="2"/>
        <v>1166.6784333333333</v>
      </c>
      <c r="L34">
        <f t="shared" si="3"/>
        <v>0</v>
      </c>
      <c r="M34">
        <f t="shared" si="4"/>
        <v>24500.247099999997</v>
      </c>
      <c r="N34">
        <f t="shared" si="5"/>
        <v>2580.464190649649</v>
      </c>
      <c r="O34">
        <f t="shared" si="6"/>
        <v>27080.711290649648</v>
      </c>
      <c r="P34">
        <f t="shared" si="7"/>
        <v>0</v>
      </c>
      <c r="Q34">
        <f t="shared" si="8"/>
        <v>25332.194206680455</v>
      </c>
      <c r="R34">
        <f t="shared" si="9"/>
        <v>2668.0881933195446</v>
      </c>
      <c r="S34">
        <f t="shared" si="10"/>
        <v>28000.2824</v>
      </c>
    </row>
    <row r="35" spans="1:19" x14ac:dyDescent="0.3">
      <c r="A35" t="s">
        <v>13</v>
      </c>
      <c r="B35" t="s">
        <v>24</v>
      </c>
      <c r="C35" t="s">
        <v>15</v>
      </c>
      <c r="D35">
        <v>0</v>
      </c>
      <c r="E35">
        <v>27</v>
      </c>
      <c r="F35">
        <v>7</v>
      </c>
      <c r="G35">
        <v>20260202</v>
      </c>
      <c r="H35">
        <v>20260307</v>
      </c>
      <c r="I35">
        <v>305751.1544</v>
      </c>
      <c r="J35">
        <f t="shared" si="1"/>
        <v>34</v>
      </c>
      <c r="K35">
        <f t="shared" si="2"/>
        <v>8992.6810117647055</v>
      </c>
      <c r="L35">
        <f t="shared" si="3"/>
        <v>0</v>
      </c>
      <c r="M35">
        <f t="shared" si="4"/>
        <v>242802.38731764705</v>
      </c>
      <c r="N35">
        <f t="shared" si="5"/>
        <v>46410.114578432156</v>
      </c>
      <c r="O35">
        <f t="shared" si="6"/>
        <v>289212.50189607922</v>
      </c>
      <c r="P35">
        <f t="shared" si="7"/>
        <v>0</v>
      </c>
      <c r="Q35">
        <f t="shared" si="8"/>
        <v>256687.07170937455</v>
      </c>
      <c r="R35">
        <f t="shared" si="9"/>
        <v>49064.082690625452</v>
      </c>
      <c r="S35">
        <f t="shared" si="10"/>
        <v>305751.1544</v>
      </c>
    </row>
    <row r="36" spans="1:19" x14ac:dyDescent="0.3">
      <c r="A36" t="s">
        <v>13</v>
      </c>
      <c r="B36" t="s">
        <v>24</v>
      </c>
      <c r="C36" t="s">
        <v>14</v>
      </c>
      <c r="D36">
        <v>30</v>
      </c>
      <c r="E36">
        <v>8</v>
      </c>
      <c r="F36">
        <v>0</v>
      </c>
      <c r="G36">
        <v>20260102</v>
      </c>
      <c r="H36">
        <v>20260208</v>
      </c>
      <c r="I36">
        <v>21472.8478</v>
      </c>
      <c r="J36">
        <f t="shared" si="1"/>
        <v>38</v>
      </c>
      <c r="K36">
        <f t="shared" si="2"/>
        <v>565.07494210526318</v>
      </c>
      <c r="L36">
        <f t="shared" si="3"/>
        <v>20560.441656843712</v>
      </c>
      <c r="M36">
        <f t="shared" si="4"/>
        <v>4520.5995368421054</v>
      </c>
      <c r="N36">
        <f t="shared" si="5"/>
        <v>0</v>
      </c>
      <c r="O36">
        <f t="shared" si="6"/>
        <v>25081.041193685818</v>
      </c>
      <c r="P36">
        <f t="shared" si="7"/>
        <v>17602.587986232837</v>
      </c>
      <c r="Q36">
        <f t="shared" si="8"/>
        <v>3870.259813767163</v>
      </c>
      <c r="R36">
        <f t="shared" si="9"/>
        <v>0</v>
      </c>
      <c r="S36">
        <f t="shared" si="10"/>
        <v>21472.8478</v>
      </c>
    </row>
    <row r="37" spans="1:19" x14ac:dyDescent="0.3">
      <c r="A37" t="s">
        <v>13</v>
      </c>
      <c r="B37" t="s">
        <v>24</v>
      </c>
      <c r="C37" t="s">
        <v>15</v>
      </c>
      <c r="D37">
        <v>16</v>
      </c>
      <c r="E37">
        <v>16</v>
      </c>
      <c r="F37">
        <v>0</v>
      </c>
      <c r="G37">
        <v>20260116</v>
      </c>
      <c r="H37">
        <v>20260216</v>
      </c>
      <c r="I37">
        <v>441686.31459999998</v>
      </c>
      <c r="J37">
        <f t="shared" si="1"/>
        <v>32</v>
      </c>
      <c r="K37">
        <f t="shared" si="2"/>
        <v>13802.697331249999</v>
      </c>
      <c r="L37">
        <f t="shared" si="3"/>
        <v>267848.41635713342</v>
      </c>
      <c r="M37">
        <f t="shared" si="4"/>
        <v>220843.15729999999</v>
      </c>
      <c r="N37">
        <f t="shared" si="5"/>
        <v>0</v>
      </c>
      <c r="O37">
        <f t="shared" si="6"/>
        <v>488691.57365713338</v>
      </c>
      <c r="P37">
        <f t="shared" si="7"/>
        <v>242085.16428243456</v>
      </c>
      <c r="Q37">
        <f t="shared" si="8"/>
        <v>199601.15031756542</v>
      </c>
      <c r="R37">
        <f t="shared" si="9"/>
        <v>0</v>
      </c>
      <c r="S37">
        <f t="shared" si="10"/>
        <v>441686.31459999998</v>
      </c>
    </row>
    <row r="38" spans="1:19" x14ac:dyDescent="0.3">
      <c r="A38" t="s">
        <v>13</v>
      </c>
      <c r="B38" t="s">
        <v>24</v>
      </c>
      <c r="C38" t="s">
        <v>15</v>
      </c>
      <c r="D38">
        <v>0</v>
      </c>
      <c r="E38">
        <v>25</v>
      </c>
      <c r="F38">
        <v>7</v>
      </c>
      <c r="G38">
        <v>20260204</v>
      </c>
      <c r="H38">
        <v>20260307</v>
      </c>
      <c r="I38">
        <v>399127.0626</v>
      </c>
      <c r="J38">
        <f t="shared" si="1"/>
        <v>32</v>
      </c>
      <c r="K38">
        <f t="shared" si="2"/>
        <v>12472.72070625</v>
      </c>
      <c r="L38">
        <f t="shared" si="3"/>
        <v>0</v>
      </c>
      <c r="M38">
        <f t="shared" si="4"/>
        <v>311818.01765624998</v>
      </c>
      <c r="N38">
        <f t="shared" si="5"/>
        <v>64370.169065771341</v>
      </c>
      <c r="O38">
        <f t="shared" si="6"/>
        <v>376188.18672202132</v>
      </c>
      <c r="P38">
        <f t="shared" si="7"/>
        <v>0</v>
      </c>
      <c r="Q38">
        <f t="shared" si="8"/>
        <v>330831.78538208106</v>
      </c>
      <c r="R38">
        <f t="shared" si="9"/>
        <v>68295.277217918949</v>
      </c>
      <c r="S38">
        <f t="shared" si="10"/>
        <v>399127.0626</v>
      </c>
    </row>
    <row r="39" spans="1:19" x14ac:dyDescent="0.3">
      <c r="A39" t="s">
        <v>13</v>
      </c>
      <c r="B39" t="s">
        <v>24</v>
      </c>
      <c r="C39" t="s">
        <v>15</v>
      </c>
      <c r="D39">
        <v>0</v>
      </c>
      <c r="E39">
        <v>26</v>
      </c>
      <c r="F39">
        <v>9</v>
      </c>
      <c r="G39">
        <v>20260203</v>
      </c>
      <c r="H39">
        <v>20260309</v>
      </c>
      <c r="I39">
        <v>44819.383000000002</v>
      </c>
      <c r="J39">
        <f t="shared" si="1"/>
        <v>35</v>
      </c>
      <c r="K39">
        <f t="shared" si="2"/>
        <v>1280.5538000000001</v>
      </c>
      <c r="L39">
        <f t="shared" si="3"/>
        <v>0</v>
      </c>
      <c r="M39">
        <f t="shared" si="4"/>
        <v>33294.398800000003</v>
      </c>
      <c r="N39">
        <f t="shared" si="5"/>
        <v>8497.0025947746853</v>
      </c>
      <c r="O39">
        <f t="shared" si="6"/>
        <v>41791.401394774686</v>
      </c>
      <c r="P39">
        <f t="shared" si="7"/>
        <v>0</v>
      </c>
      <c r="Q39">
        <f t="shared" si="8"/>
        <v>35706.733006529888</v>
      </c>
      <c r="R39">
        <f t="shared" si="9"/>
        <v>9112.6499934701133</v>
      </c>
      <c r="S39">
        <f t="shared" si="10"/>
        <v>44819.383000000002</v>
      </c>
    </row>
    <row r="40" spans="1:19" x14ac:dyDescent="0.3">
      <c r="A40" t="s">
        <v>13</v>
      </c>
      <c r="B40" t="s">
        <v>24</v>
      </c>
      <c r="C40" t="s">
        <v>15</v>
      </c>
      <c r="D40">
        <v>0</v>
      </c>
      <c r="E40">
        <v>22</v>
      </c>
      <c r="F40">
        <v>9</v>
      </c>
      <c r="G40">
        <v>20260207</v>
      </c>
      <c r="H40">
        <v>20260309</v>
      </c>
      <c r="I40">
        <v>234280.5508</v>
      </c>
      <c r="J40">
        <f t="shared" si="1"/>
        <v>31</v>
      </c>
      <c r="K40">
        <f t="shared" si="2"/>
        <v>7557.4371225806453</v>
      </c>
      <c r="L40">
        <f t="shared" si="3"/>
        <v>0</v>
      </c>
      <c r="M40">
        <f t="shared" si="4"/>
        <v>166263.6166967742</v>
      </c>
      <c r="N40">
        <f t="shared" si="5"/>
        <v>50146.712180631752</v>
      </c>
      <c r="O40">
        <f t="shared" si="6"/>
        <v>216410.32887740596</v>
      </c>
      <c r="P40">
        <f t="shared" si="7"/>
        <v>0</v>
      </c>
      <c r="Q40">
        <f t="shared" si="8"/>
        <v>179992.94164829995</v>
      </c>
      <c r="R40">
        <f t="shared" si="9"/>
        <v>54287.609151700024</v>
      </c>
      <c r="S40">
        <f t="shared" si="10"/>
        <v>234280.55079999997</v>
      </c>
    </row>
    <row r="41" spans="1:19" x14ac:dyDescent="0.3">
      <c r="A41" t="s">
        <v>13</v>
      </c>
      <c r="B41" t="s">
        <v>24</v>
      </c>
      <c r="C41" t="s">
        <v>15</v>
      </c>
      <c r="D41">
        <v>29</v>
      </c>
      <c r="E41">
        <v>6</v>
      </c>
      <c r="F41">
        <v>0</v>
      </c>
      <c r="G41">
        <v>20260103</v>
      </c>
      <c r="H41">
        <v>20260206</v>
      </c>
      <c r="I41">
        <v>149294.4031</v>
      </c>
      <c r="J41">
        <f t="shared" si="1"/>
        <v>35</v>
      </c>
      <c r="K41">
        <f t="shared" si="2"/>
        <v>4265.5543742857144</v>
      </c>
      <c r="L41">
        <f t="shared" si="3"/>
        <v>150030.17499918927</v>
      </c>
      <c r="M41">
        <f t="shared" si="4"/>
        <v>25593.326245714285</v>
      </c>
      <c r="N41">
        <f t="shared" si="5"/>
        <v>0</v>
      </c>
      <c r="O41">
        <f t="shared" si="6"/>
        <v>175623.50124490354</v>
      </c>
      <c r="P41">
        <f t="shared" si="7"/>
        <v>127537.97336187941</v>
      </c>
      <c r="Q41">
        <f t="shared" si="8"/>
        <v>21756.429738120591</v>
      </c>
      <c r="R41">
        <f t="shared" si="9"/>
        <v>0</v>
      </c>
      <c r="S41">
        <f t="shared" si="10"/>
        <v>149294.4031</v>
      </c>
    </row>
    <row r="42" spans="1:19" x14ac:dyDescent="0.3">
      <c r="A42" t="s">
        <v>13</v>
      </c>
      <c r="B42" t="s">
        <v>24</v>
      </c>
      <c r="C42" t="s">
        <v>15</v>
      </c>
      <c r="D42">
        <v>0</v>
      </c>
      <c r="E42">
        <v>20</v>
      </c>
      <c r="F42">
        <v>0</v>
      </c>
      <c r="G42">
        <v>20260204</v>
      </c>
      <c r="H42">
        <v>20260223</v>
      </c>
      <c r="I42">
        <v>12814.107900000001</v>
      </c>
      <c r="J42">
        <f t="shared" si="1"/>
        <v>20</v>
      </c>
      <c r="K42">
        <f t="shared" si="2"/>
        <v>640.70539500000007</v>
      </c>
      <c r="L42">
        <f t="shared" si="3"/>
        <v>0</v>
      </c>
      <c r="M42">
        <f t="shared" si="4"/>
        <v>12814.107900000001</v>
      </c>
      <c r="N42">
        <f t="shared" si="5"/>
        <v>0</v>
      </c>
      <c r="O42">
        <f t="shared" si="6"/>
        <v>12814.107900000001</v>
      </c>
      <c r="P42">
        <f t="shared" si="7"/>
        <v>0</v>
      </c>
      <c r="Q42">
        <f t="shared" si="8"/>
        <v>12814.107900000001</v>
      </c>
      <c r="R42">
        <f t="shared" si="9"/>
        <v>0</v>
      </c>
      <c r="S42">
        <f t="shared" si="10"/>
        <v>12814.107900000001</v>
      </c>
    </row>
    <row r="43" spans="1:19" x14ac:dyDescent="0.3">
      <c r="A43" t="s">
        <v>13</v>
      </c>
      <c r="B43" t="s">
        <v>24</v>
      </c>
      <c r="C43" t="s">
        <v>14</v>
      </c>
      <c r="D43">
        <v>0</v>
      </c>
      <c r="E43">
        <v>26</v>
      </c>
      <c r="F43">
        <v>11</v>
      </c>
      <c r="G43">
        <v>20260203</v>
      </c>
      <c r="H43">
        <v>20260311</v>
      </c>
      <c r="I43">
        <v>253.40209999999999</v>
      </c>
      <c r="J43">
        <f t="shared" si="1"/>
        <v>37</v>
      </c>
      <c r="K43">
        <f t="shared" si="2"/>
        <v>6.8487054054054051</v>
      </c>
      <c r="L43">
        <f t="shared" si="3"/>
        <v>0</v>
      </c>
      <c r="M43">
        <f t="shared" si="4"/>
        <v>178.06634054054052</v>
      </c>
      <c r="N43">
        <f t="shared" si="5"/>
        <v>55.542648258584904</v>
      </c>
      <c r="O43">
        <f t="shared" si="6"/>
        <v>233.60898879912543</v>
      </c>
      <c r="P43">
        <f t="shared" si="7"/>
        <v>0</v>
      </c>
      <c r="Q43">
        <f t="shared" si="8"/>
        <v>193.1534606790654</v>
      </c>
      <c r="R43">
        <f t="shared" si="9"/>
        <v>60.248639320934593</v>
      </c>
      <c r="S43">
        <f t="shared" si="10"/>
        <v>253.40209999999999</v>
      </c>
    </row>
    <row r="44" spans="1:19" x14ac:dyDescent="0.3">
      <c r="A44" t="s">
        <v>13</v>
      </c>
      <c r="B44" t="s">
        <v>24</v>
      </c>
      <c r="C44" t="s">
        <v>14</v>
      </c>
      <c r="D44">
        <v>15</v>
      </c>
      <c r="E44">
        <v>18</v>
      </c>
      <c r="F44">
        <v>0</v>
      </c>
      <c r="G44">
        <v>20260117</v>
      </c>
      <c r="H44">
        <v>20260218</v>
      </c>
      <c r="I44">
        <v>1347.1142</v>
      </c>
      <c r="J44">
        <f t="shared" si="1"/>
        <v>33</v>
      </c>
      <c r="K44">
        <f t="shared" si="2"/>
        <v>40.821642424242427</v>
      </c>
      <c r="L44">
        <f t="shared" si="3"/>
        <v>742.65458867562393</v>
      </c>
      <c r="M44">
        <f t="shared" si="4"/>
        <v>734.78956363636371</v>
      </c>
      <c r="N44">
        <f t="shared" si="5"/>
        <v>0</v>
      </c>
      <c r="O44">
        <f t="shared" si="6"/>
        <v>1477.4441523119876</v>
      </c>
      <c r="P44">
        <f t="shared" si="7"/>
        <v>677.14271333677584</v>
      </c>
      <c r="Q44">
        <f t="shared" si="8"/>
        <v>669.97148666322403</v>
      </c>
      <c r="R44">
        <f t="shared" si="9"/>
        <v>0</v>
      </c>
      <c r="S44">
        <f t="shared" si="10"/>
        <v>1347.1142</v>
      </c>
    </row>
    <row r="45" spans="1:19" x14ac:dyDescent="0.3">
      <c r="A45" t="s">
        <v>13</v>
      </c>
      <c r="B45" t="s">
        <v>24</v>
      </c>
      <c r="C45" t="s">
        <v>15</v>
      </c>
      <c r="D45">
        <v>0</v>
      </c>
      <c r="E45">
        <v>24</v>
      </c>
      <c r="F45">
        <v>0</v>
      </c>
      <c r="G45">
        <v>20260205</v>
      </c>
      <c r="H45">
        <v>20260228</v>
      </c>
      <c r="I45">
        <v>36149.388700000003</v>
      </c>
      <c r="J45">
        <f t="shared" si="1"/>
        <v>24</v>
      </c>
      <c r="K45">
        <f t="shared" si="2"/>
        <v>1506.2245291666668</v>
      </c>
      <c r="L45">
        <f t="shared" si="3"/>
        <v>0</v>
      </c>
      <c r="M45">
        <f t="shared" si="4"/>
        <v>36149.388700000003</v>
      </c>
      <c r="N45">
        <f t="shared" si="5"/>
        <v>0</v>
      </c>
      <c r="O45">
        <f t="shared" si="6"/>
        <v>36149.388700000003</v>
      </c>
      <c r="P45">
        <f t="shared" si="7"/>
        <v>0</v>
      </c>
      <c r="Q45">
        <f t="shared" si="8"/>
        <v>36149.388700000003</v>
      </c>
      <c r="R45">
        <f t="shared" si="9"/>
        <v>0</v>
      </c>
      <c r="S45">
        <f t="shared" si="10"/>
        <v>36149.388700000003</v>
      </c>
    </row>
    <row r="46" spans="1:19" x14ac:dyDescent="0.3">
      <c r="A46" t="s">
        <v>13</v>
      </c>
      <c r="B46" t="s">
        <v>24</v>
      </c>
      <c r="C46" t="s">
        <v>15</v>
      </c>
      <c r="D46">
        <v>0</v>
      </c>
      <c r="E46">
        <v>26</v>
      </c>
      <c r="F46">
        <v>0</v>
      </c>
      <c r="G46">
        <v>20260202</v>
      </c>
      <c r="H46">
        <v>20260227</v>
      </c>
      <c r="I46">
        <v>5061.7579999999998</v>
      </c>
      <c r="J46">
        <f t="shared" si="1"/>
        <v>26</v>
      </c>
      <c r="K46">
        <f t="shared" si="2"/>
        <v>194.68299999999999</v>
      </c>
      <c r="L46">
        <f t="shared" si="3"/>
        <v>0</v>
      </c>
      <c r="M46">
        <f t="shared" si="4"/>
        <v>5061.7579999999998</v>
      </c>
      <c r="N46">
        <f t="shared" si="5"/>
        <v>0</v>
      </c>
      <c r="O46">
        <f t="shared" si="6"/>
        <v>5061.7579999999998</v>
      </c>
      <c r="P46">
        <f t="shared" si="7"/>
        <v>0</v>
      </c>
      <c r="Q46">
        <f t="shared" si="8"/>
        <v>5061.7579999999998</v>
      </c>
      <c r="R46">
        <f t="shared" si="9"/>
        <v>0</v>
      </c>
      <c r="S46">
        <f t="shared" si="10"/>
        <v>5061.7579999999998</v>
      </c>
    </row>
    <row r="47" spans="1:19" x14ac:dyDescent="0.3">
      <c r="A47" t="s">
        <v>13</v>
      </c>
      <c r="B47" t="s">
        <v>24</v>
      </c>
      <c r="C47" t="s">
        <v>15</v>
      </c>
      <c r="D47">
        <v>0</v>
      </c>
      <c r="E47">
        <v>19</v>
      </c>
      <c r="F47">
        <v>4</v>
      </c>
      <c r="G47">
        <v>20260210</v>
      </c>
      <c r="H47">
        <v>20260304</v>
      </c>
      <c r="I47">
        <v>12631.419599999999</v>
      </c>
      <c r="J47">
        <f t="shared" si="1"/>
        <v>23</v>
      </c>
      <c r="K47">
        <f t="shared" si="2"/>
        <v>549.19215652173909</v>
      </c>
      <c r="L47">
        <f t="shared" si="3"/>
        <v>0</v>
      </c>
      <c r="M47">
        <f t="shared" si="4"/>
        <v>10434.650973913043</v>
      </c>
      <c r="N47">
        <f t="shared" si="5"/>
        <v>1619.6073150347997</v>
      </c>
      <c r="O47">
        <f t="shared" si="6"/>
        <v>12054.258288947844</v>
      </c>
      <c r="P47">
        <f t="shared" si="7"/>
        <v>0</v>
      </c>
      <c r="Q47">
        <f t="shared" si="8"/>
        <v>10934.265026649671</v>
      </c>
      <c r="R47">
        <f t="shared" si="9"/>
        <v>1697.154573350329</v>
      </c>
      <c r="S47">
        <f t="shared" si="10"/>
        <v>12631.419600000001</v>
      </c>
    </row>
    <row r="48" spans="1:19" x14ac:dyDescent="0.3">
      <c r="A48" t="s">
        <v>13</v>
      </c>
      <c r="B48" t="s">
        <v>24</v>
      </c>
      <c r="C48" t="s">
        <v>15</v>
      </c>
      <c r="D48">
        <v>22</v>
      </c>
      <c r="E48">
        <v>2</v>
      </c>
      <c r="F48">
        <v>0</v>
      </c>
      <c r="G48">
        <v>20260110</v>
      </c>
      <c r="H48">
        <v>20260202</v>
      </c>
      <c r="I48">
        <v>2017.5407</v>
      </c>
      <c r="J48">
        <f t="shared" si="1"/>
        <v>24</v>
      </c>
      <c r="K48">
        <f t="shared" si="2"/>
        <v>84.064195833333329</v>
      </c>
      <c r="L48">
        <f t="shared" si="3"/>
        <v>2243.0496105684588</v>
      </c>
      <c r="M48">
        <f t="shared" si="4"/>
        <v>168.12839166666666</v>
      </c>
      <c r="N48">
        <f t="shared" si="5"/>
        <v>0</v>
      </c>
      <c r="O48">
        <f t="shared" si="6"/>
        <v>2411.1780022351254</v>
      </c>
      <c r="P48">
        <f t="shared" si="7"/>
        <v>1876.8601394198181</v>
      </c>
      <c r="Q48">
        <f t="shared" si="8"/>
        <v>140.68056058018203</v>
      </c>
      <c r="R48">
        <f t="shared" si="9"/>
        <v>0</v>
      </c>
      <c r="S48">
        <f t="shared" si="10"/>
        <v>2017.5407</v>
      </c>
    </row>
    <row r="49" spans="1:19" x14ac:dyDescent="0.3">
      <c r="A49" t="s">
        <v>13</v>
      </c>
      <c r="B49" t="s">
        <v>24</v>
      </c>
      <c r="C49" t="s">
        <v>15</v>
      </c>
      <c r="D49">
        <v>0</v>
      </c>
      <c r="E49">
        <v>20</v>
      </c>
      <c r="F49">
        <v>6</v>
      </c>
      <c r="G49">
        <v>20260209</v>
      </c>
      <c r="H49">
        <v>20260306</v>
      </c>
      <c r="I49">
        <v>38121.530700000003</v>
      </c>
      <c r="J49">
        <f t="shared" si="1"/>
        <v>26</v>
      </c>
      <c r="K49">
        <f t="shared" si="2"/>
        <v>1466.2127192307694</v>
      </c>
      <c r="L49">
        <f t="shared" si="3"/>
        <v>0</v>
      </c>
      <c r="M49">
        <f t="shared" si="4"/>
        <v>29324.254384615386</v>
      </c>
      <c r="N49">
        <f t="shared" si="5"/>
        <v>6485.95072943987</v>
      </c>
      <c r="O49">
        <f t="shared" si="6"/>
        <v>35810.205114055258</v>
      </c>
      <c r="P49">
        <f t="shared" si="7"/>
        <v>0</v>
      </c>
      <c r="Q49">
        <f t="shared" si="8"/>
        <v>31216.952268697361</v>
      </c>
      <c r="R49">
        <f t="shared" si="9"/>
        <v>6904.5784313026397</v>
      </c>
      <c r="S49">
        <f t="shared" si="10"/>
        <v>38121.530700000003</v>
      </c>
    </row>
    <row r="50" spans="1:19" x14ac:dyDescent="0.3">
      <c r="A50" t="s">
        <v>13</v>
      </c>
      <c r="B50" t="s">
        <v>24</v>
      </c>
      <c r="C50" t="s">
        <v>15</v>
      </c>
      <c r="D50">
        <v>27</v>
      </c>
      <c r="E50">
        <v>8</v>
      </c>
      <c r="F50">
        <v>0</v>
      </c>
      <c r="G50">
        <v>20260105</v>
      </c>
      <c r="H50">
        <v>20260208</v>
      </c>
      <c r="I50">
        <v>2311.6024000000002</v>
      </c>
      <c r="J50">
        <f t="shared" si="1"/>
        <v>35</v>
      </c>
      <c r="K50">
        <f t="shared" si="2"/>
        <v>66.045782857142868</v>
      </c>
      <c r="L50">
        <f t="shared" si="3"/>
        <v>2162.7882030127375</v>
      </c>
      <c r="M50">
        <f t="shared" si="4"/>
        <v>528.36626285714294</v>
      </c>
      <c r="N50">
        <f t="shared" si="5"/>
        <v>0</v>
      </c>
      <c r="O50">
        <f t="shared" si="6"/>
        <v>2691.1544658698804</v>
      </c>
      <c r="P50">
        <f t="shared" si="7"/>
        <v>1857.7552735011468</v>
      </c>
      <c r="Q50">
        <f t="shared" si="8"/>
        <v>453.8471264988537</v>
      </c>
      <c r="R50">
        <f t="shared" si="9"/>
        <v>0</v>
      </c>
      <c r="S50">
        <f t="shared" si="10"/>
        <v>2311.6024000000007</v>
      </c>
    </row>
    <row r="51" spans="1:19" x14ac:dyDescent="0.3">
      <c r="A51" t="s">
        <v>13</v>
      </c>
      <c r="B51" t="s">
        <v>24</v>
      </c>
      <c r="C51" t="s">
        <v>15</v>
      </c>
      <c r="D51">
        <v>0</v>
      </c>
      <c r="E51">
        <v>24</v>
      </c>
      <c r="F51">
        <v>8</v>
      </c>
      <c r="G51">
        <v>20260205</v>
      </c>
      <c r="H51">
        <v>20260308</v>
      </c>
      <c r="I51">
        <v>29821.869900000002</v>
      </c>
      <c r="J51">
        <f t="shared" si="1"/>
        <v>32</v>
      </c>
      <c r="K51">
        <f t="shared" si="2"/>
        <v>931.93343437500005</v>
      </c>
      <c r="L51">
        <f t="shared" si="3"/>
        <v>0</v>
      </c>
      <c r="M51">
        <f t="shared" si="4"/>
        <v>22366.402425</v>
      </c>
      <c r="N51">
        <f t="shared" si="5"/>
        <v>5496.6779460169046</v>
      </c>
      <c r="O51">
        <f t="shared" si="6"/>
        <v>27863.080371016906</v>
      </c>
      <c r="P51">
        <f t="shared" si="7"/>
        <v>0</v>
      </c>
      <c r="Q51">
        <f t="shared" si="8"/>
        <v>23938.77253942153</v>
      </c>
      <c r="R51">
        <f t="shared" si="9"/>
        <v>5883.0973605784702</v>
      </c>
      <c r="S51">
        <f t="shared" si="10"/>
        <v>29821.869900000002</v>
      </c>
    </row>
    <row r="52" spans="1:19" x14ac:dyDescent="0.3">
      <c r="A52" t="s">
        <v>13</v>
      </c>
      <c r="B52" t="s">
        <v>24</v>
      </c>
      <c r="C52" t="s">
        <v>14</v>
      </c>
      <c r="D52">
        <v>0</v>
      </c>
      <c r="E52">
        <v>19</v>
      </c>
      <c r="F52">
        <v>3</v>
      </c>
      <c r="G52">
        <v>20260210</v>
      </c>
      <c r="H52">
        <v>20260303</v>
      </c>
      <c r="I52">
        <v>422.37639999999999</v>
      </c>
      <c r="J52">
        <f t="shared" si="1"/>
        <v>22</v>
      </c>
      <c r="K52">
        <f t="shared" si="2"/>
        <v>19.198927272727271</v>
      </c>
      <c r="L52">
        <f t="shared" si="3"/>
        <v>0</v>
      </c>
      <c r="M52">
        <f t="shared" si="4"/>
        <v>364.77961818181814</v>
      </c>
      <c r="N52">
        <f t="shared" si="5"/>
        <v>42.46426685424543</v>
      </c>
      <c r="O52">
        <f t="shared" si="6"/>
        <v>407.24388503606355</v>
      </c>
      <c r="P52">
        <f t="shared" si="7"/>
        <v>0</v>
      </c>
      <c r="Q52">
        <f t="shared" si="8"/>
        <v>378.33423062292712</v>
      </c>
      <c r="R52">
        <f t="shared" si="9"/>
        <v>44.042169377072888</v>
      </c>
      <c r="S52">
        <f t="shared" si="10"/>
        <v>422.37639999999999</v>
      </c>
    </row>
    <row r="53" spans="1:19" x14ac:dyDescent="0.3">
      <c r="A53" t="s">
        <v>13</v>
      </c>
      <c r="B53" t="s">
        <v>24</v>
      </c>
      <c r="C53" t="s">
        <v>15</v>
      </c>
      <c r="D53">
        <v>16</v>
      </c>
      <c r="E53">
        <v>17</v>
      </c>
      <c r="F53">
        <v>0</v>
      </c>
      <c r="G53">
        <v>20260116</v>
      </c>
      <c r="H53">
        <v>20260217</v>
      </c>
      <c r="I53">
        <v>293705.52140000003</v>
      </c>
      <c r="J53">
        <f t="shared" si="1"/>
        <v>33</v>
      </c>
      <c r="K53">
        <f t="shared" si="2"/>
        <v>8900.1673151515151</v>
      </c>
      <c r="L53">
        <f t="shared" si="3"/>
        <v>172712.30857751216</v>
      </c>
      <c r="M53">
        <f t="shared" si="4"/>
        <v>151302.84435757576</v>
      </c>
      <c r="N53">
        <f t="shared" si="5"/>
        <v>0</v>
      </c>
      <c r="O53">
        <f t="shared" si="6"/>
        <v>324015.15293508791</v>
      </c>
      <c r="P53">
        <f t="shared" si="7"/>
        <v>156556.13073478168</v>
      </c>
      <c r="Q53">
        <f t="shared" si="8"/>
        <v>137149.39066521835</v>
      </c>
      <c r="R53">
        <f t="shared" si="9"/>
        <v>0</v>
      </c>
      <c r="S53">
        <f t="shared" si="10"/>
        <v>293705.52140000003</v>
      </c>
    </row>
    <row r="54" spans="1:19" x14ac:dyDescent="0.3">
      <c r="A54" t="s">
        <v>13</v>
      </c>
      <c r="B54" t="s">
        <v>24</v>
      </c>
      <c r="C54" t="s">
        <v>15</v>
      </c>
      <c r="D54">
        <v>0</v>
      </c>
      <c r="E54">
        <v>20</v>
      </c>
      <c r="F54">
        <v>1</v>
      </c>
      <c r="G54">
        <v>20260209</v>
      </c>
      <c r="H54">
        <v>20260301</v>
      </c>
      <c r="I54">
        <v>6459.4867999999997</v>
      </c>
      <c r="J54">
        <f t="shared" si="1"/>
        <v>21</v>
      </c>
      <c r="K54">
        <f t="shared" si="2"/>
        <v>307.59460952380948</v>
      </c>
      <c r="L54">
        <f t="shared" si="3"/>
        <v>0</v>
      </c>
      <c r="M54">
        <f t="shared" si="4"/>
        <v>6151.8921904761901</v>
      </c>
      <c r="N54">
        <f t="shared" si="5"/>
        <v>226.77967708298596</v>
      </c>
      <c r="O54">
        <f t="shared" si="6"/>
        <v>6378.6718675591765</v>
      </c>
      <c r="P54">
        <f t="shared" si="7"/>
        <v>0</v>
      </c>
      <c r="Q54">
        <f t="shared" si="8"/>
        <v>6229.8339253826452</v>
      </c>
      <c r="R54">
        <f t="shared" si="9"/>
        <v>229.65287461735389</v>
      </c>
      <c r="S54">
        <f t="shared" si="10"/>
        <v>6459.4867999999988</v>
      </c>
    </row>
    <row r="55" spans="1:19" x14ac:dyDescent="0.3">
      <c r="A55" t="s">
        <v>13</v>
      </c>
      <c r="B55" t="s">
        <v>24</v>
      </c>
      <c r="C55" t="s">
        <v>14</v>
      </c>
      <c r="D55">
        <v>0</v>
      </c>
      <c r="E55">
        <v>21</v>
      </c>
      <c r="F55">
        <v>9</v>
      </c>
      <c r="G55">
        <v>20260208</v>
      </c>
      <c r="H55">
        <v>20260309</v>
      </c>
      <c r="I55">
        <v>3592.7197000000001</v>
      </c>
      <c r="J55">
        <f t="shared" si="1"/>
        <v>30</v>
      </c>
      <c r="K55">
        <f t="shared" si="2"/>
        <v>119.75732333333333</v>
      </c>
      <c r="L55">
        <f t="shared" si="3"/>
        <v>0</v>
      </c>
      <c r="M55">
        <f t="shared" si="4"/>
        <v>2514.9037899999998</v>
      </c>
      <c r="N55">
        <f t="shared" si="5"/>
        <v>794.6392311721728</v>
      </c>
      <c r="O55">
        <f t="shared" si="6"/>
        <v>3309.5430211721728</v>
      </c>
      <c r="P55">
        <f t="shared" si="7"/>
        <v>0</v>
      </c>
      <c r="Q55">
        <f t="shared" si="8"/>
        <v>2730.0882122201656</v>
      </c>
      <c r="R55">
        <f t="shared" si="9"/>
        <v>862.6314877798344</v>
      </c>
      <c r="S55">
        <f t="shared" si="10"/>
        <v>3592.7197000000001</v>
      </c>
    </row>
    <row r="56" spans="1:19" x14ac:dyDescent="0.3">
      <c r="A56" t="s">
        <v>13</v>
      </c>
      <c r="B56" t="s">
        <v>24</v>
      </c>
      <c r="C56" t="s">
        <v>14</v>
      </c>
      <c r="D56">
        <v>0</v>
      </c>
      <c r="E56">
        <v>13</v>
      </c>
      <c r="F56">
        <v>0</v>
      </c>
      <c r="G56">
        <v>20260216</v>
      </c>
      <c r="H56">
        <v>20260228</v>
      </c>
      <c r="I56">
        <v>28120.399099999999</v>
      </c>
      <c r="J56">
        <f t="shared" si="1"/>
        <v>13</v>
      </c>
      <c r="K56">
        <f t="shared" si="2"/>
        <v>2163.1076230769231</v>
      </c>
      <c r="L56">
        <f t="shared" si="3"/>
        <v>0</v>
      </c>
      <c r="M56">
        <f t="shared" si="4"/>
        <v>28120.399100000002</v>
      </c>
      <c r="N56">
        <f t="shared" si="5"/>
        <v>0</v>
      </c>
      <c r="O56">
        <f t="shared" si="6"/>
        <v>28120.399100000002</v>
      </c>
      <c r="P56">
        <f t="shared" si="7"/>
        <v>0</v>
      </c>
      <c r="Q56">
        <f t="shared" si="8"/>
        <v>28120.399099999999</v>
      </c>
      <c r="R56">
        <f t="shared" si="9"/>
        <v>0</v>
      </c>
      <c r="S56">
        <f t="shared" si="10"/>
        <v>28120.399099999999</v>
      </c>
    </row>
    <row r="57" spans="1:19" x14ac:dyDescent="0.3">
      <c r="A57" t="s">
        <v>13</v>
      </c>
      <c r="B57" t="s">
        <v>24</v>
      </c>
      <c r="C57" t="s">
        <v>15</v>
      </c>
      <c r="D57">
        <v>0</v>
      </c>
      <c r="E57">
        <v>20</v>
      </c>
      <c r="F57">
        <v>9</v>
      </c>
      <c r="G57">
        <v>20260209</v>
      </c>
      <c r="H57">
        <v>20260309</v>
      </c>
      <c r="I57">
        <v>9891.7021999999997</v>
      </c>
      <c r="J57">
        <f t="shared" si="1"/>
        <v>29</v>
      </c>
      <c r="K57">
        <f t="shared" si="2"/>
        <v>341.09317931034479</v>
      </c>
      <c r="L57">
        <f t="shared" si="3"/>
        <v>0</v>
      </c>
      <c r="M57">
        <f t="shared" si="4"/>
        <v>6821.8635862068959</v>
      </c>
      <c r="N57">
        <f t="shared" si="5"/>
        <v>2263.2939199117964</v>
      </c>
      <c r="O57">
        <f t="shared" si="6"/>
        <v>9085.1575061186923</v>
      </c>
      <c r="P57">
        <f t="shared" si="7"/>
        <v>0</v>
      </c>
      <c r="Q57">
        <f t="shared" si="8"/>
        <v>7427.4819119356125</v>
      </c>
      <c r="R57">
        <f t="shared" si="9"/>
        <v>2464.2202880643881</v>
      </c>
      <c r="S57">
        <f t="shared" si="10"/>
        <v>9891.7021999999997</v>
      </c>
    </row>
    <row r="58" spans="1:19" x14ac:dyDescent="0.3">
      <c r="A58" t="s">
        <v>13</v>
      </c>
      <c r="B58" t="s">
        <v>24</v>
      </c>
      <c r="C58" t="s">
        <v>15</v>
      </c>
      <c r="D58">
        <v>0</v>
      </c>
      <c r="E58">
        <v>24</v>
      </c>
      <c r="F58">
        <v>12</v>
      </c>
      <c r="G58">
        <v>20260205</v>
      </c>
      <c r="H58">
        <v>20260312</v>
      </c>
      <c r="I58">
        <v>1478.0409</v>
      </c>
      <c r="J58">
        <f t="shared" si="1"/>
        <v>36</v>
      </c>
      <c r="K58">
        <f t="shared" si="2"/>
        <v>41.056691666666666</v>
      </c>
      <c r="L58">
        <f t="shared" si="3"/>
        <v>0</v>
      </c>
      <c r="M58">
        <f t="shared" si="4"/>
        <v>985.36059999999998</v>
      </c>
      <c r="N58">
        <f t="shared" si="5"/>
        <v>363.23744265908584</v>
      </c>
      <c r="O58">
        <f t="shared" si="6"/>
        <v>1348.5980426590859</v>
      </c>
      <c r="P58">
        <f t="shared" si="7"/>
        <v>0</v>
      </c>
      <c r="Q58">
        <f t="shared" si="8"/>
        <v>1079.938737844295</v>
      </c>
      <c r="R58">
        <f t="shared" si="9"/>
        <v>398.10216215570489</v>
      </c>
      <c r="S58">
        <f t="shared" si="10"/>
        <v>1478.0409</v>
      </c>
    </row>
    <row r="59" spans="1:19" x14ac:dyDescent="0.3">
      <c r="A59" t="s">
        <v>13</v>
      </c>
      <c r="B59" t="s">
        <v>24</v>
      </c>
      <c r="C59" t="s">
        <v>15</v>
      </c>
      <c r="D59">
        <v>0</v>
      </c>
      <c r="E59">
        <v>10</v>
      </c>
      <c r="F59">
        <v>0</v>
      </c>
      <c r="G59">
        <v>20260205</v>
      </c>
      <c r="H59">
        <v>20260214</v>
      </c>
      <c r="I59">
        <v>42.150700000000001</v>
      </c>
      <c r="J59">
        <f t="shared" si="1"/>
        <v>10</v>
      </c>
      <c r="K59">
        <f t="shared" si="2"/>
        <v>4.2150699999999999</v>
      </c>
      <c r="L59">
        <f t="shared" si="3"/>
        <v>0</v>
      </c>
      <c r="M59">
        <f t="shared" si="4"/>
        <v>42.150700000000001</v>
      </c>
      <c r="N59">
        <f t="shared" si="5"/>
        <v>0</v>
      </c>
      <c r="O59">
        <f t="shared" si="6"/>
        <v>42.150700000000001</v>
      </c>
      <c r="P59">
        <f t="shared" si="7"/>
        <v>0</v>
      </c>
      <c r="Q59">
        <f t="shared" si="8"/>
        <v>42.150700000000001</v>
      </c>
      <c r="R59">
        <f t="shared" si="9"/>
        <v>0</v>
      </c>
      <c r="S59">
        <f t="shared" si="10"/>
        <v>42.150700000000001</v>
      </c>
    </row>
    <row r="60" spans="1:19" x14ac:dyDescent="0.3">
      <c r="A60" t="s">
        <v>13</v>
      </c>
      <c r="B60" t="s">
        <v>24</v>
      </c>
      <c r="C60" t="s">
        <v>15</v>
      </c>
      <c r="D60">
        <v>0</v>
      </c>
      <c r="E60">
        <v>9</v>
      </c>
      <c r="F60">
        <v>0</v>
      </c>
      <c r="G60">
        <v>20260204</v>
      </c>
      <c r="H60">
        <v>20260212</v>
      </c>
      <c r="I60">
        <v>716.61199999999997</v>
      </c>
      <c r="J60">
        <f t="shared" si="1"/>
        <v>9</v>
      </c>
      <c r="K60">
        <f t="shared" si="2"/>
        <v>79.623555555555555</v>
      </c>
      <c r="L60">
        <f t="shared" si="3"/>
        <v>0</v>
      </c>
      <c r="M60">
        <f t="shared" si="4"/>
        <v>716.61199999999997</v>
      </c>
      <c r="N60">
        <f t="shared" si="5"/>
        <v>0</v>
      </c>
      <c r="O60">
        <f t="shared" si="6"/>
        <v>716.61199999999997</v>
      </c>
      <c r="P60">
        <f t="shared" si="7"/>
        <v>0</v>
      </c>
      <c r="Q60">
        <f t="shared" si="8"/>
        <v>716.61199999999997</v>
      </c>
      <c r="R60">
        <f t="shared" si="9"/>
        <v>0</v>
      </c>
      <c r="S60">
        <f t="shared" si="10"/>
        <v>716.61199999999997</v>
      </c>
    </row>
    <row r="61" spans="1:19" x14ac:dyDescent="0.3">
      <c r="A61" t="s">
        <v>13</v>
      </c>
      <c r="B61" t="s">
        <v>24</v>
      </c>
      <c r="C61" t="s">
        <v>15</v>
      </c>
      <c r="D61">
        <v>0</v>
      </c>
      <c r="E61">
        <v>19</v>
      </c>
      <c r="F61">
        <v>1</v>
      </c>
      <c r="G61">
        <v>20260210</v>
      </c>
      <c r="H61">
        <v>20260301</v>
      </c>
      <c r="I61">
        <v>11483.263499999999</v>
      </c>
      <c r="J61">
        <f t="shared" si="1"/>
        <v>20</v>
      </c>
      <c r="K61">
        <f t="shared" si="2"/>
        <v>574.16317499999991</v>
      </c>
      <c r="L61">
        <f t="shared" si="3"/>
        <v>0</v>
      </c>
      <c r="M61">
        <f t="shared" si="4"/>
        <v>10909.100324999998</v>
      </c>
      <c r="N61">
        <f t="shared" si="5"/>
        <v>423.31216278796035</v>
      </c>
      <c r="O61">
        <f t="shared" si="6"/>
        <v>11332.412487787959</v>
      </c>
      <c r="P61">
        <f t="shared" si="7"/>
        <v>0</v>
      </c>
      <c r="Q61">
        <f t="shared" si="8"/>
        <v>11054.31643217244</v>
      </c>
      <c r="R61">
        <f t="shared" si="9"/>
        <v>428.94706782755765</v>
      </c>
      <c r="S61">
        <f t="shared" si="10"/>
        <v>11483.263499999997</v>
      </c>
    </row>
    <row r="62" spans="1:19" x14ac:dyDescent="0.3">
      <c r="A62" t="s">
        <v>13</v>
      </c>
      <c r="B62" t="s">
        <v>24</v>
      </c>
      <c r="C62" t="s">
        <v>14</v>
      </c>
      <c r="D62">
        <v>0</v>
      </c>
      <c r="E62">
        <v>19</v>
      </c>
      <c r="F62">
        <v>1</v>
      </c>
      <c r="G62">
        <v>20260210</v>
      </c>
      <c r="H62">
        <v>20260301</v>
      </c>
      <c r="I62">
        <v>39689.601000000002</v>
      </c>
      <c r="J62">
        <f t="shared" si="1"/>
        <v>20</v>
      </c>
      <c r="K62">
        <f t="shared" si="2"/>
        <v>1984.4800500000001</v>
      </c>
      <c r="L62">
        <f t="shared" si="3"/>
        <v>0</v>
      </c>
      <c r="M62">
        <f t="shared" si="4"/>
        <v>37705.120950000004</v>
      </c>
      <c r="N62">
        <f t="shared" si="5"/>
        <v>1463.0937311071193</v>
      </c>
      <c r="O62">
        <f t="shared" si="6"/>
        <v>39168.214681107122</v>
      </c>
      <c r="P62">
        <f t="shared" si="7"/>
        <v>0</v>
      </c>
      <c r="Q62">
        <f t="shared" si="8"/>
        <v>38207.031347897559</v>
      </c>
      <c r="R62">
        <f t="shared" si="9"/>
        <v>1482.5696521024447</v>
      </c>
      <c r="S62">
        <f t="shared" si="10"/>
        <v>39689.601000000002</v>
      </c>
    </row>
    <row r="63" spans="1:19" x14ac:dyDescent="0.3">
      <c r="A63" t="s">
        <v>13</v>
      </c>
      <c r="B63" t="s">
        <v>24</v>
      </c>
      <c r="C63" t="s">
        <v>15</v>
      </c>
      <c r="D63">
        <v>29</v>
      </c>
      <c r="E63">
        <v>10</v>
      </c>
      <c r="F63">
        <v>0</v>
      </c>
      <c r="G63">
        <v>20260103</v>
      </c>
      <c r="H63">
        <v>20260210</v>
      </c>
      <c r="I63">
        <v>1975.4621999999999</v>
      </c>
      <c r="J63">
        <f t="shared" si="1"/>
        <v>39</v>
      </c>
      <c r="K63">
        <f t="shared" si="2"/>
        <v>50.652876923076924</v>
      </c>
      <c r="L63">
        <f t="shared" si="3"/>
        <v>1781.587883346157</v>
      </c>
      <c r="M63">
        <f t="shared" si="4"/>
        <v>506.52876923076923</v>
      </c>
      <c r="N63">
        <f t="shared" si="5"/>
        <v>0</v>
      </c>
      <c r="O63">
        <f t="shared" si="6"/>
        <v>2288.1166525769263</v>
      </c>
      <c r="P63">
        <f t="shared" si="7"/>
        <v>1538.1468928014015</v>
      </c>
      <c r="Q63">
        <f t="shared" si="8"/>
        <v>437.31530719859859</v>
      </c>
      <c r="R63">
        <f t="shared" si="9"/>
        <v>0</v>
      </c>
      <c r="S63">
        <f t="shared" si="10"/>
        <v>1975.4621999999999</v>
      </c>
    </row>
    <row r="64" spans="1:19" x14ac:dyDescent="0.3">
      <c r="A64" t="s">
        <v>13</v>
      </c>
      <c r="B64" t="s">
        <v>24</v>
      </c>
      <c r="C64" t="s">
        <v>15</v>
      </c>
      <c r="D64">
        <v>31</v>
      </c>
      <c r="E64">
        <v>1</v>
      </c>
      <c r="F64">
        <v>0</v>
      </c>
      <c r="G64">
        <v>20251230</v>
      </c>
      <c r="H64">
        <v>20260201</v>
      </c>
      <c r="I64">
        <v>11672.561</v>
      </c>
      <c r="J64">
        <f t="shared" si="1"/>
        <v>32</v>
      </c>
      <c r="K64">
        <f t="shared" si="2"/>
        <v>364.76753124999999</v>
      </c>
      <c r="L64">
        <f t="shared" si="3"/>
        <v>13714.595508086517</v>
      </c>
      <c r="M64">
        <f t="shared" si="4"/>
        <v>364.76753124999999</v>
      </c>
      <c r="N64">
        <f t="shared" si="5"/>
        <v>0</v>
      </c>
      <c r="O64">
        <f t="shared" si="6"/>
        <v>14079.363039336517</v>
      </c>
      <c r="P64">
        <f t="shared" si="7"/>
        <v>11370.148792328446</v>
      </c>
      <c r="Q64">
        <f t="shared" si="8"/>
        <v>302.41220767155363</v>
      </c>
      <c r="R64">
        <f t="shared" si="9"/>
        <v>0</v>
      </c>
      <c r="S64">
        <f t="shared" si="10"/>
        <v>11672.561</v>
      </c>
    </row>
    <row r="65" spans="1:19" x14ac:dyDescent="0.3">
      <c r="A65" t="s">
        <v>13</v>
      </c>
      <c r="B65" t="s">
        <v>24</v>
      </c>
      <c r="C65" t="s">
        <v>15</v>
      </c>
      <c r="D65">
        <v>31</v>
      </c>
      <c r="E65">
        <v>5</v>
      </c>
      <c r="F65">
        <v>0</v>
      </c>
      <c r="G65">
        <v>20251230</v>
      </c>
      <c r="H65">
        <v>20260205</v>
      </c>
      <c r="I65">
        <v>6091.5020000000004</v>
      </c>
      <c r="J65">
        <f t="shared" si="1"/>
        <v>36</v>
      </c>
      <c r="K65">
        <f t="shared" si="2"/>
        <v>169.20838888888889</v>
      </c>
      <c r="L65">
        <f t="shared" si="3"/>
        <v>6361.9275603661945</v>
      </c>
      <c r="M65">
        <f t="shared" si="4"/>
        <v>846.04194444444443</v>
      </c>
      <c r="N65">
        <f t="shared" si="5"/>
        <v>0</v>
      </c>
      <c r="O65">
        <f t="shared" si="6"/>
        <v>7207.9695048106387</v>
      </c>
      <c r="P65">
        <f t="shared" si="7"/>
        <v>5376.5064394294905</v>
      </c>
      <c r="Q65">
        <f t="shared" si="8"/>
        <v>714.99556057050984</v>
      </c>
      <c r="R65">
        <f t="shared" si="9"/>
        <v>0</v>
      </c>
      <c r="S65">
        <f t="shared" si="10"/>
        <v>6091.5020000000004</v>
      </c>
    </row>
    <row r="66" spans="1:19" x14ac:dyDescent="0.3">
      <c r="A66" t="s">
        <v>13</v>
      </c>
      <c r="B66" t="s">
        <v>24</v>
      </c>
      <c r="C66" t="s">
        <v>14</v>
      </c>
      <c r="D66">
        <v>31</v>
      </c>
      <c r="E66">
        <v>6</v>
      </c>
      <c r="F66">
        <v>0</v>
      </c>
      <c r="G66">
        <v>20251231</v>
      </c>
      <c r="H66">
        <v>20260206</v>
      </c>
      <c r="I66">
        <v>84654.854600000006</v>
      </c>
      <c r="J66">
        <f t="shared" si="1"/>
        <v>37</v>
      </c>
      <c r="K66">
        <f t="shared" si="2"/>
        <v>2287.9690432432435</v>
      </c>
      <c r="L66">
        <f t="shared" si="3"/>
        <v>86023.473239450483</v>
      </c>
      <c r="M66">
        <f t="shared" si="4"/>
        <v>13727.814259459461</v>
      </c>
      <c r="N66">
        <f t="shared" si="5"/>
        <v>0</v>
      </c>
      <c r="O66">
        <f t="shared" si="6"/>
        <v>99751.287498909951</v>
      </c>
      <c r="P66">
        <f t="shared" si="7"/>
        <v>73004.617803577232</v>
      </c>
      <c r="Q66">
        <f t="shared" si="8"/>
        <v>11650.236796422771</v>
      </c>
      <c r="R66">
        <f t="shared" si="9"/>
        <v>0</v>
      </c>
      <c r="S66">
        <f t="shared" si="10"/>
        <v>84654.854600000006</v>
      </c>
    </row>
    <row r="67" spans="1:19" x14ac:dyDescent="0.3">
      <c r="A67" t="s">
        <v>13</v>
      </c>
      <c r="B67" t="s">
        <v>24</v>
      </c>
      <c r="C67" t="s">
        <v>14</v>
      </c>
      <c r="D67">
        <v>0</v>
      </c>
      <c r="E67">
        <v>5</v>
      </c>
      <c r="F67">
        <v>4</v>
      </c>
      <c r="G67">
        <v>20260224</v>
      </c>
      <c r="H67">
        <v>20260304</v>
      </c>
      <c r="I67">
        <v>58696.224099999999</v>
      </c>
      <c r="J67">
        <f t="shared" si="1"/>
        <v>9</v>
      </c>
      <c r="K67">
        <f t="shared" si="2"/>
        <v>6521.8026777777777</v>
      </c>
      <c r="L67">
        <f t="shared" si="3"/>
        <v>0</v>
      </c>
      <c r="M67">
        <f t="shared" si="4"/>
        <v>32609.013388888889</v>
      </c>
      <c r="N67">
        <f t="shared" si="5"/>
        <v>19233.266897037924</v>
      </c>
      <c r="O67">
        <f t="shared" si="6"/>
        <v>51842.280285926812</v>
      </c>
      <c r="P67">
        <f t="shared" si="7"/>
        <v>0</v>
      </c>
      <c r="Q67">
        <f t="shared" si="8"/>
        <v>36920.173013178726</v>
      </c>
      <c r="R67">
        <f t="shared" si="9"/>
        <v>21776.051086821273</v>
      </c>
      <c r="S67">
        <f t="shared" si="10"/>
        <v>58696.224099999999</v>
      </c>
    </row>
    <row r="68" spans="1:19" x14ac:dyDescent="0.3">
      <c r="A68" t="s">
        <v>13</v>
      </c>
      <c r="B68" t="s">
        <v>24</v>
      </c>
      <c r="C68" t="s">
        <v>15</v>
      </c>
      <c r="D68">
        <v>0</v>
      </c>
      <c r="E68">
        <v>2</v>
      </c>
      <c r="F68">
        <v>16</v>
      </c>
      <c r="G68">
        <v>20260227</v>
      </c>
      <c r="H68">
        <v>20260316</v>
      </c>
      <c r="I68">
        <v>1902.4728</v>
      </c>
      <c r="J68">
        <f t="shared" si="1"/>
        <v>18</v>
      </c>
      <c r="K68">
        <f t="shared" si="2"/>
        <v>105.69293333333333</v>
      </c>
      <c r="L68">
        <f t="shared" si="3"/>
        <v>0</v>
      </c>
      <c r="M68">
        <f t="shared" si="4"/>
        <v>211.38586666666666</v>
      </c>
      <c r="N68">
        <f t="shared" si="5"/>
        <v>1246.7843609297875</v>
      </c>
      <c r="O68">
        <f t="shared" si="6"/>
        <v>1458.1702275964542</v>
      </c>
      <c r="P68">
        <f t="shared" si="7"/>
        <v>0</v>
      </c>
      <c r="Q68">
        <f t="shared" si="8"/>
        <v>275.79486539143346</v>
      </c>
      <c r="R68">
        <f t="shared" si="9"/>
        <v>1626.6779346085664</v>
      </c>
      <c r="S68">
        <f t="shared" si="10"/>
        <v>1902.4727999999998</v>
      </c>
    </row>
    <row r="69" spans="1:19" x14ac:dyDescent="0.3">
      <c r="A69" t="s">
        <v>13</v>
      </c>
      <c r="B69" t="s">
        <v>24</v>
      </c>
      <c r="C69" t="s">
        <v>14</v>
      </c>
      <c r="D69">
        <v>20</v>
      </c>
      <c r="E69">
        <v>19</v>
      </c>
      <c r="F69">
        <v>0</v>
      </c>
      <c r="G69">
        <v>20260112</v>
      </c>
      <c r="H69">
        <v>20260219</v>
      </c>
      <c r="I69">
        <v>967.85199999999998</v>
      </c>
      <c r="J69">
        <f t="shared" si="1"/>
        <v>39</v>
      </c>
      <c r="K69">
        <f t="shared" si="2"/>
        <v>24.816717948717947</v>
      </c>
      <c r="L69">
        <f t="shared" si="3"/>
        <v>601.97641466573543</v>
      </c>
      <c r="M69">
        <f t="shared" si="4"/>
        <v>471.51764102564101</v>
      </c>
      <c r="N69">
        <f t="shared" si="5"/>
        <v>0</v>
      </c>
      <c r="O69">
        <f t="shared" si="6"/>
        <v>1073.4940556913764</v>
      </c>
      <c r="P69">
        <f t="shared" si="7"/>
        <v>542.73619290031968</v>
      </c>
      <c r="Q69">
        <f t="shared" si="8"/>
        <v>425.11580709968035</v>
      </c>
      <c r="R69">
        <f t="shared" si="9"/>
        <v>0</v>
      </c>
      <c r="S69">
        <f t="shared" si="10"/>
        <v>967.85200000000009</v>
      </c>
    </row>
    <row r="70" spans="1:19" x14ac:dyDescent="0.3">
      <c r="A70" t="s">
        <v>13</v>
      </c>
      <c r="B70" t="s">
        <v>24</v>
      </c>
      <c r="C70" t="s">
        <v>15</v>
      </c>
      <c r="D70">
        <v>0</v>
      </c>
      <c r="E70">
        <v>4</v>
      </c>
      <c r="F70">
        <v>1</v>
      </c>
      <c r="G70">
        <v>20260225</v>
      </c>
      <c r="H70">
        <v>20260301</v>
      </c>
      <c r="I70">
        <v>5252.9075999999995</v>
      </c>
      <c r="J70">
        <f t="shared" si="1"/>
        <v>5</v>
      </c>
      <c r="K70">
        <f t="shared" si="2"/>
        <v>1050.58152</v>
      </c>
      <c r="L70">
        <f t="shared" si="3"/>
        <v>0</v>
      </c>
      <c r="M70">
        <f t="shared" si="4"/>
        <v>4202.3260799999998</v>
      </c>
      <c r="N70">
        <f t="shared" si="5"/>
        <v>774.56018564106432</v>
      </c>
      <c r="O70">
        <f t="shared" si="6"/>
        <v>4976.8862656410638</v>
      </c>
      <c r="P70">
        <f t="shared" si="7"/>
        <v>0</v>
      </c>
      <c r="Q70">
        <f t="shared" si="8"/>
        <v>4435.3898050082998</v>
      </c>
      <c r="R70">
        <f t="shared" si="9"/>
        <v>817.51779499169982</v>
      </c>
      <c r="S70">
        <f t="shared" si="10"/>
        <v>5252.9075999999995</v>
      </c>
    </row>
    <row r="71" spans="1:19" x14ac:dyDescent="0.3">
      <c r="A71" t="s">
        <v>13</v>
      </c>
      <c r="B71" t="s">
        <v>24</v>
      </c>
      <c r="C71" t="s">
        <v>15</v>
      </c>
      <c r="D71">
        <v>5</v>
      </c>
      <c r="E71">
        <v>28</v>
      </c>
      <c r="F71">
        <v>3</v>
      </c>
      <c r="G71">
        <v>20260127</v>
      </c>
      <c r="H71">
        <v>20260303</v>
      </c>
      <c r="I71">
        <v>187014.43280000001</v>
      </c>
      <c r="J71">
        <f t="shared" si="1"/>
        <v>36</v>
      </c>
      <c r="K71">
        <f t="shared" si="2"/>
        <v>5194.8453555555561</v>
      </c>
      <c r="L71">
        <f t="shared" si="3"/>
        <v>31502.69899047865</v>
      </c>
      <c r="M71">
        <f t="shared" si="4"/>
        <v>145455.66995555558</v>
      </c>
      <c r="N71">
        <f t="shared" si="5"/>
        <v>11489.980471888746</v>
      </c>
      <c r="O71">
        <f t="shared" si="6"/>
        <v>188448.34941792296</v>
      </c>
      <c r="P71">
        <f t="shared" si="7"/>
        <v>31262.992759400484</v>
      </c>
      <c r="Q71">
        <f t="shared" si="8"/>
        <v>144348.88763050674</v>
      </c>
      <c r="R71">
        <f t="shared" si="9"/>
        <v>11402.552410092814</v>
      </c>
      <c r="S71">
        <f t="shared" si="10"/>
        <v>187014.43280000004</v>
      </c>
    </row>
    <row r="72" spans="1:19" x14ac:dyDescent="0.3">
      <c r="A72" t="s">
        <v>13</v>
      </c>
      <c r="B72" t="s">
        <v>24</v>
      </c>
      <c r="C72" t="s">
        <v>15</v>
      </c>
      <c r="D72">
        <v>17</v>
      </c>
      <c r="E72">
        <v>2</v>
      </c>
      <c r="F72">
        <v>0</v>
      </c>
      <c r="G72">
        <v>20260115</v>
      </c>
      <c r="H72">
        <v>20260202</v>
      </c>
      <c r="I72">
        <v>4119.9204</v>
      </c>
      <c r="J72">
        <f t="shared" si="1"/>
        <v>19</v>
      </c>
      <c r="K72">
        <f t="shared" si="2"/>
        <v>216.83791578947367</v>
      </c>
      <c r="L72">
        <f t="shared" si="3"/>
        <v>4470.8415783759656</v>
      </c>
      <c r="M72">
        <f t="shared" si="4"/>
        <v>433.67583157894734</v>
      </c>
      <c r="N72">
        <f t="shared" si="5"/>
        <v>0</v>
      </c>
      <c r="O72">
        <f t="shared" si="6"/>
        <v>4904.5174099549131</v>
      </c>
      <c r="P72">
        <f t="shared" si="7"/>
        <v>3755.6215799198617</v>
      </c>
      <c r="Q72">
        <f t="shared" si="8"/>
        <v>364.298820080138</v>
      </c>
      <c r="R72">
        <f t="shared" si="9"/>
        <v>0</v>
      </c>
      <c r="S72">
        <f t="shared" si="10"/>
        <v>4119.9204</v>
      </c>
    </row>
    <row r="73" spans="1:19" x14ac:dyDescent="0.3">
      <c r="A73" t="s">
        <v>13</v>
      </c>
      <c r="B73" t="s">
        <v>24</v>
      </c>
      <c r="C73" t="s">
        <v>15</v>
      </c>
      <c r="D73">
        <v>17</v>
      </c>
      <c r="E73">
        <v>3</v>
      </c>
      <c r="F73">
        <v>0</v>
      </c>
      <c r="G73">
        <v>20260115</v>
      </c>
      <c r="H73">
        <v>20260203</v>
      </c>
      <c r="I73">
        <v>53698.966800000002</v>
      </c>
      <c r="J73">
        <f t="shared" si="1"/>
        <v>20</v>
      </c>
      <c r="K73">
        <f t="shared" si="2"/>
        <v>2684.9483399999999</v>
      </c>
      <c r="L73">
        <f t="shared" si="3"/>
        <v>55359.223642041012</v>
      </c>
      <c r="M73">
        <f t="shared" si="4"/>
        <v>8054.8450199999997</v>
      </c>
      <c r="N73">
        <f t="shared" si="5"/>
        <v>0</v>
      </c>
      <c r="O73">
        <f t="shared" si="6"/>
        <v>63414.068662041012</v>
      </c>
      <c r="P73">
        <f t="shared" si="7"/>
        <v>46878.132489347467</v>
      </c>
      <c r="Q73">
        <f t="shared" si="8"/>
        <v>6820.8343106525408</v>
      </c>
      <c r="R73">
        <f t="shared" si="9"/>
        <v>0</v>
      </c>
      <c r="S73">
        <f t="shared" si="10"/>
        <v>53698.966800000009</v>
      </c>
    </row>
    <row r="74" spans="1:19" x14ac:dyDescent="0.3">
      <c r="A74" t="s">
        <v>13</v>
      </c>
      <c r="B74" t="s">
        <v>24</v>
      </c>
      <c r="C74" t="s">
        <v>15</v>
      </c>
      <c r="D74">
        <v>12</v>
      </c>
      <c r="E74">
        <v>1</v>
      </c>
      <c r="F74">
        <v>0</v>
      </c>
      <c r="G74">
        <v>20260120</v>
      </c>
      <c r="H74">
        <v>20260201</v>
      </c>
      <c r="I74">
        <v>4793.3491000000004</v>
      </c>
      <c r="J74">
        <f t="shared" si="1"/>
        <v>13</v>
      </c>
      <c r="K74">
        <f t="shared" si="2"/>
        <v>368.71916153846155</v>
      </c>
      <c r="L74">
        <f t="shared" si="3"/>
        <v>5366.3882389317923</v>
      </c>
      <c r="M74">
        <f t="shared" si="4"/>
        <v>368.71916153846155</v>
      </c>
      <c r="N74">
        <f t="shared" si="5"/>
        <v>0</v>
      </c>
      <c r="O74">
        <f t="shared" si="6"/>
        <v>5735.1074004702541</v>
      </c>
      <c r="P74">
        <f t="shared" si="7"/>
        <v>4485.1770750143442</v>
      </c>
      <c r="Q74">
        <f t="shared" si="8"/>
        <v>308.17202498565598</v>
      </c>
      <c r="R74">
        <f t="shared" si="9"/>
        <v>0</v>
      </c>
      <c r="S74">
        <f t="shared" si="10"/>
        <v>4793.3491000000004</v>
      </c>
    </row>
    <row r="75" spans="1:19" x14ac:dyDescent="0.3">
      <c r="A75" t="s">
        <v>13</v>
      </c>
      <c r="B75" t="s">
        <v>24</v>
      </c>
      <c r="C75" t="s">
        <v>15</v>
      </c>
      <c r="D75">
        <v>12</v>
      </c>
      <c r="E75">
        <v>5</v>
      </c>
      <c r="F75">
        <v>0</v>
      </c>
      <c r="G75">
        <v>20260120</v>
      </c>
      <c r="H75">
        <v>20260205</v>
      </c>
      <c r="I75">
        <v>26469.269100000001</v>
      </c>
      <c r="J75">
        <f t="shared" ref="J75:J138" si="11">IF(D75&lt;0,0,D75)+E75+F75</f>
        <v>17</v>
      </c>
      <c r="K75">
        <f t="shared" ref="K75:K138" si="12">I75/J75</f>
        <v>1557.0158294117648</v>
      </c>
      <c r="L75">
        <f t="shared" ref="L75:L138" si="13">IF(D75&lt;0,0,D75)*$K75*$B$6</f>
        <v>22661.017669715948</v>
      </c>
      <c r="M75">
        <f t="shared" ref="M75:M138" si="14">IF(E75&lt;0,0,E75)*$K75*$C$6</f>
        <v>7785.0791470588238</v>
      </c>
      <c r="N75">
        <f t="shared" ref="N75:N138" si="15">IF(F75&lt;0,0,F75)*$K75*$D$6</f>
        <v>0</v>
      </c>
      <c r="O75">
        <f t="shared" ref="O75:O138" si="16">L75+M75+N75</f>
        <v>30446.096816774771</v>
      </c>
      <c r="P75">
        <f t="shared" ref="P75:P138" si="17">L75/$O75*$I75</f>
        <v>19701.066392493554</v>
      </c>
      <c r="Q75">
        <f t="shared" ref="Q75:Q138" si="18">M75/$O75*$I75</f>
        <v>6768.2027075064498</v>
      </c>
      <c r="R75">
        <f t="shared" ref="R75:R138" si="19">N75/$O75*$I75</f>
        <v>0</v>
      </c>
      <c r="S75">
        <f t="shared" ref="S75:S138" si="20">P75+Q75+R75</f>
        <v>26469.269100000005</v>
      </c>
    </row>
    <row r="76" spans="1:19" x14ac:dyDescent="0.3">
      <c r="A76" t="s">
        <v>13</v>
      </c>
      <c r="B76" t="s">
        <v>24</v>
      </c>
      <c r="C76" t="s">
        <v>15</v>
      </c>
      <c r="D76">
        <v>0</v>
      </c>
      <c r="E76">
        <v>17</v>
      </c>
      <c r="F76">
        <v>5</v>
      </c>
      <c r="G76">
        <v>20260212</v>
      </c>
      <c r="H76">
        <v>20260305</v>
      </c>
      <c r="I76">
        <v>17329.994200000001</v>
      </c>
      <c r="J76">
        <f t="shared" si="11"/>
        <v>22</v>
      </c>
      <c r="K76">
        <f t="shared" si="12"/>
        <v>787.72700909090918</v>
      </c>
      <c r="L76">
        <f t="shared" si="13"/>
        <v>0</v>
      </c>
      <c r="M76">
        <f t="shared" si="14"/>
        <v>13391.359154545456</v>
      </c>
      <c r="N76">
        <f t="shared" si="15"/>
        <v>2903.829768469252</v>
      </c>
      <c r="O76">
        <f t="shared" si="16"/>
        <v>16295.188923014708</v>
      </c>
      <c r="P76">
        <f t="shared" si="17"/>
        <v>0</v>
      </c>
      <c r="Q76">
        <f t="shared" si="18"/>
        <v>14241.760410069241</v>
      </c>
      <c r="R76">
        <f t="shared" si="19"/>
        <v>3088.2337899307618</v>
      </c>
      <c r="S76">
        <f t="shared" si="20"/>
        <v>17329.994200000001</v>
      </c>
    </row>
    <row r="77" spans="1:19" x14ac:dyDescent="0.3">
      <c r="A77" t="s">
        <v>13</v>
      </c>
      <c r="B77" t="s">
        <v>24</v>
      </c>
      <c r="C77" t="s">
        <v>15</v>
      </c>
      <c r="D77">
        <v>20</v>
      </c>
      <c r="E77">
        <v>1</v>
      </c>
      <c r="F77">
        <v>0</v>
      </c>
      <c r="G77">
        <v>20260112</v>
      </c>
      <c r="H77">
        <v>20260201</v>
      </c>
      <c r="I77">
        <v>1848.8036</v>
      </c>
      <c r="J77">
        <f t="shared" si="11"/>
        <v>21</v>
      </c>
      <c r="K77">
        <f t="shared" si="12"/>
        <v>88.038266666666658</v>
      </c>
      <c r="L77">
        <f t="shared" si="13"/>
        <v>2135.534611422047</v>
      </c>
      <c r="M77">
        <f t="shared" si="14"/>
        <v>88.038266666666658</v>
      </c>
      <c r="N77">
        <f t="shared" si="15"/>
        <v>0</v>
      </c>
      <c r="O77">
        <f t="shared" si="16"/>
        <v>2223.5728780887134</v>
      </c>
      <c r="P77">
        <f t="shared" si="17"/>
        <v>1775.6036316270274</v>
      </c>
      <c r="Q77">
        <f t="shared" si="18"/>
        <v>73.199968372972521</v>
      </c>
      <c r="R77">
        <f t="shared" si="19"/>
        <v>0</v>
      </c>
      <c r="S77">
        <f t="shared" si="20"/>
        <v>1848.8036</v>
      </c>
    </row>
    <row r="78" spans="1:19" x14ac:dyDescent="0.3">
      <c r="A78" t="s">
        <v>13</v>
      </c>
      <c r="B78" t="s">
        <v>24</v>
      </c>
      <c r="C78" t="s">
        <v>15</v>
      </c>
      <c r="D78">
        <v>20</v>
      </c>
      <c r="E78">
        <v>7</v>
      </c>
      <c r="F78">
        <v>0</v>
      </c>
      <c r="G78">
        <v>20260112</v>
      </c>
      <c r="H78">
        <v>20260207</v>
      </c>
      <c r="I78">
        <v>3447.7665999999999</v>
      </c>
      <c r="J78">
        <f t="shared" si="11"/>
        <v>27</v>
      </c>
      <c r="K78">
        <f t="shared" si="12"/>
        <v>127.69505925925925</v>
      </c>
      <c r="L78">
        <f t="shared" si="13"/>
        <v>3097.4850946149645</v>
      </c>
      <c r="M78">
        <f t="shared" si="14"/>
        <v>893.86541481481481</v>
      </c>
      <c r="N78">
        <f t="shared" si="15"/>
        <v>0</v>
      </c>
      <c r="O78">
        <f t="shared" si="16"/>
        <v>3991.3505094297793</v>
      </c>
      <c r="P78">
        <f t="shared" si="17"/>
        <v>2675.6371378511226</v>
      </c>
      <c r="Q78">
        <f t="shared" si="18"/>
        <v>772.12946214887745</v>
      </c>
      <c r="R78">
        <f t="shared" si="19"/>
        <v>0</v>
      </c>
      <c r="S78">
        <f t="shared" si="20"/>
        <v>3447.7665999999999</v>
      </c>
    </row>
    <row r="79" spans="1:19" x14ac:dyDescent="0.3">
      <c r="A79" t="s">
        <v>13</v>
      </c>
      <c r="B79" t="s">
        <v>24</v>
      </c>
      <c r="C79" t="s">
        <v>15</v>
      </c>
      <c r="D79">
        <v>0</v>
      </c>
      <c r="E79">
        <v>6</v>
      </c>
      <c r="F79">
        <v>7</v>
      </c>
      <c r="G79">
        <v>20260223</v>
      </c>
      <c r="H79">
        <v>20260307</v>
      </c>
      <c r="I79">
        <v>127.1784</v>
      </c>
      <c r="J79">
        <f t="shared" si="11"/>
        <v>13</v>
      </c>
      <c r="K79">
        <f t="shared" si="12"/>
        <v>9.7829538461538466</v>
      </c>
      <c r="L79">
        <f t="shared" si="13"/>
        <v>0</v>
      </c>
      <c r="M79">
        <f t="shared" si="14"/>
        <v>58.697723076923083</v>
      </c>
      <c r="N79">
        <f t="shared" si="15"/>
        <v>50.488614943811513</v>
      </c>
      <c r="O79">
        <f t="shared" si="16"/>
        <v>109.1863380207346</v>
      </c>
      <c r="P79">
        <f t="shared" si="17"/>
        <v>0</v>
      </c>
      <c r="Q79">
        <f t="shared" si="18"/>
        <v>68.37011516173871</v>
      </c>
      <c r="R79">
        <f t="shared" si="19"/>
        <v>58.808284838261287</v>
      </c>
      <c r="S79">
        <f t="shared" si="20"/>
        <v>127.1784</v>
      </c>
    </row>
    <row r="80" spans="1:19" x14ac:dyDescent="0.3">
      <c r="A80" t="s">
        <v>13</v>
      </c>
      <c r="B80" t="s">
        <v>24</v>
      </c>
      <c r="C80" t="s">
        <v>15</v>
      </c>
      <c r="D80">
        <v>4</v>
      </c>
      <c r="E80">
        <v>28</v>
      </c>
      <c r="F80">
        <v>4</v>
      </c>
      <c r="G80">
        <v>20260128</v>
      </c>
      <c r="H80">
        <v>20260304</v>
      </c>
      <c r="I80">
        <v>13922.7696</v>
      </c>
      <c r="J80">
        <f t="shared" si="11"/>
        <v>36</v>
      </c>
      <c r="K80">
        <f t="shared" si="12"/>
        <v>386.74360000000001</v>
      </c>
      <c r="L80">
        <f t="shared" si="13"/>
        <v>1876.2394463603637</v>
      </c>
      <c r="M80">
        <f t="shared" si="14"/>
        <v>10828.820800000001</v>
      </c>
      <c r="N80">
        <f t="shared" si="15"/>
        <v>1140.5347949067047</v>
      </c>
      <c r="O80">
        <f t="shared" si="16"/>
        <v>13845.59504126707</v>
      </c>
      <c r="P80">
        <f t="shared" si="17"/>
        <v>1886.6974982475238</v>
      </c>
      <c r="Q80">
        <f t="shared" si="18"/>
        <v>10889.180030812915</v>
      </c>
      <c r="R80">
        <f t="shared" si="19"/>
        <v>1146.8920709395609</v>
      </c>
      <c r="S80">
        <f t="shared" si="20"/>
        <v>13922.7696</v>
      </c>
    </row>
    <row r="81" spans="1:19" x14ac:dyDescent="0.3">
      <c r="A81" t="s">
        <v>13</v>
      </c>
      <c r="B81" t="s">
        <v>24</v>
      </c>
      <c r="C81" t="s">
        <v>15</v>
      </c>
      <c r="D81">
        <v>0</v>
      </c>
      <c r="E81">
        <v>9</v>
      </c>
      <c r="F81">
        <v>1</v>
      </c>
      <c r="G81">
        <v>20260220</v>
      </c>
      <c r="H81">
        <v>20260301</v>
      </c>
      <c r="I81">
        <v>718.7287</v>
      </c>
      <c r="J81">
        <f t="shared" si="11"/>
        <v>10</v>
      </c>
      <c r="K81">
        <f t="shared" si="12"/>
        <v>71.872870000000006</v>
      </c>
      <c r="L81">
        <f t="shared" si="13"/>
        <v>0</v>
      </c>
      <c r="M81">
        <f t="shared" si="14"/>
        <v>646.85583000000008</v>
      </c>
      <c r="N81">
        <f t="shared" si="15"/>
        <v>52.989570509250996</v>
      </c>
      <c r="O81">
        <f t="shared" si="16"/>
        <v>699.84540050925102</v>
      </c>
      <c r="P81">
        <f t="shared" si="17"/>
        <v>0</v>
      </c>
      <c r="Q81">
        <f t="shared" si="18"/>
        <v>664.30935953143489</v>
      </c>
      <c r="R81">
        <f t="shared" si="19"/>
        <v>54.419340468565203</v>
      </c>
      <c r="S81">
        <f t="shared" si="20"/>
        <v>718.72870000000012</v>
      </c>
    </row>
    <row r="82" spans="1:19" x14ac:dyDescent="0.3">
      <c r="A82" t="s">
        <v>13</v>
      </c>
      <c r="B82" t="s">
        <v>24</v>
      </c>
      <c r="C82" t="s">
        <v>15</v>
      </c>
      <c r="D82">
        <v>4</v>
      </c>
      <c r="E82">
        <v>28</v>
      </c>
      <c r="F82">
        <v>6</v>
      </c>
      <c r="G82">
        <v>20260128</v>
      </c>
      <c r="H82">
        <v>20260306</v>
      </c>
      <c r="I82">
        <v>17050.434399999998</v>
      </c>
      <c r="J82">
        <f t="shared" si="11"/>
        <v>38</v>
      </c>
      <c r="K82">
        <f t="shared" si="12"/>
        <v>448.69564210526312</v>
      </c>
      <c r="L82">
        <f t="shared" si="13"/>
        <v>2176.7922290837823</v>
      </c>
      <c r="M82">
        <f t="shared" si="14"/>
        <v>12563.477978947367</v>
      </c>
      <c r="N82">
        <f t="shared" si="15"/>
        <v>1984.853758966115</v>
      </c>
      <c r="O82">
        <f t="shared" si="16"/>
        <v>16725.123966997264</v>
      </c>
      <c r="P82">
        <f t="shared" si="17"/>
        <v>2219.1317193020641</v>
      </c>
      <c r="Q82">
        <f t="shared" si="18"/>
        <v>12807.842712471398</v>
      </c>
      <c r="R82">
        <f t="shared" si="19"/>
        <v>2023.4599682265357</v>
      </c>
      <c r="S82">
        <f t="shared" si="20"/>
        <v>17050.434399999998</v>
      </c>
    </row>
    <row r="83" spans="1:19" x14ac:dyDescent="0.3">
      <c r="A83" t="s">
        <v>13</v>
      </c>
      <c r="B83" t="s">
        <v>24</v>
      </c>
      <c r="C83" t="s">
        <v>14</v>
      </c>
      <c r="D83">
        <v>16</v>
      </c>
      <c r="E83">
        <v>2</v>
      </c>
      <c r="F83">
        <v>0</v>
      </c>
      <c r="G83">
        <v>20260116</v>
      </c>
      <c r="H83">
        <v>20260202</v>
      </c>
      <c r="I83">
        <v>8156.1442999999999</v>
      </c>
      <c r="J83">
        <f t="shared" si="11"/>
        <v>18</v>
      </c>
      <c r="K83">
        <f t="shared" si="12"/>
        <v>453.11912777777775</v>
      </c>
      <c r="L83">
        <f t="shared" si="13"/>
        <v>8793.0089230908397</v>
      </c>
      <c r="M83">
        <f t="shared" si="14"/>
        <v>906.2382555555555</v>
      </c>
      <c r="N83">
        <f t="shared" si="15"/>
        <v>0</v>
      </c>
      <c r="O83">
        <f t="shared" si="16"/>
        <v>9699.2471786463957</v>
      </c>
      <c r="P83">
        <f t="shared" si="17"/>
        <v>7394.084127045121</v>
      </c>
      <c r="Q83">
        <f t="shared" si="18"/>
        <v>762.06017295487834</v>
      </c>
      <c r="R83">
        <f t="shared" si="19"/>
        <v>0</v>
      </c>
      <c r="S83">
        <f t="shared" si="20"/>
        <v>8156.144299999999</v>
      </c>
    </row>
    <row r="84" spans="1:19" x14ac:dyDescent="0.3">
      <c r="A84" t="s">
        <v>13</v>
      </c>
      <c r="B84" t="s">
        <v>24</v>
      </c>
      <c r="C84" t="s">
        <v>15</v>
      </c>
      <c r="D84">
        <v>5</v>
      </c>
      <c r="E84">
        <v>28</v>
      </c>
      <c r="F84">
        <v>4</v>
      </c>
      <c r="G84">
        <v>20260127</v>
      </c>
      <c r="H84">
        <v>20260304</v>
      </c>
      <c r="I84">
        <v>5483.8281999999999</v>
      </c>
      <c r="J84">
        <f t="shared" si="11"/>
        <v>37</v>
      </c>
      <c r="K84">
        <f t="shared" si="12"/>
        <v>148.21157297297296</v>
      </c>
      <c r="L84">
        <f t="shared" si="13"/>
        <v>898.78798129758775</v>
      </c>
      <c r="M84">
        <f t="shared" si="14"/>
        <v>4149.9240432432425</v>
      </c>
      <c r="N84">
        <f t="shared" si="15"/>
        <v>437.08662789385477</v>
      </c>
      <c r="O84">
        <f t="shared" si="16"/>
        <v>5485.7986524346852</v>
      </c>
      <c r="P84">
        <f t="shared" si="17"/>
        <v>898.46514426359863</v>
      </c>
      <c r="Q84">
        <f t="shared" si="18"/>
        <v>4148.43342565903</v>
      </c>
      <c r="R84">
        <f t="shared" si="19"/>
        <v>436.92963007737103</v>
      </c>
      <c r="S84">
        <f t="shared" si="20"/>
        <v>5483.8281999999999</v>
      </c>
    </row>
    <row r="85" spans="1:19" x14ac:dyDescent="0.3">
      <c r="A85" t="s">
        <v>13</v>
      </c>
      <c r="B85" t="s">
        <v>24</v>
      </c>
      <c r="C85" t="s">
        <v>15</v>
      </c>
      <c r="D85">
        <v>2</v>
      </c>
      <c r="E85">
        <v>3</v>
      </c>
      <c r="F85">
        <v>0</v>
      </c>
      <c r="G85">
        <v>20260130</v>
      </c>
      <c r="H85">
        <v>20260203</v>
      </c>
      <c r="I85">
        <v>50414.580399999999</v>
      </c>
      <c r="J85">
        <f t="shared" si="11"/>
        <v>5</v>
      </c>
      <c r="K85">
        <f t="shared" si="12"/>
        <v>10082.916079999999</v>
      </c>
      <c r="L85">
        <f t="shared" si="13"/>
        <v>24458.019322927652</v>
      </c>
      <c r="M85">
        <f t="shared" si="14"/>
        <v>30248.748239999997</v>
      </c>
      <c r="N85">
        <f t="shared" si="15"/>
        <v>0</v>
      </c>
      <c r="O85">
        <f t="shared" si="16"/>
        <v>54706.767562927649</v>
      </c>
      <c r="P85">
        <f t="shared" si="17"/>
        <v>22539.090436336923</v>
      </c>
      <c r="Q85">
        <f t="shared" si="18"/>
        <v>27875.489963663076</v>
      </c>
      <c r="R85">
        <f t="shared" si="19"/>
        <v>0</v>
      </c>
      <c r="S85">
        <f t="shared" si="20"/>
        <v>50414.580399999999</v>
      </c>
    </row>
    <row r="86" spans="1:19" x14ac:dyDescent="0.3">
      <c r="A86" t="s">
        <v>13</v>
      </c>
      <c r="B86" t="s">
        <v>24</v>
      </c>
      <c r="C86" t="s">
        <v>15</v>
      </c>
      <c r="D86">
        <v>2</v>
      </c>
      <c r="E86">
        <v>28</v>
      </c>
      <c r="F86">
        <v>5</v>
      </c>
      <c r="G86">
        <v>20260130</v>
      </c>
      <c r="H86">
        <v>20260305</v>
      </c>
      <c r="I86">
        <v>6795.9650000000001</v>
      </c>
      <c r="J86">
        <f t="shared" si="11"/>
        <v>35</v>
      </c>
      <c r="K86">
        <f t="shared" si="12"/>
        <v>194.17042857142857</v>
      </c>
      <c r="L86">
        <f t="shared" si="13"/>
        <v>470.99708618631524</v>
      </c>
      <c r="M86">
        <f t="shared" si="14"/>
        <v>5436.7719999999999</v>
      </c>
      <c r="N86">
        <f t="shared" si="15"/>
        <v>715.77826345303856</v>
      </c>
      <c r="O86">
        <f t="shared" si="16"/>
        <v>6623.5473496393533</v>
      </c>
      <c r="P86">
        <f t="shared" si="17"/>
        <v>483.25761768706417</v>
      </c>
      <c r="Q86">
        <f t="shared" si="18"/>
        <v>5578.2966852334494</v>
      </c>
      <c r="R86">
        <f t="shared" si="19"/>
        <v>734.41069707948748</v>
      </c>
      <c r="S86">
        <f t="shared" si="20"/>
        <v>6795.9650000000011</v>
      </c>
    </row>
    <row r="87" spans="1:19" x14ac:dyDescent="0.3">
      <c r="A87" t="s">
        <v>13</v>
      </c>
      <c r="B87" t="s">
        <v>24</v>
      </c>
      <c r="C87" t="s">
        <v>15</v>
      </c>
      <c r="D87">
        <v>20</v>
      </c>
      <c r="E87">
        <v>4</v>
      </c>
      <c r="F87">
        <v>0</v>
      </c>
      <c r="G87">
        <v>20260112</v>
      </c>
      <c r="H87">
        <v>20260204</v>
      </c>
      <c r="I87">
        <v>16313.822200000001</v>
      </c>
      <c r="J87">
        <f t="shared" si="11"/>
        <v>24</v>
      </c>
      <c r="K87">
        <f t="shared" si="12"/>
        <v>679.74259166666673</v>
      </c>
      <c r="L87">
        <f t="shared" si="13"/>
        <v>16488.441746110671</v>
      </c>
      <c r="M87">
        <f t="shared" si="14"/>
        <v>2718.9703666666669</v>
      </c>
      <c r="N87">
        <f t="shared" si="15"/>
        <v>0</v>
      </c>
      <c r="O87">
        <f t="shared" si="16"/>
        <v>19207.41211277734</v>
      </c>
      <c r="P87">
        <f t="shared" si="17"/>
        <v>14004.463767514379</v>
      </c>
      <c r="Q87">
        <f t="shared" si="18"/>
        <v>2309.3584324856211</v>
      </c>
      <c r="R87">
        <f t="shared" si="19"/>
        <v>0</v>
      </c>
      <c r="S87">
        <f t="shared" si="20"/>
        <v>16313.822199999999</v>
      </c>
    </row>
    <row r="88" spans="1:19" x14ac:dyDescent="0.3">
      <c r="A88" t="s">
        <v>13</v>
      </c>
      <c r="B88" t="s">
        <v>24</v>
      </c>
      <c r="C88" t="s">
        <v>15</v>
      </c>
      <c r="D88">
        <v>0</v>
      </c>
      <c r="E88">
        <v>2</v>
      </c>
      <c r="F88">
        <v>0</v>
      </c>
      <c r="G88">
        <v>20260205</v>
      </c>
      <c r="H88">
        <v>20260206</v>
      </c>
      <c r="I88">
        <v>2397.2377999999999</v>
      </c>
      <c r="J88">
        <f t="shared" si="11"/>
        <v>2</v>
      </c>
      <c r="K88">
        <f t="shared" si="12"/>
        <v>1198.6188999999999</v>
      </c>
      <c r="L88">
        <f t="shared" si="13"/>
        <v>0</v>
      </c>
      <c r="M88">
        <f t="shared" si="14"/>
        <v>2397.2377999999999</v>
      </c>
      <c r="N88">
        <f t="shared" si="15"/>
        <v>0</v>
      </c>
      <c r="O88">
        <f t="shared" si="16"/>
        <v>2397.2377999999999</v>
      </c>
      <c r="P88">
        <f t="shared" si="17"/>
        <v>0</v>
      </c>
      <c r="Q88">
        <f t="shared" si="18"/>
        <v>2397.2377999999999</v>
      </c>
      <c r="R88">
        <f t="shared" si="19"/>
        <v>0</v>
      </c>
      <c r="S88">
        <f t="shared" si="20"/>
        <v>2397.2377999999999</v>
      </c>
    </row>
    <row r="89" spans="1:19" x14ac:dyDescent="0.3">
      <c r="A89" t="s">
        <v>13</v>
      </c>
      <c r="B89" t="s">
        <v>24</v>
      </c>
      <c r="C89" t="s">
        <v>15</v>
      </c>
      <c r="D89">
        <v>0</v>
      </c>
      <c r="E89">
        <v>4</v>
      </c>
      <c r="F89">
        <v>6</v>
      </c>
      <c r="G89">
        <v>20260225</v>
      </c>
      <c r="H89">
        <v>20260306</v>
      </c>
      <c r="I89">
        <v>1060.4374</v>
      </c>
      <c r="J89">
        <f t="shared" si="11"/>
        <v>10</v>
      </c>
      <c r="K89">
        <f t="shared" si="12"/>
        <v>106.04374</v>
      </c>
      <c r="L89">
        <f t="shared" si="13"/>
        <v>0</v>
      </c>
      <c r="M89">
        <f t="shared" si="14"/>
        <v>424.17496</v>
      </c>
      <c r="N89">
        <f t="shared" si="15"/>
        <v>469.09596662507113</v>
      </c>
      <c r="O89">
        <f t="shared" si="16"/>
        <v>893.27092662507107</v>
      </c>
      <c r="P89">
        <f t="shared" si="17"/>
        <v>0</v>
      </c>
      <c r="Q89">
        <f t="shared" si="18"/>
        <v>503.55494432911428</v>
      </c>
      <c r="R89">
        <f t="shared" si="19"/>
        <v>556.88245567088575</v>
      </c>
      <c r="S89">
        <f t="shared" si="20"/>
        <v>1060.4374</v>
      </c>
    </row>
    <row r="90" spans="1:19" x14ac:dyDescent="0.3">
      <c r="A90" t="s">
        <v>13</v>
      </c>
      <c r="B90" t="s">
        <v>24</v>
      </c>
      <c r="C90" t="s">
        <v>14</v>
      </c>
      <c r="D90">
        <v>0</v>
      </c>
      <c r="E90">
        <v>24</v>
      </c>
      <c r="F90">
        <v>4</v>
      </c>
      <c r="G90">
        <v>20260205</v>
      </c>
      <c r="H90">
        <v>20260304</v>
      </c>
      <c r="I90">
        <v>1112281.4410000001</v>
      </c>
      <c r="J90">
        <f t="shared" si="11"/>
        <v>28</v>
      </c>
      <c r="K90">
        <f t="shared" si="12"/>
        <v>39724.337178571433</v>
      </c>
      <c r="L90">
        <f t="shared" si="13"/>
        <v>0</v>
      </c>
      <c r="M90">
        <f t="shared" si="14"/>
        <v>953384.09228571435</v>
      </c>
      <c r="N90">
        <f t="shared" si="15"/>
        <v>117149.93798673528</v>
      </c>
      <c r="O90">
        <f t="shared" si="16"/>
        <v>1070534.0302724496</v>
      </c>
      <c r="P90">
        <f t="shared" si="17"/>
        <v>0</v>
      </c>
      <c r="Q90">
        <f t="shared" si="18"/>
        <v>990563.02929870703</v>
      </c>
      <c r="R90">
        <f t="shared" si="19"/>
        <v>121718.41170129308</v>
      </c>
      <c r="S90">
        <f t="shared" si="20"/>
        <v>1112281.4410000001</v>
      </c>
    </row>
    <row r="91" spans="1:19" x14ac:dyDescent="0.3">
      <c r="A91" t="s">
        <v>13</v>
      </c>
      <c r="B91" t="s">
        <v>24</v>
      </c>
      <c r="C91" t="s">
        <v>14</v>
      </c>
      <c r="D91">
        <v>26</v>
      </c>
      <c r="E91">
        <v>4</v>
      </c>
      <c r="F91">
        <v>0</v>
      </c>
      <c r="G91">
        <v>20260106</v>
      </c>
      <c r="H91">
        <v>20260204</v>
      </c>
      <c r="I91">
        <v>1036046.0596</v>
      </c>
      <c r="J91">
        <f t="shared" si="11"/>
        <v>30</v>
      </c>
      <c r="K91">
        <f t="shared" si="12"/>
        <v>34534.868653333331</v>
      </c>
      <c r="L91">
        <f t="shared" si="13"/>
        <v>1089021.0942719595</v>
      </c>
      <c r="M91">
        <f t="shared" si="14"/>
        <v>138139.47461333332</v>
      </c>
      <c r="N91">
        <f t="shared" si="15"/>
        <v>0</v>
      </c>
      <c r="O91">
        <f t="shared" si="16"/>
        <v>1227160.5688852929</v>
      </c>
      <c r="P91">
        <f t="shared" si="17"/>
        <v>919420.03528244712</v>
      </c>
      <c r="Q91">
        <f t="shared" si="18"/>
        <v>116626.02431755292</v>
      </c>
      <c r="R91">
        <f t="shared" si="19"/>
        <v>0</v>
      </c>
      <c r="S91">
        <f t="shared" si="20"/>
        <v>1036046.0596</v>
      </c>
    </row>
    <row r="92" spans="1:19" x14ac:dyDescent="0.3">
      <c r="A92" t="s">
        <v>13</v>
      </c>
      <c r="B92" t="s">
        <v>24</v>
      </c>
      <c r="C92" t="s">
        <v>15</v>
      </c>
      <c r="D92">
        <v>0</v>
      </c>
      <c r="E92">
        <v>23</v>
      </c>
      <c r="F92">
        <v>5</v>
      </c>
      <c r="G92">
        <v>20260206</v>
      </c>
      <c r="H92">
        <v>20260305</v>
      </c>
      <c r="I92">
        <v>2923506.5375999999</v>
      </c>
      <c r="J92">
        <f t="shared" si="11"/>
        <v>28</v>
      </c>
      <c r="K92">
        <f t="shared" si="12"/>
        <v>104410.94777142857</v>
      </c>
      <c r="L92">
        <f t="shared" si="13"/>
        <v>0</v>
      </c>
      <c r="M92">
        <f t="shared" si="14"/>
        <v>2401451.7987428573</v>
      </c>
      <c r="N92">
        <f t="shared" si="15"/>
        <v>384894.27783194388</v>
      </c>
      <c r="O92">
        <f t="shared" si="16"/>
        <v>2786346.076574801</v>
      </c>
      <c r="P92">
        <f t="shared" si="17"/>
        <v>0</v>
      </c>
      <c r="Q92">
        <f t="shared" si="18"/>
        <v>2519665.4831859143</v>
      </c>
      <c r="R92">
        <f t="shared" si="19"/>
        <v>403841.05441408581</v>
      </c>
      <c r="S92">
        <f t="shared" si="20"/>
        <v>2923506.5376000004</v>
      </c>
    </row>
    <row r="93" spans="1:19" x14ac:dyDescent="0.3">
      <c r="A93" t="s">
        <v>13</v>
      </c>
      <c r="B93" t="s">
        <v>24</v>
      </c>
      <c r="C93" t="s">
        <v>15</v>
      </c>
      <c r="D93">
        <v>0</v>
      </c>
      <c r="E93">
        <v>27</v>
      </c>
      <c r="F93">
        <v>1</v>
      </c>
      <c r="G93">
        <v>20260202</v>
      </c>
      <c r="H93">
        <v>20260301</v>
      </c>
      <c r="I93">
        <v>20410585.839400001</v>
      </c>
      <c r="J93">
        <f t="shared" si="11"/>
        <v>28</v>
      </c>
      <c r="K93">
        <f t="shared" si="12"/>
        <v>728949.49426428578</v>
      </c>
      <c r="L93">
        <f t="shared" si="13"/>
        <v>0</v>
      </c>
      <c r="M93">
        <f t="shared" si="14"/>
        <v>19681636.345135715</v>
      </c>
      <c r="N93">
        <f t="shared" si="15"/>
        <v>537431.17012024461</v>
      </c>
      <c r="O93">
        <f t="shared" si="16"/>
        <v>20219067.515255958</v>
      </c>
      <c r="P93">
        <f t="shared" si="17"/>
        <v>0</v>
      </c>
      <c r="Q93">
        <f t="shared" si="18"/>
        <v>19868064.03307873</v>
      </c>
      <c r="R93">
        <f t="shared" si="19"/>
        <v>542521.80632127309</v>
      </c>
      <c r="S93">
        <f t="shared" si="20"/>
        <v>20410585.839400005</v>
      </c>
    </row>
    <row r="94" spans="1:19" x14ac:dyDescent="0.3">
      <c r="A94" t="s">
        <v>13</v>
      </c>
      <c r="B94" t="s">
        <v>24</v>
      </c>
      <c r="C94" t="s">
        <v>14</v>
      </c>
      <c r="D94">
        <v>15</v>
      </c>
      <c r="E94">
        <v>19</v>
      </c>
      <c r="F94">
        <v>0</v>
      </c>
      <c r="G94">
        <v>20260117</v>
      </c>
      <c r="H94">
        <v>20260219</v>
      </c>
      <c r="I94">
        <v>7541400.7696000002</v>
      </c>
      <c r="J94">
        <f t="shared" si="11"/>
        <v>34</v>
      </c>
      <c r="K94">
        <f t="shared" si="12"/>
        <v>221805.9049882353</v>
      </c>
      <c r="L94">
        <f t="shared" si="13"/>
        <v>4035241.194436566</v>
      </c>
      <c r="M94">
        <f t="shared" si="14"/>
        <v>4214312.1947764708</v>
      </c>
      <c r="N94">
        <f t="shared" si="15"/>
        <v>0</v>
      </c>
      <c r="O94">
        <f t="shared" si="16"/>
        <v>8249553.3892130367</v>
      </c>
      <c r="P94">
        <f t="shared" si="17"/>
        <v>3688850.7308816304</v>
      </c>
      <c r="Q94">
        <f t="shared" si="18"/>
        <v>3852550.0387183698</v>
      </c>
      <c r="R94">
        <f t="shared" si="19"/>
        <v>0</v>
      </c>
      <c r="S94">
        <f t="shared" si="20"/>
        <v>7541400.7696000002</v>
      </c>
    </row>
    <row r="95" spans="1:19" x14ac:dyDescent="0.3">
      <c r="A95" t="s">
        <v>13</v>
      </c>
      <c r="B95" t="s">
        <v>24</v>
      </c>
      <c r="C95" t="s">
        <v>15</v>
      </c>
      <c r="D95">
        <v>0</v>
      </c>
      <c r="E95">
        <v>26</v>
      </c>
      <c r="F95">
        <v>2</v>
      </c>
      <c r="G95">
        <v>20260203</v>
      </c>
      <c r="H95">
        <v>20260302</v>
      </c>
      <c r="I95">
        <v>5155103.4617999997</v>
      </c>
      <c r="J95">
        <f t="shared" si="11"/>
        <v>28</v>
      </c>
      <c r="K95">
        <f t="shared" si="12"/>
        <v>184110.83792142855</v>
      </c>
      <c r="L95">
        <f t="shared" si="13"/>
        <v>0</v>
      </c>
      <c r="M95">
        <f t="shared" si="14"/>
        <v>4786881.7859571427</v>
      </c>
      <c r="N95">
        <f t="shared" si="15"/>
        <v>271478.07587354782</v>
      </c>
      <c r="O95">
        <f t="shared" si="16"/>
        <v>5058359.8618306909</v>
      </c>
      <c r="P95">
        <f t="shared" si="17"/>
        <v>0</v>
      </c>
      <c r="Q95">
        <f t="shared" si="18"/>
        <v>4878433.2352906438</v>
      </c>
      <c r="R95">
        <f t="shared" si="19"/>
        <v>276670.22650935547</v>
      </c>
      <c r="S95">
        <f t="shared" si="20"/>
        <v>5155103.4617999997</v>
      </c>
    </row>
    <row r="96" spans="1:19" x14ac:dyDescent="0.3">
      <c r="A96" t="s">
        <v>13</v>
      </c>
      <c r="B96" t="s">
        <v>24</v>
      </c>
      <c r="C96" t="s">
        <v>15</v>
      </c>
      <c r="D96">
        <v>0</v>
      </c>
      <c r="E96">
        <v>25</v>
      </c>
      <c r="F96">
        <v>6</v>
      </c>
      <c r="G96">
        <v>20260204</v>
      </c>
      <c r="H96">
        <v>20260306</v>
      </c>
      <c r="I96">
        <v>1394608.3317</v>
      </c>
      <c r="J96">
        <f t="shared" si="11"/>
        <v>31</v>
      </c>
      <c r="K96">
        <f t="shared" si="12"/>
        <v>44987.365538709673</v>
      </c>
      <c r="L96">
        <f t="shared" si="13"/>
        <v>0</v>
      </c>
      <c r="M96">
        <f t="shared" si="14"/>
        <v>1124684.1384677419</v>
      </c>
      <c r="N96">
        <f t="shared" si="15"/>
        <v>199006.48282771269</v>
      </c>
      <c r="O96">
        <f t="shared" si="16"/>
        <v>1323690.6212954547</v>
      </c>
      <c r="P96">
        <f t="shared" si="17"/>
        <v>0</v>
      </c>
      <c r="Q96">
        <f t="shared" si="18"/>
        <v>1184939.9284123606</v>
      </c>
      <c r="R96">
        <f t="shared" si="19"/>
        <v>209668.4032876392</v>
      </c>
      <c r="S96">
        <f t="shared" si="20"/>
        <v>1394608.3316999997</v>
      </c>
    </row>
    <row r="97" spans="1:19" x14ac:dyDescent="0.3">
      <c r="A97" t="s">
        <v>13</v>
      </c>
      <c r="B97" t="s">
        <v>24</v>
      </c>
      <c r="C97" t="s">
        <v>15</v>
      </c>
      <c r="D97">
        <v>24</v>
      </c>
      <c r="E97">
        <v>2</v>
      </c>
      <c r="F97">
        <v>0</v>
      </c>
      <c r="G97">
        <v>20260108</v>
      </c>
      <c r="H97">
        <v>20260202</v>
      </c>
      <c r="I97">
        <v>252457.6042</v>
      </c>
      <c r="J97">
        <f t="shared" si="11"/>
        <v>26</v>
      </c>
      <c r="K97">
        <f t="shared" si="12"/>
        <v>9709.9078538461545</v>
      </c>
      <c r="L97">
        <f t="shared" si="13"/>
        <v>282638.60815140244</v>
      </c>
      <c r="M97">
        <f t="shared" si="14"/>
        <v>19419.815707692309</v>
      </c>
      <c r="N97">
        <f t="shared" si="15"/>
        <v>0</v>
      </c>
      <c r="O97">
        <f t="shared" si="16"/>
        <v>302058.42385909474</v>
      </c>
      <c r="P97">
        <f t="shared" si="17"/>
        <v>236226.70394920436</v>
      </c>
      <c r="Q97">
        <f t="shared" si="18"/>
        <v>16230.900250795677</v>
      </c>
      <c r="R97">
        <f t="shared" si="19"/>
        <v>0</v>
      </c>
      <c r="S97">
        <f t="shared" si="20"/>
        <v>252457.60420000003</v>
      </c>
    </row>
    <row r="98" spans="1:19" x14ac:dyDescent="0.3">
      <c r="A98" t="s">
        <v>13</v>
      </c>
      <c r="B98" t="s">
        <v>24</v>
      </c>
      <c r="C98" t="s">
        <v>15</v>
      </c>
      <c r="D98">
        <v>0</v>
      </c>
      <c r="E98">
        <v>24</v>
      </c>
      <c r="F98">
        <v>4</v>
      </c>
      <c r="G98">
        <v>20260205</v>
      </c>
      <c r="H98">
        <v>20260304</v>
      </c>
      <c r="I98">
        <v>6477900.1799999997</v>
      </c>
      <c r="J98">
        <f t="shared" si="11"/>
        <v>28</v>
      </c>
      <c r="K98">
        <f t="shared" si="12"/>
        <v>231353.57785714284</v>
      </c>
      <c r="L98">
        <f t="shared" si="13"/>
        <v>0</v>
      </c>
      <c r="M98">
        <f t="shared" si="14"/>
        <v>5552485.8685714286</v>
      </c>
      <c r="N98">
        <f t="shared" si="15"/>
        <v>682278.40220815223</v>
      </c>
      <c r="O98">
        <f t="shared" si="16"/>
        <v>6234764.2707795808</v>
      </c>
      <c r="P98">
        <f t="shared" si="17"/>
        <v>0</v>
      </c>
      <c r="Q98">
        <f t="shared" si="18"/>
        <v>5769015.0974976476</v>
      </c>
      <c r="R98">
        <f t="shared" si="19"/>
        <v>708885.08250235231</v>
      </c>
      <c r="S98">
        <f t="shared" si="20"/>
        <v>6477900.1799999997</v>
      </c>
    </row>
    <row r="99" spans="1:19" x14ac:dyDescent="0.3">
      <c r="A99" t="s">
        <v>13</v>
      </c>
      <c r="B99" t="s">
        <v>24</v>
      </c>
      <c r="C99" t="s">
        <v>15</v>
      </c>
      <c r="D99">
        <v>0</v>
      </c>
      <c r="E99">
        <v>26</v>
      </c>
      <c r="F99">
        <v>1</v>
      </c>
      <c r="G99">
        <v>20260203</v>
      </c>
      <c r="H99">
        <v>20260301</v>
      </c>
      <c r="I99">
        <v>6657338.7609000001</v>
      </c>
      <c r="J99">
        <f t="shared" si="11"/>
        <v>27</v>
      </c>
      <c r="K99">
        <f t="shared" si="12"/>
        <v>246568.10225555557</v>
      </c>
      <c r="L99">
        <f t="shared" si="13"/>
        <v>0</v>
      </c>
      <c r="M99">
        <f t="shared" si="14"/>
        <v>6410770.6586444452</v>
      </c>
      <c r="N99">
        <f t="shared" si="15"/>
        <v>181786.78324384391</v>
      </c>
      <c r="O99">
        <f t="shared" si="16"/>
        <v>6592557.4418882895</v>
      </c>
      <c r="P99">
        <f t="shared" si="17"/>
        <v>0</v>
      </c>
      <c r="Q99">
        <f t="shared" si="18"/>
        <v>6473765.6621479122</v>
      </c>
      <c r="R99">
        <f t="shared" si="19"/>
        <v>183573.09875208756</v>
      </c>
      <c r="S99">
        <f t="shared" si="20"/>
        <v>6657338.7609000001</v>
      </c>
    </row>
    <row r="100" spans="1:19" x14ac:dyDescent="0.3">
      <c r="A100" t="s">
        <v>13</v>
      </c>
      <c r="B100" t="s">
        <v>24</v>
      </c>
      <c r="C100" t="s">
        <v>14</v>
      </c>
      <c r="D100">
        <v>30</v>
      </c>
      <c r="E100">
        <v>1</v>
      </c>
      <c r="F100">
        <v>0</v>
      </c>
      <c r="G100">
        <v>20260102</v>
      </c>
      <c r="H100">
        <v>20260201</v>
      </c>
      <c r="I100">
        <v>3916576.4758000001</v>
      </c>
      <c r="J100">
        <f t="shared" si="11"/>
        <v>31</v>
      </c>
      <c r="K100">
        <f t="shared" si="12"/>
        <v>126341.17663870969</v>
      </c>
      <c r="L100">
        <f t="shared" si="13"/>
        <v>4596966.1678136932</v>
      </c>
      <c r="M100">
        <f t="shared" si="14"/>
        <v>126341.17663870969</v>
      </c>
      <c r="N100">
        <f t="shared" si="15"/>
        <v>0</v>
      </c>
      <c r="O100">
        <f t="shared" si="16"/>
        <v>4723307.3444524026</v>
      </c>
      <c r="P100">
        <f t="shared" si="17"/>
        <v>3811814.1039570495</v>
      </c>
      <c r="Q100">
        <f t="shared" si="18"/>
        <v>104762.37184295076</v>
      </c>
      <c r="R100">
        <f t="shared" si="19"/>
        <v>0</v>
      </c>
      <c r="S100">
        <f t="shared" si="20"/>
        <v>3916576.4758000001</v>
      </c>
    </row>
    <row r="101" spans="1:19" x14ac:dyDescent="0.3">
      <c r="A101" t="s">
        <v>13</v>
      </c>
      <c r="B101" t="s">
        <v>24</v>
      </c>
      <c r="C101" t="s">
        <v>15</v>
      </c>
      <c r="D101">
        <v>29</v>
      </c>
      <c r="E101">
        <v>3</v>
      </c>
      <c r="F101">
        <v>0</v>
      </c>
      <c r="G101">
        <v>20260103</v>
      </c>
      <c r="H101">
        <v>20260203</v>
      </c>
      <c r="I101">
        <v>8432206.4626000002</v>
      </c>
      <c r="J101">
        <f t="shared" si="11"/>
        <v>32</v>
      </c>
      <c r="K101">
        <f t="shared" si="12"/>
        <v>263506.45195625001</v>
      </c>
      <c r="L101">
        <f t="shared" si="13"/>
        <v>9268178.4432842378</v>
      </c>
      <c r="M101">
        <f t="shared" si="14"/>
        <v>790519.35586875002</v>
      </c>
      <c r="N101">
        <f t="shared" si="15"/>
        <v>0</v>
      </c>
      <c r="O101">
        <f t="shared" si="16"/>
        <v>10058697.799152987</v>
      </c>
      <c r="P101">
        <f t="shared" si="17"/>
        <v>7769514.0789071368</v>
      </c>
      <c r="Q101">
        <f t="shared" si="18"/>
        <v>662692.38369286456</v>
      </c>
      <c r="R101">
        <f t="shared" si="19"/>
        <v>0</v>
      </c>
      <c r="S101">
        <f t="shared" si="20"/>
        <v>8432206.4626000021</v>
      </c>
    </row>
    <row r="102" spans="1:19" x14ac:dyDescent="0.3">
      <c r="A102" t="s">
        <v>13</v>
      </c>
      <c r="B102" t="s">
        <v>24</v>
      </c>
      <c r="C102" t="s">
        <v>14</v>
      </c>
      <c r="D102">
        <v>0</v>
      </c>
      <c r="E102">
        <v>25</v>
      </c>
      <c r="F102">
        <v>4</v>
      </c>
      <c r="G102">
        <v>20260204</v>
      </c>
      <c r="H102">
        <v>20260304</v>
      </c>
      <c r="I102">
        <v>1463669.1706000001</v>
      </c>
      <c r="J102">
        <f t="shared" si="11"/>
        <v>29</v>
      </c>
      <c r="K102">
        <f t="shared" si="12"/>
        <v>50471.350710344828</v>
      </c>
      <c r="L102">
        <f t="shared" si="13"/>
        <v>0</v>
      </c>
      <c r="M102">
        <f t="shared" si="14"/>
        <v>1261783.7677586207</v>
      </c>
      <c r="N102">
        <f t="shared" si="15"/>
        <v>148843.65670456472</v>
      </c>
      <c r="O102">
        <f t="shared" si="16"/>
        <v>1410627.4244631855</v>
      </c>
      <c r="P102">
        <f t="shared" si="17"/>
        <v>0</v>
      </c>
      <c r="Q102">
        <f t="shared" si="18"/>
        <v>1309228.7650189535</v>
      </c>
      <c r="R102">
        <f t="shared" si="19"/>
        <v>154440.40558104648</v>
      </c>
      <c r="S102">
        <f t="shared" si="20"/>
        <v>1463669.1705999998</v>
      </c>
    </row>
    <row r="103" spans="1:19" x14ac:dyDescent="0.3">
      <c r="A103" t="s">
        <v>13</v>
      </c>
      <c r="B103" t="s">
        <v>24</v>
      </c>
      <c r="C103" t="s">
        <v>14</v>
      </c>
      <c r="D103">
        <v>0</v>
      </c>
      <c r="E103">
        <v>8</v>
      </c>
      <c r="F103">
        <v>17</v>
      </c>
      <c r="G103">
        <v>20260221</v>
      </c>
      <c r="H103">
        <v>20260317</v>
      </c>
      <c r="I103">
        <v>1036114.7496</v>
      </c>
      <c r="J103">
        <f t="shared" si="11"/>
        <v>25</v>
      </c>
      <c r="K103">
        <f t="shared" si="12"/>
        <v>41444.589983999998</v>
      </c>
      <c r="L103">
        <f t="shared" si="13"/>
        <v>0</v>
      </c>
      <c r="M103">
        <f t="shared" si="14"/>
        <v>331556.71987199999</v>
      </c>
      <c r="N103">
        <f t="shared" si="15"/>
        <v>519448.12269401248</v>
      </c>
      <c r="O103">
        <f t="shared" si="16"/>
        <v>851004.8425660124</v>
      </c>
      <c r="P103">
        <f t="shared" si="17"/>
        <v>0</v>
      </c>
      <c r="Q103">
        <f t="shared" si="18"/>
        <v>403676.67797580943</v>
      </c>
      <c r="R103">
        <f t="shared" si="19"/>
        <v>632438.07162419066</v>
      </c>
      <c r="S103">
        <f t="shared" si="20"/>
        <v>1036114.7496000001</v>
      </c>
    </row>
    <row r="104" spans="1:19" x14ac:dyDescent="0.3">
      <c r="A104" t="s">
        <v>13</v>
      </c>
      <c r="B104" t="s">
        <v>24</v>
      </c>
      <c r="C104" t="s">
        <v>14</v>
      </c>
      <c r="D104">
        <v>11</v>
      </c>
      <c r="E104">
        <v>2</v>
      </c>
      <c r="F104">
        <v>0</v>
      </c>
      <c r="G104">
        <v>20260121</v>
      </c>
      <c r="H104">
        <v>20260202</v>
      </c>
      <c r="I104">
        <v>1177.7565</v>
      </c>
      <c r="J104">
        <f t="shared" si="11"/>
        <v>13</v>
      </c>
      <c r="K104">
        <f t="shared" si="12"/>
        <v>90.596653846153842</v>
      </c>
      <c r="L104">
        <f t="shared" si="13"/>
        <v>1208.676221273281</v>
      </c>
      <c r="M104">
        <f t="shared" si="14"/>
        <v>181.19330769230768</v>
      </c>
      <c r="N104">
        <f t="shared" si="15"/>
        <v>0</v>
      </c>
      <c r="O104">
        <f t="shared" si="16"/>
        <v>1389.8695289655886</v>
      </c>
      <c r="P104">
        <f t="shared" si="17"/>
        <v>1024.2157600645476</v>
      </c>
      <c r="Q104">
        <f t="shared" si="18"/>
        <v>153.54073993545254</v>
      </c>
      <c r="R104">
        <f t="shared" si="19"/>
        <v>0</v>
      </c>
      <c r="S104">
        <f t="shared" si="20"/>
        <v>1177.7565000000002</v>
      </c>
    </row>
    <row r="105" spans="1:19" x14ac:dyDescent="0.3">
      <c r="A105" t="s">
        <v>13</v>
      </c>
      <c r="B105" t="s">
        <v>24</v>
      </c>
      <c r="C105" t="s">
        <v>14</v>
      </c>
      <c r="D105">
        <v>0</v>
      </c>
      <c r="E105">
        <v>25</v>
      </c>
      <c r="F105">
        <v>3</v>
      </c>
      <c r="G105">
        <v>20260204</v>
      </c>
      <c r="H105">
        <v>20260303</v>
      </c>
      <c r="I105">
        <v>1545542.7054999999</v>
      </c>
      <c r="J105">
        <f t="shared" si="11"/>
        <v>28</v>
      </c>
      <c r="K105">
        <f t="shared" si="12"/>
        <v>55197.953767857143</v>
      </c>
      <c r="L105">
        <f t="shared" si="13"/>
        <v>0</v>
      </c>
      <c r="M105">
        <f t="shared" si="14"/>
        <v>1379948.8441964285</v>
      </c>
      <c r="N105">
        <f t="shared" si="15"/>
        <v>122087.06274627308</v>
      </c>
      <c r="O105">
        <f t="shared" si="16"/>
        <v>1502035.9069427017</v>
      </c>
      <c r="P105">
        <f t="shared" si="17"/>
        <v>0</v>
      </c>
      <c r="Q105">
        <f t="shared" si="18"/>
        <v>1419919.364279422</v>
      </c>
      <c r="R105">
        <f t="shared" si="19"/>
        <v>125623.34122057786</v>
      </c>
      <c r="S105">
        <f t="shared" si="20"/>
        <v>1545542.7054999999</v>
      </c>
    </row>
    <row r="106" spans="1:19" x14ac:dyDescent="0.3">
      <c r="A106" t="s">
        <v>13</v>
      </c>
      <c r="B106" t="s">
        <v>24</v>
      </c>
      <c r="C106" t="s">
        <v>14</v>
      </c>
      <c r="D106">
        <v>28</v>
      </c>
      <c r="E106">
        <v>5</v>
      </c>
      <c r="F106">
        <v>0</v>
      </c>
      <c r="G106">
        <v>20260104</v>
      </c>
      <c r="H106">
        <v>20260205</v>
      </c>
      <c r="I106">
        <v>71942.035300000003</v>
      </c>
      <c r="J106">
        <f t="shared" si="11"/>
        <v>33</v>
      </c>
      <c r="K106">
        <f t="shared" si="12"/>
        <v>2180.0616757575758</v>
      </c>
      <c r="L106">
        <f t="shared" si="13"/>
        <v>74034.124885024299</v>
      </c>
      <c r="M106">
        <f t="shared" si="14"/>
        <v>10900.308378787879</v>
      </c>
      <c r="N106">
        <f t="shared" si="15"/>
        <v>0</v>
      </c>
      <c r="O106">
        <f t="shared" si="16"/>
        <v>84934.433263812185</v>
      </c>
      <c r="P106">
        <f t="shared" si="17"/>
        <v>62709.144232935425</v>
      </c>
      <c r="Q106">
        <f t="shared" si="18"/>
        <v>9232.891067064571</v>
      </c>
      <c r="R106">
        <f t="shared" si="19"/>
        <v>0</v>
      </c>
      <c r="S106">
        <f t="shared" si="20"/>
        <v>71942.035299999989</v>
      </c>
    </row>
    <row r="107" spans="1:19" x14ac:dyDescent="0.3">
      <c r="A107" t="s">
        <v>13</v>
      </c>
      <c r="B107" t="s">
        <v>24</v>
      </c>
      <c r="C107" t="s">
        <v>15</v>
      </c>
      <c r="D107">
        <v>30</v>
      </c>
      <c r="E107">
        <v>4</v>
      </c>
      <c r="F107">
        <v>0</v>
      </c>
      <c r="G107">
        <v>20260102</v>
      </c>
      <c r="H107">
        <v>20260204</v>
      </c>
      <c r="I107">
        <v>1263707.2727000001</v>
      </c>
      <c r="J107">
        <f t="shared" si="11"/>
        <v>34</v>
      </c>
      <c r="K107">
        <f t="shared" si="12"/>
        <v>37167.860961764709</v>
      </c>
      <c r="L107">
        <f t="shared" si="13"/>
        <v>1352365.1110186514</v>
      </c>
      <c r="M107">
        <f t="shared" si="14"/>
        <v>148671.44384705884</v>
      </c>
      <c r="N107">
        <f t="shared" si="15"/>
        <v>0</v>
      </c>
      <c r="O107">
        <f t="shared" si="16"/>
        <v>1501036.5548657102</v>
      </c>
      <c r="P107">
        <f t="shared" si="17"/>
        <v>1138542.3097127089</v>
      </c>
      <c r="Q107">
        <f t="shared" si="18"/>
        <v>125164.96298729135</v>
      </c>
      <c r="R107">
        <f t="shared" si="19"/>
        <v>0</v>
      </c>
      <c r="S107">
        <f t="shared" si="20"/>
        <v>1263707.2727000003</v>
      </c>
    </row>
    <row r="108" spans="1:19" x14ac:dyDescent="0.3">
      <c r="A108" t="s">
        <v>13</v>
      </c>
      <c r="B108" t="s">
        <v>24</v>
      </c>
      <c r="C108" t="s">
        <v>15</v>
      </c>
      <c r="D108">
        <v>0</v>
      </c>
      <c r="E108">
        <v>8</v>
      </c>
      <c r="F108">
        <v>16</v>
      </c>
      <c r="G108">
        <v>20260221</v>
      </c>
      <c r="H108">
        <v>20260316</v>
      </c>
      <c r="I108">
        <v>385677.81910000002</v>
      </c>
      <c r="J108">
        <f t="shared" si="11"/>
        <v>24</v>
      </c>
      <c r="K108">
        <f t="shared" si="12"/>
        <v>16069.909129166668</v>
      </c>
      <c r="L108">
        <f t="shared" si="13"/>
        <v>0</v>
      </c>
      <c r="M108">
        <f t="shared" si="14"/>
        <v>128559.27303333335</v>
      </c>
      <c r="N108">
        <f t="shared" si="15"/>
        <v>189565.28834921625</v>
      </c>
      <c r="O108">
        <f t="shared" si="16"/>
        <v>318124.56138254958</v>
      </c>
      <c r="P108">
        <f t="shared" si="17"/>
        <v>0</v>
      </c>
      <c r="Q108">
        <f t="shared" si="18"/>
        <v>155858.63547629004</v>
      </c>
      <c r="R108">
        <f t="shared" si="19"/>
        <v>229819.18362370998</v>
      </c>
      <c r="S108">
        <f t="shared" si="20"/>
        <v>385677.81910000002</v>
      </c>
    </row>
    <row r="109" spans="1:19" x14ac:dyDescent="0.3">
      <c r="A109" t="s">
        <v>13</v>
      </c>
      <c r="B109" t="s">
        <v>24</v>
      </c>
      <c r="C109" t="s">
        <v>14</v>
      </c>
      <c r="D109">
        <v>30</v>
      </c>
      <c r="E109">
        <v>5</v>
      </c>
      <c r="F109">
        <v>0</v>
      </c>
      <c r="G109">
        <v>20260102</v>
      </c>
      <c r="H109">
        <v>20260205</v>
      </c>
      <c r="I109">
        <v>98656.563500000004</v>
      </c>
      <c r="J109">
        <f t="shared" si="11"/>
        <v>35</v>
      </c>
      <c r="K109">
        <f t="shared" si="12"/>
        <v>2818.7589571428571</v>
      </c>
      <c r="L109">
        <f t="shared" si="13"/>
        <v>102561.49187419708</v>
      </c>
      <c r="M109">
        <f t="shared" si="14"/>
        <v>14093.794785714286</v>
      </c>
      <c r="N109">
        <f t="shared" si="15"/>
        <v>0</v>
      </c>
      <c r="O109">
        <f t="shared" si="16"/>
        <v>116655.28665991136</v>
      </c>
      <c r="P109">
        <f t="shared" si="17"/>
        <v>86737.297772366102</v>
      </c>
      <c r="Q109">
        <f t="shared" si="18"/>
        <v>11919.265727633907</v>
      </c>
      <c r="R109">
        <f t="shared" si="19"/>
        <v>0</v>
      </c>
      <c r="S109">
        <f t="shared" si="20"/>
        <v>98656.563500000004</v>
      </c>
    </row>
    <row r="110" spans="1:19" x14ac:dyDescent="0.3">
      <c r="A110" t="s">
        <v>13</v>
      </c>
      <c r="B110" t="s">
        <v>24</v>
      </c>
      <c r="C110" t="s">
        <v>14</v>
      </c>
      <c r="D110">
        <v>24</v>
      </c>
      <c r="E110">
        <v>7</v>
      </c>
      <c r="F110">
        <v>0</v>
      </c>
      <c r="G110">
        <v>20260108</v>
      </c>
      <c r="H110">
        <v>20260207</v>
      </c>
      <c r="I110">
        <v>50781.246099999997</v>
      </c>
      <c r="J110">
        <f t="shared" si="11"/>
        <v>31</v>
      </c>
      <c r="K110">
        <f t="shared" si="12"/>
        <v>1638.1047129032256</v>
      </c>
      <c r="L110">
        <f t="shared" si="13"/>
        <v>47682.392359452366</v>
      </c>
      <c r="M110">
        <f t="shared" si="14"/>
        <v>11466.73299032258</v>
      </c>
      <c r="N110">
        <f t="shared" si="15"/>
        <v>0</v>
      </c>
      <c r="O110">
        <f t="shared" si="16"/>
        <v>59149.125349774942</v>
      </c>
      <c r="P110">
        <f t="shared" si="17"/>
        <v>40936.72200093358</v>
      </c>
      <c r="Q110">
        <f t="shared" si="18"/>
        <v>9844.5240990664188</v>
      </c>
      <c r="R110">
        <f t="shared" si="19"/>
        <v>0</v>
      </c>
      <c r="S110">
        <f t="shared" si="20"/>
        <v>50781.246099999997</v>
      </c>
    </row>
    <row r="111" spans="1:19" x14ac:dyDescent="0.3">
      <c r="A111" t="s">
        <v>13</v>
      </c>
      <c r="B111" t="s">
        <v>24</v>
      </c>
      <c r="C111" t="s">
        <v>14</v>
      </c>
      <c r="D111">
        <v>29</v>
      </c>
      <c r="E111">
        <v>1</v>
      </c>
      <c r="F111">
        <v>0</v>
      </c>
      <c r="G111">
        <v>20260103</v>
      </c>
      <c r="H111">
        <v>20260201</v>
      </c>
      <c r="I111">
        <v>613977.12410000002</v>
      </c>
      <c r="J111">
        <f t="shared" si="11"/>
        <v>30</v>
      </c>
      <c r="K111">
        <f t="shared" si="12"/>
        <v>20465.904136666668</v>
      </c>
      <c r="L111">
        <f t="shared" si="13"/>
        <v>719836.83941548644</v>
      </c>
      <c r="M111">
        <f t="shared" si="14"/>
        <v>20465.904136666668</v>
      </c>
      <c r="N111">
        <f t="shared" si="15"/>
        <v>0</v>
      </c>
      <c r="O111">
        <f t="shared" si="16"/>
        <v>740302.74355215312</v>
      </c>
      <c r="P111">
        <f t="shared" si="17"/>
        <v>597003.53177796688</v>
      </c>
      <c r="Q111">
        <f t="shared" si="18"/>
        <v>16973.592322033139</v>
      </c>
      <c r="R111">
        <f t="shared" si="19"/>
        <v>0</v>
      </c>
      <c r="S111">
        <f t="shared" si="20"/>
        <v>613977.12410000002</v>
      </c>
    </row>
    <row r="112" spans="1:19" x14ac:dyDescent="0.3">
      <c r="A112" t="s">
        <v>13</v>
      </c>
      <c r="B112" t="s">
        <v>24</v>
      </c>
      <c r="C112" t="s">
        <v>15</v>
      </c>
      <c r="D112">
        <v>23</v>
      </c>
      <c r="E112">
        <v>5</v>
      </c>
      <c r="F112">
        <v>0</v>
      </c>
      <c r="G112">
        <v>20260109</v>
      </c>
      <c r="H112">
        <v>20260205</v>
      </c>
      <c r="I112">
        <v>162710.11439999999</v>
      </c>
      <c r="J112">
        <f t="shared" si="11"/>
        <v>28</v>
      </c>
      <c r="K112">
        <f t="shared" si="12"/>
        <v>5811.0755142857142</v>
      </c>
      <c r="L112">
        <f t="shared" si="13"/>
        <v>162102.41709926093</v>
      </c>
      <c r="M112">
        <f t="shared" si="14"/>
        <v>29055.377571428573</v>
      </c>
      <c r="N112">
        <f t="shared" si="15"/>
        <v>0</v>
      </c>
      <c r="O112">
        <f t="shared" si="16"/>
        <v>191157.7946706895</v>
      </c>
      <c r="P112">
        <f t="shared" si="17"/>
        <v>137978.69386479945</v>
      </c>
      <c r="Q112">
        <f t="shared" si="18"/>
        <v>24731.420535200534</v>
      </c>
      <c r="R112">
        <f t="shared" si="19"/>
        <v>0</v>
      </c>
      <c r="S112">
        <f t="shared" si="20"/>
        <v>162710.11439999999</v>
      </c>
    </row>
    <row r="113" spans="1:19" x14ac:dyDescent="0.3">
      <c r="A113" t="s">
        <v>13</v>
      </c>
      <c r="B113" t="s">
        <v>24</v>
      </c>
      <c r="C113" t="s">
        <v>14</v>
      </c>
      <c r="D113">
        <v>24</v>
      </c>
      <c r="E113">
        <v>1</v>
      </c>
      <c r="F113">
        <v>0</v>
      </c>
      <c r="G113">
        <v>20260108</v>
      </c>
      <c r="H113">
        <v>20260201</v>
      </c>
      <c r="I113">
        <v>61714.6682</v>
      </c>
      <c r="J113">
        <f t="shared" si="11"/>
        <v>25</v>
      </c>
      <c r="K113">
        <f t="shared" si="12"/>
        <v>2468.5867280000002</v>
      </c>
      <c r="L113">
        <f t="shared" si="13"/>
        <v>71856.28611568897</v>
      </c>
      <c r="M113">
        <f t="shared" si="14"/>
        <v>2468.5867280000002</v>
      </c>
      <c r="N113">
        <f t="shared" si="15"/>
        <v>0</v>
      </c>
      <c r="O113">
        <f t="shared" si="16"/>
        <v>74324.872843688965</v>
      </c>
      <c r="P113">
        <f t="shared" si="17"/>
        <v>59664.910090600431</v>
      </c>
      <c r="Q113">
        <f t="shared" si="18"/>
        <v>2049.7581093995746</v>
      </c>
      <c r="R113">
        <f t="shared" si="19"/>
        <v>0</v>
      </c>
      <c r="S113">
        <f t="shared" si="20"/>
        <v>61714.668200000007</v>
      </c>
    </row>
    <row r="114" spans="1:19" x14ac:dyDescent="0.3">
      <c r="A114" t="s">
        <v>13</v>
      </c>
      <c r="B114" t="s">
        <v>24</v>
      </c>
      <c r="C114" t="s">
        <v>14</v>
      </c>
      <c r="D114">
        <v>15</v>
      </c>
      <c r="E114">
        <v>16</v>
      </c>
      <c r="F114">
        <v>0</v>
      </c>
      <c r="G114">
        <v>20260117</v>
      </c>
      <c r="H114">
        <v>20260216</v>
      </c>
      <c r="I114">
        <v>374083.75429999997</v>
      </c>
      <c r="J114">
        <f t="shared" si="11"/>
        <v>31</v>
      </c>
      <c r="K114">
        <f t="shared" si="12"/>
        <v>12067.217880645161</v>
      </c>
      <c r="L114">
        <f t="shared" si="13"/>
        <v>219534.88883356657</v>
      </c>
      <c r="M114">
        <f t="shared" si="14"/>
        <v>193075.48609032258</v>
      </c>
      <c r="N114">
        <f t="shared" si="15"/>
        <v>0</v>
      </c>
      <c r="O114">
        <f t="shared" si="16"/>
        <v>412610.37492388918</v>
      </c>
      <c r="P114">
        <f t="shared" si="17"/>
        <v>199036.28315173252</v>
      </c>
      <c r="Q114">
        <f t="shared" si="18"/>
        <v>175047.47114826742</v>
      </c>
      <c r="R114">
        <f t="shared" si="19"/>
        <v>0</v>
      </c>
      <c r="S114">
        <f t="shared" si="20"/>
        <v>374083.75429999991</v>
      </c>
    </row>
    <row r="115" spans="1:19" x14ac:dyDescent="0.3">
      <c r="A115" t="s">
        <v>13</v>
      </c>
      <c r="B115" t="s">
        <v>24</v>
      </c>
      <c r="C115" t="s">
        <v>14</v>
      </c>
      <c r="D115">
        <v>14</v>
      </c>
      <c r="E115">
        <v>19</v>
      </c>
      <c r="F115">
        <v>0</v>
      </c>
      <c r="G115">
        <v>20260118</v>
      </c>
      <c r="H115">
        <v>20260219</v>
      </c>
      <c r="I115">
        <v>217247.66680000001</v>
      </c>
      <c r="J115">
        <f t="shared" si="11"/>
        <v>33</v>
      </c>
      <c r="K115">
        <f t="shared" si="12"/>
        <v>6583.2626303030302</v>
      </c>
      <c r="L115">
        <f t="shared" si="13"/>
        <v>111782.63742318218</v>
      </c>
      <c r="M115">
        <f t="shared" si="14"/>
        <v>125081.98997575758</v>
      </c>
      <c r="N115">
        <f t="shared" si="15"/>
        <v>0</v>
      </c>
      <c r="O115">
        <f t="shared" si="16"/>
        <v>236864.62739893975</v>
      </c>
      <c r="P115">
        <f t="shared" si="17"/>
        <v>102524.87860095482</v>
      </c>
      <c r="Q115">
        <f t="shared" si="18"/>
        <v>114722.7881990452</v>
      </c>
      <c r="R115">
        <f t="shared" si="19"/>
        <v>0</v>
      </c>
      <c r="S115">
        <f t="shared" si="20"/>
        <v>217247.66680000001</v>
      </c>
    </row>
    <row r="116" spans="1:19" x14ac:dyDescent="0.3">
      <c r="A116" t="s">
        <v>13</v>
      </c>
      <c r="B116" t="s">
        <v>24</v>
      </c>
      <c r="C116" t="s">
        <v>15</v>
      </c>
      <c r="D116">
        <v>15</v>
      </c>
      <c r="E116">
        <v>20</v>
      </c>
      <c r="F116">
        <v>0</v>
      </c>
      <c r="G116">
        <v>20260117</v>
      </c>
      <c r="H116">
        <v>20260220</v>
      </c>
      <c r="I116">
        <v>582079.64370000002</v>
      </c>
      <c r="J116">
        <f t="shared" si="11"/>
        <v>35</v>
      </c>
      <c r="K116">
        <f t="shared" si="12"/>
        <v>16630.846962857144</v>
      </c>
      <c r="L116">
        <f t="shared" si="13"/>
        <v>302559.47769492847</v>
      </c>
      <c r="M116">
        <f t="shared" si="14"/>
        <v>332616.93925714289</v>
      </c>
      <c r="N116">
        <f t="shared" si="15"/>
        <v>0</v>
      </c>
      <c r="O116">
        <f t="shared" si="16"/>
        <v>635176.41695207136</v>
      </c>
      <c r="P116">
        <f t="shared" si="17"/>
        <v>277267.39890598162</v>
      </c>
      <c r="Q116">
        <f t="shared" si="18"/>
        <v>304812.24479401839</v>
      </c>
      <c r="R116">
        <f t="shared" si="19"/>
        <v>0</v>
      </c>
      <c r="S116">
        <f t="shared" si="20"/>
        <v>582079.64370000002</v>
      </c>
    </row>
    <row r="117" spans="1:19" x14ac:dyDescent="0.3">
      <c r="A117" t="s">
        <v>13</v>
      </c>
      <c r="B117" t="s">
        <v>24</v>
      </c>
      <c r="C117" t="s">
        <v>15</v>
      </c>
      <c r="D117">
        <v>28</v>
      </c>
      <c r="E117">
        <v>7</v>
      </c>
      <c r="F117">
        <v>0</v>
      </c>
      <c r="G117">
        <v>20260104</v>
      </c>
      <c r="H117">
        <v>20260207</v>
      </c>
      <c r="I117">
        <v>52401.704400000002</v>
      </c>
      <c r="J117">
        <f t="shared" si="11"/>
        <v>35</v>
      </c>
      <c r="K117">
        <f t="shared" si="12"/>
        <v>1497.1915542857143</v>
      </c>
      <c r="L117">
        <f t="shared" si="13"/>
        <v>50844.096632391811</v>
      </c>
      <c r="M117">
        <f t="shared" si="14"/>
        <v>10480.34088</v>
      </c>
      <c r="N117">
        <f t="shared" si="15"/>
        <v>0</v>
      </c>
      <c r="O117">
        <f t="shared" si="16"/>
        <v>61324.437512391814</v>
      </c>
      <c r="P117">
        <f t="shared" si="17"/>
        <v>43446.257809984039</v>
      </c>
      <c r="Q117">
        <f t="shared" si="18"/>
        <v>8955.4465900159576</v>
      </c>
      <c r="R117">
        <f t="shared" si="19"/>
        <v>0</v>
      </c>
      <c r="S117">
        <f t="shared" si="20"/>
        <v>52401.704399999995</v>
      </c>
    </row>
    <row r="118" spans="1:19" x14ac:dyDescent="0.3">
      <c r="A118" t="s">
        <v>13</v>
      </c>
      <c r="B118" t="s">
        <v>24</v>
      </c>
      <c r="C118" t="s">
        <v>15</v>
      </c>
      <c r="D118">
        <v>0</v>
      </c>
      <c r="E118">
        <v>24</v>
      </c>
      <c r="F118">
        <v>7</v>
      </c>
      <c r="G118">
        <v>20260205</v>
      </c>
      <c r="H118">
        <v>20260307</v>
      </c>
      <c r="I118">
        <v>264781.59769999998</v>
      </c>
      <c r="J118">
        <f t="shared" si="11"/>
        <v>31</v>
      </c>
      <c r="K118">
        <f t="shared" si="12"/>
        <v>8541.3418612903224</v>
      </c>
      <c r="L118">
        <f t="shared" si="13"/>
        <v>0</v>
      </c>
      <c r="M118">
        <f t="shared" si="14"/>
        <v>204992.20467096774</v>
      </c>
      <c r="N118">
        <f t="shared" si="15"/>
        <v>44080.809039867541</v>
      </c>
      <c r="O118">
        <f t="shared" si="16"/>
        <v>249073.01371083528</v>
      </c>
      <c r="P118">
        <f t="shared" si="17"/>
        <v>0</v>
      </c>
      <c r="Q118">
        <f t="shared" si="18"/>
        <v>217920.69184917485</v>
      </c>
      <c r="R118">
        <f t="shared" si="19"/>
        <v>46860.90585082514</v>
      </c>
      <c r="S118">
        <f t="shared" si="20"/>
        <v>264781.59769999998</v>
      </c>
    </row>
    <row r="119" spans="1:19" x14ac:dyDescent="0.3">
      <c r="A119" t="s">
        <v>13</v>
      </c>
      <c r="B119" t="s">
        <v>24</v>
      </c>
      <c r="C119" t="s">
        <v>14</v>
      </c>
      <c r="D119">
        <v>27</v>
      </c>
      <c r="E119">
        <v>6</v>
      </c>
      <c r="F119">
        <v>0</v>
      </c>
      <c r="G119">
        <v>20260105</v>
      </c>
      <c r="H119">
        <v>20260206</v>
      </c>
      <c r="I119">
        <v>35931.530200000001</v>
      </c>
      <c r="J119">
        <f t="shared" si="11"/>
        <v>33</v>
      </c>
      <c r="K119">
        <f t="shared" si="12"/>
        <v>1088.8342484848486</v>
      </c>
      <c r="L119">
        <f t="shared" si="13"/>
        <v>35655.840021655305</v>
      </c>
      <c r="M119">
        <f t="shared" si="14"/>
        <v>6533.0054909090913</v>
      </c>
      <c r="N119">
        <f t="shared" si="15"/>
        <v>0</v>
      </c>
      <c r="O119">
        <f t="shared" si="16"/>
        <v>42188.845512564396</v>
      </c>
      <c r="P119">
        <f t="shared" si="17"/>
        <v>30367.479294092729</v>
      </c>
      <c r="Q119">
        <f t="shared" si="18"/>
        <v>5564.050905907271</v>
      </c>
      <c r="R119">
        <f t="shared" si="19"/>
        <v>0</v>
      </c>
      <c r="S119">
        <f t="shared" si="20"/>
        <v>35931.530200000001</v>
      </c>
    </row>
    <row r="120" spans="1:19" x14ac:dyDescent="0.3">
      <c r="A120" t="s">
        <v>13</v>
      </c>
      <c r="B120" t="s">
        <v>24</v>
      </c>
      <c r="C120" t="s">
        <v>14</v>
      </c>
      <c r="D120">
        <v>0</v>
      </c>
      <c r="E120">
        <v>26</v>
      </c>
      <c r="F120">
        <v>9</v>
      </c>
      <c r="G120">
        <v>20260203</v>
      </c>
      <c r="H120">
        <v>20260309</v>
      </c>
      <c r="I120">
        <v>23360.149700000002</v>
      </c>
      <c r="J120">
        <f t="shared" si="11"/>
        <v>35</v>
      </c>
      <c r="K120">
        <f t="shared" si="12"/>
        <v>667.43284857142862</v>
      </c>
      <c r="L120">
        <f t="shared" si="13"/>
        <v>0</v>
      </c>
      <c r="M120">
        <f t="shared" si="14"/>
        <v>17353.254062857144</v>
      </c>
      <c r="N120">
        <f t="shared" si="15"/>
        <v>4428.6922159375799</v>
      </c>
      <c r="O120">
        <f t="shared" si="16"/>
        <v>21781.946278794723</v>
      </c>
      <c r="P120">
        <f t="shared" si="17"/>
        <v>0</v>
      </c>
      <c r="Q120">
        <f t="shared" si="18"/>
        <v>18610.578113725245</v>
      </c>
      <c r="R120">
        <f t="shared" si="19"/>
        <v>4749.5715862747575</v>
      </c>
      <c r="S120">
        <f t="shared" si="20"/>
        <v>23360.149700000002</v>
      </c>
    </row>
    <row r="121" spans="1:19" x14ac:dyDescent="0.3">
      <c r="A121" t="s">
        <v>13</v>
      </c>
      <c r="B121" t="s">
        <v>24</v>
      </c>
      <c r="C121" t="s">
        <v>15</v>
      </c>
      <c r="D121">
        <v>16</v>
      </c>
      <c r="E121">
        <v>18</v>
      </c>
      <c r="F121">
        <v>0</v>
      </c>
      <c r="G121">
        <v>20260116</v>
      </c>
      <c r="H121">
        <v>20260218</v>
      </c>
      <c r="I121">
        <v>341757.01949999999</v>
      </c>
      <c r="J121">
        <f t="shared" si="11"/>
        <v>34</v>
      </c>
      <c r="K121">
        <f t="shared" si="12"/>
        <v>10051.677044117647</v>
      </c>
      <c r="L121">
        <f t="shared" si="13"/>
        <v>195057.94508039404</v>
      </c>
      <c r="M121">
        <f t="shared" si="14"/>
        <v>180930.18679411765</v>
      </c>
      <c r="N121">
        <f t="shared" si="15"/>
        <v>0</v>
      </c>
      <c r="O121">
        <f t="shared" si="16"/>
        <v>375988.13187451172</v>
      </c>
      <c r="P121">
        <f t="shared" si="17"/>
        <v>177299.27167679628</v>
      </c>
      <c r="Q121">
        <f t="shared" si="18"/>
        <v>164457.74782320371</v>
      </c>
      <c r="R121">
        <f t="shared" si="19"/>
        <v>0</v>
      </c>
      <c r="S121">
        <f t="shared" si="20"/>
        <v>341757.01949999999</v>
      </c>
    </row>
    <row r="122" spans="1:19" x14ac:dyDescent="0.3">
      <c r="A122" t="s">
        <v>13</v>
      </c>
      <c r="B122" t="s">
        <v>24</v>
      </c>
      <c r="C122" t="s">
        <v>15</v>
      </c>
      <c r="D122">
        <v>22</v>
      </c>
      <c r="E122">
        <v>5</v>
      </c>
      <c r="F122">
        <v>0</v>
      </c>
      <c r="G122">
        <v>20260110</v>
      </c>
      <c r="H122">
        <v>20260205</v>
      </c>
      <c r="I122">
        <v>9797.3932999999997</v>
      </c>
      <c r="J122">
        <f t="shared" si="11"/>
        <v>27</v>
      </c>
      <c r="K122">
        <f t="shared" si="12"/>
        <v>362.86641851851851</v>
      </c>
      <c r="L122">
        <f t="shared" si="13"/>
        <v>9682.2121555773447</v>
      </c>
      <c r="M122">
        <f t="shared" si="14"/>
        <v>1814.3320925925925</v>
      </c>
      <c r="N122">
        <f t="shared" si="15"/>
        <v>0</v>
      </c>
      <c r="O122">
        <f t="shared" si="16"/>
        <v>11496.544248169937</v>
      </c>
      <c r="P122">
        <f t="shared" si="17"/>
        <v>8251.2134476699175</v>
      </c>
      <c r="Q122">
        <f t="shared" si="18"/>
        <v>1546.1798523300818</v>
      </c>
      <c r="R122">
        <f t="shared" si="19"/>
        <v>0</v>
      </c>
      <c r="S122">
        <f t="shared" si="20"/>
        <v>9797.3932999999997</v>
      </c>
    </row>
    <row r="123" spans="1:19" x14ac:dyDescent="0.3">
      <c r="A123" t="s">
        <v>13</v>
      </c>
      <c r="B123" t="s">
        <v>24</v>
      </c>
      <c r="C123" t="s">
        <v>14</v>
      </c>
      <c r="D123">
        <v>0</v>
      </c>
      <c r="E123">
        <v>21</v>
      </c>
      <c r="F123">
        <v>4</v>
      </c>
      <c r="G123">
        <v>20260208</v>
      </c>
      <c r="H123">
        <v>20260304</v>
      </c>
      <c r="I123">
        <v>3717.0866000000001</v>
      </c>
      <c r="J123">
        <f t="shared" si="11"/>
        <v>25</v>
      </c>
      <c r="K123">
        <f t="shared" si="12"/>
        <v>148.68346400000001</v>
      </c>
      <c r="L123">
        <f t="shared" si="13"/>
        <v>0</v>
      </c>
      <c r="M123">
        <f t="shared" si="14"/>
        <v>3122.3527440000003</v>
      </c>
      <c r="N123">
        <f t="shared" si="15"/>
        <v>438.47826859774392</v>
      </c>
      <c r="O123">
        <f t="shared" si="16"/>
        <v>3560.8310125977441</v>
      </c>
      <c r="P123">
        <f t="shared" si="17"/>
        <v>0</v>
      </c>
      <c r="Q123">
        <f t="shared" si="18"/>
        <v>3259.3671264193554</v>
      </c>
      <c r="R123">
        <f t="shared" si="19"/>
        <v>457.71947358064506</v>
      </c>
      <c r="S123">
        <f t="shared" si="20"/>
        <v>3717.0866000000005</v>
      </c>
    </row>
    <row r="124" spans="1:19" x14ac:dyDescent="0.3">
      <c r="A124" t="s">
        <v>13</v>
      </c>
      <c r="B124" t="s">
        <v>24</v>
      </c>
      <c r="C124" t="s">
        <v>15</v>
      </c>
      <c r="D124">
        <v>25</v>
      </c>
      <c r="E124">
        <v>7</v>
      </c>
      <c r="F124">
        <v>0</v>
      </c>
      <c r="G124">
        <v>20260107</v>
      </c>
      <c r="H124">
        <v>20260207</v>
      </c>
      <c r="I124">
        <v>216974.79519999999</v>
      </c>
      <c r="J124">
        <f t="shared" si="11"/>
        <v>32</v>
      </c>
      <c r="K124">
        <f t="shared" si="12"/>
        <v>6780.4623499999998</v>
      </c>
      <c r="L124">
        <f t="shared" si="13"/>
        <v>205591.16759836636</v>
      </c>
      <c r="M124">
        <f t="shared" si="14"/>
        <v>47463.236449999997</v>
      </c>
      <c r="N124">
        <f t="shared" si="15"/>
        <v>0</v>
      </c>
      <c r="O124">
        <f t="shared" si="16"/>
        <v>253054.40404836636</v>
      </c>
      <c r="P124">
        <f t="shared" si="17"/>
        <v>176278.70043336001</v>
      </c>
      <c r="Q124">
        <f t="shared" si="18"/>
        <v>40696.094766639995</v>
      </c>
      <c r="R124">
        <f t="shared" si="19"/>
        <v>0</v>
      </c>
      <c r="S124">
        <f t="shared" si="20"/>
        <v>216974.79519999999</v>
      </c>
    </row>
    <row r="125" spans="1:19" x14ac:dyDescent="0.3">
      <c r="A125" t="s">
        <v>13</v>
      </c>
      <c r="B125" t="s">
        <v>24</v>
      </c>
      <c r="C125" t="s">
        <v>14</v>
      </c>
      <c r="D125">
        <v>0</v>
      </c>
      <c r="E125">
        <v>22</v>
      </c>
      <c r="F125">
        <v>9</v>
      </c>
      <c r="G125">
        <v>20260207</v>
      </c>
      <c r="H125">
        <v>20260309</v>
      </c>
      <c r="I125">
        <v>36202.967700000001</v>
      </c>
      <c r="J125">
        <f t="shared" si="11"/>
        <v>31</v>
      </c>
      <c r="K125">
        <f t="shared" si="12"/>
        <v>1167.8376677419355</v>
      </c>
      <c r="L125">
        <f t="shared" si="13"/>
        <v>0</v>
      </c>
      <c r="M125">
        <f t="shared" si="14"/>
        <v>25692.42869032258</v>
      </c>
      <c r="N125">
        <f t="shared" si="15"/>
        <v>7749.0845703467076</v>
      </c>
      <c r="O125">
        <f t="shared" si="16"/>
        <v>33441.513260669286</v>
      </c>
      <c r="P125">
        <f t="shared" si="17"/>
        <v>0</v>
      </c>
      <c r="Q125">
        <f t="shared" si="18"/>
        <v>27813.997493476054</v>
      </c>
      <c r="R125">
        <f t="shared" si="19"/>
        <v>8388.9702065239508</v>
      </c>
      <c r="S125">
        <f t="shared" si="20"/>
        <v>36202.967700000008</v>
      </c>
    </row>
    <row r="126" spans="1:19" x14ac:dyDescent="0.3">
      <c r="A126" t="s">
        <v>13</v>
      </c>
      <c r="B126" t="s">
        <v>24</v>
      </c>
      <c r="C126" t="s">
        <v>14</v>
      </c>
      <c r="D126">
        <v>26</v>
      </c>
      <c r="E126">
        <v>7</v>
      </c>
      <c r="F126">
        <v>0</v>
      </c>
      <c r="G126">
        <v>20260106</v>
      </c>
      <c r="H126">
        <v>20260207</v>
      </c>
      <c r="I126">
        <v>13575.729600000001</v>
      </c>
      <c r="J126">
        <f t="shared" si="11"/>
        <v>33</v>
      </c>
      <c r="K126">
        <f t="shared" si="12"/>
        <v>411.38574545454549</v>
      </c>
      <c r="L126">
        <f t="shared" si="13"/>
        <v>12972.620778725703</v>
      </c>
      <c r="M126">
        <f t="shared" si="14"/>
        <v>2879.7002181818184</v>
      </c>
      <c r="N126">
        <f t="shared" si="15"/>
        <v>0</v>
      </c>
      <c r="O126">
        <f t="shared" si="16"/>
        <v>15852.320996907521</v>
      </c>
      <c r="P126">
        <f t="shared" si="17"/>
        <v>11109.590319908217</v>
      </c>
      <c r="Q126">
        <f t="shared" si="18"/>
        <v>2466.1392800917829</v>
      </c>
      <c r="R126">
        <f t="shared" si="19"/>
        <v>0</v>
      </c>
      <c r="S126">
        <f t="shared" si="20"/>
        <v>13575.729599999999</v>
      </c>
    </row>
    <row r="127" spans="1:19" x14ac:dyDescent="0.3">
      <c r="A127" t="s">
        <v>13</v>
      </c>
      <c r="B127" t="s">
        <v>24</v>
      </c>
      <c r="C127" t="s">
        <v>15</v>
      </c>
      <c r="D127">
        <v>0</v>
      </c>
      <c r="E127">
        <v>28</v>
      </c>
      <c r="F127">
        <v>0</v>
      </c>
      <c r="G127">
        <v>20260201</v>
      </c>
      <c r="H127">
        <v>20260228</v>
      </c>
      <c r="I127">
        <v>45749.366099999999</v>
      </c>
      <c r="J127">
        <f t="shared" si="11"/>
        <v>28</v>
      </c>
      <c r="K127">
        <f t="shared" si="12"/>
        <v>1633.9059321428572</v>
      </c>
      <c r="L127">
        <f t="shared" si="13"/>
        <v>0</v>
      </c>
      <c r="M127">
        <f t="shared" si="14"/>
        <v>45749.366099999999</v>
      </c>
      <c r="N127">
        <f t="shared" si="15"/>
        <v>0</v>
      </c>
      <c r="O127">
        <f t="shared" si="16"/>
        <v>45749.366099999999</v>
      </c>
      <c r="P127">
        <f t="shared" si="17"/>
        <v>0</v>
      </c>
      <c r="Q127">
        <f t="shared" si="18"/>
        <v>45749.366099999999</v>
      </c>
      <c r="R127">
        <f t="shared" si="19"/>
        <v>0</v>
      </c>
      <c r="S127">
        <f t="shared" si="20"/>
        <v>45749.366099999999</v>
      </c>
    </row>
    <row r="128" spans="1:19" x14ac:dyDescent="0.3">
      <c r="A128" t="s">
        <v>13</v>
      </c>
      <c r="B128" t="s">
        <v>24</v>
      </c>
      <c r="C128" t="s">
        <v>15</v>
      </c>
      <c r="D128">
        <v>25</v>
      </c>
      <c r="E128">
        <v>9</v>
      </c>
      <c r="F128">
        <v>0</v>
      </c>
      <c r="G128">
        <v>20260107</v>
      </c>
      <c r="H128">
        <v>20260209</v>
      </c>
      <c r="I128">
        <v>65627.532099999997</v>
      </c>
      <c r="J128">
        <f t="shared" si="11"/>
        <v>34</v>
      </c>
      <c r="K128">
        <f t="shared" si="12"/>
        <v>1930.221532352941</v>
      </c>
      <c r="L128">
        <f t="shared" si="13"/>
        <v>58526.465906849116</v>
      </c>
      <c r="M128">
        <f t="shared" si="14"/>
        <v>17371.993791176468</v>
      </c>
      <c r="N128">
        <f t="shared" si="15"/>
        <v>0</v>
      </c>
      <c r="O128">
        <f t="shared" si="16"/>
        <v>75898.459698025588</v>
      </c>
      <c r="P128">
        <f t="shared" si="17"/>
        <v>50606.396167763254</v>
      </c>
      <c r="Q128">
        <f t="shared" si="18"/>
        <v>15021.135932236743</v>
      </c>
      <c r="R128">
        <f t="shared" si="19"/>
        <v>0</v>
      </c>
      <c r="S128">
        <f t="shared" si="20"/>
        <v>65627.532099999997</v>
      </c>
    </row>
    <row r="129" spans="1:19" x14ac:dyDescent="0.3">
      <c r="A129" t="s">
        <v>13</v>
      </c>
      <c r="B129" t="s">
        <v>24</v>
      </c>
      <c r="C129" t="s">
        <v>15</v>
      </c>
      <c r="D129">
        <v>24</v>
      </c>
      <c r="E129">
        <v>10</v>
      </c>
      <c r="F129">
        <v>0</v>
      </c>
      <c r="G129">
        <v>20260108</v>
      </c>
      <c r="H129">
        <v>20260210</v>
      </c>
      <c r="I129">
        <v>31662.820299999999</v>
      </c>
      <c r="J129">
        <f t="shared" si="11"/>
        <v>34</v>
      </c>
      <c r="K129">
        <f t="shared" si="12"/>
        <v>931.25942058823523</v>
      </c>
      <c r="L129">
        <f t="shared" si="13"/>
        <v>27107.34956755344</v>
      </c>
      <c r="M129">
        <f t="shared" si="14"/>
        <v>9312.594205882353</v>
      </c>
      <c r="N129">
        <f t="shared" si="15"/>
        <v>0</v>
      </c>
      <c r="O129">
        <f t="shared" si="16"/>
        <v>36419.943773435793</v>
      </c>
      <c r="P129">
        <f t="shared" si="17"/>
        <v>23566.624471088719</v>
      </c>
      <c r="Q129">
        <f t="shared" si="18"/>
        <v>8096.1958289112781</v>
      </c>
      <c r="R129">
        <f t="shared" si="19"/>
        <v>0</v>
      </c>
      <c r="S129">
        <f t="shared" si="20"/>
        <v>31662.820299999996</v>
      </c>
    </row>
    <row r="130" spans="1:19" x14ac:dyDescent="0.3">
      <c r="A130" t="s">
        <v>13</v>
      </c>
      <c r="B130" t="s">
        <v>24</v>
      </c>
      <c r="C130" t="s">
        <v>14</v>
      </c>
      <c r="D130">
        <v>0</v>
      </c>
      <c r="E130">
        <v>20</v>
      </c>
      <c r="F130">
        <v>4</v>
      </c>
      <c r="G130">
        <v>20260209</v>
      </c>
      <c r="H130">
        <v>20260304</v>
      </c>
      <c r="I130">
        <v>6167.7061000000003</v>
      </c>
      <c r="J130">
        <f t="shared" si="11"/>
        <v>24</v>
      </c>
      <c r="K130">
        <f t="shared" si="12"/>
        <v>256.98775416666666</v>
      </c>
      <c r="L130">
        <f t="shared" si="13"/>
        <v>0</v>
      </c>
      <c r="M130">
        <f t="shared" si="14"/>
        <v>5139.7550833333335</v>
      </c>
      <c r="N130">
        <f t="shared" si="15"/>
        <v>757.87543864207146</v>
      </c>
      <c r="O130">
        <f t="shared" si="16"/>
        <v>5897.6305219754049</v>
      </c>
      <c r="P130">
        <f t="shared" si="17"/>
        <v>0</v>
      </c>
      <c r="Q130">
        <f t="shared" si="18"/>
        <v>5375.1245795850509</v>
      </c>
      <c r="R130">
        <f t="shared" si="19"/>
        <v>792.58152041494975</v>
      </c>
      <c r="S130">
        <f t="shared" si="20"/>
        <v>6167.7061000000003</v>
      </c>
    </row>
    <row r="131" spans="1:19" x14ac:dyDescent="0.3">
      <c r="A131" t="s">
        <v>13</v>
      </c>
      <c r="B131" t="s">
        <v>24</v>
      </c>
      <c r="C131" t="s">
        <v>14</v>
      </c>
      <c r="D131">
        <v>0</v>
      </c>
      <c r="E131">
        <v>21</v>
      </c>
      <c r="F131">
        <v>2</v>
      </c>
      <c r="G131">
        <v>20260208</v>
      </c>
      <c r="H131">
        <v>20260302</v>
      </c>
      <c r="I131">
        <v>380.01429999999999</v>
      </c>
      <c r="J131">
        <f t="shared" si="11"/>
        <v>23</v>
      </c>
      <c r="K131">
        <f t="shared" si="12"/>
        <v>16.522360869565215</v>
      </c>
      <c r="L131">
        <f t="shared" si="13"/>
        <v>0</v>
      </c>
      <c r="M131">
        <f t="shared" si="14"/>
        <v>346.96957826086953</v>
      </c>
      <c r="N131">
        <f t="shared" si="15"/>
        <v>24.362817465814722</v>
      </c>
      <c r="O131">
        <f t="shared" si="16"/>
        <v>371.33239572668424</v>
      </c>
      <c r="P131">
        <f t="shared" si="17"/>
        <v>0</v>
      </c>
      <c r="Q131">
        <f t="shared" si="18"/>
        <v>355.08186983273345</v>
      </c>
      <c r="R131">
        <f t="shared" si="19"/>
        <v>24.932430167266581</v>
      </c>
      <c r="S131">
        <f t="shared" si="20"/>
        <v>380.01430000000005</v>
      </c>
    </row>
    <row r="132" spans="1:19" x14ac:dyDescent="0.3">
      <c r="A132" t="s">
        <v>13</v>
      </c>
      <c r="B132" t="s">
        <v>24</v>
      </c>
      <c r="C132" t="s">
        <v>14</v>
      </c>
      <c r="D132">
        <v>0</v>
      </c>
      <c r="E132">
        <v>23</v>
      </c>
      <c r="F132">
        <v>9</v>
      </c>
      <c r="G132">
        <v>20260206</v>
      </c>
      <c r="H132">
        <v>20260309</v>
      </c>
      <c r="I132">
        <v>844.99009999999998</v>
      </c>
      <c r="J132">
        <f t="shared" si="11"/>
        <v>32</v>
      </c>
      <c r="K132">
        <f t="shared" si="12"/>
        <v>26.405940624999999</v>
      </c>
      <c r="L132">
        <f t="shared" si="13"/>
        <v>0</v>
      </c>
      <c r="M132">
        <f t="shared" si="14"/>
        <v>607.33663437500002</v>
      </c>
      <c r="N132">
        <f t="shared" si="15"/>
        <v>175.21430650402291</v>
      </c>
      <c r="O132">
        <f t="shared" si="16"/>
        <v>782.55094087902296</v>
      </c>
      <c r="P132">
        <f t="shared" si="17"/>
        <v>0</v>
      </c>
      <c r="Q132">
        <f t="shared" si="18"/>
        <v>655.79557394402377</v>
      </c>
      <c r="R132">
        <f t="shared" si="19"/>
        <v>189.19452605597616</v>
      </c>
      <c r="S132">
        <f t="shared" si="20"/>
        <v>844.99009999999998</v>
      </c>
    </row>
    <row r="133" spans="1:19" x14ac:dyDescent="0.3">
      <c r="A133" t="s">
        <v>13</v>
      </c>
      <c r="B133" t="s">
        <v>24</v>
      </c>
      <c r="C133" t="s">
        <v>14</v>
      </c>
      <c r="D133">
        <v>0</v>
      </c>
      <c r="E133">
        <v>19</v>
      </c>
      <c r="F133">
        <v>9</v>
      </c>
      <c r="G133">
        <v>20260210</v>
      </c>
      <c r="H133">
        <v>20260309</v>
      </c>
      <c r="I133">
        <v>126.82559999999999</v>
      </c>
      <c r="J133">
        <f t="shared" si="11"/>
        <v>28</v>
      </c>
      <c r="K133">
        <f t="shared" si="12"/>
        <v>4.5294857142857143</v>
      </c>
      <c r="L133">
        <f t="shared" si="13"/>
        <v>0</v>
      </c>
      <c r="M133">
        <f t="shared" si="14"/>
        <v>86.060228571428567</v>
      </c>
      <c r="N133">
        <f t="shared" si="15"/>
        <v>30.055005785216196</v>
      </c>
      <c r="O133">
        <f t="shared" si="16"/>
        <v>116.11523435664476</v>
      </c>
      <c r="P133">
        <f t="shared" si="17"/>
        <v>0</v>
      </c>
      <c r="Q133">
        <f t="shared" si="18"/>
        <v>93.998347289939176</v>
      </c>
      <c r="R133">
        <f t="shared" si="19"/>
        <v>32.827252710060826</v>
      </c>
      <c r="S133">
        <f t="shared" si="20"/>
        <v>126.82560000000001</v>
      </c>
    </row>
    <row r="134" spans="1:19" x14ac:dyDescent="0.3">
      <c r="A134" t="s">
        <v>13</v>
      </c>
      <c r="B134" t="s">
        <v>24</v>
      </c>
      <c r="C134" t="s">
        <v>14</v>
      </c>
      <c r="D134">
        <v>23</v>
      </c>
      <c r="E134">
        <v>1</v>
      </c>
      <c r="F134">
        <v>0</v>
      </c>
      <c r="G134">
        <v>20260109</v>
      </c>
      <c r="H134">
        <v>20260201</v>
      </c>
      <c r="I134">
        <v>36597.908000000003</v>
      </c>
      <c r="J134">
        <f t="shared" si="11"/>
        <v>24</v>
      </c>
      <c r="K134">
        <f t="shared" si="12"/>
        <v>1524.9128333333335</v>
      </c>
      <c r="L134">
        <f t="shared" si="13"/>
        <v>42538.090503441032</v>
      </c>
      <c r="M134">
        <f t="shared" si="14"/>
        <v>1524.9128333333335</v>
      </c>
      <c r="N134">
        <f t="shared" si="15"/>
        <v>0</v>
      </c>
      <c r="O134">
        <f t="shared" si="16"/>
        <v>44063.003336774367</v>
      </c>
      <c r="P134">
        <f t="shared" si="17"/>
        <v>35331.34386782303</v>
      </c>
      <c r="Q134">
        <f t="shared" si="18"/>
        <v>1266.5641321769726</v>
      </c>
      <c r="R134">
        <f t="shared" si="19"/>
        <v>0</v>
      </c>
      <c r="S134">
        <f t="shared" si="20"/>
        <v>36597.908000000003</v>
      </c>
    </row>
    <row r="135" spans="1:19" x14ac:dyDescent="0.3">
      <c r="A135" t="s">
        <v>13</v>
      </c>
      <c r="B135" t="s">
        <v>24</v>
      </c>
      <c r="C135" t="s">
        <v>15</v>
      </c>
      <c r="D135">
        <v>0</v>
      </c>
      <c r="E135">
        <v>20</v>
      </c>
      <c r="F135">
        <v>7</v>
      </c>
      <c r="G135">
        <v>20260209</v>
      </c>
      <c r="H135">
        <v>20260307</v>
      </c>
      <c r="I135">
        <v>12806.6895</v>
      </c>
      <c r="J135">
        <f t="shared" si="11"/>
        <v>27</v>
      </c>
      <c r="K135">
        <f t="shared" si="12"/>
        <v>474.32183333333336</v>
      </c>
      <c r="L135">
        <f t="shared" si="13"/>
        <v>0</v>
      </c>
      <c r="M135">
        <f t="shared" si="14"/>
        <v>9486.4366666666665</v>
      </c>
      <c r="N135">
        <f t="shared" si="15"/>
        <v>2447.9163225352913</v>
      </c>
      <c r="O135">
        <f t="shared" si="16"/>
        <v>11934.352989201958</v>
      </c>
      <c r="P135">
        <f t="shared" si="17"/>
        <v>0</v>
      </c>
      <c r="Q135">
        <f t="shared" si="18"/>
        <v>10179.84376374131</v>
      </c>
      <c r="R135">
        <f t="shared" si="19"/>
        <v>2626.8457362586914</v>
      </c>
      <c r="S135">
        <f t="shared" si="20"/>
        <v>12806.6895</v>
      </c>
    </row>
    <row r="136" spans="1:19" x14ac:dyDescent="0.3">
      <c r="A136" t="s">
        <v>13</v>
      </c>
      <c r="B136" t="s">
        <v>24</v>
      </c>
      <c r="C136" t="s">
        <v>14</v>
      </c>
      <c r="D136">
        <v>0</v>
      </c>
      <c r="E136">
        <v>13</v>
      </c>
      <c r="F136">
        <v>0</v>
      </c>
      <c r="G136">
        <v>20260202</v>
      </c>
      <c r="H136">
        <v>20260214</v>
      </c>
      <c r="I136">
        <v>126.51430000000001</v>
      </c>
      <c r="J136">
        <f t="shared" si="11"/>
        <v>13</v>
      </c>
      <c r="K136">
        <f t="shared" si="12"/>
        <v>9.7318692307692309</v>
      </c>
      <c r="L136">
        <f t="shared" si="13"/>
        <v>0</v>
      </c>
      <c r="M136">
        <f t="shared" si="14"/>
        <v>126.51430000000001</v>
      </c>
      <c r="N136">
        <f t="shared" si="15"/>
        <v>0</v>
      </c>
      <c r="O136">
        <f t="shared" si="16"/>
        <v>126.51430000000001</v>
      </c>
      <c r="P136">
        <f t="shared" si="17"/>
        <v>0</v>
      </c>
      <c r="Q136">
        <f t="shared" si="18"/>
        <v>126.51430000000001</v>
      </c>
      <c r="R136">
        <f t="shared" si="19"/>
        <v>0</v>
      </c>
      <c r="S136">
        <f t="shared" si="20"/>
        <v>126.51430000000001</v>
      </c>
    </row>
    <row r="137" spans="1:19" x14ac:dyDescent="0.3">
      <c r="A137" t="s">
        <v>13</v>
      </c>
      <c r="B137" t="s">
        <v>24</v>
      </c>
      <c r="C137" t="s">
        <v>15</v>
      </c>
      <c r="D137">
        <v>30</v>
      </c>
      <c r="E137">
        <v>8</v>
      </c>
      <c r="F137">
        <v>0</v>
      </c>
      <c r="G137">
        <v>20260102</v>
      </c>
      <c r="H137">
        <v>20260208</v>
      </c>
      <c r="I137">
        <v>27439.8622</v>
      </c>
      <c r="J137">
        <f t="shared" si="11"/>
        <v>38</v>
      </c>
      <c r="K137">
        <f t="shared" si="12"/>
        <v>722.10163684210522</v>
      </c>
      <c r="L137">
        <f t="shared" si="13"/>
        <v>26273.910712249868</v>
      </c>
      <c r="M137">
        <f t="shared" si="14"/>
        <v>5776.8130947368418</v>
      </c>
      <c r="N137">
        <f t="shared" si="15"/>
        <v>0</v>
      </c>
      <c r="O137">
        <f t="shared" si="16"/>
        <v>32050.723806986709</v>
      </c>
      <c r="P137">
        <f t="shared" si="17"/>
        <v>22494.109454154681</v>
      </c>
      <c r="Q137">
        <f t="shared" si="18"/>
        <v>4945.7527458453205</v>
      </c>
      <c r="R137">
        <f t="shared" si="19"/>
        <v>0</v>
      </c>
      <c r="S137">
        <f t="shared" si="20"/>
        <v>27439.862200000003</v>
      </c>
    </row>
    <row r="138" spans="1:19" x14ac:dyDescent="0.3">
      <c r="A138" t="s">
        <v>13</v>
      </c>
      <c r="B138" t="s">
        <v>24</v>
      </c>
      <c r="C138" t="s">
        <v>14</v>
      </c>
      <c r="D138">
        <v>0</v>
      </c>
      <c r="E138">
        <v>19</v>
      </c>
      <c r="F138">
        <v>5</v>
      </c>
      <c r="G138">
        <v>20260210</v>
      </c>
      <c r="H138">
        <v>20260305</v>
      </c>
      <c r="I138">
        <v>15085.189200000001</v>
      </c>
      <c r="J138">
        <f t="shared" si="11"/>
        <v>24</v>
      </c>
      <c r="K138">
        <f t="shared" si="12"/>
        <v>628.54955000000007</v>
      </c>
      <c r="L138">
        <f t="shared" si="13"/>
        <v>0</v>
      </c>
      <c r="M138">
        <f t="shared" si="14"/>
        <v>11942.441450000002</v>
      </c>
      <c r="N138">
        <f t="shared" si="15"/>
        <v>2317.0474963837528</v>
      </c>
      <c r="O138">
        <f t="shared" si="16"/>
        <v>14259.488946383755</v>
      </c>
      <c r="P138">
        <f t="shared" si="17"/>
        <v>0</v>
      </c>
      <c r="Q138">
        <f t="shared" si="18"/>
        <v>12633.972329622648</v>
      </c>
      <c r="R138">
        <f t="shared" si="19"/>
        <v>2451.2168703773518</v>
      </c>
      <c r="S138">
        <f t="shared" si="20"/>
        <v>15085.189199999999</v>
      </c>
    </row>
    <row r="139" spans="1:19" x14ac:dyDescent="0.3">
      <c r="A139" t="s">
        <v>13</v>
      </c>
      <c r="B139" t="s">
        <v>24</v>
      </c>
      <c r="C139" t="s">
        <v>14</v>
      </c>
      <c r="D139">
        <v>23</v>
      </c>
      <c r="E139">
        <v>9</v>
      </c>
      <c r="F139">
        <v>0</v>
      </c>
      <c r="G139">
        <v>20260109</v>
      </c>
      <c r="H139">
        <v>20260209</v>
      </c>
      <c r="I139">
        <v>7737.7245999999996</v>
      </c>
      <c r="J139">
        <f t="shared" ref="J139:J202" si="21">IF(D139&lt;0,0,D139)+E139+F139</f>
        <v>32</v>
      </c>
      <c r="K139">
        <f t="shared" ref="K139:K202" si="22">I139/J139</f>
        <v>241.80389374999999</v>
      </c>
      <c r="L139">
        <f t="shared" ref="L139:L202" si="23">IF(D139&lt;0,0,D139)*$K139*$B$6</f>
        <v>6745.2222130873288</v>
      </c>
      <c r="M139">
        <f t="shared" ref="M139:M202" si="24">IF(E139&lt;0,0,E139)*$K139*$C$6</f>
        <v>2176.2350437499999</v>
      </c>
      <c r="N139">
        <f t="shared" ref="N139:N202" si="25">IF(F139&lt;0,0,F139)*$K139*$D$6</f>
        <v>0</v>
      </c>
      <c r="O139">
        <f t="shared" ref="O139:O202" si="26">L139+M139+N139</f>
        <v>8921.4572568373296</v>
      </c>
      <c r="P139">
        <f t="shared" ref="P139:P202" si="27">L139/$O139*$I139</f>
        <v>5850.2406443378113</v>
      </c>
      <c r="Q139">
        <f t="shared" ref="Q139:Q202" si="28">M139/$O139*$I139</f>
        <v>1887.4839556621873</v>
      </c>
      <c r="R139">
        <f t="shared" ref="R139:R202" si="29">N139/$O139*$I139</f>
        <v>0</v>
      </c>
      <c r="S139">
        <f t="shared" ref="S139:S202" si="30">P139+Q139+R139</f>
        <v>7737.7245999999986</v>
      </c>
    </row>
    <row r="140" spans="1:19" x14ac:dyDescent="0.3">
      <c r="A140" t="s">
        <v>13</v>
      </c>
      <c r="B140" t="s">
        <v>24</v>
      </c>
      <c r="C140" t="s">
        <v>15</v>
      </c>
      <c r="D140">
        <v>28</v>
      </c>
      <c r="E140">
        <v>11</v>
      </c>
      <c r="F140">
        <v>0</v>
      </c>
      <c r="G140">
        <v>20260104</v>
      </c>
      <c r="H140">
        <v>20260211</v>
      </c>
      <c r="I140">
        <v>8954.1</v>
      </c>
      <c r="J140">
        <f t="shared" si="21"/>
        <v>39</v>
      </c>
      <c r="K140">
        <f t="shared" si="22"/>
        <v>229.59230769230771</v>
      </c>
      <c r="L140">
        <f t="shared" si="23"/>
        <v>7796.8737166238707</v>
      </c>
      <c r="M140">
        <f t="shared" si="24"/>
        <v>2525.5153846153848</v>
      </c>
      <c r="N140">
        <f t="shared" si="25"/>
        <v>0</v>
      </c>
      <c r="O140">
        <f t="shared" si="26"/>
        <v>10322.389101239256</v>
      </c>
      <c r="P140">
        <f t="shared" si="27"/>
        <v>6763.3554849855709</v>
      </c>
      <c r="Q140">
        <f t="shared" si="28"/>
        <v>2190.744515014429</v>
      </c>
      <c r="R140">
        <f t="shared" si="29"/>
        <v>0</v>
      </c>
      <c r="S140">
        <f t="shared" si="30"/>
        <v>8954.1</v>
      </c>
    </row>
    <row r="141" spans="1:19" x14ac:dyDescent="0.3">
      <c r="A141" t="s">
        <v>13</v>
      </c>
      <c r="B141" t="s">
        <v>24</v>
      </c>
      <c r="C141" t="s">
        <v>15</v>
      </c>
      <c r="D141">
        <v>0</v>
      </c>
      <c r="E141">
        <v>25</v>
      </c>
      <c r="F141">
        <v>8</v>
      </c>
      <c r="G141">
        <v>20260204</v>
      </c>
      <c r="H141">
        <v>20260308</v>
      </c>
      <c r="I141">
        <v>130517.3746</v>
      </c>
      <c r="J141">
        <f t="shared" si="21"/>
        <v>33</v>
      </c>
      <c r="K141">
        <f t="shared" si="22"/>
        <v>3955.0719575757576</v>
      </c>
      <c r="L141">
        <f t="shared" si="23"/>
        <v>0</v>
      </c>
      <c r="M141">
        <f t="shared" si="24"/>
        <v>98876.798939393935</v>
      </c>
      <c r="N141">
        <f t="shared" si="25"/>
        <v>23327.585428562623</v>
      </c>
      <c r="O141">
        <f t="shared" si="26"/>
        <v>122204.38436795656</v>
      </c>
      <c r="P141">
        <f t="shared" si="27"/>
        <v>0</v>
      </c>
      <c r="Q141">
        <f t="shared" si="28"/>
        <v>105602.92311251676</v>
      </c>
      <c r="R141">
        <f t="shared" si="29"/>
        <v>24914.451487483242</v>
      </c>
      <c r="S141">
        <f t="shared" si="30"/>
        <v>130517.3746</v>
      </c>
    </row>
    <row r="142" spans="1:19" x14ac:dyDescent="0.3">
      <c r="A142" t="s">
        <v>13</v>
      </c>
      <c r="B142" t="s">
        <v>24</v>
      </c>
      <c r="C142" t="s">
        <v>14</v>
      </c>
      <c r="D142">
        <v>0</v>
      </c>
      <c r="E142">
        <v>19</v>
      </c>
      <c r="F142">
        <v>8</v>
      </c>
      <c r="G142">
        <v>20260210</v>
      </c>
      <c r="H142">
        <v>20260308</v>
      </c>
      <c r="I142">
        <v>84.544499999999999</v>
      </c>
      <c r="J142">
        <f t="shared" si="21"/>
        <v>27</v>
      </c>
      <c r="K142">
        <f t="shared" si="22"/>
        <v>3.1312777777777776</v>
      </c>
      <c r="L142">
        <f t="shared" si="23"/>
        <v>0</v>
      </c>
      <c r="M142">
        <f t="shared" si="24"/>
        <v>59.494277777777775</v>
      </c>
      <c r="N142">
        <f t="shared" si="25"/>
        <v>18.468728418899239</v>
      </c>
      <c r="O142">
        <f t="shared" si="26"/>
        <v>77.963006196677014</v>
      </c>
      <c r="P142">
        <f t="shared" si="27"/>
        <v>0</v>
      </c>
      <c r="Q142">
        <f t="shared" si="28"/>
        <v>64.51667544597224</v>
      </c>
      <c r="R142">
        <f t="shared" si="29"/>
        <v>20.027824554027767</v>
      </c>
      <c r="S142">
        <f t="shared" si="30"/>
        <v>84.544499999999999</v>
      </c>
    </row>
    <row r="143" spans="1:19" x14ac:dyDescent="0.3">
      <c r="A143" t="s">
        <v>13</v>
      </c>
      <c r="B143" t="s">
        <v>24</v>
      </c>
      <c r="C143" t="s">
        <v>15</v>
      </c>
      <c r="D143">
        <v>0</v>
      </c>
      <c r="E143">
        <v>14</v>
      </c>
      <c r="F143">
        <v>0</v>
      </c>
      <c r="G143">
        <v>20260206</v>
      </c>
      <c r="H143">
        <v>20260219</v>
      </c>
      <c r="I143">
        <v>4383.6710000000003</v>
      </c>
      <c r="J143">
        <f t="shared" si="21"/>
        <v>14</v>
      </c>
      <c r="K143">
        <f t="shared" si="22"/>
        <v>313.11935714285715</v>
      </c>
      <c r="L143">
        <f t="shared" si="23"/>
        <v>0</v>
      </c>
      <c r="M143">
        <f t="shared" si="24"/>
        <v>4383.6710000000003</v>
      </c>
      <c r="N143">
        <f t="shared" si="25"/>
        <v>0</v>
      </c>
      <c r="O143">
        <f t="shared" si="26"/>
        <v>4383.6710000000003</v>
      </c>
      <c r="P143">
        <f t="shared" si="27"/>
        <v>0</v>
      </c>
      <c r="Q143">
        <f t="shared" si="28"/>
        <v>4383.6710000000003</v>
      </c>
      <c r="R143">
        <f t="shared" si="29"/>
        <v>0</v>
      </c>
      <c r="S143">
        <f t="shared" si="30"/>
        <v>4383.6710000000003</v>
      </c>
    </row>
    <row r="144" spans="1:19" x14ac:dyDescent="0.3">
      <c r="A144" t="s">
        <v>13</v>
      </c>
      <c r="B144" t="s">
        <v>24</v>
      </c>
      <c r="C144" t="s">
        <v>15</v>
      </c>
      <c r="D144">
        <v>0</v>
      </c>
      <c r="E144">
        <v>15</v>
      </c>
      <c r="F144">
        <v>0</v>
      </c>
      <c r="G144">
        <v>20260206</v>
      </c>
      <c r="H144">
        <v>20260220</v>
      </c>
      <c r="I144">
        <v>1264.3723</v>
      </c>
      <c r="J144">
        <f t="shared" si="21"/>
        <v>15</v>
      </c>
      <c r="K144">
        <f t="shared" si="22"/>
        <v>84.291486666666671</v>
      </c>
      <c r="L144">
        <f t="shared" si="23"/>
        <v>0</v>
      </c>
      <c r="M144">
        <f t="shared" si="24"/>
        <v>1264.3723</v>
      </c>
      <c r="N144">
        <f t="shared" si="25"/>
        <v>0</v>
      </c>
      <c r="O144">
        <f t="shared" si="26"/>
        <v>1264.3723</v>
      </c>
      <c r="P144">
        <f t="shared" si="27"/>
        <v>0</v>
      </c>
      <c r="Q144">
        <f t="shared" si="28"/>
        <v>1264.3723</v>
      </c>
      <c r="R144">
        <f t="shared" si="29"/>
        <v>0</v>
      </c>
      <c r="S144">
        <f t="shared" si="30"/>
        <v>1264.3723</v>
      </c>
    </row>
    <row r="145" spans="1:19" x14ac:dyDescent="0.3">
      <c r="A145" t="s">
        <v>13</v>
      </c>
      <c r="B145" t="s">
        <v>24</v>
      </c>
      <c r="C145" t="s">
        <v>15</v>
      </c>
      <c r="D145">
        <v>0</v>
      </c>
      <c r="E145">
        <v>5</v>
      </c>
      <c r="F145">
        <v>16</v>
      </c>
      <c r="G145">
        <v>20260224</v>
      </c>
      <c r="H145">
        <v>20260316</v>
      </c>
      <c r="I145">
        <v>887.84140000000002</v>
      </c>
      <c r="J145">
        <f t="shared" si="21"/>
        <v>21</v>
      </c>
      <c r="K145">
        <f t="shared" si="22"/>
        <v>42.278161904761909</v>
      </c>
      <c r="L145">
        <f t="shared" si="23"/>
        <v>0</v>
      </c>
      <c r="M145">
        <f t="shared" si="24"/>
        <v>211.39080952380954</v>
      </c>
      <c r="N145">
        <f t="shared" si="25"/>
        <v>498.72540584594111</v>
      </c>
      <c r="O145">
        <f t="shared" si="26"/>
        <v>710.11621536975065</v>
      </c>
      <c r="P145">
        <f t="shared" si="27"/>
        <v>0</v>
      </c>
      <c r="Q145">
        <f t="shared" si="28"/>
        <v>264.29689706075567</v>
      </c>
      <c r="R145">
        <f t="shared" si="29"/>
        <v>623.54450293924435</v>
      </c>
      <c r="S145">
        <f t="shared" si="30"/>
        <v>887.84140000000002</v>
      </c>
    </row>
    <row r="146" spans="1:19" x14ac:dyDescent="0.3">
      <c r="A146" t="s">
        <v>13</v>
      </c>
      <c r="B146" t="s">
        <v>24</v>
      </c>
      <c r="C146" t="s">
        <v>15</v>
      </c>
      <c r="D146">
        <v>0</v>
      </c>
      <c r="E146">
        <v>21</v>
      </c>
      <c r="F146">
        <v>0</v>
      </c>
      <c r="G146">
        <v>20260205</v>
      </c>
      <c r="H146">
        <v>20260225</v>
      </c>
      <c r="I146">
        <v>6787.8509000000004</v>
      </c>
      <c r="J146">
        <f t="shared" si="21"/>
        <v>21</v>
      </c>
      <c r="K146">
        <f t="shared" si="22"/>
        <v>323.23099523809526</v>
      </c>
      <c r="L146">
        <f t="shared" si="23"/>
        <v>0</v>
      </c>
      <c r="M146">
        <f t="shared" si="24"/>
        <v>6787.8509000000004</v>
      </c>
      <c r="N146">
        <f t="shared" si="25"/>
        <v>0</v>
      </c>
      <c r="O146">
        <f t="shared" si="26"/>
        <v>6787.8509000000004</v>
      </c>
      <c r="P146">
        <f t="shared" si="27"/>
        <v>0</v>
      </c>
      <c r="Q146">
        <f t="shared" si="28"/>
        <v>6787.8509000000004</v>
      </c>
      <c r="R146">
        <f t="shared" si="29"/>
        <v>0</v>
      </c>
      <c r="S146">
        <f t="shared" si="30"/>
        <v>6787.8509000000004</v>
      </c>
    </row>
    <row r="147" spans="1:19" x14ac:dyDescent="0.3">
      <c r="A147" t="s">
        <v>13</v>
      </c>
      <c r="B147" t="s">
        <v>24</v>
      </c>
      <c r="C147" t="s">
        <v>15</v>
      </c>
      <c r="D147">
        <v>26</v>
      </c>
      <c r="E147">
        <v>11</v>
      </c>
      <c r="F147">
        <v>0</v>
      </c>
      <c r="G147">
        <v>20260106</v>
      </c>
      <c r="H147">
        <v>20260211</v>
      </c>
      <c r="I147">
        <v>91742.070900000006</v>
      </c>
      <c r="J147">
        <f t="shared" si="21"/>
        <v>37</v>
      </c>
      <c r="K147">
        <f t="shared" si="22"/>
        <v>2479.5154297297299</v>
      </c>
      <c r="L147">
        <f t="shared" si="23"/>
        <v>78188.935178933971</v>
      </c>
      <c r="M147">
        <f t="shared" si="24"/>
        <v>27274.669727027031</v>
      </c>
      <c r="N147">
        <f t="shared" si="25"/>
        <v>0</v>
      </c>
      <c r="O147">
        <f t="shared" si="26"/>
        <v>105463.60490596099</v>
      </c>
      <c r="P147">
        <f t="shared" si="27"/>
        <v>68016.021651994772</v>
      </c>
      <c r="Q147">
        <f t="shared" si="28"/>
        <v>23726.049248005238</v>
      </c>
      <c r="R147">
        <f t="shared" si="29"/>
        <v>0</v>
      </c>
      <c r="S147">
        <f t="shared" si="30"/>
        <v>91742.070900000006</v>
      </c>
    </row>
    <row r="148" spans="1:19" x14ac:dyDescent="0.3">
      <c r="A148" t="s">
        <v>13</v>
      </c>
      <c r="B148" t="s">
        <v>24</v>
      </c>
      <c r="C148" t="s">
        <v>15</v>
      </c>
      <c r="D148">
        <v>31</v>
      </c>
      <c r="E148">
        <v>2</v>
      </c>
      <c r="F148">
        <v>0</v>
      </c>
      <c r="G148">
        <v>20251229</v>
      </c>
      <c r="H148">
        <v>20260202</v>
      </c>
      <c r="I148">
        <v>49765.880499999999</v>
      </c>
      <c r="J148">
        <f t="shared" si="21"/>
        <v>33</v>
      </c>
      <c r="K148">
        <f t="shared" si="22"/>
        <v>1508.0569848484847</v>
      </c>
      <c r="L148">
        <f t="shared" si="23"/>
        <v>56700.198834765462</v>
      </c>
      <c r="M148">
        <f t="shared" si="24"/>
        <v>3016.1139696969694</v>
      </c>
      <c r="N148">
        <f t="shared" si="25"/>
        <v>0</v>
      </c>
      <c r="O148">
        <f t="shared" si="26"/>
        <v>59716.312804462432</v>
      </c>
      <c r="P148">
        <f t="shared" si="27"/>
        <v>47252.336707003065</v>
      </c>
      <c r="Q148">
        <f t="shared" si="28"/>
        <v>2513.5437929969362</v>
      </c>
      <c r="R148">
        <f t="shared" si="29"/>
        <v>0</v>
      </c>
      <c r="S148">
        <f t="shared" si="30"/>
        <v>49765.880499999999</v>
      </c>
    </row>
    <row r="149" spans="1:19" x14ac:dyDescent="0.3">
      <c r="A149" t="s">
        <v>13</v>
      </c>
      <c r="B149" t="s">
        <v>24</v>
      </c>
      <c r="C149" t="s">
        <v>15</v>
      </c>
      <c r="D149">
        <v>31</v>
      </c>
      <c r="E149">
        <v>4</v>
      </c>
      <c r="F149">
        <v>0</v>
      </c>
      <c r="G149">
        <v>20251226</v>
      </c>
      <c r="H149">
        <v>20260204</v>
      </c>
      <c r="I149">
        <v>28902.4467</v>
      </c>
      <c r="J149">
        <f t="shared" si="21"/>
        <v>35</v>
      </c>
      <c r="K149">
        <f t="shared" si="22"/>
        <v>825.78419142857149</v>
      </c>
      <c r="L149">
        <f t="shared" si="23"/>
        <v>31047.983145882434</v>
      </c>
      <c r="M149">
        <f t="shared" si="24"/>
        <v>3303.136765714286</v>
      </c>
      <c r="N149">
        <f t="shared" si="25"/>
        <v>0</v>
      </c>
      <c r="O149">
        <f t="shared" si="26"/>
        <v>34351.119911596717</v>
      </c>
      <c r="P149">
        <f t="shared" si="27"/>
        <v>26123.243734869371</v>
      </c>
      <c r="Q149">
        <f t="shared" si="28"/>
        <v>2779.2029651306334</v>
      </c>
      <c r="R149">
        <f t="shared" si="29"/>
        <v>0</v>
      </c>
      <c r="S149">
        <f t="shared" si="30"/>
        <v>28902.446700000004</v>
      </c>
    </row>
    <row r="150" spans="1:19" x14ac:dyDescent="0.3">
      <c r="A150" t="s">
        <v>13</v>
      </c>
      <c r="B150" t="s">
        <v>24</v>
      </c>
      <c r="C150" t="s">
        <v>15</v>
      </c>
      <c r="D150">
        <v>31</v>
      </c>
      <c r="E150">
        <v>1</v>
      </c>
      <c r="F150">
        <v>0</v>
      </c>
      <c r="G150">
        <v>20251226</v>
      </c>
      <c r="H150">
        <v>20260201</v>
      </c>
      <c r="I150">
        <v>14570.7363</v>
      </c>
      <c r="J150">
        <f t="shared" si="21"/>
        <v>32</v>
      </c>
      <c r="K150">
        <f t="shared" si="22"/>
        <v>455.33550937500002</v>
      </c>
      <c r="L150">
        <f t="shared" si="23"/>
        <v>17119.786704005503</v>
      </c>
      <c r="M150">
        <f t="shared" si="24"/>
        <v>455.33550937500002</v>
      </c>
      <c r="N150">
        <f t="shared" si="25"/>
        <v>0</v>
      </c>
      <c r="O150">
        <f t="shared" si="26"/>
        <v>17575.122213380502</v>
      </c>
      <c r="P150">
        <f t="shared" si="27"/>
        <v>14193.238291475303</v>
      </c>
      <c r="Q150">
        <f t="shared" si="28"/>
        <v>377.49800852469696</v>
      </c>
      <c r="R150">
        <f t="shared" si="29"/>
        <v>0</v>
      </c>
      <c r="S150">
        <f t="shared" si="30"/>
        <v>14570.7363</v>
      </c>
    </row>
    <row r="151" spans="1:19" x14ac:dyDescent="0.3">
      <c r="A151" t="s">
        <v>13</v>
      </c>
      <c r="B151" t="s">
        <v>24</v>
      </c>
      <c r="C151" t="s">
        <v>15</v>
      </c>
      <c r="D151">
        <v>9</v>
      </c>
      <c r="E151">
        <v>1</v>
      </c>
      <c r="F151">
        <v>0</v>
      </c>
      <c r="G151">
        <v>20260123</v>
      </c>
      <c r="H151">
        <v>20260201</v>
      </c>
      <c r="I151">
        <v>14089.6914</v>
      </c>
      <c r="J151">
        <f t="shared" si="21"/>
        <v>10</v>
      </c>
      <c r="K151">
        <f t="shared" si="22"/>
        <v>1408.9691399999999</v>
      </c>
      <c r="L151">
        <f t="shared" si="23"/>
        <v>15379.744689085957</v>
      </c>
      <c r="M151">
        <f t="shared" si="24"/>
        <v>1408.9691399999999</v>
      </c>
      <c r="N151">
        <f t="shared" si="25"/>
        <v>0</v>
      </c>
      <c r="O151">
        <f t="shared" si="26"/>
        <v>16788.713829085958</v>
      </c>
      <c r="P151">
        <f t="shared" si="27"/>
        <v>12907.233912379328</v>
      </c>
      <c r="Q151">
        <f t="shared" si="28"/>
        <v>1182.4574876206707</v>
      </c>
      <c r="R151">
        <f t="shared" si="29"/>
        <v>0</v>
      </c>
      <c r="S151">
        <f t="shared" si="30"/>
        <v>14089.6914</v>
      </c>
    </row>
    <row r="152" spans="1:19" x14ac:dyDescent="0.3">
      <c r="A152" t="s">
        <v>13</v>
      </c>
      <c r="B152" t="s">
        <v>24</v>
      </c>
      <c r="C152" t="s">
        <v>15</v>
      </c>
      <c r="D152">
        <v>9</v>
      </c>
      <c r="E152">
        <v>4</v>
      </c>
      <c r="F152">
        <v>0</v>
      </c>
      <c r="G152">
        <v>20260123</v>
      </c>
      <c r="H152">
        <v>20260204</v>
      </c>
      <c r="I152">
        <v>11619.133099999999</v>
      </c>
      <c r="J152">
        <f t="shared" si="21"/>
        <v>13</v>
      </c>
      <c r="K152">
        <f t="shared" si="22"/>
        <v>893.77946923076911</v>
      </c>
      <c r="L152">
        <f t="shared" si="23"/>
        <v>9756.1399003501156</v>
      </c>
      <c r="M152">
        <f t="shared" si="24"/>
        <v>3575.1178769230764</v>
      </c>
      <c r="N152">
        <f t="shared" si="25"/>
        <v>0</v>
      </c>
      <c r="O152">
        <f t="shared" si="26"/>
        <v>13331.257777273193</v>
      </c>
      <c r="P152">
        <f t="shared" si="27"/>
        <v>8503.1652630435601</v>
      </c>
      <c r="Q152">
        <f t="shared" si="28"/>
        <v>3115.9678369564376</v>
      </c>
      <c r="R152">
        <f t="shared" si="29"/>
        <v>0</v>
      </c>
      <c r="S152">
        <f t="shared" si="30"/>
        <v>11619.133099999997</v>
      </c>
    </row>
    <row r="153" spans="1:19" x14ac:dyDescent="0.3">
      <c r="A153" t="s">
        <v>13</v>
      </c>
      <c r="B153" t="s">
        <v>24</v>
      </c>
      <c r="C153" t="s">
        <v>15</v>
      </c>
      <c r="D153">
        <v>0</v>
      </c>
      <c r="E153">
        <v>6</v>
      </c>
      <c r="F153">
        <v>5</v>
      </c>
      <c r="G153">
        <v>20260223</v>
      </c>
      <c r="H153">
        <v>20260305</v>
      </c>
      <c r="I153">
        <v>423.84890000000001</v>
      </c>
      <c r="J153">
        <f t="shared" si="21"/>
        <v>11</v>
      </c>
      <c r="K153">
        <f t="shared" si="22"/>
        <v>38.531718181818185</v>
      </c>
      <c r="L153">
        <f t="shared" si="23"/>
        <v>0</v>
      </c>
      <c r="M153">
        <f t="shared" si="24"/>
        <v>231.19030909090912</v>
      </c>
      <c r="N153">
        <f t="shared" si="25"/>
        <v>142.04102308966117</v>
      </c>
      <c r="O153">
        <f t="shared" si="26"/>
        <v>373.23133218057029</v>
      </c>
      <c r="P153">
        <f t="shared" si="27"/>
        <v>0</v>
      </c>
      <c r="Q153">
        <f t="shared" si="28"/>
        <v>262.54429826763351</v>
      </c>
      <c r="R153">
        <f t="shared" si="29"/>
        <v>161.30460173236654</v>
      </c>
      <c r="S153">
        <f t="shared" si="30"/>
        <v>423.84890000000007</v>
      </c>
    </row>
    <row r="154" spans="1:19" x14ac:dyDescent="0.3">
      <c r="A154" t="s">
        <v>13</v>
      </c>
      <c r="B154" t="s">
        <v>24</v>
      </c>
      <c r="C154" t="s">
        <v>15</v>
      </c>
      <c r="D154">
        <v>0</v>
      </c>
      <c r="E154">
        <v>17</v>
      </c>
      <c r="F154">
        <v>2</v>
      </c>
      <c r="G154">
        <v>20260212</v>
      </c>
      <c r="H154">
        <v>20260302</v>
      </c>
      <c r="I154">
        <v>29357.223300000001</v>
      </c>
      <c r="J154">
        <f t="shared" si="21"/>
        <v>19</v>
      </c>
      <c r="K154">
        <f t="shared" si="22"/>
        <v>1545.1170157894737</v>
      </c>
      <c r="L154">
        <f t="shared" si="23"/>
        <v>0</v>
      </c>
      <c r="M154">
        <f t="shared" si="24"/>
        <v>26266.989268421054</v>
      </c>
      <c r="N154">
        <f t="shared" si="25"/>
        <v>2278.3308097539389</v>
      </c>
      <c r="O154">
        <f t="shared" si="26"/>
        <v>28545.320078174991</v>
      </c>
      <c r="P154">
        <f t="shared" si="27"/>
        <v>0</v>
      </c>
      <c r="Q154">
        <f t="shared" si="28"/>
        <v>27014.090830297722</v>
      </c>
      <c r="R154">
        <f t="shared" si="29"/>
        <v>2343.1324697022787</v>
      </c>
      <c r="S154">
        <f t="shared" si="30"/>
        <v>29357.223300000001</v>
      </c>
    </row>
    <row r="155" spans="1:19" x14ac:dyDescent="0.3">
      <c r="A155" t="s">
        <v>13</v>
      </c>
      <c r="B155" t="s">
        <v>24</v>
      </c>
      <c r="C155" t="s">
        <v>15</v>
      </c>
      <c r="D155">
        <v>12</v>
      </c>
      <c r="E155">
        <v>3</v>
      </c>
      <c r="F155">
        <v>0</v>
      </c>
      <c r="G155">
        <v>20260120</v>
      </c>
      <c r="H155">
        <v>20260203</v>
      </c>
      <c r="I155">
        <v>8162.2790999999997</v>
      </c>
      <c r="J155">
        <f t="shared" si="21"/>
        <v>15</v>
      </c>
      <c r="K155">
        <f t="shared" si="22"/>
        <v>544.15193999999997</v>
      </c>
      <c r="L155">
        <f t="shared" si="23"/>
        <v>7919.6604777029361</v>
      </c>
      <c r="M155">
        <f t="shared" si="24"/>
        <v>1632.4558199999999</v>
      </c>
      <c r="N155">
        <f t="shared" si="25"/>
        <v>0</v>
      </c>
      <c r="O155">
        <f t="shared" si="26"/>
        <v>9552.1162977029362</v>
      </c>
      <c r="P155">
        <f t="shared" si="27"/>
        <v>6767.3463326441824</v>
      </c>
      <c r="Q155">
        <f t="shared" si="28"/>
        <v>1394.9327673558173</v>
      </c>
      <c r="R155">
        <f t="shared" si="29"/>
        <v>0</v>
      </c>
      <c r="S155">
        <f t="shared" si="30"/>
        <v>8162.2790999999997</v>
      </c>
    </row>
    <row r="156" spans="1:19" x14ac:dyDescent="0.3">
      <c r="A156" t="s">
        <v>13</v>
      </c>
      <c r="B156" t="s">
        <v>24</v>
      </c>
      <c r="C156" t="s">
        <v>15</v>
      </c>
      <c r="D156">
        <v>16</v>
      </c>
      <c r="E156">
        <v>3</v>
      </c>
      <c r="F156">
        <v>0</v>
      </c>
      <c r="G156">
        <v>20260116</v>
      </c>
      <c r="H156">
        <v>20260203</v>
      </c>
      <c r="I156">
        <v>14171.8109</v>
      </c>
      <c r="J156">
        <f t="shared" si="21"/>
        <v>19</v>
      </c>
      <c r="K156">
        <f t="shared" si="22"/>
        <v>745.88478421052639</v>
      </c>
      <c r="L156">
        <f t="shared" si="23"/>
        <v>14474.276544726556</v>
      </c>
      <c r="M156">
        <f t="shared" si="24"/>
        <v>2237.6543526315791</v>
      </c>
      <c r="N156">
        <f t="shared" si="25"/>
        <v>0</v>
      </c>
      <c r="O156">
        <f t="shared" si="26"/>
        <v>16711.930897358136</v>
      </c>
      <c r="P156">
        <f t="shared" si="27"/>
        <v>12274.267489856429</v>
      </c>
      <c r="Q156">
        <f t="shared" si="28"/>
        <v>1897.5434101435706</v>
      </c>
      <c r="R156">
        <f t="shared" si="29"/>
        <v>0</v>
      </c>
      <c r="S156">
        <f t="shared" si="30"/>
        <v>14171.8109</v>
      </c>
    </row>
    <row r="157" spans="1:19" x14ac:dyDescent="0.3">
      <c r="A157" t="s">
        <v>13</v>
      </c>
      <c r="B157" t="s">
        <v>24</v>
      </c>
      <c r="C157" t="s">
        <v>15</v>
      </c>
      <c r="D157">
        <v>11</v>
      </c>
      <c r="E157">
        <v>1</v>
      </c>
      <c r="F157">
        <v>0</v>
      </c>
      <c r="G157">
        <v>20260121</v>
      </c>
      <c r="H157">
        <v>20260201</v>
      </c>
      <c r="I157">
        <v>10091.2613</v>
      </c>
      <c r="J157">
        <f t="shared" si="21"/>
        <v>12</v>
      </c>
      <c r="K157">
        <f t="shared" si="22"/>
        <v>840.93844166666668</v>
      </c>
      <c r="L157">
        <f t="shared" si="23"/>
        <v>11219.203522937385</v>
      </c>
      <c r="M157">
        <f t="shared" si="24"/>
        <v>840.93844166666668</v>
      </c>
      <c r="N157">
        <f t="shared" si="25"/>
        <v>0</v>
      </c>
      <c r="O157">
        <f t="shared" si="26"/>
        <v>12060.141964604052</v>
      </c>
      <c r="P157">
        <f t="shared" si="27"/>
        <v>9387.6104162061329</v>
      </c>
      <c r="Q157">
        <f t="shared" si="28"/>
        <v>703.65088379386668</v>
      </c>
      <c r="R157">
        <f t="shared" si="29"/>
        <v>0</v>
      </c>
      <c r="S157">
        <f t="shared" si="30"/>
        <v>10091.2613</v>
      </c>
    </row>
    <row r="158" spans="1:19" x14ac:dyDescent="0.3">
      <c r="A158" t="s">
        <v>13</v>
      </c>
      <c r="B158" t="s">
        <v>24</v>
      </c>
      <c r="C158" t="s">
        <v>15</v>
      </c>
      <c r="D158">
        <v>22</v>
      </c>
      <c r="E158">
        <v>3</v>
      </c>
      <c r="F158">
        <v>0</v>
      </c>
      <c r="G158">
        <v>20260110</v>
      </c>
      <c r="H158">
        <v>20260203</v>
      </c>
      <c r="I158">
        <v>6894.7227999999996</v>
      </c>
      <c r="J158">
        <f t="shared" si="21"/>
        <v>25</v>
      </c>
      <c r="K158">
        <f t="shared" si="22"/>
        <v>275.78891199999998</v>
      </c>
      <c r="L158">
        <f t="shared" si="23"/>
        <v>7358.7596422995457</v>
      </c>
      <c r="M158">
        <f t="shared" si="24"/>
        <v>827.36673599999995</v>
      </c>
      <c r="N158">
        <f t="shared" si="25"/>
        <v>0</v>
      </c>
      <c r="O158">
        <f t="shared" si="26"/>
        <v>8186.1263782995456</v>
      </c>
      <c r="P158">
        <f t="shared" si="27"/>
        <v>6197.8774258823169</v>
      </c>
      <c r="Q158">
        <f t="shared" si="28"/>
        <v>696.84537411768292</v>
      </c>
      <c r="R158">
        <f t="shared" si="29"/>
        <v>0</v>
      </c>
      <c r="S158">
        <f t="shared" si="30"/>
        <v>6894.7227999999996</v>
      </c>
    </row>
    <row r="159" spans="1:19" x14ac:dyDescent="0.3">
      <c r="A159" t="s">
        <v>13</v>
      </c>
      <c r="B159" t="s">
        <v>24</v>
      </c>
      <c r="C159" t="s">
        <v>15</v>
      </c>
      <c r="D159">
        <v>22</v>
      </c>
      <c r="E159">
        <v>4</v>
      </c>
      <c r="F159">
        <v>0</v>
      </c>
      <c r="G159">
        <v>20260110</v>
      </c>
      <c r="H159">
        <v>20260204</v>
      </c>
      <c r="I159">
        <v>588.65689999999995</v>
      </c>
      <c r="J159">
        <f t="shared" si="21"/>
        <v>26</v>
      </c>
      <c r="K159">
        <f t="shared" si="22"/>
        <v>22.640649999999997</v>
      </c>
      <c r="L159">
        <f t="shared" si="23"/>
        <v>604.11094952007784</v>
      </c>
      <c r="M159">
        <f t="shared" si="24"/>
        <v>90.562599999999989</v>
      </c>
      <c r="N159">
        <f t="shared" si="25"/>
        <v>0</v>
      </c>
      <c r="O159">
        <f t="shared" si="26"/>
        <v>694.67354952007781</v>
      </c>
      <c r="P159">
        <f t="shared" si="27"/>
        <v>511.91538679747492</v>
      </c>
      <c r="Q159">
        <f t="shared" si="28"/>
        <v>76.741513202525041</v>
      </c>
      <c r="R159">
        <f t="shared" si="29"/>
        <v>0</v>
      </c>
      <c r="S159">
        <f t="shared" si="30"/>
        <v>588.65689999999995</v>
      </c>
    </row>
    <row r="160" spans="1:19" x14ac:dyDescent="0.3">
      <c r="A160" t="s">
        <v>13</v>
      </c>
      <c r="B160" t="s">
        <v>24</v>
      </c>
      <c r="C160" t="s">
        <v>15</v>
      </c>
      <c r="D160">
        <v>0</v>
      </c>
      <c r="E160">
        <v>11</v>
      </c>
      <c r="F160">
        <v>0</v>
      </c>
      <c r="G160">
        <v>20260204</v>
      </c>
      <c r="H160">
        <v>20260214</v>
      </c>
      <c r="I160">
        <v>84.311199999999999</v>
      </c>
      <c r="J160">
        <f t="shared" si="21"/>
        <v>11</v>
      </c>
      <c r="K160">
        <f t="shared" si="22"/>
        <v>7.6646545454545452</v>
      </c>
      <c r="L160">
        <f t="shared" si="23"/>
        <v>0</v>
      </c>
      <c r="M160">
        <f t="shared" si="24"/>
        <v>84.311199999999999</v>
      </c>
      <c r="N160">
        <f t="shared" si="25"/>
        <v>0</v>
      </c>
      <c r="O160">
        <f t="shared" si="26"/>
        <v>84.311199999999999</v>
      </c>
      <c r="P160">
        <f t="shared" si="27"/>
        <v>0</v>
      </c>
      <c r="Q160">
        <f t="shared" si="28"/>
        <v>84.311199999999999</v>
      </c>
      <c r="R160">
        <f t="shared" si="29"/>
        <v>0</v>
      </c>
      <c r="S160">
        <f t="shared" si="30"/>
        <v>84.311199999999999</v>
      </c>
    </row>
    <row r="161" spans="1:19" x14ac:dyDescent="0.3">
      <c r="A161" t="s">
        <v>13</v>
      </c>
      <c r="B161" t="s">
        <v>24</v>
      </c>
      <c r="C161" t="s">
        <v>15</v>
      </c>
      <c r="D161">
        <v>4</v>
      </c>
      <c r="E161">
        <v>28</v>
      </c>
      <c r="F161">
        <v>1</v>
      </c>
      <c r="G161">
        <v>20260128</v>
      </c>
      <c r="H161">
        <v>20260301</v>
      </c>
      <c r="I161">
        <v>8054.7440999999999</v>
      </c>
      <c r="J161">
        <f t="shared" si="21"/>
        <v>33</v>
      </c>
      <c r="K161">
        <f t="shared" si="22"/>
        <v>244.08315454545453</v>
      </c>
      <c r="L161">
        <f t="shared" si="23"/>
        <v>1184.1396800108771</v>
      </c>
      <c r="M161">
        <f t="shared" si="24"/>
        <v>6834.3283272727267</v>
      </c>
      <c r="N161">
        <f t="shared" si="25"/>
        <v>179.95471069830342</v>
      </c>
      <c r="O161">
        <f t="shared" si="26"/>
        <v>8198.4227179819063</v>
      </c>
      <c r="P161">
        <f t="shared" si="27"/>
        <v>1163.3874501522807</v>
      </c>
      <c r="Q161">
        <f t="shared" si="28"/>
        <v>6714.5556731079932</v>
      </c>
      <c r="R161">
        <f t="shared" si="29"/>
        <v>176.80097673972674</v>
      </c>
      <c r="S161">
        <f t="shared" si="30"/>
        <v>8054.7441000000008</v>
      </c>
    </row>
    <row r="162" spans="1:19" x14ac:dyDescent="0.3">
      <c r="A162" t="s">
        <v>13</v>
      </c>
      <c r="B162" t="s">
        <v>24</v>
      </c>
      <c r="C162" t="s">
        <v>15</v>
      </c>
      <c r="D162">
        <v>18</v>
      </c>
      <c r="E162">
        <v>4</v>
      </c>
      <c r="F162">
        <v>0</v>
      </c>
      <c r="G162">
        <v>20260114</v>
      </c>
      <c r="H162">
        <v>20260204</v>
      </c>
      <c r="I162">
        <v>588.72609999999997</v>
      </c>
      <c r="J162">
        <f t="shared" si="21"/>
        <v>22</v>
      </c>
      <c r="K162">
        <f t="shared" si="22"/>
        <v>26.760277272727272</v>
      </c>
      <c r="L162">
        <f t="shared" si="23"/>
        <v>584.20900867097055</v>
      </c>
      <c r="M162">
        <f t="shared" si="24"/>
        <v>107.04110909090909</v>
      </c>
      <c r="N162">
        <f t="shared" si="25"/>
        <v>0</v>
      </c>
      <c r="O162">
        <f t="shared" si="26"/>
        <v>691.25011776187966</v>
      </c>
      <c r="P162">
        <f t="shared" si="27"/>
        <v>497.56098758193059</v>
      </c>
      <c r="Q162">
        <f t="shared" si="28"/>
        <v>91.16511241806937</v>
      </c>
      <c r="R162">
        <f t="shared" si="29"/>
        <v>0</v>
      </c>
      <c r="S162">
        <f t="shared" si="30"/>
        <v>588.72609999999997</v>
      </c>
    </row>
    <row r="163" spans="1:19" x14ac:dyDescent="0.3">
      <c r="A163" t="s">
        <v>13</v>
      </c>
      <c r="B163" t="s">
        <v>24</v>
      </c>
      <c r="C163" t="s">
        <v>15</v>
      </c>
      <c r="D163">
        <v>1</v>
      </c>
      <c r="E163">
        <v>28</v>
      </c>
      <c r="F163">
        <v>4</v>
      </c>
      <c r="G163">
        <v>20260131</v>
      </c>
      <c r="H163">
        <v>20260304</v>
      </c>
      <c r="I163">
        <v>3081.4002999999998</v>
      </c>
      <c r="J163">
        <f t="shared" si="21"/>
        <v>33</v>
      </c>
      <c r="K163">
        <f t="shared" si="22"/>
        <v>93.375766666666664</v>
      </c>
      <c r="L163">
        <f t="shared" si="23"/>
        <v>113.25028827506205</v>
      </c>
      <c r="M163">
        <f t="shared" si="24"/>
        <v>2614.5214666666666</v>
      </c>
      <c r="N163">
        <f t="shared" si="25"/>
        <v>275.37187657254827</v>
      </c>
      <c r="O163">
        <f t="shared" si="26"/>
        <v>3003.1436315142769</v>
      </c>
      <c r="P163">
        <f t="shared" si="27"/>
        <v>116.20139263532378</v>
      </c>
      <c r="Q163">
        <f t="shared" si="28"/>
        <v>2682.6513215023383</v>
      </c>
      <c r="R163">
        <f t="shared" si="29"/>
        <v>282.54758586233783</v>
      </c>
      <c r="S163">
        <f t="shared" si="30"/>
        <v>3081.4002999999998</v>
      </c>
    </row>
    <row r="164" spans="1:19" x14ac:dyDescent="0.3">
      <c r="A164" t="s">
        <v>13</v>
      </c>
      <c r="B164" t="s">
        <v>24</v>
      </c>
      <c r="C164" t="s">
        <v>15</v>
      </c>
      <c r="D164">
        <v>0</v>
      </c>
      <c r="E164">
        <v>16</v>
      </c>
      <c r="F164">
        <v>4</v>
      </c>
      <c r="G164">
        <v>20260213</v>
      </c>
      <c r="H164">
        <v>20260304</v>
      </c>
      <c r="I164">
        <v>3929.5713999999998</v>
      </c>
      <c r="J164">
        <f t="shared" si="21"/>
        <v>20</v>
      </c>
      <c r="K164">
        <f t="shared" si="22"/>
        <v>196.47856999999999</v>
      </c>
      <c r="L164">
        <f t="shared" si="23"/>
        <v>0</v>
      </c>
      <c r="M164">
        <f t="shared" si="24"/>
        <v>3143.6571199999998</v>
      </c>
      <c r="N164">
        <f t="shared" si="25"/>
        <v>579.42948645695139</v>
      </c>
      <c r="O164">
        <f t="shared" si="26"/>
        <v>3723.0866064569514</v>
      </c>
      <c r="P164">
        <f t="shared" si="27"/>
        <v>0</v>
      </c>
      <c r="Q164">
        <f t="shared" si="28"/>
        <v>3318.0063790979666</v>
      </c>
      <c r="R164">
        <f t="shared" si="29"/>
        <v>611.56502090203264</v>
      </c>
      <c r="S164">
        <f t="shared" si="30"/>
        <v>3929.5713999999994</v>
      </c>
    </row>
    <row r="165" spans="1:19" x14ac:dyDescent="0.3">
      <c r="A165" t="s">
        <v>13</v>
      </c>
      <c r="B165" t="s">
        <v>24</v>
      </c>
      <c r="C165" t="s">
        <v>15</v>
      </c>
      <c r="D165">
        <v>19</v>
      </c>
      <c r="E165">
        <v>6</v>
      </c>
      <c r="F165">
        <v>0</v>
      </c>
      <c r="G165">
        <v>20260113</v>
      </c>
      <c r="H165">
        <v>20260206</v>
      </c>
      <c r="I165">
        <v>1051.1977999999999</v>
      </c>
      <c r="J165">
        <f t="shared" si="21"/>
        <v>25</v>
      </c>
      <c r="K165">
        <f t="shared" si="22"/>
        <v>42.047911999999997</v>
      </c>
      <c r="L165">
        <f t="shared" si="23"/>
        <v>968.95402502995285</v>
      </c>
      <c r="M165">
        <f t="shared" si="24"/>
        <v>252.28747199999998</v>
      </c>
      <c r="N165">
        <f t="shared" si="25"/>
        <v>0</v>
      </c>
      <c r="O165">
        <f t="shared" si="26"/>
        <v>1221.2414970299528</v>
      </c>
      <c r="P165">
        <f t="shared" si="27"/>
        <v>834.03842883636435</v>
      </c>
      <c r="Q165">
        <f t="shared" si="28"/>
        <v>217.15937116363565</v>
      </c>
      <c r="R165">
        <f t="shared" si="29"/>
        <v>0</v>
      </c>
      <c r="S165">
        <f t="shared" si="30"/>
        <v>1051.1977999999999</v>
      </c>
    </row>
    <row r="166" spans="1:19" x14ac:dyDescent="0.3">
      <c r="A166" t="s">
        <v>13</v>
      </c>
      <c r="B166" t="s">
        <v>24</v>
      </c>
      <c r="C166" t="s">
        <v>15</v>
      </c>
      <c r="D166">
        <v>11</v>
      </c>
      <c r="E166">
        <v>6</v>
      </c>
      <c r="F166">
        <v>0</v>
      </c>
      <c r="G166">
        <v>20260121</v>
      </c>
      <c r="H166">
        <v>20260206</v>
      </c>
      <c r="I166">
        <v>631.20780000000002</v>
      </c>
      <c r="J166">
        <f t="shared" si="21"/>
        <v>17</v>
      </c>
      <c r="K166">
        <f t="shared" si="22"/>
        <v>37.129870588235292</v>
      </c>
      <c r="L166">
        <f t="shared" si="23"/>
        <v>495.36036678753561</v>
      </c>
      <c r="M166">
        <f t="shared" si="24"/>
        <v>222.77922352941175</v>
      </c>
      <c r="N166">
        <f t="shared" si="25"/>
        <v>0</v>
      </c>
      <c r="O166">
        <f t="shared" si="26"/>
        <v>718.13959031694731</v>
      </c>
      <c r="P166">
        <f t="shared" si="27"/>
        <v>435.39630949625786</v>
      </c>
      <c r="Q166">
        <f t="shared" si="28"/>
        <v>195.81149050374219</v>
      </c>
      <c r="R166">
        <f t="shared" si="29"/>
        <v>0</v>
      </c>
      <c r="S166">
        <f t="shared" si="30"/>
        <v>631.20780000000002</v>
      </c>
    </row>
    <row r="167" spans="1:19" x14ac:dyDescent="0.3">
      <c r="A167" t="s">
        <v>13</v>
      </c>
      <c r="B167" t="s">
        <v>24</v>
      </c>
      <c r="C167" t="s">
        <v>15</v>
      </c>
      <c r="D167">
        <v>0</v>
      </c>
      <c r="E167">
        <v>27</v>
      </c>
      <c r="F167">
        <v>3</v>
      </c>
      <c r="G167">
        <v>20260202</v>
      </c>
      <c r="H167">
        <v>20260303</v>
      </c>
      <c r="I167">
        <v>4400015.5805000002</v>
      </c>
      <c r="J167">
        <f t="shared" si="21"/>
        <v>30</v>
      </c>
      <c r="K167">
        <f t="shared" si="22"/>
        <v>146667.18601666667</v>
      </c>
      <c r="L167">
        <f t="shared" si="23"/>
        <v>0</v>
      </c>
      <c r="M167">
        <f t="shared" si="24"/>
        <v>3960014.02245</v>
      </c>
      <c r="N167">
        <f t="shared" si="25"/>
        <v>324399.08945434861</v>
      </c>
      <c r="O167">
        <f t="shared" si="26"/>
        <v>4284413.1119043482</v>
      </c>
      <c r="P167">
        <f t="shared" si="27"/>
        <v>0</v>
      </c>
      <c r="Q167">
        <f t="shared" si="28"/>
        <v>4066863.5219524275</v>
      </c>
      <c r="R167">
        <f t="shared" si="29"/>
        <v>333152.05854757305</v>
      </c>
      <c r="S167">
        <f t="shared" si="30"/>
        <v>4400015.5805000002</v>
      </c>
    </row>
    <row r="168" spans="1:19" x14ac:dyDescent="0.3">
      <c r="A168" t="s">
        <v>13</v>
      </c>
      <c r="B168" t="s">
        <v>24</v>
      </c>
      <c r="C168" t="s">
        <v>15</v>
      </c>
      <c r="D168">
        <v>30</v>
      </c>
      <c r="E168">
        <v>1</v>
      </c>
      <c r="F168">
        <v>0</v>
      </c>
      <c r="G168">
        <v>20260102</v>
      </c>
      <c r="H168">
        <v>20260201</v>
      </c>
      <c r="I168">
        <v>21821826.804900002</v>
      </c>
      <c r="J168">
        <f t="shared" si="21"/>
        <v>31</v>
      </c>
      <c r="K168">
        <f t="shared" si="22"/>
        <v>703929.89693225815</v>
      </c>
      <c r="L168">
        <f t="shared" si="23"/>
        <v>25612725.849180594</v>
      </c>
      <c r="M168">
        <f t="shared" si="24"/>
        <v>703929.89693225815</v>
      </c>
      <c r="N168">
        <f t="shared" si="25"/>
        <v>0</v>
      </c>
      <c r="O168">
        <f t="shared" si="26"/>
        <v>26316655.746112853</v>
      </c>
      <c r="P168">
        <f t="shared" si="27"/>
        <v>21238126.640189074</v>
      </c>
      <c r="Q168">
        <f t="shared" si="28"/>
        <v>583700.16471092741</v>
      </c>
      <c r="R168">
        <f t="shared" si="29"/>
        <v>0</v>
      </c>
      <c r="S168">
        <f t="shared" si="30"/>
        <v>21821826.804900002</v>
      </c>
    </row>
    <row r="169" spans="1:19" x14ac:dyDescent="0.3">
      <c r="A169" t="s">
        <v>13</v>
      </c>
      <c r="B169" t="s">
        <v>24</v>
      </c>
      <c r="C169" t="s">
        <v>14</v>
      </c>
      <c r="D169">
        <v>16</v>
      </c>
      <c r="E169">
        <v>19</v>
      </c>
      <c r="F169">
        <v>0</v>
      </c>
      <c r="G169">
        <v>20260116</v>
      </c>
      <c r="H169">
        <v>20260219</v>
      </c>
      <c r="I169">
        <v>17273704.561500002</v>
      </c>
      <c r="J169">
        <f t="shared" si="21"/>
        <v>35</v>
      </c>
      <c r="K169">
        <f t="shared" si="22"/>
        <v>493534.41604285716</v>
      </c>
      <c r="L169">
        <f t="shared" si="23"/>
        <v>9577288.3069406766</v>
      </c>
      <c r="M169">
        <f t="shared" si="24"/>
        <v>9377153.9048142862</v>
      </c>
      <c r="N169">
        <f t="shared" si="25"/>
        <v>0</v>
      </c>
      <c r="O169">
        <f t="shared" si="26"/>
        <v>18954442.211754963</v>
      </c>
      <c r="P169">
        <f t="shared" si="27"/>
        <v>8728046.2735961657</v>
      </c>
      <c r="Q169">
        <f t="shared" si="28"/>
        <v>8545658.287903836</v>
      </c>
      <c r="R169">
        <f t="shared" si="29"/>
        <v>0</v>
      </c>
      <c r="S169">
        <f t="shared" si="30"/>
        <v>17273704.561500002</v>
      </c>
    </row>
    <row r="170" spans="1:19" x14ac:dyDescent="0.3">
      <c r="A170" t="s">
        <v>13</v>
      </c>
      <c r="B170" t="s">
        <v>24</v>
      </c>
      <c r="C170" t="s">
        <v>14</v>
      </c>
      <c r="D170">
        <v>25</v>
      </c>
      <c r="E170">
        <v>4</v>
      </c>
      <c r="F170">
        <v>0</v>
      </c>
      <c r="G170">
        <v>20260107</v>
      </c>
      <c r="H170">
        <v>20260204</v>
      </c>
      <c r="I170">
        <v>593241.68339999998</v>
      </c>
      <c r="J170">
        <f t="shared" si="21"/>
        <v>29</v>
      </c>
      <c r="K170">
        <f t="shared" si="22"/>
        <v>20456.609772413791</v>
      </c>
      <c r="L170">
        <f t="shared" si="23"/>
        <v>620267.1840239187</v>
      </c>
      <c r="M170">
        <f t="shared" si="24"/>
        <v>81826.439089655163</v>
      </c>
      <c r="N170">
        <f t="shared" si="25"/>
        <v>0</v>
      </c>
      <c r="O170">
        <f t="shared" si="26"/>
        <v>702093.62311357388</v>
      </c>
      <c r="P170">
        <f t="shared" si="27"/>
        <v>524101.53901740088</v>
      </c>
      <c r="Q170">
        <f t="shared" si="28"/>
        <v>69140.144382599072</v>
      </c>
      <c r="R170">
        <f t="shared" si="29"/>
        <v>0</v>
      </c>
      <c r="S170">
        <f t="shared" si="30"/>
        <v>593241.68339999998</v>
      </c>
    </row>
    <row r="171" spans="1:19" x14ac:dyDescent="0.3">
      <c r="A171" t="s">
        <v>13</v>
      </c>
      <c r="B171" t="s">
        <v>24</v>
      </c>
      <c r="C171" t="s">
        <v>15</v>
      </c>
      <c r="D171">
        <v>28</v>
      </c>
      <c r="E171">
        <v>1</v>
      </c>
      <c r="F171">
        <v>0</v>
      </c>
      <c r="G171">
        <v>20260104</v>
      </c>
      <c r="H171">
        <v>20260201</v>
      </c>
      <c r="I171">
        <v>3012531.6121999999</v>
      </c>
      <c r="J171">
        <f t="shared" si="21"/>
        <v>29</v>
      </c>
      <c r="K171">
        <f t="shared" si="22"/>
        <v>103880.40042068965</v>
      </c>
      <c r="L171">
        <f t="shared" si="23"/>
        <v>3527741.7255542264</v>
      </c>
      <c r="M171">
        <f t="shared" si="24"/>
        <v>103880.40042068965</v>
      </c>
      <c r="N171">
        <f t="shared" si="25"/>
        <v>0</v>
      </c>
      <c r="O171">
        <f t="shared" si="26"/>
        <v>3631622.1259749159</v>
      </c>
      <c r="P171">
        <f t="shared" si="27"/>
        <v>2926359.9293266581</v>
      </c>
      <c r="Q171">
        <f t="shared" si="28"/>
        <v>86171.682873341779</v>
      </c>
      <c r="R171">
        <f t="shared" si="29"/>
        <v>0</v>
      </c>
      <c r="S171">
        <f t="shared" si="30"/>
        <v>3012531.6121999999</v>
      </c>
    </row>
    <row r="172" spans="1:19" x14ac:dyDescent="0.3">
      <c r="A172" t="s">
        <v>13</v>
      </c>
      <c r="B172" t="s">
        <v>24</v>
      </c>
      <c r="C172" t="s">
        <v>15</v>
      </c>
      <c r="D172">
        <v>0</v>
      </c>
      <c r="E172">
        <v>26</v>
      </c>
      <c r="F172">
        <v>5</v>
      </c>
      <c r="G172">
        <v>20260203</v>
      </c>
      <c r="H172">
        <v>20260305</v>
      </c>
      <c r="I172">
        <v>1555820.7115</v>
      </c>
      <c r="J172">
        <f t="shared" si="21"/>
        <v>31</v>
      </c>
      <c r="K172">
        <f t="shared" si="22"/>
        <v>50187.764887096775</v>
      </c>
      <c r="L172">
        <f t="shared" si="23"/>
        <v>0</v>
      </c>
      <c r="M172">
        <f t="shared" si="24"/>
        <v>1304881.8870645161</v>
      </c>
      <c r="N172">
        <f t="shared" si="25"/>
        <v>185009.17705015297</v>
      </c>
      <c r="O172">
        <f t="shared" si="26"/>
        <v>1489891.0641146691</v>
      </c>
      <c r="P172">
        <f t="shared" si="27"/>
        <v>0</v>
      </c>
      <c r="Q172">
        <f t="shared" si="28"/>
        <v>1362624.6340114481</v>
      </c>
      <c r="R172">
        <f t="shared" si="29"/>
        <v>193196.07748855176</v>
      </c>
      <c r="S172">
        <f t="shared" si="30"/>
        <v>1555820.7115</v>
      </c>
    </row>
    <row r="173" spans="1:19" x14ac:dyDescent="0.3">
      <c r="A173" t="s">
        <v>13</v>
      </c>
      <c r="B173" t="s">
        <v>24</v>
      </c>
      <c r="C173" t="s">
        <v>15</v>
      </c>
      <c r="D173">
        <v>0</v>
      </c>
      <c r="E173">
        <v>25</v>
      </c>
      <c r="F173">
        <v>4</v>
      </c>
      <c r="G173">
        <v>20260204</v>
      </c>
      <c r="H173">
        <v>20260304</v>
      </c>
      <c r="I173">
        <v>7725593.3835000005</v>
      </c>
      <c r="J173">
        <f t="shared" si="21"/>
        <v>29</v>
      </c>
      <c r="K173">
        <f t="shared" si="22"/>
        <v>266399.77184482763</v>
      </c>
      <c r="L173">
        <f t="shared" si="23"/>
        <v>0</v>
      </c>
      <c r="M173">
        <f t="shared" si="24"/>
        <v>6659994.2961206911</v>
      </c>
      <c r="N173">
        <f t="shared" si="25"/>
        <v>785632.15821602067</v>
      </c>
      <c r="O173">
        <f t="shared" si="26"/>
        <v>7445626.4543367121</v>
      </c>
      <c r="P173">
        <f t="shared" si="27"/>
        <v>0</v>
      </c>
      <c r="Q173">
        <f t="shared" si="28"/>
        <v>6910420.2559462609</v>
      </c>
      <c r="R173">
        <f t="shared" si="29"/>
        <v>815173.12755373912</v>
      </c>
      <c r="S173">
        <f t="shared" si="30"/>
        <v>7725593.3835000005</v>
      </c>
    </row>
    <row r="174" spans="1:19" x14ac:dyDescent="0.3">
      <c r="A174" t="s">
        <v>13</v>
      </c>
      <c r="B174" t="s">
        <v>24</v>
      </c>
      <c r="C174" t="s">
        <v>15</v>
      </c>
      <c r="D174">
        <v>30</v>
      </c>
      <c r="E174">
        <v>5</v>
      </c>
      <c r="F174">
        <v>0</v>
      </c>
      <c r="G174">
        <v>20260102</v>
      </c>
      <c r="H174">
        <v>20260205</v>
      </c>
      <c r="I174">
        <v>1027092.6719</v>
      </c>
      <c r="J174">
        <f t="shared" si="21"/>
        <v>35</v>
      </c>
      <c r="K174">
        <f t="shared" si="22"/>
        <v>29345.504911428568</v>
      </c>
      <c r="L174">
        <f t="shared" si="23"/>
        <v>1067746.0574948895</v>
      </c>
      <c r="M174">
        <f t="shared" si="24"/>
        <v>146727.52455714284</v>
      </c>
      <c r="N174">
        <f t="shared" si="25"/>
        <v>0</v>
      </c>
      <c r="O174">
        <f t="shared" si="26"/>
        <v>1214473.5820520322</v>
      </c>
      <c r="P174">
        <f t="shared" si="27"/>
        <v>903003.71066954324</v>
      </c>
      <c r="Q174">
        <f t="shared" si="28"/>
        <v>124088.96123045686</v>
      </c>
      <c r="R174">
        <f t="shared" si="29"/>
        <v>0</v>
      </c>
      <c r="S174">
        <f t="shared" si="30"/>
        <v>1027092.6719000001</v>
      </c>
    </row>
    <row r="175" spans="1:19" x14ac:dyDescent="0.3">
      <c r="A175" t="s">
        <v>13</v>
      </c>
      <c r="B175" t="s">
        <v>24</v>
      </c>
      <c r="C175" t="s">
        <v>15</v>
      </c>
      <c r="D175">
        <v>0</v>
      </c>
      <c r="E175">
        <v>23</v>
      </c>
      <c r="F175">
        <v>6</v>
      </c>
      <c r="G175">
        <v>20260206</v>
      </c>
      <c r="H175">
        <v>20260306</v>
      </c>
      <c r="I175">
        <v>1675304.7938999999</v>
      </c>
      <c r="J175">
        <f t="shared" si="21"/>
        <v>29</v>
      </c>
      <c r="K175">
        <f t="shared" si="22"/>
        <v>57769.13082413793</v>
      </c>
      <c r="L175">
        <f t="shared" si="23"/>
        <v>0</v>
      </c>
      <c r="M175">
        <f t="shared" si="24"/>
        <v>1328690.0089551725</v>
      </c>
      <c r="N175">
        <f t="shared" si="25"/>
        <v>255548.0056157881</v>
      </c>
      <c r="O175">
        <f t="shared" si="26"/>
        <v>1584238.0145709605</v>
      </c>
      <c r="P175">
        <f t="shared" si="27"/>
        <v>0</v>
      </c>
      <c r="Q175">
        <f t="shared" si="28"/>
        <v>1405067.1181580399</v>
      </c>
      <c r="R175">
        <f t="shared" si="29"/>
        <v>270237.67574196012</v>
      </c>
      <c r="S175">
        <f t="shared" si="30"/>
        <v>1675304.7938999999</v>
      </c>
    </row>
    <row r="176" spans="1:19" x14ac:dyDescent="0.3">
      <c r="A176" t="s">
        <v>13</v>
      </c>
      <c r="B176" t="s">
        <v>24</v>
      </c>
      <c r="C176" t="s">
        <v>15</v>
      </c>
      <c r="D176">
        <v>0</v>
      </c>
      <c r="E176">
        <v>25</v>
      </c>
      <c r="F176">
        <v>2</v>
      </c>
      <c r="G176">
        <v>20260204</v>
      </c>
      <c r="H176">
        <v>20260302</v>
      </c>
      <c r="I176">
        <v>2450339.5071999999</v>
      </c>
      <c r="J176">
        <f t="shared" si="21"/>
        <v>27</v>
      </c>
      <c r="K176">
        <f t="shared" si="22"/>
        <v>90753.315081481473</v>
      </c>
      <c r="L176">
        <f t="shared" si="23"/>
        <v>0</v>
      </c>
      <c r="M176">
        <f t="shared" si="24"/>
        <v>2268832.8770370367</v>
      </c>
      <c r="N176">
        <f t="shared" si="25"/>
        <v>133819.03876827052</v>
      </c>
      <c r="O176">
        <f t="shared" si="26"/>
        <v>2402651.9158053072</v>
      </c>
      <c r="P176">
        <f t="shared" si="27"/>
        <v>0</v>
      </c>
      <c r="Q176">
        <f t="shared" si="28"/>
        <v>2313864.4417307195</v>
      </c>
      <c r="R176">
        <f t="shared" si="29"/>
        <v>136475.06546928055</v>
      </c>
      <c r="S176">
        <f t="shared" si="30"/>
        <v>2450339.5071999999</v>
      </c>
    </row>
    <row r="177" spans="1:19" x14ac:dyDescent="0.3">
      <c r="A177" t="s">
        <v>13</v>
      </c>
      <c r="B177" t="s">
        <v>24</v>
      </c>
      <c r="C177" t="s">
        <v>15</v>
      </c>
      <c r="D177">
        <v>0</v>
      </c>
      <c r="E177">
        <v>27</v>
      </c>
      <c r="F177">
        <v>5</v>
      </c>
      <c r="G177">
        <v>20260202</v>
      </c>
      <c r="H177">
        <v>20260305</v>
      </c>
      <c r="I177">
        <v>968057.96920000005</v>
      </c>
      <c r="J177">
        <f t="shared" si="21"/>
        <v>32</v>
      </c>
      <c r="K177">
        <f t="shared" si="22"/>
        <v>30251.811537500002</v>
      </c>
      <c r="L177">
        <f t="shared" si="23"/>
        <v>0</v>
      </c>
      <c r="M177">
        <f t="shared" si="24"/>
        <v>816798.91151250002</v>
      </c>
      <c r="N177">
        <f t="shared" si="25"/>
        <v>111518.47007771701</v>
      </c>
      <c r="O177">
        <f t="shared" si="26"/>
        <v>928317.381590217</v>
      </c>
      <c r="P177">
        <f t="shared" si="27"/>
        <v>0</v>
      </c>
      <c r="Q177">
        <f t="shared" si="28"/>
        <v>851765.47504590452</v>
      </c>
      <c r="R177">
        <f t="shared" si="29"/>
        <v>116292.49415409565</v>
      </c>
      <c r="S177">
        <f t="shared" si="30"/>
        <v>968057.96920000017</v>
      </c>
    </row>
    <row r="178" spans="1:19" x14ac:dyDescent="0.3">
      <c r="A178" t="s">
        <v>13</v>
      </c>
      <c r="B178" t="s">
        <v>24</v>
      </c>
      <c r="C178" t="s">
        <v>14</v>
      </c>
      <c r="D178">
        <v>0</v>
      </c>
      <c r="E178">
        <v>27</v>
      </c>
      <c r="F178">
        <v>2</v>
      </c>
      <c r="G178">
        <v>20260202</v>
      </c>
      <c r="H178">
        <v>20260302</v>
      </c>
      <c r="I178">
        <v>633132.53630000004</v>
      </c>
      <c r="J178">
        <f t="shared" si="21"/>
        <v>29</v>
      </c>
      <c r="K178">
        <f t="shared" si="22"/>
        <v>21832.156424137931</v>
      </c>
      <c r="L178">
        <f t="shared" si="23"/>
        <v>0</v>
      </c>
      <c r="M178">
        <f t="shared" si="24"/>
        <v>589468.22345172416</v>
      </c>
      <c r="N178">
        <f t="shared" si="25"/>
        <v>32192.302664575767</v>
      </c>
      <c r="O178">
        <f t="shared" si="26"/>
        <v>621660.52611629991</v>
      </c>
      <c r="P178">
        <f t="shared" si="27"/>
        <v>0</v>
      </c>
      <c r="Q178">
        <f t="shared" si="28"/>
        <v>600346.16274224408</v>
      </c>
      <c r="R178">
        <f t="shared" si="29"/>
        <v>32786.373557755949</v>
      </c>
      <c r="S178">
        <f t="shared" si="30"/>
        <v>633132.53630000004</v>
      </c>
    </row>
    <row r="179" spans="1:19" x14ac:dyDescent="0.3">
      <c r="A179" t="s">
        <v>13</v>
      </c>
      <c r="B179" t="s">
        <v>24</v>
      </c>
      <c r="C179" t="s">
        <v>15</v>
      </c>
      <c r="D179">
        <v>27</v>
      </c>
      <c r="E179">
        <v>2</v>
      </c>
      <c r="F179">
        <v>0</v>
      </c>
      <c r="G179">
        <v>20260105</v>
      </c>
      <c r="H179">
        <v>20260202</v>
      </c>
      <c r="I179">
        <v>923029.88190000004</v>
      </c>
      <c r="J179">
        <f t="shared" si="21"/>
        <v>29</v>
      </c>
      <c r="K179">
        <f t="shared" si="22"/>
        <v>31828.61661724138</v>
      </c>
      <c r="L179">
        <f t="shared" si="23"/>
        <v>1042285.4202043868</v>
      </c>
      <c r="M179">
        <f t="shared" si="24"/>
        <v>63657.233234482759</v>
      </c>
      <c r="N179">
        <f t="shared" si="25"/>
        <v>0</v>
      </c>
      <c r="O179">
        <f t="shared" si="26"/>
        <v>1105942.6534388696</v>
      </c>
      <c r="P179">
        <f t="shared" si="27"/>
        <v>869900.97119942983</v>
      </c>
      <c r="Q179">
        <f t="shared" si="28"/>
        <v>53128.91070057021</v>
      </c>
      <c r="R179">
        <f t="shared" si="29"/>
        <v>0</v>
      </c>
      <c r="S179">
        <f t="shared" si="30"/>
        <v>923029.88190000004</v>
      </c>
    </row>
    <row r="180" spans="1:19" x14ac:dyDescent="0.3">
      <c r="A180" t="s">
        <v>13</v>
      </c>
      <c r="B180" t="s">
        <v>24</v>
      </c>
      <c r="C180" t="s">
        <v>14</v>
      </c>
      <c r="D180">
        <v>26</v>
      </c>
      <c r="E180">
        <v>5</v>
      </c>
      <c r="F180">
        <v>0</v>
      </c>
      <c r="G180">
        <v>20260106</v>
      </c>
      <c r="H180">
        <v>20260205</v>
      </c>
      <c r="I180">
        <v>759416.48930000002</v>
      </c>
      <c r="J180">
        <f t="shared" si="21"/>
        <v>31</v>
      </c>
      <c r="K180">
        <f t="shared" si="22"/>
        <v>24497.306106451615</v>
      </c>
      <c r="L180">
        <f t="shared" si="23"/>
        <v>772497.01947796775</v>
      </c>
      <c r="M180">
        <f t="shared" si="24"/>
        <v>122486.53053225807</v>
      </c>
      <c r="N180">
        <f t="shared" si="25"/>
        <v>0</v>
      </c>
      <c r="O180">
        <f t="shared" si="26"/>
        <v>894983.55001022585</v>
      </c>
      <c r="P180">
        <f t="shared" si="27"/>
        <v>655483.52762457938</v>
      </c>
      <c r="Q180">
        <f t="shared" si="28"/>
        <v>103932.96167542061</v>
      </c>
      <c r="R180">
        <f t="shared" si="29"/>
        <v>0</v>
      </c>
      <c r="S180">
        <f t="shared" si="30"/>
        <v>759416.48930000002</v>
      </c>
    </row>
    <row r="181" spans="1:19" x14ac:dyDescent="0.3">
      <c r="A181" t="s">
        <v>13</v>
      </c>
      <c r="B181" t="s">
        <v>24</v>
      </c>
      <c r="C181" t="s">
        <v>14</v>
      </c>
      <c r="D181">
        <v>29</v>
      </c>
      <c r="E181">
        <v>5</v>
      </c>
      <c r="F181">
        <v>0</v>
      </c>
      <c r="G181">
        <v>20260103</v>
      </c>
      <c r="H181">
        <v>20260205</v>
      </c>
      <c r="I181">
        <v>44887.727500000001</v>
      </c>
      <c r="J181">
        <f t="shared" si="21"/>
        <v>34</v>
      </c>
      <c r="K181">
        <f t="shared" si="22"/>
        <v>1320.2272794117648</v>
      </c>
      <c r="L181">
        <f t="shared" si="23"/>
        <v>46435.682771484768</v>
      </c>
      <c r="M181">
        <f t="shared" si="24"/>
        <v>6601.1363970588245</v>
      </c>
      <c r="N181">
        <f t="shared" si="25"/>
        <v>0</v>
      </c>
      <c r="O181">
        <f t="shared" si="26"/>
        <v>53036.819168543589</v>
      </c>
      <c r="P181">
        <f t="shared" si="27"/>
        <v>39300.85376913246</v>
      </c>
      <c r="Q181">
        <f t="shared" si="28"/>
        <v>5586.8737308675427</v>
      </c>
      <c r="R181">
        <f t="shared" si="29"/>
        <v>0</v>
      </c>
      <c r="S181">
        <f t="shared" si="30"/>
        <v>44887.727500000001</v>
      </c>
    </row>
    <row r="182" spans="1:19" x14ac:dyDescent="0.3">
      <c r="A182" t="s">
        <v>13</v>
      </c>
      <c r="B182" t="s">
        <v>24</v>
      </c>
      <c r="C182" t="s">
        <v>15</v>
      </c>
      <c r="D182">
        <v>25</v>
      </c>
      <c r="E182">
        <v>2</v>
      </c>
      <c r="F182">
        <v>0</v>
      </c>
      <c r="G182">
        <v>20260107</v>
      </c>
      <c r="H182">
        <v>20260202</v>
      </c>
      <c r="I182">
        <v>1041776.3367</v>
      </c>
      <c r="J182">
        <f t="shared" si="21"/>
        <v>27</v>
      </c>
      <c r="K182">
        <f t="shared" si="22"/>
        <v>38584.308766666669</v>
      </c>
      <c r="L182">
        <f t="shared" si="23"/>
        <v>1169919.2003204448</v>
      </c>
      <c r="M182">
        <f t="shared" si="24"/>
        <v>77168.617533333338</v>
      </c>
      <c r="N182">
        <f t="shared" si="25"/>
        <v>0</v>
      </c>
      <c r="O182">
        <f t="shared" si="26"/>
        <v>1247087.8178537781</v>
      </c>
      <c r="P182">
        <f t="shared" si="27"/>
        <v>977312.19990774605</v>
      </c>
      <c r="Q182">
        <f t="shared" si="28"/>
        <v>64464.136792253921</v>
      </c>
      <c r="R182">
        <f t="shared" si="29"/>
        <v>0</v>
      </c>
      <c r="S182">
        <f t="shared" si="30"/>
        <v>1041776.3367</v>
      </c>
    </row>
    <row r="183" spans="1:19" x14ac:dyDescent="0.3">
      <c r="A183" t="s">
        <v>13</v>
      </c>
      <c r="B183" t="s">
        <v>24</v>
      </c>
      <c r="C183" t="s">
        <v>15</v>
      </c>
      <c r="D183">
        <v>0</v>
      </c>
      <c r="E183">
        <v>23</v>
      </c>
      <c r="F183">
        <v>4</v>
      </c>
      <c r="G183">
        <v>20260206</v>
      </c>
      <c r="H183">
        <v>20260304</v>
      </c>
      <c r="I183">
        <v>2523884.3804000001</v>
      </c>
      <c r="J183">
        <f t="shared" si="21"/>
        <v>27</v>
      </c>
      <c r="K183">
        <f t="shared" si="22"/>
        <v>93477.199274074082</v>
      </c>
      <c r="L183">
        <f t="shared" si="23"/>
        <v>0</v>
      </c>
      <c r="M183">
        <f t="shared" si="24"/>
        <v>2149975.5833037039</v>
      </c>
      <c r="N183">
        <f t="shared" si="25"/>
        <v>275671.00865407794</v>
      </c>
      <c r="O183">
        <f t="shared" si="26"/>
        <v>2425646.5919577819</v>
      </c>
      <c r="P183">
        <f t="shared" si="27"/>
        <v>0</v>
      </c>
      <c r="Q183">
        <f t="shared" si="28"/>
        <v>2237048.7980122217</v>
      </c>
      <c r="R183">
        <f t="shared" si="29"/>
        <v>286835.58238777856</v>
      </c>
      <c r="S183">
        <f t="shared" si="30"/>
        <v>2523884.3804000001</v>
      </c>
    </row>
    <row r="184" spans="1:19" x14ac:dyDescent="0.3">
      <c r="A184" t="s">
        <v>13</v>
      </c>
      <c r="B184" t="s">
        <v>24</v>
      </c>
      <c r="C184" t="s">
        <v>15</v>
      </c>
      <c r="D184">
        <v>0</v>
      </c>
      <c r="E184">
        <v>22</v>
      </c>
      <c r="F184">
        <v>4</v>
      </c>
      <c r="G184">
        <v>20260207</v>
      </c>
      <c r="H184">
        <v>20260304</v>
      </c>
      <c r="I184">
        <v>397771.21779999998</v>
      </c>
      <c r="J184">
        <f t="shared" si="21"/>
        <v>26</v>
      </c>
      <c r="K184">
        <f t="shared" si="22"/>
        <v>15298.892992307692</v>
      </c>
      <c r="L184">
        <f t="shared" si="23"/>
        <v>0</v>
      </c>
      <c r="M184">
        <f t="shared" si="24"/>
        <v>336575.64583076921</v>
      </c>
      <c r="N184">
        <f t="shared" si="25"/>
        <v>45117.539841076301</v>
      </c>
      <c r="O184">
        <f t="shared" si="26"/>
        <v>381693.18567184551</v>
      </c>
      <c r="P184">
        <f t="shared" si="27"/>
        <v>0</v>
      </c>
      <c r="Q184">
        <f t="shared" si="28"/>
        <v>350753.19536625891</v>
      </c>
      <c r="R184">
        <f t="shared" si="29"/>
        <v>47018.022433741098</v>
      </c>
      <c r="S184">
        <f t="shared" si="30"/>
        <v>397771.21779999998</v>
      </c>
    </row>
    <row r="185" spans="1:19" x14ac:dyDescent="0.3">
      <c r="A185" t="s">
        <v>13</v>
      </c>
      <c r="B185" t="s">
        <v>24</v>
      </c>
      <c r="C185" t="s">
        <v>15</v>
      </c>
      <c r="D185">
        <v>15</v>
      </c>
      <c r="E185">
        <v>19</v>
      </c>
      <c r="F185">
        <v>0</v>
      </c>
      <c r="G185">
        <v>20260117</v>
      </c>
      <c r="H185">
        <v>20260219</v>
      </c>
      <c r="I185">
        <v>1991238.5669</v>
      </c>
      <c r="J185">
        <f t="shared" si="21"/>
        <v>34</v>
      </c>
      <c r="K185">
        <f t="shared" si="22"/>
        <v>58565.840202941174</v>
      </c>
      <c r="L185">
        <f t="shared" si="23"/>
        <v>1065468.8881535067</v>
      </c>
      <c r="M185">
        <f t="shared" si="24"/>
        <v>1112750.9638558824</v>
      </c>
      <c r="N185">
        <f t="shared" si="25"/>
        <v>0</v>
      </c>
      <c r="O185">
        <f t="shared" si="26"/>
        <v>2178219.8520093891</v>
      </c>
      <c r="P185">
        <f t="shared" si="27"/>
        <v>974007.62368691328</v>
      </c>
      <c r="Q185">
        <f t="shared" si="28"/>
        <v>1017230.9432130867</v>
      </c>
      <c r="R185">
        <f t="shared" si="29"/>
        <v>0</v>
      </c>
      <c r="S185">
        <f t="shared" si="30"/>
        <v>1991238.5669</v>
      </c>
    </row>
    <row r="186" spans="1:19" x14ac:dyDescent="0.3">
      <c r="A186" t="s">
        <v>13</v>
      </c>
      <c r="B186" t="s">
        <v>24</v>
      </c>
      <c r="C186" t="s">
        <v>15</v>
      </c>
      <c r="D186">
        <v>0</v>
      </c>
      <c r="E186">
        <v>27</v>
      </c>
      <c r="F186">
        <v>8</v>
      </c>
      <c r="G186">
        <v>20260202</v>
      </c>
      <c r="H186">
        <v>20260308</v>
      </c>
      <c r="I186">
        <v>230971.6501</v>
      </c>
      <c r="J186">
        <f t="shared" si="21"/>
        <v>35</v>
      </c>
      <c r="K186">
        <f t="shared" si="22"/>
        <v>6599.1900028571426</v>
      </c>
      <c r="L186">
        <f t="shared" si="23"/>
        <v>0</v>
      </c>
      <c r="M186">
        <f t="shared" si="24"/>
        <v>178178.13007714285</v>
      </c>
      <c r="N186">
        <f t="shared" si="25"/>
        <v>38922.975410370316</v>
      </c>
      <c r="O186">
        <f t="shared" si="26"/>
        <v>217101.10548751318</v>
      </c>
      <c r="P186">
        <f t="shared" si="27"/>
        <v>0</v>
      </c>
      <c r="Q186">
        <f t="shared" si="28"/>
        <v>189561.8938615545</v>
      </c>
      <c r="R186">
        <f t="shared" si="29"/>
        <v>41409.756238445465</v>
      </c>
      <c r="S186">
        <f t="shared" si="30"/>
        <v>230971.65009999997</v>
      </c>
    </row>
    <row r="187" spans="1:19" x14ac:dyDescent="0.3">
      <c r="A187" t="s">
        <v>13</v>
      </c>
      <c r="B187" t="s">
        <v>24</v>
      </c>
      <c r="C187" t="s">
        <v>14</v>
      </c>
      <c r="D187">
        <v>0</v>
      </c>
      <c r="E187">
        <v>22</v>
      </c>
      <c r="F187">
        <v>3</v>
      </c>
      <c r="G187">
        <v>20260207</v>
      </c>
      <c r="H187">
        <v>20260303</v>
      </c>
      <c r="I187">
        <v>90310.191500000001</v>
      </c>
      <c r="J187">
        <f t="shared" si="21"/>
        <v>25</v>
      </c>
      <c r="K187">
        <f t="shared" si="22"/>
        <v>3612.4076599999999</v>
      </c>
      <c r="L187">
        <f t="shared" si="23"/>
        <v>0</v>
      </c>
      <c r="M187">
        <f t="shared" si="24"/>
        <v>79472.968519999995</v>
      </c>
      <c r="N187">
        <f t="shared" si="25"/>
        <v>7989.9382231874852</v>
      </c>
      <c r="O187">
        <f t="shared" si="26"/>
        <v>87462.906743187486</v>
      </c>
      <c r="P187">
        <f t="shared" si="27"/>
        <v>0</v>
      </c>
      <c r="Q187">
        <f t="shared" si="28"/>
        <v>82060.147248350026</v>
      </c>
      <c r="R187">
        <f t="shared" si="29"/>
        <v>8250.0442516499734</v>
      </c>
      <c r="S187">
        <f t="shared" si="30"/>
        <v>90310.191500000001</v>
      </c>
    </row>
    <row r="188" spans="1:19" x14ac:dyDescent="0.3">
      <c r="A188" t="s">
        <v>13</v>
      </c>
      <c r="B188" t="s">
        <v>24</v>
      </c>
      <c r="C188" t="s">
        <v>14</v>
      </c>
      <c r="D188">
        <v>0</v>
      </c>
      <c r="E188">
        <v>23</v>
      </c>
      <c r="F188">
        <v>2</v>
      </c>
      <c r="G188">
        <v>20260206</v>
      </c>
      <c r="H188">
        <v>20260302</v>
      </c>
      <c r="I188">
        <v>21778.3073</v>
      </c>
      <c r="J188">
        <f t="shared" si="21"/>
        <v>25</v>
      </c>
      <c r="K188">
        <f t="shared" si="22"/>
        <v>871.13229200000001</v>
      </c>
      <c r="L188">
        <f t="shared" si="23"/>
        <v>0</v>
      </c>
      <c r="M188">
        <f t="shared" si="24"/>
        <v>20036.042716</v>
      </c>
      <c r="N188">
        <f t="shared" si="25"/>
        <v>1284.5160074954408</v>
      </c>
      <c r="O188">
        <f t="shared" si="26"/>
        <v>21320.55872349544</v>
      </c>
      <c r="P188">
        <f t="shared" si="27"/>
        <v>0</v>
      </c>
      <c r="Q188">
        <f t="shared" si="28"/>
        <v>20466.212963927253</v>
      </c>
      <c r="R188">
        <f t="shared" si="29"/>
        <v>1312.0943360727492</v>
      </c>
      <c r="S188">
        <f t="shared" si="30"/>
        <v>21778.307300000004</v>
      </c>
    </row>
    <row r="189" spans="1:19" x14ac:dyDescent="0.3">
      <c r="A189" t="s">
        <v>13</v>
      </c>
      <c r="B189" t="s">
        <v>24</v>
      </c>
      <c r="C189" t="s">
        <v>14</v>
      </c>
      <c r="D189">
        <v>0</v>
      </c>
      <c r="E189">
        <v>8</v>
      </c>
      <c r="F189">
        <v>0</v>
      </c>
      <c r="G189">
        <v>20260221</v>
      </c>
      <c r="H189">
        <v>20260228</v>
      </c>
      <c r="I189">
        <v>45433.9182</v>
      </c>
      <c r="J189">
        <f t="shared" si="21"/>
        <v>8</v>
      </c>
      <c r="K189">
        <f t="shared" si="22"/>
        <v>5679.239775</v>
      </c>
      <c r="L189">
        <f t="shared" si="23"/>
        <v>0</v>
      </c>
      <c r="M189">
        <f t="shared" si="24"/>
        <v>45433.9182</v>
      </c>
      <c r="N189">
        <f t="shared" si="25"/>
        <v>0</v>
      </c>
      <c r="O189">
        <f t="shared" si="26"/>
        <v>45433.9182</v>
      </c>
      <c r="P189">
        <f t="shared" si="27"/>
        <v>0</v>
      </c>
      <c r="Q189">
        <f t="shared" si="28"/>
        <v>45433.9182</v>
      </c>
      <c r="R189">
        <f t="shared" si="29"/>
        <v>0</v>
      </c>
      <c r="S189">
        <f t="shared" si="30"/>
        <v>45433.9182</v>
      </c>
    </row>
    <row r="190" spans="1:19" x14ac:dyDescent="0.3">
      <c r="A190" t="s">
        <v>13</v>
      </c>
      <c r="B190" t="s">
        <v>24</v>
      </c>
      <c r="C190" t="s">
        <v>15</v>
      </c>
      <c r="D190">
        <v>0</v>
      </c>
      <c r="E190">
        <v>26</v>
      </c>
      <c r="F190">
        <v>6</v>
      </c>
      <c r="G190">
        <v>20260203</v>
      </c>
      <c r="H190">
        <v>20260306</v>
      </c>
      <c r="I190">
        <v>405307.25420000002</v>
      </c>
      <c r="J190">
        <f t="shared" si="21"/>
        <v>32</v>
      </c>
      <c r="K190">
        <f t="shared" si="22"/>
        <v>12665.851693750001</v>
      </c>
      <c r="L190">
        <f t="shared" si="23"/>
        <v>0</v>
      </c>
      <c r="M190">
        <f t="shared" si="24"/>
        <v>329312.14403750002</v>
      </c>
      <c r="N190">
        <f t="shared" si="25"/>
        <v>56028.766463814376</v>
      </c>
      <c r="O190">
        <f t="shared" si="26"/>
        <v>385340.91050131439</v>
      </c>
      <c r="P190">
        <f t="shared" si="27"/>
        <v>0</v>
      </c>
      <c r="Q190">
        <f t="shared" si="28"/>
        <v>346375.37109909015</v>
      </c>
      <c r="R190">
        <f t="shared" si="29"/>
        <v>58931.883100909923</v>
      </c>
      <c r="S190">
        <f t="shared" si="30"/>
        <v>405307.25420000008</v>
      </c>
    </row>
    <row r="191" spans="1:19" x14ac:dyDescent="0.3">
      <c r="A191" t="s">
        <v>13</v>
      </c>
      <c r="B191" t="s">
        <v>24</v>
      </c>
      <c r="C191" t="s">
        <v>15</v>
      </c>
      <c r="D191">
        <v>29</v>
      </c>
      <c r="E191">
        <v>5</v>
      </c>
      <c r="F191">
        <v>0</v>
      </c>
      <c r="G191">
        <v>20260103</v>
      </c>
      <c r="H191">
        <v>20260205</v>
      </c>
      <c r="I191">
        <v>588635.22</v>
      </c>
      <c r="J191">
        <f t="shared" si="21"/>
        <v>34</v>
      </c>
      <c r="K191">
        <f t="shared" si="22"/>
        <v>17312.800588235292</v>
      </c>
      <c r="L191">
        <f t="shared" si="23"/>
        <v>608934.33163982595</v>
      </c>
      <c r="M191">
        <f t="shared" si="24"/>
        <v>86564.002941176455</v>
      </c>
      <c r="N191">
        <f t="shared" si="25"/>
        <v>0</v>
      </c>
      <c r="O191">
        <f t="shared" si="26"/>
        <v>695498.33458100236</v>
      </c>
      <c r="P191">
        <f t="shared" si="27"/>
        <v>515371.75065458845</v>
      </c>
      <c r="Q191">
        <f t="shared" si="28"/>
        <v>73263.469345411548</v>
      </c>
      <c r="R191">
        <f t="shared" si="29"/>
        <v>0</v>
      </c>
      <c r="S191">
        <f t="shared" si="30"/>
        <v>588635.22</v>
      </c>
    </row>
    <row r="192" spans="1:19" x14ac:dyDescent="0.3">
      <c r="A192" t="s">
        <v>13</v>
      </c>
      <c r="B192" t="s">
        <v>24</v>
      </c>
      <c r="C192" t="s">
        <v>15</v>
      </c>
      <c r="D192">
        <v>0</v>
      </c>
      <c r="E192">
        <v>27</v>
      </c>
      <c r="F192">
        <v>6</v>
      </c>
      <c r="G192">
        <v>20260202</v>
      </c>
      <c r="H192">
        <v>20260306</v>
      </c>
      <c r="I192">
        <v>234233.5344</v>
      </c>
      <c r="J192">
        <f t="shared" si="21"/>
        <v>33</v>
      </c>
      <c r="K192">
        <f t="shared" si="22"/>
        <v>7097.9858909090908</v>
      </c>
      <c r="L192">
        <f t="shared" si="23"/>
        <v>0</v>
      </c>
      <c r="M192">
        <f t="shared" si="24"/>
        <v>191645.61905454544</v>
      </c>
      <c r="N192">
        <f t="shared" si="25"/>
        <v>31398.709179694313</v>
      </c>
      <c r="O192">
        <f t="shared" si="26"/>
        <v>223044.32823423977</v>
      </c>
      <c r="P192">
        <f t="shared" si="27"/>
        <v>0</v>
      </c>
      <c r="Q192">
        <f t="shared" si="28"/>
        <v>201259.68258775515</v>
      </c>
      <c r="R192">
        <f t="shared" si="29"/>
        <v>32973.851812244851</v>
      </c>
      <c r="S192">
        <f t="shared" si="30"/>
        <v>234233.5344</v>
      </c>
    </row>
    <row r="193" spans="1:19" x14ac:dyDescent="0.3">
      <c r="A193" t="s">
        <v>13</v>
      </c>
      <c r="B193" t="s">
        <v>24</v>
      </c>
      <c r="C193" t="s">
        <v>15</v>
      </c>
      <c r="D193">
        <v>0</v>
      </c>
      <c r="E193">
        <v>13</v>
      </c>
      <c r="F193">
        <v>16</v>
      </c>
      <c r="G193">
        <v>20260216</v>
      </c>
      <c r="H193">
        <v>20260316</v>
      </c>
      <c r="I193">
        <v>1350851.7409999999</v>
      </c>
      <c r="J193">
        <f t="shared" si="21"/>
        <v>29</v>
      </c>
      <c r="K193">
        <f t="shared" si="22"/>
        <v>46581.094517241378</v>
      </c>
      <c r="L193">
        <f t="shared" si="23"/>
        <v>0</v>
      </c>
      <c r="M193">
        <f t="shared" si="24"/>
        <v>605554.22872413788</v>
      </c>
      <c r="N193">
        <f t="shared" si="25"/>
        <v>549484.04143470479</v>
      </c>
      <c r="O193">
        <f t="shared" si="26"/>
        <v>1155038.2701588427</v>
      </c>
      <c r="P193">
        <f t="shared" si="27"/>
        <v>0</v>
      </c>
      <c r="Q193">
        <f t="shared" si="28"/>
        <v>708213.7495144807</v>
      </c>
      <c r="R193">
        <f t="shared" si="29"/>
        <v>642637.9914855191</v>
      </c>
      <c r="S193">
        <f t="shared" si="30"/>
        <v>1350851.7409999999</v>
      </c>
    </row>
    <row r="194" spans="1:19" x14ac:dyDescent="0.3">
      <c r="A194" t="s">
        <v>13</v>
      </c>
      <c r="B194" t="s">
        <v>24</v>
      </c>
      <c r="C194" t="s">
        <v>14</v>
      </c>
      <c r="D194">
        <v>0</v>
      </c>
      <c r="E194">
        <v>9</v>
      </c>
      <c r="F194">
        <v>18</v>
      </c>
      <c r="G194">
        <v>20260220</v>
      </c>
      <c r="H194">
        <v>20260318</v>
      </c>
      <c r="I194">
        <v>52862.422200000001</v>
      </c>
      <c r="J194">
        <f t="shared" si="21"/>
        <v>27</v>
      </c>
      <c r="K194">
        <f t="shared" si="22"/>
        <v>1957.8674888888888</v>
      </c>
      <c r="L194">
        <f t="shared" si="23"/>
        <v>0</v>
      </c>
      <c r="M194">
        <f t="shared" si="24"/>
        <v>17620.807399999998</v>
      </c>
      <c r="N194">
        <f t="shared" si="25"/>
        <v>25982.516522638696</v>
      </c>
      <c r="O194">
        <f t="shared" si="26"/>
        <v>43603.323922638694</v>
      </c>
      <c r="P194">
        <f t="shared" si="27"/>
        <v>0</v>
      </c>
      <c r="Q194">
        <f t="shared" si="28"/>
        <v>21362.558550268317</v>
      </c>
      <c r="R194">
        <f t="shared" si="29"/>
        <v>31499.863649731684</v>
      </c>
      <c r="S194">
        <f t="shared" si="30"/>
        <v>52862.422200000001</v>
      </c>
    </row>
    <row r="195" spans="1:19" x14ac:dyDescent="0.3">
      <c r="A195" t="s">
        <v>13</v>
      </c>
      <c r="B195" t="s">
        <v>24</v>
      </c>
      <c r="C195" t="s">
        <v>15</v>
      </c>
      <c r="D195">
        <v>28</v>
      </c>
      <c r="E195">
        <v>6</v>
      </c>
      <c r="F195">
        <v>0</v>
      </c>
      <c r="G195">
        <v>20260104</v>
      </c>
      <c r="H195">
        <v>20260206</v>
      </c>
      <c r="I195">
        <v>194899.0416</v>
      </c>
      <c r="J195">
        <f t="shared" si="21"/>
        <v>34</v>
      </c>
      <c r="K195">
        <f t="shared" si="22"/>
        <v>5732.3247529411765</v>
      </c>
      <c r="L195">
        <f t="shared" si="23"/>
        <v>194667.72493640005</v>
      </c>
      <c r="M195">
        <f t="shared" si="24"/>
        <v>34393.948517647063</v>
      </c>
      <c r="N195">
        <f t="shared" si="25"/>
        <v>0</v>
      </c>
      <c r="O195">
        <f t="shared" si="26"/>
        <v>229061.67345404712</v>
      </c>
      <c r="P195">
        <f t="shared" si="27"/>
        <v>165634.66270217474</v>
      </c>
      <c r="Q195">
        <f t="shared" si="28"/>
        <v>29264.378897825245</v>
      </c>
      <c r="R195">
        <f t="shared" si="29"/>
        <v>0</v>
      </c>
      <c r="S195">
        <f t="shared" si="30"/>
        <v>194899.0416</v>
      </c>
    </row>
    <row r="196" spans="1:19" x14ac:dyDescent="0.3">
      <c r="A196" t="s">
        <v>13</v>
      </c>
      <c r="B196" t="s">
        <v>24</v>
      </c>
      <c r="C196" t="s">
        <v>14</v>
      </c>
      <c r="D196">
        <v>30</v>
      </c>
      <c r="E196">
        <v>6</v>
      </c>
      <c r="F196">
        <v>0</v>
      </c>
      <c r="G196">
        <v>20260102</v>
      </c>
      <c r="H196">
        <v>20260206</v>
      </c>
      <c r="I196">
        <v>152246.17610000001</v>
      </c>
      <c r="J196">
        <f t="shared" si="21"/>
        <v>36</v>
      </c>
      <c r="K196">
        <f t="shared" si="22"/>
        <v>4229.0604472222221</v>
      </c>
      <c r="L196">
        <f t="shared" si="23"/>
        <v>153875.78550984556</v>
      </c>
      <c r="M196">
        <f t="shared" si="24"/>
        <v>25374.362683333333</v>
      </c>
      <c r="N196">
        <f t="shared" si="25"/>
        <v>0</v>
      </c>
      <c r="O196">
        <f t="shared" si="26"/>
        <v>179250.1481931789</v>
      </c>
      <c r="P196">
        <f t="shared" si="27"/>
        <v>130694.45227465233</v>
      </c>
      <c r="Q196">
        <f t="shared" si="28"/>
        <v>21551.723825347675</v>
      </c>
      <c r="R196">
        <f t="shared" si="29"/>
        <v>0</v>
      </c>
      <c r="S196">
        <f t="shared" si="30"/>
        <v>152246.17610000001</v>
      </c>
    </row>
    <row r="197" spans="1:19" x14ac:dyDescent="0.3">
      <c r="A197" t="s">
        <v>13</v>
      </c>
      <c r="B197" t="s">
        <v>24</v>
      </c>
      <c r="C197" t="s">
        <v>15</v>
      </c>
      <c r="D197">
        <v>23</v>
      </c>
      <c r="E197">
        <v>6</v>
      </c>
      <c r="F197">
        <v>0</v>
      </c>
      <c r="G197">
        <v>20260109</v>
      </c>
      <c r="H197">
        <v>20260206</v>
      </c>
      <c r="I197">
        <v>155058.1139</v>
      </c>
      <c r="J197">
        <f t="shared" si="21"/>
        <v>29</v>
      </c>
      <c r="K197">
        <f t="shared" si="22"/>
        <v>5346.8315137931031</v>
      </c>
      <c r="L197">
        <f t="shared" si="23"/>
        <v>149152.1337276753</v>
      </c>
      <c r="M197">
        <f t="shared" si="24"/>
        <v>32080.98908275862</v>
      </c>
      <c r="N197">
        <f t="shared" si="25"/>
        <v>0</v>
      </c>
      <c r="O197">
        <f t="shared" si="26"/>
        <v>181233.12281043391</v>
      </c>
      <c r="P197">
        <f t="shared" si="27"/>
        <v>127610.49515305505</v>
      </c>
      <c r="Q197">
        <f t="shared" si="28"/>
        <v>27447.618746944951</v>
      </c>
      <c r="R197">
        <f t="shared" si="29"/>
        <v>0</v>
      </c>
      <c r="S197">
        <f t="shared" si="30"/>
        <v>155058.1139</v>
      </c>
    </row>
    <row r="198" spans="1:19" x14ac:dyDescent="0.3">
      <c r="A198" t="s">
        <v>13</v>
      </c>
      <c r="B198" t="s">
        <v>24</v>
      </c>
      <c r="C198" t="s">
        <v>15</v>
      </c>
      <c r="D198">
        <v>0</v>
      </c>
      <c r="E198">
        <v>22</v>
      </c>
      <c r="F198">
        <v>1</v>
      </c>
      <c r="G198">
        <v>20260207</v>
      </c>
      <c r="H198">
        <v>20260301</v>
      </c>
      <c r="I198">
        <v>166122.9026</v>
      </c>
      <c r="J198">
        <f t="shared" si="21"/>
        <v>23</v>
      </c>
      <c r="K198">
        <f t="shared" si="22"/>
        <v>7222.7348956521737</v>
      </c>
      <c r="L198">
        <f t="shared" si="23"/>
        <v>0</v>
      </c>
      <c r="M198">
        <f t="shared" si="24"/>
        <v>158900.16770434781</v>
      </c>
      <c r="N198">
        <f t="shared" si="25"/>
        <v>5325.0916517287878</v>
      </c>
      <c r="O198">
        <f t="shared" si="26"/>
        <v>164225.2593560766</v>
      </c>
      <c r="P198">
        <f t="shared" si="27"/>
        <v>0</v>
      </c>
      <c r="Q198">
        <f t="shared" si="28"/>
        <v>160736.27885366045</v>
      </c>
      <c r="R198">
        <f t="shared" si="29"/>
        <v>5386.6237463395555</v>
      </c>
      <c r="S198">
        <f t="shared" si="30"/>
        <v>166122.9026</v>
      </c>
    </row>
    <row r="199" spans="1:19" x14ac:dyDescent="0.3">
      <c r="A199" t="s">
        <v>13</v>
      </c>
      <c r="B199" t="s">
        <v>24</v>
      </c>
      <c r="C199" t="s">
        <v>14</v>
      </c>
      <c r="D199">
        <v>0</v>
      </c>
      <c r="E199">
        <v>25</v>
      </c>
      <c r="F199">
        <v>9</v>
      </c>
      <c r="G199">
        <v>20260204</v>
      </c>
      <c r="H199">
        <v>20260309</v>
      </c>
      <c r="I199">
        <v>139358.2892</v>
      </c>
      <c r="J199">
        <f t="shared" si="21"/>
        <v>34</v>
      </c>
      <c r="K199">
        <f t="shared" si="22"/>
        <v>4098.7732117647056</v>
      </c>
      <c r="L199">
        <f t="shared" si="23"/>
        <v>0</v>
      </c>
      <c r="M199">
        <f t="shared" si="24"/>
        <v>102469.33029411764</v>
      </c>
      <c r="N199">
        <f t="shared" si="25"/>
        <v>27197.050694596099</v>
      </c>
      <c r="O199">
        <f t="shared" si="26"/>
        <v>129666.38098871373</v>
      </c>
      <c r="P199">
        <f t="shared" si="27"/>
        <v>0</v>
      </c>
      <c r="Q199">
        <f t="shared" si="28"/>
        <v>110128.39609135776</v>
      </c>
      <c r="R199">
        <f t="shared" si="29"/>
        <v>29229.893108642249</v>
      </c>
      <c r="S199">
        <f t="shared" si="30"/>
        <v>139358.2892</v>
      </c>
    </row>
    <row r="200" spans="1:19" x14ac:dyDescent="0.3">
      <c r="A200" t="s">
        <v>13</v>
      </c>
      <c r="B200" t="s">
        <v>24</v>
      </c>
      <c r="C200" t="s">
        <v>15</v>
      </c>
      <c r="D200">
        <v>27</v>
      </c>
      <c r="E200">
        <v>5</v>
      </c>
      <c r="F200">
        <v>0</v>
      </c>
      <c r="G200">
        <v>20260105</v>
      </c>
      <c r="H200">
        <v>20260205</v>
      </c>
      <c r="I200">
        <v>883495.38899999997</v>
      </c>
      <c r="J200">
        <f t="shared" si="21"/>
        <v>32</v>
      </c>
      <c r="K200">
        <f t="shared" si="22"/>
        <v>27609.230906249999</v>
      </c>
      <c r="L200">
        <f t="shared" si="23"/>
        <v>904114.0299215063</v>
      </c>
      <c r="M200">
        <f t="shared" si="24"/>
        <v>138046.15453125001</v>
      </c>
      <c r="N200">
        <f t="shared" si="25"/>
        <v>0</v>
      </c>
      <c r="O200">
        <f t="shared" si="26"/>
        <v>1042160.1844527563</v>
      </c>
      <c r="P200">
        <f t="shared" si="27"/>
        <v>766466.21937999164</v>
      </c>
      <c r="Q200">
        <f t="shared" si="28"/>
        <v>117029.16962000838</v>
      </c>
      <c r="R200">
        <f t="shared" si="29"/>
        <v>0</v>
      </c>
      <c r="S200">
        <f t="shared" si="30"/>
        <v>883495.38899999997</v>
      </c>
    </row>
    <row r="201" spans="1:19" x14ac:dyDescent="0.3">
      <c r="A201" t="s">
        <v>13</v>
      </c>
      <c r="B201" t="s">
        <v>24</v>
      </c>
      <c r="C201" t="s">
        <v>14</v>
      </c>
      <c r="D201">
        <v>26</v>
      </c>
      <c r="E201">
        <v>8</v>
      </c>
      <c r="F201">
        <v>0</v>
      </c>
      <c r="G201">
        <v>20260106</v>
      </c>
      <c r="H201">
        <v>20260208</v>
      </c>
      <c r="I201">
        <v>1975.5551</v>
      </c>
      <c r="J201">
        <f t="shared" si="21"/>
        <v>34</v>
      </c>
      <c r="K201">
        <f t="shared" si="22"/>
        <v>58.104561764705885</v>
      </c>
      <c r="L201">
        <f t="shared" si="23"/>
        <v>1832.2668046135773</v>
      </c>
      <c r="M201">
        <f t="shared" si="24"/>
        <v>464.83649411764708</v>
      </c>
      <c r="N201">
        <f t="shared" si="25"/>
        <v>0</v>
      </c>
      <c r="O201">
        <f t="shared" si="26"/>
        <v>2297.1032987312242</v>
      </c>
      <c r="P201">
        <f t="shared" si="27"/>
        <v>1575.7863533670322</v>
      </c>
      <c r="Q201">
        <f t="shared" si="28"/>
        <v>399.76874663296798</v>
      </c>
      <c r="R201">
        <f t="shared" si="29"/>
        <v>0</v>
      </c>
      <c r="S201">
        <f t="shared" si="30"/>
        <v>1975.5551000000003</v>
      </c>
    </row>
    <row r="202" spans="1:19" x14ac:dyDescent="0.3">
      <c r="A202" t="s">
        <v>13</v>
      </c>
      <c r="B202" t="s">
        <v>24</v>
      </c>
      <c r="C202" t="s">
        <v>14</v>
      </c>
      <c r="D202">
        <v>0</v>
      </c>
      <c r="E202">
        <v>23</v>
      </c>
      <c r="F202">
        <v>0</v>
      </c>
      <c r="G202">
        <v>20260204</v>
      </c>
      <c r="H202">
        <v>20260226</v>
      </c>
      <c r="I202">
        <v>969.85209999999995</v>
      </c>
      <c r="J202">
        <f t="shared" si="21"/>
        <v>23</v>
      </c>
      <c r="K202">
        <f t="shared" si="22"/>
        <v>42.16748260869565</v>
      </c>
      <c r="L202">
        <f t="shared" si="23"/>
        <v>0</v>
      </c>
      <c r="M202">
        <f t="shared" si="24"/>
        <v>969.85209999999995</v>
      </c>
      <c r="N202">
        <f t="shared" si="25"/>
        <v>0</v>
      </c>
      <c r="O202">
        <f t="shared" si="26"/>
        <v>969.85209999999995</v>
      </c>
      <c r="P202">
        <f t="shared" si="27"/>
        <v>0</v>
      </c>
      <c r="Q202">
        <f t="shared" si="28"/>
        <v>969.85209999999995</v>
      </c>
      <c r="R202">
        <f t="shared" si="29"/>
        <v>0</v>
      </c>
      <c r="S202">
        <f t="shared" si="30"/>
        <v>969.85209999999995</v>
      </c>
    </row>
    <row r="203" spans="1:19" x14ac:dyDescent="0.3">
      <c r="A203" t="s">
        <v>13</v>
      </c>
      <c r="B203" t="s">
        <v>24</v>
      </c>
      <c r="C203" t="s">
        <v>14</v>
      </c>
      <c r="D203">
        <v>12</v>
      </c>
      <c r="E203">
        <v>15</v>
      </c>
      <c r="F203">
        <v>0</v>
      </c>
      <c r="G203">
        <v>20260120</v>
      </c>
      <c r="H203">
        <v>20260215</v>
      </c>
      <c r="I203">
        <v>54342.7716</v>
      </c>
      <c r="J203">
        <f t="shared" ref="J203:J266" si="31">IF(D203&lt;0,0,D203)+E203+F203</f>
        <v>27</v>
      </c>
      <c r="K203">
        <f t="shared" ref="K203:K266" si="32">I203/J203</f>
        <v>2012.6952444444444</v>
      </c>
      <c r="L203">
        <f t="shared" ref="L203:L266" si="33">IF(D203&lt;0,0,D203)*$K203*$B$6</f>
        <v>29293.037126886502</v>
      </c>
      <c r="M203">
        <f t="shared" ref="M203:M266" si="34">IF(E203&lt;0,0,E203)*$K203*$C$6</f>
        <v>30190.428666666667</v>
      </c>
      <c r="N203">
        <f t="shared" ref="N203:N266" si="35">IF(F203&lt;0,0,F203)*$K203*$D$6</f>
        <v>0</v>
      </c>
      <c r="O203">
        <f t="shared" ref="O203:O266" si="36">L203+M203+N203</f>
        <v>59483.465793553172</v>
      </c>
      <c r="P203">
        <f t="shared" ref="P203:P266" si="37">L203/$O203*$I203</f>
        <v>26761.467322390617</v>
      </c>
      <c r="Q203">
        <f t="shared" ref="Q203:Q266" si="38">M203/$O203*$I203</f>
        <v>27581.304277609375</v>
      </c>
      <c r="R203">
        <f t="shared" ref="R203:R266" si="39">N203/$O203*$I203</f>
        <v>0</v>
      </c>
      <c r="S203">
        <f t="shared" ref="S203:S266" si="40">P203+Q203+R203</f>
        <v>54342.771599999993</v>
      </c>
    </row>
    <row r="204" spans="1:19" x14ac:dyDescent="0.3">
      <c r="A204" t="s">
        <v>13</v>
      </c>
      <c r="B204" t="s">
        <v>24</v>
      </c>
      <c r="C204" t="s">
        <v>14</v>
      </c>
      <c r="D204">
        <v>0</v>
      </c>
      <c r="E204">
        <v>22</v>
      </c>
      <c r="F204">
        <v>1</v>
      </c>
      <c r="G204">
        <v>20260207</v>
      </c>
      <c r="H204">
        <v>20260301</v>
      </c>
      <c r="I204">
        <v>16038.2883</v>
      </c>
      <c r="J204">
        <f t="shared" si="31"/>
        <v>23</v>
      </c>
      <c r="K204">
        <f t="shared" si="32"/>
        <v>697.31688260869566</v>
      </c>
      <c r="L204">
        <f t="shared" si="33"/>
        <v>0</v>
      </c>
      <c r="M204">
        <f t="shared" si="34"/>
        <v>15340.971417391305</v>
      </c>
      <c r="N204">
        <f t="shared" si="35"/>
        <v>514.10945629810772</v>
      </c>
      <c r="O204">
        <f t="shared" si="36"/>
        <v>15855.080873689412</v>
      </c>
      <c r="P204">
        <f t="shared" si="37"/>
        <v>0</v>
      </c>
      <c r="Q204">
        <f t="shared" si="38"/>
        <v>15518.238245159338</v>
      </c>
      <c r="R204">
        <f t="shared" si="39"/>
        <v>520.05005484066146</v>
      </c>
      <c r="S204">
        <f t="shared" si="40"/>
        <v>16038.2883</v>
      </c>
    </row>
    <row r="205" spans="1:19" x14ac:dyDescent="0.3">
      <c r="A205" t="s">
        <v>13</v>
      </c>
      <c r="B205" t="s">
        <v>24</v>
      </c>
      <c r="C205" t="s">
        <v>15</v>
      </c>
      <c r="D205">
        <v>0</v>
      </c>
      <c r="E205">
        <v>24</v>
      </c>
      <c r="F205">
        <v>9</v>
      </c>
      <c r="G205">
        <v>20260205</v>
      </c>
      <c r="H205">
        <v>20260309</v>
      </c>
      <c r="I205">
        <v>127074.5003</v>
      </c>
      <c r="J205">
        <f t="shared" si="31"/>
        <v>33</v>
      </c>
      <c r="K205">
        <f t="shared" si="32"/>
        <v>3850.7424333333333</v>
      </c>
      <c r="L205">
        <f t="shared" si="33"/>
        <v>0</v>
      </c>
      <c r="M205">
        <f t="shared" si="34"/>
        <v>92417.818400000004</v>
      </c>
      <c r="N205">
        <f t="shared" si="35"/>
        <v>25551.264185731456</v>
      </c>
      <c r="O205">
        <f t="shared" si="36"/>
        <v>117969.08258573146</v>
      </c>
      <c r="P205">
        <f t="shared" si="37"/>
        <v>0</v>
      </c>
      <c r="Q205">
        <f t="shared" si="38"/>
        <v>99551.067403287525</v>
      </c>
      <c r="R205">
        <f t="shared" si="39"/>
        <v>27523.432896712467</v>
      </c>
      <c r="S205">
        <f t="shared" si="40"/>
        <v>127074.50029999999</v>
      </c>
    </row>
    <row r="206" spans="1:19" x14ac:dyDescent="0.3">
      <c r="A206" t="s">
        <v>13</v>
      </c>
      <c r="B206" t="s">
        <v>24</v>
      </c>
      <c r="C206" t="s">
        <v>14</v>
      </c>
      <c r="D206">
        <v>0</v>
      </c>
      <c r="E206">
        <v>21</v>
      </c>
      <c r="F206">
        <v>7</v>
      </c>
      <c r="G206">
        <v>20260208</v>
      </c>
      <c r="H206">
        <v>20260307</v>
      </c>
      <c r="I206">
        <v>13438.7986</v>
      </c>
      <c r="J206">
        <f t="shared" si="31"/>
        <v>28</v>
      </c>
      <c r="K206">
        <f t="shared" si="32"/>
        <v>479.95709285714287</v>
      </c>
      <c r="L206">
        <f t="shared" si="33"/>
        <v>0</v>
      </c>
      <c r="M206">
        <f t="shared" si="34"/>
        <v>10079.09895</v>
      </c>
      <c r="N206">
        <f t="shared" si="35"/>
        <v>2476.9992000261141</v>
      </c>
      <c r="O206">
        <f t="shared" si="36"/>
        <v>12556.098150026113</v>
      </c>
      <c r="P206">
        <f t="shared" si="37"/>
        <v>0</v>
      </c>
      <c r="Q206">
        <f t="shared" si="38"/>
        <v>10787.665024603186</v>
      </c>
      <c r="R206">
        <f t="shared" si="39"/>
        <v>2651.1335753968146</v>
      </c>
      <c r="S206">
        <f t="shared" si="40"/>
        <v>13438.7986</v>
      </c>
    </row>
    <row r="207" spans="1:19" x14ac:dyDescent="0.3">
      <c r="A207" t="s">
        <v>13</v>
      </c>
      <c r="B207" t="s">
        <v>24</v>
      </c>
      <c r="C207" t="s">
        <v>15</v>
      </c>
      <c r="D207">
        <v>0</v>
      </c>
      <c r="E207">
        <v>19</v>
      </c>
      <c r="F207">
        <v>5</v>
      </c>
      <c r="G207">
        <v>20260210</v>
      </c>
      <c r="H207">
        <v>20260305</v>
      </c>
      <c r="I207">
        <v>37396.0573</v>
      </c>
      <c r="J207">
        <f t="shared" si="31"/>
        <v>24</v>
      </c>
      <c r="K207">
        <f t="shared" si="32"/>
        <v>1558.1690541666667</v>
      </c>
      <c r="L207">
        <f t="shared" si="33"/>
        <v>0</v>
      </c>
      <c r="M207">
        <f t="shared" si="34"/>
        <v>29605.212029166665</v>
      </c>
      <c r="N207">
        <f t="shared" si="35"/>
        <v>5743.9412786144139</v>
      </c>
      <c r="O207">
        <f t="shared" si="36"/>
        <v>35349.153307781082</v>
      </c>
      <c r="P207">
        <f t="shared" si="37"/>
        <v>0</v>
      </c>
      <c r="Q207">
        <f t="shared" si="38"/>
        <v>31319.511270377901</v>
      </c>
      <c r="R207">
        <f t="shared" si="39"/>
        <v>6076.5460296220954</v>
      </c>
      <c r="S207">
        <f t="shared" si="40"/>
        <v>37396.0573</v>
      </c>
    </row>
    <row r="208" spans="1:19" x14ac:dyDescent="0.3">
      <c r="A208" t="s">
        <v>13</v>
      </c>
      <c r="B208" t="s">
        <v>24</v>
      </c>
      <c r="C208" t="s">
        <v>14</v>
      </c>
      <c r="D208">
        <v>13</v>
      </c>
      <c r="E208">
        <v>15</v>
      </c>
      <c r="F208">
        <v>0</v>
      </c>
      <c r="G208">
        <v>20260119</v>
      </c>
      <c r="H208">
        <v>20260215</v>
      </c>
      <c r="I208">
        <v>6653.6040000000003</v>
      </c>
      <c r="J208">
        <f t="shared" si="31"/>
        <v>28</v>
      </c>
      <c r="K208">
        <f t="shared" si="32"/>
        <v>237.6287142857143</v>
      </c>
      <c r="L208">
        <f t="shared" si="33"/>
        <v>3746.6869363189185</v>
      </c>
      <c r="M208">
        <f t="shared" si="34"/>
        <v>3564.4307142857142</v>
      </c>
      <c r="N208">
        <f t="shared" si="35"/>
        <v>0</v>
      </c>
      <c r="O208">
        <f t="shared" si="36"/>
        <v>7311.1176506046322</v>
      </c>
      <c r="P208">
        <f t="shared" si="37"/>
        <v>3409.7346503756053</v>
      </c>
      <c r="Q208">
        <f t="shared" si="38"/>
        <v>3243.8693496243955</v>
      </c>
      <c r="R208">
        <f t="shared" si="39"/>
        <v>0</v>
      </c>
      <c r="S208">
        <f t="shared" si="40"/>
        <v>6653.6040000000012</v>
      </c>
    </row>
    <row r="209" spans="1:19" x14ac:dyDescent="0.3">
      <c r="A209" t="s">
        <v>13</v>
      </c>
      <c r="B209" t="s">
        <v>24</v>
      </c>
      <c r="C209" t="s">
        <v>15</v>
      </c>
      <c r="D209">
        <v>27</v>
      </c>
      <c r="E209">
        <v>7</v>
      </c>
      <c r="F209">
        <v>0</v>
      </c>
      <c r="G209">
        <v>20260105</v>
      </c>
      <c r="H209">
        <v>20260207</v>
      </c>
      <c r="I209">
        <v>151378.26300000001</v>
      </c>
      <c r="J209">
        <f t="shared" si="31"/>
        <v>34</v>
      </c>
      <c r="K209">
        <f t="shared" si="32"/>
        <v>4452.3018529411765</v>
      </c>
      <c r="L209">
        <f t="shared" si="33"/>
        <v>145798.64916767369</v>
      </c>
      <c r="M209">
        <f t="shared" si="34"/>
        <v>31166.112970588234</v>
      </c>
      <c r="N209">
        <f t="shared" si="35"/>
        <v>0</v>
      </c>
      <c r="O209">
        <f t="shared" si="36"/>
        <v>176964.76213826193</v>
      </c>
      <c r="P209">
        <f t="shared" si="37"/>
        <v>124718.31110368202</v>
      </c>
      <c r="Q209">
        <f t="shared" si="38"/>
        <v>26659.951896317983</v>
      </c>
      <c r="R209">
        <f t="shared" si="39"/>
        <v>0</v>
      </c>
      <c r="S209">
        <f t="shared" si="40"/>
        <v>151378.26300000001</v>
      </c>
    </row>
    <row r="210" spans="1:19" x14ac:dyDescent="0.3">
      <c r="A210" t="s">
        <v>13</v>
      </c>
      <c r="B210" t="s">
        <v>24</v>
      </c>
      <c r="C210" t="s">
        <v>15</v>
      </c>
      <c r="D210">
        <v>0</v>
      </c>
      <c r="E210">
        <v>19</v>
      </c>
      <c r="F210">
        <v>6</v>
      </c>
      <c r="G210">
        <v>20260210</v>
      </c>
      <c r="H210">
        <v>20260306</v>
      </c>
      <c r="I210">
        <v>42984.829299999998</v>
      </c>
      <c r="J210">
        <f t="shared" si="31"/>
        <v>25</v>
      </c>
      <c r="K210">
        <f t="shared" si="32"/>
        <v>1719.3931719999998</v>
      </c>
      <c r="L210">
        <f t="shared" si="33"/>
        <v>0</v>
      </c>
      <c r="M210">
        <f t="shared" si="34"/>
        <v>32668.470267999997</v>
      </c>
      <c r="N210">
        <f t="shared" si="35"/>
        <v>7605.9218774053725</v>
      </c>
      <c r="O210">
        <f t="shared" si="36"/>
        <v>40274.392145405371</v>
      </c>
      <c r="P210">
        <f t="shared" si="37"/>
        <v>0</v>
      </c>
      <c r="Q210">
        <f t="shared" si="38"/>
        <v>34867.034439458475</v>
      </c>
      <c r="R210">
        <f t="shared" si="39"/>
        <v>8117.7948605415195</v>
      </c>
      <c r="S210">
        <f t="shared" si="40"/>
        <v>42984.829299999998</v>
      </c>
    </row>
    <row r="211" spans="1:19" x14ac:dyDescent="0.3">
      <c r="A211" t="s">
        <v>13</v>
      </c>
      <c r="B211" t="s">
        <v>24</v>
      </c>
      <c r="C211" t="s">
        <v>15</v>
      </c>
      <c r="D211">
        <v>0</v>
      </c>
      <c r="E211">
        <v>17</v>
      </c>
      <c r="F211">
        <v>0</v>
      </c>
      <c r="G211">
        <v>20260208</v>
      </c>
      <c r="H211">
        <v>20260224</v>
      </c>
      <c r="I211">
        <v>4175.2655999999997</v>
      </c>
      <c r="J211">
        <f t="shared" si="31"/>
        <v>17</v>
      </c>
      <c r="K211">
        <f t="shared" si="32"/>
        <v>245.60385882352941</v>
      </c>
      <c r="L211">
        <f t="shared" si="33"/>
        <v>0</v>
      </c>
      <c r="M211">
        <f t="shared" si="34"/>
        <v>4175.2655999999997</v>
      </c>
      <c r="N211">
        <f t="shared" si="35"/>
        <v>0</v>
      </c>
      <c r="O211">
        <f t="shared" si="36"/>
        <v>4175.2655999999997</v>
      </c>
      <c r="P211">
        <f t="shared" si="37"/>
        <v>0</v>
      </c>
      <c r="Q211">
        <f t="shared" si="38"/>
        <v>4175.2655999999997</v>
      </c>
      <c r="R211">
        <f t="shared" si="39"/>
        <v>0</v>
      </c>
      <c r="S211">
        <f t="shared" si="40"/>
        <v>4175.2655999999997</v>
      </c>
    </row>
    <row r="212" spans="1:19" x14ac:dyDescent="0.3">
      <c r="A212" t="s">
        <v>13</v>
      </c>
      <c r="B212" t="s">
        <v>24</v>
      </c>
      <c r="C212" t="s">
        <v>15</v>
      </c>
      <c r="D212">
        <v>0</v>
      </c>
      <c r="E212">
        <v>19</v>
      </c>
      <c r="F212">
        <v>2</v>
      </c>
      <c r="G212">
        <v>20260210</v>
      </c>
      <c r="H212">
        <v>20260302</v>
      </c>
      <c r="I212">
        <v>3969.5025999999998</v>
      </c>
      <c r="J212">
        <f t="shared" si="31"/>
        <v>21</v>
      </c>
      <c r="K212">
        <f t="shared" si="32"/>
        <v>189.02393333333333</v>
      </c>
      <c r="L212">
        <f t="shared" si="33"/>
        <v>0</v>
      </c>
      <c r="M212">
        <f t="shared" si="34"/>
        <v>3591.4547333333335</v>
      </c>
      <c r="N212">
        <f t="shared" si="35"/>
        <v>278.72261239331687</v>
      </c>
      <c r="O212">
        <f t="shared" si="36"/>
        <v>3870.1773457266504</v>
      </c>
      <c r="P212">
        <f t="shared" si="37"/>
        <v>0</v>
      </c>
      <c r="Q212">
        <f t="shared" si="38"/>
        <v>3683.6267768169328</v>
      </c>
      <c r="R212">
        <f t="shared" si="39"/>
        <v>285.87582318306698</v>
      </c>
      <c r="S212">
        <f t="shared" si="40"/>
        <v>3969.5025999999998</v>
      </c>
    </row>
    <row r="213" spans="1:19" x14ac:dyDescent="0.3">
      <c r="A213" t="s">
        <v>13</v>
      </c>
      <c r="B213" t="s">
        <v>24</v>
      </c>
      <c r="C213" t="s">
        <v>14</v>
      </c>
      <c r="D213">
        <v>0</v>
      </c>
      <c r="E213">
        <v>20</v>
      </c>
      <c r="F213">
        <v>5</v>
      </c>
      <c r="G213">
        <v>20260209</v>
      </c>
      <c r="H213">
        <v>20260305</v>
      </c>
      <c r="I213">
        <v>591.54840000000002</v>
      </c>
      <c r="J213">
        <f t="shared" si="31"/>
        <v>25</v>
      </c>
      <c r="K213">
        <f t="shared" si="32"/>
        <v>23.661936000000001</v>
      </c>
      <c r="L213">
        <f t="shared" si="33"/>
        <v>0</v>
      </c>
      <c r="M213">
        <f t="shared" si="34"/>
        <v>473.23872</v>
      </c>
      <c r="N213">
        <f t="shared" si="35"/>
        <v>87.225946734656929</v>
      </c>
      <c r="O213">
        <f t="shared" si="36"/>
        <v>560.46466673465693</v>
      </c>
      <c r="P213">
        <f t="shared" si="37"/>
        <v>0</v>
      </c>
      <c r="Q213">
        <f t="shared" si="38"/>
        <v>499.48484578882983</v>
      </c>
      <c r="R213">
        <f t="shared" si="39"/>
        <v>92.063554211170214</v>
      </c>
      <c r="S213">
        <f t="shared" si="40"/>
        <v>591.54840000000002</v>
      </c>
    </row>
    <row r="214" spans="1:19" x14ac:dyDescent="0.3">
      <c r="A214" t="s">
        <v>13</v>
      </c>
      <c r="B214" t="s">
        <v>24</v>
      </c>
      <c r="C214" t="s">
        <v>15</v>
      </c>
      <c r="D214">
        <v>27</v>
      </c>
      <c r="E214">
        <v>9</v>
      </c>
      <c r="F214">
        <v>0</v>
      </c>
      <c r="G214">
        <v>20260105</v>
      </c>
      <c r="H214">
        <v>20260209</v>
      </c>
      <c r="I214">
        <v>1723.4376</v>
      </c>
      <c r="J214">
        <f t="shared" si="31"/>
        <v>36</v>
      </c>
      <c r="K214">
        <f t="shared" si="32"/>
        <v>47.873266666666666</v>
      </c>
      <c r="L214">
        <f t="shared" si="33"/>
        <v>1567.696405541989</v>
      </c>
      <c r="M214">
        <f t="shared" si="34"/>
        <v>430.85939999999999</v>
      </c>
      <c r="N214">
        <f t="shared" si="35"/>
        <v>0</v>
      </c>
      <c r="O214">
        <f t="shared" si="36"/>
        <v>1998.555805541989</v>
      </c>
      <c r="P214">
        <f t="shared" si="37"/>
        <v>1351.8896611261764</v>
      </c>
      <c r="Q214">
        <f t="shared" si="38"/>
        <v>371.54793887382345</v>
      </c>
      <c r="R214">
        <f t="shared" si="39"/>
        <v>0</v>
      </c>
      <c r="S214">
        <f t="shared" si="40"/>
        <v>1723.4375999999997</v>
      </c>
    </row>
    <row r="215" spans="1:19" x14ac:dyDescent="0.3">
      <c r="A215" t="s">
        <v>13</v>
      </c>
      <c r="B215" t="s">
        <v>24</v>
      </c>
      <c r="C215" t="s">
        <v>14</v>
      </c>
      <c r="D215">
        <v>0</v>
      </c>
      <c r="E215">
        <v>15</v>
      </c>
      <c r="F215">
        <v>0</v>
      </c>
      <c r="G215">
        <v>20260201</v>
      </c>
      <c r="H215">
        <v>20260215</v>
      </c>
      <c r="I215">
        <v>28422.881099999999</v>
      </c>
      <c r="J215">
        <f t="shared" si="31"/>
        <v>15</v>
      </c>
      <c r="K215">
        <f t="shared" si="32"/>
        <v>1894.8587399999999</v>
      </c>
      <c r="L215">
        <f t="shared" si="33"/>
        <v>0</v>
      </c>
      <c r="M215">
        <f t="shared" si="34"/>
        <v>28422.881099999999</v>
      </c>
      <c r="N215">
        <f t="shared" si="35"/>
        <v>0</v>
      </c>
      <c r="O215">
        <f t="shared" si="36"/>
        <v>28422.881099999999</v>
      </c>
      <c r="P215">
        <f t="shared" si="37"/>
        <v>0</v>
      </c>
      <c r="Q215">
        <f t="shared" si="38"/>
        <v>28422.881099999999</v>
      </c>
      <c r="R215">
        <f t="shared" si="39"/>
        <v>0</v>
      </c>
      <c r="S215">
        <f t="shared" si="40"/>
        <v>28422.881099999999</v>
      </c>
    </row>
    <row r="216" spans="1:19" x14ac:dyDescent="0.3">
      <c r="A216" t="s">
        <v>13</v>
      </c>
      <c r="B216" t="s">
        <v>24</v>
      </c>
      <c r="C216" t="s">
        <v>15</v>
      </c>
      <c r="D216">
        <v>0</v>
      </c>
      <c r="E216">
        <v>25</v>
      </c>
      <c r="F216">
        <v>0</v>
      </c>
      <c r="G216">
        <v>20260202</v>
      </c>
      <c r="H216">
        <v>20260226</v>
      </c>
      <c r="I216">
        <v>84.352800000000002</v>
      </c>
      <c r="J216">
        <f t="shared" si="31"/>
        <v>25</v>
      </c>
      <c r="K216">
        <f t="shared" si="32"/>
        <v>3.3741120000000002</v>
      </c>
      <c r="L216">
        <f t="shared" si="33"/>
        <v>0</v>
      </c>
      <c r="M216">
        <f t="shared" si="34"/>
        <v>84.352800000000002</v>
      </c>
      <c r="N216">
        <f t="shared" si="35"/>
        <v>0</v>
      </c>
      <c r="O216">
        <f t="shared" si="36"/>
        <v>84.352800000000002</v>
      </c>
      <c r="P216">
        <f t="shared" si="37"/>
        <v>0</v>
      </c>
      <c r="Q216">
        <f t="shared" si="38"/>
        <v>84.352800000000002</v>
      </c>
      <c r="R216">
        <f t="shared" si="39"/>
        <v>0</v>
      </c>
      <c r="S216">
        <f t="shared" si="40"/>
        <v>84.352800000000002</v>
      </c>
    </row>
    <row r="217" spans="1:19" x14ac:dyDescent="0.3">
      <c r="A217" t="s">
        <v>13</v>
      </c>
      <c r="B217" t="s">
        <v>24</v>
      </c>
      <c r="C217" t="s">
        <v>15</v>
      </c>
      <c r="D217">
        <v>0</v>
      </c>
      <c r="E217">
        <v>26</v>
      </c>
      <c r="F217">
        <v>11</v>
      </c>
      <c r="G217">
        <v>20260203</v>
      </c>
      <c r="H217">
        <v>20260311</v>
      </c>
      <c r="I217">
        <v>20905.6774</v>
      </c>
      <c r="J217">
        <f t="shared" si="31"/>
        <v>37</v>
      </c>
      <c r="K217">
        <f t="shared" si="32"/>
        <v>565.01830810810816</v>
      </c>
      <c r="L217">
        <f t="shared" si="33"/>
        <v>0</v>
      </c>
      <c r="M217">
        <f t="shared" si="34"/>
        <v>14690.476010810813</v>
      </c>
      <c r="N217">
        <f t="shared" si="35"/>
        <v>4582.2693909626159</v>
      </c>
      <c r="O217">
        <f t="shared" si="36"/>
        <v>19272.745401773427</v>
      </c>
      <c r="P217">
        <f t="shared" si="37"/>
        <v>0</v>
      </c>
      <c r="Q217">
        <f t="shared" si="38"/>
        <v>15935.163669322894</v>
      </c>
      <c r="R217">
        <f t="shared" si="39"/>
        <v>4970.5137306771085</v>
      </c>
      <c r="S217">
        <f t="shared" si="40"/>
        <v>20905.6774</v>
      </c>
    </row>
    <row r="218" spans="1:19" x14ac:dyDescent="0.3">
      <c r="A218" t="s">
        <v>13</v>
      </c>
      <c r="B218" t="s">
        <v>24</v>
      </c>
      <c r="C218" t="s">
        <v>14</v>
      </c>
      <c r="D218">
        <v>0</v>
      </c>
      <c r="E218">
        <v>24</v>
      </c>
      <c r="F218">
        <v>9</v>
      </c>
      <c r="G218">
        <v>20260205</v>
      </c>
      <c r="H218">
        <v>20260309</v>
      </c>
      <c r="I218">
        <v>380.19220000000001</v>
      </c>
      <c r="J218">
        <f t="shared" si="31"/>
        <v>33</v>
      </c>
      <c r="K218">
        <f t="shared" si="32"/>
        <v>11.520975757575759</v>
      </c>
      <c r="L218">
        <f t="shared" si="33"/>
        <v>0</v>
      </c>
      <c r="M218">
        <f t="shared" si="34"/>
        <v>276.50341818181823</v>
      </c>
      <c r="N218">
        <f t="shared" si="35"/>
        <v>76.446425684307414</v>
      </c>
      <c r="O218">
        <f t="shared" si="36"/>
        <v>352.94984386612566</v>
      </c>
      <c r="P218">
        <f t="shared" si="37"/>
        <v>0</v>
      </c>
      <c r="Q218">
        <f t="shared" si="38"/>
        <v>297.84527374926199</v>
      </c>
      <c r="R218">
        <f t="shared" si="39"/>
        <v>82.346926250738008</v>
      </c>
      <c r="S218">
        <f t="shared" si="40"/>
        <v>380.19220000000001</v>
      </c>
    </row>
    <row r="219" spans="1:19" x14ac:dyDescent="0.3">
      <c r="A219" t="s">
        <v>13</v>
      </c>
      <c r="B219" t="s">
        <v>24</v>
      </c>
      <c r="C219" t="s">
        <v>15</v>
      </c>
      <c r="D219">
        <v>0</v>
      </c>
      <c r="E219">
        <v>25</v>
      </c>
      <c r="F219">
        <v>11</v>
      </c>
      <c r="G219">
        <v>20260204</v>
      </c>
      <c r="H219">
        <v>20260311</v>
      </c>
      <c r="I219">
        <v>12290.004199999999</v>
      </c>
      <c r="J219">
        <f t="shared" si="31"/>
        <v>36</v>
      </c>
      <c r="K219">
        <f t="shared" si="32"/>
        <v>341.38900555555551</v>
      </c>
      <c r="L219">
        <f t="shared" si="33"/>
        <v>0</v>
      </c>
      <c r="M219">
        <f t="shared" si="34"/>
        <v>8534.7251388888872</v>
      </c>
      <c r="N219">
        <f t="shared" si="35"/>
        <v>2768.6472599558228</v>
      </c>
      <c r="O219">
        <f t="shared" si="36"/>
        <v>11303.372398844709</v>
      </c>
      <c r="P219">
        <f t="shared" si="37"/>
        <v>0</v>
      </c>
      <c r="Q219">
        <f t="shared" si="38"/>
        <v>9279.6914143526537</v>
      </c>
      <c r="R219">
        <f t="shared" si="39"/>
        <v>3010.312785647347</v>
      </c>
      <c r="S219">
        <f t="shared" si="40"/>
        <v>12290.004200000001</v>
      </c>
    </row>
    <row r="220" spans="1:19" x14ac:dyDescent="0.3">
      <c r="A220" t="s">
        <v>13</v>
      </c>
      <c r="B220" t="s">
        <v>24</v>
      </c>
      <c r="C220" t="s">
        <v>15</v>
      </c>
      <c r="D220">
        <v>12</v>
      </c>
      <c r="E220">
        <v>20</v>
      </c>
      <c r="F220">
        <v>0</v>
      </c>
      <c r="G220">
        <v>20260120</v>
      </c>
      <c r="H220">
        <v>20260220</v>
      </c>
      <c r="I220">
        <v>126493.0034</v>
      </c>
      <c r="J220">
        <f t="shared" si="31"/>
        <v>32</v>
      </c>
      <c r="K220">
        <f t="shared" si="32"/>
        <v>3952.90635625</v>
      </c>
      <c r="L220">
        <f t="shared" si="33"/>
        <v>57531.130444290706</v>
      </c>
      <c r="M220">
        <f t="shared" si="34"/>
        <v>79058.127124999999</v>
      </c>
      <c r="N220">
        <f t="shared" si="35"/>
        <v>0</v>
      </c>
      <c r="O220">
        <f t="shared" si="36"/>
        <v>136589.2575692907</v>
      </c>
      <c r="P220">
        <f t="shared" si="37"/>
        <v>53278.607764624503</v>
      </c>
      <c r="Q220">
        <f t="shared" si="38"/>
        <v>73214.395635375491</v>
      </c>
      <c r="R220">
        <f t="shared" si="39"/>
        <v>0</v>
      </c>
      <c r="S220">
        <f t="shared" si="40"/>
        <v>126493.00339999999</v>
      </c>
    </row>
    <row r="221" spans="1:19" x14ac:dyDescent="0.3">
      <c r="A221" t="s">
        <v>13</v>
      </c>
      <c r="B221" t="s">
        <v>24</v>
      </c>
      <c r="C221" t="s">
        <v>15</v>
      </c>
      <c r="D221">
        <v>23</v>
      </c>
      <c r="E221">
        <v>8</v>
      </c>
      <c r="F221">
        <v>0</v>
      </c>
      <c r="G221">
        <v>20260109</v>
      </c>
      <c r="H221">
        <v>20260208</v>
      </c>
      <c r="I221">
        <v>7904.8212999999996</v>
      </c>
      <c r="J221">
        <f t="shared" si="31"/>
        <v>31</v>
      </c>
      <c r="K221">
        <f t="shared" si="32"/>
        <v>254.99423548387097</v>
      </c>
      <c r="L221">
        <f t="shared" si="33"/>
        <v>7113.1723923905083</v>
      </c>
      <c r="M221">
        <f t="shared" si="34"/>
        <v>2039.9538838709677</v>
      </c>
      <c r="N221">
        <f t="shared" si="35"/>
        <v>0</v>
      </c>
      <c r="O221">
        <f t="shared" si="36"/>
        <v>9153.1262762614751</v>
      </c>
      <c r="P221">
        <f t="shared" si="37"/>
        <v>6143.0766866800495</v>
      </c>
      <c r="Q221">
        <f t="shared" si="38"/>
        <v>1761.7446133199505</v>
      </c>
      <c r="R221">
        <f t="shared" si="39"/>
        <v>0</v>
      </c>
      <c r="S221">
        <f t="shared" si="40"/>
        <v>7904.8212999999996</v>
      </c>
    </row>
    <row r="222" spans="1:19" x14ac:dyDescent="0.3">
      <c r="A222" t="s">
        <v>13</v>
      </c>
      <c r="B222" t="s">
        <v>24</v>
      </c>
      <c r="C222" t="s">
        <v>15</v>
      </c>
      <c r="D222">
        <v>31</v>
      </c>
      <c r="E222">
        <v>1</v>
      </c>
      <c r="F222">
        <v>0</v>
      </c>
      <c r="G222">
        <v>20251229</v>
      </c>
      <c r="H222">
        <v>20260201</v>
      </c>
      <c r="I222">
        <v>38671.517099999997</v>
      </c>
      <c r="J222">
        <f t="shared" si="31"/>
        <v>32</v>
      </c>
      <c r="K222">
        <f t="shared" si="32"/>
        <v>1208.4849093749999</v>
      </c>
      <c r="L222">
        <f t="shared" si="33"/>
        <v>45436.833845678841</v>
      </c>
      <c r="M222">
        <f t="shared" si="34"/>
        <v>1208.4849093749999</v>
      </c>
      <c r="N222">
        <f t="shared" si="35"/>
        <v>0</v>
      </c>
      <c r="O222">
        <f t="shared" si="36"/>
        <v>46645.318755053842</v>
      </c>
      <c r="P222">
        <f t="shared" si="37"/>
        <v>37669.617100486677</v>
      </c>
      <c r="Q222">
        <f t="shared" si="38"/>
        <v>1001.8999995133233</v>
      </c>
      <c r="R222">
        <f t="shared" si="39"/>
        <v>0</v>
      </c>
      <c r="S222">
        <f t="shared" si="40"/>
        <v>38671.517099999997</v>
      </c>
    </row>
    <row r="223" spans="1:19" x14ac:dyDescent="0.3">
      <c r="A223" t="s">
        <v>13</v>
      </c>
      <c r="B223" t="s">
        <v>24</v>
      </c>
      <c r="C223" t="s">
        <v>15</v>
      </c>
      <c r="D223">
        <v>31</v>
      </c>
      <c r="E223">
        <v>1</v>
      </c>
      <c r="F223">
        <v>0</v>
      </c>
      <c r="G223">
        <v>20251231</v>
      </c>
      <c r="H223">
        <v>20260201</v>
      </c>
      <c r="I223">
        <v>97205.938500000004</v>
      </c>
      <c r="J223">
        <f t="shared" si="31"/>
        <v>32</v>
      </c>
      <c r="K223">
        <f t="shared" si="32"/>
        <v>3037.6855781250001</v>
      </c>
      <c r="L223">
        <f t="shared" si="33"/>
        <v>114211.45089851612</v>
      </c>
      <c r="M223">
        <f t="shared" si="34"/>
        <v>3037.6855781250001</v>
      </c>
      <c r="N223">
        <f t="shared" si="35"/>
        <v>0</v>
      </c>
      <c r="O223">
        <f t="shared" si="36"/>
        <v>117249.13647664113</v>
      </c>
      <c r="P223">
        <f t="shared" si="37"/>
        <v>94687.531231828922</v>
      </c>
      <c r="Q223">
        <f t="shared" si="38"/>
        <v>2518.4072681710786</v>
      </c>
      <c r="R223">
        <f t="shared" si="39"/>
        <v>0</v>
      </c>
      <c r="S223">
        <f t="shared" si="40"/>
        <v>97205.938500000004</v>
      </c>
    </row>
    <row r="224" spans="1:19" x14ac:dyDescent="0.3">
      <c r="A224" t="s">
        <v>13</v>
      </c>
      <c r="B224" t="s">
        <v>24</v>
      </c>
      <c r="C224" t="s">
        <v>15</v>
      </c>
      <c r="D224">
        <v>31</v>
      </c>
      <c r="E224">
        <v>3</v>
      </c>
      <c r="F224">
        <v>0</v>
      </c>
      <c r="G224">
        <v>20251226</v>
      </c>
      <c r="H224">
        <v>20260203</v>
      </c>
      <c r="I224">
        <v>17767.873500000002</v>
      </c>
      <c r="J224">
        <f t="shared" si="31"/>
        <v>34</v>
      </c>
      <c r="K224">
        <f t="shared" si="32"/>
        <v>522.58451470588238</v>
      </c>
      <c r="L224">
        <f t="shared" si="33"/>
        <v>19648.226949971624</v>
      </c>
      <c r="M224">
        <f t="shared" si="34"/>
        <v>1567.7535441176472</v>
      </c>
      <c r="N224">
        <f t="shared" si="35"/>
        <v>0</v>
      </c>
      <c r="O224">
        <f t="shared" si="36"/>
        <v>21215.980494089272</v>
      </c>
      <c r="P224">
        <f t="shared" si="37"/>
        <v>16454.917605323364</v>
      </c>
      <c r="Q224">
        <f t="shared" si="38"/>
        <v>1312.9558946766354</v>
      </c>
      <c r="R224">
        <f t="shared" si="39"/>
        <v>0</v>
      </c>
      <c r="S224">
        <f t="shared" si="40"/>
        <v>17767.873499999998</v>
      </c>
    </row>
    <row r="225" spans="1:19" x14ac:dyDescent="0.3">
      <c r="A225" t="s">
        <v>13</v>
      </c>
      <c r="B225" t="s">
        <v>24</v>
      </c>
      <c r="C225" t="s">
        <v>15</v>
      </c>
      <c r="D225">
        <v>31</v>
      </c>
      <c r="E225">
        <v>4</v>
      </c>
      <c r="F225">
        <v>0</v>
      </c>
      <c r="G225">
        <v>20251227</v>
      </c>
      <c r="H225">
        <v>20260204</v>
      </c>
      <c r="I225">
        <v>38650.438900000001</v>
      </c>
      <c r="J225">
        <f t="shared" si="31"/>
        <v>35</v>
      </c>
      <c r="K225">
        <f t="shared" si="32"/>
        <v>1104.2982542857144</v>
      </c>
      <c r="L225">
        <f t="shared" si="33"/>
        <v>41519.605174054654</v>
      </c>
      <c r="M225">
        <f t="shared" si="34"/>
        <v>4417.1930171428576</v>
      </c>
      <c r="N225">
        <f t="shared" si="35"/>
        <v>0</v>
      </c>
      <c r="O225">
        <f t="shared" si="36"/>
        <v>45936.798191197508</v>
      </c>
      <c r="P225">
        <f t="shared" si="37"/>
        <v>34933.887996561083</v>
      </c>
      <c r="Q225">
        <f t="shared" si="38"/>
        <v>3716.5509034389252</v>
      </c>
      <c r="R225">
        <f t="shared" si="39"/>
        <v>0</v>
      </c>
      <c r="S225">
        <f t="shared" si="40"/>
        <v>38650.438900000008</v>
      </c>
    </row>
    <row r="226" spans="1:19" x14ac:dyDescent="0.3">
      <c r="A226" t="s">
        <v>13</v>
      </c>
      <c r="B226" t="s">
        <v>24</v>
      </c>
      <c r="C226" t="s">
        <v>15</v>
      </c>
      <c r="D226">
        <v>6</v>
      </c>
      <c r="E226">
        <v>28</v>
      </c>
      <c r="F226">
        <v>5</v>
      </c>
      <c r="G226">
        <v>20260126</v>
      </c>
      <c r="H226">
        <v>20260305</v>
      </c>
      <c r="I226">
        <v>1181.2152000000001</v>
      </c>
      <c r="J226">
        <f t="shared" si="31"/>
        <v>39</v>
      </c>
      <c r="K226">
        <f t="shared" si="32"/>
        <v>30.287569230769233</v>
      </c>
      <c r="L226">
        <f t="shared" si="33"/>
        <v>220.40467686526543</v>
      </c>
      <c r="M226">
        <f t="shared" si="34"/>
        <v>848.0519384615385</v>
      </c>
      <c r="N226">
        <f t="shared" si="35"/>
        <v>111.65028510115619</v>
      </c>
      <c r="O226">
        <f t="shared" si="36"/>
        <v>1180.1069004279602</v>
      </c>
      <c r="P226">
        <f t="shared" si="37"/>
        <v>220.61167032404174</v>
      </c>
      <c r="Q226">
        <f t="shared" si="38"/>
        <v>848.84838800362968</v>
      </c>
      <c r="R226">
        <f t="shared" si="39"/>
        <v>111.75514167232856</v>
      </c>
      <c r="S226">
        <f t="shared" si="40"/>
        <v>1181.2152000000001</v>
      </c>
    </row>
    <row r="227" spans="1:19" x14ac:dyDescent="0.3">
      <c r="A227" t="s">
        <v>13</v>
      </c>
      <c r="B227" t="s">
        <v>24</v>
      </c>
      <c r="C227" t="s">
        <v>15</v>
      </c>
      <c r="D227">
        <v>16</v>
      </c>
      <c r="E227">
        <v>4</v>
      </c>
      <c r="F227">
        <v>0</v>
      </c>
      <c r="G227">
        <v>20260116</v>
      </c>
      <c r="H227">
        <v>20260204</v>
      </c>
      <c r="I227">
        <v>4963.1692999999996</v>
      </c>
      <c r="J227">
        <f t="shared" si="31"/>
        <v>20</v>
      </c>
      <c r="K227">
        <f t="shared" si="32"/>
        <v>248.15846499999998</v>
      </c>
      <c r="L227">
        <f t="shared" si="33"/>
        <v>4815.6422082355093</v>
      </c>
      <c r="M227">
        <f t="shared" si="34"/>
        <v>992.63385999999991</v>
      </c>
      <c r="N227">
        <f t="shared" si="35"/>
        <v>0</v>
      </c>
      <c r="O227">
        <f t="shared" si="36"/>
        <v>5808.2760682355092</v>
      </c>
      <c r="P227">
        <f t="shared" si="37"/>
        <v>4114.9641110222747</v>
      </c>
      <c r="Q227">
        <f t="shared" si="38"/>
        <v>848.2051889777249</v>
      </c>
      <c r="R227">
        <f t="shared" si="39"/>
        <v>0</v>
      </c>
      <c r="S227">
        <f t="shared" si="40"/>
        <v>4963.1692999999996</v>
      </c>
    </row>
    <row r="228" spans="1:19" x14ac:dyDescent="0.3">
      <c r="A228" t="s">
        <v>13</v>
      </c>
      <c r="B228" t="s">
        <v>24</v>
      </c>
      <c r="C228" t="s">
        <v>15</v>
      </c>
      <c r="D228">
        <v>0</v>
      </c>
      <c r="E228">
        <v>15</v>
      </c>
      <c r="F228">
        <v>1</v>
      </c>
      <c r="G228">
        <v>20260214</v>
      </c>
      <c r="H228">
        <v>20260301</v>
      </c>
      <c r="I228">
        <v>2955.1824999999999</v>
      </c>
      <c r="J228">
        <f t="shared" si="31"/>
        <v>16</v>
      </c>
      <c r="K228">
        <f t="shared" si="32"/>
        <v>184.69890624999999</v>
      </c>
      <c r="L228">
        <f t="shared" si="33"/>
        <v>0</v>
      </c>
      <c r="M228">
        <f t="shared" si="34"/>
        <v>2770.4835937499997</v>
      </c>
      <c r="N228">
        <f t="shared" si="35"/>
        <v>136.17260192498105</v>
      </c>
      <c r="O228">
        <f t="shared" si="36"/>
        <v>2906.6561956749806</v>
      </c>
      <c r="P228">
        <f t="shared" si="37"/>
        <v>0</v>
      </c>
      <c r="Q228">
        <f t="shared" si="38"/>
        <v>2816.7365115177872</v>
      </c>
      <c r="R228">
        <f t="shared" si="39"/>
        <v>138.44598848221261</v>
      </c>
      <c r="S228">
        <f t="shared" si="40"/>
        <v>2955.1824999999999</v>
      </c>
    </row>
    <row r="229" spans="1:19" x14ac:dyDescent="0.3">
      <c r="A229" t="s">
        <v>13</v>
      </c>
      <c r="B229" t="s">
        <v>24</v>
      </c>
      <c r="C229" t="s">
        <v>15</v>
      </c>
      <c r="D229">
        <v>2</v>
      </c>
      <c r="E229">
        <v>28</v>
      </c>
      <c r="F229">
        <v>3</v>
      </c>
      <c r="G229">
        <v>20260130</v>
      </c>
      <c r="H229">
        <v>20260303</v>
      </c>
      <c r="I229">
        <v>23799.7376</v>
      </c>
      <c r="J229">
        <f t="shared" si="31"/>
        <v>33</v>
      </c>
      <c r="K229">
        <f t="shared" si="32"/>
        <v>721.20416969696976</v>
      </c>
      <c r="L229">
        <f t="shared" si="33"/>
        <v>1749.4170712392245</v>
      </c>
      <c r="M229">
        <f t="shared" si="34"/>
        <v>20193.716751515152</v>
      </c>
      <c r="N229">
        <f t="shared" si="35"/>
        <v>1595.162369405454</v>
      </c>
      <c r="O229">
        <f t="shared" si="36"/>
        <v>23538.296192159833</v>
      </c>
      <c r="P229">
        <f t="shared" si="37"/>
        <v>1768.84796199999</v>
      </c>
      <c r="Q229">
        <f t="shared" si="38"/>
        <v>20418.009694978078</v>
      </c>
      <c r="R229">
        <f t="shared" si="39"/>
        <v>1612.8799430219306</v>
      </c>
      <c r="S229">
        <f t="shared" si="40"/>
        <v>23799.737599999997</v>
      </c>
    </row>
    <row r="230" spans="1:19" x14ac:dyDescent="0.3">
      <c r="A230" t="s">
        <v>13</v>
      </c>
      <c r="B230" t="s">
        <v>24</v>
      </c>
      <c r="C230" t="s">
        <v>15</v>
      </c>
      <c r="D230">
        <v>0</v>
      </c>
      <c r="E230">
        <v>4</v>
      </c>
      <c r="F230">
        <v>5</v>
      </c>
      <c r="G230">
        <v>20260225</v>
      </c>
      <c r="H230">
        <v>20260305</v>
      </c>
      <c r="I230">
        <v>42.403700000000001</v>
      </c>
      <c r="J230">
        <f t="shared" si="31"/>
        <v>9</v>
      </c>
      <c r="K230">
        <f t="shared" si="32"/>
        <v>4.7115222222222224</v>
      </c>
      <c r="L230">
        <f t="shared" si="33"/>
        <v>0</v>
      </c>
      <c r="M230">
        <f t="shared" si="34"/>
        <v>18.84608888888889</v>
      </c>
      <c r="N230">
        <f t="shared" si="35"/>
        <v>17.368273939829269</v>
      </c>
      <c r="O230">
        <f t="shared" si="36"/>
        <v>36.214362828718158</v>
      </c>
      <c r="P230">
        <f t="shared" si="37"/>
        <v>0</v>
      </c>
      <c r="Q230">
        <f t="shared" si="38"/>
        <v>22.067042935353069</v>
      </c>
      <c r="R230">
        <f t="shared" si="39"/>
        <v>20.336657064646932</v>
      </c>
      <c r="S230">
        <f t="shared" si="40"/>
        <v>42.403700000000001</v>
      </c>
    </row>
    <row r="231" spans="1:19" x14ac:dyDescent="0.3">
      <c r="A231" t="s">
        <v>13</v>
      </c>
      <c r="B231" t="s">
        <v>24</v>
      </c>
      <c r="C231" t="s">
        <v>15</v>
      </c>
      <c r="D231">
        <v>0</v>
      </c>
      <c r="E231">
        <v>1</v>
      </c>
      <c r="F231">
        <v>0</v>
      </c>
      <c r="G231">
        <v>20260211</v>
      </c>
      <c r="H231">
        <v>20260211</v>
      </c>
      <c r="I231">
        <v>5735.8527000000004</v>
      </c>
      <c r="J231">
        <f t="shared" si="31"/>
        <v>1</v>
      </c>
      <c r="K231">
        <f t="shared" si="32"/>
        <v>5735.8527000000004</v>
      </c>
      <c r="L231">
        <f t="shared" si="33"/>
        <v>0</v>
      </c>
      <c r="M231">
        <f t="shared" si="34"/>
        <v>5735.8527000000004</v>
      </c>
      <c r="N231">
        <f t="shared" si="35"/>
        <v>0</v>
      </c>
      <c r="O231">
        <f t="shared" si="36"/>
        <v>5735.8527000000004</v>
      </c>
      <c r="P231">
        <f t="shared" si="37"/>
        <v>0</v>
      </c>
      <c r="Q231">
        <f t="shared" si="38"/>
        <v>5735.8527000000004</v>
      </c>
      <c r="R231">
        <f t="shared" si="39"/>
        <v>0</v>
      </c>
      <c r="S231">
        <f t="shared" si="40"/>
        <v>5735.8527000000004</v>
      </c>
    </row>
    <row r="232" spans="1:19" x14ac:dyDescent="0.3">
      <c r="A232" t="s">
        <v>13</v>
      </c>
      <c r="B232" t="s">
        <v>24</v>
      </c>
      <c r="C232" t="s">
        <v>14</v>
      </c>
      <c r="D232">
        <v>0</v>
      </c>
      <c r="E232">
        <v>6</v>
      </c>
      <c r="F232">
        <v>3</v>
      </c>
      <c r="G232">
        <v>20260223</v>
      </c>
      <c r="H232">
        <v>20260303</v>
      </c>
      <c r="I232">
        <v>84.738200000000006</v>
      </c>
      <c r="J232">
        <f t="shared" si="31"/>
        <v>9</v>
      </c>
      <c r="K232">
        <f t="shared" si="32"/>
        <v>9.415355555555557</v>
      </c>
      <c r="L232">
        <f t="shared" si="33"/>
        <v>0</v>
      </c>
      <c r="M232">
        <f t="shared" si="34"/>
        <v>56.492133333333342</v>
      </c>
      <c r="N232">
        <f t="shared" si="35"/>
        <v>20.824922411507121</v>
      </c>
      <c r="O232">
        <f t="shared" si="36"/>
        <v>77.317055744840459</v>
      </c>
      <c r="P232">
        <f t="shared" si="37"/>
        <v>0</v>
      </c>
      <c r="Q232">
        <f t="shared" si="38"/>
        <v>61.914433325354835</v>
      </c>
      <c r="R232">
        <f t="shared" si="39"/>
        <v>22.823766674645174</v>
      </c>
      <c r="S232">
        <f t="shared" si="40"/>
        <v>84.738200000000006</v>
      </c>
    </row>
    <row r="233" spans="1:19" x14ac:dyDescent="0.3">
      <c r="A233" t="s">
        <v>13</v>
      </c>
      <c r="B233" t="s">
        <v>24</v>
      </c>
      <c r="C233" t="s">
        <v>15</v>
      </c>
      <c r="D233">
        <v>10</v>
      </c>
      <c r="E233">
        <v>2</v>
      </c>
      <c r="F233">
        <v>0</v>
      </c>
      <c r="G233">
        <v>20260122</v>
      </c>
      <c r="H233">
        <v>20260202</v>
      </c>
      <c r="I233">
        <v>2986.7347</v>
      </c>
      <c r="J233">
        <f t="shared" si="31"/>
        <v>12</v>
      </c>
      <c r="K233">
        <f t="shared" si="32"/>
        <v>248.89455833333332</v>
      </c>
      <c r="L233">
        <f t="shared" si="33"/>
        <v>3018.7040479108155</v>
      </c>
      <c r="M233">
        <f t="shared" si="34"/>
        <v>497.78911666666664</v>
      </c>
      <c r="N233">
        <f t="shared" si="35"/>
        <v>0</v>
      </c>
      <c r="O233">
        <f t="shared" si="36"/>
        <v>3516.4931645774823</v>
      </c>
      <c r="P233">
        <f t="shared" si="37"/>
        <v>2563.9373395480507</v>
      </c>
      <c r="Q233">
        <f t="shared" si="38"/>
        <v>422.79736045194926</v>
      </c>
      <c r="R233">
        <f t="shared" si="39"/>
        <v>0</v>
      </c>
      <c r="S233">
        <f t="shared" si="40"/>
        <v>2986.7347</v>
      </c>
    </row>
    <row r="234" spans="1:19" x14ac:dyDescent="0.3">
      <c r="A234" t="s">
        <v>13</v>
      </c>
      <c r="B234" t="s">
        <v>24</v>
      </c>
      <c r="C234" t="s">
        <v>15</v>
      </c>
      <c r="D234">
        <v>2</v>
      </c>
      <c r="E234">
        <v>28</v>
      </c>
      <c r="F234">
        <v>2</v>
      </c>
      <c r="G234">
        <v>20260130</v>
      </c>
      <c r="H234">
        <v>20260302</v>
      </c>
      <c r="I234">
        <v>9999.3140999999996</v>
      </c>
      <c r="J234">
        <f t="shared" si="31"/>
        <v>32</v>
      </c>
      <c r="K234">
        <f t="shared" si="32"/>
        <v>312.47856562499999</v>
      </c>
      <c r="L234">
        <f t="shared" si="33"/>
        <v>757.97584105817202</v>
      </c>
      <c r="M234">
        <f t="shared" si="34"/>
        <v>8749.3998374999992</v>
      </c>
      <c r="N234">
        <f t="shared" si="35"/>
        <v>460.76092372032872</v>
      </c>
      <c r="O234">
        <f t="shared" si="36"/>
        <v>9968.1366022785005</v>
      </c>
      <c r="P234">
        <f t="shared" si="37"/>
        <v>760.34657402466655</v>
      </c>
      <c r="Q234">
        <f t="shared" si="38"/>
        <v>8776.7654730627964</v>
      </c>
      <c r="R234">
        <f t="shared" si="39"/>
        <v>462.20205291253524</v>
      </c>
      <c r="S234">
        <f t="shared" si="40"/>
        <v>9999.3140999999978</v>
      </c>
    </row>
    <row r="235" spans="1:19" x14ac:dyDescent="0.3">
      <c r="A235" t="s">
        <v>13</v>
      </c>
      <c r="B235" t="s">
        <v>24</v>
      </c>
      <c r="C235" t="s">
        <v>15</v>
      </c>
      <c r="D235">
        <v>0</v>
      </c>
      <c r="E235">
        <v>3</v>
      </c>
      <c r="F235">
        <v>0</v>
      </c>
      <c r="G235">
        <v>20260204</v>
      </c>
      <c r="H235">
        <v>20260206</v>
      </c>
      <c r="I235">
        <v>27875.621899999998</v>
      </c>
      <c r="J235">
        <f t="shared" si="31"/>
        <v>3</v>
      </c>
      <c r="K235">
        <f t="shared" si="32"/>
        <v>9291.8739666666661</v>
      </c>
      <c r="L235">
        <f t="shared" si="33"/>
        <v>0</v>
      </c>
      <c r="M235">
        <f t="shared" si="34"/>
        <v>27875.621899999998</v>
      </c>
      <c r="N235">
        <f t="shared" si="35"/>
        <v>0</v>
      </c>
      <c r="O235">
        <f t="shared" si="36"/>
        <v>27875.621899999998</v>
      </c>
      <c r="P235">
        <f t="shared" si="37"/>
        <v>0</v>
      </c>
      <c r="Q235">
        <f t="shared" si="38"/>
        <v>27875.621899999998</v>
      </c>
      <c r="R235">
        <f t="shared" si="39"/>
        <v>0</v>
      </c>
      <c r="S235">
        <f t="shared" si="40"/>
        <v>27875.621899999998</v>
      </c>
    </row>
    <row r="236" spans="1:19" x14ac:dyDescent="0.3">
      <c r="A236" t="s">
        <v>13</v>
      </c>
      <c r="B236" t="s">
        <v>24</v>
      </c>
      <c r="C236" t="s">
        <v>15</v>
      </c>
      <c r="D236">
        <v>20</v>
      </c>
      <c r="E236">
        <v>9</v>
      </c>
      <c r="F236">
        <v>0</v>
      </c>
      <c r="G236">
        <v>20260112</v>
      </c>
      <c r="H236">
        <v>20260209</v>
      </c>
      <c r="I236">
        <v>5088.7537000000002</v>
      </c>
      <c r="J236">
        <f t="shared" si="31"/>
        <v>29</v>
      </c>
      <c r="K236">
        <f t="shared" si="32"/>
        <v>175.47426551724138</v>
      </c>
      <c r="L236">
        <f t="shared" si="33"/>
        <v>4256.4600782606412</v>
      </c>
      <c r="M236">
        <f t="shared" si="34"/>
        <v>1579.2683896551723</v>
      </c>
      <c r="N236">
        <f t="shared" si="35"/>
        <v>0</v>
      </c>
      <c r="O236">
        <f t="shared" si="36"/>
        <v>5835.7284679158138</v>
      </c>
      <c r="P236">
        <f t="shared" si="37"/>
        <v>3711.6320766526105</v>
      </c>
      <c r="Q236">
        <f t="shared" si="38"/>
        <v>1377.1216233473895</v>
      </c>
      <c r="R236">
        <f t="shared" si="39"/>
        <v>0</v>
      </c>
      <c r="S236">
        <f t="shared" si="40"/>
        <v>5088.7537000000002</v>
      </c>
    </row>
    <row r="237" spans="1:19" x14ac:dyDescent="0.3">
      <c r="A237" t="s">
        <v>13</v>
      </c>
      <c r="B237" t="s">
        <v>24</v>
      </c>
      <c r="C237" t="s">
        <v>15</v>
      </c>
      <c r="D237">
        <v>6</v>
      </c>
      <c r="E237">
        <v>28</v>
      </c>
      <c r="F237">
        <v>4</v>
      </c>
      <c r="G237">
        <v>20260126</v>
      </c>
      <c r="H237">
        <v>20260304</v>
      </c>
      <c r="I237">
        <v>6959.5911999999998</v>
      </c>
      <c r="J237">
        <f t="shared" si="31"/>
        <v>38</v>
      </c>
      <c r="K237">
        <f t="shared" si="32"/>
        <v>183.14713684210525</v>
      </c>
      <c r="L237">
        <f t="shared" si="33"/>
        <v>1332.7740237890839</v>
      </c>
      <c r="M237">
        <f t="shared" si="34"/>
        <v>5128.119831578947</v>
      </c>
      <c r="N237">
        <f t="shared" si="35"/>
        <v>540.11412769587059</v>
      </c>
      <c r="O237">
        <f t="shared" si="36"/>
        <v>7001.0079830639015</v>
      </c>
      <c r="P237">
        <f t="shared" si="37"/>
        <v>1324.8895573308241</v>
      </c>
      <c r="Q237">
        <f t="shared" si="38"/>
        <v>5097.7827391054079</v>
      </c>
      <c r="R237">
        <f t="shared" si="39"/>
        <v>536.91890356376803</v>
      </c>
      <c r="S237">
        <f t="shared" si="40"/>
        <v>6959.5912000000008</v>
      </c>
    </row>
    <row r="238" spans="1:19" x14ac:dyDescent="0.3">
      <c r="A238" t="s">
        <v>13</v>
      </c>
      <c r="B238" t="s">
        <v>24</v>
      </c>
      <c r="C238" t="s">
        <v>15</v>
      </c>
      <c r="D238">
        <v>0</v>
      </c>
      <c r="E238">
        <v>8</v>
      </c>
      <c r="F238">
        <v>3</v>
      </c>
      <c r="G238">
        <v>20260221</v>
      </c>
      <c r="H238">
        <v>20260303</v>
      </c>
      <c r="I238">
        <v>42.330500000000001</v>
      </c>
      <c r="J238">
        <f t="shared" si="31"/>
        <v>11</v>
      </c>
      <c r="K238">
        <f t="shared" si="32"/>
        <v>3.8482272727272728</v>
      </c>
      <c r="L238">
        <f t="shared" si="33"/>
        <v>0</v>
      </c>
      <c r="M238">
        <f t="shared" si="34"/>
        <v>30.785818181818183</v>
      </c>
      <c r="N238">
        <f t="shared" si="35"/>
        <v>8.5115250192654521</v>
      </c>
      <c r="O238">
        <f t="shared" si="36"/>
        <v>39.297343201083635</v>
      </c>
      <c r="P238">
        <f t="shared" si="37"/>
        <v>0</v>
      </c>
      <c r="Q238">
        <f t="shared" si="38"/>
        <v>33.16201479263156</v>
      </c>
      <c r="R238">
        <f t="shared" si="39"/>
        <v>9.1684852073684446</v>
      </c>
      <c r="S238">
        <f t="shared" si="40"/>
        <v>42.330500000000001</v>
      </c>
    </row>
    <row r="239" spans="1:19" x14ac:dyDescent="0.3">
      <c r="A239" t="s">
        <v>13</v>
      </c>
      <c r="B239" t="s">
        <v>24</v>
      </c>
      <c r="C239" t="s">
        <v>15</v>
      </c>
      <c r="D239">
        <v>19</v>
      </c>
      <c r="E239">
        <v>1</v>
      </c>
      <c r="F239">
        <v>0</v>
      </c>
      <c r="G239">
        <v>20260113</v>
      </c>
      <c r="H239">
        <v>20260201</v>
      </c>
      <c r="I239">
        <v>12857.5888</v>
      </c>
      <c r="J239">
        <f t="shared" si="31"/>
        <v>20</v>
      </c>
      <c r="K239">
        <f t="shared" si="32"/>
        <v>642.87943999999993</v>
      </c>
      <c r="L239">
        <f t="shared" si="33"/>
        <v>14814.543490221395</v>
      </c>
      <c r="M239">
        <f t="shared" si="34"/>
        <v>642.87943999999993</v>
      </c>
      <c r="N239">
        <f t="shared" si="35"/>
        <v>0</v>
      </c>
      <c r="O239">
        <f t="shared" si="36"/>
        <v>15457.422930221395</v>
      </c>
      <c r="P239">
        <f t="shared" si="37"/>
        <v>12322.837339500504</v>
      </c>
      <c r="Q239">
        <f t="shared" si="38"/>
        <v>534.75146049949467</v>
      </c>
      <c r="R239">
        <f t="shared" si="39"/>
        <v>0</v>
      </c>
      <c r="S239">
        <f t="shared" si="40"/>
        <v>12857.588799999998</v>
      </c>
    </row>
    <row r="240" spans="1:19" x14ac:dyDescent="0.3">
      <c r="A240" t="s">
        <v>13</v>
      </c>
      <c r="B240" t="s">
        <v>24</v>
      </c>
      <c r="C240" t="s">
        <v>14</v>
      </c>
      <c r="D240">
        <v>12</v>
      </c>
      <c r="E240">
        <v>4</v>
      </c>
      <c r="F240">
        <v>0</v>
      </c>
      <c r="G240">
        <v>20260120</v>
      </c>
      <c r="H240">
        <v>20260204</v>
      </c>
      <c r="I240">
        <v>42.081499999999998</v>
      </c>
      <c r="J240">
        <f t="shared" si="31"/>
        <v>16</v>
      </c>
      <c r="K240">
        <f t="shared" si="32"/>
        <v>2.6300937499999999</v>
      </c>
      <c r="L240">
        <f t="shared" si="33"/>
        <v>38.278737965224394</v>
      </c>
      <c r="M240">
        <f t="shared" si="34"/>
        <v>10.520375</v>
      </c>
      <c r="N240">
        <f t="shared" si="35"/>
        <v>0</v>
      </c>
      <c r="O240">
        <f t="shared" si="36"/>
        <v>48.799112965224396</v>
      </c>
      <c r="P240">
        <f t="shared" si="37"/>
        <v>33.00934410081409</v>
      </c>
      <c r="Q240">
        <f t="shared" si="38"/>
        <v>9.0721558991859066</v>
      </c>
      <c r="R240">
        <f t="shared" si="39"/>
        <v>0</v>
      </c>
      <c r="S240">
        <f t="shared" si="40"/>
        <v>42.081499999999998</v>
      </c>
    </row>
    <row r="241" spans="1:19" x14ac:dyDescent="0.3">
      <c r="A241" t="s">
        <v>13</v>
      </c>
      <c r="B241" t="s">
        <v>24</v>
      </c>
      <c r="C241" t="s">
        <v>15</v>
      </c>
      <c r="D241">
        <v>18</v>
      </c>
      <c r="E241">
        <v>3</v>
      </c>
      <c r="F241">
        <v>0</v>
      </c>
      <c r="G241">
        <v>20260114</v>
      </c>
      <c r="H241">
        <v>20260203</v>
      </c>
      <c r="I241">
        <v>4666.9889000000003</v>
      </c>
      <c r="J241">
        <f t="shared" si="31"/>
        <v>21</v>
      </c>
      <c r="K241">
        <f t="shared" si="32"/>
        <v>222.23756666666668</v>
      </c>
      <c r="L241">
        <f t="shared" si="33"/>
        <v>4851.7131264593254</v>
      </c>
      <c r="M241">
        <f t="shared" si="34"/>
        <v>666.71270000000004</v>
      </c>
      <c r="N241">
        <f t="shared" si="35"/>
        <v>0</v>
      </c>
      <c r="O241">
        <f t="shared" si="36"/>
        <v>5518.4258264593254</v>
      </c>
      <c r="P241">
        <f t="shared" si="37"/>
        <v>4103.1431823552957</v>
      </c>
      <c r="Q241">
        <f t="shared" si="38"/>
        <v>563.84571764470456</v>
      </c>
      <c r="R241">
        <f t="shared" si="39"/>
        <v>0</v>
      </c>
      <c r="S241">
        <f t="shared" si="40"/>
        <v>4666.9889000000003</v>
      </c>
    </row>
    <row r="242" spans="1:19" x14ac:dyDescent="0.3">
      <c r="A242" t="s">
        <v>13</v>
      </c>
      <c r="B242" t="s">
        <v>24</v>
      </c>
      <c r="C242" t="s">
        <v>15</v>
      </c>
      <c r="D242">
        <v>0</v>
      </c>
      <c r="E242">
        <v>25</v>
      </c>
      <c r="F242">
        <v>5</v>
      </c>
      <c r="G242">
        <v>20260204</v>
      </c>
      <c r="H242">
        <v>20260305</v>
      </c>
      <c r="I242">
        <v>2966813.7571</v>
      </c>
      <c r="J242">
        <f t="shared" si="31"/>
        <v>30</v>
      </c>
      <c r="K242">
        <f t="shared" si="32"/>
        <v>98893.791903333331</v>
      </c>
      <c r="L242">
        <f t="shared" si="33"/>
        <v>0</v>
      </c>
      <c r="M242">
        <f t="shared" si="34"/>
        <v>2472344.7975833332</v>
      </c>
      <c r="N242">
        <f t="shared" si="35"/>
        <v>364556.16416798695</v>
      </c>
      <c r="O242">
        <f t="shared" si="36"/>
        <v>2836900.9617513204</v>
      </c>
      <c r="P242">
        <f t="shared" si="37"/>
        <v>0</v>
      </c>
      <c r="Q242">
        <f t="shared" si="38"/>
        <v>2585563.1397286067</v>
      </c>
      <c r="R242">
        <f t="shared" si="39"/>
        <v>381250.61737139313</v>
      </c>
      <c r="S242">
        <f t="shared" si="40"/>
        <v>2966813.7571</v>
      </c>
    </row>
    <row r="243" spans="1:19" x14ac:dyDescent="0.3">
      <c r="A243" t="s">
        <v>13</v>
      </c>
      <c r="B243" t="s">
        <v>24</v>
      </c>
      <c r="C243" t="s">
        <v>14</v>
      </c>
      <c r="D243">
        <v>0</v>
      </c>
      <c r="E243">
        <v>24</v>
      </c>
      <c r="F243">
        <v>5</v>
      </c>
      <c r="G243">
        <v>20260205</v>
      </c>
      <c r="H243">
        <v>20260305</v>
      </c>
      <c r="I243">
        <v>654607.78480000002</v>
      </c>
      <c r="J243">
        <f t="shared" si="31"/>
        <v>29</v>
      </c>
      <c r="K243">
        <f t="shared" si="32"/>
        <v>22572.68223448276</v>
      </c>
      <c r="L243">
        <f t="shared" si="33"/>
        <v>0</v>
      </c>
      <c r="M243">
        <f t="shared" si="34"/>
        <v>541744.37362758629</v>
      </c>
      <c r="N243">
        <f t="shared" si="35"/>
        <v>83210.586751791139</v>
      </c>
      <c r="O243">
        <f t="shared" si="36"/>
        <v>624954.96037937747</v>
      </c>
      <c r="P243">
        <f t="shared" si="37"/>
        <v>0</v>
      </c>
      <c r="Q243">
        <f t="shared" si="38"/>
        <v>567449.02725940512</v>
      </c>
      <c r="R243">
        <f t="shared" si="39"/>
        <v>87158.757540594845</v>
      </c>
      <c r="S243">
        <f t="shared" si="40"/>
        <v>654607.78480000002</v>
      </c>
    </row>
    <row r="244" spans="1:19" x14ac:dyDescent="0.3">
      <c r="A244" t="s">
        <v>13</v>
      </c>
      <c r="B244" t="s">
        <v>24</v>
      </c>
      <c r="C244" t="s">
        <v>14</v>
      </c>
      <c r="D244">
        <v>0</v>
      </c>
      <c r="E244">
        <v>13</v>
      </c>
      <c r="F244">
        <v>16</v>
      </c>
      <c r="G244">
        <v>20260216</v>
      </c>
      <c r="H244">
        <v>20260316</v>
      </c>
      <c r="I244">
        <v>1595902.1804</v>
      </c>
      <c r="J244">
        <f t="shared" si="31"/>
        <v>29</v>
      </c>
      <c r="K244">
        <f t="shared" si="32"/>
        <v>55031.109668965517</v>
      </c>
      <c r="L244">
        <f t="shared" si="33"/>
        <v>0</v>
      </c>
      <c r="M244">
        <f t="shared" si="34"/>
        <v>715404.42569655168</v>
      </c>
      <c r="N244">
        <f t="shared" si="35"/>
        <v>649162.86014591542</v>
      </c>
      <c r="O244">
        <f t="shared" si="36"/>
        <v>1364567.2858424671</v>
      </c>
      <c r="P244">
        <f t="shared" si="37"/>
        <v>0</v>
      </c>
      <c r="Q244">
        <f t="shared" si="38"/>
        <v>836686.8344876488</v>
      </c>
      <c r="R244">
        <f t="shared" si="39"/>
        <v>759215.34591235104</v>
      </c>
      <c r="S244">
        <f t="shared" si="40"/>
        <v>1595902.1804</v>
      </c>
    </row>
    <row r="245" spans="1:19" x14ac:dyDescent="0.3">
      <c r="A245" t="s">
        <v>13</v>
      </c>
      <c r="B245" t="s">
        <v>24</v>
      </c>
      <c r="C245" t="s">
        <v>14</v>
      </c>
      <c r="D245">
        <v>16</v>
      </c>
      <c r="E245">
        <v>15</v>
      </c>
      <c r="F245">
        <v>0</v>
      </c>
      <c r="G245">
        <v>20260116</v>
      </c>
      <c r="H245">
        <v>20260215</v>
      </c>
      <c r="I245">
        <v>8929899.3244000003</v>
      </c>
      <c r="J245">
        <f t="shared" si="31"/>
        <v>31</v>
      </c>
      <c r="K245">
        <f t="shared" si="32"/>
        <v>288061.26852903224</v>
      </c>
      <c r="L245">
        <f t="shared" si="33"/>
        <v>5589976.5631056391</v>
      </c>
      <c r="M245">
        <f t="shared" si="34"/>
        <v>4320919.0279354835</v>
      </c>
      <c r="N245">
        <f t="shared" si="35"/>
        <v>0</v>
      </c>
      <c r="O245">
        <f t="shared" si="36"/>
        <v>9910895.5910411216</v>
      </c>
      <c r="P245">
        <f t="shared" si="37"/>
        <v>5036671.7594534857</v>
      </c>
      <c r="Q245">
        <f t="shared" si="38"/>
        <v>3893227.5649465155</v>
      </c>
      <c r="R245">
        <f t="shared" si="39"/>
        <v>0</v>
      </c>
      <c r="S245">
        <f t="shared" si="40"/>
        <v>8929899.3244000003</v>
      </c>
    </row>
    <row r="246" spans="1:19" x14ac:dyDescent="0.3">
      <c r="A246" t="s">
        <v>13</v>
      </c>
      <c r="B246" t="s">
        <v>24</v>
      </c>
      <c r="C246" t="s">
        <v>15</v>
      </c>
      <c r="D246">
        <v>25</v>
      </c>
      <c r="E246">
        <v>3</v>
      </c>
      <c r="F246">
        <v>0</v>
      </c>
      <c r="G246">
        <v>20260107</v>
      </c>
      <c r="H246">
        <v>20260203</v>
      </c>
      <c r="I246">
        <v>2761161.4750000001</v>
      </c>
      <c r="J246">
        <f t="shared" si="31"/>
        <v>28</v>
      </c>
      <c r="K246">
        <f t="shared" si="32"/>
        <v>98612.909821428577</v>
      </c>
      <c r="L246">
        <f t="shared" si="33"/>
        <v>2990053.2181938761</v>
      </c>
      <c r="M246">
        <f t="shared" si="34"/>
        <v>295838.72946428572</v>
      </c>
      <c r="N246">
        <f t="shared" si="35"/>
        <v>0</v>
      </c>
      <c r="O246">
        <f t="shared" si="36"/>
        <v>3285891.9476581616</v>
      </c>
      <c r="P246">
        <f t="shared" si="37"/>
        <v>2512565.8073329902</v>
      </c>
      <c r="Q246">
        <f t="shared" si="38"/>
        <v>248595.66766701016</v>
      </c>
      <c r="R246">
        <f t="shared" si="39"/>
        <v>0</v>
      </c>
      <c r="S246">
        <f t="shared" si="40"/>
        <v>2761161.4750000006</v>
      </c>
    </row>
    <row r="247" spans="1:19" x14ac:dyDescent="0.3">
      <c r="A247" t="s">
        <v>13</v>
      </c>
      <c r="B247" t="s">
        <v>24</v>
      </c>
      <c r="C247" t="s">
        <v>15</v>
      </c>
      <c r="D247">
        <v>0</v>
      </c>
      <c r="E247">
        <v>27</v>
      </c>
      <c r="F247">
        <v>12</v>
      </c>
      <c r="G247">
        <v>20260202</v>
      </c>
      <c r="H247">
        <v>20260312</v>
      </c>
      <c r="I247">
        <v>39527.960400000004</v>
      </c>
      <c r="J247">
        <f t="shared" si="31"/>
        <v>39</v>
      </c>
      <c r="K247">
        <f t="shared" si="32"/>
        <v>1013.5374461538462</v>
      </c>
      <c r="L247">
        <f t="shared" si="33"/>
        <v>0</v>
      </c>
      <c r="M247">
        <f t="shared" si="34"/>
        <v>27365.511046153846</v>
      </c>
      <c r="N247">
        <f t="shared" si="35"/>
        <v>8966.9852838884126</v>
      </c>
      <c r="O247">
        <f t="shared" si="36"/>
        <v>36332.496330042261</v>
      </c>
      <c r="P247">
        <f t="shared" si="37"/>
        <v>0</v>
      </c>
      <c r="Q247">
        <f t="shared" si="38"/>
        <v>29772.323573145291</v>
      </c>
      <c r="R247">
        <f t="shared" si="39"/>
        <v>9755.6368268547121</v>
      </c>
      <c r="S247">
        <f t="shared" si="40"/>
        <v>39527.960400000004</v>
      </c>
    </row>
    <row r="248" spans="1:19" x14ac:dyDescent="0.3">
      <c r="A248" t="s">
        <v>13</v>
      </c>
      <c r="B248" t="s">
        <v>24</v>
      </c>
      <c r="C248" t="s">
        <v>14</v>
      </c>
      <c r="D248">
        <v>0</v>
      </c>
      <c r="E248">
        <v>13</v>
      </c>
      <c r="F248">
        <v>17</v>
      </c>
      <c r="G248">
        <v>20260216</v>
      </c>
      <c r="H248">
        <v>20260317</v>
      </c>
      <c r="I248">
        <v>517920.1838</v>
      </c>
      <c r="J248">
        <f t="shared" si="31"/>
        <v>30</v>
      </c>
      <c r="K248">
        <f t="shared" si="32"/>
        <v>17264.006126666667</v>
      </c>
      <c r="L248">
        <f t="shared" si="33"/>
        <v>0</v>
      </c>
      <c r="M248">
        <f t="shared" si="34"/>
        <v>224432.07964666668</v>
      </c>
      <c r="N248">
        <f t="shared" si="35"/>
        <v>216379.40141613179</v>
      </c>
      <c r="O248">
        <f t="shared" si="36"/>
        <v>440811.48106279847</v>
      </c>
      <c r="P248">
        <f t="shared" si="37"/>
        <v>0</v>
      </c>
      <c r="Q248">
        <f t="shared" si="38"/>
        <v>263690.73614182579</v>
      </c>
      <c r="R248">
        <f t="shared" si="39"/>
        <v>254229.44765817415</v>
      </c>
      <c r="S248">
        <f t="shared" si="40"/>
        <v>517920.18379999994</v>
      </c>
    </row>
    <row r="249" spans="1:19" x14ac:dyDescent="0.3">
      <c r="A249" t="s">
        <v>13</v>
      </c>
      <c r="B249" t="s">
        <v>24</v>
      </c>
      <c r="C249" t="s">
        <v>14</v>
      </c>
      <c r="D249">
        <v>0</v>
      </c>
      <c r="E249">
        <v>13</v>
      </c>
      <c r="F249">
        <v>15</v>
      </c>
      <c r="G249">
        <v>20260216</v>
      </c>
      <c r="H249">
        <v>20260315</v>
      </c>
      <c r="I249">
        <v>7298599.2774999999</v>
      </c>
      <c r="J249">
        <f t="shared" si="31"/>
        <v>28</v>
      </c>
      <c r="K249">
        <f t="shared" si="32"/>
        <v>260664.25991071429</v>
      </c>
      <c r="L249">
        <f t="shared" si="33"/>
        <v>0</v>
      </c>
      <c r="M249">
        <f t="shared" si="34"/>
        <v>3388635.3788392856</v>
      </c>
      <c r="N249">
        <f t="shared" si="35"/>
        <v>2882691.4480625</v>
      </c>
      <c r="O249">
        <f t="shared" si="36"/>
        <v>6271326.826901786</v>
      </c>
      <c r="P249">
        <f t="shared" si="37"/>
        <v>0</v>
      </c>
      <c r="Q249">
        <f t="shared" si="38"/>
        <v>3943709.5865606167</v>
      </c>
      <c r="R249">
        <f t="shared" si="39"/>
        <v>3354889.6909393826</v>
      </c>
      <c r="S249">
        <f t="shared" si="40"/>
        <v>7298599.2774999999</v>
      </c>
    </row>
    <row r="250" spans="1:19" x14ac:dyDescent="0.3">
      <c r="A250" t="s">
        <v>13</v>
      </c>
      <c r="B250" t="s">
        <v>24</v>
      </c>
      <c r="C250" t="s">
        <v>15</v>
      </c>
      <c r="D250">
        <v>28</v>
      </c>
      <c r="E250">
        <v>2</v>
      </c>
      <c r="F250">
        <v>0</v>
      </c>
      <c r="G250">
        <v>20260104</v>
      </c>
      <c r="H250">
        <v>20260202</v>
      </c>
      <c r="I250">
        <v>4430689.4216</v>
      </c>
      <c r="J250">
        <f t="shared" si="31"/>
        <v>30</v>
      </c>
      <c r="K250">
        <f t="shared" si="32"/>
        <v>147689.64738666668</v>
      </c>
      <c r="L250">
        <f t="shared" si="33"/>
        <v>5015488.2866100892</v>
      </c>
      <c r="M250">
        <f t="shared" si="34"/>
        <v>295379.29477333336</v>
      </c>
      <c r="N250">
        <f t="shared" si="35"/>
        <v>0</v>
      </c>
      <c r="O250">
        <f t="shared" si="36"/>
        <v>5310867.5813834229</v>
      </c>
      <c r="P250">
        <f t="shared" si="37"/>
        <v>4184263.7864929452</v>
      </c>
      <c r="Q250">
        <f t="shared" si="38"/>
        <v>246425.63510705446</v>
      </c>
      <c r="R250">
        <f t="shared" si="39"/>
        <v>0</v>
      </c>
      <c r="S250">
        <f t="shared" si="40"/>
        <v>4430689.4216</v>
      </c>
    </row>
    <row r="251" spans="1:19" x14ac:dyDescent="0.3">
      <c r="A251" t="s">
        <v>13</v>
      </c>
      <c r="B251" t="s">
        <v>24</v>
      </c>
      <c r="C251" t="s">
        <v>14</v>
      </c>
      <c r="D251">
        <v>29</v>
      </c>
      <c r="E251">
        <v>4</v>
      </c>
      <c r="F251">
        <v>0</v>
      </c>
      <c r="G251">
        <v>20260103</v>
      </c>
      <c r="H251">
        <v>20260204</v>
      </c>
      <c r="I251">
        <v>525862.41500000004</v>
      </c>
      <c r="J251">
        <f t="shared" si="31"/>
        <v>33</v>
      </c>
      <c r="K251">
        <f t="shared" si="32"/>
        <v>15935.224696969699</v>
      </c>
      <c r="L251">
        <f t="shared" si="33"/>
        <v>560481.55530501483</v>
      </c>
      <c r="M251">
        <f t="shared" si="34"/>
        <v>63740.898787878796</v>
      </c>
      <c r="N251">
        <f t="shared" si="35"/>
        <v>0</v>
      </c>
      <c r="O251">
        <f t="shared" si="36"/>
        <v>624222.45409289363</v>
      </c>
      <c r="P251">
        <f t="shared" si="37"/>
        <v>472165.30309528083</v>
      </c>
      <c r="Q251">
        <f t="shared" si="38"/>
        <v>53697.111904719146</v>
      </c>
      <c r="R251">
        <f t="shared" si="39"/>
        <v>0</v>
      </c>
      <c r="S251">
        <f t="shared" si="40"/>
        <v>525862.41500000004</v>
      </c>
    </row>
    <row r="252" spans="1:19" x14ac:dyDescent="0.3">
      <c r="A252" t="s">
        <v>13</v>
      </c>
      <c r="B252" t="s">
        <v>24</v>
      </c>
      <c r="C252" t="s">
        <v>14</v>
      </c>
      <c r="D252">
        <v>0</v>
      </c>
      <c r="E252">
        <v>23</v>
      </c>
      <c r="F252">
        <v>6</v>
      </c>
      <c r="G252">
        <v>20260206</v>
      </c>
      <c r="H252">
        <v>20260306</v>
      </c>
      <c r="I252">
        <v>415657.22730000003</v>
      </c>
      <c r="J252">
        <f t="shared" si="31"/>
        <v>29</v>
      </c>
      <c r="K252">
        <f t="shared" si="32"/>
        <v>14333.007837931036</v>
      </c>
      <c r="L252">
        <f t="shared" si="33"/>
        <v>0</v>
      </c>
      <c r="M252">
        <f t="shared" si="34"/>
        <v>329659.18027241383</v>
      </c>
      <c r="N252">
        <f t="shared" si="35"/>
        <v>63403.612192280103</v>
      </c>
      <c r="O252">
        <f t="shared" si="36"/>
        <v>393062.79246469395</v>
      </c>
      <c r="P252">
        <f t="shared" si="37"/>
        <v>0</v>
      </c>
      <c r="Q252">
        <f t="shared" si="38"/>
        <v>348608.98424602323</v>
      </c>
      <c r="R252">
        <f t="shared" si="39"/>
        <v>67048.243053976752</v>
      </c>
      <c r="S252">
        <f t="shared" si="40"/>
        <v>415657.22729999997</v>
      </c>
    </row>
    <row r="253" spans="1:19" x14ac:dyDescent="0.3">
      <c r="A253" t="s">
        <v>13</v>
      </c>
      <c r="B253" t="s">
        <v>24</v>
      </c>
      <c r="C253" t="s">
        <v>14</v>
      </c>
      <c r="D253">
        <v>0</v>
      </c>
      <c r="E253">
        <v>26</v>
      </c>
      <c r="F253">
        <v>6</v>
      </c>
      <c r="G253">
        <v>20260203</v>
      </c>
      <c r="H253">
        <v>20260306</v>
      </c>
      <c r="I253">
        <v>182834.2108</v>
      </c>
      <c r="J253">
        <f t="shared" si="31"/>
        <v>32</v>
      </c>
      <c r="K253">
        <f t="shared" si="32"/>
        <v>5713.5690875</v>
      </c>
      <c r="L253">
        <f t="shared" si="33"/>
        <v>0</v>
      </c>
      <c r="M253">
        <f t="shared" si="34"/>
        <v>148552.796275</v>
      </c>
      <c r="N253">
        <f t="shared" si="35"/>
        <v>25274.591540999387</v>
      </c>
      <c r="O253">
        <f t="shared" si="36"/>
        <v>173827.38781599939</v>
      </c>
      <c r="P253">
        <f t="shared" si="37"/>
        <v>0</v>
      </c>
      <c r="Q253">
        <f t="shared" si="38"/>
        <v>156250.02256734655</v>
      </c>
      <c r="R253">
        <f t="shared" si="39"/>
        <v>26584.188232653454</v>
      </c>
      <c r="S253">
        <f t="shared" si="40"/>
        <v>182834.2108</v>
      </c>
    </row>
    <row r="254" spans="1:19" x14ac:dyDescent="0.3">
      <c r="A254" t="s">
        <v>13</v>
      </c>
      <c r="B254" t="s">
        <v>24</v>
      </c>
      <c r="C254" t="s">
        <v>14</v>
      </c>
      <c r="D254">
        <v>24</v>
      </c>
      <c r="E254">
        <v>3</v>
      </c>
      <c r="F254">
        <v>0</v>
      </c>
      <c r="G254">
        <v>20260108</v>
      </c>
      <c r="H254">
        <v>20260203</v>
      </c>
      <c r="I254">
        <v>386576.5931</v>
      </c>
      <c r="J254">
        <f t="shared" si="31"/>
        <v>27</v>
      </c>
      <c r="K254">
        <f t="shared" si="32"/>
        <v>14317.651596296297</v>
      </c>
      <c r="L254">
        <f t="shared" si="33"/>
        <v>416762.05171926116</v>
      </c>
      <c r="M254">
        <f t="shared" si="34"/>
        <v>42952.954788888892</v>
      </c>
      <c r="N254">
        <f t="shared" si="35"/>
        <v>0</v>
      </c>
      <c r="O254">
        <f t="shared" si="36"/>
        <v>459715.00650815002</v>
      </c>
      <c r="P254">
        <f t="shared" si="37"/>
        <v>350457.24374051241</v>
      </c>
      <c r="Q254">
        <f t="shared" si="38"/>
        <v>36119.349359487627</v>
      </c>
      <c r="R254">
        <f t="shared" si="39"/>
        <v>0</v>
      </c>
      <c r="S254">
        <f t="shared" si="40"/>
        <v>386576.59310000006</v>
      </c>
    </row>
    <row r="255" spans="1:19" x14ac:dyDescent="0.3">
      <c r="A255" t="s">
        <v>13</v>
      </c>
      <c r="B255" t="s">
        <v>24</v>
      </c>
      <c r="C255" t="s">
        <v>14</v>
      </c>
      <c r="D255">
        <v>28</v>
      </c>
      <c r="E255">
        <v>1</v>
      </c>
      <c r="F255">
        <v>0</v>
      </c>
      <c r="G255">
        <v>20260104</v>
      </c>
      <c r="H255">
        <v>20260201</v>
      </c>
      <c r="I255">
        <v>557965.81270000001</v>
      </c>
      <c r="J255">
        <f t="shared" si="31"/>
        <v>29</v>
      </c>
      <c r="K255">
        <f t="shared" si="32"/>
        <v>19240.200437931035</v>
      </c>
      <c r="L255">
        <f t="shared" si="33"/>
        <v>653390.41453480569</v>
      </c>
      <c r="M255">
        <f t="shared" si="34"/>
        <v>19240.200437931035</v>
      </c>
      <c r="N255">
        <f t="shared" si="35"/>
        <v>0</v>
      </c>
      <c r="O255">
        <f t="shared" si="36"/>
        <v>672630.61497273669</v>
      </c>
      <c r="P255">
        <f t="shared" si="37"/>
        <v>542005.53103144083</v>
      </c>
      <c r="Q255">
        <f t="shared" si="38"/>
        <v>15960.281668559222</v>
      </c>
      <c r="R255">
        <f t="shared" si="39"/>
        <v>0</v>
      </c>
      <c r="S255">
        <f t="shared" si="40"/>
        <v>557965.81270000001</v>
      </c>
    </row>
    <row r="256" spans="1:19" x14ac:dyDescent="0.3">
      <c r="A256" t="s">
        <v>13</v>
      </c>
      <c r="B256" t="s">
        <v>24</v>
      </c>
      <c r="C256" t="s">
        <v>14</v>
      </c>
      <c r="D256">
        <v>0</v>
      </c>
      <c r="E256">
        <v>9</v>
      </c>
      <c r="F256">
        <v>17</v>
      </c>
      <c r="G256">
        <v>20260220</v>
      </c>
      <c r="H256">
        <v>20260317</v>
      </c>
      <c r="I256">
        <v>2939234.4884000001</v>
      </c>
      <c r="J256">
        <f t="shared" si="31"/>
        <v>26</v>
      </c>
      <c r="K256">
        <f t="shared" si="32"/>
        <v>113047.48032307693</v>
      </c>
      <c r="L256">
        <f t="shared" si="33"/>
        <v>0</v>
      </c>
      <c r="M256">
        <f t="shared" si="34"/>
        <v>1017427.3229076924</v>
      </c>
      <c r="N256">
        <f t="shared" si="35"/>
        <v>1416887.0159357549</v>
      </c>
      <c r="O256">
        <f t="shared" si="36"/>
        <v>2434314.3388434472</v>
      </c>
      <c r="P256">
        <f t="shared" si="37"/>
        <v>0</v>
      </c>
      <c r="Q256">
        <f t="shared" si="38"/>
        <v>1228459.8702859187</v>
      </c>
      <c r="R256">
        <f t="shared" si="39"/>
        <v>1710774.6181140814</v>
      </c>
      <c r="S256">
        <f t="shared" si="40"/>
        <v>2939234.4884000001</v>
      </c>
    </row>
    <row r="257" spans="1:19" x14ac:dyDescent="0.3">
      <c r="A257" t="s">
        <v>13</v>
      </c>
      <c r="B257" t="s">
        <v>24</v>
      </c>
      <c r="C257" t="s">
        <v>14</v>
      </c>
      <c r="D257">
        <v>0</v>
      </c>
      <c r="E257">
        <v>21</v>
      </c>
      <c r="F257">
        <v>6</v>
      </c>
      <c r="G257">
        <v>20260208</v>
      </c>
      <c r="H257">
        <v>20260306</v>
      </c>
      <c r="I257">
        <v>38513.683400000002</v>
      </c>
      <c r="J257">
        <f t="shared" si="31"/>
        <v>27</v>
      </c>
      <c r="K257">
        <f t="shared" si="32"/>
        <v>1426.4327185185186</v>
      </c>
      <c r="L257">
        <f t="shared" si="33"/>
        <v>0</v>
      </c>
      <c r="M257">
        <f t="shared" si="34"/>
        <v>29955.087088888893</v>
      </c>
      <c r="N257">
        <f t="shared" si="35"/>
        <v>6309.9795887911214</v>
      </c>
      <c r="O257">
        <f t="shared" si="36"/>
        <v>36265.066677680014</v>
      </c>
      <c r="P257">
        <f t="shared" si="37"/>
        <v>0</v>
      </c>
      <c r="Q257">
        <f t="shared" si="38"/>
        <v>31812.45330705398</v>
      </c>
      <c r="R257">
        <f t="shared" si="39"/>
        <v>6701.2300929460253</v>
      </c>
      <c r="S257">
        <f t="shared" si="40"/>
        <v>38513.683400000009</v>
      </c>
    </row>
    <row r="258" spans="1:19" x14ac:dyDescent="0.3">
      <c r="A258" t="s">
        <v>13</v>
      </c>
      <c r="B258" t="s">
        <v>24</v>
      </c>
      <c r="C258" t="s">
        <v>15</v>
      </c>
      <c r="D258">
        <v>0</v>
      </c>
      <c r="E258">
        <v>13</v>
      </c>
      <c r="F258">
        <v>15</v>
      </c>
      <c r="G258">
        <v>20260216</v>
      </c>
      <c r="H258">
        <v>20260315</v>
      </c>
      <c r="I258">
        <v>3938011.9172</v>
      </c>
      <c r="J258">
        <f t="shared" si="31"/>
        <v>28</v>
      </c>
      <c r="K258">
        <f t="shared" si="32"/>
        <v>140643.28275714285</v>
      </c>
      <c r="L258">
        <f t="shared" si="33"/>
        <v>0</v>
      </c>
      <c r="M258">
        <f t="shared" si="34"/>
        <v>1828362.675842857</v>
      </c>
      <c r="N258">
        <f t="shared" si="35"/>
        <v>1555376.9763845825</v>
      </c>
      <c r="O258">
        <f t="shared" si="36"/>
        <v>3383739.6522274395</v>
      </c>
      <c r="P258">
        <f t="shared" si="37"/>
        <v>0</v>
      </c>
      <c r="Q258">
        <f t="shared" si="38"/>
        <v>2127856.9708201927</v>
      </c>
      <c r="R258">
        <f t="shared" si="39"/>
        <v>1810154.9463798073</v>
      </c>
      <c r="S258">
        <f t="shared" si="40"/>
        <v>3938011.9172</v>
      </c>
    </row>
    <row r="259" spans="1:19" x14ac:dyDescent="0.3">
      <c r="A259" t="s">
        <v>13</v>
      </c>
      <c r="B259" t="s">
        <v>24</v>
      </c>
      <c r="C259" t="s">
        <v>15</v>
      </c>
      <c r="D259">
        <v>16</v>
      </c>
      <c r="E259">
        <v>15</v>
      </c>
      <c r="F259">
        <v>0</v>
      </c>
      <c r="G259">
        <v>20260116</v>
      </c>
      <c r="H259">
        <v>20260215</v>
      </c>
      <c r="I259">
        <v>5726166.0832000002</v>
      </c>
      <c r="J259">
        <f t="shared" si="31"/>
        <v>31</v>
      </c>
      <c r="K259">
        <f t="shared" si="32"/>
        <v>184715.0349419355</v>
      </c>
      <c r="L259">
        <f t="shared" si="33"/>
        <v>3584489.9296990801</v>
      </c>
      <c r="M259">
        <f t="shared" si="34"/>
        <v>2770725.5241290326</v>
      </c>
      <c r="N259">
        <f t="shared" si="35"/>
        <v>0</v>
      </c>
      <c r="O259">
        <f t="shared" si="36"/>
        <v>6355215.4538281132</v>
      </c>
      <c r="P259">
        <f t="shared" si="37"/>
        <v>3229691.3944359198</v>
      </c>
      <c r="Q259">
        <f t="shared" si="38"/>
        <v>2496474.6887640799</v>
      </c>
      <c r="R259">
        <f t="shared" si="39"/>
        <v>0</v>
      </c>
      <c r="S259">
        <f t="shared" si="40"/>
        <v>5726166.0832000002</v>
      </c>
    </row>
    <row r="260" spans="1:19" x14ac:dyDescent="0.3">
      <c r="A260" t="s">
        <v>13</v>
      </c>
      <c r="B260" t="s">
        <v>24</v>
      </c>
      <c r="C260" t="s">
        <v>15</v>
      </c>
      <c r="D260">
        <v>26</v>
      </c>
      <c r="E260">
        <v>6</v>
      </c>
      <c r="F260">
        <v>0</v>
      </c>
      <c r="G260">
        <v>20260106</v>
      </c>
      <c r="H260">
        <v>20260206</v>
      </c>
      <c r="I260">
        <v>620980.45759999997</v>
      </c>
      <c r="J260">
        <f t="shared" si="31"/>
        <v>32</v>
      </c>
      <c r="K260">
        <f t="shared" si="32"/>
        <v>19405.639299999999</v>
      </c>
      <c r="L260">
        <f t="shared" si="33"/>
        <v>611936.61275133165</v>
      </c>
      <c r="M260">
        <f t="shared" si="34"/>
        <v>116433.8358</v>
      </c>
      <c r="N260">
        <f t="shared" si="35"/>
        <v>0</v>
      </c>
      <c r="O260">
        <f t="shared" si="36"/>
        <v>728370.44855133165</v>
      </c>
      <c r="P260">
        <f t="shared" si="37"/>
        <v>521713.47501028591</v>
      </c>
      <c r="Q260">
        <f t="shared" si="38"/>
        <v>99266.982589714069</v>
      </c>
      <c r="R260">
        <f t="shared" si="39"/>
        <v>0</v>
      </c>
      <c r="S260">
        <f t="shared" si="40"/>
        <v>620980.45759999997</v>
      </c>
    </row>
    <row r="261" spans="1:19" x14ac:dyDescent="0.3">
      <c r="A261" t="s">
        <v>13</v>
      </c>
      <c r="B261" t="s">
        <v>24</v>
      </c>
      <c r="C261" t="s">
        <v>14</v>
      </c>
      <c r="D261">
        <v>30</v>
      </c>
      <c r="E261">
        <v>4</v>
      </c>
      <c r="F261">
        <v>0</v>
      </c>
      <c r="G261">
        <v>20260102</v>
      </c>
      <c r="H261">
        <v>20260204</v>
      </c>
      <c r="I261">
        <v>240465.49729999999</v>
      </c>
      <c r="J261">
        <f t="shared" si="31"/>
        <v>34</v>
      </c>
      <c r="K261">
        <f t="shared" si="32"/>
        <v>7072.5146264705882</v>
      </c>
      <c r="L261">
        <f t="shared" si="33"/>
        <v>257335.82133895849</v>
      </c>
      <c r="M261">
        <f t="shared" si="34"/>
        <v>28290.058505882353</v>
      </c>
      <c r="N261">
        <f t="shared" si="35"/>
        <v>0</v>
      </c>
      <c r="O261">
        <f t="shared" si="36"/>
        <v>285625.87984484085</v>
      </c>
      <c r="P261">
        <f t="shared" si="37"/>
        <v>216648.38734148172</v>
      </c>
      <c r="Q261">
        <f t="shared" si="38"/>
        <v>23817.109958518246</v>
      </c>
      <c r="R261">
        <f t="shared" si="39"/>
        <v>0</v>
      </c>
      <c r="S261">
        <f t="shared" si="40"/>
        <v>240465.49729999996</v>
      </c>
    </row>
    <row r="262" spans="1:19" x14ac:dyDescent="0.3">
      <c r="A262" t="s">
        <v>13</v>
      </c>
      <c r="B262" t="s">
        <v>24</v>
      </c>
      <c r="C262" t="s">
        <v>14</v>
      </c>
      <c r="D262">
        <v>30</v>
      </c>
      <c r="E262">
        <v>3</v>
      </c>
      <c r="F262">
        <v>0</v>
      </c>
      <c r="G262">
        <v>20260102</v>
      </c>
      <c r="H262">
        <v>20260203</v>
      </c>
      <c r="I262">
        <v>745577.95770000003</v>
      </c>
      <c r="J262">
        <f t="shared" si="31"/>
        <v>33</v>
      </c>
      <c r="K262">
        <f t="shared" si="32"/>
        <v>22593.271445454546</v>
      </c>
      <c r="L262">
        <f t="shared" si="33"/>
        <v>822063.77380819712</v>
      </c>
      <c r="M262">
        <f t="shared" si="34"/>
        <v>67779.814336363634</v>
      </c>
      <c r="N262">
        <f t="shared" si="35"/>
        <v>0</v>
      </c>
      <c r="O262">
        <f t="shared" si="36"/>
        <v>889843.58814456081</v>
      </c>
      <c r="P262">
        <f t="shared" si="37"/>
        <v>688786.92586083873</v>
      </c>
      <c r="Q262">
        <f t="shared" si="38"/>
        <v>56791.03183916118</v>
      </c>
      <c r="R262">
        <f t="shared" si="39"/>
        <v>0</v>
      </c>
      <c r="S262">
        <f t="shared" si="40"/>
        <v>745577.95769999991</v>
      </c>
    </row>
    <row r="263" spans="1:19" x14ac:dyDescent="0.3">
      <c r="A263" t="s">
        <v>13</v>
      </c>
      <c r="B263" t="s">
        <v>24</v>
      </c>
      <c r="C263" t="s">
        <v>14</v>
      </c>
      <c r="D263">
        <v>0</v>
      </c>
      <c r="E263">
        <v>24</v>
      </c>
      <c r="F263">
        <v>6</v>
      </c>
      <c r="G263">
        <v>20260205</v>
      </c>
      <c r="H263">
        <v>20260306</v>
      </c>
      <c r="I263">
        <v>169659.30360000001</v>
      </c>
      <c r="J263">
        <f t="shared" si="31"/>
        <v>30</v>
      </c>
      <c r="K263">
        <f t="shared" si="32"/>
        <v>5655.3101200000001</v>
      </c>
      <c r="L263">
        <f t="shared" si="33"/>
        <v>0</v>
      </c>
      <c r="M263">
        <f t="shared" si="34"/>
        <v>135727.44287999999</v>
      </c>
      <c r="N263">
        <f t="shared" si="35"/>
        <v>25016.876689806933</v>
      </c>
      <c r="O263">
        <f t="shared" si="36"/>
        <v>160744.31956980692</v>
      </c>
      <c r="P263">
        <f t="shared" si="37"/>
        <v>0</v>
      </c>
      <c r="Q263">
        <f t="shared" si="38"/>
        <v>143254.97473289803</v>
      </c>
      <c r="R263">
        <f t="shared" si="39"/>
        <v>26404.328867101976</v>
      </c>
      <c r="S263">
        <f t="shared" si="40"/>
        <v>169659.30360000001</v>
      </c>
    </row>
    <row r="264" spans="1:19" x14ac:dyDescent="0.3">
      <c r="A264" t="s">
        <v>13</v>
      </c>
      <c r="B264" t="s">
        <v>24</v>
      </c>
      <c r="C264" t="s">
        <v>14</v>
      </c>
      <c r="D264">
        <v>0</v>
      </c>
      <c r="E264">
        <v>12</v>
      </c>
      <c r="F264">
        <v>16</v>
      </c>
      <c r="G264">
        <v>20260217</v>
      </c>
      <c r="H264">
        <v>20260316</v>
      </c>
      <c r="I264">
        <v>744455.4558</v>
      </c>
      <c r="J264">
        <f t="shared" si="31"/>
        <v>28</v>
      </c>
      <c r="K264">
        <f t="shared" si="32"/>
        <v>26587.69485</v>
      </c>
      <c r="L264">
        <f t="shared" si="33"/>
        <v>0</v>
      </c>
      <c r="M264">
        <f t="shared" si="34"/>
        <v>319052.3382</v>
      </c>
      <c r="N264">
        <f t="shared" si="35"/>
        <v>313636.1257720805</v>
      </c>
      <c r="O264">
        <f t="shared" si="36"/>
        <v>632688.4639720805</v>
      </c>
      <c r="P264">
        <f t="shared" si="37"/>
        <v>0</v>
      </c>
      <c r="Q264">
        <f t="shared" si="38"/>
        <v>375414.23209704383</v>
      </c>
      <c r="R264">
        <f t="shared" si="39"/>
        <v>369041.22370295622</v>
      </c>
      <c r="S264">
        <f t="shared" si="40"/>
        <v>744455.45580000011</v>
      </c>
    </row>
    <row r="265" spans="1:19" x14ac:dyDescent="0.3">
      <c r="A265" t="s">
        <v>13</v>
      </c>
      <c r="B265" t="s">
        <v>24</v>
      </c>
      <c r="C265" t="s">
        <v>14</v>
      </c>
      <c r="D265">
        <v>0</v>
      </c>
      <c r="E265">
        <v>27</v>
      </c>
      <c r="F265">
        <v>6</v>
      </c>
      <c r="G265">
        <v>20260202</v>
      </c>
      <c r="H265">
        <v>20260306</v>
      </c>
      <c r="I265">
        <v>63056.376900000003</v>
      </c>
      <c r="J265">
        <f t="shared" si="31"/>
        <v>33</v>
      </c>
      <c r="K265">
        <f t="shared" si="32"/>
        <v>1910.7993000000001</v>
      </c>
      <c r="L265">
        <f t="shared" si="33"/>
        <v>0</v>
      </c>
      <c r="M265">
        <f t="shared" si="34"/>
        <v>51591.581100000003</v>
      </c>
      <c r="N265">
        <f t="shared" si="35"/>
        <v>8452.6276106445257</v>
      </c>
      <c r="O265">
        <f t="shared" si="36"/>
        <v>60044.208710644525</v>
      </c>
      <c r="P265">
        <f t="shared" si="37"/>
        <v>0</v>
      </c>
      <c r="Q265">
        <f t="shared" si="38"/>
        <v>54179.716121928002</v>
      </c>
      <c r="R265">
        <f t="shared" si="39"/>
        <v>8876.6607780720042</v>
      </c>
      <c r="S265">
        <f t="shared" si="40"/>
        <v>63056.376900000003</v>
      </c>
    </row>
    <row r="266" spans="1:19" x14ac:dyDescent="0.3">
      <c r="A266" t="s">
        <v>13</v>
      </c>
      <c r="B266" t="s">
        <v>24</v>
      </c>
      <c r="C266" t="s">
        <v>14</v>
      </c>
      <c r="D266">
        <v>0</v>
      </c>
      <c r="E266">
        <v>10</v>
      </c>
      <c r="F266">
        <v>16</v>
      </c>
      <c r="G266">
        <v>20260219</v>
      </c>
      <c r="H266">
        <v>20260316</v>
      </c>
      <c r="I266">
        <v>338839.31300000002</v>
      </c>
      <c r="J266">
        <f t="shared" si="31"/>
        <v>26</v>
      </c>
      <c r="K266">
        <f t="shared" si="32"/>
        <v>13032.281269230771</v>
      </c>
      <c r="L266">
        <f t="shared" si="33"/>
        <v>0</v>
      </c>
      <c r="M266">
        <f t="shared" si="34"/>
        <v>130322.81269230771</v>
      </c>
      <c r="N266">
        <f t="shared" si="35"/>
        <v>153732.55298413322</v>
      </c>
      <c r="O266">
        <f t="shared" si="36"/>
        <v>284055.36567644094</v>
      </c>
      <c r="P266">
        <f t="shared" si="37"/>
        <v>0</v>
      </c>
      <c r="Q266">
        <f t="shared" si="38"/>
        <v>155457.34267589531</v>
      </c>
      <c r="R266">
        <f t="shared" si="39"/>
        <v>183381.97032410471</v>
      </c>
      <c r="S266">
        <f t="shared" si="40"/>
        <v>338839.31300000002</v>
      </c>
    </row>
    <row r="267" spans="1:19" x14ac:dyDescent="0.3">
      <c r="A267" t="s">
        <v>13</v>
      </c>
      <c r="B267" t="s">
        <v>24</v>
      </c>
      <c r="C267" t="s">
        <v>15</v>
      </c>
      <c r="D267">
        <v>0</v>
      </c>
      <c r="E267">
        <v>12</v>
      </c>
      <c r="F267">
        <v>16</v>
      </c>
      <c r="G267">
        <v>20260217</v>
      </c>
      <c r="H267">
        <v>20260316</v>
      </c>
      <c r="I267">
        <v>193718.5012</v>
      </c>
      <c r="J267">
        <f t="shared" ref="J267:J330" si="41">IF(D267&lt;0,0,D267)+E267+F267</f>
        <v>28</v>
      </c>
      <c r="K267">
        <f t="shared" ref="K267:K330" si="42">I267/J267</f>
        <v>6918.5178999999998</v>
      </c>
      <c r="L267">
        <f t="shared" ref="L267:L330" si="43">IF(D267&lt;0,0,D267)*$K267*$B$6</f>
        <v>0</v>
      </c>
      <c r="M267">
        <f t="shared" ref="M267:M330" si="44">IF(E267&lt;0,0,E267)*$K267*$C$6</f>
        <v>83022.214800000002</v>
      </c>
      <c r="N267">
        <f t="shared" ref="N267:N330" si="45">IF(F267&lt;0,0,F267)*$K267*$D$6</f>
        <v>81612.834902864488</v>
      </c>
      <c r="O267">
        <f t="shared" ref="O267:O330" si="46">L267+M267+N267</f>
        <v>164635.04970286449</v>
      </c>
      <c r="P267">
        <f t="shared" ref="P267:P330" si="47">L267/$O267*$I267</f>
        <v>0</v>
      </c>
      <c r="Q267">
        <f t="shared" ref="Q267:Q330" si="48">M267/$O267*$I267</f>
        <v>97688.426895652883</v>
      </c>
      <c r="R267">
        <f t="shared" ref="R267:R330" si="49">N267/$O267*$I267</f>
        <v>96030.074304347101</v>
      </c>
      <c r="S267">
        <f t="shared" ref="S267:S330" si="50">P267+Q267+R267</f>
        <v>193718.5012</v>
      </c>
    </row>
    <row r="268" spans="1:19" x14ac:dyDescent="0.3">
      <c r="A268" t="s">
        <v>13</v>
      </c>
      <c r="B268" t="s">
        <v>24</v>
      </c>
      <c r="C268" t="s">
        <v>14</v>
      </c>
      <c r="D268">
        <v>14</v>
      </c>
      <c r="E268">
        <v>15</v>
      </c>
      <c r="F268">
        <v>0</v>
      </c>
      <c r="G268">
        <v>20260118</v>
      </c>
      <c r="H268">
        <v>20260215</v>
      </c>
      <c r="I268">
        <v>1725.9901</v>
      </c>
      <c r="J268">
        <f t="shared" si="41"/>
        <v>29</v>
      </c>
      <c r="K268">
        <f t="shared" si="42"/>
        <v>59.5169</v>
      </c>
      <c r="L268">
        <f t="shared" si="43"/>
        <v>1010.5864564217686</v>
      </c>
      <c r="M268">
        <f t="shared" si="44"/>
        <v>892.75350000000003</v>
      </c>
      <c r="N268">
        <f t="shared" si="45"/>
        <v>0</v>
      </c>
      <c r="O268">
        <f t="shared" si="46"/>
        <v>1903.3399564217686</v>
      </c>
      <c r="P268">
        <f t="shared" si="47"/>
        <v>916.42179479971787</v>
      </c>
      <c r="Q268">
        <f t="shared" si="48"/>
        <v>809.56830520028211</v>
      </c>
      <c r="R268">
        <f t="shared" si="49"/>
        <v>0</v>
      </c>
      <c r="S268">
        <f t="shared" si="50"/>
        <v>1725.9901</v>
      </c>
    </row>
    <row r="269" spans="1:19" x14ac:dyDescent="0.3">
      <c r="A269" t="s">
        <v>13</v>
      </c>
      <c r="B269" t="s">
        <v>24</v>
      </c>
      <c r="C269" t="s">
        <v>15</v>
      </c>
      <c r="D269">
        <v>0</v>
      </c>
      <c r="E269">
        <v>20</v>
      </c>
      <c r="F269">
        <v>4</v>
      </c>
      <c r="G269">
        <v>20260209</v>
      </c>
      <c r="H269">
        <v>20260304</v>
      </c>
      <c r="I269">
        <v>75364.298299999995</v>
      </c>
      <c r="J269">
        <f t="shared" si="41"/>
        <v>24</v>
      </c>
      <c r="K269">
        <f t="shared" si="42"/>
        <v>3140.1790958333331</v>
      </c>
      <c r="L269">
        <f t="shared" si="43"/>
        <v>0</v>
      </c>
      <c r="M269">
        <f t="shared" si="44"/>
        <v>62803.581916666662</v>
      </c>
      <c r="N269">
        <f t="shared" si="45"/>
        <v>9260.6148389697773</v>
      </c>
      <c r="O269">
        <f t="shared" si="46"/>
        <v>72064.19675563644</v>
      </c>
      <c r="P269">
        <f t="shared" si="47"/>
        <v>0</v>
      </c>
      <c r="Q269">
        <f t="shared" si="48"/>
        <v>65679.603672345838</v>
      </c>
      <c r="R269">
        <f t="shared" si="49"/>
        <v>9684.6946276541621</v>
      </c>
      <c r="S269">
        <f t="shared" si="50"/>
        <v>75364.298299999995</v>
      </c>
    </row>
    <row r="270" spans="1:19" x14ac:dyDescent="0.3">
      <c r="A270" t="s">
        <v>13</v>
      </c>
      <c r="B270" t="s">
        <v>24</v>
      </c>
      <c r="C270" t="s">
        <v>14</v>
      </c>
      <c r="D270">
        <v>27</v>
      </c>
      <c r="E270">
        <v>1</v>
      </c>
      <c r="F270">
        <v>0</v>
      </c>
      <c r="G270">
        <v>20260105</v>
      </c>
      <c r="H270">
        <v>20260201</v>
      </c>
      <c r="I270">
        <v>77910.883900000001</v>
      </c>
      <c r="J270">
        <f t="shared" si="41"/>
        <v>28</v>
      </c>
      <c r="K270">
        <f t="shared" si="42"/>
        <v>2782.5315678571428</v>
      </c>
      <c r="L270">
        <f t="shared" si="43"/>
        <v>91119.011527033697</v>
      </c>
      <c r="M270">
        <f t="shared" si="44"/>
        <v>2782.5315678571428</v>
      </c>
      <c r="N270">
        <f t="shared" si="45"/>
        <v>0</v>
      </c>
      <c r="O270">
        <f t="shared" si="46"/>
        <v>93901.543094890847</v>
      </c>
      <c r="P270">
        <f t="shared" si="47"/>
        <v>75602.194534668379</v>
      </c>
      <c r="Q270">
        <f t="shared" si="48"/>
        <v>2308.6893653316147</v>
      </c>
      <c r="R270">
        <f t="shared" si="49"/>
        <v>0</v>
      </c>
      <c r="S270">
        <f t="shared" si="50"/>
        <v>77910.883899999986</v>
      </c>
    </row>
    <row r="271" spans="1:19" x14ac:dyDescent="0.3">
      <c r="A271" t="s">
        <v>13</v>
      </c>
      <c r="B271" t="s">
        <v>24</v>
      </c>
      <c r="C271" t="s">
        <v>15</v>
      </c>
      <c r="D271">
        <v>0</v>
      </c>
      <c r="E271">
        <v>19</v>
      </c>
      <c r="F271">
        <v>7</v>
      </c>
      <c r="G271">
        <v>20260210</v>
      </c>
      <c r="H271">
        <v>20260307</v>
      </c>
      <c r="I271">
        <v>20795.9931</v>
      </c>
      <c r="J271">
        <f t="shared" si="41"/>
        <v>26</v>
      </c>
      <c r="K271">
        <f t="shared" si="42"/>
        <v>799.84588846153849</v>
      </c>
      <c r="L271">
        <f t="shared" si="43"/>
        <v>0</v>
      </c>
      <c r="M271">
        <f t="shared" si="44"/>
        <v>15197.071880769232</v>
      </c>
      <c r="N271">
        <f t="shared" si="45"/>
        <v>4127.9057135490821</v>
      </c>
      <c r="O271">
        <f t="shared" si="46"/>
        <v>19324.977594318312</v>
      </c>
      <c r="P271">
        <f t="shared" si="47"/>
        <v>0</v>
      </c>
      <c r="Q271">
        <f t="shared" si="48"/>
        <v>16353.871585631156</v>
      </c>
      <c r="R271">
        <f t="shared" si="49"/>
        <v>4442.121514368846</v>
      </c>
      <c r="S271">
        <f t="shared" si="50"/>
        <v>20795.9931</v>
      </c>
    </row>
    <row r="272" spans="1:19" x14ac:dyDescent="0.3">
      <c r="A272" t="s">
        <v>13</v>
      </c>
      <c r="B272" t="s">
        <v>24</v>
      </c>
      <c r="C272" t="s">
        <v>15</v>
      </c>
      <c r="D272">
        <v>24</v>
      </c>
      <c r="E272">
        <v>6</v>
      </c>
      <c r="F272">
        <v>0</v>
      </c>
      <c r="G272">
        <v>20260108</v>
      </c>
      <c r="H272">
        <v>20260206</v>
      </c>
      <c r="I272">
        <v>719085.60309999995</v>
      </c>
      <c r="J272">
        <f t="shared" si="41"/>
        <v>30</v>
      </c>
      <c r="K272">
        <f t="shared" si="42"/>
        <v>23969.520103333332</v>
      </c>
      <c r="L272">
        <f t="shared" si="43"/>
        <v>697711.23496086407</v>
      </c>
      <c r="M272">
        <f t="shared" si="44"/>
        <v>143817.12062</v>
      </c>
      <c r="N272">
        <f t="shared" si="45"/>
        <v>0</v>
      </c>
      <c r="O272">
        <f t="shared" si="46"/>
        <v>841528.35558086401</v>
      </c>
      <c r="P272">
        <f t="shared" si="47"/>
        <v>596193.93791569991</v>
      </c>
      <c r="Q272">
        <f t="shared" si="48"/>
        <v>122891.66518430006</v>
      </c>
      <c r="R272">
        <f t="shared" si="49"/>
        <v>0</v>
      </c>
      <c r="S272">
        <f t="shared" si="50"/>
        <v>719085.60309999995</v>
      </c>
    </row>
    <row r="273" spans="1:19" x14ac:dyDescent="0.3">
      <c r="A273" t="s">
        <v>13</v>
      </c>
      <c r="B273" t="s">
        <v>24</v>
      </c>
      <c r="C273" t="s">
        <v>14</v>
      </c>
      <c r="D273">
        <v>0</v>
      </c>
      <c r="E273">
        <v>19</v>
      </c>
      <c r="F273">
        <v>4</v>
      </c>
      <c r="G273">
        <v>20260210</v>
      </c>
      <c r="H273">
        <v>20260304</v>
      </c>
      <c r="I273">
        <v>38892.402499999997</v>
      </c>
      <c r="J273">
        <f t="shared" si="41"/>
        <v>23</v>
      </c>
      <c r="K273">
        <f t="shared" si="42"/>
        <v>1690.9740217391302</v>
      </c>
      <c r="L273">
        <f t="shared" si="43"/>
        <v>0</v>
      </c>
      <c r="M273">
        <f t="shared" si="44"/>
        <v>32128.506413043473</v>
      </c>
      <c r="N273">
        <f t="shared" si="45"/>
        <v>4986.8044592769074</v>
      </c>
      <c r="O273">
        <f t="shared" si="46"/>
        <v>37115.310872320377</v>
      </c>
      <c r="P273">
        <f t="shared" si="47"/>
        <v>0</v>
      </c>
      <c r="Q273">
        <f t="shared" si="48"/>
        <v>33666.828426642736</v>
      </c>
      <c r="R273">
        <f t="shared" si="49"/>
        <v>5225.5740733572638</v>
      </c>
      <c r="S273">
        <f t="shared" si="50"/>
        <v>38892.402499999997</v>
      </c>
    </row>
    <row r="274" spans="1:19" x14ac:dyDescent="0.3">
      <c r="A274" t="s">
        <v>13</v>
      </c>
      <c r="B274" t="s">
        <v>24</v>
      </c>
      <c r="C274" t="s">
        <v>15</v>
      </c>
      <c r="D274">
        <v>30</v>
      </c>
      <c r="E274">
        <v>6</v>
      </c>
      <c r="F274">
        <v>0</v>
      </c>
      <c r="G274">
        <v>20260102</v>
      </c>
      <c r="H274">
        <v>20260206</v>
      </c>
      <c r="I274">
        <v>240044.69639999999</v>
      </c>
      <c r="J274">
        <f t="shared" si="41"/>
        <v>36</v>
      </c>
      <c r="K274">
        <f t="shared" si="42"/>
        <v>6667.9082333333326</v>
      </c>
      <c r="L274">
        <f t="shared" si="43"/>
        <v>242614.08176032599</v>
      </c>
      <c r="M274">
        <f t="shared" si="44"/>
        <v>40007.449399999998</v>
      </c>
      <c r="N274">
        <f t="shared" si="45"/>
        <v>0</v>
      </c>
      <c r="O274">
        <f t="shared" si="46"/>
        <v>282621.53116032598</v>
      </c>
      <c r="P274">
        <f t="shared" si="47"/>
        <v>206064.35525071429</v>
      </c>
      <c r="Q274">
        <f t="shared" si="48"/>
        <v>33980.341149285719</v>
      </c>
      <c r="R274">
        <f t="shared" si="49"/>
        <v>0</v>
      </c>
      <c r="S274">
        <f t="shared" si="50"/>
        <v>240044.69640000002</v>
      </c>
    </row>
    <row r="275" spans="1:19" x14ac:dyDescent="0.3">
      <c r="A275" t="s">
        <v>13</v>
      </c>
      <c r="B275" t="s">
        <v>24</v>
      </c>
      <c r="C275" t="s">
        <v>14</v>
      </c>
      <c r="D275">
        <v>28</v>
      </c>
      <c r="E275">
        <v>6</v>
      </c>
      <c r="F275">
        <v>0</v>
      </c>
      <c r="G275">
        <v>20260104</v>
      </c>
      <c r="H275">
        <v>20260206</v>
      </c>
      <c r="I275">
        <v>10799.709699999999</v>
      </c>
      <c r="J275">
        <f t="shared" si="41"/>
        <v>34</v>
      </c>
      <c r="K275">
        <f t="shared" si="42"/>
        <v>317.63852058823528</v>
      </c>
      <c r="L275">
        <f t="shared" si="43"/>
        <v>10786.892023755192</v>
      </c>
      <c r="M275">
        <f t="shared" si="44"/>
        <v>1905.8311235294118</v>
      </c>
      <c r="N275">
        <f t="shared" si="45"/>
        <v>0</v>
      </c>
      <c r="O275">
        <f t="shared" si="46"/>
        <v>12692.723147284603</v>
      </c>
      <c r="P275">
        <f t="shared" si="47"/>
        <v>9178.1173409367093</v>
      </c>
      <c r="Q275">
        <f t="shared" si="48"/>
        <v>1621.5923590632915</v>
      </c>
      <c r="R275">
        <f t="shared" si="49"/>
        <v>0</v>
      </c>
      <c r="S275">
        <f t="shared" si="50"/>
        <v>10799.709700000001</v>
      </c>
    </row>
    <row r="276" spans="1:19" x14ac:dyDescent="0.3">
      <c r="A276" t="s">
        <v>13</v>
      </c>
      <c r="B276" t="s">
        <v>24</v>
      </c>
      <c r="C276" t="s">
        <v>15</v>
      </c>
      <c r="D276">
        <v>14</v>
      </c>
      <c r="E276">
        <v>19</v>
      </c>
      <c r="F276">
        <v>0</v>
      </c>
      <c r="G276">
        <v>20260118</v>
      </c>
      <c r="H276">
        <v>20260219</v>
      </c>
      <c r="I276">
        <v>49849.076999999997</v>
      </c>
      <c r="J276">
        <f t="shared" si="41"/>
        <v>33</v>
      </c>
      <c r="K276">
        <f t="shared" si="42"/>
        <v>1510.5780909090909</v>
      </c>
      <c r="L276">
        <f t="shared" si="43"/>
        <v>25649.349345146984</v>
      </c>
      <c r="M276">
        <f t="shared" si="44"/>
        <v>28700.983727272727</v>
      </c>
      <c r="N276">
        <f t="shared" si="45"/>
        <v>0</v>
      </c>
      <c r="O276">
        <f t="shared" si="46"/>
        <v>54350.333072419715</v>
      </c>
      <c r="P276">
        <f t="shared" si="47"/>
        <v>23525.088407507115</v>
      </c>
      <c r="Q276">
        <f t="shared" si="48"/>
        <v>26323.988592492882</v>
      </c>
      <c r="R276">
        <f t="shared" si="49"/>
        <v>0</v>
      </c>
      <c r="S276">
        <f t="shared" si="50"/>
        <v>49849.076999999997</v>
      </c>
    </row>
    <row r="277" spans="1:19" x14ac:dyDescent="0.3">
      <c r="A277" t="s">
        <v>13</v>
      </c>
      <c r="B277" t="s">
        <v>24</v>
      </c>
      <c r="C277" t="s">
        <v>15</v>
      </c>
      <c r="D277">
        <v>0</v>
      </c>
      <c r="E277">
        <v>11</v>
      </c>
      <c r="F277">
        <v>0</v>
      </c>
      <c r="G277">
        <v>20260202</v>
      </c>
      <c r="H277">
        <v>20260212</v>
      </c>
      <c r="I277">
        <v>84.346800000000002</v>
      </c>
      <c r="J277">
        <f t="shared" si="41"/>
        <v>11</v>
      </c>
      <c r="K277">
        <f t="shared" si="42"/>
        <v>7.6678909090909091</v>
      </c>
      <c r="L277">
        <f t="shared" si="43"/>
        <v>0</v>
      </c>
      <c r="M277">
        <f t="shared" si="44"/>
        <v>84.346800000000002</v>
      </c>
      <c r="N277">
        <f t="shared" si="45"/>
        <v>0</v>
      </c>
      <c r="O277">
        <f t="shared" si="46"/>
        <v>84.346800000000002</v>
      </c>
      <c r="P277">
        <f t="shared" si="47"/>
        <v>0</v>
      </c>
      <c r="Q277">
        <f t="shared" si="48"/>
        <v>84.346800000000002</v>
      </c>
      <c r="R277">
        <f t="shared" si="49"/>
        <v>0</v>
      </c>
      <c r="S277">
        <f t="shared" si="50"/>
        <v>84.346800000000002</v>
      </c>
    </row>
    <row r="278" spans="1:19" x14ac:dyDescent="0.3">
      <c r="A278" t="s">
        <v>13</v>
      </c>
      <c r="B278" t="s">
        <v>24</v>
      </c>
      <c r="C278" t="s">
        <v>14</v>
      </c>
      <c r="D278">
        <v>0</v>
      </c>
      <c r="E278">
        <v>17</v>
      </c>
      <c r="F278">
        <v>0</v>
      </c>
      <c r="G278">
        <v>20260204</v>
      </c>
      <c r="H278">
        <v>20260220</v>
      </c>
      <c r="I278">
        <v>168.583</v>
      </c>
      <c r="J278">
        <f t="shared" si="41"/>
        <v>17</v>
      </c>
      <c r="K278">
        <f t="shared" si="42"/>
        <v>9.9166470588235285</v>
      </c>
      <c r="L278">
        <f t="shared" si="43"/>
        <v>0</v>
      </c>
      <c r="M278">
        <f t="shared" si="44"/>
        <v>168.58299999999997</v>
      </c>
      <c r="N278">
        <f t="shared" si="45"/>
        <v>0</v>
      </c>
      <c r="O278">
        <f t="shared" si="46"/>
        <v>168.58299999999997</v>
      </c>
      <c r="P278">
        <f t="shared" si="47"/>
        <v>0</v>
      </c>
      <c r="Q278">
        <f t="shared" si="48"/>
        <v>168.583</v>
      </c>
      <c r="R278">
        <f t="shared" si="49"/>
        <v>0</v>
      </c>
      <c r="S278">
        <f t="shared" si="50"/>
        <v>168.583</v>
      </c>
    </row>
    <row r="279" spans="1:19" x14ac:dyDescent="0.3">
      <c r="A279" t="s">
        <v>13</v>
      </c>
      <c r="B279" t="s">
        <v>24</v>
      </c>
      <c r="C279" t="s">
        <v>15</v>
      </c>
      <c r="D279">
        <v>0</v>
      </c>
      <c r="E279">
        <v>27</v>
      </c>
      <c r="F279">
        <v>11</v>
      </c>
      <c r="G279">
        <v>20260202</v>
      </c>
      <c r="H279">
        <v>20260311</v>
      </c>
      <c r="I279">
        <v>48275.368499999997</v>
      </c>
      <c r="J279">
        <f t="shared" si="41"/>
        <v>38</v>
      </c>
      <c r="K279">
        <f t="shared" si="42"/>
        <v>1270.4044342105262</v>
      </c>
      <c r="L279">
        <f t="shared" si="43"/>
        <v>0</v>
      </c>
      <c r="M279">
        <f t="shared" si="44"/>
        <v>34300.919723684208</v>
      </c>
      <c r="N279">
        <f t="shared" si="45"/>
        <v>10302.914559561928</v>
      </c>
      <c r="O279">
        <f t="shared" si="46"/>
        <v>44603.834283246135</v>
      </c>
      <c r="P279">
        <f t="shared" si="47"/>
        <v>0</v>
      </c>
      <c r="Q279">
        <f t="shared" si="48"/>
        <v>37124.376551003152</v>
      </c>
      <c r="R279">
        <f t="shared" si="49"/>
        <v>11150.991948996849</v>
      </c>
      <c r="S279">
        <f t="shared" si="50"/>
        <v>48275.368499999997</v>
      </c>
    </row>
    <row r="280" spans="1:19" x14ac:dyDescent="0.3">
      <c r="A280" t="s">
        <v>13</v>
      </c>
      <c r="B280" t="s">
        <v>24</v>
      </c>
      <c r="C280" t="s">
        <v>15</v>
      </c>
      <c r="D280">
        <v>0</v>
      </c>
      <c r="E280">
        <v>22</v>
      </c>
      <c r="F280">
        <v>8</v>
      </c>
      <c r="G280">
        <v>20260207</v>
      </c>
      <c r="H280">
        <v>20260308</v>
      </c>
      <c r="I280">
        <v>295.78800000000001</v>
      </c>
      <c r="J280">
        <f t="shared" si="41"/>
        <v>30</v>
      </c>
      <c r="K280">
        <f t="shared" si="42"/>
        <v>9.8596000000000004</v>
      </c>
      <c r="L280">
        <f t="shared" si="43"/>
        <v>0</v>
      </c>
      <c r="M280">
        <f t="shared" si="44"/>
        <v>216.91120000000001</v>
      </c>
      <c r="N280">
        <f t="shared" si="45"/>
        <v>58.153344302851536</v>
      </c>
      <c r="O280">
        <f t="shared" si="46"/>
        <v>275.06454430285157</v>
      </c>
      <c r="P280">
        <f t="shared" si="47"/>
        <v>0</v>
      </c>
      <c r="Q280">
        <f t="shared" si="48"/>
        <v>233.25336309051471</v>
      </c>
      <c r="R280">
        <f t="shared" si="49"/>
        <v>62.534636909485279</v>
      </c>
      <c r="S280">
        <f t="shared" si="50"/>
        <v>295.78800000000001</v>
      </c>
    </row>
    <row r="281" spans="1:19" x14ac:dyDescent="0.3">
      <c r="A281" t="s">
        <v>13</v>
      </c>
      <c r="B281" t="s">
        <v>24</v>
      </c>
      <c r="C281" t="s">
        <v>15</v>
      </c>
      <c r="D281">
        <v>0</v>
      </c>
      <c r="E281">
        <v>18</v>
      </c>
      <c r="F281">
        <v>0</v>
      </c>
      <c r="G281">
        <v>20260207</v>
      </c>
      <c r="H281">
        <v>20260224</v>
      </c>
      <c r="I281">
        <v>969.8066</v>
      </c>
      <c r="J281">
        <f t="shared" si="41"/>
        <v>18</v>
      </c>
      <c r="K281">
        <f t="shared" si="42"/>
        <v>53.878144444444445</v>
      </c>
      <c r="L281">
        <f t="shared" si="43"/>
        <v>0</v>
      </c>
      <c r="M281">
        <f t="shared" si="44"/>
        <v>969.8066</v>
      </c>
      <c r="N281">
        <f t="shared" si="45"/>
        <v>0</v>
      </c>
      <c r="O281">
        <f t="shared" si="46"/>
        <v>969.8066</v>
      </c>
      <c r="P281">
        <f t="shared" si="47"/>
        <v>0</v>
      </c>
      <c r="Q281">
        <f t="shared" si="48"/>
        <v>969.8066</v>
      </c>
      <c r="R281">
        <f t="shared" si="49"/>
        <v>0</v>
      </c>
      <c r="S281">
        <f t="shared" si="50"/>
        <v>969.8066</v>
      </c>
    </row>
    <row r="282" spans="1:19" x14ac:dyDescent="0.3">
      <c r="A282" t="s">
        <v>13</v>
      </c>
      <c r="B282" t="s">
        <v>24</v>
      </c>
      <c r="C282" t="s">
        <v>15</v>
      </c>
      <c r="D282">
        <v>0</v>
      </c>
      <c r="E282">
        <v>21</v>
      </c>
      <c r="F282">
        <v>0</v>
      </c>
      <c r="G282">
        <v>20260204</v>
      </c>
      <c r="H282">
        <v>20260224</v>
      </c>
      <c r="I282">
        <v>4004.8780999999999</v>
      </c>
      <c r="J282">
        <f t="shared" si="41"/>
        <v>21</v>
      </c>
      <c r="K282">
        <f t="shared" si="42"/>
        <v>190.70848095238094</v>
      </c>
      <c r="L282">
        <f t="shared" si="43"/>
        <v>0</v>
      </c>
      <c r="M282">
        <f t="shared" si="44"/>
        <v>4004.8780999999999</v>
      </c>
      <c r="N282">
        <f t="shared" si="45"/>
        <v>0</v>
      </c>
      <c r="O282">
        <f t="shared" si="46"/>
        <v>4004.8780999999999</v>
      </c>
      <c r="P282">
        <f t="shared" si="47"/>
        <v>0</v>
      </c>
      <c r="Q282">
        <f t="shared" si="48"/>
        <v>4004.8780999999999</v>
      </c>
      <c r="R282">
        <f t="shared" si="49"/>
        <v>0</v>
      </c>
      <c r="S282">
        <f t="shared" si="50"/>
        <v>4004.8780999999999</v>
      </c>
    </row>
    <row r="283" spans="1:19" x14ac:dyDescent="0.3">
      <c r="A283" t="s">
        <v>13</v>
      </c>
      <c r="B283" t="s">
        <v>24</v>
      </c>
      <c r="C283" t="s">
        <v>14</v>
      </c>
      <c r="D283">
        <v>0</v>
      </c>
      <c r="E283">
        <v>27</v>
      </c>
      <c r="F283">
        <v>7</v>
      </c>
      <c r="G283">
        <v>20260202</v>
      </c>
      <c r="H283">
        <v>20260307</v>
      </c>
      <c r="I283">
        <v>3463.4058</v>
      </c>
      <c r="J283">
        <f t="shared" si="41"/>
        <v>34</v>
      </c>
      <c r="K283">
        <f t="shared" si="42"/>
        <v>101.86487647058823</v>
      </c>
      <c r="L283">
        <f t="shared" si="43"/>
        <v>0</v>
      </c>
      <c r="M283">
        <f t="shared" si="44"/>
        <v>2750.3516647058823</v>
      </c>
      <c r="N283">
        <f t="shared" si="45"/>
        <v>525.71202985327625</v>
      </c>
      <c r="O283">
        <f t="shared" si="46"/>
        <v>3276.0636945591586</v>
      </c>
      <c r="P283">
        <f t="shared" si="47"/>
        <v>0</v>
      </c>
      <c r="Q283">
        <f t="shared" si="48"/>
        <v>2907.630863039069</v>
      </c>
      <c r="R283">
        <f t="shared" si="49"/>
        <v>555.77493696093063</v>
      </c>
      <c r="S283">
        <f t="shared" si="50"/>
        <v>3463.4057999999995</v>
      </c>
    </row>
    <row r="284" spans="1:19" x14ac:dyDescent="0.3">
      <c r="A284" t="s">
        <v>13</v>
      </c>
      <c r="B284" t="s">
        <v>24</v>
      </c>
      <c r="C284" t="s">
        <v>15</v>
      </c>
      <c r="D284">
        <v>0</v>
      </c>
      <c r="E284">
        <v>19</v>
      </c>
      <c r="F284">
        <v>9</v>
      </c>
      <c r="G284">
        <v>20260210</v>
      </c>
      <c r="H284">
        <v>20260309</v>
      </c>
      <c r="I284">
        <v>5030.7483000000002</v>
      </c>
      <c r="J284">
        <f t="shared" si="41"/>
        <v>28</v>
      </c>
      <c r="K284">
        <f t="shared" si="42"/>
        <v>179.66958214285714</v>
      </c>
      <c r="L284">
        <f t="shared" si="43"/>
        <v>0</v>
      </c>
      <c r="M284">
        <f t="shared" si="44"/>
        <v>3413.7220607142858</v>
      </c>
      <c r="N284">
        <f t="shared" si="45"/>
        <v>1192.1817776574014</v>
      </c>
      <c r="O284">
        <f t="shared" si="46"/>
        <v>4605.903838371687</v>
      </c>
      <c r="P284">
        <f t="shared" si="47"/>
        <v>0</v>
      </c>
      <c r="Q284">
        <f t="shared" si="48"/>
        <v>3728.6007385864614</v>
      </c>
      <c r="R284">
        <f t="shared" si="49"/>
        <v>1302.1475614135388</v>
      </c>
      <c r="S284">
        <f t="shared" si="50"/>
        <v>5030.7483000000002</v>
      </c>
    </row>
    <row r="285" spans="1:19" x14ac:dyDescent="0.3">
      <c r="A285" t="s">
        <v>13</v>
      </c>
      <c r="B285" t="s">
        <v>24</v>
      </c>
      <c r="C285" t="s">
        <v>15</v>
      </c>
      <c r="D285">
        <v>0</v>
      </c>
      <c r="E285">
        <v>13</v>
      </c>
      <c r="F285">
        <v>9</v>
      </c>
      <c r="G285">
        <v>20260216</v>
      </c>
      <c r="H285">
        <v>20260309</v>
      </c>
      <c r="I285">
        <v>16712.7546</v>
      </c>
      <c r="J285">
        <f t="shared" si="41"/>
        <v>22</v>
      </c>
      <c r="K285">
        <f t="shared" si="42"/>
        <v>759.67066363636366</v>
      </c>
      <c r="L285">
        <f t="shared" si="43"/>
        <v>0</v>
      </c>
      <c r="M285">
        <f t="shared" si="44"/>
        <v>9875.7186272727267</v>
      </c>
      <c r="N285">
        <f t="shared" si="45"/>
        <v>5040.7281600291908</v>
      </c>
      <c r="O285">
        <f t="shared" si="46"/>
        <v>14916.446787301917</v>
      </c>
      <c r="P285">
        <f t="shared" si="47"/>
        <v>0</v>
      </c>
      <c r="Q285">
        <f t="shared" si="48"/>
        <v>11064.998539515605</v>
      </c>
      <c r="R285">
        <f t="shared" si="49"/>
        <v>5647.7560604843957</v>
      </c>
      <c r="S285">
        <f t="shared" si="50"/>
        <v>16712.7546</v>
      </c>
    </row>
    <row r="286" spans="1:19" x14ac:dyDescent="0.3">
      <c r="A286" t="s">
        <v>13</v>
      </c>
      <c r="B286" t="s">
        <v>24</v>
      </c>
      <c r="C286" t="s">
        <v>14</v>
      </c>
      <c r="D286">
        <v>0</v>
      </c>
      <c r="E286">
        <v>9</v>
      </c>
      <c r="F286">
        <v>0</v>
      </c>
      <c r="G286">
        <v>20260220</v>
      </c>
      <c r="H286">
        <v>20260228</v>
      </c>
      <c r="I286">
        <v>3509572.4974000002</v>
      </c>
      <c r="J286">
        <f t="shared" si="41"/>
        <v>9</v>
      </c>
      <c r="K286">
        <f t="shared" si="42"/>
        <v>389952.49971111113</v>
      </c>
      <c r="L286">
        <f t="shared" si="43"/>
        <v>0</v>
      </c>
      <c r="M286">
        <f t="shared" si="44"/>
        <v>3509572.4974000002</v>
      </c>
      <c r="N286">
        <f t="shared" si="45"/>
        <v>0</v>
      </c>
      <c r="O286">
        <f t="shared" si="46"/>
        <v>3509572.4974000002</v>
      </c>
      <c r="P286">
        <f t="shared" si="47"/>
        <v>0</v>
      </c>
      <c r="Q286">
        <f t="shared" si="48"/>
        <v>3509572.4974000002</v>
      </c>
      <c r="R286">
        <f t="shared" si="49"/>
        <v>0</v>
      </c>
      <c r="S286">
        <f t="shared" si="50"/>
        <v>3509572.4974000002</v>
      </c>
    </row>
    <row r="287" spans="1:19" x14ac:dyDescent="0.3">
      <c r="A287" t="s">
        <v>13</v>
      </c>
      <c r="B287" t="s">
        <v>24</v>
      </c>
      <c r="C287" t="s">
        <v>14</v>
      </c>
      <c r="D287">
        <v>27</v>
      </c>
      <c r="E287">
        <v>7</v>
      </c>
      <c r="F287">
        <v>0</v>
      </c>
      <c r="G287">
        <v>20260105</v>
      </c>
      <c r="H287">
        <v>20260207</v>
      </c>
      <c r="I287">
        <v>12481.772300000001</v>
      </c>
      <c r="J287">
        <f t="shared" si="41"/>
        <v>34</v>
      </c>
      <c r="K287">
        <f t="shared" si="42"/>
        <v>367.11095</v>
      </c>
      <c r="L287">
        <f t="shared" si="43"/>
        <v>12021.709752069804</v>
      </c>
      <c r="M287">
        <f t="shared" si="44"/>
        <v>2569.7766499999998</v>
      </c>
      <c r="N287">
        <f t="shared" si="45"/>
        <v>0</v>
      </c>
      <c r="O287">
        <f t="shared" si="46"/>
        <v>14591.486402069804</v>
      </c>
      <c r="P287">
        <f t="shared" si="47"/>
        <v>10283.547518554369</v>
      </c>
      <c r="Q287">
        <f t="shared" si="48"/>
        <v>2198.2247814456309</v>
      </c>
      <c r="R287">
        <f t="shared" si="49"/>
        <v>0</v>
      </c>
      <c r="S287">
        <f t="shared" si="50"/>
        <v>12481.772300000001</v>
      </c>
    </row>
    <row r="288" spans="1:19" x14ac:dyDescent="0.3">
      <c r="A288" t="s">
        <v>13</v>
      </c>
      <c r="B288" t="s">
        <v>24</v>
      </c>
      <c r="C288" t="s">
        <v>15</v>
      </c>
      <c r="D288">
        <v>29</v>
      </c>
      <c r="E288">
        <v>9</v>
      </c>
      <c r="F288">
        <v>0</v>
      </c>
      <c r="G288">
        <v>20260103</v>
      </c>
      <c r="H288">
        <v>20260209</v>
      </c>
      <c r="I288">
        <v>22527.615900000001</v>
      </c>
      <c r="J288">
        <f t="shared" si="41"/>
        <v>38</v>
      </c>
      <c r="K288">
        <f t="shared" si="42"/>
        <v>592.83199736842107</v>
      </c>
      <c r="L288">
        <f t="shared" si="43"/>
        <v>20851.378392098672</v>
      </c>
      <c r="M288">
        <f t="shared" si="44"/>
        <v>5335.4879763157896</v>
      </c>
      <c r="N288">
        <f t="shared" si="45"/>
        <v>0</v>
      </c>
      <c r="O288">
        <f t="shared" si="46"/>
        <v>26186.866368414463</v>
      </c>
      <c r="P288">
        <f t="shared" si="47"/>
        <v>17937.688182856808</v>
      </c>
      <c r="Q288">
        <f t="shared" si="48"/>
        <v>4589.9277171431913</v>
      </c>
      <c r="R288">
        <f t="shared" si="49"/>
        <v>0</v>
      </c>
      <c r="S288">
        <f t="shared" si="50"/>
        <v>22527.615899999997</v>
      </c>
    </row>
    <row r="289" spans="1:19" x14ac:dyDescent="0.3">
      <c r="A289" t="s">
        <v>13</v>
      </c>
      <c r="B289" t="s">
        <v>24</v>
      </c>
      <c r="C289" t="s">
        <v>15</v>
      </c>
      <c r="D289">
        <v>0</v>
      </c>
      <c r="E289">
        <v>23</v>
      </c>
      <c r="F289">
        <v>0</v>
      </c>
      <c r="G289">
        <v>20260203</v>
      </c>
      <c r="H289">
        <v>20260225</v>
      </c>
      <c r="I289">
        <v>3120.3206</v>
      </c>
      <c r="J289">
        <f t="shared" si="41"/>
        <v>23</v>
      </c>
      <c r="K289">
        <f t="shared" si="42"/>
        <v>135.66611304347825</v>
      </c>
      <c r="L289">
        <f t="shared" si="43"/>
        <v>0</v>
      </c>
      <c r="M289">
        <f t="shared" si="44"/>
        <v>3120.3205999999996</v>
      </c>
      <c r="N289">
        <f t="shared" si="45"/>
        <v>0</v>
      </c>
      <c r="O289">
        <f t="shared" si="46"/>
        <v>3120.3205999999996</v>
      </c>
      <c r="P289">
        <f t="shared" si="47"/>
        <v>0</v>
      </c>
      <c r="Q289">
        <f t="shared" si="48"/>
        <v>3120.3206</v>
      </c>
      <c r="R289">
        <f t="shared" si="49"/>
        <v>0</v>
      </c>
      <c r="S289">
        <f t="shared" si="50"/>
        <v>3120.3206</v>
      </c>
    </row>
    <row r="290" spans="1:19" x14ac:dyDescent="0.3">
      <c r="A290" t="s">
        <v>13</v>
      </c>
      <c r="B290" t="s">
        <v>24</v>
      </c>
      <c r="C290" t="s">
        <v>14</v>
      </c>
      <c r="D290">
        <v>0</v>
      </c>
      <c r="E290">
        <v>26</v>
      </c>
      <c r="F290">
        <v>0</v>
      </c>
      <c r="G290">
        <v>20260202</v>
      </c>
      <c r="H290">
        <v>20260227</v>
      </c>
      <c r="I290">
        <v>801.44500000000005</v>
      </c>
      <c r="J290">
        <f t="shared" si="41"/>
        <v>26</v>
      </c>
      <c r="K290">
        <f t="shared" si="42"/>
        <v>30.824807692307694</v>
      </c>
      <c r="L290">
        <f t="shared" si="43"/>
        <v>0</v>
      </c>
      <c r="M290">
        <f t="shared" si="44"/>
        <v>801.44500000000005</v>
      </c>
      <c r="N290">
        <f t="shared" si="45"/>
        <v>0</v>
      </c>
      <c r="O290">
        <f t="shared" si="46"/>
        <v>801.44500000000005</v>
      </c>
      <c r="P290">
        <f t="shared" si="47"/>
        <v>0</v>
      </c>
      <c r="Q290">
        <f t="shared" si="48"/>
        <v>801.44500000000005</v>
      </c>
      <c r="R290">
        <f t="shared" si="49"/>
        <v>0</v>
      </c>
      <c r="S290">
        <f t="shared" si="50"/>
        <v>801.44500000000005</v>
      </c>
    </row>
    <row r="291" spans="1:19" x14ac:dyDescent="0.3">
      <c r="A291" t="s">
        <v>13</v>
      </c>
      <c r="B291" t="s">
        <v>24</v>
      </c>
      <c r="C291" t="s">
        <v>15</v>
      </c>
      <c r="D291">
        <v>15</v>
      </c>
      <c r="E291">
        <v>24</v>
      </c>
      <c r="F291">
        <v>0</v>
      </c>
      <c r="G291">
        <v>20260117</v>
      </c>
      <c r="H291">
        <v>20260224</v>
      </c>
      <c r="I291">
        <v>125852.5193</v>
      </c>
      <c r="J291">
        <f t="shared" si="41"/>
        <v>39</v>
      </c>
      <c r="K291">
        <f t="shared" si="42"/>
        <v>3226.9876743589743</v>
      </c>
      <c r="L291">
        <f t="shared" si="43"/>
        <v>58707.515465844153</v>
      </c>
      <c r="M291">
        <f t="shared" si="44"/>
        <v>77447.704184615388</v>
      </c>
      <c r="N291">
        <f t="shared" si="45"/>
        <v>0</v>
      </c>
      <c r="O291">
        <f t="shared" si="46"/>
        <v>136155.21965045953</v>
      </c>
      <c r="P291">
        <f t="shared" si="47"/>
        <v>54265.188967327726</v>
      </c>
      <c r="Q291">
        <f t="shared" si="48"/>
        <v>71587.330332672282</v>
      </c>
      <c r="R291">
        <f t="shared" si="49"/>
        <v>0</v>
      </c>
      <c r="S291">
        <f t="shared" si="50"/>
        <v>125852.51930000001</v>
      </c>
    </row>
    <row r="292" spans="1:19" x14ac:dyDescent="0.3">
      <c r="A292" t="s">
        <v>13</v>
      </c>
      <c r="B292" t="s">
        <v>24</v>
      </c>
      <c r="C292" t="s">
        <v>14</v>
      </c>
      <c r="D292">
        <v>29</v>
      </c>
      <c r="E292">
        <v>8</v>
      </c>
      <c r="F292">
        <v>0</v>
      </c>
      <c r="G292">
        <v>20260103</v>
      </c>
      <c r="H292">
        <v>20260208</v>
      </c>
      <c r="I292">
        <v>12396.845499999999</v>
      </c>
      <c r="J292">
        <f t="shared" si="41"/>
        <v>37</v>
      </c>
      <c r="K292">
        <f t="shared" si="42"/>
        <v>335.04987837837837</v>
      </c>
      <c r="L292">
        <f t="shared" si="43"/>
        <v>11784.539001447547</v>
      </c>
      <c r="M292">
        <f t="shared" si="44"/>
        <v>2680.3990270270269</v>
      </c>
      <c r="N292">
        <f t="shared" si="45"/>
        <v>0</v>
      </c>
      <c r="O292">
        <f t="shared" si="46"/>
        <v>14464.938028474575</v>
      </c>
      <c r="P292">
        <f t="shared" si="47"/>
        <v>10099.670596727457</v>
      </c>
      <c r="Q292">
        <f t="shared" si="48"/>
        <v>2297.1749032725406</v>
      </c>
      <c r="R292">
        <f t="shared" si="49"/>
        <v>0</v>
      </c>
      <c r="S292">
        <f t="shared" si="50"/>
        <v>12396.845499999998</v>
      </c>
    </row>
    <row r="293" spans="1:19" x14ac:dyDescent="0.3">
      <c r="A293" t="s">
        <v>13</v>
      </c>
      <c r="B293" t="s">
        <v>24</v>
      </c>
      <c r="C293" t="s">
        <v>15</v>
      </c>
      <c r="D293">
        <v>0</v>
      </c>
      <c r="E293">
        <v>17</v>
      </c>
      <c r="F293">
        <v>0</v>
      </c>
      <c r="G293">
        <v>20260205</v>
      </c>
      <c r="H293">
        <v>20260221</v>
      </c>
      <c r="I293">
        <v>3497.6864999999998</v>
      </c>
      <c r="J293">
        <f t="shared" si="41"/>
        <v>17</v>
      </c>
      <c r="K293">
        <f t="shared" si="42"/>
        <v>205.74626470588234</v>
      </c>
      <c r="L293">
        <f t="shared" si="43"/>
        <v>0</v>
      </c>
      <c r="M293">
        <f t="shared" si="44"/>
        <v>3497.6864999999998</v>
      </c>
      <c r="N293">
        <f t="shared" si="45"/>
        <v>0</v>
      </c>
      <c r="O293">
        <f t="shared" si="46"/>
        <v>3497.6864999999998</v>
      </c>
      <c r="P293">
        <f t="shared" si="47"/>
        <v>0</v>
      </c>
      <c r="Q293">
        <f t="shared" si="48"/>
        <v>3497.6864999999998</v>
      </c>
      <c r="R293">
        <f t="shared" si="49"/>
        <v>0</v>
      </c>
      <c r="S293">
        <f t="shared" si="50"/>
        <v>3497.6864999999998</v>
      </c>
    </row>
    <row r="294" spans="1:19" x14ac:dyDescent="0.3">
      <c r="A294" t="s">
        <v>13</v>
      </c>
      <c r="B294" t="s">
        <v>24</v>
      </c>
      <c r="C294" t="s">
        <v>15</v>
      </c>
      <c r="D294">
        <v>31</v>
      </c>
      <c r="E294">
        <v>4</v>
      </c>
      <c r="F294">
        <v>0</v>
      </c>
      <c r="G294">
        <v>20251230</v>
      </c>
      <c r="H294">
        <v>20260204</v>
      </c>
      <c r="I294">
        <v>14240.8416</v>
      </c>
      <c r="J294">
        <f t="shared" si="41"/>
        <v>35</v>
      </c>
      <c r="K294">
        <f t="shared" si="42"/>
        <v>406.88118857142854</v>
      </c>
      <c r="L294">
        <f t="shared" si="43"/>
        <v>15297.99240076036</v>
      </c>
      <c r="M294">
        <f t="shared" si="44"/>
        <v>1627.5247542857142</v>
      </c>
      <c r="N294">
        <f t="shared" si="45"/>
        <v>0</v>
      </c>
      <c r="O294">
        <f t="shared" si="46"/>
        <v>16925.517155046073</v>
      </c>
      <c r="P294">
        <f t="shared" si="47"/>
        <v>12871.470016635896</v>
      </c>
      <c r="Q294">
        <f t="shared" si="48"/>
        <v>1369.3715833641058</v>
      </c>
      <c r="R294">
        <f t="shared" si="49"/>
        <v>0</v>
      </c>
      <c r="S294">
        <f t="shared" si="50"/>
        <v>14240.841600000002</v>
      </c>
    </row>
    <row r="295" spans="1:19" x14ac:dyDescent="0.3">
      <c r="A295" t="s">
        <v>13</v>
      </c>
      <c r="B295" t="s">
        <v>24</v>
      </c>
      <c r="C295" t="s">
        <v>15</v>
      </c>
      <c r="D295">
        <v>3</v>
      </c>
      <c r="E295">
        <v>28</v>
      </c>
      <c r="F295">
        <v>5</v>
      </c>
      <c r="G295">
        <v>20260129</v>
      </c>
      <c r="H295">
        <v>20260305</v>
      </c>
      <c r="I295">
        <v>18780.800299999999</v>
      </c>
      <c r="J295">
        <f t="shared" si="41"/>
        <v>36</v>
      </c>
      <c r="K295">
        <f t="shared" si="42"/>
        <v>521.68889722222218</v>
      </c>
      <c r="L295">
        <f t="shared" si="43"/>
        <v>1898.182583428473</v>
      </c>
      <c r="M295">
        <f t="shared" si="44"/>
        <v>14607.289122222221</v>
      </c>
      <c r="N295">
        <f t="shared" si="45"/>
        <v>1923.1227724209662</v>
      </c>
      <c r="O295">
        <f t="shared" si="46"/>
        <v>18428.59447807166</v>
      </c>
      <c r="P295">
        <f t="shared" si="47"/>
        <v>1934.4604969591003</v>
      </c>
      <c r="Q295">
        <f t="shared" si="48"/>
        <v>14886.462462194455</v>
      </c>
      <c r="R295">
        <f t="shared" si="49"/>
        <v>1959.8773408464419</v>
      </c>
      <c r="S295">
        <f t="shared" si="50"/>
        <v>18780.800299999995</v>
      </c>
    </row>
    <row r="296" spans="1:19" x14ac:dyDescent="0.3">
      <c r="A296" t="s">
        <v>13</v>
      </c>
      <c r="B296" t="s">
        <v>24</v>
      </c>
      <c r="C296" t="s">
        <v>15</v>
      </c>
      <c r="D296">
        <v>10</v>
      </c>
      <c r="E296">
        <v>1</v>
      </c>
      <c r="F296">
        <v>0</v>
      </c>
      <c r="G296">
        <v>20260122</v>
      </c>
      <c r="H296">
        <v>20260201</v>
      </c>
      <c r="I296">
        <v>3700.4769999999999</v>
      </c>
      <c r="J296">
        <f t="shared" si="41"/>
        <v>11</v>
      </c>
      <c r="K296">
        <f t="shared" si="42"/>
        <v>336.40699999999998</v>
      </c>
      <c r="L296">
        <f t="shared" si="43"/>
        <v>4080.093913847254</v>
      </c>
      <c r="M296">
        <f t="shared" si="44"/>
        <v>336.40699999999998</v>
      </c>
      <c r="N296">
        <f t="shared" si="45"/>
        <v>0</v>
      </c>
      <c r="O296">
        <f t="shared" si="46"/>
        <v>4416.5009138472542</v>
      </c>
      <c r="P296">
        <f t="shared" si="47"/>
        <v>3418.6098860963402</v>
      </c>
      <c r="Q296">
        <f t="shared" si="48"/>
        <v>281.86711390365946</v>
      </c>
      <c r="R296">
        <f t="shared" si="49"/>
        <v>0</v>
      </c>
      <c r="S296">
        <f t="shared" si="50"/>
        <v>3700.4769999999999</v>
      </c>
    </row>
    <row r="297" spans="1:19" x14ac:dyDescent="0.3">
      <c r="A297" t="s">
        <v>13</v>
      </c>
      <c r="B297" t="s">
        <v>24</v>
      </c>
      <c r="C297" t="s">
        <v>15</v>
      </c>
      <c r="D297">
        <v>9</v>
      </c>
      <c r="E297">
        <v>2</v>
      </c>
      <c r="F297">
        <v>0</v>
      </c>
      <c r="G297">
        <v>20260123</v>
      </c>
      <c r="H297">
        <v>20260202</v>
      </c>
      <c r="I297">
        <v>2566.6705999999999</v>
      </c>
      <c r="J297">
        <f t="shared" si="41"/>
        <v>11</v>
      </c>
      <c r="K297">
        <f t="shared" si="42"/>
        <v>233.3336909090909</v>
      </c>
      <c r="L297">
        <f t="shared" si="43"/>
        <v>2546.9774260236218</v>
      </c>
      <c r="M297">
        <f t="shared" si="44"/>
        <v>466.66738181818181</v>
      </c>
      <c r="N297">
        <f t="shared" si="45"/>
        <v>0</v>
      </c>
      <c r="O297">
        <f t="shared" si="46"/>
        <v>3013.6448078418034</v>
      </c>
      <c r="P297">
        <f t="shared" si="47"/>
        <v>2169.2178392184524</v>
      </c>
      <c r="Q297">
        <f t="shared" si="48"/>
        <v>397.45276078154774</v>
      </c>
      <c r="R297">
        <f t="shared" si="49"/>
        <v>0</v>
      </c>
      <c r="S297">
        <f t="shared" si="50"/>
        <v>2566.6705999999999</v>
      </c>
    </row>
    <row r="298" spans="1:19" x14ac:dyDescent="0.3">
      <c r="A298" t="s">
        <v>13</v>
      </c>
      <c r="B298" t="s">
        <v>24</v>
      </c>
      <c r="C298" t="s">
        <v>15</v>
      </c>
      <c r="D298">
        <v>13</v>
      </c>
      <c r="E298">
        <v>5</v>
      </c>
      <c r="F298">
        <v>0</v>
      </c>
      <c r="G298">
        <v>20260119</v>
      </c>
      <c r="H298">
        <v>20260205</v>
      </c>
      <c r="I298">
        <v>32525.186900000001</v>
      </c>
      <c r="J298">
        <f t="shared" si="41"/>
        <v>18</v>
      </c>
      <c r="K298">
        <f t="shared" si="42"/>
        <v>1806.9548277777778</v>
      </c>
      <c r="L298">
        <f t="shared" si="43"/>
        <v>28490.218735153943</v>
      </c>
      <c r="M298">
        <f t="shared" si="44"/>
        <v>9034.7741388888899</v>
      </c>
      <c r="N298">
        <f t="shared" si="45"/>
        <v>0</v>
      </c>
      <c r="O298">
        <f t="shared" si="46"/>
        <v>37524.992874042829</v>
      </c>
      <c r="P298">
        <f t="shared" si="47"/>
        <v>24694.200270555022</v>
      </c>
      <c r="Q298">
        <f t="shared" si="48"/>
        <v>7830.9866294449839</v>
      </c>
      <c r="R298">
        <f t="shared" si="49"/>
        <v>0</v>
      </c>
      <c r="S298">
        <f t="shared" si="50"/>
        <v>32525.186900000008</v>
      </c>
    </row>
    <row r="299" spans="1:19" x14ac:dyDescent="0.3">
      <c r="A299" t="s">
        <v>13</v>
      </c>
      <c r="B299" t="s">
        <v>24</v>
      </c>
      <c r="C299" t="s">
        <v>15</v>
      </c>
      <c r="D299">
        <v>13</v>
      </c>
      <c r="E299">
        <v>6</v>
      </c>
      <c r="F299">
        <v>0</v>
      </c>
      <c r="G299">
        <v>20260119</v>
      </c>
      <c r="H299">
        <v>20260206</v>
      </c>
      <c r="I299">
        <v>13127.272499999999</v>
      </c>
      <c r="J299">
        <f t="shared" si="41"/>
        <v>19</v>
      </c>
      <c r="K299">
        <f t="shared" si="42"/>
        <v>690.90907894736836</v>
      </c>
      <c r="L299">
        <f t="shared" si="43"/>
        <v>10893.548904884443</v>
      </c>
      <c r="M299">
        <f t="shared" si="44"/>
        <v>4145.4544736842099</v>
      </c>
      <c r="N299">
        <f t="shared" si="45"/>
        <v>0</v>
      </c>
      <c r="O299">
        <f t="shared" si="46"/>
        <v>15039.003378568654</v>
      </c>
      <c r="P299">
        <f t="shared" si="47"/>
        <v>9508.7806928935606</v>
      </c>
      <c r="Q299">
        <f t="shared" si="48"/>
        <v>3618.4918071064371</v>
      </c>
      <c r="R299">
        <f t="shared" si="49"/>
        <v>0</v>
      </c>
      <c r="S299">
        <f t="shared" si="50"/>
        <v>13127.272499999997</v>
      </c>
    </row>
    <row r="300" spans="1:19" x14ac:dyDescent="0.3">
      <c r="A300" t="s">
        <v>13</v>
      </c>
      <c r="B300" t="s">
        <v>24</v>
      </c>
      <c r="C300" t="s">
        <v>15</v>
      </c>
      <c r="D300">
        <v>2</v>
      </c>
      <c r="E300">
        <v>28</v>
      </c>
      <c r="F300">
        <v>7</v>
      </c>
      <c r="G300">
        <v>20260130</v>
      </c>
      <c r="H300">
        <v>20260307</v>
      </c>
      <c r="I300">
        <v>1899.9380000000001</v>
      </c>
      <c r="J300">
        <f t="shared" si="41"/>
        <v>37</v>
      </c>
      <c r="K300">
        <f t="shared" si="42"/>
        <v>51.349675675675677</v>
      </c>
      <c r="L300">
        <f t="shared" si="43"/>
        <v>124.55834700369179</v>
      </c>
      <c r="M300">
        <f t="shared" si="44"/>
        <v>1437.790918918919</v>
      </c>
      <c r="N300">
        <f t="shared" si="45"/>
        <v>265.0093257567662</v>
      </c>
      <c r="O300">
        <f t="shared" si="46"/>
        <v>1827.358591679377</v>
      </c>
      <c r="P300">
        <f t="shared" si="47"/>
        <v>129.50558131669794</v>
      </c>
      <c r="Q300">
        <f t="shared" si="48"/>
        <v>1494.8973974497676</v>
      </c>
      <c r="R300">
        <f t="shared" si="49"/>
        <v>275.53502123353451</v>
      </c>
      <c r="S300">
        <f t="shared" si="50"/>
        <v>1899.9380000000001</v>
      </c>
    </row>
    <row r="301" spans="1:19" x14ac:dyDescent="0.3">
      <c r="A301" t="s">
        <v>13</v>
      </c>
      <c r="B301" t="s">
        <v>24</v>
      </c>
      <c r="C301" t="s">
        <v>15</v>
      </c>
      <c r="D301">
        <v>0</v>
      </c>
      <c r="E301">
        <v>6</v>
      </c>
      <c r="F301">
        <v>2</v>
      </c>
      <c r="G301">
        <v>20260223</v>
      </c>
      <c r="H301">
        <v>20260302</v>
      </c>
      <c r="I301">
        <v>296.5213</v>
      </c>
      <c r="J301">
        <f t="shared" si="41"/>
        <v>8</v>
      </c>
      <c r="K301">
        <f t="shared" si="42"/>
        <v>37.0651625</v>
      </c>
      <c r="L301">
        <f t="shared" si="43"/>
        <v>0</v>
      </c>
      <c r="M301">
        <f t="shared" si="44"/>
        <v>222.390975</v>
      </c>
      <c r="N301">
        <f t="shared" si="45"/>
        <v>54.653919948670364</v>
      </c>
      <c r="O301">
        <f t="shared" si="46"/>
        <v>277.04489494867039</v>
      </c>
      <c r="P301">
        <f t="shared" si="47"/>
        <v>0</v>
      </c>
      <c r="Q301">
        <f t="shared" si="48"/>
        <v>238.02518009756233</v>
      </c>
      <c r="R301">
        <f t="shared" si="49"/>
        <v>58.496119902437663</v>
      </c>
      <c r="S301">
        <f t="shared" si="50"/>
        <v>296.5213</v>
      </c>
    </row>
    <row r="302" spans="1:19" x14ac:dyDescent="0.3">
      <c r="A302" t="s">
        <v>13</v>
      </c>
      <c r="B302" t="s">
        <v>24</v>
      </c>
      <c r="C302" t="s">
        <v>15</v>
      </c>
      <c r="D302">
        <v>0</v>
      </c>
      <c r="E302">
        <v>6</v>
      </c>
      <c r="F302">
        <v>1</v>
      </c>
      <c r="G302">
        <v>20260223</v>
      </c>
      <c r="H302">
        <v>20260301</v>
      </c>
      <c r="I302">
        <v>1482.0530000000001</v>
      </c>
      <c r="J302">
        <f t="shared" si="41"/>
        <v>7</v>
      </c>
      <c r="K302">
        <f t="shared" si="42"/>
        <v>211.72185714285715</v>
      </c>
      <c r="L302">
        <f t="shared" si="43"/>
        <v>0</v>
      </c>
      <c r="M302">
        <f t="shared" si="44"/>
        <v>1270.3311428571428</v>
      </c>
      <c r="N302">
        <f t="shared" si="45"/>
        <v>156.09576015847139</v>
      </c>
      <c r="O302">
        <f t="shared" si="46"/>
        <v>1426.4269030156142</v>
      </c>
      <c r="P302">
        <f t="shared" si="47"/>
        <v>0</v>
      </c>
      <c r="Q302">
        <f t="shared" si="48"/>
        <v>1319.8700033521791</v>
      </c>
      <c r="R302">
        <f t="shared" si="49"/>
        <v>162.18299664782097</v>
      </c>
      <c r="S302">
        <f t="shared" si="50"/>
        <v>1482.0530000000001</v>
      </c>
    </row>
    <row r="303" spans="1:19" x14ac:dyDescent="0.3">
      <c r="A303" t="s">
        <v>13</v>
      </c>
      <c r="B303" t="s">
        <v>24</v>
      </c>
      <c r="C303" t="s">
        <v>15</v>
      </c>
      <c r="D303">
        <v>3</v>
      </c>
      <c r="E303">
        <v>28</v>
      </c>
      <c r="F303">
        <v>3</v>
      </c>
      <c r="G303">
        <v>20260129</v>
      </c>
      <c r="H303">
        <v>20260303</v>
      </c>
      <c r="I303">
        <v>42.1922</v>
      </c>
      <c r="J303">
        <f t="shared" si="41"/>
        <v>34</v>
      </c>
      <c r="K303">
        <f t="shared" si="42"/>
        <v>1.2409470588235294</v>
      </c>
      <c r="L303">
        <f t="shared" si="43"/>
        <v>4.5152275744373931</v>
      </c>
      <c r="M303">
        <f t="shared" si="44"/>
        <v>34.746517647058823</v>
      </c>
      <c r="N303">
        <f t="shared" si="45"/>
        <v>2.744731844092648</v>
      </c>
      <c r="O303">
        <f t="shared" si="46"/>
        <v>42.006477065588861</v>
      </c>
      <c r="P303">
        <f t="shared" si="47"/>
        <v>4.5351907175819424</v>
      </c>
      <c r="Q303">
        <f t="shared" si="48"/>
        <v>34.900142175197765</v>
      </c>
      <c r="R303">
        <f t="shared" si="49"/>
        <v>2.7568671072202995</v>
      </c>
      <c r="S303">
        <f t="shared" si="50"/>
        <v>42.192200000000007</v>
      </c>
    </row>
    <row r="304" spans="1:19" x14ac:dyDescent="0.3">
      <c r="A304" t="s">
        <v>13</v>
      </c>
      <c r="B304" t="s">
        <v>24</v>
      </c>
      <c r="C304" t="s">
        <v>15</v>
      </c>
      <c r="D304">
        <v>0</v>
      </c>
      <c r="E304">
        <v>18</v>
      </c>
      <c r="F304">
        <v>3</v>
      </c>
      <c r="G304">
        <v>20260211</v>
      </c>
      <c r="H304">
        <v>20260303</v>
      </c>
      <c r="I304">
        <v>591.43780000000004</v>
      </c>
      <c r="J304">
        <f t="shared" si="41"/>
        <v>21</v>
      </c>
      <c r="K304">
        <f t="shared" si="42"/>
        <v>28.163704761904764</v>
      </c>
      <c r="L304">
        <f t="shared" si="43"/>
        <v>0</v>
      </c>
      <c r="M304">
        <f t="shared" si="44"/>
        <v>506.94668571428576</v>
      </c>
      <c r="N304">
        <f t="shared" si="45"/>
        <v>62.292598832466844</v>
      </c>
      <c r="O304">
        <f t="shared" si="46"/>
        <v>569.23928454675263</v>
      </c>
      <c r="P304">
        <f t="shared" si="47"/>
        <v>0</v>
      </c>
      <c r="Q304">
        <f t="shared" si="48"/>
        <v>526.71598861080236</v>
      </c>
      <c r="R304">
        <f t="shared" si="49"/>
        <v>64.721811389197697</v>
      </c>
      <c r="S304">
        <f t="shared" si="50"/>
        <v>591.43780000000004</v>
      </c>
    </row>
    <row r="305" spans="1:19" x14ac:dyDescent="0.3">
      <c r="A305" t="s">
        <v>13</v>
      </c>
      <c r="B305" t="s">
        <v>24</v>
      </c>
      <c r="C305" t="s">
        <v>14</v>
      </c>
      <c r="D305">
        <v>19</v>
      </c>
      <c r="E305">
        <v>1</v>
      </c>
      <c r="F305">
        <v>0</v>
      </c>
      <c r="G305">
        <v>20260113</v>
      </c>
      <c r="H305">
        <v>20260201</v>
      </c>
      <c r="I305">
        <v>1512.6575</v>
      </c>
      <c r="J305">
        <f t="shared" si="41"/>
        <v>20</v>
      </c>
      <c r="K305">
        <f t="shared" si="42"/>
        <v>75.632874999999999</v>
      </c>
      <c r="L305">
        <f t="shared" si="43"/>
        <v>1742.8874626601507</v>
      </c>
      <c r="M305">
        <f t="shared" si="44"/>
        <v>75.632874999999999</v>
      </c>
      <c r="N305">
        <f t="shared" si="45"/>
        <v>0</v>
      </c>
      <c r="O305">
        <f t="shared" si="46"/>
        <v>1818.5203376601507</v>
      </c>
      <c r="P305">
        <f t="shared" si="47"/>
        <v>1449.7455637152966</v>
      </c>
      <c r="Q305">
        <f t="shared" si="48"/>
        <v>62.911936284703273</v>
      </c>
      <c r="R305">
        <f t="shared" si="49"/>
        <v>0</v>
      </c>
      <c r="S305">
        <f t="shared" si="50"/>
        <v>1512.6574999999998</v>
      </c>
    </row>
    <row r="306" spans="1:19" x14ac:dyDescent="0.3">
      <c r="A306" t="s">
        <v>13</v>
      </c>
      <c r="B306" t="s">
        <v>24</v>
      </c>
      <c r="C306" t="s">
        <v>15</v>
      </c>
      <c r="D306">
        <v>0</v>
      </c>
      <c r="E306">
        <v>8</v>
      </c>
      <c r="F306">
        <v>2</v>
      </c>
      <c r="G306">
        <v>20260221</v>
      </c>
      <c r="H306">
        <v>20260302</v>
      </c>
      <c r="I306">
        <v>8209.8233</v>
      </c>
      <c r="J306">
        <f t="shared" si="41"/>
        <v>10</v>
      </c>
      <c r="K306">
        <f t="shared" si="42"/>
        <v>820.98233000000005</v>
      </c>
      <c r="L306">
        <f t="shared" si="43"/>
        <v>0</v>
      </c>
      <c r="M306">
        <f t="shared" si="44"/>
        <v>6567.8586400000004</v>
      </c>
      <c r="N306">
        <f t="shared" si="45"/>
        <v>1210.5680783968742</v>
      </c>
      <c r="O306">
        <f t="shared" si="46"/>
        <v>7778.426718396875</v>
      </c>
      <c r="P306">
        <f t="shared" si="47"/>
        <v>0</v>
      </c>
      <c r="Q306">
        <f t="shared" si="48"/>
        <v>6932.116332246087</v>
      </c>
      <c r="R306">
        <f t="shared" si="49"/>
        <v>1277.7069677539121</v>
      </c>
      <c r="S306">
        <f t="shared" si="50"/>
        <v>8209.8233</v>
      </c>
    </row>
    <row r="307" spans="1:19" x14ac:dyDescent="0.3">
      <c r="A307" t="s">
        <v>13</v>
      </c>
      <c r="B307" t="s">
        <v>24</v>
      </c>
      <c r="C307" t="s">
        <v>15</v>
      </c>
      <c r="D307">
        <v>10</v>
      </c>
      <c r="E307">
        <v>3</v>
      </c>
      <c r="F307">
        <v>0</v>
      </c>
      <c r="G307">
        <v>20260122</v>
      </c>
      <c r="H307">
        <v>20260203</v>
      </c>
      <c r="I307">
        <v>2819.3948999999998</v>
      </c>
      <c r="J307">
        <f t="shared" si="41"/>
        <v>13</v>
      </c>
      <c r="K307">
        <f t="shared" si="42"/>
        <v>216.87653076923075</v>
      </c>
      <c r="L307">
        <f t="shared" si="43"/>
        <v>2630.3751504809507</v>
      </c>
      <c r="M307">
        <f t="shared" si="44"/>
        <v>650.62959230769229</v>
      </c>
      <c r="N307">
        <f t="shared" si="45"/>
        <v>0</v>
      </c>
      <c r="O307">
        <f t="shared" si="46"/>
        <v>3281.0047427886429</v>
      </c>
      <c r="P307">
        <f t="shared" si="47"/>
        <v>2260.3034331640574</v>
      </c>
      <c r="Q307">
        <f t="shared" si="48"/>
        <v>559.09146683594247</v>
      </c>
      <c r="R307">
        <f t="shared" si="49"/>
        <v>0</v>
      </c>
      <c r="S307">
        <f t="shared" si="50"/>
        <v>2819.3948999999998</v>
      </c>
    </row>
    <row r="308" spans="1:19" x14ac:dyDescent="0.3">
      <c r="A308" t="s">
        <v>13</v>
      </c>
      <c r="B308" t="s">
        <v>24</v>
      </c>
      <c r="C308" t="s">
        <v>15</v>
      </c>
      <c r="D308">
        <v>6</v>
      </c>
      <c r="E308">
        <v>28</v>
      </c>
      <c r="F308">
        <v>1</v>
      </c>
      <c r="G308">
        <v>20260126</v>
      </c>
      <c r="H308">
        <v>20260301</v>
      </c>
      <c r="I308">
        <v>3457.2473</v>
      </c>
      <c r="J308">
        <f t="shared" si="41"/>
        <v>35</v>
      </c>
      <c r="K308">
        <f t="shared" si="42"/>
        <v>98.778494285714288</v>
      </c>
      <c r="L308">
        <f t="shared" si="43"/>
        <v>718.81774164177091</v>
      </c>
      <c r="M308">
        <f t="shared" si="44"/>
        <v>2765.7978400000002</v>
      </c>
      <c r="N308">
        <f t="shared" si="45"/>
        <v>72.82622758421229</v>
      </c>
      <c r="O308">
        <f t="shared" si="46"/>
        <v>3557.4418092259834</v>
      </c>
      <c r="P308">
        <f t="shared" si="47"/>
        <v>698.57240954387294</v>
      </c>
      <c r="Q308">
        <f t="shared" si="48"/>
        <v>2687.8997963894485</v>
      </c>
      <c r="R308">
        <f t="shared" si="49"/>
        <v>70.775094066678363</v>
      </c>
      <c r="S308">
        <f t="shared" si="50"/>
        <v>3457.2473</v>
      </c>
    </row>
    <row r="309" spans="1:19" x14ac:dyDescent="0.3">
      <c r="A309" t="s">
        <v>13</v>
      </c>
      <c r="B309" t="s">
        <v>24</v>
      </c>
      <c r="C309" t="s">
        <v>14</v>
      </c>
      <c r="D309">
        <v>4</v>
      </c>
      <c r="E309">
        <v>28</v>
      </c>
      <c r="F309">
        <v>3</v>
      </c>
      <c r="G309">
        <v>20260128</v>
      </c>
      <c r="H309">
        <v>20260303</v>
      </c>
      <c r="I309">
        <v>126.5528</v>
      </c>
      <c r="J309">
        <f t="shared" si="41"/>
        <v>35</v>
      </c>
      <c r="K309">
        <f t="shared" si="42"/>
        <v>3.6157942857142857</v>
      </c>
      <c r="L309">
        <f t="shared" si="43"/>
        <v>17.541585352108058</v>
      </c>
      <c r="M309">
        <f t="shared" si="44"/>
        <v>101.24224</v>
      </c>
      <c r="N309">
        <f t="shared" si="45"/>
        <v>7.997428775968066</v>
      </c>
      <c r="O309">
        <f t="shared" si="46"/>
        <v>126.78125412807611</v>
      </c>
      <c r="P309">
        <f t="shared" si="47"/>
        <v>17.509976202835563</v>
      </c>
      <c r="Q309">
        <f t="shared" si="48"/>
        <v>101.05980602880496</v>
      </c>
      <c r="R309">
        <f t="shared" si="49"/>
        <v>7.9830177683594892</v>
      </c>
      <c r="S309">
        <f t="shared" si="50"/>
        <v>126.5528</v>
      </c>
    </row>
    <row r="310" spans="1:19" x14ac:dyDescent="0.3">
      <c r="A310" t="s">
        <v>13</v>
      </c>
      <c r="B310" t="s">
        <v>24</v>
      </c>
      <c r="C310" t="s">
        <v>14</v>
      </c>
      <c r="D310">
        <v>0</v>
      </c>
      <c r="E310">
        <v>6</v>
      </c>
      <c r="F310">
        <v>5</v>
      </c>
      <c r="G310">
        <v>20260223</v>
      </c>
      <c r="H310">
        <v>20260305</v>
      </c>
      <c r="I310">
        <v>42.384900000000002</v>
      </c>
      <c r="J310">
        <f t="shared" si="41"/>
        <v>11</v>
      </c>
      <c r="K310">
        <f t="shared" si="42"/>
        <v>3.8531727272727276</v>
      </c>
      <c r="L310">
        <f t="shared" si="43"/>
        <v>0</v>
      </c>
      <c r="M310">
        <f t="shared" si="44"/>
        <v>23.119036363636365</v>
      </c>
      <c r="N310">
        <f t="shared" si="45"/>
        <v>14.204105660184513</v>
      </c>
      <c r="O310">
        <f t="shared" si="46"/>
        <v>37.323142023820878</v>
      </c>
      <c r="P310">
        <f t="shared" si="47"/>
        <v>0</v>
      </c>
      <c r="Q310">
        <f t="shared" si="48"/>
        <v>26.254436021053298</v>
      </c>
      <c r="R310">
        <f t="shared" si="49"/>
        <v>16.130463978946704</v>
      </c>
      <c r="S310">
        <f t="shared" si="50"/>
        <v>42.384900000000002</v>
      </c>
    </row>
    <row r="311" spans="1:19" x14ac:dyDescent="0.3">
      <c r="A311" t="s">
        <v>13</v>
      </c>
      <c r="B311" t="s">
        <v>24</v>
      </c>
      <c r="C311" t="s">
        <v>14</v>
      </c>
      <c r="D311">
        <v>0</v>
      </c>
      <c r="E311">
        <v>9</v>
      </c>
      <c r="F311">
        <v>16</v>
      </c>
      <c r="G311">
        <v>20260220</v>
      </c>
      <c r="H311">
        <v>20260316</v>
      </c>
      <c r="I311">
        <v>17060500.6886</v>
      </c>
      <c r="J311">
        <f t="shared" si="41"/>
        <v>25</v>
      </c>
      <c r="K311">
        <f t="shared" si="42"/>
        <v>682420.02754399995</v>
      </c>
      <c r="L311">
        <f t="shared" si="43"/>
        <v>0</v>
      </c>
      <c r="M311">
        <f t="shared" si="44"/>
        <v>6141780.2478959998</v>
      </c>
      <c r="N311">
        <f t="shared" si="45"/>
        <v>8050023.6968898643</v>
      </c>
      <c r="O311">
        <f t="shared" si="46"/>
        <v>14191803.944785863</v>
      </c>
      <c r="P311">
        <f t="shared" si="47"/>
        <v>0</v>
      </c>
      <c r="Q311">
        <f t="shared" si="48"/>
        <v>7383264.7742401296</v>
      </c>
      <c r="R311">
        <f t="shared" si="49"/>
        <v>9677235.9143598713</v>
      </c>
      <c r="S311">
        <f t="shared" si="50"/>
        <v>17060500.6886</v>
      </c>
    </row>
    <row r="312" spans="1:19" x14ac:dyDescent="0.3">
      <c r="A312" t="s">
        <v>13</v>
      </c>
      <c r="B312" t="s">
        <v>24</v>
      </c>
      <c r="C312" t="s">
        <v>15</v>
      </c>
      <c r="D312">
        <v>0</v>
      </c>
      <c r="E312">
        <v>9</v>
      </c>
      <c r="F312">
        <v>16</v>
      </c>
      <c r="G312">
        <v>20260220</v>
      </c>
      <c r="H312">
        <v>20260316</v>
      </c>
      <c r="I312">
        <v>5676662.2922</v>
      </c>
      <c r="J312">
        <f t="shared" si="41"/>
        <v>25</v>
      </c>
      <c r="K312">
        <f t="shared" si="42"/>
        <v>227066.49168800001</v>
      </c>
      <c r="L312">
        <f t="shared" si="43"/>
        <v>0</v>
      </c>
      <c r="M312">
        <f t="shared" si="44"/>
        <v>2043598.4251920001</v>
      </c>
      <c r="N312">
        <f t="shared" si="45"/>
        <v>2678541.9024651791</v>
      </c>
      <c r="O312">
        <f t="shared" si="46"/>
        <v>4722140.327657179</v>
      </c>
      <c r="P312">
        <f t="shared" si="47"/>
        <v>0</v>
      </c>
      <c r="Q312">
        <f t="shared" si="48"/>
        <v>2456686.4421079806</v>
      </c>
      <c r="R312">
        <f t="shared" si="49"/>
        <v>3219975.8500920194</v>
      </c>
      <c r="S312">
        <f t="shared" si="50"/>
        <v>5676662.2922</v>
      </c>
    </row>
    <row r="313" spans="1:19" x14ac:dyDescent="0.3">
      <c r="A313" t="s">
        <v>13</v>
      </c>
      <c r="B313" t="s">
        <v>24</v>
      </c>
      <c r="C313" t="s">
        <v>15</v>
      </c>
      <c r="D313">
        <v>29</v>
      </c>
      <c r="E313">
        <v>1</v>
      </c>
      <c r="F313">
        <v>0</v>
      </c>
      <c r="G313">
        <v>20260103</v>
      </c>
      <c r="H313">
        <v>20260201</v>
      </c>
      <c r="I313">
        <v>7318658.2868999997</v>
      </c>
      <c r="J313">
        <f t="shared" si="41"/>
        <v>30</v>
      </c>
      <c r="K313">
        <f t="shared" si="42"/>
        <v>243955.27622999999</v>
      </c>
      <c r="L313">
        <f t="shared" si="43"/>
        <v>8580514.8811146952</v>
      </c>
      <c r="M313">
        <f t="shared" si="44"/>
        <v>243955.27622999999</v>
      </c>
      <c r="N313">
        <f t="shared" si="45"/>
        <v>0</v>
      </c>
      <c r="O313">
        <f t="shared" si="46"/>
        <v>8824470.1573446952</v>
      </c>
      <c r="P313">
        <f t="shared" si="47"/>
        <v>7116331.657405124</v>
      </c>
      <c r="Q313">
        <f t="shared" si="48"/>
        <v>202326.62949487573</v>
      </c>
      <c r="R313">
        <f t="shared" si="49"/>
        <v>0</v>
      </c>
      <c r="S313">
        <f t="shared" si="50"/>
        <v>7318658.2868999997</v>
      </c>
    </row>
    <row r="314" spans="1:19" x14ac:dyDescent="0.3">
      <c r="A314" t="s">
        <v>13</v>
      </c>
      <c r="B314" t="s">
        <v>24</v>
      </c>
      <c r="C314" t="s">
        <v>15</v>
      </c>
      <c r="D314">
        <v>26</v>
      </c>
      <c r="E314">
        <v>2</v>
      </c>
      <c r="F314">
        <v>0</v>
      </c>
      <c r="G314">
        <v>20260106</v>
      </c>
      <c r="H314">
        <v>20260202</v>
      </c>
      <c r="I314">
        <v>2345069.5036999998</v>
      </c>
      <c r="J314">
        <f t="shared" si="41"/>
        <v>28</v>
      </c>
      <c r="K314">
        <f t="shared" si="42"/>
        <v>83752.482274999988</v>
      </c>
      <c r="L314">
        <f t="shared" si="43"/>
        <v>2641047.2502639703</v>
      </c>
      <c r="M314">
        <f t="shared" si="44"/>
        <v>167504.96454999998</v>
      </c>
      <c r="N314">
        <f t="shared" si="45"/>
        <v>0</v>
      </c>
      <c r="O314">
        <f t="shared" si="46"/>
        <v>2808552.2148139705</v>
      </c>
      <c r="P314">
        <f t="shared" si="47"/>
        <v>2205207.128340682</v>
      </c>
      <c r="Q314">
        <f t="shared" si="48"/>
        <v>139862.37535931767</v>
      </c>
      <c r="R314">
        <f t="shared" si="49"/>
        <v>0</v>
      </c>
      <c r="S314">
        <f t="shared" si="50"/>
        <v>2345069.5036999998</v>
      </c>
    </row>
    <row r="315" spans="1:19" x14ac:dyDescent="0.3">
      <c r="A315" t="s">
        <v>13</v>
      </c>
      <c r="B315" t="s">
        <v>24</v>
      </c>
      <c r="C315" t="s">
        <v>15</v>
      </c>
      <c r="D315">
        <v>30</v>
      </c>
      <c r="E315">
        <v>2</v>
      </c>
      <c r="F315">
        <v>0</v>
      </c>
      <c r="G315">
        <v>20260102</v>
      </c>
      <c r="H315">
        <v>20260202</v>
      </c>
      <c r="I315">
        <v>7786849.1771</v>
      </c>
      <c r="J315">
        <f t="shared" si="41"/>
        <v>32</v>
      </c>
      <c r="K315">
        <f t="shared" si="42"/>
        <v>243339.036784375</v>
      </c>
      <c r="L315">
        <f t="shared" si="43"/>
        <v>8853972.6252906304</v>
      </c>
      <c r="M315">
        <f t="shared" si="44"/>
        <v>486678.07356875</v>
      </c>
      <c r="N315">
        <f t="shared" si="45"/>
        <v>0</v>
      </c>
      <c r="O315">
        <f t="shared" si="46"/>
        <v>9340650.6988593806</v>
      </c>
      <c r="P315">
        <f t="shared" si="47"/>
        <v>7381129.1819026414</v>
      </c>
      <c r="Q315">
        <f t="shared" si="48"/>
        <v>405719.99519735883</v>
      </c>
      <c r="R315">
        <f t="shared" si="49"/>
        <v>0</v>
      </c>
      <c r="S315">
        <f t="shared" si="50"/>
        <v>7786849.1771</v>
      </c>
    </row>
    <row r="316" spans="1:19" x14ac:dyDescent="0.3">
      <c r="A316" t="s">
        <v>13</v>
      </c>
      <c r="B316" t="s">
        <v>24</v>
      </c>
      <c r="C316" t="s">
        <v>15</v>
      </c>
      <c r="D316">
        <v>0</v>
      </c>
      <c r="E316">
        <v>15</v>
      </c>
      <c r="F316">
        <v>0</v>
      </c>
      <c r="G316">
        <v>20260201</v>
      </c>
      <c r="H316">
        <v>20260215</v>
      </c>
      <c r="I316">
        <v>9488.3505000000005</v>
      </c>
      <c r="J316">
        <f t="shared" si="41"/>
        <v>15</v>
      </c>
      <c r="K316">
        <f t="shared" si="42"/>
        <v>632.55669999999998</v>
      </c>
      <c r="L316">
        <f t="shared" si="43"/>
        <v>0</v>
      </c>
      <c r="M316">
        <f t="shared" si="44"/>
        <v>9488.3505000000005</v>
      </c>
      <c r="N316">
        <f t="shared" si="45"/>
        <v>0</v>
      </c>
      <c r="O316">
        <f t="shared" si="46"/>
        <v>9488.3505000000005</v>
      </c>
      <c r="P316">
        <f t="shared" si="47"/>
        <v>0</v>
      </c>
      <c r="Q316">
        <f t="shared" si="48"/>
        <v>9488.3505000000005</v>
      </c>
      <c r="R316">
        <f t="shared" si="49"/>
        <v>0</v>
      </c>
      <c r="S316">
        <f t="shared" si="50"/>
        <v>9488.3505000000005</v>
      </c>
    </row>
    <row r="317" spans="1:19" x14ac:dyDescent="0.3">
      <c r="A317" t="s">
        <v>13</v>
      </c>
      <c r="B317" t="s">
        <v>24</v>
      </c>
      <c r="C317" t="s">
        <v>15</v>
      </c>
      <c r="D317">
        <v>25</v>
      </c>
      <c r="E317">
        <v>5</v>
      </c>
      <c r="F317">
        <v>0</v>
      </c>
      <c r="G317">
        <v>20260107</v>
      </c>
      <c r="H317">
        <v>20260205</v>
      </c>
      <c r="I317">
        <v>4415441.5921</v>
      </c>
      <c r="J317">
        <f t="shared" si="41"/>
        <v>30</v>
      </c>
      <c r="K317">
        <f t="shared" si="42"/>
        <v>147181.38640333334</v>
      </c>
      <c r="L317">
        <f t="shared" si="43"/>
        <v>4462703.5027202275</v>
      </c>
      <c r="M317">
        <f t="shared" si="44"/>
        <v>735906.93201666675</v>
      </c>
      <c r="N317">
        <f t="shared" si="45"/>
        <v>0</v>
      </c>
      <c r="O317">
        <f t="shared" si="46"/>
        <v>5198610.4347368944</v>
      </c>
      <c r="P317">
        <f t="shared" si="47"/>
        <v>3790398.7818465037</v>
      </c>
      <c r="Q317">
        <f t="shared" si="48"/>
        <v>625042.81025349605</v>
      </c>
      <c r="R317">
        <f t="shared" si="49"/>
        <v>0</v>
      </c>
      <c r="S317">
        <f t="shared" si="50"/>
        <v>4415441.5921</v>
      </c>
    </row>
    <row r="318" spans="1:19" x14ac:dyDescent="0.3">
      <c r="A318" t="s">
        <v>13</v>
      </c>
      <c r="B318" t="s">
        <v>24</v>
      </c>
      <c r="C318" t="s">
        <v>15</v>
      </c>
      <c r="D318">
        <v>0</v>
      </c>
      <c r="E318">
        <v>24</v>
      </c>
      <c r="F318">
        <v>2</v>
      </c>
      <c r="G318">
        <v>20260205</v>
      </c>
      <c r="H318">
        <v>20260302</v>
      </c>
      <c r="I318">
        <v>508902.83600000001</v>
      </c>
      <c r="J318">
        <f t="shared" si="41"/>
        <v>26</v>
      </c>
      <c r="K318">
        <f t="shared" si="42"/>
        <v>19573.186000000002</v>
      </c>
      <c r="L318">
        <f t="shared" si="43"/>
        <v>0</v>
      </c>
      <c r="M318">
        <f t="shared" si="44"/>
        <v>469756.46400000004</v>
      </c>
      <c r="N318">
        <f t="shared" si="45"/>
        <v>28861.369238147425</v>
      </c>
      <c r="O318">
        <f t="shared" si="46"/>
        <v>498617.83323814743</v>
      </c>
      <c r="P318">
        <f t="shared" si="47"/>
        <v>0</v>
      </c>
      <c r="Q318">
        <f t="shared" si="48"/>
        <v>479446.14256256068</v>
      </c>
      <c r="R318">
        <f t="shared" si="49"/>
        <v>29456.69343743939</v>
      </c>
      <c r="S318">
        <f t="shared" si="50"/>
        <v>508902.83600000007</v>
      </c>
    </row>
    <row r="319" spans="1:19" x14ac:dyDescent="0.3">
      <c r="A319" t="s">
        <v>13</v>
      </c>
      <c r="B319" t="s">
        <v>24</v>
      </c>
      <c r="C319" t="s">
        <v>15</v>
      </c>
      <c r="D319">
        <v>28</v>
      </c>
      <c r="E319">
        <v>4</v>
      </c>
      <c r="F319">
        <v>0</v>
      </c>
      <c r="G319">
        <v>20260104</v>
      </c>
      <c r="H319">
        <v>20260204</v>
      </c>
      <c r="I319">
        <v>3221943.9531999999</v>
      </c>
      <c r="J319">
        <f t="shared" si="41"/>
        <v>32</v>
      </c>
      <c r="K319">
        <f t="shared" si="42"/>
        <v>100685.7485375</v>
      </c>
      <c r="L319">
        <f t="shared" si="43"/>
        <v>3419252.4754039738</v>
      </c>
      <c r="M319">
        <f t="shared" si="44"/>
        <v>402742.99414999998</v>
      </c>
      <c r="N319">
        <f t="shared" si="45"/>
        <v>0</v>
      </c>
      <c r="O319">
        <f t="shared" si="46"/>
        <v>3821995.469553974</v>
      </c>
      <c r="P319">
        <f t="shared" si="47"/>
        <v>2882431.4223683798</v>
      </c>
      <c r="Q319">
        <f t="shared" si="48"/>
        <v>339512.53083161992</v>
      </c>
      <c r="R319">
        <f t="shared" si="49"/>
        <v>0</v>
      </c>
      <c r="S319">
        <f t="shared" si="50"/>
        <v>3221943.9531999999</v>
      </c>
    </row>
    <row r="320" spans="1:19" x14ac:dyDescent="0.3">
      <c r="A320" t="s">
        <v>13</v>
      </c>
      <c r="B320" t="s">
        <v>24</v>
      </c>
      <c r="C320" t="s">
        <v>14</v>
      </c>
      <c r="D320">
        <v>0</v>
      </c>
      <c r="E320">
        <v>26</v>
      </c>
      <c r="F320">
        <v>1</v>
      </c>
      <c r="G320">
        <v>20260203</v>
      </c>
      <c r="H320">
        <v>20260301</v>
      </c>
      <c r="I320">
        <v>803585.67590000003</v>
      </c>
      <c r="J320">
        <f t="shared" si="41"/>
        <v>27</v>
      </c>
      <c r="K320">
        <f t="shared" si="42"/>
        <v>29762.43244074074</v>
      </c>
      <c r="L320">
        <f t="shared" si="43"/>
        <v>0</v>
      </c>
      <c r="M320">
        <f t="shared" si="44"/>
        <v>773823.24345925928</v>
      </c>
      <c r="N320">
        <f t="shared" si="45"/>
        <v>21942.890444550922</v>
      </c>
      <c r="O320">
        <f t="shared" si="46"/>
        <v>795766.13390381017</v>
      </c>
      <c r="P320">
        <f t="shared" si="47"/>
        <v>0</v>
      </c>
      <c r="Q320">
        <f t="shared" si="48"/>
        <v>781427.16512927716</v>
      </c>
      <c r="R320">
        <f t="shared" si="49"/>
        <v>22158.510770722904</v>
      </c>
      <c r="S320">
        <f t="shared" si="50"/>
        <v>803585.67590000003</v>
      </c>
    </row>
    <row r="321" spans="1:19" x14ac:dyDescent="0.3">
      <c r="A321" t="s">
        <v>13</v>
      </c>
      <c r="B321" t="s">
        <v>24</v>
      </c>
      <c r="C321" t="s">
        <v>15</v>
      </c>
      <c r="D321">
        <v>0</v>
      </c>
      <c r="E321">
        <v>9</v>
      </c>
      <c r="F321">
        <v>15</v>
      </c>
      <c r="G321">
        <v>20260220</v>
      </c>
      <c r="H321">
        <v>20260315</v>
      </c>
      <c r="I321">
        <v>670406.47620000003</v>
      </c>
      <c r="J321">
        <f t="shared" si="41"/>
        <v>24</v>
      </c>
      <c r="K321">
        <f t="shared" si="42"/>
        <v>27933.603175</v>
      </c>
      <c r="L321">
        <f t="shared" si="43"/>
        <v>0</v>
      </c>
      <c r="M321">
        <f t="shared" si="44"/>
        <v>251402.428575</v>
      </c>
      <c r="N321">
        <f t="shared" si="45"/>
        <v>308918.29594792164</v>
      </c>
      <c r="O321">
        <f t="shared" si="46"/>
        <v>560320.72452292161</v>
      </c>
      <c r="P321">
        <f t="shared" si="47"/>
        <v>0</v>
      </c>
      <c r="Q321">
        <f t="shared" si="48"/>
        <v>300795.2568461409</v>
      </c>
      <c r="R321">
        <f t="shared" si="49"/>
        <v>369611.2193538592</v>
      </c>
      <c r="S321">
        <f t="shared" si="50"/>
        <v>670406.47620000015</v>
      </c>
    </row>
    <row r="322" spans="1:19" x14ac:dyDescent="0.3">
      <c r="A322" t="s">
        <v>13</v>
      </c>
      <c r="B322" t="s">
        <v>24</v>
      </c>
      <c r="C322" t="s">
        <v>14</v>
      </c>
      <c r="D322">
        <v>0</v>
      </c>
      <c r="E322">
        <v>25</v>
      </c>
      <c r="F322">
        <v>2</v>
      </c>
      <c r="G322">
        <v>20260204</v>
      </c>
      <c r="H322">
        <v>20260302</v>
      </c>
      <c r="I322">
        <v>281176.98859999998</v>
      </c>
      <c r="J322">
        <f t="shared" si="41"/>
        <v>27</v>
      </c>
      <c r="K322">
        <f t="shared" si="42"/>
        <v>10413.96254074074</v>
      </c>
      <c r="L322">
        <f t="shared" si="43"/>
        <v>0</v>
      </c>
      <c r="M322">
        <f t="shared" si="44"/>
        <v>260349.06351851849</v>
      </c>
      <c r="N322">
        <f t="shared" si="45"/>
        <v>15355.763651382784</v>
      </c>
      <c r="O322">
        <f t="shared" si="46"/>
        <v>275704.82716990128</v>
      </c>
      <c r="P322">
        <f t="shared" si="47"/>
        <v>0</v>
      </c>
      <c r="Q322">
        <f t="shared" si="48"/>
        <v>265516.44531002553</v>
      </c>
      <c r="R322">
        <f t="shared" si="49"/>
        <v>15660.543289974406</v>
      </c>
      <c r="S322">
        <f t="shared" si="50"/>
        <v>281176.98859999992</v>
      </c>
    </row>
    <row r="323" spans="1:19" x14ac:dyDescent="0.3">
      <c r="A323" t="s">
        <v>13</v>
      </c>
      <c r="B323" t="s">
        <v>24</v>
      </c>
      <c r="C323" t="s">
        <v>15</v>
      </c>
      <c r="D323">
        <v>0</v>
      </c>
      <c r="E323">
        <v>23</v>
      </c>
      <c r="F323">
        <v>7</v>
      </c>
      <c r="G323">
        <v>20260206</v>
      </c>
      <c r="H323">
        <v>20260307</v>
      </c>
      <c r="I323">
        <v>192499.46170000001</v>
      </c>
      <c r="J323">
        <f t="shared" si="41"/>
        <v>30</v>
      </c>
      <c r="K323">
        <f t="shared" si="42"/>
        <v>6416.6487233333337</v>
      </c>
      <c r="L323">
        <f t="shared" si="43"/>
        <v>0</v>
      </c>
      <c r="M323">
        <f t="shared" si="44"/>
        <v>147582.92063666668</v>
      </c>
      <c r="N323">
        <f t="shared" si="45"/>
        <v>33115.530515299717</v>
      </c>
      <c r="O323">
        <f t="shared" si="46"/>
        <v>180698.45115196641</v>
      </c>
      <c r="P323">
        <f t="shared" si="47"/>
        <v>0</v>
      </c>
      <c r="Q323">
        <f t="shared" si="48"/>
        <v>157221.23016306217</v>
      </c>
      <c r="R323">
        <f t="shared" si="49"/>
        <v>35278.231536937819</v>
      </c>
      <c r="S323">
        <f t="shared" si="50"/>
        <v>192499.46169999999</v>
      </c>
    </row>
    <row r="324" spans="1:19" x14ac:dyDescent="0.3">
      <c r="A324" t="s">
        <v>13</v>
      </c>
      <c r="B324" t="s">
        <v>24</v>
      </c>
      <c r="C324" t="s">
        <v>15</v>
      </c>
      <c r="D324">
        <v>16</v>
      </c>
      <c r="E324">
        <v>20</v>
      </c>
      <c r="F324">
        <v>0</v>
      </c>
      <c r="G324">
        <v>20260116</v>
      </c>
      <c r="H324">
        <v>20260220</v>
      </c>
      <c r="I324">
        <v>568810.85719999997</v>
      </c>
      <c r="J324">
        <f t="shared" si="41"/>
        <v>36</v>
      </c>
      <c r="K324">
        <f t="shared" si="42"/>
        <v>15800.301588888888</v>
      </c>
      <c r="L324">
        <f t="shared" si="43"/>
        <v>306612.95085905661</v>
      </c>
      <c r="M324">
        <f t="shared" si="44"/>
        <v>316006.03177777777</v>
      </c>
      <c r="N324">
        <f t="shared" si="45"/>
        <v>0</v>
      </c>
      <c r="O324">
        <f t="shared" si="46"/>
        <v>622618.98263683438</v>
      </c>
      <c r="P324">
        <f t="shared" si="47"/>
        <v>280114.7736744954</v>
      </c>
      <c r="Q324">
        <f t="shared" si="48"/>
        <v>288696.08352550451</v>
      </c>
      <c r="R324">
        <f t="shared" si="49"/>
        <v>0</v>
      </c>
      <c r="S324">
        <f t="shared" si="50"/>
        <v>568810.85719999997</v>
      </c>
    </row>
    <row r="325" spans="1:19" x14ac:dyDescent="0.3">
      <c r="A325" t="s">
        <v>13</v>
      </c>
      <c r="B325" t="s">
        <v>24</v>
      </c>
      <c r="C325" t="s">
        <v>15</v>
      </c>
      <c r="D325">
        <v>0</v>
      </c>
      <c r="E325">
        <v>21</v>
      </c>
      <c r="F325">
        <v>5</v>
      </c>
      <c r="G325">
        <v>20260208</v>
      </c>
      <c r="H325">
        <v>20260305</v>
      </c>
      <c r="I325">
        <v>255857.00440000001</v>
      </c>
      <c r="J325">
        <f t="shared" si="41"/>
        <v>26</v>
      </c>
      <c r="K325">
        <f t="shared" si="42"/>
        <v>9840.6540153846163</v>
      </c>
      <c r="L325">
        <f t="shared" si="43"/>
        <v>0</v>
      </c>
      <c r="M325">
        <f t="shared" si="44"/>
        <v>206653.73432307693</v>
      </c>
      <c r="N325">
        <f t="shared" si="45"/>
        <v>36275.998843886919</v>
      </c>
      <c r="O325">
        <f t="shared" si="46"/>
        <v>242929.73316696385</v>
      </c>
      <c r="P325">
        <f t="shared" si="47"/>
        <v>0</v>
      </c>
      <c r="Q325">
        <f t="shared" si="48"/>
        <v>217650.61329745149</v>
      </c>
      <c r="R325">
        <f t="shared" si="49"/>
        <v>38206.391102548507</v>
      </c>
      <c r="S325">
        <f t="shared" si="50"/>
        <v>255857.00440000001</v>
      </c>
    </row>
    <row r="326" spans="1:19" x14ac:dyDescent="0.3">
      <c r="A326" t="s">
        <v>13</v>
      </c>
      <c r="B326" t="s">
        <v>24</v>
      </c>
      <c r="C326" t="s">
        <v>14</v>
      </c>
      <c r="D326">
        <v>16</v>
      </c>
      <c r="E326">
        <v>20</v>
      </c>
      <c r="F326">
        <v>0</v>
      </c>
      <c r="G326">
        <v>20260116</v>
      </c>
      <c r="H326">
        <v>20260220</v>
      </c>
      <c r="I326">
        <v>952855.64339999994</v>
      </c>
      <c r="J326">
        <f t="shared" si="41"/>
        <v>36</v>
      </c>
      <c r="K326">
        <f t="shared" si="42"/>
        <v>26468.212316666664</v>
      </c>
      <c r="L326">
        <f t="shared" si="43"/>
        <v>513629.22642465157</v>
      </c>
      <c r="M326">
        <f t="shared" si="44"/>
        <v>529364.24633333331</v>
      </c>
      <c r="N326">
        <f t="shared" si="45"/>
        <v>0</v>
      </c>
      <c r="O326">
        <f t="shared" si="46"/>
        <v>1042993.4727579849</v>
      </c>
      <c r="P326">
        <f t="shared" si="47"/>
        <v>469240.2395575383</v>
      </c>
      <c r="Q326">
        <f t="shared" si="48"/>
        <v>483615.4038424617</v>
      </c>
      <c r="R326">
        <f t="shared" si="49"/>
        <v>0</v>
      </c>
      <c r="S326">
        <f t="shared" si="50"/>
        <v>952855.64339999994</v>
      </c>
    </row>
    <row r="327" spans="1:19" x14ac:dyDescent="0.3">
      <c r="A327" t="s">
        <v>13</v>
      </c>
      <c r="B327" t="s">
        <v>24</v>
      </c>
      <c r="C327" t="s">
        <v>15</v>
      </c>
      <c r="D327">
        <v>0</v>
      </c>
      <c r="E327">
        <v>22</v>
      </c>
      <c r="F327">
        <v>3</v>
      </c>
      <c r="G327">
        <v>20260207</v>
      </c>
      <c r="H327">
        <v>20260303</v>
      </c>
      <c r="I327">
        <v>438578.71029999998</v>
      </c>
      <c r="J327">
        <f t="shared" si="41"/>
        <v>25</v>
      </c>
      <c r="K327">
        <f t="shared" si="42"/>
        <v>17543.148411999999</v>
      </c>
      <c r="L327">
        <f t="shared" si="43"/>
        <v>0</v>
      </c>
      <c r="M327">
        <f t="shared" si="44"/>
        <v>385949.26506399998</v>
      </c>
      <c r="N327">
        <f t="shared" si="45"/>
        <v>38802.008312674669</v>
      </c>
      <c r="O327">
        <f t="shared" si="46"/>
        <v>424751.27337667462</v>
      </c>
      <c r="P327">
        <f t="shared" si="47"/>
        <v>0</v>
      </c>
      <c r="Q327">
        <f t="shared" si="48"/>
        <v>398513.53373787773</v>
      </c>
      <c r="R327">
        <f t="shared" si="49"/>
        <v>40065.176562122273</v>
      </c>
      <c r="S327">
        <f t="shared" si="50"/>
        <v>438578.71030000004</v>
      </c>
    </row>
    <row r="328" spans="1:19" x14ac:dyDescent="0.3">
      <c r="A328" t="s">
        <v>13</v>
      </c>
      <c r="B328" t="s">
        <v>24</v>
      </c>
      <c r="C328" t="s">
        <v>14</v>
      </c>
      <c r="D328">
        <v>0</v>
      </c>
      <c r="E328">
        <v>24</v>
      </c>
      <c r="F328">
        <v>3</v>
      </c>
      <c r="G328">
        <v>20260205</v>
      </c>
      <c r="H328">
        <v>20260303</v>
      </c>
      <c r="I328">
        <v>542035.47030000004</v>
      </c>
      <c r="J328">
        <f t="shared" si="41"/>
        <v>27</v>
      </c>
      <c r="K328">
        <f t="shared" si="42"/>
        <v>20075.387788888889</v>
      </c>
      <c r="L328">
        <f t="shared" si="43"/>
        <v>0</v>
      </c>
      <c r="M328">
        <f t="shared" si="44"/>
        <v>481809.30693333334</v>
      </c>
      <c r="N328">
        <f t="shared" si="45"/>
        <v>44402.82585375612</v>
      </c>
      <c r="O328">
        <f t="shared" si="46"/>
        <v>526212.13278708945</v>
      </c>
      <c r="P328">
        <f t="shared" si="47"/>
        <v>0</v>
      </c>
      <c r="Q328">
        <f t="shared" si="48"/>
        <v>496297.43977072719</v>
      </c>
      <c r="R328">
        <f t="shared" si="49"/>
        <v>45738.030529272895</v>
      </c>
      <c r="S328">
        <f t="shared" si="50"/>
        <v>542035.47030000004</v>
      </c>
    </row>
    <row r="329" spans="1:19" x14ac:dyDescent="0.3">
      <c r="A329" t="s">
        <v>13</v>
      </c>
      <c r="B329" t="s">
        <v>24</v>
      </c>
      <c r="C329" t="s">
        <v>15</v>
      </c>
      <c r="D329">
        <v>0</v>
      </c>
      <c r="E329">
        <v>19</v>
      </c>
      <c r="F329">
        <v>0</v>
      </c>
      <c r="G329">
        <v>20260201</v>
      </c>
      <c r="H329">
        <v>20260219</v>
      </c>
      <c r="I329">
        <v>4849.2605000000003</v>
      </c>
      <c r="J329">
        <f t="shared" si="41"/>
        <v>19</v>
      </c>
      <c r="K329">
        <f t="shared" si="42"/>
        <v>255.22423684210528</v>
      </c>
      <c r="L329">
        <f t="shared" si="43"/>
        <v>0</v>
      </c>
      <c r="M329">
        <f t="shared" si="44"/>
        <v>4849.2605000000003</v>
      </c>
      <c r="N329">
        <f t="shared" si="45"/>
        <v>0</v>
      </c>
      <c r="O329">
        <f t="shared" si="46"/>
        <v>4849.2605000000003</v>
      </c>
      <c r="P329">
        <f t="shared" si="47"/>
        <v>0</v>
      </c>
      <c r="Q329">
        <f t="shared" si="48"/>
        <v>4849.2605000000003</v>
      </c>
      <c r="R329">
        <f t="shared" si="49"/>
        <v>0</v>
      </c>
      <c r="S329">
        <f t="shared" si="50"/>
        <v>4849.2605000000003</v>
      </c>
    </row>
    <row r="330" spans="1:19" x14ac:dyDescent="0.3">
      <c r="A330" t="s">
        <v>13</v>
      </c>
      <c r="B330" t="s">
        <v>24</v>
      </c>
      <c r="C330" t="s">
        <v>14</v>
      </c>
      <c r="D330">
        <v>25</v>
      </c>
      <c r="E330">
        <v>6</v>
      </c>
      <c r="F330">
        <v>0</v>
      </c>
      <c r="G330">
        <v>20260107</v>
      </c>
      <c r="H330">
        <v>20260206</v>
      </c>
      <c r="I330">
        <v>198713.63519999999</v>
      </c>
      <c r="J330">
        <f t="shared" si="41"/>
        <v>31</v>
      </c>
      <c r="K330">
        <f t="shared" si="42"/>
        <v>6410.1172645161287</v>
      </c>
      <c r="L330">
        <f t="shared" si="43"/>
        <v>194361.8922763161</v>
      </c>
      <c r="M330">
        <f t="shared" si="44"/>
        <v>38460.703587096774</v>
      </c>
      <c r="N330">
        <f t="shared" si="45"/>
        <v>0</v>
      </c>
      <c r="O330">
        <f t="shared" si="46"/>
        <v>232822.59586341286</v>
      </c>
      <c r="P330">
        <f t="shared" si="47"/>
        <v>165887.49908636734</v>
      </c>
      <c r="Q330">
        <f t="shared" si="48"/>
        <v>32826.13611363266</v>
      </c>
      <c r="R330">
        <f t="shared" si="49"/>
        <v>0</v>
      </c>
      <c r="S330">
        <f t="shared" si="50"/>
        <v>198713.63520000002</v>
      </c>
    </row>
    <row r="331" spans="1:19" x14ac:dyDescent="0.3">
      <c r="A331" t="s">
        <v>13</v>
      </c>
      <c r="B331" t="s">
        <v>24</v>
      </c>
      <c r="C331" t="s">
        <v>14</v>
      </c>
      <c r="D331">
        <v>0</v>
      </c>
      <c r="E331">
        <v>22</v>
      </c>
      <c r="F331">
        <v>6</v>
      </c>
      <c r="G331">
        <v>20260207</v>
      </c>
      <c r="H331">
        <v>20260306</v>
      </c>
      <c r="I331">
        <v>209240.75760000001</v>
      </c>
      <c r="J331">
        <f t="shared" ref="J331:J394" si="51">IF(D331&lt;0,0,D331)+E331+F331</f>
        <v>28</v>
      </c>
      <c r="K331">
        <f t="shared" ref="K331:K394" si="52">I331/J331</f>
        <v>7472.8842000000004</v>
      </c>
      <c r="L331">
        <f t="shared" ref="L331:L394" si="53">IF(D331&lt;0,0,D331)*$K331*$B$6</f>
        <v>0</v>
      </c>
      <c r="M331">
        <f t="shared" ref="M331:M394" si="54">IF(E331&lt;0,0,E331)*$K331*$C$6</f>
        <v>164403.45240000001</v>
      </c>
      <c r="N331">
        <f t="shared" ref="N331:N394" si="55">IF(F331&lt;0,0,F331)*$K331*$D$6</f>
        <v>33057.112445074286</v>
      </c>
      <c r="O331">
        <f t="shared" ref="O331:O394" si="56">L331+M331+N331</f>
        <v>197460.56484507429</v>
      </c>
      <c r="P331">
        <f t="shared" ref="P331:P394" si="57">L331/$O331*$I331</f>
        <v>0</v>
      </c>
      <c r="Q331">
        <f t="shared" ref="Q331:Q394" si="58">M331/$O331*$I331</f>
        <v>174211.50881048772</v>
      </c>
      <c r="R331">
        <f t="shared" ref="R331:R394" si="59">N331/$O331*$I331</f>
        <v>35029.24878951229</v>
      </c>
      <c r="S331">
        <f t="shared" ref="S331:S394" si="60">P331+Q331+R331</f>
        <v>209240.75760000001</v>
      </c>
    </row>
    <row r="332" spans="1:19" x14ac:dyDescent="0.3">
      <c r="A332" t="s">
        <v>13</v>
      </c>
      <c r="B332" t="s">
        <v>24</v>
      </c>
      <c r="C332" t="s">
        <v>14</v>
      </c>
      <c r="D332">
        <v>27</v>
      </c>
      <c r="E332">
        <v>4</v>
      </c>
      <c r="F332">
        <v>0</v>
      </c>
      <c r="G332">
        <v>20260105</v>
      </c>
      <c r="H332">
        <v>20260204</v>
      </c>
      <c r="I332">
        <v>191041.98240000001</v>
      </c>
      <c r="J332">
        <f t="shared" si="51"/>
        <v>31</v>
      </c>
      <c r="K332">
        <f t="shared" si="52"/>
        <v>6162.6445935483871</v>
      </c>
      <c r="L332">
        <f t="shared" si="53"/>
        <v>201806.90499371075</v>
      </c>
      <c r="M332">
        <f t="shared" si="54"/>
        <v>24650.578374193548</v>
      </c>
      <c r="N332">
        <f t="shared" si="55"/>
        <v>0</v>
      </c>
      <c r="O332">
        <f t="shared" si="56"/>
        <v>226457.48336790429</v>
      </c>
      <c r="P332">
        <f t="shared" si="57"/>
        <v>170246.4878556146</v>
      </c>
      <c r="Q332">
        <f t="shared" si="58"/>
        <v>20795.494544385416</v>
      </c>
      <c r="R332">
        <f t="shared" si="59"/>
        <v>0</v>
      </c>
      <c r="S332">
        <f t="shared" si="60"/>
        <v>191041.98240000001</v>
      </c>
    </row>
    <row r="333" spans="1:19" x14ac:dyDescent="0.3">
      <c r="A333" t="s">
        <v>13</v>
      </c>
      <c r="B333" t="s">
        <v>24</v>
      </c>
      <c r="C333" t="s">
        <v>15</v>
      </c>
      <c r="D333">
        <v>0</v>
      </c>
      <c r="E333">
        <v>23</v>
      </c>
      <c r="F333">
        <v>9</v>
      </c>
      <c r="G333">
        <v>20260206</v>
      </c>
      <c r="H333">
        <v>20260309</v>
      </c>
      <c r="I333">
        <v>16392.807100000002</v>
      </c>
      <c r="J333">
        <f t="shared" si="51"/>
        <v>32</v>
      </c>
      <c r="K333">
        <f t="shared" si="52"/>
        <v>512.27522187500006</v>
      </c>
      <c r="L333">
        <f t="shared" si="53"/>
        <v>0</v>
      </c>
      <c r="M333">
        <f t="shared" si="54"/>
        <v>11782.330103125001</v>
      </c>
      <c r="N333">
        <f t="shared" si="55"/>
        <v>3399.157371998469</v>
      </c>
      <c r="O333">
        <f t="shared" si="56"/>
        <v>15181.487475123471</v>
      </c>
      <c r="P333">
        <f t="shared" si="57"/>
        <v>0</v>
      </c>
      <c r="Q333">
        <f t="shared" si="58"/>
        <v>12722.433482591297</v>
      </c>
      <c r="R333">
        <f t="shared" si="59"/>
        <v>3670.373617408703</v>
      </c>
      <c r="S333">
        <f t="shared" si="60"/>
        <v>16392.807100000002</v>
      </c>
    </row>
    <row r="334" spans="1:19" x14ac:dyDescent="0.3">
      <c r="A334" t="s">
        <v>13</v>
      </c>
      <c r="B334" t="s">
        <v>24</v>
      </c>
      <c r="C334" t="s">
        <v>15</v>
      </c>
      <c r="D334">
        <v>0</v>
      </c>
      <c r="E334">
        <v>23</v>
      </c>
      <c r="F334">
        <v>2</v>
      </c>
      <c r="G334">
        <v>20260206</v>
      </c>
      <c r="H334">
        <v>20260302</v>
      </c>
      <c r="I334">
        <v>314308.24589999998</v>
      </c>
      <c r="J334">
        <f t="shared" si="51"/>
        <v>25</v>
      </c>
      <c r="K334">
        <f t="shared" si="52"/>
        <v>12572.329835999999</v>
      </c>
      <c r="L334">
        <f t="shared" si="53"/>
        <v>0</v>
      </c>
      <c r="M334">
        <f t="shared" si="54"/>
        <v>289163.586228</v>
      </c>
      <c r="N334">
        <f t="shared" si="55"/>
        <v>18538.354133076413</v>
      </c>
      <c r="O334">
        <f t="shared" si="56"/>
        <v>307701.94036107638</v>
      </c>
      <c r="P334">
        <f t="shared" si="57"/>
        <v>0</v>
      </c>
      <c r="Q334">
        <f t="shared" si="58"/>
        <v>295371.87662458111</v>
      </c>
      <c r="R334">
        <f t="shared" si="59"/>
        <v>18936.369275418889</v>
      </c>
      <c r="S334">
        <f t="shared" si="60"/>
        <v>314308.24589999998</v>
      </c>
    </row>
    <row r="335" spans="1:19" x14ac:dyDescent="0.3">
      <c r="A335" t="s">
        <v>13</v>
      </c>
      <c r="B335" t="s">
        <v>24</v>
      </c>
      <c r="C335" t="s">
        <v>15</v>
      </c>
      <c r="D335">
        <v>27</v>
      </c>
      <c r="E335">
        <v>1</v>
      </c>
      <c r="F335">
        <v>0</v>
      </c>
      <c r="G335">
        <v>20260105</v>
      </c>
      <c r="H335">
        <v>20260201</v>
      </c>
      <c r="I335">
        <v>887932.07129999995</v>
      </c>
      <c r="J335">
        <f t="shared" si="51"/>
        <v>28</v>
      </c>
      <c r="K335">
        <f t="shared" si="52"/>
        <v>31711.859689285713</v>
      </c>
      <c r="L335">
        <f t="shared" si="53"/>
        <v>1038462.0041514842</v>
      </c>
      <c r="M335">
        <f t="shared" si="54"/>
        <v>31711.859689285713</v>
      </c>
      <c r="N335">
        <f t="shared" si="55"/>
        <v>0</v>
      </c>
      <c r="O335">
        <f t="shared" si="56"/>
        <v>1070173.86384077</v>
      </c>
      <c r="P335">
        <f t="shared" si="57"/>
        <v>861620.48006226809</v>
      </c>
      <c r="Q335">
        <f t="shared" si="58"/>
        <v>26311.591237731845</v>
      </c>
      <c r="R335">
        <f t="shared" si="59"/>
        <v>0</v>
      </c>
      <c r="S335">
        <f t="shared" si="60"/>
        <v>887932.07129999995</v>
      </c>
    </row>
    <row r="336" spans="1:19" x14ac:dyDescent="0.3">
      <c r="A336" t="s">
        <v>13</v>
      </c>
      <c r="B336" t="s">
        <v>24</v>
      </c>
      <c r="C336" t="s">
        <v>15</v>
      </c>
      <c r="D336">
        <v>0</v>
      </c>
      <c r="E336">
        <v>21</v>
      </c>
      <c r="F336">
        <v>7</v>
      </c>
      <c r="G336">
        <v>20260208</v>
      </c>
      <c r="H336">
        <v>20260307</v>
      </c>
      <c r="I336">
        <v>261803.01079999999</v>
      </c>
      <c r="J336">
        <f t="shared" si="51"/>
        <v>28</v>
      </c>
      <c r="K336">
        <f t="shared" si="52"/>
        <v>9350.1075285714287</v>
      </c>
      <c r="L336">
        <f t="shared" si="53"/>
        <v>0</v>
      </c>
      <c r="M336">
        <f t="shared" si="54"/>
        <v>196352.25810000001</v>
      </c>
      <c r="N336">
        <f t="shared" si="55"/>
        <v>48254.748628796922</v>
      </c>
      <c r="O336">
        <f t="shared" si="56"/>
        <v>244607.00672879693</v>
      </c>
      <c r="P336">
        <f t="shared" si="57"/>
        <v>0</v>
      </c>
      <c r="Q336">
        <f t="shared" si="58"/>
        <v>210155.92740135046</v>
      </c>
      <c r="R336">
        <f t="shared" si="59"/>
        <v>51647.083398649542</v>
      </c>
      <c r="S336">
        <f t="shared" si="60"/>
        <v>261803.01079999999</v>
      </c>
    </row>
    <row r="337" spans="1:19" x14ac:dyDescent="0.3">
      <c r="A337" t="s">
        <v>13</v>
      </c>
      <c r="B337" t="s">
        <v>24</v>
      </c>
      <c r="C337" t="s">
        <v>15</v>
      </c>
      <c r="D337">
        <v>26</v>
      </c>
      <c r="E337">
        <v>7</v>
      </c>
      <c r="F337">
        <v>0</v>
      </c>
      <c r="G337">
        <v>20260106</v>
      </c>
      <c r="H337">
        <v>20260207</v>
      </c>
      <c r="I337">
        <v>231712.06479999999</v>
      </c>
      <c r="J337">
        <f t="shared" si="51"/>
        <v>33</v>
      </c>
      <c r="K337">
        <f t="shared" si="52"/>
        <v>7021.5777212121211</v>
      </c>
      <c r="L337">
        <f t="shared" si="53"/>
        <v>221418.13626767555</v>
      </c>
      <c r="M337">
        <f t="shared" si="54"/>
        <v>49151.044048484851</v>
      </c>
      <c r="N337">
        <f t="shared" si="55"/>
        <v>0</v>
      </c>
      <c r="O337">
        <f t="shared" si="56"/>
        <v>270569.18031616043</v>
      </c>
      <c r="P337">
        <f t="shared" si="57"/>
        <v>189619.72490289033</v>
      </c>
      <c r="Q337">
        <f t="shared" si="58"/>
        <v>42092.339897109654</v>
      </c>
      <c r="R337">
        <f t="shared" si="59"/>
        <v>0</v>
      </c>
      <c r="S337">
        <f t="shared" si="60"/>
        <v>231712.06479999999</v>
      </c>
    </row>
    <row r="338" spans="1:19" x14ac:dyDescent="0.3">
      <c r="A338" t="s">
        <v>13</v>
      </c>
      <c r="B338" t="s">
        <v>24</v>
      </c>
      <c r="C338" t="s">
        <v>15</v>
      </c>
      <c r="D338">
        <v>0</v>
      </c>
      <c r="E338">
        <v>21</v>
      </c>
      <c r="F338">
        <v>1</v>
      </c>
      <c r="G338">
        <v>20260208</v>
      </c>
      <c r="H338">
        <v>20260301</v>
      </c>
      <c r="I338">
        <v>107859.1097</v>
      </c>
      <c r="J338">
        <f t="shared" si="51"/>
        <v>22</v>
      </c>
      <c r="K338">
        <f t="shared" si="52"/>
        <v>4902.6868045454548</v>
      </c>
      <c r="L338">
        <f t="shared" si="53"/>
        <v>0</v>
      </c>
      <c r="M338">
        <f t="shared" si="54"/>
        <v>102956.42289545455</v>
      </c>
      <c r="N338">
        <f t="shared" si="55"/>
        <v>3614.5943262629671</v>
      </c>
      <c r="O338">
        <f t="shared" si="56"/>
        <v>106571.01722171753</v>
      </c>
      <c r="P338">
        <f t="shared" si="57"/>
        <v>0</v>
      </c>
      <c r="Q338">
        <f t="shared" si="58"/>
        <v>104200.82683734992</v>
      </c>
      <c r="R338">
        <f t="shared" si="59"/>
        <v>3658.2828626500723</v>
      </c>
      <c r="S338">
        <f t="shared" si="60"/>
        <v>107859.10969999999</v>
      </c>
    </row>
    <row r="339" spans="1:19" x14ac:dyDescent="0.3">
      <c r="A339" t="s">
        <v>13</v>
      </c>
      <c r="B339" t="s">
        <v>24</v>
      </c>
      <c r="C339" t="s">
        <v>15</v>
      </c>
      <c r="D339">
        <v>0</v>
      </c>
      <c r="E339">
        <v>9</v>
      </c>
      <c r="F339">
        <v>18</v>
      </c>
      <c r="G339">
        <v>20260220</v>
      </c>
      <c r="H339">
        <v>20260318</v>
      </c>
      <c r="I339">
        <v>60321.000699999997</v>
      </c>
      <c r="J339">
        <f t="shared" si="51"/>
        <v>27</v>
      </c>
      <c r="K339">
        <f t="shared" si="52"/>
        <v>2234.1111370370368</v>
      </c>
      <c r="L339">
        <f t="shared" si="53"/>
        <v>0</v>
      </c>
      <c r="M339">
        <f t="shared" si="54"/>
        <v>20107.000233333332</v>
      </c>
      <c r="N339">
        <f t="shared" si="55"/>
        <v>29648.497592867596</v>
      </c>
      <c r="O339">
        <f t="shared" si="56"/>
        <v>49755.497826200924</v>
      </c>
      <c r="P339">
        <f t="shared" si="57"/>
        <v>0</v>
      </c>
      <c r="Q339">
        <f t="shared" si="58"/>
        <v>24376.690579731436</v>
      </c>
      <c r="R339">
        <f t="shared" si="59"/>
        <v>35944.310120268565</v>
      </c>
      <c r="S339">
        <f t="shared" si="60"/>
        <v>60321.000700000004</v>
      </c>
    </row>
    <row r="340" spans="1:19" x14ac:dyDescent="0.3">
      <c r="A340" t="s">
        <v>13</v>
      </c>
      <c r="B340" t="s">
        <v>24</v>
      </c>
      <c r="C340" t="s">
        <v>14</v>
      </c>
      <c r="D340">
        <v>0</v>
      </c>
      <c r="E340">
        <v>23</v>
      </c>
      <c r="F340">
        <v>3</v>
      </c>
      <c r="G340">
        <v>20260206</v>
      </c>
      <c r="H340">
        <v>20260303</v>
      </c>
      <c r="I340">
        <v>71668.214099999997</v>
      </c>
      <c r="J340">
        <f t="shared" si="51"/>
        <v>26</v>
      </c>
      <c r="K340">
        <f t="shared" si="52"/>
        <v>2756.469773076923</v>
      </c>
      <c r="L340">
        <f t="shared" si="53"/>
        <v>0</v>
      </c>
      <c r="M340">
        <f t="shared" si="54"/>
        <v>63398.804780769227</v>
      </c>
      <c r="N340">
        <f t="shared" si="55"/>
        <v>6096.771260021148</v>
      </c>
      <c r="O340">
        <f t="shared" si="56"/>
        <v>69495.576040790373</v>
      </c>
      <c r="P340">
        <f t="shared" si="57"/>
        <v>0</v>
      </c>
      <c r="Q340">
        <f t="shared" si="58"/>
        <v>65380.839667338878</v>
      </c>
      <c r="R340">
        <f t="shared" si="59"/>
        <v>6287.374432661124</v>
      </c>
      <c r="S340">
        <f t="shared" si="60"/>
        <v>71668.214099999997</v>
      </c>
    </row>
    <row r="341" spans="1:19" x14ac:dyDescent="0.3">
      <c r="A341" t="s">
        <v>13</v>
      </c>
      <c r="B341" t="s">
        <v>24</v>
      </c>
      <c r="C341" t="s">
        <v>14</v>
      </c>
      <c r="D341">
        <v>24</v>
      </c>
      <c r="E341">
        <v>2</v>
      </c>
      <c r="F341">
        <v>0</v>
      </c>
      <c r="G341">
        <v>20260108</v>
      </c>
      <c r="H341">
        <v>20260202</v>
      </c>
      <c r="I341">
        <v>27706.144499999999</v>
      </c>
      <c r="J341">
        <f t="shared" si="51"/>
        <v>26</v>
      </c>
      <c r="K341">
        <f t="shared" si="52"/>
        <v>1065.6209423076923</v>
      </c>
      <c r="L341">
        <f t="shared" si="53"/>
        <v>31018.380862546557</v>
      </c>
      <c r="M341">
        <f t="shared" si="54"/>
        <v>2131.2418846153846</v>
      </c>
      <c r="N341">
        <f t="shared" si="55"/>
        <v>0</v>
      </c>
      <c r="O341">
        <f t="shared" si="56"/>
        <v>33149.622747161942</v>
      </c>
      <c r="P341">
        <f t="shared" si="57"/>
        <v>25924.872475579705</v>
      </c>
      <c r="Q341">
        <f t="shared" si="58"/>
        <v>1781.2720244202937</v>
      </c>
      <c r="R341">
        <f t="shared" si="59"/>
        <v>0</v>
      </c>
      <c r="S341">
        <f t="shared" si="60"/>
        <v>27706.144499999999</v>
      </c>
    </row>
    <row r="342" spans="1:19" x14ac:dyDescent="0.3">
      <c r="A342" t="s">
        <v>13</v>
      </c>
      <c r="B342" t="s">
        <v>24</v>
      </c>
      <c r="C342" t="s">
        <v>15</v>
      </c>
      <c r="D342">
        <v>0</v>
      </c>
      <c r="E342">
        <v>10</v>
      </c>
      <c r="F342">
        <v>0</v>
      </c>
      <c r="G342">
        <v>20260201</v>
      </c>
      <c r="H342">
        <v>20260210</v>
      </c>
      <c r="I342">
        <v>42.163499999999999</v>
      </c>
      <c r="J342">
        <f t="shared" si="51"/>
        <v>10</v>
      </c>
      <c r="K342">
        <f t="shared" si="52"/>
        <v>4.2163500000000003</v>
      </c>
      <c r="L342">
        <f t="shared" si="53"/>
        <v>0</v>
      </c>
      <c r="M342">
        <f t="shared" si="54"/>
        <v>42.163499999999999</v>
      </c>
      <c r="N342">
        <f t="shared" si="55"/>
        <v>0</v>
      </c>
      <c r="O342">
        <f t="shared" si="56"/>
        <v>42.163499999999999</v>
      </c>
      <c r="P342">
        <f t="shared" si="57"/>
        <v>0</v>
      </c>
      <c r="Q342">
        <f t="shared" si="58"/>
        <v>42.163499999999999</v>
      </c>
      <c r="R342">
        <f t="shared" si="59"/>
        <v>0</v>
      </c>
      <c r="S342">
        <f t="shared" si="60"/>
        <v>42.163499999999999</v>
      </c>
    </row>
    <row r="343" spans="1:19" x14ac:dyDescent="0.3">
      <c r="A343" t="s">
        <v>13</v>
      </c>
      <c r="B343" t="s">
        <v>24</v>
      </c>
      <c r="C343" t="s">
        <v>14</v>
      </c>
      <c r="D343">
        <v>0</v>
      </c>
      <c r="E343">
        <v>20</v>
      </c>
      <c r="F343">
        <v>1</v>
      </c>
      <c r="G343">
        <v>20260209</v>
      </c>
      <c r="H343">
        <v>20260301</v>
      </c>
      <c r="I343">
        <v>16803.109700000001</v>
      </c>
      <c r="J343">
        <f t="shared" si="51"/>
        <v>21</v>
      </c>
      <c r="K343">
        <f t="shared" si="52"/>
        <v>800.14808095238095</v>
      </c>
      <c r="L343">
        <f t="shared" si="53"/>
        <v>0</v>
      </c>
      <c r="M343">
        <f t="shared" si="54"/>
        <v>16002.961619047619</v>
      </c>
      <c r="N343">
        <f t="shared" si="55"/>
        <v>589.92361308888962</v>
      </c>
      <c r="O343">
        <f t="shared" si="56"/>
        <v>16592.885232136508</v>
      </c>
      <c r="P343">
        <f t="shared" si="57"/>
        <v>0</v>
      </c>
      <c r="Q343">
        <f t="shared" si="58"/>
        <v>16205.712017398384</v>
      </c>
      <c r="R343">
        <f t="shared" si="59"/>
        <v>597.3976826016185</v>
      </c>
      <c r="S343">
        <f t="shared" si="60"/>
        <v>16803.109700000001</v>
      </c>
    </row>
    <row r="344" spans="1:19" x14ac:dyDescent="0.3">
      <c r="A344" t="s">
        <v>13</v>
      </c>
      <c r="B344" t="s">
        <v>24</v>
      </c>
      <c r="C344" t="s">
        <v>14</v>
      </c>
      <c r="D344">
        <v>24</v>
      </c>
      <c r="E344">
        <v>9</v>
      </c>
      <c r="F344">
        <v>0</v>
      </c>
      <c r="G344">
        <v>20260108</v>
      </c>
      <c r="H344">
        <v>20260209</v>
      </c>
      <c r="I344">
        <v>34183.3439</v>
      </c>
      <c r="J344">
        <f t="shared" si="51"/>
        <v>33</v>
      </c>
      <c r="K344">
        <f t="shared" si="52"/>
        <v>1035.8589060606062</v>
      </c>
      <c r="L344">
        <f t="shared" si="53"/>
        <v>30152.059510455041</v>
      </c>
      <c r="M344">
        <f t="shared" si="54"/>
        <v>9322.7301545454557</v>
      </c>
      <c r="N344">
        <f t="shared" si="55"/>
        <v>0</v>
      </c>
      <c r="O344">
        <f t="shared" si="56"/>
        <v>39474.789665000499</v>
      </c>
      <c r="P344">
        <f t="shared" si="57"/>
        <v>26110.290346980553</v>
      </c>
      <c r="Q344">
        <f t="shared" si="58"/>
        <v>8073.0535530194429</v>
      </c>
      <c r="R344">
        <f t="shared" si="59"/>
        <v>0</v>
      </c>
      <c r="S344">
        <f t="shared" si="60"/>
        <v>34183.343899999993</v>
      </c>
    </row>
    <row r="345" spans="1:19" x14ac:dyDescent="0.3">
      <c r="A345" t="s">
        <v>13</v>
      </c>
      <c r="B345" t="s">
        <v>24</v>
      </c>
      <c r="C345" t="s">
        <v>14</v>
      </c>
      <c r="D345">
        <v>0</v>
      </c>
      <c r="E345">
        <v>10</v>
      </c>
      <c r="F345">
        <v>15</v>
      </c>
      <c r="G345">
        <v>20260219</v>
      </c>
      <c r="H345">
        <v>20260315</v>
      </c>
      <c r="I345">
        <v>46196.012900000002</v>
      </c>
      <c r="J345">
        <f t="shared" si="51"/>
        <v>25</v>
      </c>
      <c r="K345">
        <f t="shared" si="52"/>
        <v>1847.840516</v>
      </c>
      <c r="L345">
        <f t="shared" si="53"/>
        <v>0</v>
      </c>
      <c r="M345">
        <f t="shared" si="54"/>
        <v>18478.405159999998</v>
      </c>
      <c r="N345">
        <f t="shared" si="55"/>
        <v>20435.306530635149</v>
      </c>
      <c r="O345">
        <f t="shared" si="56"/>
        <v>38913.711690635144</v>
      </c>
      <c r="P345">
        <f t="shared" si="57"/>
        <v>0</v>
      </c>
      <c r="Q345">
        <f t="shared" si="58"/>
        <v>21936.448774898494</v>
      </c>
      <c r="R345">
        <f t="shared" si="59"/>
        <v>24259.564125101515</v>
      </c>
      <c r="S345">
        <f t="shared" si="60"/>
        <v>46196.012900000009</v>
      </c>
    </row>
    <row r="346" spans="1:19" x14ac:dyDescent="0.3">
      <c r="A346" t="s">
        <v>13</v>
      </c>
      <c r="B346" t="s">
        <v>24</v>
      </c>
      <c r="C346" t="s">
        <v>14</v>
      </c>
      <c r="D346">
        <v>0</v>
      </c>
      <c r="E346">
        <v>25</v>
      </c>
      <c r="F346">
        <v>7</v>
      </c>
      <c r="G346">
        <v>20260204</v>
      </c>
      <c r="H346">
        <v>20260307</v>
      </c>
      <c r="I346">
        <v>380.12099999999998</v>
      </c>
      <c r="J346">
        <f t="shared" si="51"/>
        <v>32</v>
      </c>
      <c r="K346">
        <f t="shared" si="52"/>
        <v>11.878781249999999</v>
      </c>
      <c r="L346">
        <f t="shared" si="53"/>
        <v>0</v>
      </c>
      <c r="M346">
        <f t="shared" si="54"/>
        <v>296.96953124999999</v>
      </c>
      <c r="N346">
        <f t="shared" si="55"/>
        <v>61.304920984453595</v>
      </c>
      <c r="O346">
        <f t="shared" si="56"/>
        <v>358.27445223445358</v>
      </c>
      <c r="P346">
        <f t="shared" si="57"/>
        <v>0</v>
      </c>
      <c r="Q346">
        <f t="shared" si="58"/>
        <v>315.07788089341659</v>
      </c>
      <c r="R346">
        <f t="shared" si="59"/>
        <v>65.04311910658339</v>
      </c>
      <c r="S346">
        <f t="shared" si="60"/>
        <v>380.12099999999998</v>
      </c>
    </row>
    <row r="347" spans="1:19" x14ac:dyDescent="0.3">
      <c r="A347" t="s">
        <v>13</v>
      </c>
      <c r="B347" t="s">
        <v>24</v>
      </c>
      <c r="C347" t="s">
        <v>14</v>
      </c>
      <c r="D347">
        <v>0</v>
      </c>
      <c r="E347">
        <v>21</v>
      </c>
      <c r="F347">
        <v>5</v>
      </c>
      <c r="G347">
        <v>20260208</v>
      </c>
      <c r="H347">
        <v>20260305</v>
      </c>
      <c r="I347">
        <v>22011.4761</v>
      </c>
      <c r="J347">
        <f t="shared" si="51"/>
        <v>26</v>
      </c>
      <c r="K347">
        <f t="shared" si="52"/>
        <v>846.59523461538458</v>
      </c>
      <c r="L347">
        <f t="shared" si="53"/>
        <v>0</v>
      </c>
      <c r="M347">
        <f t="shared" si="54"/>
        <v>17778.499926923076</v>
      </c>
      <c r="N347">
        <f t="shared" si="55"/>
        <v>3120.8380768325942</v>
      </c>
      <c r="O347">
        <f t="shared" si="56"/>
        <v>20899.338003755671</v>
      </c>
      <c r="P347">
        <f t="shared" si="57"/>
        <v>0</v>
      </c>
      <c r="Q347">
        <f t="shared" si="58"/>
        <v>18724.565637676933</v>
      </c>
      <c r="R347">
        <f t="shared" si="59"/>
        <v>3286.9104623230678</v>
      </c>
      <c r="S347">
        <f t="shared" si="60"/>
        <v>22011.4761</v>
      </c>
    </row>
    <row r="348" spans="1:19" x14ac:dyDescent="0.3">
      <c r="A348" t="s">
        <v>13</v>
      </c>
      <c r="B348" t="s">
        <v>24</v>
      </c>
      <c r="C348" t="s">
        <v>15</v>
      </c>
      <c r="D348">
        <v>0</v>
      </c>
      <c r="E348">
        <v>18</v>
      </c>
      <c r="F348">
        <v>6</v>
      </c>
      <c r="G348">
        <v>20260211</v>
      </c>
      <c r="H348">
        <v>20260306</v>
      </c>
      <c r="I348">
        <v>4481.0659999999998</v>
      </c>
      <c r="J348">
        <f t="shared" si="51"/>
        <v>24</v>
      </c>
      <c r="K348">
        <f t="shared" si="52"/>
        <v>186.71108333333333</v>
      </c>
      <c r="L348">
        <f t="shared" si="53"/>
        <v>0</v>
      </c>
      <c r="M348">
        <f t="shared" si="54"/>
        <v>3360.7995000000001</v>
      </c>
      <c r="N348">
        <f t="shared" si="55"/>
        <v>825.93669476259709</v>
      </c>
      <c r="O348">
        <f t="shared" si="56"/>
        <v>4186.7361947625968</v>
      </c>
      <c r="P348">
        <f t="shared" si="57"/>
        <v>0</v>
      </c>
      <c r="Q348">
        <f t="shared" si="58"/>
        <v>3597.065511580663</v>
      </c>
      <c r="R348">
        <f t="shared" si="59"/>
        <v>884.00048841933688</v>
      </c>
      <c r="S348">
        <f t="shared" si="60"/>
        <v>4481.0659999999998</v>
      </c>
    </row>
    <row r="349" spans="1:19" x14ac:dyDescent="0.3">
      <c r="A349" t="s">
        <v>13</v>
      </c>
      <c r="B349" t="s">
        <v>24</v>
      </c>
      <c r="C349" t="s">
        <v>15</v>
      </c>
      <c r="D349">
        <v>0</v>
      </c>
      <c r="E349">
        <v>9</v>
      </c>
      <c r="F349">
        <v>10</v>
      </c>
      <c r="G349">
        <v>20260220</v>
      </c>
      <c r="H349">
        <v>20260310</v>
      </c>
      <c r="I349">
        <v>8085.8872000000001</v>
      </c>
      <c r="J349">
        <f t="shared" si="51"/>
        <v>19</v>
      </c>
      <c r="K349">
        <f t="shared" si="52"/>
        <v>425.57301052631578</v>
      </c>
      <c r="L349">
        <f t="shared" si="53"/>
        <v>0</v>
      </c>
      <c r="M349">
        <f t="shared" si="54"/>
        <v>3830.1570947368418</v>
      </c>
      <c r="N349">
        <f t="shared" si="55"/>
        <v>3137.6138239809293</v>
      </c>
      <c r="O349">
        <f t="shared" si="56"/>
        <v>6967.7709187177716</v>
      </c>
      <c r="P349">
        <f t="shared" si="57"/>
        <v>0</v>
      </c>
      <c r="Q349">
        <f t="shared" si="58"/>
        <v>4444.7813493875656</v>
      </c>
      <c r="R349">
        <f t="shared" si="59"/>
        <v>3641.1058506124336</v>
      </c>
      <c r="S349">
        <f t="shared" si="60"/>
        <v>8085.8871999999992</v>
      </c>
    </row>
    <row r="350" spans="1:19" x14ac:dyDescent="0.3">
      <c r="A350" t="s">
        <v>13</v>
      </c>
      <c r="B350" t="s">
        <v>24</v>
      </c>
      <c r="C350" t="s">
        <v>14</v>
      </c>
      <c r="D350">
        <v>0</v>
      </c>
      <c r="E350">
        <v>6</v>
      </c>
      <c r="F350">
        <v>0</v>
      </c>
      <c r="G350">
        <v>20260220</v>
      </c>
      <c r="H350">
        <v>20260225</v>
      </c>
      <c r="I350">
        <v>6921.7875999999997</v>
      </c>
      <c r="J350">
        <f t="shared" si="51"/>
        <v>6</v>
      </c>
      <c r="K350">
        <f t="shared" si="52"/>
        <v>1153.6312666666665</v>
      </c>
      <c r="L350">
        <f t="shared" si="53"/>
        <v>0</v>
      </c>
      <c r="M350">
        <f t="shared" si="54"/>
        <v>6921.7875999999997</v>
      </c>
      <c r="N350">
        <f t="shared" si="55"/>
        <v>0</v>
      </c>
      <c r="O350">
        <f t="shared" si="56"/>
        <v>6921.7875999999997</v>
      </c>
      <c r="P350">
        <f t="shared" si="57"/>
        <v>0</v>
      </c>
      <c r="Q350">
        <f t="shared" si="58"/>
        <v>6921.7875999999997</v>
      </c>
      <c r="R350">
        <f t="shared" si="59"/>
        <v>0</v>
      </c>
      <c r="S350">
        <f t="shared" si="60"/>
        <v>6921.7875999999997</v>
      </c>
    </row>
    <row r="351" spans="1:19" x14ac:dyDescent="0.3">
      <c r="A351" t="s">
        <v>13</v>
      </c>
      <c r="B351" t="s">
        <v>24</v>
      </c>
      <c r="C351" t="s">
        <v>15</v>
      </c>
      <c r="D351">
        <v>0</v>
      </c>
      <c r="E351">
        <v>21</v>
      </c>
      <c r="F351">
        <v>9</v>
      </c>
      <c r="G351">
        <v>20260208</v>
      </c>
      <c r="H351">
        <v>20260309</v>
      </c>
      <c r="I351">
        <v>56046.427000000003</v>
      </c>
      <c r="J351">
        <f t="shared" si="51"/>
        <v>30</v>
      </c>
      <c r="K351">
        <f t="shared" si="52"/>
        <v>1868.2142333333334</v>
      </c>
      <c r="L351">
        <f t="shared" si="53"/>
        <v>0</v>
      </c>
      <c r="M351">
        <f t="shared" si="54"/>
        <v>39232.498899999999</v>
      </c>
      <c r="N351">
        <f t="shared" si="55"/>
        <v>12396.371935508163</v>
      </c>
      <c r="O351">
        <f t="shared" si="56"/>
        <v>51628.870835508162</v>
      </c>
      <c r="P351">
        <f t="shared" si="57"/>
        <v>0</v>
      </c>
      <c r="Q351">
        <f t="shared" si="58"/>
        <v>42589.375867468319</v>
      </c>
      <c r="R351">
        <f t="shared" si="59"/>
        <v>13457.05113253168</v>
      </c>
      <c r="S351">
        <f t="shared" si="60"/>
        <v>56046.426999999996</v>
      </c>
    </row>
    <row r="352" spans="1:19" x14ac:dyDescent="0.3">
      <c r="A352" t="s">
        <v>13</v>
      </c>
      <c r="B352" t="s">
        <v>24</v>
      </c>
      <c r="C352" t="s">
        <v>15</v>
      </c>
      <c r="D352">
        <v>0</v>
      </c>
      <c r="E352">
        <v>24</v>
      </c>
      <c r="F352">
        <v>0</v>
      </c>
      <c r="G352">
        <v>20260202</v>
      </c>
      <c r="H352">
        <v>20260225</v>
      </c>
      <c r="I352">
        <v>28129.006300000001</v>
      </c>
      <c r="J352">
        <f t="shared" si="51"/>
        <v>24</v>
      </c>
      <c r="K352">
        <f t="shared" si="52"/>
        <v>1172.0419291666667</v>
      </c>
      <c r="L352">
        <f t="shared" si="53"/>
        <v>0</v>
      </c>
      <c r="M352">
        <f t="shared" si="54"/>
        <v>28129.006300000001</v>
      </c>
      <c r="N352">
        <f t="shared" si="55"/>
        <v>0</v>
      </c>
      <c r="O352">
        <f t="shared" si="56"/>
        <v>28129.006300000001</v>
      </c>
      <c r="P352">
        <f t="shared" si="57"/>
        <v>0</v>
      </c>
      <c r="Q352">
        <f t="shared" si="58"/>
        <v>28129.006300000001</v>
      </c>
      <c r="R352">
        <f t="shared" si="59"/>
        <v>0</v>
      </c>
      <c r="S352">
        <f t="shared" si="60"/>
        <v>28129.006300000001</v>
      </c>
    </row>
    <row r="353" spans="1:19" x14ac:dyDescent="0.3">
      <c r="A353" t="s">
        <v>13</v>
      </c>
      <c r="B353" t="s">
        <v>24</v>
      </c>
      <c r="C353" t="s">
        <v>15</v>
      </c>
      <c r="D353">
        <v>26</v>
      </c>
      <c r="E353">
        <v>8</v>
      </c>
      <c r="F353">
        <v>0</v>
      </c>
      <c r="G353">
        <v>20260106</v>
      </c>
      <c r="H353">
        <v>20260208</v>
      </c>
      <c r="I353">
        <v>24084.9588</v>
      </c>
      <c r="J353">
        <f t="shared" si="51"/>
        <v>34</v>
      </c>
      <c r="K353">
        <f t="shared" si="52"/>
        <v>708.38114117647058</v>
      </c>
      <c r="L353">
        <f t="shared" si="53"/>
        <v>22338.061084565885</v>
      </c>
      <c r="M353">
        <f t="shared" si="54"/>
        <v>5667.0491294117646</v>
      </c>
      <c r="N353">
        <f t="shared" si="55"/>
        <v>0</v>
      </c>
      <c r="O353">
        <f t="shared" si="56"/>
        <v>28005.110213977649</v>
      </c>
      <c r="P353">
        <f t="shared" si="57"/>
        <v>19211.182415740877</v>
      </c>
      <c r="Q353">
        <f t="shared" si="58"/>
        <v>4873.776384259123</v>
      </c>
      <c r="R353">
        <f t="shared" si="59"/>
        <v>0</v>
      </c>
      <c r="S353">
        <f t="shared" si="60"/>
        <v>24084.9588</v>
      </c>
    </row>
    <row r="354" spans="1:19" x14ac:dyDescent="0.3">
      <c r="A354" t="s">
        <v>13</v>
      </c>
      <c r="B354" t="s">
        <v>24</v>
      </c>
      <c r="C354" t="s">
        <v>15</v>
      </c>
      <c r="D354">
        <v>0</v>
      </c>
      <c r="E354">
        <v>25</v>
      </c>
      <c r="F354">
        <v>10</v>
      </c>
      <c r="G354">
        <v>20260204</v>
      </c>
      <c r="H354">
        <v>20260310</v>
      </c>
      <c r="I354">
        <v>6082.5054</v>
      </c>
      <c r="J354">
        <f t="shared" si="51"/>
        <v>35</v>
      </c>
      <c r="K354">
        <f t="shared" si="52"/>
        <v>173.78586857142858</v>
      </c>
      <c r="L354">
        <f t="shared" si="53"/>
        <v>0</v>
      </c>
      <c r="M354">
        <f t="shared" si="54"/>
        <v>4344.6467142857146</v>
      </c>
      <c r="N354">
        <f t="shared" si="55"/>
        <v>1281.2676794703123</v>
      </c>
      <c r="O354">
        <f t="shared" si="56"/>
        <v>5625.9143937560266</v>
      </c>
      <c r="P354">
        <f t="shared" si="57"/>
        <v>0</v>
      </c>
      <c r="Q354">
        <f t="shared" si="58"/>
        <v>4697.2519045196696</v>
      </c>
      <c r="R354">
        <f t="shared" si="59"/>
        <v>1385.2534954803311</v>
      </c>
      <c r="S354">
        <f t="shared" si="60"/>
        <v>6082.5054000000009</v>
      </c>
    </row>
    <row r="355" spans="1:19" x14ac:dyDescent="0.3">
      <c r="A355" t="s">
        <v>13</v>
      </c>
      <c r="B355" t="s">
        <v>24</v>
      </c>
      <c r="C355" t="s">
        <v>15</v>
      </c>
      <c r="D355">
        <v>0</v>
      </c>
      <c r="E355">
        <v>20</v>
      </c>
      <c r="F355">
        <v>2</v>
      </c>
      <c r="G355">
        <v>20260209</v>
      </c>
      <c r="H355">
        <v>20260302</v>
      </c>
      <c r="I355">
        <v>295.60129999999998</v>
      </c>
      <c r="J355">
        <f t="shared" si="51"/>
        <v>22</v>
      </c>
      <c r="K355">
        <f t="shared" si="52"/>
        <v>13.436422727272726</v>
      </c>
      <c r="L355">
        <f t="shared" si="53"/>
        <v>0</v>
      </c>
      <c r="M355">
        <f t="shared" si="54"/>
        <v>268.7284545454545</v>
      </c>
      <c r="N355">
        <f t="shared" si="55"/>
        <v>19.812490290116997</v>
      </c>
      <c r="O355">
        <f t="shared" si="56"/>
        <v>288.54094483557151</v>
      </c>
      <c r="P355">
        <f t="shared" si="57"/>
        <v>0</v>
      </c>
      <c r="Q355">
        <f t="shared" si="58"/>
        <v>275.30401467249328</v>
      </c>
      <c r="R355">
        <f t="shared" si="59"/>
        <v>20.297285327506685</v>
      </c>
      <c r="S355">
        <f t="shared" si="60"/>
        <v>295.60129999999998</v>
      </c>
    </row>
    <row r="356" spans="1:19" x14ac:dyDescent="0.3">
      <c r="A356" t="s">
        <v>13</v>
      </c>
      <c r="B356" t="s">
        <v>24</v>
      </c>
      <c r="C356" t="s">
        <v>15</v>
      </c>
      <c r="D356">
        <v>29</v>
      </c>
      <c r="E356">
        <v>8</v>
      </c>
      <c r="F356">
        <v>0</v>
      </c>
      <c r="G356">
        <v>20260103</v>
      </c>
      <c r="H356">
        <v>20260208</v>
      </c>
      <c r="I356">
        <v>3025.6707999999999</v>
      </c>
      <c r="J356">
        <f t="shared" si="51"/>
        <v>37</v>
      </c>
      <c r="K356">
        <f t="shared" si="52"/>
        <v>81.77488648648648</v>
      </c>
      <c r="L356">
        <f t="shared" si="53"/>
        <v>2876.2265003739053</v>
      </c>
      <c r="M356">
        <f t="shared" si="54"/>
        <v>654.19909189189184</v>
      </c>
      <c r="N356">
        <f t="shared" si="55"/>
        <v>0</v>
      </c>
      <c r="O356">
        <f t="shared" si="56"/>
        <v>3530.4255922657971</v>
      </c>
      <c r="P356">
        <f t="shared" si="57"/>
        <v>2465.0043766486278</v>
      </c>
      <c r="Q356">
        <f t="shared" si="58"/>
        <v>560.66642335137203</v>
      </c>
      <c r="R356">
        <f t="shared" si="59"/>
        <v>0</v>
      </c>
      <c r="S356">
        <f t="shared" si="60"/>
        <v>3025.6707999999999</v>
      </c>
    </row>
    <row r="357" spans="1:19" x14ac:dyDescent="0.3">
      <c r="A357" t="s">
        <v>13</v>
      </c>
      <c r="B357" t="s">
        <v>24</v>
      </c>
      <c r="C357" t="s">
        <v>15</v>
      </c>
      <c r="D357">
        <v>0</v>
      </c>
      <c r="E357">
        <v>17</v>
      </c>
      <c r="F357">
        <v>0</v>
      </c>
      <c r="G357">
        <v>20260204</v>
      </c>
      <c r="H357">
        <v>20260220</v>
      </c>
      <c r="I357">
        <v>1812.2669000000001</v>
      </c>
      <c r="J357">
        <f t="shared" si="51"/>
        <v>17</v>
      </c>
      <c r="K357">
        <f t="shared" si="52"/>
        <v>106.60393529411765</v>
      </c>
      <c r="L357">
        <f t="shared" si="53"/>
        <v>0</v>
      </c>
      <c r="M357">
        <f t="shared" si="54"/>
        <v>1812.2669000000001</v>
      </c>
      <c r="N357">
        <f t="shared" si="55"/>
        <v>0</v>
      </c>
      <c r="O357">
        <f t="shared" si="56"/>
        <v>1812.2669000000001</v>
      </c>
      <c r="P357">
        <f t="shared" si="57"/>
        <v>0</v>
      </c>
      <c r="Q357">
        <f t="shared" si="58"/>
        <v>1812.2669000000001</v>
      </c>
      <c r="R357">
        <f t="shared" si="59"/>
        <v>0</v>
      </c>
      <c r="S357">
        <f t="shared" si="60"/>
        <v>1812.2669000000001</v>
      </c>
    </row>
    <row r="358" spans="1:19" x14ac:dyDescent="0.3">
      <c r="A358" t="s">
        <v>13</v>
      </c>
      <c r="B358" t="s">
        <v>24</v>
      </c>
      <c r="C358" t="s">
        <v>14</v>
      </c>
      <c r="D358">
        <v>0</v>
      </c>
      <c r="E358">
        <v>21</v>
      </c>
      <c r="F358">
        <v>1</v>
      </c>
      <c r="G358">
        <v>20260208</v>
      </c>
      <c r="H358">
        <v>20260301</v>
      </c>
      <c r="I358">
        <v>4854.7152999999998</v>
      </c>
      <c r="J358">
        <f t="shared" si="51"/>
        <v>22</v>
      </c>
      <c r="K358">
        <f t="shared" si="52"/>
        <v>220.66887727272726</v>
      </c>
      <c r="L358">
        <f t="shared" si="53"/>
        <v>0</v>
      </c>
      <c r="M358">
        <f t="shared" si="54"/>
        <v>4634.0464227272723</v>
      </c>
      <c r="N358">
        <f t="shared" si="55"/>
        <v>162.69211221759247</v>
      </c>
      <c r="O358">
        <f t="shared" si="56"/>
        <v>4796.738534944865</v>
      </c>
      <c r="P358">
        <f t="shared" si="57"/>
        <v>0</v>
      </c>
      <c r="Q358">
        <f t="shared" si="58"/>
        <v>4690.0567761680059</v>
      </c>
      <c r="R358">
        <f t="shared" si="59"/>
        <v>164.65852383199399</v>
      </c>
      <c r="S358">
        <f t="shared" si="60"/>
        <v>4854.7152999999998</v>
      </c>
    </row>
    <row r="359" spans="1:19" x14ac:dyDescent="0.3">
      <c r="A359" t="s">
        <v>13</v>
      </c>
      <c r="B359" t="s">
        <v>24</v>
      </c>
      <c r="C359" t="s">
        <v>15</v>
      </c>
      <c r="D359">
        <v>0</v>
      </c>
      <c r="E359">
        <v>19</v>
      </c>
      <c r="F359">
        <v>0</v>
      </c>
      <c r="G359">
        <v>20260205</v>
      </c>
      <c r="H359">
        <v>20260223</v>
      </c>
      <c r="I359">
        <v>716.51120000000003</v>
      </c>
      <c r="J359">
        <f t="shared" si="51"/>
        <v>19</v>
      </c>
      <c r="K359">
        <f t="shared" si="52"/>
        <v>37.711115789473688</v>
      </c>
      <c r="L359">
        <f t="shared" si="53"/>
        <v>0</v>
      </c>
      <c r="M359">
        <f t="shared" si="54"/>
        <v>716.51120000000003</v>
      </c>
      <c r="N359">
        <f t="shared" si="55"/>
        <v>0</v>
      </c>
      <c r="O359">
        <f t="shared" si="56"/>
        <v>716.51120000000003</v>
      </c>
      <c r="P359">
        <f t="shared" si="57"/>
        <v>0</v>
      </c>
      <c r="Q359">
        <f t="shared" si="58"/>
        <v>716.51120000000003</v>
      </c>
      <c r="R359">
        <f t="shared" si="59"/>
        <v>0</v>
      </c>
      <c r="S359">
        <f t="shared" si="60"/>
        <v>716.51120000000003</v>
      </c>
    </row>
    <row r="360" spans="1:19" x14ac:dyDescent="0.3">
      <c r="A360" t="s">
        <v>13</v>
      </c>
      <c r="B360" t="s">
        <v>24</v>
      </c>
      <c r="C360" t="s">
        <v>15</v>
      </c>
      <c r="D360">
        <v>31</v>
      </c>
      <c r="E360">
        <v>2</v>
      </c>
      <c r="F360">
        <v>0</v>
      </c>
      <c r="G360">
        <v>20251230</v>
      </c>
      <c r="H360">
        <v>20260202</v>
      </c>
      <c r="I360">
        <v>12934.624900000001</v>
      </c>
      <c r="J360">
        <f t="shared" si="51"/>
        <v>33</v>
      </c>
      <c r="K360">
        <f t="shared" si="52"/>
        <v>391.95833030303032</v>
      </c>
      <c r="L360">
        <f t="shared" si="53"/>
        <v>14736.92008087968</v>
      </c>
      <c r="M360">
        <f t="shared" si="54"/>
        <v>783.91666060606065</v>
      </c>
      <c r="N360">
        <f t="shared" si="55"/>
        <v>0</v>
      </c>
      <c r="O360">
        <f t="shared" si="56"/>
        <v>15520.83674148574</v>
      </c>
      <c r="P360">
        <f t="shared" si="57"/>
        <v>12281.331000535314</v>
      </c>
      <c r="Q360">
        <f t="shared" si="58"/>
        <v>653.29389946468677</v>
      </c>
      <c r="R360">
        <f t="shared" si="59"/>
        <v>0</v>
      </c>
      <c r="S360">
        <f t="shared" si="60"/>
        <v>12934.624900000001</v>
      </c>
    </row>
    <row r="361" spans="1:19" x14ac:dyDescent="0.3">
      <c r="A361" t="s">
        <v>13</v>
      </c>
      <c r="B361" t="s">
        <v>24</v>
      </c>
      <c r="C361" t="s">
        <v>15</v>
      </c>
      <c r="D361">
        <v>31</v>
      </c>
      <c r="E361">
        <v>2</v>
      </c>
      <c r="F361">
        <v>0</v>
      </c>
      <c r="G361">
        <v>20251231</v>
      </c>
      <c r="H361">
        <v>20260202</v>
      </c>
      <c r="I361">
        <v>80299.242599999998</v>
      </c>
      <c r="J361">
        <f t="shared" si="51"/>
        <v>33</v>
      </c>
      <c r="K361">
        <f t="shared" si="52"/>
        <v>2433.3103818181817</v>
      </c>
      <c r="L361">
        <f t="shared" si="53"/>
        <v>91488.043132303661</v>
      </c>
      <c r="M361">
        <f t="shared" si="54"/>
        <v>4866.6207636363633</v>
      </c>
      <c r="N361">
        <f t="shared" si="55"/>
        <v>0</v>
      </c>
      <c r="O361">
        <f t="shared" si="56"/>
        <v>96354.66389594003</v>
      </c>
      <c r="P361">
        <f t="shared" si="57"/>
        <v>76243.538957429351</v>
      </c>
      <c r="Q361">
        <f t="shared" si="58"/>
        <v>4055.7036425706387</v>
      </c>
      <c r="R361">
        <f t="shared" si="59"/>
        <v>0</v>
      </c>
      <c r="S361">
        <f t="shared" si="60"/>
        <v>80299.242599999983</v>
      </c>
    </row>
    <row r="362" spans="1:19" x14ac:dyDescent="0.3">
      <c r="A362" t="s">
        <v>13</v>
      </c>
      <c r="B362" t="s">
        <v>24</v>
      </c>
      <c r="C362" t="s">
        <v>14</v>
      </c>
      <c r="D362">
        <v>31</v>
      </c>
      <c r="E362">
        <v>1</v>
      </c>
      <c r="F362">
        <v>0</v>
      </c>
      <c r="G362">
        <v>20251230</v>
      </c>
      <c r="H362">
        <v>20260201</v>
      </c>
      <c r="I362">
        <v>2603.2330000000002</v>
      </c>
      <c r="J362">
        <f t="shared" si="51"/>
        <v>32</v>
      </c>
      <c r="K362">
        <f t="shared" si="52"/>
        <v>81.351031250000005</v>
      </c>
      <c r="L362">
        <f t="shared" si="53"/>
        <v>3058.6507629561829</v>
      </c>
      <c r="M362">
        <f t="shared" si="54"/>
        <v>81.351031250000005</v>
      </c>
      <c r="N362">
        <f t="shared" si="55"/>
        <v>0</v>
      </c>
      <c r="O362">
        <f t="shared" si="56"/>
        <v>3140.0017942061831</v>
      </c>
      <c r="P362">
        <f t="shared" si="57"/>
        <v>2535.7885515526164</v>
      </c>
      <c r="Q362">
        <f t="shared" si="58"/>
        <v>67.444448447383721</v>
      </c>
      <c r="R362">
        <f t="shared" si="59"/>
        <v>0</v>
      </c>
      <c r="S362">
        <f t="shared" si="60"/>
        <v>2603.2330000000002</v>
      </c>
    </row>
    <row r="363" spans="1:19" x14ac:dyDescent="0.3">
      <c r="A363" t="s">
        <v>13</v>
      </c>
      <c r="B363" t="s">
        <v>24</v>
      </c>
      <c r="C363" t="s">
        <v>15</v>
      </c>
      <c r="D363">
        <v>31</v>
      </c>
      <c r="E363">
        <v>3</v>
      </c>
      <c r="F363">
        <v>0</v>
      </c>
      <c r="G363">
        <v>20251229</v>
      </c>
      <c r="H363">
        <v>20260203</v>
      </c>
      <c r="I363">
        <v>14953.225</v>
      </c>
      <c r="J363">
        <f t="shared" si="51"/>
        <v>34</v>
      </c>
      <c r="K363">
        <f t="shared" si="52"/>
        <v>439.80073529411766</v>
      </c>
      <c r="L363">
        <f t="shared" si="53"/>
        <v>16535.707462909922</v>
      </c>
      <c r="M363">
        <f t="shared" si="54"/>
        <v>1319.402205882353</v>
      </c>
      <c r="N363">
        <f t="shared" si="55"/>
        <v>0</v>
      </c>
      <c r="O363">
        <f t="shared" si="56"/>
        <v>17855.109668792276</v>
      </c>
      <c r="P363">
        <f t="shared" si="57"/>
        <v>13848.257379188424</v>
      </c>
      <c r="Q363">
        <f t="shared" si="58"/>
        <v>1104.967620811575</v>
      </c>
      <c r="R363">
        <f t="shared" si="59"/>
        <v>0</v>
      </c>
      <c r="S363">
        <f t="shared" si="60"/>
        <v>14953.224999999999</v>
      </c>
    </row>
    <row r="364" spans="1:19" x14ac:dyDescent="0.3">
      <c r="A364" t="s">
        <v>13</v>
      </c>
      <c r="B364" t="s">
        <v>24</v>
      </c>
      <c r="C364" t="s">
        <v>15</v>
      </c>
      <c r="D364">
        <v>11</v>
      </c>
      <c r="E364">
        <v>2</v>
      </c>
      <c r="F364">
        <v>0</v>
      </c>
      <c r="G364">
        <v>20260121</v>
      </c>
      <c r="H364">
        <v>20260202</v>
      </c>
      <c r="I364">
        <v>4206.2732999999998</v>
      </c>
      <c r="J364">
        <f t="shared" si="51"/>
        <v>13</v>
      </c>
      <c r="K364">
        <f t="shared" si="52"/>
        <v>323.55948461538458</v>
      </c>
      <c r="L364">
        <f t="shared" si="53"/>
        <v>4316.7008782262665</v>
      </c>
      <c r="M364">
        <f t="shared" si="54"/>
        <v>647.11896923076915</v>
      </c>
      <c r="N364">
        <f t="shared" si="55"/>
        <v>0</v>
      </c>
      <c r="O364">
        <f t="shared" si="56"/>
        <v>4963.8198474570354</v>
      </c>
      <c r="P364">
        <f t="shared" si="57"/>
        <v>3657.9135033419152</v>
      </c>
      <c r="Q364">
        <f t="shared" si="58"/>
        <v>548.35979665808486</v>
      </c>
      <c r="R364">
        <f t="shared" si="59"/>
        <v>0</v>
      </c>
      <c r="S364">
        <f t="shared" si="60"/>
        <v>4206.2732999999998</v>
      </c>
    </row>
    <row r="365" spans="1:19" x14ac:dyDescent="0.3">
      <c r="A365" t="s">
        <v>13</v>
      </c>
      <c r="B365" t="s">
        <v>24</v>
      </c>
      <c r="C365" t="s">
        <v>15</v>
      </c>
      <c r="D365">
        <v>16</v>
      </c>
      <c r="E365">
        <v>1</v>
      </c>
      <c r="F365">
        <v>0</v>
      </c>
      <c r="G365">
        <v>20260116</v>
      </c>
      <c r="H365">
        <v>20260201</v>
      </c>
      <c r="I365">
        <v>4118.8550999999998</v>
      </c>
      <c r="J365">
        <f t="shared" si="51"/>
        <v>17</v>
      </c>
      <c r="K365">
        <f t="shared" si="52"/>
        <v>242.28559411764704</v>
      </c>
      <c r="L365">
        <f t="shared" si="53"/>
        <v>4701.6761385929676</v>
      </c>
      <c r="M365">
        <f t="shared" si="54"/>
        <v>242.28559411764704</v>
      </c>
      <c r="N365">
        <f t="shared" si="55"/>
        <v>0</v>
      </c>
      <c r="O365">
        <f t="shared" si="56"/>
        <v>4943.9617327106143</v>
      </c>
      <c r="P365">
        <f t="shared" si="57"/>
        <v>3917.0049828388255</v>
      </c>
      <c r="Q365">
        <f t="shared" si="58"/>
        <v>201.85011716117441</v>
      </c>
      <c r="R365">
        <f t="shared" si="59"/>
        <v>0</v>
      </c>
      <c r="S365">
        <f t="shared" si="60"/>
        <v>4118.8550999999998</v>
      </c>
    </row>
    <row r="366" spans="1:19" x14ac:dyDescent="0.3">
      <c r="A366" t="s">
        <v>13</v>
      </c>
      <c r="B366" t="s">
        <v>24</v>
      </c>
      <c r="C366" t="s">
        <v>15</v>
      </c>
      <c r="D366">
        <v>19</v>
      </c>
      <c r="E366">
        <v>2</v>
      </c>
      <c r="F366">
        <v>0</v>
      </c>
      <c r="G366">
        <v>20260113</v>
      </c>
      <c r="H366">
        <v>20260202</v>
      </c>
      <c r="I366">
        <v>1933.3856000000001</v>
      </c>
      <c r="J366">
        <f t="shared" si="51"/>
        <v>21</v>
      </c>
      <c r="K366">
        <f t="shared" si="52"/>
        <v>92.065980952380954</v>
      </c>
      <c r="L366">
        <f t="shared" si="53"/>
        <v>2121.5727147673947</v>
      </c>
      <c r="M366">
        <f t="shared" si="54"/>
        <v>184.13196190476191</v>
      </c>
      <c r="N366">
        <f t="shared" si="55"/>
        <v>0</v>
      </c>
      <c r="O366">
        <f t="shared" si="56"/>
        <v>2305.7046766721564</v>
      </c>
      <c r="P366">
        <f t="shared" si="57"/>
        <v>1778.9867790025814</v>
      </c>
      <c r="Q366">
        <f t="shared" si="58"/>
        <v>154.3988209974186</v>
      </c>
      <c r="R366">
        <f t="shared" si="59"/>
        <v>0</v>
      </c>
      <c r="S366">
        <f t="shared" si="60"/>
        <v>1933.3856000000001</v>
      </c>
    </row>
    <row r="367" spans="1:19" x14ac:dyDescent="0.3">
      <c r="A367" t="s">
        <v>13</v>
      </c>
      <c r="B367" t="s">
        <v>24</v>
      </c>
      <c r="C367" t="s">
        <v>15</v>
      </c>
      <c r="D367">
        <v>0</v>
      </c>
      <c r="E367">
        <v>16</v>
      </c>
      <c r="F367">
        <v>1</v>
      </c>
      <c r="G367">
        <v>20260213</v>
      </c>
      <c r="H367">
        <v>20260301</v>
      </c>
      <c r="I367">
        <v>14185.8719</v>
      </c>
      <c r="J367">
        <f t="shared" si="51"/>
        <v>17</v>
      </c>
      <c r="K367">
        <f t="shared" si="52"/>
        <v>834.46305294117644</v>
      </c>
      <c r="L367">
        <f t="shared" si="53"/>
        <v>0</v>
      </c>
      <c r="M367">
        <f t="shared" si="54"/>
        <v>13351.408847058823</v>
      </c>
      <c r="N367">
        <f t="shared" si="55"/>
        <v>615.22294547568936</v>
      </c>
      <c r="O367">
        <f t="shared" si="56"/>
        <v>13966.631792534512</v>
      </c>
      <c r="P367">
        <f t="shared" si="57"/>
        <v>0</v>
      </c>
      <c r="Q367">
        <f t="shared" si="58"/>
        <v>13560.991540576202</v>
      </c>
      <c r="R367">
        <f t="shared" si="59"/>
        <v>624.88035942379827</v>
      </c>
      <c r="S367">
        <f t="shared" si="60"/>
        <v>14185.8719</v>
      </c>
    </row>
    <row r="368" spans="1:19" x14ac:dyDescent="0.3">
      <c r="A368" t="s">
        <v>13</v>
      </c>
      <c r="B368" t="s">
        <v>24</v>
      </c>
      <c r="C368" t="s">
        <v>15</v>
      </c>
      <c r="D368">
        <v>0</v>
      </c>
      <c r="E368">
        <v>4</v>
      </c>
      <c r="F368">
        <v>7</v>
      </c>
      <c r="G368">
        <v>20260225</v>
      </c>
      <c r="H368">
        <v>20260307</v>
      </c>
      <c r="I368">
        <v>2883.8521999999998</v>
      </c>
      <c r="J368">
        <f t="shared" si="51"/>
        <v>11</v>
      </c>
      <c r="K368">
        <f t="shared" si="52"/>
        <v>262.16838181818179</v>
      </c>
      <c r="L368">
        <f t="shared" si="53"/>
        <v>0</v>
      </c>
      <c r="M368">
        <f t="shared" si="54"/>
        <v>1048.6735272727271</v>
      </c>
      <c r="N368">
        <f t="shared" si="55"/>
        <v>1353.0185962457804</v>
      </c>
      <c r="O368">
        <f t="shared" si="56"/>
        <v>2401.6921235185073</v>
      </c>
      <c r="P368">
        <f t="shared" si="57"/>
        <v>0</v>
      </c>
      <c r="Q368">
        <f t="shared" si="58"/>
        <v>1259.2036377571562</v>
      </c>
      <c r="R368">
        <f t="shared" si="59"/>
        <v>1624.6485622428436</v>
      </c>
      <c r="S368">
        <f t="shared" si="60"/>
        <v>2883.8521999999998</v>
      </c>
    </row>
    <row r="369" spans="1:19" x14ac:dyDescent="0.3">
      <c r="A369" t="s">
        <v>13</v>
      </c>
      <c r="B369" t="s">
        <v>24</v>
      </c>
      <c r="C369" t="s">
        <v>15</v>
      </c>
      <c r="D369">
        <v>9</v>
      </c>
      <c r="E369">
        <v>3</v>
      </c>
      <c r="F369">
        <v>0</v>
      </c>
      <c r="G369">
        <v>20260123</v>
      </c>
      <c r="H369">
        <v>20260203</v>
      </c>
      <c r="I369">
        <v>1683.616</v>
      </c>
      <c r="J369">
        <f t="shared" si="51"/>
        <v>12</v>
      </c>
      <c r="K369">
        <f t="shared" si="52"/>
        <v>140.30133333333333</v>
      </c>
      <c r="L369">
        <f t="shared" si="53"/>
        <v>1531.4733480997406</v>
      </c>
      <c r="M369">
        <f t="shared" si="54"/>
        <v>420.904</v>
      </c>
      <c r="N369">
        <f t="shared" si="55"/>
        <v>0</v>
      </c>
      <c r="O369">
        <f t="shared" si="56"/>
        <v>1952.3773480997406</v>
      </c>
      <c r="P369">
        <f t="shared" si="57"/>
        <v>1320.6530156395618</v>
      </c>
      <c r="Q369">
        <f t="shared" si="58"/>
        <v>362.96298436043821</v>
      </c>
      <c r="R369">
        <f t="shared" si="59"/>
        <v>0</v>
      </c>
      <c r="S369">
        <f t="shared" si="60"/>
        <v>1683.616</v>
      </c>
    </row>
    <row r="370" spans="1:19" x14ac:dyDescent="0.3">
      <c r="A370" t="s">
        <v>13</v>
      </c>
      <c r="B370" t="s">
        <v>24</v>
      </c>
      <c r="C370" t="s">
        <v>14</v>
      </c>
      <c r="D370">
        <v>13</v>
      </c>
      <c r="E370">
        <v>1</v>
      </c>
      <c r="F370">
        <v>0</v>
      </c>
      <c r="G370">
        <v>20260119</v>
      </c>
      <c r="H370">
        <v>20260201</v>
      </c>
      <c r="I370">
        <v>168.17189999999999</v>
      </c>
      <c r="J370">
        <f t="shared" si="51"/>
        <v>14</v>
      </c>
      <c r="K370">
        <f t="shared" si="52"/>
        <v>12.01227857142857</v>
      </c>
      <c r="L370">
        <f t="shared" si="53"/>
        <v>189.39734339041863</v>
      </c>
      <c r="M370">
        <f t="shared" si="54"/>
        <v>12.01227857142857</v>
      </c>
      <c r="N370">
        <f t="shared" si="55"/>
        <v>0</v>
      </c>
      <c r="O370">
        <f t="shared" si="56"/>
        <v>201.40962196184719</v>
      </c>
      <c r="P370">
        <f t="shared" si="57"/>
        <v>158.14195361010459</v>
      </c>
      <c r="Q370">
        <f t="shared" si="58"/>
        <v>10.029946389895409</v>
      </c>
      <c r="R370">
        <f t="shared" si="59"/>
        <v>0</v>
      </c>
      <c r="S370">
        <f t="shared" si="60"/>
        <v>168.17189999999999</v>
      </c>
    </row>
    <row r="371" spans="1:19" x14ac:dyDescent="0.3">
      <c r="A371" t="s">
        <v>13</v>
      </c>
      <c r="B371" t="s">
        <v>24</v>
      </c>
      <c r="C371" t="s">
        <v>15</v>
      </c>
      <c r="D371">
        <v>11</v>
      </c>
      <c r="E371">
        <v>4</v>
      </c>
      <c r="F371">
        <v>0</v>
      </c>
      <c r="G371">
        <v>20260121</v>
      </c>
      <c r="H371">
        <v>20260204</v>
      </c>
      <c r="I371">
        <v>5428.7695999999996</v>
      </c>
      <c r="J371">
        <f t="shared" si="51"/>
        <v>15</v>
      </c>
      <c r="K371">
        <f t="shared" si="52"/>
        <v>361.91797333333329</v>
      </c>
      <c r="L371">
        <f t="shared" si="53"/>
        <v>4828.4525956362168</v>
      </c>
      <c r="M371">
        <f t="shared" si="54"/>
        <v>1447.6718933333332</v>
      </c>
      <c r="N371">
        <f t="shared" si="55"/>
        <v>0</v>
      </c>
      <c r="O371">
        <f t="shared" si="56"/>
        <v>6276.1244889695499</v>
      </c>
      <c r="P371">
        <f t="shared" si="57"/>
        <v>4176.5514231434108</v>
      </c>
      <c r="Q371">
        <f t="shared" si="58"/>
        <v>1252.218176856589</v>
      </c>
      <c r="R371">
        <f t="shared" si="59"/>
        <v>0</v>
      </c>
      <c r="S371">
        <f t="shared" si="60"/>
        <v>5428.7695999999996</v>
      </c>
    </row>
    <row r="372" spans="1:19" x14ac:dyDescent="0.3">
      <c r="A372" t="s">
        <v>13</v>
      </c>
      <c r="B372" t="s">
        <v>24</v>
      </c>
      <c r="C372" t="s">
        <v>15</v>
      </c>
      <c r="D372">
        <v>17</v>
      </c>
      <c r="E372">
        <v>5</v>
      </c>
      <c r="F372">
        <v>0</v>
      </c>
      <c r="G372">
        <v>20260115</v>
      </c>
      <c r="H372">
        <v>20260205</v>
      </c>
      <c r="I372">
        <v>715.01610000000005</v>
      </c>
      <c r="J372">
        <f t="shared" si="51"/>
        <v>22</v>
      </c>
      <c r="K372">
        <f t="shared" si="52"/>
        <v>32.500731818181819</v>
      </c>
      <c r="L372">
        <f t="shared" si="53"/>
        <v>670.11169431018766</v>
      </c>
      <c r="M372">
        <f t="shared" si="54"/>
        <v>162.50365909090908</v>
      </c>
      <c r="N372">
        <f t="shared" si="55"/>
        <v>0</v>
      </c>
      <c r="O372">
        <f t="shared" si="56"/>
        <v>832.61535340109674</v>
      </c>
      <c r="P372">
        <f t="shared" si="57"/>
        <v>575.46458670603647</v>
      </c>
      <c r="Q372">
        <f t="shared" si="58"/>
        <v>139.55151329396361</v>
      </c>
      <c r="R372">
        <f t="shared" si="59"/>
        <v>0</v>
      </c>
      <c r="S372">
        <f t="shared" si="60"/>
        <v>715.01610000000005</v>
      </c>
    </row>
    <row r="373" spans="1:19" x14ac:dyDescent="0.3">
      <c r="A373" t="s">
        <v>13</v>
      </c>
      <c r="B373" t="s">
        <v>24</v>
      </c>
      <c r="C373" t="s">
        <v>15</v>
      </c>
      <c r="D373">
        <v>20</v>
      </c>
      <c r="E373">
        <v>2</v>
      </c>
      <c r="F373">
        <v>0</v>
      </c>
      <c r="G373">
        <v>20260112</v>
      </c>
      <c r="H373">
        <v>20260202</v>
      </c>
      <c r="I373">
        <v>3992.7676999999999</v>
      </c>
      <c r="J373">
        <f t="shared" si="51"/>
        <v>22</v>
      </c>
      <c r="K373">
        <f t="shared" si="52"/>
        <v>181.48944090909092</v>
      </c>
      <c r="L373">
        <f t="shared" si="53"/>
        <v>4402.3695302459391</v>
      </c>
      <c r="M373">
        <f t="shared" si="54"/>
        <v>362.97888181818183</v>
      </c>
      <c r="N373">
        <f t="shared" si="55"/>
        <v>0</v>
      </c>
      <c r="O373">
        <f t="shared" si="56"/>
        <v>4765.3484120641206</v>
      </c>
      <c r="P373">
        <f t="shared" si="57"/>
        <v>3688.636662815672</v>
      </c>
      <c r="Q373">
        <f t="shared" si="58"/>
        <v>304.13103718432848</v>
      </c>
      <c r="R373">
        <f t="shared" si="59"/>
        <v>0</v>
      </c>
      <c r="S373">
        <f t="shared" si="60"/>
        <v>3992.7677000000003</v>
      </c>
    </row>
    <row r="374" spans="1:19" x14ac:dyDescent="0.3">
      <c r="A374" t="s">
        <v>13</v>
      </c>
      <c r="B374" t="s">
        <v>24</v>
      </c>
      <c r="C374" t="s">
        <v>14</v>
      </c>
      <c r="D374">
        <v>0</v>
      </c>
      <c r="E374">
        <v>8</v>
      </c>
      <c r="F374">
        <v>4</v>
      </c>
      <c r="G374">
        <v>20260221</v>
      </c>
      <c r="H374">
        <v>20260304</v>
      </c>
      <c r="I374">
        <v>1397.1685</v>
      </c>
      <c r="J374">
        <f t="shared" si="51"/>
        <v>12</v>
      </c>
      <c r="K374">
        <f t="shared" si="52"/>
        <v>116.43070833333333</v>
      </c>
      <c r="L374">
        <f t="shared" si="53"/>
        <v>0</v>
      </c>
      <c r="M374">
        <f t="shared" si="54"/>
        <v>931.44566666666663</v>
      </c>
      <c r="N374">
        <f t="shared" si="55"/>
        <v>343.36256385315926</v>
      </c>
      <c r="O374">
        <f t="shared" si="56"/>
        <v>1274.8082305198259</v>
      </c>
      <c r="P374">
        <f t="shared" si="57"/>
        <v>0</v>
      </c>
      <c r="Q374">
        <f t="shared" si="58"/>
        <v>1020.8488726163173</v>
      </c>
      <c r="R374">
        <f t="shared" si="59"/>
        <v>376.31962738368264</v>
      </c>
      <c r="S374">
        <f t="shared" si="60"/>
        <v>1397.1685</v>
      </c>
    </row>
    <row r="375" spans="1:19" x14ac:dyDescent="0.3">
      <c r="A375" t="s">
        <v>13</v>
      </c>
      <c r="B375" t="s">
        <v>24</v>
      </c>
      <c r="C375" t="s">
        <v>15</v>
      </c>
      <c r="D375">
        <v>20</v>
      </c>
      <c r="E375">
        <v>3</v>
      </c>
      <c r="F375">
        <v>0</v>
      </c>
      <c r="G375">
        <v>20260112</v>
      </c>
      <c r="H375">
        <v>20260203</v>
      </c>
      <c r="I375">
        <v>8954.3104000000003</v>
      </c>
      <c r="J375">
        <f t="shared" si="51"/>
        <v>23</v>
      </c>
      <c r="K375">
        <f t="shared" si="52"/>
        <v>389.3178434782609</v>
      </c>
      <c r="L375">
        <f t="shared" si="53"/>
        <v>9443.6403744737199</v>
      </c>
      <c r="M375">
        <f t="shared" si="54"/>
        <v>1167.9535304347828</v>
      </c>
      <c r="N375">
        <f t="shared" si="55"/>
        <v>0</v>
      </c>
      <c r="O375">
        <f t="shared" si="56"/>
        <v>10611.593904908503</v>
      </c>
      <c r="P375">
        <f t="shared" si="57"/>
        <v>7968.7639742692409</v>
      </c>
      <c r="Q375">
        <f t="shared" si="58"/>
        <v>985.54642573076001</v>
      </c>
      <c r="R375">
        <f t="shared" si="59"/>
        <v>0</v>
      </c>
      <c r="S375">
        <f t="shared" si="60"/>
        <v>8954.3104000000003</v>
      </c>
    </row>
    <row r="376" spans="1:19" x14ac:dyDescent="0.3">
      <c r="A376" t="s">
        <v>13</v>
      </c>
      <c r="B376" t="s">
        <v>24</v>
      </c>
      <c r="C376" t="s">
        <v>15</v>
      </c>
      <c r="D376">
        <v>0</v>
      </c>
      <c r="E376">
        <v>9</v>
      </c>
      <c r="F376">
        <v>4</v>
      </c>
      <c r="G376">
        <v>20260220</v>
      </c>
      <c r="H376">
        <v>20260304</v>
      </c>
      <c r="I376">
        <v>1269.501</v>
      </c>
      <c r="J376">
        <f t="shared" si="51"/>
        <v>13</v>
      </c>
      <c r="K376">
        <f t="shared" si="52"/>
        <v>97.653923076923078</v>
      </c>
      <c r="L376">
        <f t="shared" si="53"/>
        <v>0</v>
      </c>
      <c r="M376">
        <f t="shared" si="54"/>
        <v>878.88530769230772</v>
      </c>
      <c r="N376">
        <f t="shared" si="55"/>
        <v>287.98846866082226</v>
      </c>
      <c r="O376">
        <f t="shared" si="56"/>
        <v>1166.8737763531299</v>
      </c>
      <c r="P376">
        <f t="shared" si="57"/>
        <v>0</v>
      </c>
      <c r="Q376">
        <f t="shared" si="58"/>
        <v>956.18377892403271</v>
      </c>
      <c r="R376">
        <f t="shared" si="59"/>
        <v>313.31722107596738</v>
      </c>
      <c r="S376">
        <f t="shared" si="60"/>
        <v>1269.5010000000002</v>
      </c>
    </row>
    <row r="377" spans="1:19" x14ac:dyDescent="0.3">
      <c r="A377" t="s">
        <v>13</v>
      </c>
      <c r="B377" t="s">
        <v>24</v>
      </c>
      <c r="C377" t="s">
        <v>15</v>
      </c>
      <c r="D377">
        <v>20</v>
      </c>
      <c r="E377">
        <v>6</v>
      </c>
      <c r="F377">
        <v>0</v>
      </c>
      <c r="G377">
        <v>20260112</v>
      </c>
      <c r="H377">
        <v>20260206</v>
      </c>
      <c r="I377">
        <v>20140.002199999999</v>
      </c>
      <c r="J377">
        <f t="shared" si="51"/>
        <v>26</v>
      </c>
      <c r="K377">
        <f t="shared" si="52"/>
        <v>774.61546923076924</v>
      </c>
      <c r="L377">
        <f t="shared" si="53"/>
        <v>18789.7627670078</v>
      </c>
      <c r="M377">
        <f t="shared" si="54"/>
        <v>4647.6928153846156</v>
      </c>
      <c r="N377">
        <f t="shared" si="55"/>
        <v>0</v>
      </c>
      <c r="O377">
        <f t="shared" si="56"/>
        <v>23437.455582392417</v>
      </c>
      <c r="P377">
        <f t="shared" si="57"/>
        <v>16146.200774000004</v>
      </c>
      <c r="Q377">
        <f t="shared" si="58"/>
        <v>3993.8014259999936</v>
      </c>
      <c r="R377">
        <f t="shared" si="59"/>
        <v>0</v>
      </c>
      <c r="S377">
        <f t="shared" si="60"/>
        <v>20140.002199999999</v>
      </c>
    </row>
    <row r="378" spans="1:19" x14ac:dyDescent="0.3">
      <c r="A378" t="s">
        <v>13</v>
      </c>
      <c r="B378" t="s">
        <v>24</v>
      </c>
      <c r="C378" t="s">
        <v>15</v>
      </c>
      <c r="D378">
        <v>8</v>
      </c>
      <c r="E378">
        <v>2</v>
      </c>
      <c r="F378">
        <v>0</v>
      </c>
      <c r="G378">
        <v>20260124</v>
      </c>
      <c r="H378">
        <v>20260202</v>
      </c>
      <c r="I378">
        <v>883.71169999999995</v>
      </c>
      <c r="J378">
        <f t="shared" si="51"/>
        <v>10</v>
      </c>
      <c r="K378">
        <f t="shared" si="52"/>
        <v>88.371169999999992</v>
      </c>
      <c r="L378">
        <f t="shared" si="53"/>
        <v>857.44392447615189</v>
      </c>
      <c r="M378">
        <f t="shared" si="54"/>
        <v>176.74233999999998</v>
      </c>
      <c r="N378">
        <f t="shared" si="55"/>
        <v>0</v>
      </c>
      <c r="O378">
        <f t="shared" si="56"/>
        <v>1034.1862644761518</v>
      </c>
      <c r="P378">
        <f t="shared" si="57"/>
        <v>732.68544959578219</v>
      </c>
      <c r="Q378">
        <f t="shared" si="58"/>
        <v>151.02625040421785</v>
      </c>
      <c r="R378">
        <f t="shared" si="59"/>
        <v>0</v>
      </c>
      <c r="S378">
        <f t="shared" si="60"/>
        <v>883.71170000000006</v>
      </c>
    </row>
    <row r="379" spans="1:19" x14ac:dyDescent="0.3">
      <c r="A379" t="s">
        <v>13</v>
      </c>
      <c r="B379" t="s">
        <v>24</v>
      </c>
      <c r="C379" t="s">
        <v>15</v>
      </c>
      <c r="D379">
        <v>27</v>
      </c>
      <c r="E379">
        <v>3</v>
      </c>
      <c r="F379">
        <v>0</v>
      </c>
      <c r="G379">
        <v>20260105</v>
      </c>
      <c r="H379">
        <v>20260203</v>
      </c>
      <c r="I379">
        <v>2922851.0652999999</v>
      </c>
      <c r="J379">
        <f t="shared" si="51"/>
        <v>30</v>
      </c>
      <c r="K379">
        <f t="shared" si="52"/>
        <v>97428.36884333333</v>
      </c>
      <c r="L379">
        <f t="shared" si="53"/>
        <v>3190467.546261298</v>
      </c>
      <c r="M379">
        <f t="shared" si="54"/>
        <v>292285.10652999999</v>
      </c>
      <c r="N379">
        <f t="shared" si="55"/>
        <v>0</v>
      </c>
      <c r="O379">
        <f t="shared" si="56"/>
        <v>3482752.652791298</v>
      </c>
      <c r="P379">
        <f t="shared" si="57"/>
        <v>2677554.9101717165</v>
      </c>
      <c r="Q379">
        <f t="shared" si="58"/>
        <v>245296.15512828328</v>
      </c>
      <c r="R379">
        <f t="shared" si="59"/>
        <v>0</v>
      </c>
      <c r="S379">
        <f t="shared" si="60"/>
        <v>2922851.0652999999</v>
      </c>
    </row>
    <row r="380" spans="1:19" x14ac:dyDescent="0.3">
      <c r="A380" t="s">
        <v>13</v>
      </c>
      <c r="B380" t="s">
        <v>24</v>
      </c>
      <c r="C380" t="s">
        <v>15</v>
      </c>
      <c r="D380">
        <v>24</v>
      </c>
      <c r="E380">
        <v>5</v>
      </c>
      <c r="F380">
        <v>0</v>
      </c>
      <c r="G380">
        <v>20260108</v>
      </c>
      <c r="H380">
        <v>20260205</v>
      </c>
      <c r="I380">
        <v>1497569.5427000001</v>
      </c>
      <c r="J380">
        <f t="shared" si="51"/>
        <v>29</v>
      </c>
      <c r="K380">
        <f t="shared" si="52"/>
        <v>51640.329058620693</v>
      </c>
      <c r="L380">
        <f t="shared" si="53"/>
        <v>1503160.5808522259</v>
      </c>
      <c r="M380">
        <f t="shared" si="54"/>
        <v>258201.64529310347</v>
      </c>
      <c r="N380">
        <f t="shared" si="55"/>
        <v>0</v>
      </c>
      <c r="O380">
        <f t="shared" si="56"/>
        <v>1761362.2261453294</v>
      </c>
      <c r="P380">
        <f t="shared" si="57"/>
        <v>1278037.799526307</v>
      </c>
      <c r="Q380">
        <f t="shared" si="58"/>
        <v>219531.74317369299</v>
      </c>
      <c r="R380">
        <f t="shared" si="59"/>
        <v>0</v>
      </c>
      <c r="S380">
        <f t="shared" si="60"/>
        <v>1497569.5427000001</v>
      </c>
    </row>
    <row r="381" spans="1:19" x14ac:dyDescent="0.3">
      <c r="A381" t="s">
        <v>13</v>
      </c>
      <c r="B381" t="s">
        <v>24</v>
      </c>
      <c r="C381" t="s">
        <v>15</v>
      </c>
      <c r="D381">
        <v>0</v>
      </c>
      <c r="E381">
        <v>25</v>
      </c>
      <c r="F381">
        <v>1</v>
      </c>
      <c r="G381">
        <v>20260204</v>
      </c>
      <c r="H381">
        <v>20260301</v>
      </c>
      <c r="I381">
        <v>3218596.7760999999</v>
      </c>
      <c r="J381">
        <f t="shared" si="51"/>
        <v>26</v>
      </c>
      <c r="K381">
        <f t="shared" si="52"/>
        <v>123792.18369615384</v>
      </c>
      <c r="L381">
        <f t="shared" si="53"/>
        <v>0</v>
      </c>
      <c r="M381">
        <f t="shared" si="54"/>
        <v>3094804.5924038459</v>
      </c>
      <c r="N381">
        <f t="shared" si="55"/>
        <v>91268.021528310957</v>
      </c>
      <c r="O381">
        <f t="shared" si="56"/>
        <v>3186072.6139321569</v>
      </c>
      <c r="P381">
        <f t="shared" si="57"/>
        <v>0</v>
      </c>
      <c r="Q381">
        <f t="shared" si="58"/>
        <v>3126397.0696126129</v>
      </c>
      <c r="R381">
        <f t="shared" si="59"/>
        <v>92199.706487387084</v>
      </c>
      <c r="S381">
        <f t="shared" si="60"/>
        <v>3218596.7760999999</v>
      </c>
    </row>
    <row r="382" spans="1:19" x14ac:dyDescent="0.3">
      <c r="A382" t="s">
        <v>13</v>
      </c>
      <c r="B382" t="s">
        <v>24</v>
      </c>
      <c r="C382" t="s">
        <v>14</v>
      </c>
      <c r="D382">
        <v>0</v>
      </c>
      <c r="E382">
        <v>27</v>
      </c>
      <c r="F382">
        <v>3</v>
      </c>
      <c r="G382">
        <v>20260202</v>
      </c>
      <c r="H382">
        <v>20260303</v>
      </c>
      <c r="I382">
        <v>459145.75069999998</v>
      </c>
      <c r="J382">
        <f t="shared" si="51"/>
        <v>30</v>
      </c>
      <c r="K382">
        <f t="shared" si="52"/>
        <v>15304.858356666666</v>
      </c>
      <c r="L382">
        <f t="shared" si="53"/>
        <v>0</v>
      </c>
      <c r="M382">
        <f t="shared" si="54"/>
        <v>413231.17562999995</v>
      </c>
      <c r="N382">
        <f t="shared" si="55"/>
        <v>33851.349098401981</v>
      </c>
      <c r="O382">
        <f t="shared" si="56"/>
        <v>447082.52472840191</v>
      </c>
      <c r="P382">
        <f t="shared" si="57"/>
        <v>0</v>
      </c>
      <c r="Q382">
        <f t="shared" si="58"/>
        <v>424381.02107108961</v>
      </c>
      <c r="R382">
        <f t="shared" si="59"/>
        <v>34764.729628910412</v>
      </c>
      <c r="S382">
        <f t="shared" si="60"/>
        <v>459145.75070000003</v>
      </c>
    </row>
    <row r="383" spans="1:19" x14ac:dyDescent="0.3">
      <c r="A383" t="s">
        <v>13</v>
      </c>
      <c r="B383" t="s">
        <v>24</v>
      </c>
      <c r="C383" t="s">
        <v>15</v>
      </c>
      <c r="D383">
        <v>0</v>
      </c>
      <c r="E383">
        <v>13</v>
      </c>
      <c r="F383">
        <v>0</v>
      </c>
      <c r="G383">
        <v>20260216</v>
      </c>
      <c r="H383">
        <v>20260228</v>
      </c>
      <c r="I383">
        <v>7304.5481</v>
      </c>
      <c r="J383">
        <f t="shared" si="51"/>
        <v>13</v>
      </c>
      <c r="K383">
        <f t="shared" si="52"/>
        <v>561.88831538461534</v>
      </c>
      <c r="L383">
        <f t="shared" si="53"/>
        <v>0</v>
      </c>
      <c r="M383">
        <f t="shared" si="54"/>
        <v>7304.5480999999991</v>
      </c>
      <c r="N383">
        <f t="shared" si="55"/>
        <v>0</v>
      </c>
      <c r="O383">
        <f t="shared" si="56"/>
        <v>7304.5480999999991</v>
      </c>
      <c r="P383">
        <f t="shared" si="57"/>
        <v>0</v>
      </c>
      <c r="Q383">
        <f t="shared" si="58"/>
        <v>7304.5481</v>
      </c>
      <c r="R383">
        <f t="shared" si="59"/>
        <v>0</v>
      </c>
      <c r="S383">
        <f t="shared" si="60"/>
        <v>7304.5481</v>
      </c>
    </row>
    <row r="384" spans="1:19" x14ac:dyDescent="0.3">
      <c r="A384" t="s">
        <v>13</v>
      </c>
      <c r="B384" t="s">
        <v>24</v>
      </c>
      <c r="C384" t="s">
        <v>15</v>
      </c>
      <c r="D384">
        <v>25</v>
      </c>
      <c r="E384">
        <v>4</v>
      </c>
      <c r="F384">
        <v>0</v>
      </c>
      <c r="G384">
        <v>20260107</v>
      </c>
      <c r="H384">
        <v>20260204</v>
      </c>
      <c r="I384">
        <v>3331772.2475000001</v>
      </c>
      <c r="J384">
        <f t="shared" si="51"/>
        <v>29</v>
      </c>
      <c r="K384">
        <f t="shared" si="52"/>
        <v>114888.69818965517</v>
      </c>
      <c r="L384">
        <f t="shared" si="53"/>
        <v>3483553.2424521944</v>
      </c>
      <c r="M384">
        <f t="shared" si="54"/>
        <v>459554.79275862069</v>
      </c>
      <c r="N384">
        <f t="shared" si="55"/>
        <v>0</v>
      </c>
      <c r="O384">
        <f t="shared" si="56"/>
        <v>3943108.0352108153</v>
      </c>
      <c r="P384">
        <f t="shared" si="57"/>
        <v>2943466.400679111</v>
      </c>
      <c r="Q384">
        <f t="shared" si="58"/>
        <v>388305.84682088875</v>
      </c>
      <c r="R384">
        <f t="shared" si="59"/>
        <v>0</v>
      </c>
      <c r="S384">
        <f t="shared" si="60"/>
        <v>3331772.2474999996</v>
      </c>
    </row>
    <row r="385" spans="1:19" x14ac:dyDescent="0.3">
      <c r="A385" t="s">
        <v>13</v>
      </c>
      <c r="B385" t="s">
        <v>24</v>
      </c>
      <c r="C385" t="s">
        <v>15</v>
      </c>
      <c r="D385">
        <v>26</v>
      </c>
      <c r="E385">
        <v>3</v>
      </c>
      <c r="F385">
        <v>0</v>
      </c>
      <c r="G385">
        <v>20260106</v>
      </c>
      <c r="H385">
        <v>20260203</v>
      </c>
      <c r="I385">
        <v>5859641.3982999995</v>
      </c>
      <c r="J385">
        <f t="shared" si="51"/>
        <v>29</v>
      </c>
      <c r="K385">
        <f t="shared" si="52"/>
        <v>202056.5999413793</v>
      </c>
      <c r="L385">
        <f t="shared" si="53"/>
        <v>6371644.3164116004</v>
      </c>
      <c r="M385">
        <f t="shared" si="54"/>
        <v>606169.79982413794</v>
      </c>
      <c r="N385">
        <f t="shared" si="55"/>
        <v>0</v>
      </c>
      <c r="O385">
        <f t="shared" si="56"/>
        <v>6977814.1162357386</v>
      </c>
      <c r="P385">
        <f t="shared" si="57"/>
        <v>5350608.3982399637</v>
      </c>
      <c r="Q385">
        <f t="shared" si="58"/>
        <v>509033.00006003538</v>
      </c>
      <c r="R385">
        <f t="shared" si="59"/>
        <v>0</v>
      </c>
      <c r="S385">
        <f t="shared" si="60"/>
        <v>5859641.3982999995</v>
      </c>
    </row>
    <row r="386" spans="1:19" x14ac:dyDescent="0.3">
      <c r="A386" t="s">
        <v>13</v>
      </c>
      <c r="B386" t="s">
        <v>24</v>
      </c>
      <c r="C386" t="s">
        <v>14</v>
      </c>
      <c r="D386">
        <v>25</v>
      </c>
      <c r="E386">
        <v>2</v>
      </c>
      <c r="F386">
        <v>0</v>
      </c>
      <c r="G386">
        <v>20260107</v>
      </c>
      <c r="H386">
        <v>20260202</v>
      </c>
      <c r="I386">
        <v>293363.36969999998</v>
      </c>
      <c r="J386">
        <f t="shared" si="51"/>
        <v>27</v>
      </c>
      <c r="K386">
        <f t="shared" si="52"/>
        <v>10865.309988888888</v>
      </c>
      <c r="L386">
        <f t="shared" si="53"/>
        <v>329448.29594605148</v>
      </c>
      <c r="M386">
        <f t="shared" si="54"/>
        <v>21730.619977777777</v>
      </c>
      <c r="N386">
        <f t="shared" si="55"/>
        <v>0</v>
      </c>
      <c r="O386">
        <f t="shared" si="56"/>
        <v>351178.91592382925</v>
      </c>
      <c r="P386">
        <f t="shared" si="57"/>
        <v>275210.32117320929</v>
      </c>
      <c r="Q386">
        <f t="shared" si="58"/>
        <v>18153.04852679071</v>
      </c>
      <c r="R386">
        <f t="shared" si="59"/>
        <v>0</v>
      </c>
      <c r="S386">
        <f t="shared" si="60"/>
        <v>293363.36969999998</v>
      </c>
    </row>
    <row r="387" spans="1:19" x14ac:dyDescent="0.3">
      <c r="A387" t="s">
        <v>13</v>
      </c>
      <c r="B387" t="s">
        <v>24</v>
      </c>
      <c r="C387" t="s">
        <v>15</v>
      </c>
      <c r="D387">
        <v>0</v>
      </c>
      <c r="E387">
        <v>27</v>
      </c>
      <c r="F387">
        <v>2</v>
      </c>
      <c r="G387">
        <v>20260202</v>
      </c>
      <c r="H387">
        <v>20260302</v>
      </c>
      <c r="I387">
        <v>3705383.7483999999</v>
      </c>
      <c r="J387">
        <f t="shared" si="51"/>
        <v>29</v>
      </c>
      <c r="K387">
        <f t="shared" si="52"/>
        <v>127771.85339310345</v>
      </c>
      <c r="L387">
        <f t="shared" si="53"/>
        <v>0</v>
      </c>
      <c r="M387">
        <f t="shared" si="54"/>
        <v>3449840.041613793</v>
      </c>
      <c r="N387">
        <f t="shared" si="55"/>
        <v>188404.20966830838</v>
      </c>
      <c r="O387">
        <f t="shared" si="56"/>
        <v>3638244.2512821015</v>
      </c>
      <c r="P387">
        <f t="shared" si="57"/>
        <v>0</v>
      </c>
      <c r="Q387">
        <f t="shared" si="58"/>
        <v>3513502.7617430193</v>
      </c>
      <c r="R387">
        <f t="shared" si="59"/>
        <v>191880.98665698027</v>
      </c>
      <c r="S387">
        <f t="shared" si="60"/>
        <v>3705383.7483999995</v>
      </c>
    </row>
    <row r="388" spans="1:19" x14ac:dyDescent="0.3">
      <c r="A388" t="s">
        <v>13</v>
      </c>
      <c r="B388" t="s">
        <v>24</v>
      </c>
      <c r="C388" t="s">
        <v>14</v>
      </c>
      <c r="D388">
        <v>0</v>
      </c>
      <c r="E388">
        <v>25</v>
      </c>
      <c r="F388">
        <v>6</v>
      </c>
      <c r="G388">
        <v>20260204</v>
      </c>
      <c r="H388">
        <v>20260306</v>
      </c>
      <c r="I388">
        <v>550249.89260000002</v>
      </c>
      <c r="J388">
        <f t="shared" si="51"/>
        <v>31</v>
      </c>
      <c r="K388">
        <f t="shared" si="52"/>
        <v>17749.996535483871</v>
      </c>
      <c r="L388">
        <f t="shared" si="53"/>
        <v>0</v>
      </c>
      <c r="M388">
        <f t="shared" si="54"/>
        <v>443749.91338709678</v>
      </c>
      <c r="N388">
        <f t="shared" si="55"/>
        <v>78519.031697717102</v>
      </c>
      <c r="O388">
        <f t="shared" si="56"/>
        <v>522268.94508481387</v>
      </c>
      <c r="P388">
        <f t="shared" si="57"/>
        <v>0</v>
      </c>
      <c r="Q388">
        <f t="shared" si="58"/>
        <v>467524.14532871905</v>
      </c>
      <c r="R388">
        <f t="shared" si="59"/>
        <v>82725.747271280983</v>
      </c>
      <c r="S388">
        <f t="shared" si="60"/>
        <v>550249.89260000002</v>
      </c>
    </row>
    <row r="389" spans="1:19" x14ac:dyDescent="0.3">
      <c r="A389" t="s">
        <v>13</v>
      </c>
      <c r="B389" t="s">
        <v>24</v>
      </c>
      <c r="C389" t="s">
        <v>15</v>
      </c>
      <c r="D389">
        <v>0</v>
      </c>
      <c r="E389">
        <v>26</v>
      </c>
      <c r="F389">
        <v>3</v>
      </c>
      <c r="G389">
        <v>20260203</v>
      </c>
      <c r="H389">
        <v>20260303</v>
      </c>
      <c r="I389">
        <v>10011445.515000001</v>
      </c>
      <c r="J389">
        <f t="shared" si="51"/>
        <v>29</v>
      </c>
      <c r="K389">
        <f t="shared" si="52"/>
        <v>345222.25913793105</v>
      </c>
      <c r="L389">
        <f t="shared" si="53"/>
        <v>0</v>
      </c>
      <c r="M389">
        <f t="shared" si="54"/>
        <v>8975778.7375862077</v>
      </c>
      <c r="N389">
        <f t="shared" si="55"/>
        <v>763564.02250051999</v>
      </c>
      <c r="O389">
        <f t="shared" si="56"/>
        <v>9739342.7600867283</v>
      </c>
      <c r="P389">
        <f t="shared" si="57"/>
        <v>0</v>
      </c>
      <c r="Q389">
        <f t="shared" si="58"/>
        <v>9226548.6490835454</v>
      </c>
      <c r="R389">
        <f t="shared" si="59"/>
        <v>784896.86591645505</v>
      </c>
      <c r="S389">
        <f t="shared" si="60"/>
        <v>10011445.515000001</v>
      </c>
    </row>
    <row r="390" spans="1:19" x14ac:dyDescent="0.3">
      <c r="A390" t="s">
        <v>13</v>
      </c>
      <c r="B390" t="s">
        <v>24</v>
      </c>
      <c r="C390" t="s">
        <v>15</v>
      </c>
      <c r="D390">
        <v>0</v>
      </c>
      <c r="E390">
        <v>22</v>
      </c>
      <c r="F390">
        <v>0</v>
      </c>
      <c r="G390">
        <v>20260202</v>
      </c>
      <c r="H390">
        <v>20260223</v>
      </c>
      <c r="I390">
        <v>2782.7276999999999</v>
      </c>
      <c r="J390">
        <f t="shared" si="51"/>
        <v>22</v>
      </c>
      <c r="K390">
        <f t="shared" si="52"/>
        <v>126.48762272727272</v>
      </c>
      <c r="L390">
        <f t="shared" si="53"/>
        <v>0</v>
      </c>
      <c r="M390">
        <f t="shared" si="54"/>
        <v>2782.7276999999999</v>
      </c>
      <c r="N390">
        <f t="shared" si="55"/>
        <v>0</v>
      </c>
      <c r="O390">
        <f t="shared" si="56"/>
        <v>2782.7276999999999</v>
      </c>
      <c r="P390">
        <f t="shared" si="57"/>
        <v>0</v>
      </c>
      <c r="Q390">
        <f t="shared" si="58"/>
        <v>2782.7276999999999</v>
      </c>
      <c r="R390">
        <f t="shared" si="59"/>
        <v>0</v>
      </c>
      <c r="S390">
        <f t="shared" si="60"/>
        <v>2782.7276999999999</v>
      </c>
    </row>
    <row r="391" spans="1:19" x14ac:dyDescent="0.3">
      <c r="A391" t="s">
        <v>13</v>
      </c>
      <c r="B391" t="s">
        <v>24</v>
      </c>
      <c r="C391" t="s">
        <v>14</v>
      </c>
      <c r="D391">
        <v>0</v>
      </c>
      <c r="E391">
        <v>26</v>
      </c>
      <c r="F391">
        <v>2</v>
      </c>
      <c r="G391">
        <v>20260203</v>
      </c>
      <c r="H391">
        <v>20260302</v>
      </c>
      <c r="I391">
        <v>797872.61340000003</v>
      </c>
      <c r="J391">
        <f t="shared" si="51"/>
        <v>28</v>
      </c>
      <c r="K391">
        <f t="shared" si="52"/>
        <v>28495.450478571431</v>
      </c>
      <c r="L391">
        <f t="shared" si="53"/>
        <v>0</v>
      </c>
      <c r="M391">
        <f t="shared" si="54"/>
        <v>740881.71244285721</v>
      </c>
      <c r="N391">
        <f t="shared" si="55"/>
        <v>42017.570255010847</v>
      </c>
      <c r="O391">
        <f t="shared" si="56"/>
        <v>782899.28269786807</v>
      </c>
      <c r="P391">
        <f t="shared" si="57"/>
        <v>0</v>
      </c>
      <c r="Q391">
        <f t="shared" si="58"/>
        <v>755051.4366164963</v>
      </c>
      <c r="R391">
        <f t="shared" si="59"/>
        <v>42821.176783503652</v>
      </c>
      <c r="S391">
        <f t="shared" si="60"/>
        <v>797872.61339999991</v>
      </c>
    </row>
    <row r="392" spans="1:19" x14ac:dyDescent="0.3">
      <c r="A392" t="s">
        <v>13</v>
      </c>
      <c r="B392" t="s">
        <v>24</v>
      </c>
      <c r="C392" t="s">
        <v>14</v>
      </c>
      <c r="D392">
        <v>0</v>
      </c>
      <c r="E392">
        <v>11</v>
      </c>
      <c r="F392">
        <v>16</v>
      </c>
      <c r="G392">
        <v>20260218</v>
      </c>
      <c r="H392">
        <v>20260316</v>
      </c>
      <c r="I392">
        <v>339261.88400000002</v>
      </c>
      <c r="J392">
        <f t="shared" si="51"/>
        <v>27</v>
      </c>
      <c r="K392">
        <f t="shared" si="52"/>
        <v>12565.254962962963</v>
      </c>
      <c r="L392">
        <f t="shared" si="53"/>
        <v>0</v>
      </c>
      <c r="M392">
        <f t="shared" si="54"/>
        <v>138217.80459259258</v>
      </c>
      <c r="N392">
        <f t="shared" si="55"/>
        <v>148223.37581936369</v>
      </c>
      <c r="O392">
        <f t="shared" si="56"/>
        <v>286441.18041195627</v>
      </c>
      <c r="P392">
        <f t="shared" si="57"/>
        <v>0</v>
      </c>
      <c r="Q392">
        <f t="shared" si="58"/>
        <v>163705.62612885219</v>
      </c>
      <c r="R392">
        <f t="shared" si="59"/>
        <v>175556.25787114783</v>
      </c>
      <c r="S392">
        <f t="shared" si="60"/>
        <v>339261.88400000002</v>
      </c>
    </row>
    <row r="393" spans="1:19" x14ac:dyDescent="0.3">
      <c r="A393" t="s">
        <v>13</v>
      </c>
      <c r="B393" t="s">
        <v>24</v>
      </c>
      <c r="C393" t="s">
        <v>15</v>
      </c>
      <c r="D393">
        <v>25</v>
      </c>
      <c r="E393">
        <v>6</v>
      </c>
      <c r="F393">
        <v>0</v>
      </c>
      <c r="G393">
        <v>20260107</v>
      </c>
      <c r="H393">
        <v>20260206</v>
      </c>
      <c r="I393">
        <v>841502.40179999999</v>
      </c>
      <c r="J393">
        <f t="shared" si="51"/>
        <v>31</v>
      </c>
      <c r="K393">
        <f t="shared" si="52"/>
        <v>27145.238767741936</v>
      </c>
      <c r="L393">
        <f t="shared" si="53"/>
        <v>823073.86206436274</v>
      </c>
      <c r="M393">
        <f t="shared" si="54"/>
        <v>162871.43260645162</v>
      </c>
      <c r="N393">
        <f t="shared" si="55"/>
        <v>0</v>
      </c>
      <c r="O393">
        <f t="shared" si="56"/>
        <v>985945.29467081442</v>
      </c>
      <c r="P393">
        <f t="shared" si="57"/>
        <v>702491.94912706933</v>
      </c>
      <c r="Q393">
        <f t="shared" si="58"/>
        <v>139010.45267293061</v>
      </c>
      <c r="R393">
        <f t="shared" si="59"/>
        <v>0</v>
      </c>
      <c r="S393">
        <f t="shared" si="60"/>
        <v>841502.40179999988</v>
      </c>
    </row>
    <row r="394" spans="1:19" x14ac:dyDescent="0.3">
      <c r="A394" t="s">
        <v>13</v>
      </c>
      <c r="B394" t="s">
        <v>24</v>
      </c>
      <c r="C394" t="s">
        <v>14</v>
      </c>
      <c r="D394">
        <v>24</v>
      </c>
      <c r="E394">
        <v>5</v>
      </c>
      <c r="F394">
        <v>0</v>
      </c>
      <c r="G394">
        <v>20260108</v>
      </c>
      <c r="H394">
        <v>20260205</v>
      </c>
      <c r="I394">
        <v>193480.10810000001</v>
      </c>
      <c r="J394">
        <f t="shared" si="51"/>
        <v>29</v>
      </c>
      <c r="K394">
        <f t="shared" si="52"/>
        <v>6671.7278655172422</v>
      </c>
      <c r="L394">
        <f t="shared" si="53"/>
        <v>194202.44828871245</v>
      </c>
      <c r="M394">
        <f t="shared" si="54"/>
        <v>33358.639327586214</v>
      </c>
      <c r="N394">
        <f t="shared" si="55"/>
        <v>0</v>
      </c>
      <c r="O394">
        <f t="shared" si="56"/>
        <v>227561.08761629867</v>
      </c>
      <c r="P394">
        <f t="shared" si="57"/>
        <v>165117.46837640597</v>
      </c>
      <c r="Q394">
        <f t="shared" si="58"/>
        <v>28362.63972359402</v>
      </c>
      <c r="R394">
        <f t="shared" si="59"/>
        <v>0</v>
      </c>
      <c r="S394">
        <f t="shared" si="60"/>
        <v>193480.10809999998</v>
      </c>
    </row>
    <row r="395" spans="1:19" x14ac:dyDescent="0.3">
      <c r="A395" t="s">
        <v>13</v>
      </c>
      <c r="B395" t="s">
        <v>24</v>
      </c>
      <c r="C395" t="s">
        <v>15</v>
      </c>
      <c r="D395">
        <v>0</v>
      </c>
      <c r="E395">
        <v>23</v>
      </c>
      <c r="F395">
        <v>8</v>
      </c>
      <c r="G395">
        <v>20260206</v>
      </c>
      <c r="H395">
        <v>20260308</v>
      </c>
      <c r="I395">
        <v>55300.718500000003</v>
      </c>
      <c r="J395">
        <f t="shared" ref="J395:J458" si="61">IF(D395&lt;0,0,D395)+E395+F395</f>
        <v>31</v>
      </c>
      <c r="K395">
        <f t="shared" ref="K395:K458" si="62">I395/J395</f>
        <v>1783.8941451612905</v>
      </c>
      <c r="L395">
        <f t="shared" ref="L395:L458" si="63">IF(D395&lt;0,0,D395)*$K395*$B$6</f>
        <v>0</v>
      </c>
      <c r="M395">
        <f t="shared" ref="M395:M458" si="64">IF(E395&lt;0,0,E395)*$K395*$C$6</f>
        <v>41029.565338709683</v>
      </c>
      <c r="N395">
        <f t="shared" ref="N395:N458" si="65">IF(F395&lt;0,0,F395)*$K395*$D$6</f>
        <v>10521.665222058251</v>
      </c>
      <c r="O395">
        <f t="shared" ref="O395:O458" si="66">L395+M395+N395</f>
        <v>51551.23056076793</v>
      </c>
      <c r="P395">
        <f t="shared" ref="P395:P458" si="67">L395/$O395*$I395</f>
        <v>0</v>
      </c>
      <c r="Q395">
        <f t="shared" ref="Q395:Q458" si="68">M395/$O395*$I395</f>
        <v>44013.778493584454</v>
      </c>
      <c r="R395">
        <f t="shared" ref="R395:R458" si="69">N395/$O395*$I395</f>
        <v>11286.940006415547</v>
      </c>
      <c r="S395">
        <f t="shared" ref="S395:S458" si="70">P395+Q395+R395</f>
        <v>55300.718500000003</v>
      </c>
    </row>
    <row r="396" spans="1:19" x14ac:dyDescent="0.3">
      <c r="A396" t="s">
        <v>13</v>
      </c>
      <c r="B396" t="s">
        <v>24</v>
      </c>
      <c r="C396" t="s">
        <v>14</v>
      </c>
      <c r="D396">
        <v>0</v>
      </c>
      <c r="E396">
        <v>22</v>
      </c>
      <c r="F396">
        <v>5</v>
      </c>
      <c r="G396">
        <v>20260207</v>
      </c>
      <c r="H396">
        <v>20260305</v>
      </c>
      <c r="I396">
        <v>106069.8944</v>
      </c>
      <c r="J396">
        <f t="shared" si="61"/>
        <v>27</v>
      </c>
      <c r="K396">
        <f t="shared" si="62"/>
        <v>3928.5146074074078</v>
      </c>
      <c r="L396">
        <f t="shared" si="63"/>
        <v>0</v>
      </c>
      <c r="M396">
        <f t="shared" si="64"/>
        <v>86427.321362962975</v>
      </c>
      <c r="N396">
        <f t="shared" si="65"/>
        <v>14481.841464368776</v>
      </c>
      <c r="O396">
        <f t="shared" si="66"/>
        <v>100909.16282733175</v>
      </c>
      <c r="P396">
        <f t="shared" si="67"/>
        <v>0</v>
      </c>
      <c r="Q396">
        <f t="shared" si="68"/>
        <v>90847.417552465602</v>
      </c>
      <c r="R396">
        <f t="shared" si="69"/>
        <v>15222.476847534412</v>
      </c>
      <c r="S396">
        <f t="shared" si="70"/>
        <v>106069.89440000002</v>
      </c>
    </row>
    <row r="397" spans="1:19" x14ac:dyDescent="0.3">
      <c r="A397" t="s">
        <v>13</v>
      </c>
      <c r="B397" t="s">
        <v>24</v>
      </c>
      <c r="C397" t="s">
        <v>14</v>
      </c>
      <c r="D397">
        <v>0</v>
      </c>
      <c r="E397">
        <v>11</v>
      </c>
      <c r="F397">
        <v>0</v>
      </c>
      <c r="G397">
        <v>20260205</v>
      </c>
      <c r="H397">
        <v>20260215</v>
      </c>
      <c r="I397">
        <v>84.287499999999994</v>
      </c>
      <c r="J397">
        <f t="shared" si="61"/>
        <v>11</v>
      </c>
      <c r="K397">
        <f t="shared" si="62"/>
        <v>7.6624999999999996</v>
      </c>
      <c r="L397">
        <f t="shared" si="63"/>
        <v>0</v>
      </c>
      <c r="M397">
        <f t="shared" si="64"/>
        <v>84.287499999999994</v>
      </c>
      <c r="N397">
        <f t="shared" si="65"/>
        <v>0</v>
      </c>
      <c r="O397">
        <f t="shared" si="66"/>
        <v>84.287499999999994</v>
      </c>
      <c r="P397">
        <f t="shared" si="67"/>
        <v>0</v>
      </c>
      <c r="Q397">
        <f t="shared" si="68"/>
        <v>84.287499999999994</v>
      </c>
      <c r="R397">
        <f t="shared" si="69"/>
        <v>0</v>
      </c>
      <c r="S397">
        <f t="shared" si="70"/>
        <v>84.287499999999994</v>
      </c>
    </row>
    <row r="398" spans="1:19" x14ac:dyDescent="0.3">
      <c r="A398" t="s">
        <v>13</v>
      </c>
      <c r="B398" t="s">
        <v>24</v>
      </c>
      <c r="C398" t="s">
        <v>15</v>
      </c>
      <c r="D398">
        <v>24</v>
      </c>
      <c r="E398">
        <v>3</v>
      </c>
      <c r="F398">
        <v>0</v>
      </c>
      <c r="G398">
        <v>20260108</v>
      </c>
      <c r="H398">
        <v>20260203</v>
      </c>
      <c r="I398">
        <v>1025510.8744</v>
      </c>
      <c r="J398">
        <f t="shared" si="61"/>
        <v>27</v>
      </c>
      <c r="K398">
        <f t="shared" si="62"/>
        <v>37981.884237037033</v>
      </c>
      <c r="L398">
        <f t="shared" si="63"/>
        <v>1105586.8971476986</v>
      </c>
      <c r="M398">
        <f t="shared" si="64"/>
        <v>113945.65271111109</v>
      </c>
      <c r="N398">
        <f t="shared" si="65"/>
        <v>0</v>
      </c>
      <c r="O398">
        <f t="shared" si="66"/>
        <v>1219532.5498588097</v>
      </c>
      <c r="P398">
        <f t="shared" si="67"/>
        <v>929693.41880246066</v>
      </c>
      <c r="Q398">
        <f t="shared" si="68"/>
        <v>95817.4555975392</v>
      </c>
      <c r="R398">
        <f t="shared" si="69"/>
        <v>0</v>
      </c>
      <c r="S398">
        <f t="shared" si="70"/>
        <v>1025510.8743999999</v>
      </c>
    </row>
    <row r="399" spans="1:19" x14ac:dyDescent="0.3">
      <c r="A399" t="s">
        <v>13</v>
      </c>
      <c r="B399" t="s">
        <v>24</v>
      </c>
      <c r="C399" t="s">
        <v>14</v>
      </c>
      <c r="D399">
        <v>0</v>
      </c>
      <c r="E399">
        <v>10</v>
      </c>
      <c r="F399">
        <v>0</v>
      </c>
      <c r="G399">
        <v>20260211</v>
      </c>
      <c r="H399">
        <v>20260220</v>
      </c>
      <c r="I399">
        <v>55751.459499999997</v>
      </c>
      <c r="J399">
        <f t="shared" si="61"/>
        <v>10</v>
      </c>
      <c r="K399">
        <f t="shared" si="62"/>
        <v>5575.1459500000001</v>
      </c>
      <c r="L399">
        <f t="shared" si="63"/>
        <v>0</v>
      </c>
      <c r="M399">
        <f t="shared" si="64"/>
        <v>55751.459499999997</v>
      </c>
      <c r="N399">
        <f t="shared" si="65"/>
        <v>0</v>
      </c>
      <c r="O399">
        <f t="shared" si="66"/>
        <v>55751.459499999997</v>
      </c>
      <c r="P399">
        <f t="shared" si="67"/>
        <v>0</v>
      </c>
      <c r="Q399">
        <f t="shared" si="68"/>
        <v>55751.459499999997</v>
      </c>
      <c r="R399">
        <f t="shared" si="69"/>
        <v>0</v>
      </c>
      <c r="S399">
        <f t="shared" si="70"/>
        <v>55751.459499999997</v>
      </c>
    </row>
    <row r="400" spans="1:19" x14ac:dyDescent="0.3">
      <c r="A400" t="s">
        <v>13</v>
      </c>
      <c r="B400" t="s">
        <v>24</v>
      </c>
      <c r="C400" t="s">
        <v>14</v>
      </c>
      <c r="D400">
        <v>16</v>
      </c>
      <c r="E400">
        <v>16</v>
      </c>
      <c r="F400">
        <v>0</v>
      </c>
      <c r="G400">
        <v>20260116</v>
      </c>
      <c r="H400">
        <v>20260216</v>
      </c>
      <c r="I400">
        <v>818859.57290000003</v>
      </c>
      <c r="J400">
        <f t="shared" si="61"/>
        <v>32</v>
      </c>
      <c r="K400">
        <f t="shared" si="62"/>
        <v>25589.361653125001</v>
      </c>
      <c r="L400">
        <f t="shared" si="63"/>
        <v>496574.67883915204</v>
      </c>
      <c r="M400">
        <f t="shared" si="64"/>
        <v>409429.78645000001</v>
      </c>
      <c r="N400">
        <f t="shared" si="65"/>
        <v>0</v>
      </c>
      <c r="O400">
        <f t="shared" si="66"/>
        <v>906004.46528915199</v>
      </c>
      <c r="P400">
        <f t="shared" si="67"/>
        <v>448811.17588908132</v>
      </c>
      <c r="Q400">
        <f t="shared" si="68"/>
        <v>370048.39701091871</v>
      </c>
      <c r="R400">
        <f t="shared" si="69"/>
        <v>0</v>
      </c>
      <c r="S400">
        <f t="shared" si="70"/>
        <v>818859.57290000003</v>
      </c>
    </row>
    <row r="401" spans="1:19" x14ac:dyDescent="0.3">
      <c r="A401" t="s">
        <v>13</v>
      </c>
      <c r="B401" t="s">
        <v>24</v>
      </c>
      <c r="C401" t="s">
        <v>15</v>
      </c>
      <c r="D401">
        <v>0</v>
      </c>
      <c r="E401">
        <v>24</v>
      </c>
      <c r="F401">
        <v>6</v>
      </c>
      <c r="G401">
        <v>20260205</v>
      </c>
      <c r="H401">
        <v>20260306</v>
      </c>
      <c r="I401">
        <v>628690.73309999995</v>
      </c>
      <c r="J401">
        <f t="shared" si="61"/>
        <v>30</v>
      </c>
      <c r="K401">
        <f t="shared" si="62"/>
        <v>20956.357769999999</v>
      </c>
      <c r="L401">
        <f t="shared" si="63"/>
        <v>0</v>
      </c>
      <c r="M401">
        <f t="shared" si="64"/>
        <v>502952.58647999994</v>
      </c>
      <c r="N401">
        <f t="shared" si="65"/>
        <v>92702.717813036114</v>
      </c>
      <c r="O401">
        <f t="shared" si="66"/>
        <v>595655.304293036</v>
      </c>
      <c r="P401">
        <f t="shared" si="67"/>
        <v>0</v>
      </c>
      <c r="Q401">
        <f t="shared" si="68"/>
        <v>530846.66254074872</v>
      </c>
      <c r="R401">
        <f t="shared" si="69"/>
        <v>97844.070559251268</v>
      </c>
      <c r="S401">
        <f t="shared" si="70"/>
        <v>628690.73309999995</v>
      </c>
    </row>
    <row r="402" spans="1:19" x14ac:dyDescent="0.3">
      <c r="A402" t="s">
        <v>13</v>
      </c>
      <c r="B402" t="s">
        <v>24</v>
      </c>
      <c r="C402" t="s">
        <v>14</v>
      </c>
      <c r="D402">
        <v>16</v>
      </c>
      <c r="E402">
        <v>18</v>
      </c>
      <c r="F402">
        <v>0</v>
      </c>
      <c r="G402">
        <v>20260116</v>
      </c>
      <c r="H402">
        <v>20260218</v>
      </c>
      <c r="I402">
        <v>442781.4276</v>
      </c>
      <c r="J402">
        <f t="shared" si="61"/>
        <v>34</v>
      </c>
      <c r="K402">
        <f t="shared" si="62"/>
        <v>13022.983164705882</v>
      </c>
      <c r="L402">
        <f t="shared" si="63"/>
        <v>252717.66330879787</v>
      </c>
      <c r="M402">
        <f t="shared" si="64"/>
        <v>234413.69696470589</v>
      </c>
      <c r="N402">
        <f t="shared" si="65"/>
        <v>0</v>
      </c>
      <c r="O402">
        <f t="shared" si="66"/>
        <v>487131.36027350376</v>
      </c>
      <c r="P402">
        <f t="shared" si="67"/>
        <v>229709.47236240192</v>
      </c>
      <c r="Q402">
        <f t="shared" si="68"/>
        <v>213071.95523759807</v>
      </c>
      <c r="R402">
        <f t="shared" si="69"/>
        <v>0</v>
      </c>
      <c r="S402">
        <f t="shared" si="70"/>
        <v>442781.4276</v>
      </c>
    </row>
    <row r="403" spans="1:19" x14ac:dyDescent="0.3">
      <c r="A403" t="s">
        <v>13</v>
      </c>
      <c r="B403" t="s">
        <v>24</v>
      </c>
      <c r="C403" t="s">
        <v>15</v>
      </c>
      <c r="D403">
        <v>0</v>
      </c>
      <c r="E403">
        <v>8</v>
      </c>
      <c r="F403">
        <v>17</v>
      </c>
      <c r="G403">
        <v>20260221</v>
      </c>
      <c r="H403">
        <v>20260317</v>
      </c>
      <c r="I403">
        <v>502609.61540000001</v>
      </c>
      <c r="J403">
        <f t="shared" si="61"/>
        <v>25</v>
      </c>
      <c r="K403">
        <f t="shared" si="62"/>
        <v>20104.384615999999</v>
      </c>
      <c r="L403">
        <f t="shared" si="63"/>
        <v>0</v>
      </c>
      <c r="M403">
        <f t="shared" si="64"/>
        <v>160835.07692799999</v>
      </c>
      <c r="N403">
        <f t="shared" si="65"/>
        <v>251979.4465509553</v>
      </c>
      <c r="O403">
        <f t="shared" si="66"/>
        <v>412814.52347895526</v>
      </c>
      <c r="P403">
        <f t="shared" si="67"/>
        <v>0</v>
      </c>
      <c r="Q403">
        <f t="shared" si="68"/>
        <v>195819.79693050327</v>
      </c>
      <c r="R403">
        <f t="shared" si="69"/>
        <v>306789.81846949679</v>
      </c>
      <c r="S403">
        <f t="shared" si="70"/>
        <v>502609.61540000007</v>
      </c>
    </row>
    <row r="404" spans="1:19" x14ac:dyDescent="0.3">
      <c r="A404" t="s">
        <v>13</v>
      </c>
      <c r="B404" t="s">
        <v>24</v>
      </c>
      <c r="C404" t="s">
        <v>14</v>
      </c>
      <c r="D404">
        <v>27</v>
      </c>
      <c r="E404">
        <v>2</v>
      </c>
      <c r="F404">
        <v>0</v>
      </c>
      <c r="G404">
        <v>20260105</v>
      </c>
      <c r="H404">
        <v>20260202</v>
      </c>
      <c r="I404">
        <v>100245.9031</v>
      </c>
      <c r="J404">
        <f t="shared" si="61"/>
        <v>29</v>
      </c>
      <c r="K404">
        <f t="shared" si="62"/>
        <v>3456.7552793103446</v>
      </c>
      <c r="L404">
        <f t="shared" si="63"/>
        <v>113197.68220425989</v>
      </c>
      <c r="M404">
        <f t="shared" si="64"/>
        <v>6913.5105586206892</v>
      </c>
      <c r="N404">
        <f t="shared" si="65"/>
        <v>0</v>
      </c>
      <c r="O404">
        <f t="shared" si="66"/>
        <v>120111.19276288059</v>
      </c>
      <c r="P404">
        <f t="shared" si="67"/>
        <v>94475.823779344893</v>
      </c>
      <c r="Q404">
        <f t="shared" si="68"/>
        <v>5770.0793206551052</v>
      </c>
      <c r="R404">
        <f t="shared" si="69"/>
        <v>0</v>
      </c>
      <c r="S404">
        <f t="shared" si="70"/>
        <v>100245.9031</v>
      </c>
    </row>
    <row r="405" spans="1:19" x14ac:dyDescent="0.3">
      <c r="A405" t="s">
        <v>13</v>
      </c>
      <c r="B405" t="s">
        <v>24</v>
      </c>
      <c r="C405" t="s">
        <v>15</v>
      </c>
      <c r="D405">
        <v>28</v>
      </c>
      <c r="E405">
        <v>8</v>
      </c>
      <c r="F405">
        <v>0</v>
      </c>
      <c r="G405">
        <v>20260104</v>
      </c>
      <c r="H405">
        <v>20260208</v>
      </c>
      <c r="I405">
        <v>8363.0110999999997</v>
      </c>
      <c r="J405">
        <f t="shared" si="61"/>
        <v>36</v>
      </c>
      <c r="K405">
        <f t="shared" si="62"/>
        <v>232.30586388888889</v>
      </c>
      <c r="L405">
        <f t="shared" si="63"/>
        <v>7889.025127097344</v>
      </c>
      <c r="M405">
        <f t="shared" si="64"/>
        <v>1858.4469111111111</v>
      </c>
      <c r="N405">
        <f t="shared" si="65"/>
        <v>0</v>
      </c>
      <c r="O405">
        <f t="shared" si="66"/>
        <v>9747.4720382084561</v>
      </c>
      <c r="P405">
        <f t="shared" si="67"/>
        <v>6768.5246438747527</v>
      </c>
      <c r="Q405">
        <f t="shared" si="68"/>
        <v>1594.4864561252466</v>
      </c>
      <c r="R405">
        <f t="shared" si="69"/>
        <v>0</v>
      </c>
      <c r="S405">
        <f t="shared" si="70"/>
        <v>8363.0110999999997</v>
      </c>
    </row>
    <row r="406" spans="1:19" x14ac:dyDescent="0.3">
      <c r="A406" t="s">
        <v>13</v>
      </c>
      <c r="B406" t="s">
        <v>24</v>
      </c>
      <c r="C406" t="s">
        <v>15</v>
      </c>
      <c r="D406">
        <v>26</v>
      </c>
      <c r="E406">
        <v>9</v>
      </c>
      <c r="F406">
        <v>0</v>
      </c>
      <c r="G406">
        <v>20260106</v>
      </c>
      <c r="H406">
        <v>20260209</v>
      </c>
      <c r="I406">
        <v>39012.207000000002</v>
      </c>
      <c r="J406">
        <f t="shared" si="61"/>
        <v>35</v>
      </c>
      <c r="K406">
        <f t="shared" si="62"/>
        <v>1114.6344857142858</v>
      </c>
      <c r="L406">
        <f t="shared" si="63"/>
        <v>35148.836948846241</v>
      </c>
      <c r="M406">
        <f t="shared" si="64"/>
        <v>10031.710371428573</v>
      </c>
      <c r="N406">
        <f t="shared" si="65"/>
        <v>0</v>
      </c>
      <c r="O406">
        <f t="shared" si="66"/>
        <v>45180.547320274811</v>
      </c>
      <c r="P406">
        <f t="shared" si="67"/>
        <v>30350.090563030775</v>
      </c>
      <c r="Q406">
        <f t="shared" si="68"/>
        <v>8662.1164369692269</v>
      </c>
      <c r="R406">
        <f t="shared" si="69"/>
        <v>0</v>
      </c>
      <c r="S406">
        <f t="shared" si="70"/>
        <v>39012.207000000002</v>
      </c>
    </row>
    <row r="407" spans="1:19" x14ac:dyDescent="0.3">
      <c r="A407" t="s">
        <v>13</v>
      </c>
      <c r="B407" t="s">
        <v>24</v>
      </c>
      <c r="C407" t="s">
        <v>15</v>
      </c>
      <c r="D407">
        <v>30</v>
      </c>
      <c r="E407">
        <v>7</v>
      </c>
      <c r="F407">
        <v>0</v>
      </c>
      <c r="G407">
        <v>20260102</v>
      </c>
      <c r="H407">
        <v>20260207</v>
      </c>
      <c r="I407">
        <v>63237.487300000001</v>
      </c>
      <c r="J407">
        <f t="shared" si="61"/>
        <v>37</v>
      </c>
      <c r="K407">
        <f t="shared" si="62"/>
        <v>1709.1212783783783</v>
      </c>
      <c r="L407">
        <f t="shared" si="63"/>
        <v>62186.952048605948</v>
      </c>
      <c r="M407">
        <f t="shared" si="64"/>
        <v>11963.848948648649</v>
      </c>
      <c r="N407">
        <f t="shared" si="65"/>
        <v>0</v>
      </c>
      <c r="O407">
        <f t="shared" si="66"/>
        <v>74150.800997254599</v>
      </c>
      <c r="P407">
        <f t="shared" si="67"/>
        <v>53034.445178077425</v>
      </c>
      <c r="Q407">
        <f t="shared" si="68"/>
        <v>10203.042121922577</v>
      </c>
      <c r="R407">
        <f t="shared" si="69"/>
        <v>0</v>
      </c>
      <c r="S407">
        <f t="shared" si="70"/>
        <v>63237.487300000001</v>
      </c>
    </row>
    <row r="408" spans="1:19" x14ac:dyDescent="0.3">
      <c r="A408" t="s">
        <v>13</v>
      </c>
      <c r="B408" t="s">
        <v>24</v>
      </c>
      <c r="C408" t="s">
        <v>15</v>
      </c>
      <c r="D408">
        <v>0</v>
      </c>
      <c r="E408">
        <v>21</v>
      </c>
      <c r="F408">
        <v>4</v>
      </c>
      <c r="G408">
        <v>20260208</v>
      </c>
      <c r="H408">
        <v>20260304</v>
      </c>
      <c r="I408">
        <v>106781.7614</v>
      </c>
      <c r="J408">
        <f t="shared" si="61"/>
        <v>25</v>
      </c>
      <c r="K408">
        <f t="shared" si="62"/>
        <v>4271.2704560000002</v>
      </c>
      <c r="L408">
        <f t="shared" si="63"/>
        <v>0</v>
      </c>
      <c r="M408">
        <f t="shared" si="64"/>
        <v>89696.67957600001</v>
      </c>
      <c r="N408">
        <f t="shared" si="65"/>
        <v>12596.284912083942</v>
      </c>
      <c r="O408">
        <f t="shared" si="66"/>
        <v>102292.96448808395</v>
      </c>
      <c r="P408">
        <f t="shared" si="67"/>
        <v>0</v>
      </c>
      <c r="Q408">
        <f t="shared" si="68"/>
        <v>93632.729140159179</v>
      </c>
      <c r="R408">
        <f t="shared" si="69"/>
        <v>13149.032259840822</v>
      </c>
      <c r="S408">
        <f t="shared" si="70"/>
        <v>106781.7614</v>
      </c>
    </row>
    <row r="409" spans="1:19" x14ac:dyDescent="0.3">
      <c r="A409" t="s">
        <v>13</v>
      </c>
      <c r="B409" t="s">
        <v>24</v>
      </c>
      <c r="C409" t="s">
        <v>15</v>
      </c>
      <c r="D409">
        <v>0</v>
      </c>
      <c r="E409">
        <v>19</v>
      </c>
      <c r="F409">
        <v>0</v>
      </c>
      <c r="G409">
        <v>20260203</v>
      </c>
      <c r="H409">
        <v>20260221</v>
      </c>
      <c r="I409">
        <v>4552.3805000000002</v>
      </c>
      <c r="J409">
        <f t="shared" si="61"/>
        <v>19</v>
      </c>
      <c r="K409">
        <f t="shared" si="62"/>
        <v>239.59897368421053</v>
      </c>
      <c r="L409">
        <f t="shared" si="63"/>
        <v>0</v>
      </c>
      <c r="M409">
        <f t="shared" si="64"/>
        <v>4552.3805000000002</v>
      </c>
      <c r="N409">
        <f t="shared" si="65"/>
        <v>0</v>
      </c>
      <c r="O409">
        <f t="shared" si="66"/>
        <v>4552.3805000000002</v>
      </c>
      <c r="P409">
        <f t="shared" si="67"/>
        <v>0</v>
      </c>
      <c r="Q409">
        <f t="shared" si="68"/>
        <v>4552.3805000000002</v>
      </c>
      <c r="R409">
        <f t="shared" si="69"/>
        <v>0</v>
      </c>
      <c r="S409">
        <f t="shared" si="70"/>
        <v>4552.3805000000002</v>
      </c>
    </row>
    <row r="410" spans="1:19" x14ac:dyDescent="0.3">
      <c r="A410" t="s">
        <v>13</v>
      </c>
      <c r="B410" t="s">
        <v>24</v>
      </c>
      <c r="C410" t="s">
        <v>14</v>
      </c>
      <c r="D410">
        <v>23</v>
      </c>
      <c r="E410">
        <v>5</v>
      </c>
      <c r="F410">
        <v>0</v>
      </c>
      <c r="G410">
        <v>20260109</v>
      </c>
      <c r="H410">
        <v>20260205</v>
      </c>
      <c r="I410">
        <v>21610.594000000001</v>
      </c>
      <c r="J410">
        <f t="shared" si="61"/>
        <v>28</v>
      </c>
      <c r="K410">
        <f t="shared" si="62"/>
        <v>771.80692857142856</v>
      </c>
      <c r="L410">
        <f t="shared" si="63"/>
        <v>21529.88174870822</v>
      </c>
      <c r="M410">
        <f t="shared" si="64"/>
        <v>3859.0346428571429</v>
      </c>
      <c r="N410">
        <f t="shared" si="65"/>
        <v>0</v>
      </c>
      <c r="O410">
        <f t="shared" si="66"/>
        <v>25388.916391565363</v>
      </c>
      <c r="P410">
        <f t="shared" si="67"/>
        <v>18325.852358705444</v>
      </c>
      <c r="Q410">
        <f t="shared" si="68"/>
        <v>3284.7416412945577</v>
      </c>
      <c r="R410">
        <f t="shared" si="69"/>
        <v>0</v>
      </c>
      <c r="S410">
        <f t="shared" si="70"/>
        <v>21610.594000000001</v>
      </c>
    </row>
    <row r="411" spans="1:19" x14ac:dyDescent="0.3">
      <c r="A411" t="s">
        <v>13</v>
      </c>
      <c r="B411" t="s">
        <v>24</v>
      </c>
      <c r="C411" t="s">
        <v>14</v>
      </c>
      <c r="D411">
        <v>23</v>
      </c>
      <c r="E411">
        <v>7</v>
      </c>
      <c r="F411">
        <v>0</v>
      </c>
      <c r="G411">
        <v>20260109</v>
      </c>
      <c r="H411">
        <v>20260207</v>
      </c>
      <c r="I411">
        <v>40445.336199999998</v>
      </c>
      <c r="J411">
        <f t="shared" si="61"/>
        <v>30</v>
      </c>
      <c r="K411">
        <f t="shared" si="62"/>
        <v>1348.1778733333333</v>
      </c>
      <c r="L411">
        <f t="shared" si="63"/>
        <v>37607.993805934471</v>
      </c>
      <c r="M411">
        <f t="shared" si="64"/>
        <v>9437.2451133333325</v>
      </c>
      <c r="N411">
        <f t="shared" si="65"/>
        <v>0</v>
      </c>
      <c r="O411">
        <f t="shared" si="66"/>
        <v>47045.238919267802</v>
      </c>
      <c r="P411">
        <f t="shared" si="67"/>
        <v>32332.027389610517</v>
      </c>
      <c r="Q411">
        <f t="shared" si="68"/>
        <v>8113.3088103894852</v>
      </c>
      <c r="R411">
        <f t="shared" si="69"/>
        <v>0</v>
      </c>
      <c r="S411">
        <f t="shared" si="70"/>
        <v>40445.336200000005</v>
      </c>
    </row>
    <row r="412" spans="1:19" x14ac:dyDescent="0.3">
      <c r="A412" t="s">
        <v>13</v>
      </c>
      <c r="B412" t="s">
        <v>24</v>
      </c>
      <c r="C412" t="s">
        <v>14</v>
      </c>
      <c r="D412">
        <v>23</v>
      </c>
      <c r="E412">
        <v>6</v>
      </c>
      <c r="F412">
        <v>0</v>
      </c>
      <c r="G412">
        <v>20260109</v>
      </c>
      <c r="H412">
        <v>20260206</v>
      </c>
      <c r="I412">
        <v>2312.4176000000002</v>
      </c>
      <c r="J412">
        <f t="shared" si="61"/>
        <v>29</v>
      </c>
      <c r="K412">
        <f t="shared" si="62"/>
        <v>79.738537931034486</v>
      </c>
      <c r="L412">
        <f t="shared" si="63"/>
        <v>2224.3403484958167</v>
      </c>
      <c r="M412">
        <f t="shared" si="64"/>
        <v>478.43122758620689</v>
      </c>
      <c r="N412">
        <f t="shared" si="65"/>
        <v>0</v>
      </c>
      <c r="O412">
        <f t="shared" si="66"/>
        <v>2702.7715760820238</v>
      </c>
      <c r="P412">
        <f t="shared" si="67"/>
        <v>1903.0848983945959</v>
      </c>
      <c r="Q412">
        <f t="shared" si="68"/>
        <v>409.33270160540394</v>
      </c>
      <c r="R412">
        <f t="shared" si="69"/>
        <v>0</v>
      </c>
      <c r="S412">
        <f t="shared" si="70"/>
        <v>2312.4175999999998</v>
      </c>
    </row>
    <row r="413" spans="1:19" x14ac:dyDescent="0.3">
      <c r="A413" t="s">
        <v>13</v>
      </c>
      <c r="B413" t="s">
        <v>24</v>
      </c>
      <c r="C413" t="s">
        <v>15</v>
      </c>
      <c r="D413">
        <v>29</v>
      </c>
      <c r="E413">
        <v>7</v>
      </c>
      <c r="F413">
        <v>0</v>
      </c>
      <c r="G413">
        <v>20260103</v>
      </c>
      <c r="H413">
        <v>20260207</v>
      </c>
      <c r="I413">
        <v>48155.195500000002</v>
      </c>
      <c r="J413">
        <f t="shared" si="61"/>
        <v>36</v>
      </c>
      <c r="K413">
        <f t="shared" si="62"/>
        <v>1337.6443194444446</v>
      </c>
      <c r="L413">
        <f t="shared" si="63"/>
        <v>47048.283464098939</v>
      </c>
      <c r="M413">
        <f t="shared" si="64"/>
        <v>9363.510236111113</v>
      </c>
      <c r="N413">
        <f t="shared" si="65"/>
        <v>0</v>
      </c>
      <c r="O413">
        <f t="shared" si="66"/>
        <v>56411.793700210052</v>
      </c>
      <c r="P413">
        <f t="shared" si="67"/>
        <v>40162.156519846059</v>
      </c>
      <c r="Q413">
        <f t="shared" si="68"/>
        <v>7993.0389801539468</v>
      </c>
      <c r="R413">
        <f t="shared" si="69"/>
        <v>0</v>
      </c>
      <c r="S413">
        <f t="shared" si="70"/>
        <v>48155.195500000009</v>
      </c>
    </row>
    <row r="414" spans="1:19" x14ac:dyDescent="0.3">
      <c r="A414" t="s">
        <v>13</v>
      </c>
      <c r="B414" t="s">
        <v>24</v>
      </c>
      <c r="C414" t="s">
        <v>15</v>
      </c>
      <c r="D414">
        <v>0</v>
      </c>
      <c r="E414">
        <v>21</v>
      </c>
      <c r="F414">
        <v>6</v>
      </c>
      <c r="G414">
        <v>20260208</v>
      </c>
      <c r="H414">
        <v>20260306</v>
      </c>
      <c r="I414">
        <v>354209.88030000002</v>
      </c>
      <c r="J414">
        <f t="shared" si="61"/>
        <v>27</v>
      </c>
      <c r="K414">
        <f t="shared" si="62"/>
        <v>13118.884455555557</v>
      </c>
      <c r="L414">
        <f t="shared" si="63"/>
        <v>0</v>
      </c>
      <c r="M414">
        <f t="shared" si="64"/>
        <v>275496.57356666669</v>
      </c>
      <c r="N414">
        <f t="shared" si="65"/>
        <v>58032.805941411112</v>
      </c>
      <c r="O414">
        <f t="shared" si="66"/>
        <v>333529.37950807781</v>
      </c>
      <c r="P414">
        <f t="shared" si="67"/>
        <v>0</v>
      </c>
      <c r="Q414">
        <f t="shared" si="68"/>
        <v>292578.74820513604</v>
      </c>
      <c r="R414">
        <f t="shared" si="69"/>
        <v>61631.13209486397</v>
      </c>
      <c r="S414">
        <f t="shared" si="70"/>
        <v>354209.88030000002</v>
      </c>
    </row>
    <row r="415" spans="1:19" x14ac:dyDescent="0.3">
      <c r="A415" t="s">
        <v>13</v>
      </c>
      <c r="B415" t="s">
        <v>24</v>
      </c>
      <c r="C415" t="s">
        <v>14</v>
      </c>
      <c r="D415">
        <v>0</v>
      </c>
      <c r="E415">
        <v>9</v>
      </c>
      <c r="F415">
        <v>6</v>
      </c>
      <c r="G415">
        <v>20260220</v>
      </c>
      <c r="H415">
        <v>20260306</v>
      </c>
      <c r="I415">
        <v>4615.4286000000002</v>
      </c>
      <c r="J415">
        <f t="shared" si="61"/>
        <v>15</v>
      </c>
      <c r="K415">
        <f t="shared" si="62"/>
        <v>307.69524000000001</v>
      </c>
      <c r="L415">
        <f t="shared" si="63"/>
        <v>0</v>
      </c>
      <c r="M415">
        <f t="shared" si="64"/>
        <v>2769.2571600000001</v>
      </c>
      <c r="N415">
        <f t="shared" si="65"/>
        <v>1361.1232123059151</v>
      </c>
      <c r="O415">
        <f t="shared" si="66"/>
        <v>4130.3803723059154</v>
      </c>
      <c r="P415">
        <f t="shared" si="67"/>
        <v>0</v>
      </c>
      <c r="Q415">
        <f t="shared" si="68"/>
        <v>3094.4628690173654</v>
      </c>
      <c r="R415">
        <f t="shared" si="69"/>
        <v>1520.9657309826346</v>
      </c>
      <c r="S415">
        <f t="shared" si="70"/>
        <v>4615.4286000000002</v>
      </c>
    </row>
    <row r="416" spans="1:19" x14ac:dyDescent="0.3">
      <c r="A416" t="s">
        <v>13</v>
      </c>
      <c r="B416" t="s">
        <v>24</v>
      </c>
      <c r="C416" t="s">
        <v>15</v>
      </c>
      <c r="D416">
        <v>0</v>
      </c>
      <c r="E416">
        <v>22</v>
      </c>
      <c r="F416">
        <v>7</v>
      </c>
      <c r="G416">
        <v>20260207</v>
      </c>
      <c r="H416">
        <v>20260307</v>
      </c>
      <c r="I416">
        <v>250044.2542</v>
      </c>
      <c r="J416">
        <f t="shared" si="61"/>
        <v>29</v>
      </c>
      <c r="K416">
        <f t="shared" si="62"/>
        <v>8622.2156620689657</v>
      </c>
      <c r="L416">
        <f t="shared" si="63"/>
        <v>0</v>
      </c>
      <c r="M416">
        <f t="shared" si="64"/>
        <v>189688.74456551723</v>
      </c>
      <c r="N416">
        <f t="shared" si="65"/>
        <v>44498.188724037347</v>
      </c>
      <c r="O416">
        <f t="shared" si="66"/>
        <v>234186.93328955458</v>
      </c>
      <c r="P416">
        <f t="shared" si="67"/>
        <v>0</v>
      </c>
      <c r="Q416">
        <f t="shared" si="68"/>
        <v>202532.99361657683</v>
      </c>
      <c r="R416">
        <f t="shared" si="69"/>
        <v>47511.26058342318</v>
      </c>
      <c r="S416">
        <f t="shared" si="70"/>
        <v>250044.25420000002</v>
      </c>
    </row>
    <row r="417" spans="1:19" x14ac:dyDescent="0.3">
      <c r="A417" t="s">
        <v>13</v>
      </c>
      <c r="B417" t="s">
        <v>24</v>
      </c>
      <c r="C417" t="s">
        <v>14</v>
      </c>
      <c r="D417">
        <v>0</v>
      </c>
      <c r="E417">
        <v>22</v>
      </c>
      <c r="F417">
        <v>7</v>
      </c>
      <c r="G417">
        <v>20260207</v>
      </c>
      <c r="H417">
        <v>20260307</v>
      </c>
      <c r="I417">
        <v>17618.8668</v>
      </c>
      <c r="J417">
        <f t="shared" si="61"/>
        <v>29</v>
      </c>
      <c r="K417">
        <f t="shared" si="62"/>
        <v>607.54713103448273</v>
      </c>
      <c r="L417">
        <f t="shared" si="63"/>
        <v>0</v>
      </c>
      <c r="M417">
        <f t="shared" si="64"/>
        <v>13366.036882758621</v>
      </c>
      <c r="N417">
        <f t="shared" si="65"/>
        <v>3135.4756080216935</v>
      </c>
      <c r="O417">
        <f t="shared" si="66"/>
        <v>16501.512490780315</v>
      </c>
      <c r="P417">
        <f t="shared" si="67"/>
        <v>0</v>
      </c>
      <c r="Q417">
        <f t="shared" si="68"/>
        <v>14271.081127429152</v>
      </c>
      <c r="R417">
        <f t="shared" si="69"/>
        <v>3347.7856725708484</v>
      </c>
      <c r="S417">
        <f t="shared" si="70"/>
        <v>17618.8668</v>
      </c>
    </row>
    <row r="418" spans="1:19" x14ac:dyDescent="0.3">
      <c r="A418" t="s">
        <v>13</v>
      </c>
      <c r="B418" t="s">
        <v>24</v>
      </c>
      <c r="C418" t="s">
        <v>15</v>
      </c>
      <c r="D418">
        <v>0</v>
      </c>
      <c r="E418">
        <v>24</v>
      </c>
      <c r="F418">
        <v>10</v>
      </c>
      <c r="G418">
        <v>20260205</v>
      </c>
      <c r="H418">
        <v>20260310</v>
      </c>
      <c r="I418">
        <v>20360.4499</v>
      </c>
      <c r="J418">
        <f t="shared" si="61"/>
        <v>34</v>
      </c>
      <c r="K418">
        <f t="shared" si="62"/>
        <v>598.8367617647059</v>
      </c>
      <c r="L418">
        <f t="shared" si="63"/>
        <v>0</v>
      </c>
      <c r="M418">
        <f t="shared" si="64"/>
        <v>14372.082282352942</v>
      </c>
      <c r="N418">
        <f t="shared" si="65"/>
        <v>4415.0320991860244</v>
      </c>
      <c r="O418">
        <f t="shared" si="66"/>
        <v>18787.114381538966</v>
      </c>
      <c r="P418">
        <f t="shared" si="67"/>
        <v>0</v>
      </c>
      <c r="Q418">
        <f t="shared" si="68"/>
        <v>15575.67891086392</v>
      </c>
      <c r="R418">
        <f t="shared" si="69"/>
        <v>4784.770989136081</v>
      </c>
      <c r="S418">
        <f t="shared" si="70"/>
        <v>20360.4499</v>
      </c>
    </row>
    <row r="419" spans="1:19" x14ac:dyDescent="0.3">
      <c r="A419" t="s">
        <v>13</v>
      </c>
      <c r="B419" t="s">
        <v>24</v>
      </c>
      <c r="C419" t="s">
        <v>15</v>
      </c>
      <c r="D419">
        <v>24</v>
      </c>
      <c r="E419">
        <v>9</v>
      </c>
      <c r="F419">
        <v>0</v>
      </c>
      <c r="G419">
        <v>20260108</v>
      </c>
      <c r="H419">
        <v>20260209</v>
      </c>
      <c r="I419">
        <v>44736.873299999999</v>
      </c>
      <c r="J419">
        <f t="shared" si="61"/>
        <v>33</v>
      </c>
      <c r="K419">
        <f t="shared" si="62"/>
        <v>1355.6628272727273</v>
      </c>
      <c r="L419">
        <f t="shared" si="63"/>
        <v>39460.998022878834</v>
      </c>
      <c r="M419">
        <f t="shared" si="64"/>
        <v>12200.965445454545</v>
      </c>
      <c r="N419">
        <f t="shared" si="65"/>
        <v>0</v>
      </c>
      <c r="O419">
        <f t="shared" si="66"/>
        <v>51661.963468333379</v>
      </c>
      <c r="P419">
        <f t="shared" si="67"/>
        <v>34171.400975171484</v>
      </c>
      <c r="Q419">
        <f t="shared" si="68"/>
        <v>10565.472324828515</v>
      </c>
      <c r="R419">
        <f t="shared" si="69"/>
        <v>0</v>
      </c>
      <c r="S419">
        <f t="shared" si="70"/>
        <v>44736.873299999999</v>
      </c>
    </row>
    <row r="420" spans="1:19" x14ac:dyDescent="0.3">
      <c r="A420" t="s">
        <v>13</v>
      </c>
      <c r="B420" t="s">
        <v>24</v>
      </c>
      <c r="C420" t="s">
        <v>14</v>
      </c>
      <c r="D420">
        <v>0</v>
      </c>
      <c r="E420">
        <v>23</v>
      </c>
      <c r="F420">
        <v>0</v>
      </c>
      <c r="G420">
        <v>20260203</v>
      </c>
      <c r="H420">
        <v>20260225</v>
      </c>
      <c r="I420">
        <v>6788.8055000000004</v>
      </c>
      <c r="J420">
        <f t="shared" si="61"/>
        <v>23</v>
      </c>
      <c r="K420">
        <f t="shared" si="62"/>
        <v>295.16545652173915</v>
      </c>
      <c r="L420">
        <f t="shared" si="63"/>
        <v>0</v>
      </c>
      <c r="M420">
        <f t="shared" si="64"/>
        <v>6788.8055000000004</v>
      </c>
      <c r="N420">
        <f t="shared" si="65"/>
        <v>0</v>
      </c>
      <c r="O420">
        <f t="shared" si="66"/>
        <v>6788.8055000000004</v>
      </c>
      <c r="P420">
        <f t="shared" si="67"/>
        <v>0</v>
      </c>
      <c r="Q420">
        <f t="shared" si="68"/>
        <v>6788.8055000000004</v>
      </c>
      <c r="R420">
        <f t="shared" si="69"/>
        <v>0</v>
      </c>
      <c r="S420">
        <f t="shared" si="70"/>
        <v>6788.8055000000004</v>
      </c>
    </row>
    <row r="421" spans="1:19" x14ac:dyDescent="0.3">
      <c r="A421" t="s">
        <v>13</v>
      </c>
      <c r="B421" t="s">
        <v>24</v>
      </c>
      <c r="C421" t="s">
        <v>15</v>
      </c>
      <c r="D421">
        <v>23</v>
      </c>
      <c r="E421">
        <v>9</v>
      </c>
      <c r="F421">
        <v>0</v>
      </c>
      <c r="G421">
        <v>20260109</v>
      </c>
      <c r="H421">
        <v>20260209</v>
      </c>
      <c r="I421">
        <v>7106.9318000000003</v>
      </c>
      <c r="J421">
        <f t="shared" si="61"/>
        <v>32</v>
      </c>
      <c r="K421">
        <f t="shared" si="62"/>
        <v>222.09161875000001</v>
      </c>
      <c r="L421">
        <f t="shared" si="63"/>
        <v>6195.3399380816318</v>
      </c>
      <c r="M421">
        <f t="shared" si="64"/>
        <v>1998.82456875</v>
      </c>
      <c r="N421">
        <f t="shared" si="65"/>
        <v>0</v>
      </c>
      <c r="O421">
        <f t="shared" si="66"/>
        <v>8194.164506831632</v>
      </c>
      <c r="P421">
        <f t="shared" si="67"/>
        <v>5373.3188272036577</v>
      </c>
      <c r="Q421">
        <f t="shared" si="68"/>
        <v>1733.6129727963425</v>
      </c>
      <c r="R421">
        <f t="shared" si="69"/>
        <v>0</v>
      </c>
      <c r="S421">
        <f t="shared" si="70"/>
        <v>7106.9318000000003</v>
      </c>
    </row>
    <row r="422" spans="1:19" x14ac:dyDescent="0.3">
      <c r="A422" t="s">
        <v>13</v>
      </c>
      <c r="B422" t="s">
        <v>24</v>
      </c>
      <c r="C422" t="s">
        <v>15</v>
      </c>
      <c r="D422">
        <v>0</v>
      </c>
      <c r="E422">
        <v>20</v>
      </c>
      <c r="F422">
        <v>0</v>
      </c>
      <c r="G422">
        <v>20260205</v>
      </c>
      <c r="H422">
        <v>20260224</v>
      </c>
      <c r="I422">
        <v>4004.5965000000001</v>
      </c>
      <c r="J422">
        <f t="shared" si="61"/>
        <v>20</v>
      </c>
      <c r="K422">
        <f t="shared" si="62"/>
        <v>200.22982500000001</v>
      </c>
      <c r="L422">
        <f t="shared" si="63"/>
        <v>0</v>
      </c>
      <c r="M422">
        <f t="shared" si="64"/>
        <v>4004.5965000000001</v>
      </c>
      <c r="N422">
        <f t="shared" si="65"/>
        <v>0</v>
      </c>
      <c r="O422">
        <f t="shared" si="66"/>
        <v>4004.5965000000001</v>
      </c>
      <c r="P422">
        <f t="shared" si="67"/>
        <v>0</v>
      </c>
      <c r="Q422">
        <f t="shared" si="68"/>
        <v>4004.5965000000001</v>
      </c>
      <c r="R422">
        <f t="shared" si="69"/>
        <v>0</v>
      </c>
      <c r="S422">
        <f t="shared" si="70"/>
        <v>4004.5965000000001</v>
      </c>
    </row>
    <row r="423" spans="1:19" x14ac:dyDescent="0.3">
      <c r="A423" t="s">
        <v>13</v>
      </c>
      <c r="B423" t="s">
        <v>24</v>
      </c>
      <c r="C423" t="s">
        <v>14</v>
      </c>
      <c r="D423">
        <v>0</v>
      </c>
      <c r="E423">
        <v>9</v>
      </c>
      <c r="F423">
        <v>3</v>
      </c>
      <c r="G423">
        <v>20260220</v>
      </c>
      <c r="H423">
        <v>20260303</v>
      </c>
      <c r="I423">
        <v>211.5341</v>
      </c>
      <c r="J423">
        <f t="shared" si="61"/>
        <v>12</v>
      </c>
      <c r="K423">
        <f t="shared" si="62"/>
        <v>17.627841666666665</v>
      </c>
      <c r="L423">
        <f t="shared" si="63"/>
        <v>0</v>
      </c>
      <c r="M423">
        <f t="shared" si="64"/>
        <v>158.65057499999998</v>
      </c>
      <c r="N423">
        <f t="shared" si="65"/>
        <v>38.989333204103815</v>
      </c>
      <c r="O423">
        <f t="shared" si="66"/>
        <v>197.63990820410379</v>
      </c>
      <c r="P423">
        <f t="shared" si="67"/>
        <v>0</v>
      </c>
      <c r="Q423">
        <f t="shared" si="68"/>
        <v>169.80379571138991</v>
      </c>
      <c r="R423">
        <f t="shared" si="69"/>
        <v>41.730304288610093</v>
      </c>
      <c r="S423">
        <f t="shared" si="70"/>
        <v>211.5341</v>
      </c>
    </row>
    <row r="424" spans="1:19" x14ac:dyDescent="0.3">
      <c r="A424" t="s">
        <v>13</v>
      </c>
      <c r="B424" t="s">
        <v>24</v>
      </c>
      <c r="C424" t="s">
        <v>14</v>
      </c>
      <c r="D424">
        <v>25</v>
      </c>
      <c r="E424">
        <v>9</v>
      </c>
      <c r="F424">
        <v>0</v>
      </c>
      <c r="G424">
        <v>20260107</v>
      </c>
      <c r="H424">
        <v>20260209</v>
      </c>
      <c r="I424">
        <v>27615.565699999999</v>
      </c>
      <c r="J424">
        <f t="shared" si="61"/>
        <v>34</v>
      </c>
      <c r="K424">
        <f t="shared" si="62"/>
        <v>812.22252058823528</v>
      </c>
      <c r="L424">
        <f t="shared" si="63"/>
        <v>24627.491126386605</v>
      </c>
      <c r="M424">
        <f t="shared" si="64"/>
        <v>7310.0026852941173</v>
      </c>
      <c r="N424">
        <f t="shared" si="65"/>
        <v>0</v>
      </c>
      <c r="O424">
        <f t="shared" si="66"/>
        <v>31937.493811680724</v>
      </c>
      <c r="P424">
        <f t="shared" si="67"/>
        <v>21294.786098029952</v>
      </c>
      <c r="Q424">
        <f t="shared" si="68"/>
        <v>6320.7796019700463</v>
      </c>
      <c r="R424">
        <f t="shared" si="69"/>
        <v>0</v>
      </c>
      <c r="S424">
        <f t="shared" si="70"/>
        <v>27615.565699999999</v>
      </c>
    </row>
    <row r="425" spans="1:19" x14ac:dyDescent="0.3">
      <c r="A425" t="s">
        <v>13</v>
      </c>
      <c r="B425" t="s">
        <v>24</v>
      </c>
      <c r="C425" t="s">
        <v>15</v>
      </c>
      <c r="D425">
        <v>0</v>
      </c>
      <c r="E425">
        <v>25</v>
      </c>
      <c r="F425">
        <v>12</v>
      </c>
      <c r="G425">
        <v>20260204</v>
      </c>
      <c r="H425">
        <v>20260312</v>
      </c>
      <c r="I425">
        <v>8656.8938999999991</v>
      </c>
      <c r="J425">
        <f t="shared" si="61"/>
        <v>37</v>
      </c>
      <c r="K425">
        <f t="shared" si="62"/>
        <v>233.97010540540538</v>
      </c>
      <c r="L425">
        <f t="shared" si="63"/>
        <v>0</v>
      </c>
      <c r="M425">
        <f t="shared" si="64"/>
        <v>5849.2526351351344</v>
      </c>
      <c r="N425">
        <f t="shared" si="65"/>
        <v>2069.9841924948787</v>
      </c>
      <c r="O425">
        <f t="shared" si="66"/>
        <v>7919.2368276300131</v>
      </c>
      <c r="P425">
        <f t="shared" si="67"/>
        <v>0</v>
      </c>
      <c r="Q425">
        <f t="shared" si="68"/>
        <v>6394.0958653984571</v>
      </c>
      <c r="R425">
        <f t="shared" si="69"/>
        <v>2262.7980346015411</v>
      </c>
      <c r="S425">
        <f t="shared" si="70"/>
        <v>8656.8938999999991</v>
      </c>
    </row>
    <row r="426" spans="1:19" x14ac:dyDescent="0.3">
      <c r="A426" t="s">
        <v>13</v>
      </c>
      <c r="B426" t="s">
        <v>24</v>
      </c>
      <c r="C426" t="s">
        <v>14</v>
      </c>
      <c r="D426">
        <v>27</v>
      </c>
      <c r="E426">
        <v>8</v>
      </c>
      <c r="F426">
        <v>0</v>
      </c>
      <c r="G426">
        <v>20260105</v>
      </c>
      <c r="H426">
        <v>20260208</v>
      </c>
      <c r="I426">
        <v>672.46609999999998</v>
      </c>
      <c r="J426">
        <f t="shared" si="61"/>
        <v>35</v>
      </c>
      <c r="K426">
        <f t="shared" si="62"/>
        <v>19.213317142857143</v>
      </c>
      <c r="L426">
        <f t="shared" si="63"/>
        <v>629.17470063449662</v>
      </c>
      <c r="M426">
        <f t="shared" si="64"/>
        <v>153.70653714285714</v>
      </c>
      <c r="N426">
        <f t="shared" si="65"/>
        <v>0</v>
      </c>
      <c r="O426">
        <f t="shared" si="66"/>
        <v>782.88123777735382</v>
      </c>
      <c r="P426">
        <f t="shared" si="67"/>
        <v>540.43785537069402</v>
      </c>
      <c r="Q426">
        <f t="shared" si="68"/>
        <v>132.02824462930593</v>
      </c>
      <c r="R426">
        <f t="shared" si="69"/>
        <v>0</v>
      </c>
      <c r="S426">
        <f t="shared" si="70"/>
        <v>672.46609999999998</v>
      </c>
    </row>
    <row r="427" spans="1:19" x14ac:dyDescent="0.3">
      <c r="A427" t="s">
        <v>13</v>
      </c>
      <c r="B427" t="s">
        <v>24</v>
      </c>
      <c r="C427" t="s">
        <v>15</v>
      </c>
      <c r="D427">
        <v>0</v>
      </c>
      <c r="E427">
        <v>20</v>
      </c>
      <c r="F427">
        <v>8</v>
      </c>
      <c r="G427">
        <v>20260209</v>
      </c>
      <c r="H427">
        <v>20260308</v>
      </c>
      <c r="I427">
        <v>6340.39</v>
      </c>
      <c r="J427">
        <f t="shared" si="61"/>
        <v>28</v>
      </c>
      <c r="K427">
        <f t="shared" si="62"/>
        <v>226.44250000000002</v>
      </c>
      <c r="L427">
        <f t="shared" si="63"/>
        <v>0</v>
      </c>
      <c r="M427">
        <f t="shared" si="64"/>
        <v>4528.8500000000004</v>
      </c>
      <c r="N427">
        <f t="shared" si="65"/>
        <v>1335.5905581665036</v>
      </c>
      <c r="O427">
        <f t="shared" si="66"/>
        <v>5864.4405581665042</v>
      </c>
      <c r="P427">
        <f t="shared" si="67"/>
        <v>0</v>
      </c>
      <c r="Q427">
        <f t="shared" si="68"/>
        <v>4896.4048602237935</v>
      </c>
      <c r="R427">
        <f t="shared" si="69"/>
        <v>1443.9851397762072</v>
      </c>
      <c r="S427">
        <f t="shared" si="70"/>
        <v>6340.3900000000012</v>
      </c>
    </row>
    <row r="428" spans="1:19" x14ac:dyDescent="0.3">
      <c r="A428" t="s">
        <v>13</v>
      </c>
      <c r="B428" t="s">
        <v>24</v>
      </c>
      <c r="C428" t="s">
        <v>15</v>
      </c>
      <c r="D428">
        <v>0</v>
      </c>
      <c r="E428">
        <v>25</v>
      </c>
      <c r="F428">
        <v>0</v>
      </c>
      <c r="G428">
        <v>20260203</v>
      </c>
      <c r="H428">
        <v>20260227</v>
      </c>
      <c r="I428">
        <v>33656.748</v>
      </c>
      <c r="J428">
        <f t="shared" si="61"/>
        <v>25</v>
      </c>
      <c r="K428">
        <f t="shared" si="62"/>
        <v>1346.26992</v>
      </c>
      <c r="L428">
        <f t="shared" si="63"/>
        <v>0</v>
      </c>
      <c r="M428">
        <f t="shared" si="64"/>
        <v>33656.748</v>
      </c>
      <c r="N428">
        <f t="shared" si="65"/>
        <v>0</v>
      </c>
      <c r="O428">
        <f t="shared" si="66"/>
        <v>33656.748</v>
      </c>
      <c r="P428">
        <f t="shared" si="67"/>
        <v>0</v>
      </c>
      <c r="Q428">
        <f t="shared" si="68"/>
        <v>33656.748</v>
      </c>
      <c r="R428">
        <f t="shared" si="69"/>
        <v>0</v>
      </c>
      <c r="S428">
        <f t="shared" si="70"/>
        <v>33656.748</v>
      </c>
    </row>
    <row r="429" spans="1:19" x14ac:dyDescent="0.3">
      <c r="A429" t="s">
        <v>13</v>
      </c>
      <c r="B429" t="s">
        <v>24</v>
      </c>
      <c r="C429" t="s">
        <v>14</v>
      </c>
      <c r="D429">
        <v>19</v>
      </c>
      <c r="E429">
        <v>2</v>
      </c>
      <c r="F429">
        <v>0</v>
      </c>
      <c r="G429">
        <v>20260113</v>
      </c>
      <c r="H429">
        <v>20260202</v>
      </c>
      <c r="I429">
        <v>42.030099999999997</v>
      </c>
      <c r="J429">
        <f t="shared" si="61"/>
        <v>21</v>
      </c>
      <c r="K429">
        <f t="shared" si="62"/>
        <v>2.0014333333333334</v>
      </c>
      <c r="L429">
        <f t="shared" si="63"/>
        <v>46.121122118083981</v>
      </c>
      <c r="M429">
        <f t="shared" si="64"/>
        <v>4.0028666666666668</v>
      </c>
      <c r="N429">
        <f t="shared" si="65"/>
        <v>0</v>
      </c>
      <c r="O429">
        <f t="shared" si="66"/>
        <v>50.123988784750651</v>
      </c>
      <c r="P429">
        <f t="shared" si="67"/>
        <v>38.673605627432202</v>
      </c>
      <c r="Q429">
        <f t="shared" si="68"/>
        <v>3.3564943725677914</v>
      </c>
      <c r="R429">
        <f t="shared" si="69"/>
        <v>0</v>
      </c>
      <c r="S429">
        <f t="shared" si="70"/>
        <v>42.03009999999999</v>
      </c>
    </row>
    <row r="430" spans="1:19" x14ac:dyDescent="0.3">
      <c r="A430" t="s">
        <v>13</v>
      </c>
      <c r="B430" t="s">
        <v>24</v>
      </c>
      <c r="C430" t="s">
        <v>15</v>
      </c>
      <c r="D430">
        <v>0</v>
      </c>
      <c r="E430">
        <v>26</v>
      </c>
      <c r="F430">
        <v>10</v>
      </c>
      <c r="G430">
        <v>20260203</v>
      </c>
      <c r="H430">
        <v>20260310</v>
      </c>
      <c r="I430">
        <v>17698.401099999999</v>
      </c>
      <c r="J430">
        <f t="shared" si="61"/>
        <v>36</v>
      </c>
      <c r="K430">
        <f t="shared" si="62"/>
        <v>491.62225277777776</v>
      </c>
      <c r="L430">
        <f t="shared" si="63"/>
        <v>0</v>
      </c>
      <c r="M430">
        <f t="shared" si="64"/>
        <v>12782.178572222221</v>
      </c>
      <c r="N430">
        <f t="shared" si="65"/>
        <v>3624.5737824974667</v>
      </c>
      <c r="O430">
        <f t="shared" si="66"/>
        <v>16406.752354719687</v>
      </c>
      <c r="P430">
        <f t="shared" si="67"/>
        <v>0</v>
      </c>
      <c r="Q430">
        <f t="shared" si="68"/>
        <v>13788.476744938305</v>
      </c>
      <c r="R430">
        <f t="shared" si="69"/>
        <v>3909.9243550616952</v>
      </c>
      <c r="S430">
        <f t="shared" si="70"/>
        <v>17698.401099999999</v>
      </c>
    </row>
    <row r="431" spans="1:19" x14ac:dyDescent="0.3">
      <c r="A431" t="s">
        <v>13</v>
      </c>
      <c r="B431" t="s">
        <v>24</v>
      </c>
      <c r="C431" t="s">
        <v>15</v>
      </c>
      <c r="D431">
        <v>16</v>
      </c>
      <c r="E431">
        <v>23</v>
      </c>
      <c r="F431">
        <v>0</v>
      </c>
      <c r="G431">
        <v>20260116</v>
      </c>
      <c r="H431">
        <v>20260223</v>
      </c>
      <c r="I431">
        <v>1473.4754</v>
      </c>
      <c r="J431">
        <f t="shared" si="61"/>
        <v>39</v>
      </c>
      <c r="K431">
        <f t="shared" si="62"/>
        <v>37.78142051282051</v>
      </c>
      <c r="L431">
        <f t="shared" si="63"/>
        <v>733.16783011465407</v>
      </c>
      <c r="M431">
        <f t="shared" si="64"/>
        <v>868.97267179487176</v>
      </c>
      <c r="N431">
        <f t="shared" si="65"/>
        <v>0</v>
      </c>
      <c r="O431">
        <f t="shared" si="66"/>
        <v>1602.1405019095259</v>
      </c>
      <c r="P431">
        <f t="shared" si="67"/>
        <v>674.28840383084423</v>
      </c>
      <c r="Q431">
        <f t="shared" si="68"/>
        <v>799.18699616915569</v>
      </c>
      <c r="R431">
        <f t="shared" si="69"/>
        <v>0</v>
      </c>
      <c r="S431">
        <f t="shared" si="70"/>
        <v>1473.4753999999998</v>
      </c>
    </row>
    <row r="432" spans="1:19" x14ac:dyDescent="0.3">
      <c r="A432" t="s">
        <v>13</v>
      </c>
      <c r="B432" t="s">
        <v>24</v>
      </c>
      <c r="C432" t="s">
        <v>15</v>
      </c>
      <c r="D432">
        <v>0</v>
      </c>
      <c r="E432">
        <v>23</v>
      </c>
      <c r="F432">
        <v>0</v>
      </c>
      <c r="G432">
        <v>20260205</v>
      </c>
      <c r="H432">
        <v>20260227</v>
      </c>
      <c r="I432">
        <v>84.3429</v>
      </c>
      <c r="J432">
        <f t="shared" si="61"/>
        <v>23</v>
      </c>
      <c r="K432">
        <f t="shared" si="62"/>
        <v>3.6670826086956523</v>
      </c>
      <c r="L432">
        <f t="shared" si="63"/>
        <v>0</v>
      </c>
      <c r="M432">
        <f t="shared" si="64"/>
        <v>84.3429</v>
      </c>
      <c r="N432">
        <f t="shared" si="65"/>
        <v>0</v>
      </c>
      <c r="O432">
        <f t="shared" si="66"/>
        <v>84.3429</v>
      </c>
      <c r="P432">
        <f t="shared" si="67"/>
        <v>0</v>
      </c>
      <c r="Q432">
        <f t="shared" si="68"/>
        <v>84.3429</v>
      </c>
      <c r="R432">
        <f t="shared" si="69"/>
        <v>0</v>
      </c>
      <c r="S432">
        <f t="shared" si="70"/>
        <v>84.3429</v>
      </c>
    </row>
    <row r="433" spans="1:19" x14ac:dyDescent="0.3">
      <c r="A433" t="s">
        <v>13</v>
      </c>
      <c r="B433" t="s">
        <v>24</v>
      </c>
      <c r="C433" t="s">
        <v>14</v>
      </c>
      <c r="D433">
        <v>0</v>
      </c>
      <c r="E433">
        <v>17</v>
      </c>
      <c r="F433">
        <v>1</v>
      </c>
      <c r="G433">
        <v>20260212</v>
      </c>
      <c r="H433">
        <v>20260301</v>
      </c>
      <c r="I433">
        <v>4102.3680000000004</v>
      </c>
      <c r="J433">
        <f t="shared" si="61"/>
        <v>18</v>
      </c>
      <c r="K433">
        <f t="shared" si="62"/>
        <v>227.90933333333336</v>
      </c>
      <c r="L433">
        <f t="shared" si="63"/>
        <v>0</v>
      </c>
      <c r="M433">
        <f t="shared" si="64"/>
        <v>3874.4586666666673</v>
      </c>
      <c r="N433">
        <f t="shared" si="65"/>
        <v>168.03026911800038</v>
      </c>
      <c r="O433">
        <f t="shared" si="66"/>
        <v>4042.4889357846678</v>
      </c>
      <c r="P433">
        <f t="shared" si="67"/>
        <v>0</v>
      </c>
      <c r="Q433">
        <f t="shared" si="68"/>
        <v>3931.8487951212687</v>
      </c>
      <c r="R433">
        <f t="shared" si="69"/>
        <v>170.51920487873201</v>
      </c>
      <c r="S433">
        <f t="shared" si="70"/>
        <v>4102.3680000000004</v>
      </c>
    </row>
    <row r="434" spans="1:19" x14ac:dyDescent="0.3">
      <c r="A434" t="s">
        <v>13</v>
      </c>
      <c r="B434" t="s">
        <v>24</v>
      </c>
      <c r="C434" t="s">
        <v>14</v>
      </c>
      <c r="D434">
        <v>24</v>
      </c>
      <c r="E434">
        <v>11</v>
      </c>
      <c r="F434">
        <v>0</v>
      </c>
      <c r="G434">
        <v>20260108</v>
      </c>
      <c r="H434">
        <v>20260211</v>
      </c>
      <c r="I434">
        <v>5063.9260000000004</v>
      </c>
      <c r="J434">
        <f t="shared" si="61"/>
        <v>35</v>
      </c>
      <c r="K434">
        <f t="shared" si="62"/>
        <v>144.68360000000001</v>
      </c>
      <c r="L434">
        <f t="shared" si="63"/>
        <v>4211.4891244962964</v>
      </c>
      <c r="M434">
        <f t="shared" si="64"/>
        <v>1591.5196000000001</v>
      </c>
      <c r="N434">
        <f t="shared" si="65"/>
        <v>0</v>
      </c>
      <c r="O434">
        <f t="shared" si="66"/>
        <v>5803.0087244962961</v>
      </c>
      <c r="P434">
        <f t="shared" si="67"/>
        <v>3675.1054993640732</v>
      </c>
      <c r="Q434">
        <f t="shared" si="68"/>
        <v>1388.8205006359276</v>
      </c>
      <c r="R434">
        <f t="shared" si="69"/>
        <v>0</v>
      </c>
      <c r="S434">
        <f t="shared" si="70"/>
        <v>5063.9260000000013</v>
      </c>
    </row>
    <row r="435" spans="1:19" x14ac:dyDescent="0.3">
      <c r="A435" t="s">
        <v>13</v>
      </c>
      <c r="B435" t="s">
        <v>24</v>
      </c>
      <c r="C435" t="s">
        <v>15</v>
      </c>
      <c r="D435">
        <v>1</v>
      </c>
      <c r="E435">
        <v>28</v>
      </c>
      <c r="F435">
        <v>3</v>
      </c>
      <c r="G435">
        <v>20260131</v>
      </c>
      <c r="H435">
        <v>20260303</v>
      </c>
      <c r="I435">
        <v>6626.1903000000002</v>
      </c>
      <c r="J435">
        <f t="shared" si="61"/>
        <v>32</v>
      </c>
      <c r="K435">
        <f t="shared" si="62"/>
        <v>207.06844687500001</v>
      </c>
      <c r="L435">
        <f t="shared" si="63"/>
        <v>251.14183410110107</v>
      </c>
      <c r="M435">
        <f t="shared" si="64"/>
        <v>5797.9165125</v>
      </c>
      <c r="N435">
        <f t="shared" si="65"/>
        <v>457.99484837285218</v>
      </c>
      <c r="O435">
        <f t="shared" si="66"/>
        <v>6507.0531949739534</v>
      </c>
      <c r="P435">
        <f t="shared" si="67"/>
        <v>255.73996941200454</v>
      </c>
      <c r="Q435">
        <f t="shared" si="68"/>
        <v>5904.0700919751916</v>
      </c>
      <c r="R435">
        <f t="shared" si="69"/>
        <v>466.38023861280442</v>
      </c>
      <c r="S435">
        <f t="shared" si="70"/>
        <v>6626.1903000000011</v>
      </c>
    </row>
    <row r="436" spans="1:19" x14ac:dyDescent="0.3">
      <c r="A436" t="s">
        <v>13</v>
      </c>
      <c r="B436" t="s">
        <v>24</v>
      </c>
      <c r="C436" t="s">
        <v>15</v>
      </c>
      <c r="D436">
        <v>0</v>
      </c>
      <c r="E436">
        <v>18</v>
      </c>
      <c r="F436">
        <v>0</v>
      </c>
      <c r="G436">
        <v>20260203</v>
      </c>
      <c r="H436">
        <v>20260220</v>
      </c>
      <c r="I436">
        <v>5437.6931000000004</v>
      </c>
      <c r="J436">
        <f t="shared" si="61"/>
        <v>18</v>
      </c>
      <c r="K436">
        <f t="shared" si="62"/>
        <v>302.09406111111116</v>
      </c>
      <c r="L436">
        <f t="shared" si="63"/>
        <v>0</v>
      </c>
      <c r="M436">
        <f t="shared" si="64"/>
        <v>5437.6931000000004</v>
      </c>
      <c r="N436">
        <f t="shared" si="65"/>
        <v>0</v>
      </c>
      <c r="O436">
        <f t="shared" si="66"/>
        <v>5437.6931000000004</v>
      </c>
      <c r="P436">
        <f t="shared" si="67"/>
        <v>0</v>
      </c>
      <c r="Q436">
        <f t="shared" si="68"/>
        <v>5437.6931000000004</v>
      </c>
      <c r="R436">
        <f t="shared" si="69"/>
        <v>0</v>
      </c>
      <c r="S436">
        <f t="shared" si="70"/>
        <v>5437.6931000000004</v>
      </c>
    </row>
    <row r="437" spans="1:19" x14ac:dyDescent="0.3">
      <c r="A437" t="s">
        <v>13</v>
      </c>
      <c r="B437" t="s">
        <v>24</v>
      </c>
      <c r="C437" t="s">
        <v>15</v>
      </c>
      <c r="D437">
        <v>0</v>
      </c>
      <c r="E437">
        <v>4</v>
      </c>
      <c r="F437">
        <v>17</v>
      </c>
      <c r="G437">
        <v>20260225</v>
      </c>
      <c r="H437">
        <v>20260317</v>
      </c>
      <c r="I437">
        <v>56591.932200000003</v>
      </c>
      <c r="J437">
        <f t="shared" si="61"/>
        <v>21</v>
      </c>
      <c r="K437">
        <f t="shared" si="62"/>
        <v>2694.8539142857144</v>
      </c>
      <c r="L437">
        <f t="shared" si="63"/>
        <v>0</v>
      </c>
      <c r="M437">
        <f t="shared" si="64"/>
        <v>10779.415657142858</v>
      </c>
      <c r="N437">
        <f t="shared" si="65"/>
        <v>33776.104607398534</v>
      </c>
      <c r="O437">
        <f t="shared" si="66"/>
        <v>44555.520264541396</v>
      </c>
      <c r="P437">
        <f t="shared" si="67"/>
        <v>0</v>
      </c>
      <c r="Q437">
        <f t="shared" si="68"/>
        <v>13691.411443580997</v>
      </c>
      <c r="R437">
        <f t="shared" si="69"/>
        <v>42900.520756419006</v>
      </c>
      <c r="S437">
        <f t="shared" si="70"/>
        <v>56591.932200000003</v>
      </c>
    </row>
    <row r="438" spans="1:19" x14ac:dyDescent="0.3">
      <c r="A438" t="s">
        <v>13</v>
      </c>
      <c r="B438" t="s">
        <v>24</v>
      </c>
      <c r="C438" t="s">
        <v>14</v>
      </c>
      <c r="D438">
        <v>31</v>
      </c>
      <c r="E438">
        <v>1</v>
      </c>
      <c r="F438">
        <v>0</v>
      </c>
      <c r="G438">
        <v>20251231</v>
      </c>
      <c r="H438">
        <v>20260201</v>
      </c>
      <c r="I438">
        <v>2477.3868000000002</v>
      </c>
      <c r="J438">
        <f t="shared" si="61"/>
        <v>32</v>
      </c>
      <c r="K438">
        <f t="shared" si="62"/>
        <v>77.418337500000007</v>
      </c>
      <c r="L438">
        <f t="shared" si="63"/>
        <v>2910.7886331947916</v>
      </c>
      <c r="M438">
        <f t="shared" si="64"/>
        <v>77.418337500000007</v>
      </c>
      <c r="N438">
        <f t="shared" si="65"/>
        <v>0</v>
      </c>
      <c r="O438">
        <f t="shared" si="66"/>
        <v>2988.2069706947914</v>
      </c>
      <c r="P438">
        <f t="shared" si="67"/>
        <v>2413.2027694822445</v>
      </c>
      <c r="Q438">
        <f t="shared" si="68"/>
        <v>64.184030517755772</v>
      </c>
      <c r="R438">
        <f t="shared" si="69"/>
        <v>0</v>
      </c>
      <c r="S438">
        <f t="shared" si="70"/>
        <v>2477.3868000000002</v>
      </c>
    </row>
    <row r="439" spans="1:19" x14ac:dyDescent="0.3">
      <c r="A439" t="s">
        <v>13</v>
      </c>
      <c r="B439" t="s">
        <v>24</v>
      </c>
      <c r="C439" t="s">
        <v>15</v>
      </c>
      <c r="D439">
        <v>31</v>
      </c>
      <c r="E439">
        <v>3</v>
      </c>
      <c r="F439">
        <v>0</v>
      </c>
      <c r="G439">
        <v>20251231</v>
      </c>
      <c r="H439">
        <v>20260203</v>
      </c>
      <c r="I439">
        <v>18607.962100000001</v>
      </c>
      <c r="J439">
        <f t="shared" si="61"/>
        <v>34</v>
      </c>
      <c r="K439">
        <f t="shared" si="62"/>
        <v>547.2930029411765</v>
      </c>
      <c r="L439">
        <f t="shared" si="63"/>
        <v>20577.221152394552</v>
      </c>
      <c r="M439">
        <f t="shared" si="64"/>
        <v>1641.8790088235296</v>
      </c>
      <c r="N439">
        <f t="shared" si="65"/>
        <v>0</v>
      </c>
      <c r="O439">
        <f t="shared" si="66"/>
        <v>22219.100161218081</v>
      </c>
      <c r="P439">
        <f t="shared" si="67"/>
        <v>17232.927911068251</v>
      </c>
      <c r="Q439">
        <f t="shared" si="68"/>
        <v>1375.0341889317492</v>
      </c>
      <c r="R439">
        <f t="shared" si="69"/>
        <v>0</v>
      </c>
      <c r="S439">
        <f t="shared" si="70"/>
        <v>18607.962100000001</v>
      </c>
    </row>
    <row r="440" spans="1:19" x14ac:dyDescent="0.3">
      <c r="A440" t="s">
        <v>13</v>
      </c>
      <c r="B440" t="s">
        <v>24</v>
      </c>
      <c r="C440" t="s">
        <v>15</v>
      </c>
      <c r="D440">
        <v>4</v>
      </c>
      <c r="E440">
        <v>28</v>
      </c>
      <c r="F440">
        <v>3</v>
      </c>
      <c r="G440">
        <v>20260128</v>
      </c>
      <c r="H440">
        <v>20260303</v>
      </c>
      <c r="I440">
        <v>48427.5553</v>
      </c>
      <c r="J440">
        <f t="shared" si="61"/>
        <v>35</v>
      </c>
      <c r="K440">
        <f t="shared" si="62"/>
        <v>1383.6444371428572</v>
      </c>
      <c r="L440">
        <f t="shared" si="63"/>
        <v>6712.5823742254852</v>
      </c>
      <c r="M440">
        <f t="shared" si="64"/>
        <v>38742.044240000003</v>
      </c>
      <c r="N440">
        <f t="shared" si="65"/>
        <v>3060.3504964410495</v>
      </c>
      <c r="O440">
        <f t="shared" si="66"/>
        <v>48514.977110666543</v>
      </c>
      <c r="P440">
        <f t="shared" si="67"/>
        <v>6700.4866021494818</v>
      </c>
      <c r="Q440">
        <f t="shared" si="68"/>
        <v>38672.232815609175</v>
      </c>
      <c r="R440">
        <f t="shared" si="69"/>
        <v>3054.8358822413384</v>
      </c>
      <c r="S440">
        <f t="shared" si="70"/>
        <v>48427.555299999993</v>
      </c>
    </row>
    <row r="441" spans="1:19" x14ac:dyDescent="0.3">
      <c r="A441" t="s">
        <v>13</v>
      </c>
      <c r="B441" t="s">
        <v>24</v>
      </c>
      <c r="C441" t="s">
        <v>15</v>
      </c>
      <c r="D441">
        <v>11</v>
      </c>
      <c r="E441">
        <v>3</v>
      </c>
      <c r="F441">
        <v>0</v>
      </c>
      <c r="G441">
        <v>20260121</v>
      </c>
      <c r="H441">
        <v>20260203</v>
      </c>
      <c r="I441">
        <v>10729.272800000001</v>
      </c>
      <c r="J441">
        <f t="shared" si="61"/>
        <v>14</v>
      </c>
      <c r="K441">
        <f t="shared" si="62"/>
        <v>766.37662857142857</v>
      </c>
      <c r="L441">
        <f t="shared" si="63"/>
        <v>10224.452760328917</v>
      </c>
      <c r="M441">
        <f t="shared" si="64"/>
        <v>2299.1298857142856</v>
      </c>
      <c r="N441">
        <f t="shared" si="65"/>
        <v>0</v>
      </c>
      <c r="O441">
        <f t="shared" si="66"/>
        <v>12523.582646043204</v>
      </c>
      <c r="P441">
        <f t="shared" si="67"/>
        <v>8759.5495631548947</v>
      </c>
      <c r="Q441">
        <f t="shared" si="68"/>
        <v>1969.7232368451043</v>
      </c>
      <c r="R441">
        <f t="shared" si="69"/>
        <v>0</v>
      </c>
      <c r="S441">
        <f t="shared" si="70"/>
        <v>10729.272799999999</v>
      </c>
    </row>
    <row r="442" spans="1:19" x14ac:dyDescent="0.3">
      <c r="A442" t="s">
        <v>13</v>
      </c>
      <c r="B442" t="s">
        <v>24</v>
      </c>
      <c r="C442" t="s">
        <v>15</v>
      </c>
      <c r="D442">
        <v>1</v>
      </c>
      <c r="E442">
        <v>28</v>
      </c>
      <c r="F442">
        <v>2</v>
      </c>
      <c r="G442">
        <v>20260131</v>
      </c>
      <c r="H442">
        <v>20260302</v>
      </c>
      <c r="I442">
        <v>11435.6895</v>
      </c>
      <c r="J442">
        <f t="shared" si="61"/>
        <v>31</v>
      </c>
      <c r="K442">
        <f t="shared" si="62"/>
        <v>368.89320967741935</v>
      </c>
      <c r="L442">
        <f t="shared" si="63"/>
        <v>447.41011324509236</v>
      </c>
      <c r="M442">
        <f t="shared" si="64"/>
        <v>10329.009870967742</v>
      </c>
      <c r="N442">
        <f t="shared" si="65"/>
        <v>543.94635262472536</v>
      </c>
      <c r="O442">
        <f t="shared" si="66"/>
        <v>11320.36633683756</v>
      </c>
      <c r="P442">
        <f t="shared" si="67"/>
        <v>451.96798248315662</v>
      </c>
      <c r="Q442">
        <f t="shared" si="68"/>
        <v>10434.233858885862</v>
      </c>
      <c r="R442">
        <f t="shared" si="69"/>
        <v>549.48765863098311</v>
      </c>
      <c r="S442">
        <f t="shared" si="70"/>
        <v>11435.689500000002</v>
      </c>
    </row>
    <row r="443" spans="1:19" x14ac:dyDescent="0.3">
      <c r="A443" t="s">
        <v>13</v>
      </c>
      <c r="B443" t="s">
        <v>24</v>
      </c>
      <c r="C443" t="s">
        <v>15</v>
      </c>
      <c r="D443">
        <v>0</v>
      </c>
      <c r="E443">
        <v>4</v>
      </c>
      <c r="F443">
        <v>4</v>
      </c>
      <c r="G443">
        <v>20260225</v>
      </c>
      <c r="H443">
        <v>20260304</v>
      </c>
      <c r="I443">
        <v>1992.4612999999999</v>
      </c>
      <c r="J443">
        <f t="shared" si="61"/>
        <v>8</v>
      </c>
      <c r="K443">
        <f t="shared" si="62"/>
        <v>249.05766249999999</v>
      </c>
      <c r="L443">
        <f t="shared" si="63"/>
        <v>0</v>
      </c>
      <c r="M443">
        <f t="shared" si="64"/>
        <v>996.23064999999997</v>
      </c>
      <c r="N443">
        <f t="shared" si="65"/>
        <v>734.48902585428891</v>
      </c>
      <c r="O443">
        <f t="shared" si="66"/>
        <v>1730.7196758542889</v>
      </c>
      <c r="P443">
        <f t="shared" si="67"/>
        <v>0</v>
      </c>
      <c r="Q443">
        <f t="shared" si="68"/>
        <v>1146.8934245628579</v>
      </c>
      <c r="R443">
        <f t="shared" si="69"/>
        <v>845.56787543714188</v>
      </c>
      <c r="S443">
        <f t="shared" si="70"/>
        <v>1992.4612999999999</v>
      </c>
    </row>
    <row r="444" spans="1:19" x14ac:dyDescent="0.3">
      <c r="A444" t="s">
        <v>13</v>
      </c>
      <c r="B444" t="s">
        <v>24</v>
      </c>
      <c r="C444" t="s">
        <v>15</v>
      </c>
      <c r="D444">
        <v>0</v>
      </c>
      <c r="E444">
        <v>4</v>
      </c>
      <c r="F444">
        <v>3</v>
      </c>
      <c r="G444">
        <v>20260225</v>
      </c>
      <c r="H444">
        <v>20260303</v>
      </c>
      <c r="I444">
        <v>2755.2745</v>
      </c>
      <c r="J444">
        <f t="shared" si="61"/>
        <v>7</v>
      </c>
      <c r="K444">
        <f t="shared" si="62"/>
        <v>393.61064285714286</v>
      </c>
      <c r="L444">
        <f t="shared" si="63"/>
        <v>0</v>
      </c>
      <c r="M444">
        <f t="shared" si="64"/>
        <v>1574.4425714285715</v>
      </c>
      <c r="N444">
        <f t="shared" si="65"/>
        <v>870.58965001134004</v>
      </c>
      <c r="O444">
        <f t="shared" si="66"/>
        <v>2445.0322214399116</v>
      </c>
      <c r="P444">
        <f t="shared" si="67"/>
        <v>0</v>
      </c>
      <c r="Q444">
        <f t="shared" si="68"/>
        <v>1774.218527973776</v>
      </c>
      <c r="R444">
        <f t="shared" si="69"/>
        <v>981.0559720262238</v>
      </c>
      <c r="S444">
        <f t="shared" si="70"/>
        <v>2755.2744999999995</v>
      </c>
    </row>
    <row r="445" spans="1:19" x14ac:dyDescent="0.3">
      <c r="A445" t="s">
        <v>13</v>
      </c>
      <c r="B445" t="s">
        <v>24</v>
      </c>
      <c r="C445" t="s">
        <v>15</v>
      </c>
      <c r="D445">
        <v>0</v>
      </c>
      <c r="E445">
        <v>16</v>
      </c>
      <c r="F445">
        <v>16</v>
      </c>
      <c r="G445">
        <v>20260213</v>
      </c>
      <c r="H445">
        <v>20260316</v>
      </c>
      <c r="I445">
        <v>78765.834799999997</v>
      </c>
      <c r="J445">
        <f t="shared" si="61"/>
        <v>32</v>
      </c>
      <c r="K445">
        <f t="shared" si="62"/>
        <v>2461.4323374999999</v>
      </c>
      <c r="L445">
        <f t="shared" si="63"/>
        <v>0</v>
      </c>
      <c r="M445">
        <f t="shared" si="64"/>
        <v>39382.917399999998</v>
      </c>
      <c r="N445">
        <f t="shared" si="65"/>
        <v>29035.766603271968</v>
      </c>
      <c r="O445">
        <f t="shared" si="66"/>
        <v>68418.684003271963</v>
      </c>
      <c r="P445">
        <f t="shared" si="67"/>
        <v>0</v>
      </c>
      <c r="Q445">
        <f t="shared" si="68"/>
        <v>45338.907216077088</v>
      </c>
      <c r="R445">
        <f t="shared" si="69"/>
        <v>33426.927583922916</v>
      </c>
      <c r="S445">
        <f t="shared" si="70"/>
        <v>78765.834800000011</v>
      </c>
    </row>
    <row r="446" spans="1:19" x14ac:dyDescent="0.3">
      <c r="A446" t="s">
        <v>13</v>
      </c>
      <c r="B446" t="s">
        <v>24</v>
      </c>
      <c r="C446" t="s">
        <v>14</v>
      </c>
      <c r="D446">
        <v>2</v>
      </c>
      <c r="E446">
        <v>28</v>
      </c>
      <c r="F446">
        <v>5</v>
      </c>
      <c r="G446">
        <v>20260130</v>
      </c>
      <c r="H446">
        <v>20260305</v>
      </c>
      <c r="I446">
        <v>1519.5947000000001</v>
      </c>
      <c r="J446">
        <f t="shared" si="61"/>
        <v>35</v>
      </c>
      <c r="K446">
        <f t="shared" si="62"/>
        <v>43.416991428571428</v>
      </c>
      <c r="L446">
        <f t="shared" si="63"/>
        <v>105.31612153449404</v>
      </c>
      <c r="M446">
        <f t="shared" si="64"/>
        <v>1215.6757600000001</v>
      </c>
      <c r="N446">
        <f t="shared" si="65"/>
        <v>160.04980242223746</v>
      </c>
      <c r="O446">
        <f t="shared" si="66"/>
        <v>1481.0416839567315</v>
      </c>
      <c r="P446">
        <f t="shared" si="67"/>
        <v>108.05760691408638</v>
      </c>
      <c r="Q446">
        <f t="shared" si="68"/>
        <v>1247.3210320989467</v>
      </c>
      <c r="R446">
        <f t="shared" si="69"/>
        <v>164.21606098696719</v>
      </c>
      <c r="S446">
        <f t="shared" si="70"/>
        <v>1519.5947000000003</v>
      </c>
    </row>
    <row r="447" spans="1:19" x14ac:dyDescent="0.3">
      <c r="A447" t="s">
        <v>13</v>
      </c>
      <c r="B447" t="s">
        <v>24</v>
      </c>
      <c r="C447" t="s">
        <v>15</v>
      </c>
      <c r="D447">
        <v>0</v>
      </c>
      <c r="E447">
        <v>17</v>
      </c>
      <c r="F447">
        <v>3</v>
      </c>
      <c r="G447">
        <v>20260212</v>
      </c>
      <c r="H447">
        <v>20260303</v>
      </c>
      <c r="I447">
        <v>9548.6108999999997</v>
      </c>
      <c r="J447">
        <f t="shared" si="61"/>
        <v>20</v>
      </c>
      <c r="K447">
        <f t="shared" si="62"/>
        <v>477.430545</v>
      </c>
      <c r="L447">
        <f t="shared" si="63"/>
        <v>0</v>
      </c>
      <c r="M447">
        <f t="shared" si="64"/>
        <v>8116.3192650000001</v>
      </c>
      <c r="N447">
        <f t="shared" si="65"/>
        <v>1055.9828567113418</v>
      </c>
      <c r="O447">
        <f t="shared" si="66"/>
        <v>9172.3021217113419</v>
      </c>
      <c r="P447">
        <f t="shared" si="67"/>
        <v>0</v>
      </c>
      <c r="Q447">
        <f t="shared" si="68"/>
        <v>8449.3046100404008</v>
      </c>
      <c r="R447">
        <f t="shared" si="69"/>
        <v>1099.3062899595993</v>
      </c>
      <c r="S447">
        <f t="shared" si="70"/>
        <v>9548.6108999999997</v>
      </c>
    </row>
    <row r="448" spans="1:19" x14ac:dyDescent="0.3">
      <c r="A448" t="s">
        <v>13</v>
      </c>
      <c r="B448" t="s">
        <v>24</v>
      </c>
      <c r="C448" t="s">
        <v>15</v>
      </c>
      <c r="D448">
        <v>0</v>
      </c>
      <c r="E448">
        <v>16</v>
      </c>
      <c r="F448">
        <v>5</v>
      </c>
      <c r="G448">
        <v>20260213</v>
      </c>
      <c r="H448">
        <v>20260305</v>
      </c>
      <c r="I448">
        <v>13270.998299999999</v>
      </c>
      <c r="J448">
        <f t="shared" si="61"/>
        <v>21</v>
      </c>
      <c r="K448">
        <f t="shared" si="62"/>
        <v>631.95229999999992</v>
      </c>
      <c r="L448">
        <f t="shared" si="63"/>
        <v>0</v>
      </c>
      <c r="M448">
        <f t="shared" si="64"/>
        <v>10111.236799999999</v>
      </c>
      <c r="N448">
        <f t="shared" si="65"/>
        <v>2329.5911906212546</v>
      </c>
      <c r="O448">
        <f t="shared" si="66"/>
        <v>12440.827990621254</v>
      </c>
      <c r="P448">
        <f t="shared" si="67"/>
        <v>0</v>
      </c>
      <c r="Q448">
        <f t="shared" si="68"/>
        <v>10785.954639422405</v>
      </c>
      <c r="R448">
        <f t="shared" si="69"/>
        <v>2485.0436605775949</v>
      </c>
      <c r="S448">
        <f t="shared" si="70"/>
        <v>13270.998299999999</v>
      </c>
    </row>
    <row r="449" spans="1:19" x14ac:dyDescent="0.3">
      <c r="A449" t="s">
        <v>13</v>
      </c>
      <c r="B449" t="s">
        <v>24</v>
      </c>
      <c r="C449" t="s">
        <v>15</v>
      </c>
      <c r="D449">
        <v>0</v>
      </c>
      <c r="E449">
        <v>6</v>
      </c>
      <c r="F449">
        <v>3</v>
      </c>
      <c r="G449">
        <v>20260223</v>
      </c>
      <c r="H449">
        <v>20260303</v>
      </c>
      <c r="I449">
        <v>83933.137700000007</v>
      </c>
      <c r="J449">
        <f t="shared" si="61"/>
        <v>9</v>
      </c>
      <c r="K449">
        <f t="shared" si="62"/>
        <v>9325.9041888888896</v>
      </c>
      <c r="L449">
        <f t="shared" si="63"/>
        <v>0</v>
      </c>
      <c r="M449">
        <f t="shared" si="64"/>
        <v>55955.425133333338</v>
      </c>
      <c r="N449">
        <f t="shared" si="65"/>
        <v>20627.073508250625</v>
      </c>
      <c r="O449">
        <f t="shared" si="66"/>
        <v>76582.498641583967</v>
      </c>
      <c r="P449">
        <f t="shared" si="67"/>
        <v>0</v>
      </c>
      <c r="Q449">
        <f t="shared" si="68"/>
        <v>61326.210114381422</v>
      </c>
      <c r="R449">
        <f t="shared" si="69"/>
        <v>22606.927585618578</v>
      </c>
      <c r="S449">
        <f t="shared" si="70"/>
        <v>83933.137699999992</v>
      </c>
    </row>
    <row r="450" spans="1:19" x14ac:dyDescent="0.3">
      <c r="A450" t="s">
        <v>13</v>
      </c>
      <c r="B450" t="s">
        <v>24</v>
      </c>
      <c r="C450" t="s">
        <v>15</v>
      </c>
      <c r="D450">
        <v>12</v>
      </c>
      <c r="E450">
        <v>6</v>
      </c>
      <c r="F450">
        <v>0</v>
      </c>
      <c r="G450">
        <v>20260120</v>
      </c>
      <c r="H450">
        <v>20260206</v>
      </c>
      <c r="I450">
        <v>16747.260600000001</v>
      </c>
      <c r="J450">
        <f t="shared" si="61"/>
        <v>18</v>
      </c>
      <c r="K450">
        <f t="shared" si="62"/>
        <v>930.40336666666678</v>
      </c>
      <c r="L450">
        <f t="shared" si="63"/>
        <v>13541.215659934529</v>
      </c>
      <c r="M450">
        <f t="shared" si="64"/>
        <v>5582.4202000000005</v>
      </c>
      <c r="N450">
        <f t="shared" si="65"/>
        <v>0</v>
      </c>
      <c r="O450">
        <f t="shared" si="66"/>
        <v>19123.635859934529</v>
      </c>
      <c r="P450">
        <f t="shared" si="67"/>
        <v>11858.53302994763</v>
      </c>
      <c r="Q450">
        <f t="shared" si="68"/>
        <v>4888.7275700523714</v>
      </c>
      <c r="R450">
        <f t="shared" si="69"/>
        <v>0</v>
      </c>
      <c r="S450">
        <f t="shared" si="70"/>
        <v>16747.260600000001</v>
      </c>
    </row>
    <row r="451" spans="1:19" x14ac:dyDescent="0.3">
      <c r="A451" t="s">
        <v>13</v>
      </c>
      <c r="B451" t="s">
        <v>24</v>
      </c>
      <c r="C451" t="s">
        <v>15</v>
      </c>
      <c r="D451">
        <v>18</v>
      </c>
      <c r="E451">
        <v>5</v>
      </c>
      <c r="F451">
        <v>0</v>
      </c>
      <c r="G451">
        <v>20260114</v>
      </c>
      <c r="H451">
        <v>20260205</v>
      </c>
      <c r="I451">
        <v>39656.770400000001</v>
      </c>
      <c r="J451">
        <f t="shared" si="61"/>
        <v>23</v>
      </c>
      <c r="K451">
        <f t="shared" si="62"/>
        <v>1724.2074086956522</v>
      </c>
      <c r="L451">
        <f t="shared" si="63"/>
        <v>37641.519581854889</v>
      </c>
      <c r="M451">
        <f t="shared" si="64"/>
        <v>8621.0370434782617</v>
      </c>
      <c r="N451">
        <f t="shared" si="65"/>
        <v>0</v>
      </c>
      <c r="O451">
        <f t="shared" si="66"/>
        <v>46262.556625333149</v>
      </c>
      <c r="P451">
        <f t="shared" si="67"/>
        <v>32266.722992721629</v>
      </c>
      <c r="Q451">
        <f t="shared" si="68"/>
        <v>7390.0474072783754</v>
      </c>
      <c r="R451">
        <f t="shared" si="69"/>
        <v>0</v>
      </c>
      <c r="S451">
        <f t="shared" si="70"/>
        <v>39656.770400000001</v>
      </c>
    </row>
    <row r="452" spans="1:19" x14ac:dyDescent="0.3">
      <c r="A452" t="s">
        <v>13</v>
      </c>
      <c r="B452" t="s">
        <v>24</v>
      </c>
      <c r="C452" t="s">
        <v>15</v>
      </c>
      <c r="D452">
        <v>0</v>
      </c>
      <c r="E452">
        <v>18</v>
      </c>
      <c r="F452">
        <v>1</v>
      </c>
      <c r="G452">
        <v>20260211</v>
      </c>
      <c r="H452">
        <v>20260301</v>
      </c>
      <c r="I452">
        <v>9880.6026000000002</v>
      </c>
      <c r="J452">
        <f t="shared" si="61"/>
        <v>19</v>
      </c>
      <c r="K452">
        <f t="shared" si="62"/>
        <v>520.03171578947365</v>
      </c>
      <c r="L452">
        <f t="shared" si="63"/>
        <v>0</v>
      </c>
      <c r="M452">
        <f t="shared" si="64"/>
        <v>9360.570884210525</v>
      </c>
      <c r="N452">
        <f t="shared" si="65"/>
        <v>383.40276756546785</v>
      </c>
      <c r="O452">
        <f t="shared" si="66"/>
        <v>9743.973651775992</v>
      </c>
      <c r="P452">
        <f t="shared" si="67"/>
        <v>0</v>
      </c>
      <c r="Q452">
        <f t="shared" si="68"/>
        <v>9491.8238001554328</v>
      </c>
      <c r="R452">
        <f t="shared" si="69"/>
        <v>388.77879984456746</v>
      </c>
      <c r="S452">
        <f t="shared" si="70"/>
        <v>9880.6026000000002</v>
      </c>
    </row>
    <row r="453" spans="1:19" x14ac:dyDescent="0.3">
      <c r="A453" t="s">
        <v>13</v>
      </c>
      <c r="B453" t="s">
        <v>24</v>
      </c>
      <c r="C453" t="s">
        <v>15</v>
      </c>
      <c r="D453">
        <v>1</v>
      </c>
      <c r="E453">
        <v>28</v>
      </c>
      <c r="F453">
        <v>1</v>
      </c>
      <c r="G453">
        <v>20260131</v>
      </c>
      <c r="H453">
        <v>20260301</v>
      </c>
      <c r="I453">
        <v>506.2944</v>
      </c>
      <c r="J453">
        <f t="shared" si="61"/>
        <v>30</v>
      </c>
      <c r="K453">
        <f t="shared" si="62"/>
        <v>16.876480000000001</v>
      </c>
      <c r="L453">
        <f t="shared" si="63"/>
        <v>20.468546532968968</v>
      </c>
      <c r="M453">
        <f t="shared" si="64"/>
        <v>472.54144000000002</v>
      </c>
      <c r="N453">
        <f t="shared" si="65"/>
        <v>12.442489452667804</v>
      </c>
      <c r="O453">
        <f t="shared" si="66"/>
        <v>505.4524759856368</v>
      </c>
      <c r="P453">
        <f t="shared" si="67"/>
        <v>20.502640659882903</v>
      </c>
      <c r="Q453">
        <f t="shared" si="68"/>
        <v>473.32854463400537</v>
      </c>
      <c r="R453">
        <f t="shared" si="69"/>
        <v>12.463214706111728</v>
      </c>
      <c r="S453">
        <f t="shared" si="70"/>
        <v>506.2944</v>
      </c>
    </row>
    <row r="454" spans="1:19" x14ac:dyDescent="0.3">
      <c r="A454" t="s">
        <v>13</v>
      </c>
      <c r="B454" t="s">
        <v>24</v>
      </c>
      <c r="C454" t="s">
        <v>14</v>
      </c>
      <c r="D454">
        <v>1</v>
      </c>
      <c r="E454">
        <v>28</v>
      </c>
      <c r="F454">
        <v>3</v>
      </c>
      <c r="G454">
        <v>20260131</v>
      </c>
      <c r="H454">
        <v>20260303</v>
      </c>
      <c r="I454">
        <v>11986.229600000001</v>
      </c>
      <c r="J454">
        <f t="shared" si="61"/>
        <v>32</v>
      </c>
      <c r="K454">
        <f t="shared" si="62"/>
        <v>374.56967500000002</v>
      </c>
      <c r="L454">
        <f t="shared" si="63"/>
        <v>454.29478318799676</v>
      </c>
      <c r="M454">
        <f t="shared" si="64"/>
        <v>10487.9509</v>
      </c>
      <c r="N454">
        <f t="shared" si="65"/>
        <v>828.47475844667383</v>
      </c>
      <c r="O454">
        <f t="shared" si="66"/>
        <v>11770.72044163467</v>
      </c>
      <c r="P454">
        <f t="shared" si="67"/>
        <v>462.61242923694226</v>
      </c>
      <c r="Q454">
        <f t="shared" si="68"/>
        <v>10679.973935687865</v>
      </c>
      <c r="R454">
        <f t="shared" si="69"/>
        <v>843.64323507519259</v>
      </c>
      <c r="S454">
        <f t="shared" si="70"/>
        <v>11986.229600000001</v>
      </c>
    </row>
    <row r="455" spans="1:19" x14ac:dyDescent="0.3">
      <c r="A455" t="s">
        <v>13</v>
      </c>
      <c r="B455" t="s">
        <v>24</v>
      </c>
      <c r="C455" t="s">
        <v>14</v>
      </c>
      <c r="D455">
        <v>6</v>
      </c>
      <c r="E455">
        <v>28</v>
      </c>
      <c r="F455">
        <v>5</v>
      </c>
      <c r="G455">
        <v>20260126</v>
      </c>
      <c r="H455">
        <v>20260305</v>
      </c>
      <c r="I455">
        <v>10673.123299999999</v>
      </c>
      <c r="J455">
        <f t="shared" si="61"/>
        <v>39</v>
      </c>
      <c r="K455">
        <f t="shared" si="62"/>
        <v>273.66982820512817</v>
      </c>
      <c r="L455">
        <f t="shared" si="63"/>
        <v>1991.5137327047901</v>
      </c>
      <c r="M455">
        <f t="shared" si="64"/>
        <v>7662.7551897435887</v>
      </c>
      <c r="N455">
        <f t="shared" si="65"/>
        <v>1008.8400990478219</v>
      </c>
      <c r="O455">
        <f t="shared" si="66"/>
        <v>10663.109021496201</v>
      </c>
      <c r="P455">
        <f t="shared" si="67"/>
        <v>1993.3840664998625</v>
      </c>
      <c r="Q455">
        <f t="shared" si="68"/>
        <v>7669.9516804126633</v>
      </c>
      <c r="R455">
        <f t="shared" si="69"/>
        <v>1009.7875530874738</v>
      </c>
      <c r="S455">
        <f t="shared" si="70"/>
        <v>10673.123299999999</v>
      </c>
    </row>
    <row r="456" spans="1:19" x14ac:dyDescent="0.3">
      <c r="A456" t="s">
        <v>13</v>
      </c>
      <c r="B456" t="s">
        <v>24</v>
      </c>
      <c r="C456" t="s">
        <v>14</v>
      </c>
      <c r="D456">
        <v>9</v>
      </c>
      <c r="E456">
        <v>1</v>
      </c>
      <c r="F456">
        <v>0</v>
      </c>
      <c r="G456">
        <v>20260123</v>
      </c>
      <c r="H456">
        <v>20260201</v>
      </c>
      <c r="I456">
        <v>2397.3505</v>
      </c>
      <c r="J456">
        <f t="shared" si="61"/>
        <v>10</v>
      </c>
      <c r="K456">
        <f t="shared" si="62"/>
        <v>239.73505</v>
      </c>
      <c r="L456">
        <f t="shared" si="63"/>
        <v>2616.8521065161563</v>
      </c>
      <c r="M456">
        <f t="shared" si="64"/>
        <v>239.73505</v>
      </c>
      <c r="N456">
        <f t="shared" si="65"/>
        <v>0</v>
      </c>
      <c r="O456">
        <f t="shared" si="66"/>
        <v>2856.587156516156</v>
      </c>
      <c r="P456">
        <f t="shared" si="67"/>
        <v>2196.1562389833143</v>
      </c>
      <c r="Q456">
        <f t="shared" si="68"/>
        <v>201.19426101668623</v>
      </c>
      <c r="R456">
        <f t="shared" si="69"/>
        <v>0</v>
      </c>
      <c r="S456">
        <f t="shared" si="70"/>
        <v>2397.3505000000005</v>
      </c>
    </row>
    <row r="457" spans="1:19" x14ac:dyDescent="0.3">
      <c r="A457" t="s">
        <v>13</v>
      </c>
      <c r="B457" t="s">
        <v>24</v>
      </c>
      <c r="C457" t="s">
        <v>15</v>
      </c>
      <c r="D457">
        <v>0</v>
      </c>
      <c r="E457">
        <v>5</v>
      </c>
      <c r="F457">
        <v>3</v>
      </c>
      <c r="G457">
        <v>20260224</v>
      </c>
      <c r="H457">
        <v>20260303</v>
      </c>
      <c r="I457">
        <v>1822.1251999999999</v>
      </c>
      <c r="J457">
        <f t="shared" si="61"/>
        <v>8</v>
      </c>
      <c r="K457">
        <f t="shared" si="62"/>
        <v>227.76564999999999</v>
      </c>
      <c r="L457">
        <f t="shared" si="63"/>
        <v>0</v>
      </c>
      <c r="M457">
        <f t="shared" si="64"/>
        <v>1138.82825</v>
      </c>
      <c r="N457">
        <f t="shared" si="65"/>
        <v>503.77300796226928</v>
      </c>
      <c r="O457">
        <f t="shared" si="66"/>
        <v>1642.6012579622693</v>
      </c>
      <c r="P457">
        <f t="shared" si="67"/>
        <v>0</v>
      </c>
      <c r="Q457">
        <f t="shared" si="68"/>
        <v>1263.293597723864</v>
      </c>
      <c r="R457">
        <f t="shared" si="69"/>
        <v>558.83160227613598</v>
      </c>
      <c r="S457">
        <f t="shared" si="70"/>
        <v>1822.1251999999999</v>
      </c>
    </row>
    <row r="458" spans="1:19" x14ac:dyDescent="0.3">
      <c r="A458" t="s">
        <v>13</v>
      </c>
      <c r="B458" t="s">
        <v>24</v>
      </c>
      <c r="C458" t="s">
        <v>15</v>
      </c>
      <c r="D458">
        <v>0</v>
      </c>
      <c r="E458">
        <v>10</v>
      </c>
      <c r="F458">
        <v>1</v>
      </c>
      <c r="G458">
        <v>20260219</v>
      </c>
      <c r="H458">
        <v>20260301</v>
      </c>
      <c r="I458">
        <v>126.79300000000001</v>
      </c>
      <c r="J458">
        <f t="shared" si="61"/>
        <v>11</v>
      </c>
      <c r="K458">
        <f t="shared" si="62"/>
        <v>11.526636363636364</v>
      </c>
      <c r="L458">
        <f t="shared" si="63"/>
        <v>0</v>
      </c>
      <c r="M458">
        <f t="shared" si="64"/>
        <v>115.26636363636364</v>
      </c>
      <c r="N458">
        <f t="shared" si="65"/>
        <v>8.4982206822324695</v>
      </c>
      <c r="O458">
        <f t="shared" si="66"/>
        <v>123.76458431859611</v>
      </c>
      <c r="P458">
        <f t="shared" si="67"/>
        <v>0</v>
      </c>
      <c r="Q458">
        <f t="shared" si="68"/>
        <v>118.08683497795661</v>
      </c>
      <c r="R458">
        <f t="shared" si="69"/>
        <v>8.7061650220433933</v>
      </c>
      <c r="S458">
        <f t="shared" si="70"/>
        <v>126.79300000000001</v>
      </c>
    </row>
    <row r="459" spans="1:19" x14ac:dyDescent="0.3">
      <c r="A459" t="s">
        <v>13</v>
      </c>
      <c r="B459" t="s">
        <v>24</v>
      </c>
      <c r="C459" t="s">
        <v>14</v>
      </c>
      <c r="D459">
        <v>0</v>
      </c>
      <c r="E459">
        <v>25</v>
      </c>
      <c r="F459">
        <v>1</v>
      </c>
      <c r="G459">
        <v>20260204</v>
      </c>
      <c r="H459">
        <v>20260301</v>
      </c>
      <c r="I459">
        <v>518634.60499999998</v>
      </c>
      <c r="J459">
        <f t="shared" ref="J459:J522" si="71">IF(D459&lt;0,0,D459)+E459+F459</f>
        <v>26</v>
      </c>
      <c r="K459">
        <f t="shared" ref="K459:K522" si="72">I459/J459</f>
        <v>19947.484807692308</v>
      </c>
      <c r="L459">
        <f t="shared" ref="L459:L522" si="73">IF(D459&lt;0,0,D459)*$K459*$B$6</f>
        <v>0</v>
      </c>
      <c r="M459">
        <f t="shared" ref="M459:M522" si="74">IF(E459&lt;0,0,E459)*$K459*$C$6</f>
        <v>498687.12019230769</v>
      </c>
      <c r="N459">
        <f t="shared" ref="N459:N522" si="75">IF(F459&lt;0,0,F459)*$K459*$D$6</f>
        <v>14706.643170078287</v>
      </c>
      <c r="O459">
        <f t="shared" ref="O459:O522" si="76">L459+M459+N459</f>
        <v>513393.76336238597</v>
      </c>
      <c r="P459">
        <f t="shared" ref="P459:P522" si="77">L459/$O459*$I459</f>
        <v>0</v>
      </c>
      <c r="Q459">
        <f t="shared" ref="Q459:Q522" si="78">M459/$O459*$I459</f>
        <v>503777.83303332224</v>
      </c>
      <c r="R459">
        <f t="shared" ref="R459:R522" si="79">N459/$O459*$I459</f>
        <v>14856.771966677776</v>
      </c>
      <c r="S459">
        <f t="shared" ref="S459:S522" si="80">P459+Q459+R459</f>
        <v>518634.60500000004</v>
      </c>
    </row>
    <row r="460" spans="1:19" x14ac:dyDescent="0.3">
      <c r="A460" t="s">
        <v>13</v>
      </c>
      <c r="B460" t="s">
        <v>24</v>
      </c>
      <c r="C460" t="s">
        <v>14</v>
      </c>
      <c r="D460">
        <v>28</v>
      </c>
      <c r="E460">
        <v>3</v>
      </c>
      <c r="F460">
        <v>0</v>
      </c>
      <c r="G460">
        <v>20260104</v>
      </c>
      <c r="H460">
        <v>20260203</v>
      </c>
      <c r="I460">
        <v>811296.34920000006</v>
      </c>
      <c r="J460">
        <f t="shared" si="71"/>
        <v>31</v>
      </c>
      <c r="K460">
        <f t="shared" si="72"/>
        <v>26170.849974193548</v>
      </c>
      <c r="L460">
        <f t="shared" si="73"/>
        <v>888752.82607010764</v>
      </c>
      <c r="M460">
        <f t="shared" si="74"/>
        <v>78512.549922580642</v>
      </c>
      <c r="N460">
        <f t="shared" si="75"/>
        <v>0</v>
      </c>
      <c r="O460">
        <f t="shared" si="76"/>
        <v>967265.37599268823</v>
      </c>
      <c r="P460">
        <f t="shared" si="77"/>
        <v>745443.7438038839</v>
      </c>
      <c r="Q460">
        <f t="shared" si="78"/>
        <v>65852.605396116152</v>
      </c>
      <c r="R460">
        <f t="shared" si="79"/>
        <v>0</v>
      </c>
      <c r="S460">
        <f t="shared" si="80"/>
        <v>811296.34920000006</v>
      </c>
    </row>
    <row r="461" spans="1:19" x14ac:dyDescent="0.3">
      <c r="A461" t="s">
        <v>13</v>
      </c>
      <c r="B461" t="s">
        <v>24</v>
      </c>
      <c r="C461" t="s">
        <v>15</v>
      </c>
      <c r="D461">
        <v>28</v>
      </c>
      <c r="E461">
        <v>3</v>
      </c>
      <c r="F461">
        <v>0</v>
      </c>
      <c r="G461">
        <v>20260104</v>
      </c>
      <c r="H461">
        <v>20260203</v>
      </c>
      <c r="I461">
        <v>7824360.3013000004</v>
      </c>
      <c r="J461">
        <f t="shared" si="71"/>
        <v>31</v>
      </c>
      <c r="K461">
        <f t="shared" si="72"/>
        <v>252398.71939677422</v>
      </c>
      <c r="L461">
        <f t="shared" si="73"/>
        <v>8571371.4067963343</v>
      </c>
      <c r="M461">
        <f t="shared" si="74"/>
        <v>757196.15819032269</v>
      </c>
      <c r="N461">
        <f t="shared" si="75"/>
        <v>0</v>
      </c>
      <c r="O461">
        <f t="shared" si="76"/>
        <v>9328567.5649866574</v>
      </c>
      <c r="P461">
        <f t="shared" si="77"/>
        <v>7189260.054754301</v>
      </c>
      <c r="Q461">
        <f t="shared" si="78"/>
        <v>635100.24654569884</v>
      </c>
      <c r="R461">
        <f t="shared" si="79"/>
        <v>0</v>
      </c>
      <c r="S461">
        <f t="shared" si="80"/>
        <v>7824360.3012999995</v>
      </c>
    </row>
    <row r="462" spans="1:19" x14ac:dyDescent="0.3">
      <c r="A462" t="s">
        <v>13</v>
      </c>
      <c r="B462" t="s">
        <v>24</v>
      </c>
      <c r="C462" t="s">
        <v>14</v>
      </c>
      <c r="D462">
        <v>0</v>
      </c>
      <c r="E462">
        <v>26</v>
      </c>
      <c r="F462">
        <v>3</v>
      </c>
      <c r="G462">
        <v>20260203</v>
      </c>
      <c r="H462">
        <v>20260303</v>
      </c>
      <c r="I462">
        <v>1814000.2779000001</v>
      </c>
      <c r="J462">
        <f t="shared" si="71"/>
        <v>29</v>
      </c>
      <c r="K462">
        <f t="shared" si="72"/>
        <v>62551.733720689655</v>
      </c>
      <c r="L462">
        <f t="shared" si="73"/>
        <v>0</v>
      </c>
      <c r="M462">
        <f t="shared" si="74"/>
        <v>1626345.076737931</v>
      </c>
      <c r="N462">
        <f t="shared" si="75"/>
        <v>138352.18370165449</v>
      </c>
      <c r="O462">
        <f t="shared" si="76"/>
        <v>1764697.2604395854</v>
      </c>
      <c r="P462">
        <f t="shared" si="77"/>
        <v>0</v>
      </c>
      <c r="Q462">
        <f t="shared" si="78"/>
        <v>1671782.7399069075</v>
      </c>
      <c r="R462">
        <f t="shared" si="79"/>
        <v>142217.53799309256</v>
      </c>
      <c r="S462">
        <f t="shared" si="80"/>
        <v>1814000.2779000001</v>
      </c>
    </row>
    <row r="463" spans="1:19" x14ac:dyDescent="0.3">
      <c r="A463" t="s">
        <v>13</v>
      </c>
      <c r="B463" t="s">
        <v>24</v>
      </c>
      <c r="C463" t="s">
        <v>14</v>
      </c>
      <c r="D463">
        <v>30</v>
      </c>
      <c r="E463">
        <v>2</v>
      </c>
      <c r="F463">
        <v>0</v>
      </c>
      <c r="G463">
        <v>20260102</v>
      </c>
      <c r="H463">
        <v>20260202</v>
      </c>
      <c r="I463">
        <v>1021131.3975</v>
      </c>
      <c r="J463">
        <f t="shared" si="71"/>
        <v>32</v>
      </c>
      <c r="K463">
        <f t="shared" si="72"/>
        <v>31910.356171874999</v>
      </c>
      <c r="L463">
        <f t="shared" si="73"/>
        <v>1161069.0325013928</v>
      </c>
      <c r="M463">
        <f t="shared" si="74"/>
        <v>63820.712343749998</v>
      </c>
      <c r="N463">
        <f t="shared" si="75"/>
        <v>0</v>
      </c>
      <c r="O463">
        <f t="shared" si="76"/>
        <v>1224889.7448451428</v>
      </c>
      <c r="P463">
        <f t="shared" si="77"/>
        <v>967927.15323288995</v>
      </c>
      <c r="Q463">
        <f t="shared" si="78"/>
        <v>53204.244267109927</v>
      </c>
      <c r="R463">
        <f t="shared" si="79"/>
        <v>0</v>
      </c>
      <c r="S463">
        <f t="shared" si="80"/>
        <v>1021131.3974999998</v>
      </c>
    </row>
    <row r="464" spans="1:19" x14ac:dyDescent="0.3">
      <c r="A464" t="s">
        <v>13</v>
      </c>
      <c r="B464" t="s">
        <v>24</v>
      </c>
      <c r="C464" t="s">
        <v>15</v>
      </c>
      <c r="D464">
        <v>27</v>
      </c>
      <c r="E464">
        <v>4</v>
      </c>
      <c r="F464">
        <v>0</v>
      </c>
      <c r="G464">
        <v>20260105</v>
      </c>
      <c r="H464">
        <v>20260204</v>
      </c>
      <c r="I464">
        <v>1258834.7069000001</v>
      </c>
      <c r="J464">
        <f t="shared" si="71"/>
        <v>31</v>
      </c>
      <c r="K464">
        <f t="shared" si="72"/>
        <v>40607.571190322582</v>
      </c>
      <c r="L464">
        <f t="shared" si="73"/>
        <v>1329768.1112115283</v>
      </c>
      <c r="M464">
        <f t="shared" si="74"/>
        <v>162430.28476129033</v>
      </c>
      <c r="N464">
        <f t="shared" si="75"/>
        <v>0</v>
      </c>
      <c r="O464">
        <f t="shared" si="76"/>
        <v>1492198.3959728186</v>
      </c>
      <c r="P464">
        <f t="shared" si="77"/>
        <v>1121806.761781577</v>
      </c>
      <c r="Q464">
        <f t="shared" si="78"/>
        <v>137027.94511842317</v>
      </c>
      <c r="R464">
        <f t="shared" si="79"/>
        <v>0</v>
      </c>
      <c r="S464">
        <f t="shared" si="80"/>
        <v>1258834.7069000001</v>
      </c>
    </row>
    <row r="465" spans="1:19" x14ac:dyDescent="0.3">
      <c r="A465" t="s">
        <v>13</v>
      </c>
      <c r="B465" t="s">
        <v>24</v>
      </c>
      <c r="C465" t="s">
        <v>14</v>
      </c>
      <c r="D465">
        <v>0</v>
      </c>
      <c r="E465">
        <v>27</v>
      </c>
      <c r="F465">
        <v>1</v>
      </c>
      <c r="G465">
        <v>20260202</v>
      </c>
      <c r="H465">
        <v>20260301</v>
      </c>
      <c r="I465">
        <v>3352450.486</v>
      </c>
      <c r="J465">
        <f t="shared" si="71"/>
        <v>28</v>
      </c>
      <c r="K465">
        <f t="shared" si="72"/>
        <v>119730.37450000001</v>
      </c>
      <c r="L465">
        <f t="shared" si="73"/>
        <v>0</v>
      </c>
      <c r="M465">
        <f t="shared" si="74"/>
        <v>3232720.1115000001</v>
      </c>
      <c r="N465">
        <f t="shared" si="75"/>
        <v>88273.379394294083</v>
      </c>
      <c r="O465">
        <f t="shared" si="76"/>
        <v>3320993.4908942943</v>
      </c>
      <c r="P465">
        <f t="shared" si="77"/>
        <v>0</v>
      </c>
      <c r="Q465">
        <f t="shared" si="78"/>
        <v>3263340.9666761383</v>
      </c>
      <c r="R465">
        <f t="shared" si="79"/>
        <v>89109.519323861561</v>
      </c>
      <c r="S465">
        <f t="shared" si="80"/>
        <v>3352450.486</v>
      </c>
    </row>
    <row r="466" spans="1:19" x14ac:dyDescent="0.3">
      <c r="A466" t="s">
        <v>13</v>
      </c>
      <c r="B466" t="s">
        <v>24</v>
      </c>
      <c r="C466" t="s">
        <v>14</v>
      </c>
      <c r="D466">
        <v>26</v>
      </c>
      <c r="E466">
        <v>3</v>
      </c>
      <c r="F466">
        <v>0</v>
      </c>
      <c r="G466">
        <v>20260106</v>
      </c>
      <c r="H466">
        <v>20260203</v>
      </c>
      <c r="I466">
        <v>1086541.0574</v>
      </c>
      <c r="J466">
        <f t="shared" si="71"/>
        <v>29</v>
      </c>
      <c r="K466">
        <f t="shared" si="72"/>
        <v>37466.933013793103</v>
      </c>
      <c r="L466">
        <f t="shared" si="73"/>
        <v>1181480.688381217</v>
      </c>
      <c r="M466">
        <f t="shared" si="74"/>
        <v>112400.7990413793</v>
      </c>
      <c r="N466">
        <f t="shared" si="75"/>
        <v>0</v>
      </c>
      <c r="O466">
        <f t="shared" si="76"/>
        <v>1293881.4874225962</v>
      </c>
      <c r="P466">
        <f t="shared" si="77"/>
        <v>992152.13211573497</v>
      </c>
      <c r="Q466">
        <f t="shared" si="78"/>
        <v>94388.92528426506</v>
      </c>
      <c r="R466">
        <f t="shared" si="79"/>
        <v>0</v>
      </c>
      <c r="S466">
        <f t="shared" si="80"/>
        <v>1086541.0574</v>
      </c>
    </row>
    <row r="467" spans="1:19" x14ac:dyDescent="0.3">
      <c r="A467" t="s">
        <v>13</v>
      </c>
      <c r="B467" t="s">
        <v>24</v>
      </c>
      <c r="C467" t="s">
        <v>14</v>
      </c>
      <c r="D467">
        <v>0</v>
      </c>
      <c r="E467">
        <v>26</v>
      </c>
      <c r="F467">
        <v>5</v>
      </c>
      <c r="G467">
        <v>20260203</v>
      </c>
      <c r="H467">
        <v>20260305</v>
      </c>
      <c r="I467">
        <v>226201.66450000001</v>
      </c>
      <c r="J467">
        <f t="shared" si="71"/>
        <v>31</v>
      </c>
      <c r="K467">
        <f t="shared" si="72"/>
        <v>7296.8278870967742</v>
      </c>
      <c r="L467">
        <f t="shared" si="73"/>
        <v>0</v>
      </c>
      <c r="M467">
        <f t="shared" si="74"/>
        <v>189717.52506451614</v>
      </c>
      <c r="N467">
        <f t="shared" si="75"/>
        <v>26898.590234199877</v>
      </c>
      <c r="O467">
        <f t="shared" si="76"/>
        <v>216616.11529871603</v>
      </c>
      <c r="P467">
        <f t="shared" si="77"/>
        <v>0</v>
      </c>
      <c r="Q467">
        <f t="shared" si="78"/>
        <v>198112.77612117899</v>
      </c>
      <c r="R467">
        <f t="shared" si="79"/>
        <v>28088.888378821015</v>
      </c>
      <c r="S467">
        <f t="shared" si="80"/>
        <v>226201.66450000001</v>
      </c>
    </row>
    <row r="468" spans="1:19" x14ac:dyDescent="0.3">
      <c r="A468" t="s">
        <v>13</v>
      </c>
      <c r="B468" t="s">
        <v>24</v>
      </c>
      <c r="C468" t="s">
        <v>14</v>
      </c>
      <c r="D468">
        <v>28</v>
      </c>
      <c r="E468">
        <v>4</v>
      </c>
      <c r="F468">
        <v>0</v>
      </c>
      <c r="G468">
        <v>20260104</v>
      </c>
      <c r="H468">
        <v>20260204</v>
      </c>
      <c r="I468">
        <v>361660.6911</v>
      </c>
      <c r="J468">
        <f t="shared" si="71"/>
        <v>32</v>
      </c>
      <c r="K468">
        <f t="shared" si="72"/>
        <v>11301.896596875</v>
      </c>
      <c r="L468">
        <f t="shared" si="73"/>
        <v>383808.41853931075</v>
      </c>
      <c r="M468">
        <f t="shared" si="74"/>
        <v>45207.5863875</v>
      </c>
      <c r="N468">
        <f t="shared" si="75"/>
        <v>0</v>
      </c>
      <c r="O468">
        <f t="shared" si="76"/>
        <v>429016.00492681074</v>
      </c>
      <c r="P468">
        <f t="shared" si="77"/>
        <v>323550.67481131759</v>
      </c>
      <c r="Q468">
        <f t="shared" si="78"/>
        <v>38110.016288682389</v>
      </c>
      <c r="R468">
        <f t="shared" si="79"/>
        <v>0</v>
      </c>
      <c r="S468">
        <f t="shared" si="80"/>
        <v>361660.6911</v>
      </c>
    </row>
    <row r="469" spans="1:19" x14ac:dyDescent="0.3">
      <c r="A469" t="s">
        <v>13</v>
      </c>
      <c r="B469" t="s">
        <v>24</v>
      </c>
      <c r="C469" t="s">
        <v>14</v>
      </c>
      <c r="D469">
        <v>29</v>
      </c>
      <c r="E469">
        <v>3</v>
      </c>
      <c r="F469">
        <v>0</v>
      </c>
      <c r="G469">
        <v>20260103</v>
      </c>
      <c r="H469">
        <v>20260203</v>
      </c>
      <c r="I469">
        <v>1382005.3940000001</v>
      </c>
      <c r="J469">
        <f t="shared" si="71"/>
        <v>32</v>
      </c>
      <c r="K469">
        <f t="shared" si="72"/>
        <v>43187.668562500003</v>
      </c>
      <c r="L469">
        <f t="shared" si="73"/>
        <v>1519017.9056910679</v>
      </c>
      <c r="M469">
        <f t="shared" si="74"/>
        <v>129563.0056875</v>
      </c>
      <c r="N469">
        <f t="shared" si="75"/>
        <v>0</v>
      </c>
      <c r="O469">
        <f t="shared" si="76"/>
        <v>1648580.911378568</v>
      </c>
      <c r="P469">
        <f t="shared" si="77"/>
        <v>1273392.7250753988</v>
      </c>
      <c r="Q469">
        <f t="shared" si="78"/>
        <v>108612.66892460118</v>
      </c>
      <c r="R469">
        <f t="shared" si="79"/>
        <v>0</v>
      </c>
      <c r="S469">
        <f t="shared" si="80"/>
        <v>1382005.3940000001</v>
      </c>
    </row>
    <row r="470" spans="1:19" x14ac:dyDescent="0.3">
      <c r="A470" t="s">
        <v>13</v>
      </c>
      <c r="B470" t="s">
        <v>24</v>
      </c>
      <c r="C470" t="s">
        <v>15</v>
      </c>
      <c r="D470">
        <v>0</v>
      </c>
      <c r="E470">
        <v>24</v>
      </c>
      <c r="F470">
        <v>3</v>
      </c>
      <c r="G470">
        <v>20260205</v>
      </c>
      <c r="H470">
        <v>20260303</v>
      </c>
      <c r="I470">
        <v>3180579.8144999999</v>
      </c>
      <c r="J470">
        <f t="shared" si="71"/>
        <v>27</v>
      </c>
      <c r="K470">
        <f t="shared" si="72"/>
        <v>117799.25238888888</v>
      </c>
      <c r="L470">
        <f t="shared" si="73"/>
        <v>0</v>
      </c>
      <c r="M470">
        <f t="shared" si="74"/>
        <v>2827182.0573333334</v>
      </c>
      <c r="N470">
        <f t="shared" si="75"/>
        <v>260548.87429977744</v>
      </c>
      <c r="O470">
        <f t="shared" si="76"/>
        <v>3087730.9316331111</v>
      </c>
      <c r="P470">
        <f t="shared" si="77"/>
        <v>0</v>
      </c>
      <c r="Q470">
        <f t="shared" si="78"/>
        <v>2912196.166883959</v>
      </c>
      <c r="R470">
        <f t="shared" si="79"/>
        <v>268383.64761604066</v>
      </c>
      <c r="S470">
        <f t="shared" si="80"/>
        <v>3180579.8144999994</v>
      </c>
    </row>
    <row r="471" spans="1:19" x14ac:dyDescent="0.3">
      <c r="A471" t="s">
        <v>13</v>
      </c>
      <c r="B471" t="s">
        <v>24</v>
      </c>
      <c r="C471" t="s">
        <v>14</v>
      </c>
      <c r="D471">
        <v>0</v>
      </c>
      <c r="E471">
        <v>22</v>
      </c>
      <c r="F471">
        <v>4</v>
      </c>
      <c r="G471">
        <v>20260207</v>
      </c>
      <c r="H471">
        <v>20260304</v>
      </c>
      <c r="I471">
        <v>126539.0444</v>
      </c>
      <c r="J471">
        <f t="shared" si="71"/>
        <v>26</v>
      </c>
      <c r="K471">
        <f t="shared" si="72"/>
        <v>4866.886323076923</v>
      </c>
      <c r="L471">
        <f t="shared" si="73"/>
        <v>0</v>
      </c>
      <c r="M471">
        <f t="shared" si="74"/>
        <v>107071.4991076923</v>
      </c>
      <c r="N471">
        <f t="shared" si="75"/>
        <v>14352.799100811972</v>
      </c>
      <c r="O471">
        <f t="shared" si="76"/>
        <v>121424.29820850427</v>
      </c>
      <c r="P471">
        <f t="shared" si="77"/>
        <v>0</v>
      </c>
      <c r="Q471">
        <f t="shared" si="78"/>
        <v>111581.66346819303</v>
      </c>
      <c r="R471">
        <f t="shared" si="79"/>
        <v>14957.380931806978</v>
      </c>
      <c r="S471">
        <f t="shared" si="80"/>
        <v>126539.04440000001</v>
      </c>
    </row>
    <row r="472" spans="1:19" x14ac:dyDescent="0.3">
      <c r="A472" t="s">
        <v>13</v>
      </c>
      <c r="B472" t="s">
        <v>24</v>
      </c>
      <c r="C472" t="s">
        <v>14</v>
      </c>
      <c r="D472">
        <v>25</v>
      </c>
      <c r="E472">
        <v>5</v>
      </c>
      <c r="F472">
        <v>0</v>
      </c>
      <c r="G472">
        <v>20260107</v>
      </c>
      <c r="H472">
        <v>20260205</v>
      </c>
      <c r="I472">
        <v>841098.94889999996</v>
      </c>
      <c r="J472">
        <f t="shared" si="71"/>
        <v>30</v>
      </c>
      <c r="K472">
        <f t="shared" si="72"/>
        <v>28036.63163</v>
      </c>
      <c r="L472">
        <f t="shared" si="73"/>
        <v>850101.8860958633</v>
      </c>
      <c r="M472">
        <f t="shared" si="74"/>
        <v>140183.15815</v>
      </c>
      <c r="N472">
        <f t="shared" si="75"/>
        <v>0</v>
      </c>
      <c r="O472">
        <f t="shared" si="76"/>
        <v>990285.04424586333</v>
      </c>
      <c r="P472">
        <f t="shared" si="77"/>
        <v>722034.33446543734</v>
      </c>
      <c r="Q472">
        <f t="shared" si="78"/>
        <v>119064.61443456258</v>
      </c>
      <c r="R472">
        <f t="shared" si="79"/>
        <v>0</v>
      </c>
      <c r="S472">
        <f t="shared" si="80"/>
        <v>841098.94889999996</v>
      </c>
    </row>
    <row r="473" spans="1:19" x14ac:dyDescent="0.3">
      <c r="A473" t="s">
        <v>13</v>
      </c>
      <c r="B473" t="s">
        <v>24</v>
      </c>
      <c r="C473" t="s">
        <v>14</v>
      </c>
      <c r="D473">
        <v>0</v>
      </c>
      <c r="E473">
        <v>23</v>
      </c>
      <c r="F473">
        <v>4</v>
      </c>
      <c r="G473">
        <v>20260206</v>
      </c>
      <c r="H473">
        <v>20260304</v>
      </c>
      <c r="I473">
        <v>488073.3174</v>
      </c>
      <c r="J473">
        <f t="shared" si="71"/>
        <v>27</v>
      </c>
      <c r="K473">
        <f t="shared" si="72"/>
        <v>18076.789533333333</v>
      </c>
      <c r="L473">
        <f t="shared" si="73"/>
        <v>0</v>
      </c>
      <c r="M473">
        <f t="shared" si="74"/>
        <v>415766.15926666663</v>
      </c>
      <c r="N473">
        <f t="shared" si="75"/>
        <v>53309.75727322184</v>
      </c>
      <c r="O473">
        <f t="shared" si="76"/>
        <v>469075.91653988848</v>
      </c>
      <c r="P473">
        <f t="shared" si="77"/>
        <v>0</v>
      </c>
      <c r="Q473">
        <f t="shared" si="78"/>
        <v>432604.53470474173</v>
      </c>
      <c r="R473">
        <f t="shared" si="79"/>
        <v>55468.782695258233</v>
      </c>
      <c r="S473">
        <f t="shared" si="80"/>
        <v>488073.31739999994</v>
      </c>
    </row>
    <row r="474" spans="1:19" x14ac:dyDescent="0.3">
      <c r="A474" t="s">
        <v>13</v>
      </c>
      <c r="B474" t="s">
        <v>24</v>
      </c>
      <c r="C474" t="s">
        <v>15</v>
      </c>
      <c r="D474">
        <v>23</v>
      </c>
      <c r="E474">
        <v>7</v>
      </c>
      <c r="F474">
        <v>0</v>
      </c>
      <c r="G474">
        <v>20260109</v>
      </c>
      <c r="H474">
        <v>20260207</v>
      </c>
      <c r="I474">
        <v>304096.79460000002</v>
      </c>
      <c r="J474">
        <f t="shared" si="71"/>
        <v>30</v>
      </c>
      <c r="K474">
        <f t="shared" si="72"/>
        <v>10136.55982</v>
      </c>
      <c r="L474">
        <f t="shared" si="73"/>
        <v>282763.63710190461</v>
      </c>
      <c r="M474">
        <f t="shared" si="74"/>
        <v>70955.918740000008</v>
      </c>
      <c r="N474">
        <f t="shared" si="75"/>
        <v>0</v>
      </c>
      <c r="O474">
        <f t="shared" si="76"/>
        <v>353719.5558419046</v>
      </c>
      <c r="P474">
        <f t="shared" si="77"/>
        <v>243095.17031780697</v>
      </c>
      <c r="Q474">
        <f t="shared" si="78"/>
        <v>61001.624282193072</v>
      </c>
      <c r="R474">
        <f t="shared" si="79"/>
        <v>0</v>
      </c>
      <c r="S474">
        <f t="shared" si="80"/>
        <v>304096.79460000002</v>
      </c>
    </row>
    <row r="475" spans="1:19" x14ac:dyDescent="0.3">
      <c r="A475" t="s">
        <v>13</v>
      </c>
      <c r="B475" t="s">
        <v>24</v>
      </c>
      <c r="C475" t="s">
        <v>14</v>
      </c>
      <c r="D475">
        <v>0</v>
      </c>
      <c r="E475">
        <v>9</v>
      </c>
      <c r="F475">
        <v>15</v>
      </c>
      <c r="G475">
        <v>20260220</v>
      </c>
      <c r="H475">
        <v>20260315</v>
      </c>
      <c r="I475">
        <v>1757933.4805999999</v>
      </c>
      <c r="J475">
        <f t="shared" si="71"/>
        <v>24</v>
      </c>
      <c r="K475">
        <f t="shared" si="72"/>
        <v>73247.228358333334</v>
      </c>
      <c r="L475">
        <f t="shared" si="73"/>
        <v>0</v>
      </c>
      <c r="M475">
        <f t="shared" si="74"/>
        <v>659225.05522500002</v>
      </c>
      <c r="N475">
        <f t="shared" si="75"/>
        <v>810042.61518312409</v>
      </c>
      <c r="O475">
        <f t="shared" si="76"/>
        <v>1469267.6704081241</v>
      </c>
      <c r="P475">
        <f t="shared" si="77"/>
        <v>0</v>
      </c>
      <c r="Q475">
        <f t="shared" si="78"/>
        <v>788742.45936991635</v>
      </c>
      <c r="R475">
        <f t="shared" si="79"/>
        <v>969191.02123008354</v>
      </c>
      <c r="S475">
        <f t="shared" si="80"/>
        <v>1757933.4805999999</v>
      </c>
    </row>
    <row r="476" spans="1:19" x14ac:dyDescent="0.3">
      <c r="A476" t="s">
        <v>13</v>
      </c>
      <c r="B476" t="s">
        <v>24</v>
      </c>
      <c r="C476" t="s">
        <v>14</v>
      </c>
      <c r="D476">
        <v>24</v>
      </c>
      <c r="E476">
        <v>4</v>
      </c>
      <c r="F476">
        <v>0</v>
      </c>
      <c r="G476">
        <v>20260108</v>
      </c>
      <c r="H476">
        <v>20260204</v>
      </c>
      <c r="I476">
        <v>208622.52919999999</v>
      </c>
      <c r="J476">
        <f t="shared" si="71"/>
        <v>28</v>
      </c>
      <c r="K476">
        <f t="shared" si="72"/>
        <v>7450.8046142857138</v>
      </c>
      <c r="L476">
        <f t="shared" si="73"/>
        <v>216880.02373324346</v>
      </c>
      <c r="M476">
        <f t="shared" si="74"/>
        <v>29803.218457142855</v>
      </c>
      <c r="N476">
        <f t="shared" si="75"/>
        <v>0</v>
      </c>
      <c r="O476">
        <f t="shared" si="76"/>
        <v>246683.24219038631</v>
      </c>
      <c r="P476">
        <f t="shared" si="77"/>
        <v>183417.64394869216</v>
      </c>
      <c r="Q476">
        <f t="shared" si="78"/>
        <v>25204.885251307824</v>
      </c>
      <c r="R476">
        <f t="shared" si="79"/>
        <v>0</v>
      </c>
      <c r="S476">
        <f t="shared" si="80"/>
        <v>208622.52919999999</v>
      </c>
    </row>
    <row r="477" spans="1:19" x14ac:dyDescent="0.3">
      <c r="A477" t="s">
        <v>13</v>
      </c>
      <c r="B477" t="s">
        <v>24</v>
      </c>
      <c r="C477" t="s">
        <v>14</v>
      </c>
      <c r="D477">
        <v>0</v>
      </c>
      <c r="E477">
        <v>23</v>
      </c>
      <c r="F477">
        <v>1</v>
      </c>
      <c r="G477">
        <v>20260206</v>
      </c>
      <c r="H477">
        <v>20260301</v>
      </c>
      <c r="I477">
        <v>87291.271599999993</v>
      </c>
      <c r="J477">
        <f t="shared" si="71"/>
        <v>24</v>
      </c>
      <c r="K477">
        <f t="shared" si="72"/>
        <v>3637.1363166666665</v>
      </c>
      <c r="L477">
        <f t="shared" si="73"/>
        <v>0</v>
      </c>
      <c r="M477">
        <f t="shared" si="74"/>
        <v>83654.135283333337</v>
      </c>
      <c r="N477">
        <f t="shared" si="75"/>
        <v>2681.5443894722134</v>
      </c>
      <c r="O477">
        <f t="shared" si="76"/>
        <v>86335.679672805549</v>
      </c>
      <c r="P477">
        <f t="shared" si="77"/>
        <v>0</v>
      </c>
      <c r="Q477">
        <f t="shared" si="78"/>
        <v>84580.046988159651</v>
      </c>
      <c r="R477">
        <f t="shared" si="79"/>
        <v>2711.2246118403514</v>
      </c>
      <c r="S477">
        <f t="shared" si="80"/>
        <v>87291.271600000007</v>
      </c>
    </row>
    <row r="478" spans="1:19" x14ac:dyDescent="0.3">
      <c r="A478" t="s">
        <v>13</v>
      </c>
      <c r="B478" t="s">
        <v>24</v>
      </c>
      <c r="C478" t="s">
        <v>15</v>
      </c>
      <c r="D478">
        <v>0</v>
      </c>
      <c r="E478">
        <v>23</v>
      </c>
      <c r="F478">
        <v>1</v>
      </c>
      <c r="G478">
        <v>20260206</v>
      </c>
      <c r="H478">
        <v>20260301</v>
      </c>
      <c r="I478">
        <v>948422.65410000004</v>
      </c>
      <c r="J478">
        <f t="shared" si="71"/>
        <v>24</v>
      </c>
      <c r="K478">
        <f t="shared" si="72"/>
        <v>39517.610587499999</v>
      </c>
      <c r="L478">
        <f t="shared" si="73"/>
        <v>0</v>
      </c>
      <c r="M478">
        <f t="shared" si="74"/>
        <v>908905.04351250001</v>
      </c>
      <c r="N478">
        <f t="shared" si="75"/>
        <v>29135.07158658691</v>
      </c>
      <c r="O478">
        <f t="shared" si="76"/>
        <v>938040.11509908689</v>
      </c>
      <c r="P478">
        <f t="shared" si="77"/>
        <v>0</v>
      </c>
      <c r="Q478">
        <f t="shared" si="78"/>
        <v>918965.10588136618</v>
      </c>
      <c r="R478">
        <f t="shared" si="79"/>
        <v>29457.54821863391</v>
      </c>
      <c r="S478">
        <f t="shared" si="80"/>
        <v>948422.65410000004</v>
      </c>
    </row>
    <row r="479" spans="1:19" x14ac:dyDescent="0.3">
      <c r="A479" t="s">
        <v>13</v>
      </c>
      <c r="B479" t="s">
        <v>24</v>
      </c>
      <c r="C479" t="s">
        <v>14</v>
      </c>
      <c r="D479">
        <v>0</v>
      </c>
      <c r="E479">
        <v>10</v>
      </c>
      <c r="F479">
        <v>0</v>
      </c>
      <c r="G479">
        <v>20260201</v>
      </c>
      <c r="H479">
        <v>20260210</v>
      </c>
      <c r="I479">
        <v>61596.914299999997</v>
      </c>
      <c r="J479">
        <f t="shared" si="71"/>
        <v>10</v>
      </c>
      <c r="K479">
        <f t="shared" si="72"/>
        <v>6159.6914299999999</v>
      </c>
      <c r="L479">
        <f t="shared" si="73"/>
        <v>0</v>
      </c>
      <c r="M479">
        <f t="shared" si="74"/>
        <v>61596.914299999997</v>
      </c>
      <c r="N479">
        <f t="shared" si="75"/>
        <v>0</v>
      </c>
      <c r="O479">
        <f t="shared" si="76"/>
        <v>61596.914299999997</v>
      </c>
      <c r="P479">
        <f t="shared" si="77"/>
        <v>0</v>
      </c>
      <c r="Q479">
        <f t="shared" si="78"/>
        <v>61596.914299999997</v>
      </c>
      <c r="R479">
        <f t="shared" si="79"/>
        <v>0</v>
      </c>
      <c r="S479">
        <f t="shared" si="80"/>
        <v>61596.914299999997</v>
      </c>
    </row>
    <row r="480" spans="1:19" x14ac:dyDescent="0.3">
      <c r="A480" t="s">
        <v>13</v>
      </c>
      <c r="B480" t="s">
        <v>24</v>
      </c>
      <c r="C480" t="s">
        <v>15</v>
      </c>
      <c r="D480">
        <v>28</v>
      </c>
      <c r="E480">
        <v>5</v>
      </c>
      <c r="F480">
        <v>0</v>
      </c>
      <c r="G480">
        <v>20260104</v>
      </c>
      <c r="H480">
        <v>20260205</v>
      </c>
      <c r="I480">
        <v>1198767.7779999999</v>
      </c>
      <c r="J480">
        <f t="shared" si="71"/>
        <v>33</v>
      </c>
      <c r="K480">
        <f t="shared" si="72"/>
        <v>36326.2963030303</v>
      </c>
      <c r="L480">
        <f t="shared" si="73"/>
        <v>1233628.1982363525</v>
      </c>
      <c r="M480">
        <f t="shared" si="74"/>
        <v>181631.48151515151</v>
      </c>
      <c r="N480">
        <f t="shared" si="75"/>
        <v>0</v>
      </c>
      <c r="O480">
        <f t="shared" si="76"/>
        <v>1415259.679751504</v>
      </c>
      <c r="P480">
        <f t="shared" si="77"/>
        <v>1044920.4165398072</v>
      </c>
      <c r="Q480">
        <f t="shared" si="78"/>
        <v>153847.36146019274</v>
      </c>
      <c r="R480">
        <f t="shared" si="79"/>
        <v>0</v>
      </c>
      <c r="S480">
        <f t="shared" si="80"/>
        <v>1198767.7779999999</v>
      </c>
    </row>
    <row r="481" spans="1:19" x14ac:dyDescent="0.3">
      <c r="A481" t="s">
        <v>13</v>
      </c>
      <c r="B481" t="s">
        <v>24</v>
      </c>
      <c r="C481" t="s">
        <v>15</v>
      </c>
      <c r="D481">
        <v>30</v>
      </c>
      <c r="E481">
        <v>9</v>
      </c>
      <c r="F481">
        <v>0</v>
      </c>
      <c r="G481">
        <v>20260102</v>
      </c>
      <c r="H481">
        <v>20260209</v>
      </c>
      <c r="I481">
        <v>20971.551800000001</v>
      </c>
      <c r="J481">
        <f t="shared" si="71"/>
        <v>39</v>
      </c>
      <c r="K481">
        <f t="shared" si="72"/>
        <v>537.73209743589746</v>
      </c>
      <c r="L481">
        <f t="shared" si="73"/>
        <v>19565.563065232211</v>
      </c>
      <c r="M481">
        <f t="shared" si="74"/>
        <v>4839.5888769230769</v>
      </c>
      <c r="N481">
        <f t="shared" si="75"/>
        <v>0</v>
      </c>
      <c r="O481">
        <f t="shared" si="76"/>
        <v>24405.151942155288</v>
      </c>
      <c r="P481">
        <f t="shared" si="77"/>
        <v>16812.852478493834</v>
      </c>
      <c r="Q481">
        <f t="shared" si="78"/>
        <v>4158.6993215061684</v>
      </c>
      <c r="R481">
        <f t="shared" si="79"/>
        <v>0</v>
      </c>
      <c r="S481">
        <f t="shared" si="80"/>
        <v>20971.551800000001</v>
      </c>
    </row>
    <row r="482" spans="1:19" x14ac:dyDescent="0.3">
      <c r="A482" t="s">
        <v>13</v>
      </c>
      <c r="B482" t="s">
        <v>24</v>
      </c>
      <c r="C482" t="s">
        <v>14</v>
      </c>
      <c r="D482">
        <v>0</v>
      </c>
      <c r="E482">
        <v>12</v>
      </c>
      <c r="F482">
        <v>15</v>
      </c>
      <c r="G482">
        <v>20260217</v>
      </c>
      <c r="H482">
        <v>20260315</v>
      </c>
      <c r="I482">
        <v>206522.4976</v>
      </c>
      <c r="J482">
        <f t="shared" si="71"/>
        <v>27</v>
      </c>
      <c r="K482">
        <f t="shared" si="72"/>
        <v>7648.9813925925928</v>
      </c>
      <c r="L482">
        <f t="shared" si="73"/>
        <v>0</v>
      </c>
      <c r="M482">
        <f t="shared" si="74"/>
        <v>91787.776711111117</v>
      </c>
      <c r="N482">
        <f t="shared" si="75"/>
        <v>84590.243612103019</v>
      </c>
      <c r="O482">
        <f t="shared" si="76"/>
        <v>176378.02032321412</v>
      </c>
      <c r="P482">
        <f t="shared" si="77"/>
        <v>0</v>
      </c>
      <c r="Q482">
        <f t="shared" si="78"/>
        <v>107475.07461979854</v>
      </c>
      <c r="R482">
        <f t="shared" si="79"/>
        <v>99047.422980201474</v>
      </c>
      <c r="S482">
        <f t="shared" si="80"/>
        <v>206522.4976</v>
      </c>
    </row>
    <row r="483" spans="1:19" x14ac:dyDescent="0.3">
      <c r="A483" t="s">
        <v>13</v>
      </c>
      <c r="B483" t="s">
        <v>24</v>
      </c>
      <c r="C483" t="s">
        <v>15</v>
      </c>
      <c r="D483">
        <v>0</v>
      </c>
      <c r="E483">
        <v>21</v>
      </c>
      <c r="F483">
        <v>2</v>
      </c>
      <c r="G483">
        <v>20260208</v>
      </c>
      <c r="H483">
        <v>20260302</v>
      </c>
      <c r="I483">
        <v>337.79039999999998</v>
      </c>
      <c r="J483">
        <f t="shared" si="71"/>
        <v>23</v>
      </c>
      <c r="K483">
        <f t="shared" si="72"/>
        <v>14.686539130434781</v>
      </c>
      <c r="L483">
        <f t="shared" si="73"/>
        <v>0</v>
      </c>
      <c r="M483">
        <f t="shared" si="74"/>
        <v>308.41732173913039</v>
      </c>
      <c r="N483">
        <f t="shared" si="75"/>
        <v>21.655832048700645</v>
      </c>
      <c r="O483">
        <f t="shared" si="76"/>
        <v>330.07315378783102</v>
      </c>
      <c r="P483">
        <f t="shared" si="77"/>
        <v>0</v>
      </c>
      <c r="Q483">
        <f t="shared" si="78"/>
        <v>315.62824568324652</v>
      </c>
      <c r="R483">
        <f t="shared" si="79"/>
        <v>22.162154316753465</v>
      </c>
      <c r="S483">
        <f t="shared" si="80"/>
        <v>337.79039999999998</v>
      </c>
    </row>
    <row r="484" spans="1:19" x14ac:dyDescent="0.3">
      <c r="A484" t="s">
        <v>13</v>
      </c>
      <c r="B484" t="s">
        <v>24</v>
      </c>
      <c r="C484" t="s">
        <v>14</v>
      </c>
      <c r="D484">
        <v>29</v>
      </c>
      <c r="E484">
        <v>6</v>
      </c>
      <c r="F484">
        <v>0</v>
      </c>
      <c r="G484">
        <v>20260103</v>
      </c>
      <c r="H484">
        <v>20260206</v>
      </c>
      <c r="I484">
        <v>80957.0671</v>
      </c>
      <c r="J484">
        <f t="shared" si="71"/>
        <v>35</v>
      </c>
      <c r="K484">
        <f t="shared" si="72"/>
        <v>2313.05906</v>
      </c>
      <c r="L484">
        <f t="shared" si="73"/>
        <v>81356.050141400832</v>
      </c>
      <c r="M484">
        <f t="shared" si="74"/>
        <v>13878.354360000001</v>
      </c>
      <c r="N484">
        <f t="shared" si="75"/>
        <v>0</v>
      </c>
      <c r="O484">
        <f t="shared" si="76"/>
        <v>95234.40450140083</v>
      </c>
      <c r="P484">
        <f t="shared" si="77"/>
        <v>69159.325821074162</v>
      </c>
      <c r="Q484">
        <f t="shared" si="78"/>
        <v>11797.741278925841</v>
      </c>
      <c r="R484">
        <f t="shared" si="79"/>
        <v>0</v>
      </c>
      <c r="S484">
        <f t="shared" si="80"/>
        <v>80957.0671</v>
      </c>
    </row>
    <row r="485" spans="1:19" x14ac:dyDescent="0.3">
      <c r="A485" t="s">
        <v>13</v>
      </c>
      <c r="B485" t="s">
        <v>24</v>
      </c>
      <c r="C485" t="s">
        <v>15</v>
      </c>
      <c r="D485">
        <v>0</v>
      </c>
      <c r="E485">
        <v>21</v>
      </c>
      <c r="F485">
        <v>8</v>
      </c>
      <c r="G485">
        <v>20260208</v>
      </c>
      <c r="H485">
        <v>20260308</v>
      </c>
      <c r="I485">
        <v>88628.291200000007</v>
      </c>
      <c r="J485">
        <f t="shared" si="71"/>
        <v>29</v>
      </c>
      <c r="K485">
        <f t="shared" si="72"/>
        <v>3056.1479724137935</v>
      </c>
      <c r="L485">
        <f t="shared" si="73"/>
        <v>0</v>
      </c>
      <c r="M485">
        <f t="shared" si="74"/>
        <v>64179.107420689659</v>
      </c>
      <c r="N485">
        <f t="shared" si="75"/>
        <v>18025.601979820778</v>
      </c>
      <c r="O485">
        <f t="shared" si="76"/>
        <v>82204.709400510445</v>
      </c>
      <c r="P485">
        <f t="shared" si="77"/>
        <v>0</v>
      </c>
      <c r="Q485">
        <f t="shared" si="78"/>
        <v>69194.145480449137</v>
      </c>
      <c r="R485">
        <f t="shared" si="79"/>
        <v>19434.145719550863</v>
      </c>
      <c r="S485">
        <f t="shared" si="80"/>
        <v>88628.291200000007</v>
      </c>
    </row>
    <row r="486" spans="1:19" x14ac:dyDescent="0.3">
      <c r="A486" t="s">
        <v>13</v>
      </c>
      <c r="B486" t="s">
        <v>24</v>
      </c>
      <c r="C486" t="s">
        <v>15</v>
      </c>
      <c r="D486">
        <v>15</v>
      </c>
      <c r="E486">
        <v>15</v>
      </c>
      <c r="F486">
        <v>0</v>
      </c>
      <c r="G486">
        <v>20260117</v>
      </c>
      <c r="H486">
        <v>20260215</v>
      </c>
      <c r="I486">
        <v>398806.50679999997</v>
      </c>
      <c r="J486">
        <f t="shared" si="71"/>
        <v>30</v>
      </c>
      <c r="K486">
        <f t="shared" si="72"/>
        <v>13293.550226666666</v>
      </c>
      <c r="L486">
        <f t="shared" si="73"/>
        <v>241845.14608753141</v>
      </c>
      <c r="M486">
        <f t="shared" si="74"/>
        <v>199403.25339999999</v>
      </c>
      <c r="N486">
        <f t="shared" si="75"/>
        <v>0</v>
      </c>
      <c r="O486">
        <f t="shared" si="76"/>
        <v>441248.39948753139</v>
      </c>
      <c r="P486">
        <f t="shared" si="77"/>
        <v>218583.04304269666</v>
      </c>
      <c r="Q486">
        <f t="shared" si="78"/>
        <v>180223.46375730331</v>
      </c>
      <c r="R486">
        <f t="shared" si="79"/>
        <v>0</v>
      </c>
      <c r="S486">
        <f t="shared" si="80"/>
        <v>398806.50679999997</v>
      </c>
    </row>
    <row r="487" spans="1:19" x14ac:dyDescent="0.3">
      <c r="A487" t="s">
        <v>13</v>
      </c>
      <c r="B487" t="s">
        <v>24</v>
      </c>
      <c r="C487" t="s">
        <v>14</v>
      </c>
      <c r="D487">
        <v>12</v>
      </c>
      <c r="E487">
        <v>19</v>
      </c>
      <c r="F487">
        <v>0</v>
      </c>
      <c r="G487">
        <v>20260120</v>
      </c>
      <c r="H487">
        <v>20260219</v>
      </c>
      <c r="I487">
        <v>284363.28169999999</v>
      </c>
      <c r="J487">
        <f t="shared" si="71"/>
        <v>31</v>
      </c>
      <c r="K487">
        <f t="shared" si="72"/>
        <v>9173.0090870967742</v>
      </c>
      <c r="L487">
        <f t="shared" si="73"/>
        <v>133505.2072564332</v>
      </c>
      <c r="M487">
        <f t="shared" si="74"/>
        <v>174287.17265483871</v>
      </c>
      <c r="N487">
        <f t="shared" si="75"/>
        <v>0</v>
      </c>
      <c r="O487">
        <f t="shared" si="76"/>
        <v>307792.37991127191</v>
      </c>
      <c r="P487">
        <f t="shared" si="77"/>
        <v>123342.81592813303</v>
      </c>
      <c r="Q487">
        <f t="shared" si="78"/>
        <v>161020.46577186699</v>
      </c>
      <c r="R487">
        <f t="shared" si="79"/>
        <v>0</v>
      </c>
      <c r="S487">
        <f t="shared" si="80"/>
        <v>284363.28170000005</v>
      </c>
    </row>
    <row r="488" spans="1:19" x14ac:dyDescent="0.3">
      <c r="A488" t="s">
        <v>13</v>
      </c>
      <c r="B488" t="s">
        <v>24</v>
      </c>
      <c r="C488" t="s">
        <v>15</v>
      </c>
      <c r="D488">
        <v>0</v>
      </c>
      <c r="E488">
        <v>12</v>
      </c>
      <c r="F488">
        <v>15</v>
      </c>
      <c r="G488">
        <v>20260217</v>
      </c>
      <c r="H488">
        <v>20260315</v>
      </c>
      <c r="I488">
        <v>224693.149</v>
      </c>
      <c r="J488">
        <f t="shared" si="71"/>
        <v>27</v>
      </c>
      <c r="K488">
        <f t="shared" si="72"/>
        <v>8321.9684814814809</v>
      </c>
      <c r="L488">
        <f t="shared" si="73"/>
        <v>0</v>
      </c>
      <c r="M488">
        <f t="shared" si="74"/>
        <v>99863.621777777764</v>
      </c>
      <c r="N488">
        <f t="shared" si="75"/>
        <v>92032.82176401763</v>
      </c>
      <c r="O488">
        <f t="shared" si="76"/>
        <v>191896.44354179539</v>
      </c>
      <c r="P488">
        <f t="shared" si="77"/>
        <v>0</v>
      </c>
      <c r="Q488">
        <f t="shared" si="78"/>
        <v>116931.14908045017</v>
      </c>
      <c r="R488">
        <f t="shared" si="79"/>
        <v>107761.99991954984</v>
      </c>
      <c r="S488">
        <f t="shared" si="80"/>
        <v>224693.149</v>
      </c>
    </row>
    <row r="489" spans="1:19" x14ac:dyDescent="0.3">
      <c r="A489" t="s">
        <v>13</v>
      </c>
      <c r="B489" t="s">
        <v>24</v>
      </c>
      <c r="C489" t="s">
        <v>15</v>
      </c>
      <c r="D489">
        <v>0</v>
      </c>
      <c r="E489">
        <v>20</v>
      </c>
      <c r="F489">
        <v>0</v>
      </c>
      <c r="G489">
        <v>20260206</v>
      </c>
      <c r="H489">
        <v>20260225</v>
      </c>
      <c r="I489">
        <v>10751.9519</v>
      </c>
      <c r="J489">
        <f t="shared" si="71"/>
        <v>20</v>
      </c>
      <c r="K489">
        <f t="shared" si="72"/>
        <v>537.59759499999996</v>
      </c>
      <c r="L489">
        <f t="shared" si="73"/>
        <v>0</v>
      </c>
      <c r="M489">
        <f t="shared" si="74"/>
        <v>10751.9519</v>
      </c>
      <c r="N489">
        <f t="shared" si="75"/>
        <v>0</v>
      </c>
      <c r="O489">
        <f t="shared" si="76"/>
        <v>10751.9519</v>
      </c>
      <c r="P489">
        <f t="shared" si="77"/>
        <v>0</v>
      </c>
      <c r="Q489">
        <f t="shared" si="78"/>
        <v>10751.9519</v>
      </c>
      <c r="R489">
        <f t="shared" si="79"/>
        <v>0</v>
      </c>
      <c r="S489">
        <f t="shared" si="80"/>
        <v>10751.9519</v>
      </c>
    </row>
    <row r="490" spans="1:19" x14ac:dyDescent="0.3">
      <c r="A490" t="s">
        <v>13</v>
      </c>
      <c r="B490" t="s">
        <v>24</v>
      </c>
      <c r="C490" t="s">
        <v>14</v>
      </c>
      <c r="D490">
        <v>0</v>
      </c>
      <c r="E490">
        <v>23</v>
      </c>
      <c r="F490">
        <v>7</v>
      </c>
      <c r="G490">
        <v>20260206</v>
      </c>
      <c r="H490">
        <v>20260307</v>
      </c>
      <c r="I490">
        <v>6294.1453000000001</v>
      </c>
      <c r="J490">
        <f t="shared" si="71"/>
        <v>30</v>
      </c>
      <c r="K490">
        <f t="shared" si="72"/>
        <v>209.80484333333334</v>
      </c>
      <c r="L490">
        <f t="shared" si="73"/>
        <v>0</v>
      </c>
      <c r="M490">
        <f t="shared" si="74"/>
        <v>4825.5113966666668</v>
      </c>
      <c r="N490">
        <f t="shared" si="75"/>
        <v>1082.7768499151096</v>
      </c>
      <c r="O490">
        <f t="shared" si="76"/>
        <v>5908.2882465817765</v>
      </c>
      <c r="P490">
        <f t="shared" si="77"/>
        <v>0</v>
      </c>
      <c r="Q490">
        <f t="shared" si="78"/>
        <v>5140.654722625939</v>
      </c>
      <c r="R490">
        <f t="shared" si="79"/>
        <v>1153.4905773740611</v>
      </c>
      <c r="S490">
        <f t="shared" si="80"/>
        <v>6294.1453000000001</v>
      </c>
    </row>
    <row r="491" spans="1:19" x14ac:dyDescent="0.3">
      <c r="A491" t="s">
        <v>13</v>
      </c>
      <c r="B491" t="s">
        <v>24</v>
      </c>
      <c r="C491" t="s">
        <v>15</v>
      </c>
      <c r="D491">
        <v>23</v>
      </c>
      <c r="E491">
        <v>4</v>
      </c>
      <c r="F491">
        <v>0</v>
      </c>
      <c r="G491">
        <v>20260109</v>
      </c>
      <c r="H491">
        <v>20260204</v>
      </c>
      <c r="I491">
        <v>356776.63530000002</v>
      </c>
      <c r="J491">
        <f t="shared" si="71"/>
        <v>27</v>
      </c>
      <c r="K491">
        <f t="shared" si="72"/>
        <v>13213.949455555556</v>
      </c>
      <c r="L491">
        <f t="shared" si="73"/>
        <v>368608.72671628167</v>
      </c>
      <c r="M491">
        <f t="shared" si="74"/>
        <v>52855.797822222223</v>
      </c>
      <c r="N491">
        <f t="shared" si="75"/>
        <v>0</v>
      </c>
      <c r="O491">
        <f t="shared" si="76"/>
        <v>421464.5245385039</v>
      </c>
      <c r="P491">
        <f t="shared" si="77"/>
        <v>312033.3351995743</v>
      </c>
      <c r="Q491">
        <f t="shared" si="78"/>
        <v>44743.300100425702</v>
      </c>
      <c r="R491">
        <f t="shared" si="79"/>
        <v>0</v>
      </c>
      <c r="S491">
        <f t="shared" si="80"/>
        <v>356776.63530000002</v>
      </c>
    </row>
    <row r="492" spans="1:19" x14ac:dyDescent="0.3">
      <c r="A492" t="s">
        <v>13</v>
      </c>
      <c r="B492" t="s">
        <v>24</v>
      </c>
      <c r="C492" t="s">
        <v>14</v>
      </c>
      <c r="D492">
        <v>25</v>
      </c>
      <c r="E492">
        <v>7</v>
      </c>
      <c r="F492">
        <v>0</v>
      </c>
      <c r="G492">
        <v>20260107</v>
      </c>
      <c r="H492">
        <v>20260207</v>
      </c>
      <c r="I492">
        <v>12736.0255</v>
      </c>
      <c r="J492">
        <f t="shared" si="71"/>
        <v>32</v>
      </c>
      <c r="K492">
        <f t="shared" si="72"/>
        <v>398.00079687499999</v>
      </c>
      <c r="L492">
        <f t="shared" si="73"/>
        <v>12067.827282399332</v>
      </c>
      <c r="M492">
        <f t="shared" si="74"/>
        <v>2786.0055781249998</v>
      </c>
      <c r="N492">
        <f t="shared" si="75"/>
        <v>0</v>
      </c>
      <c r="O492">
        <f t="shared" si="76"/>
        <v>14853.832860524331</v>
      </c>
      <c r="P492">
        <f t="shared" si="77"/>
        <v>10347.238819867009</v>
      </c>
      <c r="Q492">
        <f t="shared" si="78"/>
        <v>2388.7866801329906</v>
      </c>
      <c r="R492">
        <f t="shared" si="79"/>
        <v>0</v>
      </c>
      <c r="S492">
        <f t="shared" si="80"/>
        <v>12736.0255</v>
      </c>
    </row>
    <row r="493" spans="1:19" x14ac:dyDescent="0.3">
      <c r="A493" t="s">
        <v>13</v>
      </c>
      <c r="B493" t="s">
        <v>24</v>
      </c>
      <c r="C493" t="s">
        <v>15</v>
      </c>
      <c r="D493">
        <v>0</v>
      </c>
      <c r="E493">
        <v>8</v>
      </c>
      <c r="F493">
        <v>0</v>
      </c>
      <c r="G493">
        <v>20260220</v>
      </c>
      <c r="H493">
        <v>20260227</v>
      </c>
      <c r="I493">
        <v>929.07600000000002</v>
      </c>
      <c r="J493">
        <f t="shared" si="71"/>
        <v>8</v>
      </c>
      <c r="K493">
        <f t="shared" si="72"/>
        <v>116.1345</v>
      </c>
      <c r="L493">
        <f t="shared" si="73"/>
        <v>0</v>
      </c>
      <c r="M493">
        <f t="shared" si="74"/>
        <v>929.07600000000002</v>
      </c>
      <c r="N493">
        <f t="shared" si="75"/>
        <v>0</v>
      </c>
      <c r="O493">
        <f t="shared" si="76"/>
        <v>929.07600000000002</v>
      </c>
      <c r="P493">
        <f t="shared" si="77"/>
        <v>0</v>
      </c>
      <c r="Q493">
        <f t="shared" si="78"/>
        <v>929.07600000000002</v>
      </c>
      <c r="R493">
        <f t="shared" si="79"/>
        <v>0</v>
      </c>
      <c r="S493">
        <f t="shared" si="80"/>
        <v>929.07600000000002</v>
      </c>
    </row>
    <row r="494" spans="1:19" x14ac:dyDescent="0.3">
      <c r="A494" t="s">
        <v>13</v>
      </c>
      <c r="B494" t="s">
        <v>24</v>
      </c>
      <c r="C494" t="s">
        <v>14</v>
      </c>
      <c r="D494">
        <v>30</v>
      </c>
      <c r="E494">
        <v>7</v>
      </c>
      <c r="F494">
        <v>0</v>
      </c>
      <c r="G494">
        <v>20260102</v>
      </c>
      <c r="H494">
        <v>20260207</v>
      </c>
      <c r="I494">
        <v>8277.598</v>
      </c>
      <c r="J494">
        <f t="shared" si="71"/>
        <v>37</v>
      </c>
      <c r="K494">
        <f t="shared" si="72"/>
        <v>223.71886486486486</v>
      </c>
      <c r="L494">
        <f t="shared" si="73"/>
        <v>8140.0860768172315</v>
      </c>
      <c r="M494">
        <f t="shared" si="74"/>
        <v>1566.032054054054</v>
      </c>
      <c r="N494">
        <f t="shared" si="75"/>
        <v>0</v>
      </c>
      <c r="O494">
        <f t="shared" si="76"/>
        <v>9706.1181308712858</v>
      </c>
      <c r="P494">
        <f t="shared" si="77"/>
        <v>6942.0502945436183</v>
      </c>
      <c r="Q494">
        <f t="shared" si="78"/>
        <v>1335.5477054563817</v>
      </c>
      <c r="R494">
        <f t="shared" si="79"/>
        <v>0</v>
      </c>
      <c r="S494">
        <f t="shared" si="80"/>
        <v>8277.598</v>
      </c>
    </row>
    <row r="495" spans="1:19" x14ac:dyDescent="0.3">
      <c r="A495" t="s">
        <v>13</v>
      </c>
      <c r="B495" t="s">
        <v>24</v>
      </c>
      <c r="C495" t="s">
        <v>15</v>
      </c>
      <c r="D495">
        <v>0</v>
      </c>
      <c r="E495">
        <v>27</v>
      </c>
      <c r="F495">
        <v>9</v>
      </c>
      <c r="G495">
        <v>20260202</v>
      </c>
      <c r="H495">
        <v>20260309</v>
      </c>
      <c r="I495">
        <v>40849.535600000003</v>
      </c>
      <c r="J495">
        <f t="shared" si="71"/>
        <v>36</v>
      </c>
      <c r="K495">
        <f t="shared" si="72"/>
        <v>1134.7093222222222</v>
      </c>
      <c r="L495">
        <f t="shared" si="73"/>
        <v>0</v>
      </c>
      <c r="M495">
        <f t="shared" si="74"/>
        <v>30637.151699999999</v>
      </c>
      <c r="N495">
        <f t="shared" si="75"/>
        <v>7529.264334881711</v>
      </c>
      <c r="O495">
        <f t="shared" si="76"/>
        <v>38166.416034881709</v>
      </c>
      <c r="P495">
        <f t="shared" si="77"/>
        <v>0</v>
      </c>
      <c r="Q495">
        <f t="shared" si="78"/>
        <v>32790.959934722341</v>
      </c>
      <c r="R495">
        <f t="shared" si="79"/>
        <v>8058.5756652776599</v>
      </c>
      <c r="S495">
        <f t="shared" si="80"/>
        <v>40849.535600000003</v>
      </c>
    </row>
    <row r="496" spans="1:19" x14ac:dyDescent="0.3">
      <c r="A496" t="s">
        <v>13</v>
      </c>
      <c r="B496" t="s">
        <v>24</v>
      </c>
      <c r="C496" t="s">
        <v>14</v>
      </c>
      <c r="D496">
        <v>13</v>
      </c>
      <c r="E496">
        <v>19</v>
      </c>
      <c r="F496">
        <v>0</v>
      </c>
      <c r="G496">
        <v>20260119</v>
      </c>
      <c r="H496">
        <v>20260219</v>
      </c>
      <c r="I496">
        <v>12421.3331</v>
      </c>
      <c r="J496">
        <f t="shared" si="71"/>
        <v>32</v>
      </c>
      <c r="K496">
        <f t="shared" si="72"/>
        <v>388.16665937499999</v>
      </c>
      <c r="L496">
        <f t="shared" si="73"/>
        <v>6120.2155478829663</v>
      </c>
      <c r="M496">
        <f t="shared" si="74"/>
        <v>7375.1665281249998</v>
      </c>
      <c r="N496">
        <f t="shared" si="75"/>
        <v>0</v>
      </c>
      <c r="O496">
        <f t="shared" si="76"/>
        <v>13495.382076007965</v>
      </c>
      <c r="P496">
        <f t="shared" si="77"/>
        <v>5633.1295798733672</v>
      </c>
      <c r="Q496">
        <f t="shared" si="78"/>
        <v>6788.2035201266326</v>
      </c>
      <c r="R496">
        <f t="shared" si="79"/>
        <v>0</v>
      </c>
      <c r="S496">
        <f t="shared" si="80"/>
        <v>12421.3331</v>
      </c>
    </row>
    <row r="497" spans="1:19" x14ac:dyDescent="0.3">
      <c r="A497" t="s">
        <v>13</v>
      </c>
      <c r="B497" t="s">
        <v>24</v>
      </c>
      <c r="C497" t="s">
        <v>15</v>
      </c>
      <c r="D497">
        <v>0</v>
      </c>
      <c r="E497">
        <v>15</v>
      </c>
      <c r="F497">
        <v>0</v>
      </c>
      <c r="G497">
        <v>20260205</v>
      </c>
      <c r="H497">
        <v>20260219</v>
      </c>
      <c r="I497">
        <v>11590.079</v>
      </c>
      <c r="J497">
        <f t="shared" si="71"/>
        <v>15</v>
      </c>
      <c r="K497">
        <f t="shared" si="72"/>
        <v>772.6719333333333</v>
      </c>
      <c r="L497">
        <f t="shared" si="73"/>
        <v>0</v>
      </c>
      <c r="M497">
        <f t="shared" si="74"/>
        <v>11590.079</v>
      </c>
      <c r="N497">
        <f t="shared" si="75"/>
        <v>0</v>
      </c>
      <c r="O497">
        <f t="shared" si="76"/>
        <v>11590.079</v>
      </c>
      <c r="P497">
        <f t="shared" si="77"/>
        <v>0</v>
      </c>
      <c r="Q497">
        <f t="shared" si="78"/>
        <v>11590.079</v>
      </c>
      <c r="R497">
        <f t="shared" si="79"/>
        <v>0</v>
      </c>
      <c r="S497">
        <f t="shared" si="80"/>
        <v>11590.079</v>
      </c>
    </row>
    <row r="498" spans="1:19" x14ac:dyDescent="0.3">
      <c r="A498" t="s">
        <v>13</v>
      </c>
      <c r="B498" t="s">
        <v>24</v>
      </c>
      <c r="C498" t="s">
        <v>14</v>
      </c>
      <c r="D498">
        <v>23</v>
      </c>
      <c r="E498">
        <v>3</v>
      </c>
      <c r="F498">
        <v>0</v>
      </c>
      <c r="G498">
        <v>20260109</v>
      </c>
      <c r="H498">
        <v>20260203</v>
      </c>
      <c r="I498">
        <v>181007.2383</v>
      </c>
      <c r="J498">
        <f t="shared" si="71"/>
        <v>26</v>
      </c>
      <c r="K498">
        <f t="shared" si="72"/>
        <v>6961.8168576923072</v>
      </c>
      <c r="L498">
        <f t="shared" si="73"/>
        <v>194202.83513094578</v>
      </c>
      <c r="M498">
        <f t="shared" si="74"/>
        <v>20885.450573076923</v>
      </c>
      <c r="N498">
        <f t="shared" si="75"/>
        <v>0</v>
      </c>
      <c r="O498">
        <f t="shared" si="76"/>
        <v>215088.28570402271</v>
      </c>
      <c r="P498">
        <f t="shared" si="77"/>
        <v>163431.11732944218</v>
      </c>
      <c r="Q498">
        <f t="shared" si="78"/>
        <v>17576.120970557822</v>
      </c>
      <c r="R498">
        <f t="shared" si="79"/>
        <v>0</v>
      </c>
      <c r="S498">
        <f t="shared" si="80"/>
        <v>181007.2383</v>
      </c>
    </row>
    <row r="499" spans="1:19" x14ac:dyDescent="0.3">
      <c r="A499" t="s">
        <v>13</v>
      </c>
      <c r="B499" t="s">
        <v>24</v>
      </c>
      <c r="C499" t="s">
        <v>15</v>
      </c>
      <c r="D499">
        <v>0</v>
      </c>
      <c r="E499">
        <v>23</v>
      </c>
      <c r="F499">
        <v>0</v>
      </c>
      <c r="G499">
        <v>20260204</v>
      </c>
      <c r="H499">
        <v>20260226</v>
      </c>
      <c r="I499">
        <v>22180.095700000002</v>
      </c>
      <c r="J499">
        <f t="shared" si="71"/>
        <v>23</v>
      </c>
      <c r="K499">
        <f t="shared" si="72"/>
        <v>964.35198695652184</v>
      </c>
      <c r="L499">
        <f t="shared" si="73"/>
        <v>0</v>
      </c>
      <c r="M499">
        <f t="shared" si="74"/>
        <v>22180.095700000002</v>
      </c>
      <c r="N499">
        <f t="shared" si="75"/>
        <v>0</v>
      </c>
      <c r="O499">
        <f t="shared" si="76"/>
        <v>22180.095700000002</v>
      </c>
      <c r="P499">
        <f t="shared" si="77"/>
        <v>0</v>
      </c>
      <c r="Q499">
        <f t="shared" si="78"/>
        <v>22180.095700000002</v>
      </c>
      <c r="R499">
        <f t="shared" si="79"/>
        <v>0</v>
      </c>
      <c r="S499">
        <f t="shared" si="80"/>
        <v>22180.095700000002</v>
      </c>
    </row>
    <row r="500" spans="1:19" x14ac:dyDescent="0.3">
      <c r="A500" t="s">
        <v>13</v>
      </c>
      <c r="B500" t="s">
        <v>24</v>
      </c>
      <c r="C500" t="s">
        <v>14</v>
      </c>
      <c r="D500">
        <v>24</v>
      </c>
      <c r="E500">
        <v>10</v>
      </c>
      <c r="F500">
        <v>0</v>
      </c>
      <c r="G500">
        <v>20260108</v>
      </c>
      <c r="H500">
        <v>20260210</v>
      </c>
      <c r="I500">
        <v>10638.3712</v>
      </c>
      <c r="J500">
        <f t="shared" si="71"/>
        <v>34</v>
      </c>
      <c r="K500">
        <f t="shared" si="72"/>
        <v>312.89327058823528</v>
      </c>
      <c r="L500">
        <f t="shared" si="73"/>
        <v>9107.7814362542103</v>
      </c>
      <c r="M500">
        <f t="shared" si="74"/>
        <v>3128.9327058823528</v>
      </c>
      <c r="N500">
        <f t="shared" si="75"/>
        <v>0</v>
      </c>
      <c r="O500">
        <f t="shared" si="76"/>
        <v>12236.714142136563</v>
      </c>
      <c r="P500">
        <f t="shared" si="77"/>
        <v>7918.135424419077</v>
      </c>
      <c r="Q500">
        <f t="shared" si="78"/>
        <v>2720.2357755809221</v>
      </c>
      <c r="R500">
        <f t="shared" si="79"/>
        <v>0</v>
      </c>
      <c r="S500">
        <f t="shared" si="80"/>
        <v>10638.3712</v>
      </c>
    </row>
    <row r="501" spans="1:19" x14ac:dyDescent="0.3">
      <c r="A501" t="s">
        <v>13</v>
      </c>
      <c r="B501" t="s">
        <v>24</v>
      </c>
      <c r="C501" t="s">
        <v>15</v>
      </c>
      <c r="D501">
        <v>23</v>
      </c>
      <c r="E501">
        <v>2</v>
      </c>
      <c r="F501">
        <v>0</v>
      </c>
      <c r="G501">
        <v>20260109</v>
      </c>
      <c r="H501">
        <v>20260202</v>
      </c>
      <c r="I501">
        <v>158866.39199999999</v>
      </c>
      <c r="J501">
        <f t="shared" si="71"/>
        <v>25</v>
      </c>
      <c r="K501">
        <f t="shared" si="72"/>
        <v>6354.6556799999998</v>
      </c>
      <c r="L501">
        <f t="shared" si="73"/>
        <v>177265.81646188884</v>
      </c>
      <c r="M501">
        <f t="shared" si="74"/>
        <v>12709.31136</v>
      </c>
      <c r="N501">
        <f t="shared" si="75"/>
        <v>0</v>
      </c>
      <c r="O501">
        <f t="shared" si="76"/>
        <v>189975.12782188883</v>
      </c>
      <c r="P501">
        <f t="shared" si="77"/>
        <v>148238.25102324644</v>
      </c>
      <c r="Q501">
        <f t="shared" si="78"/>
        <v>10628.140976753566</v>
      </c>
      <c r="R501">
        <f t="shared" si="79"/>
        <v>0</v>
      </c>
      <c r="S501">
        <f t="shared" si="80"/>
        <v>158866.39199999999</v>
      </c>
    </row>
    <row r="502" spans="1:19" x14ac:dyDescent="0.3">
      <c r="A502" t="s">
        <v>13</v>
      </c>
      <c r="B502" t="s">
        <v>24</v>
      </c>
      <c r="C502" t="s">
        <v>15</v>
      </c>
      <c r="D502">
        <v>0</v>
      </c>
      <c r="E502">
        <v>22</v>
      </c>
      <c r="F502">
        <v>2</v>
      </c>
      <c r="G502">
        <v>20260207</v>
      </c>
      <c r="H502">
        <v>20260302</v>
      </c>
      <c r="I502">
        <v>85358.559899999993</v>
      </c>
      <c r="J502">
        <f t="shared" si="71"/>
        <v>24</v>
      </c>
      <c r="K502">
        <f t="shared" si="72"/>
        <v>3556.6066624999999</v>
      </c>
      <c r="L502">
        <f t="shared" si="73"/>
        <v>0</v>
      </c>
      <c r="M502">
        <f t="shared" si="74"/>
        <v>78245.346575000003</v>
      </c>
      <c r="N502">
        <f t="shared" si="75"/>
        <v>5244.344897211301</v>
      </c>
      <c r="O502">
        <f t="shared" si="76"/>
        <v>83489.6914722113</v>
      </c>
      <c r="P502">
        <f t="shared" si="77"/>
        <v>0</v>
      </c>
      <c r="Q502">
        <f t="shared" si="78"/>
        <v>79996.823377187888</v>
      </c>
      <c r="R502">
        <f t="shared" si="79"/>
        <v>5361.7365228121107</v>
      </c>
      <c r="S502">
        <f t="shared" si="80"/>
        <v>85358.559899999993</v>
      </c>
    </row>
    <row r="503" spans="1:19" x14ac:dyDescent="0.3">
      <c r="A503" t="s">
        <v>13</v>
      </c>
      <c r="B503" t="s">
        <v>24</v>
      </c>
      <c r="C503" t="s">
        <v>14</v>
      </c>
      <c r="D503">
        <v>28</v>
      </c>
      <c r="E503">
        <v>8</v>
      </c>
      <c r="F503">
        <v>0</v>
      </c>
      <c r="G503">
        <v>20260104</v>
      </c>
      <c r="H503">
        <v>20260208</v>
      </c>
      <c r="I503">
        <v>1596.9568999999999</v>
      </c>
      <c r="J503">
        <f t="shared" si="71"/>
        <v>36</v>
      </c>
      <c r="K503">
        <f t="shared" si="72"/>
        <v>44.359913888888883</v>
      </c>
      <c r="L503">
        <f t="shared" si="73"/>
        <v>1506.4470153568825</v>
      </c>
      <c r="M503">
        <f t="shared" si="74"/>
        <v>354.87931111111106</v>
      </c>
      <c r="N503">
        <f t="shared" si="75"/>
        <v>0</v>
      </c>
      <c r="O503">
        <f t="shared" si="76"/>
        <v>1861.3263264679936</v>
      </c>
      <c r="P503">
        <f t="shared" si="77"/>
        <v>1292.482098087354</v>
      </c>
      <c r="Q503">
        <f t="shared" si="78"/>
        <v>304.47480191264606</v>
      </c>
      <c r="R503">
        <f t="shared" si="79"/>
        <v>0</v>
      </c>
      <c r="S503">
        <f t="shared" si="80"/>
        <v>1596.9569000000001</v>
      </c>
    </row>
    <row r="504" spans="1:19" x14ac:dyDescent="0.3">
      <c r="A504" t="s">
        <v>13</v>
      </c>
      <c r="B504" t="s">
        <v>24</v>
      </c>
      <c r="C504" t="s">
        <v>15</v>
      </c>
      <c r="D504">
        <v>25</v>
      </c>
      <c r="E504">
        <v>8</v>
      </c>
      <c r="F504">
        <v>0</v>
      </c>
      <c r="G504">
        <v>20260107</v>
      </c>
      <c r="H504">
        <v>20260208</v>
      </c>
      <c r="I504">
        <v>58850.472300000001</v>
      </c>
      <c r="J504">
        <f t="shared" si="71"/>
        <v>33</v>
      </c>
      <c r="K504">
        <f t="shared" si="72"/>
        <v>1783.3476454545455</v>
      </c>
      <c r="L504">
        <f t="shared" si="73"/>
        <v>54073.086131478558</v>
      </c>
      <c r="M504">
        <f t="shared" si="74"/>
        <v>14266.781163636364</v>
      </c>
      <c r="N504">
        <f t="shared" si="75"/>
        <v>0</v>
      </c>
      <c r="O504">
        <f t="shared" si="76"/>
        <v>68339.86729511492</v>
      </c>
      <c r="P504">
        <f t="shared" si="77"/>
        <v>46564.718128792236</v>
      </c>
      <c r="Q504">
        <f t="shared" si="78"/>
        <v>12285.754171207771</v>
      </c>
      <c r="R504">
        <f t="shared" si="79"/>
        <v>0</v>
      </c>
      <c r="S504">
        <f t="shared" si="80"/>
        <v>58850.472300000009</v>
      </c>
    </row>
    <row r="505" spans="1:19" x14ac:dyDescent="0.3">
      <c r="A505" t="s">
        <v>13</v>
      </c>
      <c r="B505" t="s">
        <v>24</v>
      </c>
      <c r="C505" t="s">
        <v>14</v>
      </c>
      <c r="D505">
        <v>28</v>
      </c>
      <c r="E505">
        <v>7</v>
      </c>
      <c r="F505">
        <v>0</v>
      </c>
      <c r="G505">
        <v>20260104</v>
      </c>
      <c r="H505">
        <v>20260207</v>
      </c>
      <c r="I505">
        <v>882.46659999999997</v>
      </c>
      <c r="J505">
        <f t="shared" si="71"/>
        <v>35</v>
      </c>
      <c r="K505">
        <f t="shared" si="72"/>
        <v>25.213331428571429</v>
      </c>
      <c r="L505">
        <f t="shared" si="73"/>
        <v>856.23583429202836</v>
      </c>
      <c r="M505">
        <f t="shared" si="74"/>
        <v>176.49332000000001</v>
      </c>
      <c r="N505">
        <f t="shared" si="75"/>
        <v>0</v>
      </c>
      <c r="O505">
        <f t="shared" si="76"/>
        <v>1032.7291542920284</v>
      </c>
      <c r="P505">
        <f t="shared" si="77"/>
        <v>731.65313707429834</v>
      </c>
      <c r="Q505">
        <f t="shared" si="78"/>
        <v>150.8134629257016</v>
      </c>
      <c r="R505">
        <f t="shared" si="79"/>
        <v>0</v>
      </c>
      <c r="S505">
        <f t="shared" si="80"/>
        <v>882.46659999999997</v>
      </c>
    </row>
    <row r="506" spans="1:19" x14ac:dyDescent="0.3">
      <c r="A506" t="s">
        <v>13</v>
      </c>
      <c r="B506" t="s">
        <v>24</v>
      </c>
      <c r="C506" t="s">
        <v>14</v>
      </c>
      <c r="D506">
        <v>0</v>
      </c>
      <c r="E506">
        <v>27</v>
      </c>
      <c r="F506">
        <v>8</v>
      </c>
      <c r="G506">
        <v>20260202</v>
      </c>
      <c r="H506">
        <v>20260308</v>
      </c>
      <c r="I506">
        <v>12672.182699999999</v>
      </c>
      <c r="J506">
        <f t="shared" si="71"/>
        <v>35</v>
      </c>
      <c r="K506">
        <f t="shared" si="72"/>
        <v>362.06236285714283</v>
      </c>
      <c r="L506">
        <f t="shared" si="73"/>
        <v>0</v>
      </c>
      <c r="M506">
        <f t="shared" si="74"/>
        <v>9775.6837971428558</v>
      </c>
      <c r="N506">
        <f t="shared" si="75"/>
        <v>2135.4960897333958</v>
      </c>
      <c r="O506">
        <f t="shared" si="76"/>
        <v>11911.179886876253</v>
      </c>
      <c r="P506">
        <f t="shared" si="77"/>
        <v>0</v>
      </c>
      <c r="Q506">
        <f t="shared" si="78"/>
        <v>10400.250207900417</v>
      </c>
      <c r="R506">
        <f t="shared" si="79"/>
        <v>2271.9324920995823</v>
      </c>
      <c r="S506">
        <f t="shared" si="80"/>
        <v>12672.182699999999</v>
      </c>
    </row>
    <row r="507" spans="1:19" x14ac:dyDescent="0.3">
      <c r="A507" t="s">
        <v>13</v>
      </c>
      <c r="B507" t="s">
        <v>24</v>
      </c>
      <c r="C507" t="s">
        <v>14</v>
      </c>
      <c r="D507">
        <v>0</v>
      </c>
      <c r="E507">
        <v>24</v>
      </c>
      <c r="F507">
        <v>10</v>
      </c>
      <c r="G507">
        <v>20260205</v>
      </c>
      <c r="H507">
        <v>20260310</v>
      </c>
      <c r="I507">
        <v>6674.1724000000004</v>
      </c>
      <c r="J507">
        <f t="shared" si="71"/>
        <v>34</v>
      </c>
      <c r="K507">
        <f t="shared" si="72"/>
        <v>196.29918823529414</v>
      </c>
      <c r="L507">
        <f t="shared" si="73"/>
        <v>0</v>
      </c>
      <c r="M507">
        <f t="shared" si="74"/>
        <v>4711.1805176470589</v>
      </c>
      <c r="N507">
        <f t="shared" si="75"/>
        <v>1447.2511917087563</v>
      </c>
      <c r="O507">
        <f t="shared" si="76"/>
        <v>6158.4317093558147</v>
      </c>
      <c r="P507">
        <f t="shared" si="77"/>
        <v>0</v>
      </c>
      <c r="Q507">
        <f t="shared" si="78"/>
        <v>5105.7204928536494</v>
      </c>
      <c r="R507">
        <f t="shared" si="79"/>
        <v>1568.4519071463512</v>
      </c>
      <c r="S507">
        <f t="shared" si="80"/>
        <v>6674.1724000000004</v>
      </c>
    </row>
    <row r="508" spans="1:19" x14ac:dyDescent="0.3">
      <c r="A508" t="s">
        <v>13</v>
      </c>
      <c r="B508" t="s">
        <v>24</v>
      </c>
      <c r="C508" t="s">
        <v>15</v>
      </c>
      <c r="D508">
        <v>0</v>
      </c>
      <c r="E508">
        <v>22</v>
      </c>
      <c r="F508">
        <v>0</v>
      </c>
      <c r="G508">
        <v>20260203</v>
      </c>
      <c r="H508">
        <v>20260224</v>
      </c>
      <c r="I508">
        <v>6661.5254000000004</v>
      </c>
      <c r="J508">
        <f t="shared" si="71"/>
        <v>22</v>
      </c>
      <c r="K508">
        <f t="shared" si="72"/>
        <v>302.7966090909091</v>
      </c>
      <c r="L508">
        <f t="shared" si="73"/>
        <v>0</v>
      </c>
      <c r="M508">
        <f t="shared" si="74"/>
        <v>6661.5254000000004</v>
      </c>
      <c r="N508">
        <f t="shared" si="75"/>
        <v>0</v>
      </c>
      <c r="O508">
        <f t="shared" si="76"/>
        <v>6661.5254000000004</v>
      </c>
      <c r="P508">
        <f t="shared" si="77"/>
        <v>0</v>
      </c>
      <c r="Q508">
        <f t="shared" si="78"/>
        <v>6661.5254000000004</v>
      </c>
      <c r="R508">
        <f t="shared" si="79"/>
        <v>0</v>
      </c>
      <c r="S508">
        <f t="shared" si="80"/>
        <v>6661.5254000000004</v>
      </c>
    </row>
    <row r="509" spans="1:19" x14ac:dyDescent="0.3">
      <c r="A509" t="s">
        <v>13</v>
      </c>
      <c r="B509" t="s">
        <v>24</v>
      </c>
      <c r="C509" t="s">
        <v>15</v>
      </c>
      <c r="D509">
        <v>28</v>
      </c>
      <c r="E509">
        <v>9</v>
      </c>
      <c r="F509">
        <v>0</v>
      </c>
      <c r="G509">
        <v>20260104</v>
      </c>
      <c r="H509">
        <v>20260209</v>
      </c>
      <c r="I509">
        <v>6682.9466000000002</v>
      </c>
      <c r="J509">
        <f t="shared" si="71"/>
        <v>37</v>
      </c>
      <c r="K509">
        <f t="shared" si="72"/>
        <v>180.6201783783784</v>
      </c>
      <c r="L509">
        <f t="shared" si="73"/>
        <v>6133.7974936756855</v>
      </c>
      <c r="M509">
        <f t="shared" si="74"/>
        <v>1625.5816054054055</v>
      </c>
      <c r="N509">
        <f t="shared" si="75"/>
        <v>0</v>
      </c>
      <c r="O509">
        <f t="shared" si="76"/>
        <v>7759.3790990810912</v>
      </c>
      <c r="P509">
        <f t="shared" si="77"/>
        <v>5282.876449521963</v>
      </c>
      <c r="Q509">
        <f t="shared" si="78"/>
        <v>1400.0701504780368</v>
      </c>
      <c r="R509">
        <f t="shared" si="79"/>
        <v>0</v>
      </c>
      <c r="S509">
        <f t="shared" si="80"/>
        <v>6682.9465999999993</v>
      </c>
    </row>
    <row r="510" spans="1:19" x14ac:dyDescent="0.3">
      <c r="A510" t="s">
        <v>13</v>
      </c>
      <c r="B510" t="s">
        <v>24</v>
      </c>
      <c r="C510" t="s">
        <v>15</v>
      </c>
      <c r="D510">
        <v>0</v>
      </c>
      <c r="E510">
        <v>19</v>
      </c>
      <c r="F510">
        <v>0</v>
      </c>
      <c r="G510">
        <v>20260202</v>
      </c>
      <c r="H510">
        <v>20260220</v>
      </c>
      <c r="I510">
        <v>42.159599999999998</v>
      </c>
      <c r="J510">
        <f t="shared" si="71"/>
        <v>19</v>
      </c>
      <c r="K510">
        <f t="shared" si="72"/>
        <v>2.2189263157894734</v>
      </c>
      <c r="L510">
        <f t="shared" si="73"/>
        <v>0</v>
      </c>
      <c r="M510">
        <f t="shared" si="74"/>
        <v>42.159599999999998</v>
      </c>
      <c r="N510">
        <f t="shared" si="75"/>
        <v>0</v>
      </c>
      <c r="O510">
        <f t="shared" si="76"/>
        <v>42.159599999999998</v>
      </c>
      <c r="P510">
        <f t="shared" si="77"/>
        <v>0</v>
      </c>
      <c r="Q510">
        <f t="shared" si="78"/>
        <v>42.159599999999998</v>
      </c>
      <c r="R510">
        <f t="shared" si="79"/>
        <v>0</v>
      </c>
      <c r="S510">
        <f t="shared" si="80"/>
        <v>42.159599999999998</v>
      </c>
    </row>
    <row r="511" spans="1:19" x14ac:dyDescent="0.3">
      <c r="A511" t="s">
        <v>13</v>
      </c>
      <c r="B511" t="s">
        <v>24</v>
      </c>
      <c r="C511" t="s">
        <v>15</v>
      </c>
      <c r="D511">
        <v>24</v>
      </c>
      <c r="E511">
        <v>8</v>
      </c>
      <c r="F511">
        <v>0</v>
      </c>
      <c r="G511">
        <v>20260108</v>
      </c>
      <c r="H511">
        <v>20260208</v>
      </c>
      <c r="I511">
        <v>24215.0425</v>
      </c>
      <c r="J511">
        <f t="shared" si="71"/>
        <v>32</v>
      </c>
      <c r="K511">
        <f t="shared" si="72"/>
        <v>756.72007812499999</v>
      </c>
      <c r="L511">
        <f t="shared" si="73"/>
        <v>22026.811465234659</v>
      </c>
      <c r="M511">
        <f t="shared" si="74"/>
        <v>6053.7606249999999</v>
      </c>
      <c r="N511">
        <f t="shared" si="75"/>
        <v>0</v>
      </c>
      <c r="O511">
        <f t="shared" si="76"/>
        <v>28080.572090234658</v>
      </c>
      <c r="P511">
        <f t="shared" si="77"/>
        <v>18994.633515876041</v>
      </c>
      <c r="Q511">
        <f t="shared" si="78"/>
        <v>5220.4089841239611</v>
      </c>
      <c r="R511">
        <f t="shared" si="79"/>
        <v>0</v>
      </c>
      <c r="S511">
        <f t="shared" si="80"/>
        <v>24215.042500000003</v>
      </c>
    </row>
    <row r="512" spans="1:19" x14ac:dyDescent="0.3">
      <c r="A512" t="s">
        <v>13</v>
      </c>
      <c r="B512" t="s">
        <v>24</v>
      </c>
      <c r="C512" t="s">
        <v>15</v>
      </c>
      <c r="D512">
        <v>25</v>
      </c>
      <c r="E512">
        <v>10</v>
      </c>
      <c r="F512">
        <v>0</v>
      </c>
      <c r="G512">
        <v>20260107</v>
      </c>
      <c r="H512">
        <v>20260210</v>
      </c>
      <c r="I512">
        <v>8451.0339999999997</v>
      </c>
      <c r="J512">
        <f t="shared" si="71"/>
        <v>35</v>
      </c>
      <c r="K512">
        <f t="shared" si="72"/>
        <v>241.45811428571429</v>
      </c>
      <c r="L512">
        <f t="shared" si="73"/>
        <v>7321.2788567581656</v>
      </c>
      <c r="M512">
        <f t="shared" si="74"/>
        <v>2414.5811428571428</v>
      </c>
      <c r="N512">
        <f t="shared" si="75"/>
        <v>0</v>
      </c>
      <c r="O512">
        <f t="shared" si="76"/>
        <v>9735.859999615308</v>
      </c>
      <c r="P512">
        <f t="shared" si="77"/>
        <v>6355.1013001819192</v>
      </c>
      <c r="Q512">
        <f t="shared" si="78"/>
        <v>2095.9326998180804</v>
      </c>
      <c r="R512">
        <f t="shared" si="79"/>
        <v>0</v>
      </c>
      <c r="S512">
        <f t="shared" si="80"/>
        <v>8451.0339999999997</v>
      </c>
    </row>
    <row r="513" spans="1:19" x14ac:dyDescent="0.3">
      <c r="A513" t="s">
        <v>13</v>
      </c>
      <c r="B513" t="s">
        <v>24</v>
      </c>
      <c r="C513" t="s">
        <v>15</v>
      </c>
      <c r="D513">
        <v>0</v>
      </c>
      <c r="E513">
        <v>26</v>
      </c>
      <c r="F513">
        <v>12</v>
      </c>
      <c r="G513">
        <v>20260203</v>
      </c>
      <c r="H513">
        <v>20260312</v>
      </c>
      <c r="I513">
        <v>506.75689999999997</v>
      </c>
      <c r="J513">
        <f t="shared" si="71"/>
        <v>38</v>
      </c>
      <c r="K513">
        <f t="shared" si="72"/>
        <v>13.335707894736842</v>
      </c>
      <c r="L513">
        <f t="shared" si="73"/>
        <v>0</v>
      </c>
      <c r="M513">
        <f t="shared" si="74"/>
        <v>346.72840526315792</v>
      </c>
      <c r="N513">
        <f t="shared" si="75"/>
        <v>117.98389580584713</v>
      </c>
      <c r="O513">
        <f t="shared" si="76"/>
        <v>464.71230106900504</v>
      </c>
      <c r="P513">
        <f t="shared" si="77"/>
        <v>0</v>
      </c>
      <c r="Q513">
        <f t="shared" si="78"/>
        <v>378.09847380607835</v>
      </c>
      <c r="R513">
        <f t="shared" si="79"/>
        <v>128.65842619392168</v>
      </c>
      <c r="S513">
        <f t="shared" si="80"/>
        <v>506.75690000000003</v>
      </c>
    </row>
    <row r="514" spans="1:19" x14ac:dyDescent="0.3">
      <c r="A514" t="s">
        <v>13</v>
      </c>
      <c r="B514" t="s">
        <v>24</v>
      </c>
      <c r="C514" t="s">
        <v>15</v>
      </c>
      <c r="D514">
        <v>0</v>
      </c>
      <c r="E514">
        <v>24</v>
      </c>
      <c r="F514">
        <v>11</v>
      </c>
      <c r="G514">
        <v>20260205</v>
      </c>
      <c r="H514">
        <v>20260311</v>
      </c>
      <c r="I514">
        <v>17316.218700000001</v>
      </c>
      <c r="J514">
        <f t="shared" si="71"/>
        <v>35</v>
      </c>
      <c r="K514">
        <f t="shared" si="72"/>
        <v>494.74910571428575</v>
      </c>
      <c r="L514">
        <f t="shared" si="73"/>
        <v>0</v>
      </c>
      <c r="M514">
        <f t="shared" si="74"/>
        <v>11873.978537142859</v>
      </c>
      <c r="N514">
        <f t="shared" si="75"/>
        <v>4012.3897770882977</v>
      </c>
      <c r="O514">
        <f t="shared" si="76"/>
        <v>15886.368314231157</v>
      </c>
      <c r="P514">
        <f t="shared" si="77"/>
        <v>0</v>
      </c>
      <c r="Q514">
        <f t="shared" si="78"/>
        <v>12942.694335248563</v>
      </c>
      <c r="R514">
        <f t="shared" si="79"/>
        <v>4373.5243647514399</v>
      </c>
      <c r="S514">
        <f t="shared" si="80"/>
        <v>17316.218700000005</v>
      </c>
    </row>
    <row r="515" spans="1:19" x14ac:dyDescent="0.3">
      <c r="A515" t="s">
        <v>13</v>
      </c>
      <c r="B515" t="s">
        <v>24</v>
      </c>
      <c r="C515" t="s">
        <v>15</v>
      </c>
      <c r="D515">
        <v>0</v>
      </c>
      <c r="E515">
        <v>24</v>
      </c>
      <c r="F515">
        <v>0</v>
      </c>
      <c r="G515">
        <v>20260204</v>
      </c>
      <c r="H515">
        <v>20260227</v>
      </c>
      <c r="I515">
        <v>6241.6648999999998</v>
      </c>
      <c r="J515">
        <f t="shared" si="71"/>
        <v>24</v>
      </c>
      <c r="K515">
        <f t="shared" si="72"/>
        <v>260.06937083333332</v>
      </c>
      <c r="L515">
        <f t="shared" si="73"/>
        <v>0</v>
      </c>
      <c r="M515">
        <f t="shared" si="74"/>
        <v>6241.6648999999998</v>
      </c>
      <c r="N515">
        <f t="shared" si="75"/>
        <v>0</v>
      </c>
      <c r="O515">
        <f t="shared" si="76"/>
        <v>6241.6648999999998</v>
      </c>
      <c r="P515">
        <f t="shared" si="77"/>
        <v>0</v>
      </c>
      <c r="Q515">
        <f t="shared" si="78"/>
        <v>6241.6648999999998</v>
      </c>
      <c r="R515">
        <f t="shared" si="79"/>
        <v>0</v>
      </c>
      <c r="S515">
        <f t="shared" si="80"/>
        <v>6241.6648999999998</v>
      </c>
    </row>
    <row r="516" spans="1:19" x14ac:dyDescent="0.3">
      <c r="A516" t="s">
        <v>13</v>
      </c>
      <c r="B516" t="s">
        <v>24</v>
      </c>
      <c r="C516" t="s">
        <v>15</v>
      </c>
      <c r="D516">
        <v>29</v>
      </c>
      <c r="E516">
        <v>11</v>
      </c>
      <c r="F516">
        <v>0</v>
      </c>
      <c r="G516">
        <v>20260103</v>
      </c>
      <c r="H516">
        <v>20260211</v>
      </c>
      <c r="I516">
        <v>5926.9440000000004</v>
      </c>
      <c r="J516">
        <f t="shared" si="71"/>
        <v>40</v>
      </c>
      <c r="K516">
        <f t="shared" si="72"/>
        <v>148.17360000000002</v>
      </c>
      <c r="L516">
        <f t="shared" si="73"/>
        <v>5211.6346874566498</v>
      </c>
      <c r="M516">
        <f t="shared" si="74"/>
        <v>1629.9096000000002</v>
      </c>
      <c r="N516">
        <f t="shared" si="75"/>
        <v>0</v>
      </c>
      <c r="O516">
        <f t="shared" si="76"/>
        <v>6841.5442874566497</v>
      </c>
      <c r="P516">
        <f t="shared" si="77"/>
        <v>4514.9261107094444</v>
      </c>
      <c r="Q516">
        <f t="shared" si="78"/>
        <v>1412.0178892905562</v>
      </c>
      <c r="R516">
        <f t="shared" si="79"/>
        <v>0</v>
      </c>
      <c r="S516">
        <f t="shared" si="80"/>
        <v>5926.9440000000004</v>
      </c>
    </row>
    <row r="517" spans="1:19" x14ac:dyDescent="0.3">
      <c r="A517" t="s">
        <v>13</v>
      </c>
      <c r="B517" t="s">
        <v>24</v>
      </c>
      <c r="C517" t="s">
        <v>15</v>
      </c>
      <c r="D517">
        <v>0</v>
      </c>
      <c r="E517">
        <v>7</v>
      </c>
      <c r="F517">
        <v>0</v>
      </c>
      <c r="G517">
        <v>20260206</v>
      </c>
      <c r="H517">
        <v>20260212</v>
      </c>
      <c r="I517">
        <v>1601.9137000000001</v>
      </c>
      <c r="J517">
        <f t="shared" si="71"/>
        <v>7</v>
      </c>
      <c r="K517">
        <f t="shared" si="72"/>
        <v>228.84481428571431</v>
      </c>
      <c r="L517">
        <f t="shared" si="73"/>
        <v>0</v>
      </c>
      <c r="M517">
        <f t="shared" si="74"/>
        <v>1601.9137000000001</v>
      </c>
      <c r="N517">
        <f t="shared" si="75"/>
        <v>0</v>
      </c>
      <c r="O517">
        <f t="shared" si="76"/>
        <v>1601.9137000000001</v>
      </c>
      <c r="P517">
        <f t="shared" si="77"/>
        <v>0</v>
      </c>
      <c r="Q517">
        <f t="shared" si="78"/>
        <v>1601.9137000000001</v>
      </c>
      <c r="R517">
        <f t="shared" si="79"/>
        <v>0</v>
      </c>
      <c r="S517">
        <f t="shared" si="80"/>
        <v>1601.9137000000001</v>
      </c>
    </row>
    <row r="518" spans="1:19" x14ac:dyDescent="0.3">
      <c r="A518" t="s">
        <v>13</v>
      </c>
      <c r="B518" t="s">
        <v>24</v>
      </c>
      <c r="C518" t="s">
        <v>15</v>
      </c>
      <c r="D518">
        <v>0</v>
      </c>
      <c r="E518">
        <v>19</v>
      </c>
      <c r="F518">
        <v>0</v>
      </c>
      <c r="G518">
        <v>20260209</v>
      </c>
      <c r="H518">
        <v>20260227</v>
      </c>
      <c r="I518">
        <v>548.53700000000003</v>
      </c>
      <c r="J518">
        <f t="shared" si="71"/>
        <v>19</v>
      </c>
      <c r="K518">
        <f t="shared" si="72"/>
        <v>28.870368421052632</v>
      </c>
      <c r="L518">
        <f t="shared" si="73"/>
        <v>0</v>
      </c>
      <c r="M518">
        <f t="shared" si="74"/>
        <v>548.53700000000003</v>
      </c>
      <c r="N518">
        <f t="shared" si="75"/>
        <v>0</v>
      </c>
      <c r="O518">
        <f t="shared" si="76"/>
        <v>548.53700000000003</v>
      </c>
      <c r="P518">
        <f t="shared" si="77"/>
        <v>0</v>
      </c>
      <c r="Q518">
        <f t="shared" si="78"/>
        <v>548.53700000000003</v>
      </c>
      <c r="R518">
        <f t="shared" si="79"/>
        <v>0</v>
      </c>
      <c r="S518">
        <f t="shared" si="80"/>
        <v>548.53700000000003</v>
      </c>
    </row>
    <row r="519" spans="1:19" x14ac:dyDescent="0.3">
      <c r="A519" t="s">
        <v>13</v>
      </c>
      <c r="B519" t="s">
        <v>24</v>
      </c>
      <c r="C519" t="s">
        <v>15</v>
      </c>
      <c r="D519">
        <v>31</v>
      </c>
      <c r="E519">
        <v>2</v>
      </c>
      <c r="F519">
        <v>0</v>
      </c>
      <c r="G519">
        <v>20251226</v>
      </c>
      <c r="H519">
        <v>20260202</v>
      </c>
      <c r="I519">
        <v>230566.33979999999</v>
      </c>
      <c r="J519">
        <f t="shared" si="71"/>
        <v>33</v>
      </c>
      <c r="K519">
        <f t="shared" si="72"/>
        <v>6986.8587818181813</v>
      </c>
      <c r="L519">
        <f t="shared" si="73"/>
        <v>262693.17813565256</v>
      </c>
      <c r="M519">
        <f t="shared" si="74"/>
        <v>13973.717563636363</v>
      </c>
      <c r="N519">
        <f t="shared" si="75"/>
        <v>0</v>
      </c>
      <c r="O519">
        <f t="shared" si="76"/>
        <v>276666.89569928893</v>
      </c>
      <c r="P519">
        <f t="shared" si="77"/>
        <v>218921.04011966352</v>
      </c>
      <c r="Q519">
        <f t="shared" si="78"/>
        <v>11645.299680336459</v>
      </c>
      <c r="R519">
        <f t="shared" si="79"/>
        <v>0</v>
      </c>
      <c r="S519">
        <f t="shared" si="80"/>
        <v>230566.33979999999</v>
      </c>
    </row>
    <row r="520" spans="1:19" x14ac:dyDescent="0.3">
      <c r="A520" t="s">
        <v>13</v>
      </c>
      <c r="B520" t="s">
        <v>24</v>
      </c>
      <c r="C520" t="s">
        <v>15</v>
      </c>
      <c r="D520">
        <v>17</v>
      </c>
      <c r="E520">
        <v>1</v>
      </c>
      <c r="F520">
        <v>0</v>
      </c>
      <c r="G520">
        <v>20260115</v>
      </c>
      <c r="H520">
        <v>20260201</v>
      </c>
      <c r="I520">
        <v>6178.1374999999998</v>
      </c>
      <c r="J520">
        <f t="shared" si="71"/>
        <v>18</v>
      </c>
      <c r="K520">
        <f t="shared" si="72"/>
        <v>343.22986111111112</v>
      </c>
      <c r="L520">
        <f t="shared" si="73"/>
        <v>7076.8358403039801</v>
      </c>
      <c r="M520">
        <f t="shared" si="74"/>
        <v>343.22986111111112</v>
      </c>
      <c r="N520">
        <f t="shared" si="75"/>
        <v>0</v>
      </c>
      <c r="O520">
        <f t="shared" si="76"/>
        <v>7420.0657014150911</v>
      </c>
      <c r="P520">
        <f t="shared" si="77"/>
        <v>5892.3554919450116</v>
      </c>
      <c r="Q520">
        <f t="shared" si="78"/>
        <v>285.78200805498795</v>
      </c>
      <c r="R520">
        <f t="shared" si="79"/>
        <v>0</v>
      </c>
      <c r="S520">
        <f t="shared" si="80"/>
        <v>6178.1374999999998</v>
      </c>
    </row>
    <row r="521" spans="1:19" x14ac:dyDescent="0.3">
      <c r="A521" t="s">
        <v>13</v>
      </c>
      <c r="B521" t="s">
        <v>24</v>
      </c>
      <c r="C521" t="s">
        <v>15</v>
      </c>
      <c r="D521">
        <v>0</v>
      </c>
      <c r="E521">
        <v>3</v>
      </c>
      <c r="F521">
        <v>27</v>
      </c>
      <c r="G521">
        <v>20260226</v>
      </c>
      <c r="H521">
        <v>20260327</v>
      </c>
      <c r="I521">
        <v>42.226799999999997</v>
      </c>
      <c r="J521">
        <f t="shared" si="71"/>
        <v>30</v>
      </c>
      <c r="K521">
        <f t="shared" si="72"/>
        <v>1.4075599999999999</v>
      </c>
      <c r="L521">
        <f t="shared" si="73"/>
        <v>0</v>
      </c>
      <c r="M521">
        <f t="shared" si="74"/>
        <v>4.2226799999999995</v>
      </c>
      <c r="N521">
        <f t="shared" si="75"/>
        <v>28.019223336733816</v>
      </c>
      <c r="O521">
        <f t="shared" si="76"/>
        <v>32.241903336733813</v>
      </c>
      <c r="P521">
        <f t="shared" si="77"/>
        <v>0</v>
      </c>
      <c r="Q521">
        <f t="shared" si="78"/>
        <v>5.530388884357448</v>
      </c>
      <c r="R521">
        <f t="shared" si="79"/>
        <v>36.696411115642555</v>
      </c>
      <c r="S521">
        <f t="shared" si="80"/>
        <v>42.226800000000004</v>
      </c>
    </row>
    <row r="522" spans="1:19" x14ac:dyDescent="0.3">
      <c r="A522" t="s">
        <v>13</v>
      </c>
      <c r="B522" t="s">
        <v>24</v>
      </c>
      <c r="C522" t="s">
        <v>15</v>
      </c>
      <c r="D522">
        <v>0</v>
      </c>
      <c r="E522">
        <v>4</v>
      </c>
      <c r="F522">
        <v>2</v>
      </c>
      <c r="G522">
        <v>20260225</v>
      </c>
      <c r="H522">
        <v>20260302</v>
      </c>
      <c r="I522">
        <v>1907.0975000000001</v>
      </c>
      <c r="J522">
        <f t="shared" si="71"/>
        <v>6</v>
      </c>
      <c r="K522">
        <f t="shared" si="72"/>
        <v>317.84958333333333</v>
      </c>
      <c r="L522">
        <f t="shared" si="73"/>
        <v>0</v>
      </c>
      <c r="M522">
        <f t="shared" si="74"/>
        <v>1271.3983333333333</v>
      </c>
      <c r="N522">
        <f t="shared" si="75"/>
        <v>468.68068319458274</v>
      </c>
      <c r="O522">
        <f t="shared" si="76"/>
        <v>1740.0790165279161</v>
      </c>
      <c r="P522">
        <f t="shared" si="77"/>
        <v>0</v>
      </c>
      <c r="Q522">
        <f t="shared" si="78"/>
        <v>1393.4313097127492</v>
      </c>
      <c r="R522">
        <f t="shared" si="79"/>
        <v>513.66619028725086</v>
      </c>
      <c r="S522">
        <f t="shared" si="80"/>
        <v>1907.0975000000001</v>
      </c>
    </row>
    <row r="523" spans="1:19" x14ac:dyDescent="0.3">
      <c r="A523" t="s">
        <v>13</v>
      </c>
      <c r="B523" t="s">
        <v>24</v>
      </c>
      <c r="C523" t="s">
        <v>15</v>
      </c>
      <c r="D523">
        <v>0</v>
      </c>
      <c r="E523">
        <v>10</v>
      </c>
      <c r="F523">
        <v>0</v>
      </c>
      <c r="G523">
        <v>20260206</v>
      </c>
      <c r="H523">
        <v>20260215</v>
      </c>
      <c r="I523">
        <v>210.74850000000001</v>
      </c>
      <c r="J523">
        <f t="shared" ref="J523:J586" si="81">IF(D523&lt;0,0,D523)+E523+F523</f>
        <v>10</v>
      </c>
      <c r="K523">
        <f t="shared" ref="K523:K586" si="82">I523/J523</f>
        <v>21.074850000000001</v>
      </c>
      <c r="L523">
        <f t="shared" ref="L523:L586" si="83">IF(D523&lt;0,0,D523)*$K523*$B$6</f>
        <v>0</v>
      </c>
      <c r="M523">
        <f t="shared" ref="M523:M586" si="84">IF(E523&lt;0,0,E523)*$K523*$C$6</f>
        <v>210.74850000000001</v>
      </c>
      <c r="N523">
        <f t="shared" ref="N523:N586" si="85">IF(F523&lt;0,0,F523)*$K523*$D$6</f>
        <v>0</v>
      </c>
      <c r="O523">
        <f t="shared" ref="O523:O586" si="86">L523+M523+N523</f>
        <v>210.74850000000001</v>
      </c>
      <c r="P523">
        <f t="shared" ref="P523:P586" si="87">L523/$O523*$I523</f>
        <v>0</v>
      </c>
      <c r="Q523">
        <f t="shared" ref="Q523:Q586" si="88">M523/$O523*$I523</f>
        <v>210.74850000000001</v>
      </c>
      <c r="R523">
        <f t="shared" ref="R523:R586" si="89">N523/$O523*$I523</f>
        <v>0</v>
      </c>
      <c r="S523">
        <f t="shared" ref="S523:S586" si="90">P523+Q523+R523</f>
        <v>210.74850000000001</v>
      </c>
    </row>
    <row r="524" spans="1:19" x14ac:dyDescent="0.3">
      <c r="A524" t="s">
        <v>13</v>
      </c>
      <c r="B524" t="s">
        <v>24</v>
      </c>
      <c r="C524" t="s">
        <v>15</v>
      </c>
      <c r="D524">
        <v>0</v>
      </c>
      <c r="E524">
        <v>10</v>
      </c>
      <c r="F524">
        <v>3</v>
      </c>
      <c r="G524">
        <v>20260219</v>
      </c>
      <c r="H524">
        <v>20260303</v>
      </c>
      <c r="I524">
        <v>19793.578799999999</v>
      </c>
      <c r="J524">
        <f t="shared" si="81"/>
        <v>13</v>
      </c>
      <c r="K524">
        <f t="shared" si="82"/>
        <v>1522.5829846153845</v>
      </c>
      <c r="L524">
        <f t="shared" si="83"/>
        <v>0</v>
      </c>
      <c r="M524">
        <f t="shared" si="84"/>
        <v>15225.829846153845</v>
      </c>
      <c r="N524">
        <f t="shared" si="85"/>
        <v>3367.6553511552856</v>
      </c>
      <c r="O524">
        <f t="shared" si="86"/>
        <v>18593.485197309132</v>
      </c>
      <c r="P524">
        <f t="shared" si="87"/>
        <v>0</v>
      </c>
      <c r="Q524">
        <f t="shared" si="88"/>
        <v>16208.562281742268</v>
      </c>
      <c r="R524">
        <f t="shared" si="89"/>
        <v>3585.0165182577298</v>
      </c>
      <c r="S524">
        <f t="shared" si="90"/>
        <v>19793.578799999999</v>
      </c>
    </row>
    <row r="525" spans="1:19" x14ac:dyDescent="0.3">
      <c r="A525" t="s">
        <v>13</v>
      </c>
      <c r="B525" t="s">
        <v>24</v>
      </c>
      <c r="C525" t="s">
        <v>14</v>
      </c>
      <c r="D525">
        <v>17</v>
      </c>
      <c r="E525">
        <v>4</v>
      </c>
      <c r="F525">
        <v>0</v>
      </c>
      <c r="G525">
        <v>20260115</v>
      </c>
      <c r="H525">
        <v>20260204</v>
      </c>
      <c r="I525">
        <v>14215.5337</v>
      </c>
      <c r="J525">
        <f t="shared" si="81"/>
        <v>21</v>
      </c>
      <c r="K525">
        <f t="shared" si="82"/>
        <v>676.93017619047623</v>
      </c>
      <c r="L525">
        <f t="shared" si="83"/>
        <v>13957.188097620827</v>
      </c>
      <c r="M525">
        <f t="shared" si="84"/>
        <v>2707.7207047619049</v>
      </c>
      <c r="N525">
        <f t="shared" si="85"/>
        <v>0</v>
      </c>
      <c r="O525">
        <f t="shared" si="86"/>
        <v>16664.908802382732</v>
      </c>
      <c r="P525">
        <f t="shared" si="87"/>
        <v>11905.788391149159</v>
      </c>
      <c r="Q525">
        <f t="shared" si="88"/>
        <v>2309.7453088508414</v>
      </c>
      <c r="R525">
        <f t="shared" si="89"/>
        <v>0</v>
      </c>
      <c r="S525">
        <f t="shared" si="90"/>
        <v>14215.5337</v>
      </c>
    </row>
    <row r="526" spans="1:19" x14ac:dyDescent="0.3">
      <c r="A526" t="s">
        <v>13</v>
      </c>
      <c r="B526" t="s">
        <v>24</v>
      </c>
      <c r="C526" t="s">
        <v>15</v>
      </c>
      <c r="D526">
        <v>5</v>
      </c>
      <c r="E526">
        <v>19</v>
      </c>
      <c r="F526">
        <v>0</v>
      </c>
      <c r="G526">
        <v>20260127</v>
      </c>
      <c r="H526">
        <v>20260219</v>
      </c>
      <c r="I526">
        <v>16261.7718</v>
      </c>
      <c r="J526">
        <f t="shared" si="81"/>
        <v>24</v>
      </c>
      <c r="K526">
        <f t="shared" si="82"/>
        <v>677.57382500000006</v>
      </c>
      <c r="L526">
        <f t="shared" si="83"/>
        <v>4108.9585525341399</v>
      </c>
      <c r="M526">
        <f t="shared" si="84"/>
        <v>12873.902675000001</v>
      </c>
      <c r="N526">
        <f t="shared" si="85"/>
        <v>0</v>
      </c>
      <c r="O526">
        <f t="shared" si="86"/>
        <v>16982.86122753414</v>
      </c>
      <c r="P526">
        <f t="shared" si="87"/>
        <v>3934.4928644082438</v>
      </c>
      <c r="Q526">
        <f t="shared" si="88"/>
        <v>12327.278935591758</v>
      </c>
      <c r="R526">
        <f t="shared" si="89"/>
        <v>0</v>
      </c>
      <c r="S526">
        <f t="shared" si="90"/>
        <v>16261.771800000002</v>
      </c>
    </row>
    <row r="527" spans="1:19" x14ac:dyDescent="0.3">
      <c r="A527" t="s">
        <v>13</v>
      </c>
      <c r="B527" t="s">
        <v>24</v>
      </c>
      <c r="C527" t="s">
        <v>15</v>
      </c>
      <c r="D527">
        <v>0</v>
      </c>
      <c r="E527">
        <v>17</v>
      </c>
      <c r="F527">
        <v>1</v>
      </c>
      <c r="G527">
        <v>20260212</v>
      </c>
      <c r="H527">
        <v>20260301</v>
      </c>
      <c r="I527">
        <v>8023.4625999999998</v>
      </c>
      <c r="J527">
        <f t="shared" si="81"/>
        <v>18</v>
      </c>
      <c r="K527">
        <f t="shared" si="82"/>
        <v>445.7479222222222</v>
      </c>
      <c r="L527">
        <f t="shared" si="83"/>
        <v>0</v>
      </c>
      <c r="M527">
        <f t="shared" si="84"/>
        <v>7577.7146777777771</v>
      </c>
      <c r="N527">
        <f t="shared" si="85"/>
        <v>328.63570014591835</v>
      </c>
      <c r="O527">
        <f t="shared" si="86"/>
        <v>7906.3503779236953</v>
      </c>
      <c r="P527">
        <f t="shared" si="87"/>
        <v>0</v>
      </c>
      <c r="Q527">
        <f t="shared" si="88"/>
        <v>7689.9590081900396</v>
      </c>
      <c r="R527">
        <f t="shared" si="89"/>
        <v>333.50359180996037</v>
      </c>
      <c r="S527">
        <f t="shared" si="90"/>
        <v>8023.4625999999998</v>
      </c>
    </row>
    <row r="528" spans="1:19" x14ac:dyDescent="0.3">
      <c r="A528" t="s">
        <v>13</v>
      </c>
      <c r="B528" t="s">
        <v>24</v>
      </c>
      <c r="C528" t="s">
        <v>15</v>
      </c>
      <c r="D528">
        <v>3</v>
      </c>
      <c r="E528">
        <v>28</v>
      </c>
      <c r="F528">
        <v>2</v>
      </c>
      <c r="G528">
        <v>20260129</v>
      </c>
      <c r="H528">
        <v>20260302</v>
      </c>
      <c r="I528">
        <v>1940.5224000000001</v>
      </c>
      <c r="J528">
        <f t="shared" si="81"/>
        <v>33</v>
      </c>
      <c r="K528">
        <f t="shared" si="82"/>
        <v>58.803709090909095</v>
      </c>
      <c r="L528">
        <f t="shared" si="83"/>
        <v>213.95927157294233</v>
      </c>
      <c r="M528">
        <f t="shared" si="84"/>
        <v>1646.5038545454547</v>
      </c>
      <c r="N528">
        <f t="shared" si="85"/>
        <v>86.708191535365458</v>
      </c>
      <c r="O528">
        <f t="shared" si="86"/>
        <v>1947.1713176537623</v>
      </c>
      <c r="P528">
        <f t="shared" si="87"/>
        <v>213.22867454480738</v>
      </c>
      <c r="Q528">
        <f t="shared" si="88"/>
        <v>1640.8816124519003</v>
      </c>
      <c r="R528">
        <f t="shared" si="89"/>
        <v>86.412113003292603</v>
      </c>
      <c r="S528">
        <f t="shared" si="90"/>
        <v>1940.5224000000003</v>
      </c>
    </row>
    <row r="529" spans="1:19" x14ac:dyDescent="0.3">
      <c r="A529" t="s">
        <v>13</v>
      </c>
      <c r="B529" t="s">
        <v>24</v>
      </c>
      <c r="C529" t="s">
        <v>15</v>
      </c>
      <c r="D529">
        <v>3</v>
      </c>
      <c r="E529">
        <v>28</v>
      </c>
      <c r="F529">
        <v>1</v>
      </c>
      <c r="G529">
        <v>20260129</v>
      </c>
      <c r="H529">
        <v>20260301</v>
      </c>
      <c r="I529">
        <v>36484.274799999999</v>
      </c>
      <c r="J529">
        <f t="shared" si="81"/>
        <v>32</v>
      </c>
      <c r="K529">
        <f t="shared" si="82"/>
        <v>1140.1335875</v>
      </c>
      <c r="L529">
        <f t="shared" si="83"/>
        <v>4148.4143712808464</v>
      </c>
      <c r="M529">
        <f t="shared" si="84"/>
        <v>31923.740449999998</v>
      </c>
      <c r="N529">
        <f t="shared" si="85"/>
        <v>840.58406356663556</v>
      </c>
      <c r="O529">
        <f t="shared" si="86"/>
        <v>36912.73888484748</v>
      </c>
      <c r="P529">
        <f t="shared" si="87"/>
        <v>4100.2617112275275</v>
      </c>
      <c r="Q529">
        <f t="shared" si="88"/>
        <v>31553.186092614378</v>
      </c>
      <c r="R529">
        <f t="shared" si="89"/>
        <v>830.82699615809111</v>
      </c>
      <c r="S529">
        <f t="shared" si="90"/>
        <v>36484.274799999992</v>
      </c>
    </row>
    <row r="530" spans="1:19" x14ac:dyDescent="0.3">
      <c r="A530" t="s">
        <v>13</v>
      </c>
      <c r="B530" t="s">
        <v>24</v>
      </c>
      <c r="C530" t="s">
        <v>15</v>
      </c>
      <c r="D530">
        <v>2</v>
      </c>
      <c r="E530">
        <v>28</v>
      </c>
      <c r="F530">
        <v>1</v>
      </c>
      <c r="G530">
        <v>20260130</v>
      </c>
      <c r="H530">
        <v>20260301</v>
      </c>
      <c r="I530">
        <v>2067.0297999999998</v>
      </c>
      <c r="J530">
        <f t="shared" si="81"/>
        <v>31</v>
      </c>
      <c r="K530">
        <f t="shared" si="82"/>
        <v>66.678380645161283</v>
      </c>
      <c r="L530">
        <f t="shared" si="83"/>
        <v>161.74101909622161</v>
      </c>
      <c r="M530">
        <f t="shared" si="84"/>
        <v>1866.994658064516</v>
      </c>
      <c r="N530">
        <f t="shared" si="85"/>
        <v>49.159839486574704</v>
      </c>
      <c r="O530">
        <f t="shared" si="86"/>
        <v>2077.8955166473124</v>
      </c>
      <c r="P530">
        <f t="shared" si="87"/>
        <v>160.89524409470337</v>
      </c>
      <c r="Q530">
        <f t="shared" si="88"/>
        <v>1857.2317827062268</v>
      </c>
      <c r="R530">
        <f t="shared" si="89"/>
        <v>48.902773199069379</v>
      </c>
      <c r="S530">
        <f t="shared" si="90"/>
        <v>2067.0297999999998</v>
      </c>
    </row>
    <row r="531" spans="1:19" x14ac:dyDescent="0.3">
      <c r="A531" t="s">
        <v>13</v>
      </c>
      <c r="B531" t="s">
        <v>24</v>
      </c>
      <c r="C531" t="s">
        <v>15</v>
      </c>
      <c r="D531">
        <v>2</v>
      </c>
      <c r="E531">
        <v>28</v>
      </c>
      <c r="F531">
        <v>4</v>
      </c>
      <c r="G531">
        <v>20260130</v>
      </c>
      <c r="H531">
        <v>20260304</v>
      </c>
      <c r="I531">
        <v>9791.3385999999991</v>
      </c>
      <c r="J531">
        <f t="shared" si="81"/>
        <v>34</v>
      </c>
      <c r="K531">
        <f t="shared" si="82"/>
        <v>287.9805470588235</v>
      </c>
      <c r="L531">
        <f t="shared" si="83"/>
        <v>698.55126520025362</v>
      </c>
      <c r="M531">
        <f t="shared" si="84"/>
        <v>8063.4553176470581</v>
      </c>
      <c r="N531">
        <f t="shared" si="85"/>
        <v>849.27542220958765</v>
      </c>
      <c r="O531">
        <f t="shared" si="86"/>
        <v>9611.2820050569007</v>
      </c>
      <c r="P531">
        <f t="shared" si="87"/>
        <v>711.63784013780855</v>
      </c>
      <c r="Q531">
        <f t="shared" si="88"/>
        <v>8214.5151145823111</v>
      </c>
      <c r="R531">
        <f t="shared" si="89"/>
        <v>865.1856452798778</v>
      </c>
      <c r="S531">
        <f t="shared" si="90"/>
        <v>9791.3385999999973</v>
      </c>
    </row>
    <row r="532" spans="1:19" x14ac:dyDescent="0.3">
      <c r="A532" t="s">
        <v>13</v>
      </c>
      <c r="B532" t="s">
        <v>24</v>
      </c>
      <c r="C532" t="s">
        <v>15</v>
      </c>
      <c r="D532">
        <v>0</v>
      </c>
      <c r="E532">
        <v>18</v>
      </c>
      <c r="F532">
        <v>2</v>
      </c>
      <c r="G532">
        <v>20260211</v>
      </c>
      <c r="H532">
        <v>20260302</v>
      </c>
      <c r="I532">
        <v>929.18470000000002</v>
      </c>
      <c r="J532">
        <f t="shared" si="81"/>
        <v>20</v>
      </c>
      <c r="K532">
        <f t="shared" si="82"/>
        <v>46.459235</v>
      </c>
      <c r="L532">
        <f t="shared" si="83"/>
        <v>0</v>
      </c>
      <c r="M532">
        <f t="shared" si="84"/>
        <v>836.26622999999995</v>
      </c>
      <c r="N532">
        <f t="shared" si="85"/>
        <v>68.505818922727357</v>
      </c>
      <c r="O532">
        <f t="shared" si="86"/>
        <v>904.77204892272732</v>
      </c>
      <c r="P532">
        <f t="shared" si="87"/>
        <v>0</v>
      </c>
      <c r="Q532">
        <f t="shared" si="88"/>
        <v>858.83045013147296</v>
      </c>
      <c r="R532">
        <f t="shared" si="89"/>
        <v>70.354249868527049</v>
      </c>
      <c r="S532">
        <f t="shared" si="90"/>
        <v>929.18470000000002</v>
      </c>
    </row>
    <row r="533" spans="1:19" x14ac:dyDescent="0.3">
      <c r="A533" t="s">
        <v>13</v>
      </c>
      <c r="B533" t="s">
        <v>24</v>
      </c>
      <c r="C533" t="s">
        <v>15</v>
      </c>
      <c r="D533">
        <v>12</v>
      </c>
      <c r="E533">
        <v>4</v>
      </c>
      <c r="F533">
        <v>0</v>
      </c>
      <c r="G533">
        <v>20260120</v>
      </c>
      <c r="H533">
        <v>20260204</v>
      </c>
      <c r="I533">
        <v>23776.052500000002</v>
      </c>
      <c r="J533">
        <f t="shared" si="81"/>
        <v>16</v>
      </c>
      <c r="K533">
        <f t="shared" si="82"/>
        <v>1486.0032812500001</v>
      </c>
      <c r="L533">
        <f t="shared" si="83"/>
        <v>21627.49149851879</v>
      </c>
      <c r="M533">
        <f t="shared" si="84"/>
        <v>5944.0131250000004</v>
      </c>
      <c r="N533">
        <f t="shared" si="85"/>
        <v>0</v>
      </c>
      <c r="O533">
        <f t="shared" si="86"/>
        <v>27571.504623518791</v>
      </c>
      <c r="P533">
        <f t="shared" si="87"/>
        <v>18650.283339033092</v>
      </c>
      <c r="Q533">
        <f t="shared" si="88"/>
        <v>5125.7691609669064</v>
      </c>
      <c r="R533">
        <f t="shared" si="89"/>
        <v>0</v>
      </c>
      <c r="S533">
        <f t="shared" si="90"/>
        <v>23776.052499999998</v>
      </c>
    </row>
    <row r="534" spans="1:19" x14ac:dyDescent="0.3">
      <c r="A534" t="s">
        <v>13</v>
      </c>
      <c r="B534" t="s">
        <v>24</v>
      </c>
      <c r="C534" t="s">
        <v>15</v>
      </c>
      <c r="D534">
        <v>0</v>
      </c>
      <c r="E534">
        <v>9</v>
      </c>
      <c r="F534">
        <v>3</v>
      </c>
      <c r="G534">
        <v>20260220</v>
      </c>
      <c r="H534">
        <v>20260303</v>
      </c>
      <c r="I534">
        <v>1184.5909999999999</v>
      </c>
      <c r="J534">
        <f t="shared" si="81"/>
        <v>12</v>
      </c>
      <c r="K534">
        <f t="shared" si="82"/>
        <v>98.715916666666658</v>
      </c>
      <c r="L534">
        <f t="shared" si="83"/>
        <v>0</v>
      </c>
      <c r="M534">
        <f t="shared" si="84"/>
        <v>888.44324999999992</v>
      </c>
      <c r="N534">
        <f t="shared" si="85"/>
        <v>218.34027331566188</v>
      </c>
      <c r="O534">
        <f t="shared" si="86"/>
        <v>1106.7835233156618</v>
      </c>
      <c r="P534">
        <f t="shared" si="87"/>
        <v>0</v>
      </c>
      <c r="Q534">
        <f t="shared" si="88"/>
        <v>950.90128809279952</v>
      </c>
      <c r="R534">
        <f t="shared" si="89"/>
        <v>233.68971190720035</v>
      </c>
      <c r="S534">
        <f t="shared" si="90"/>
        <v>1184.5909999999999</v>
      </c>
    </row>
    <row r="535" spans="1:19" x14ac:dyDescent="0.3">
      <c r="A535" t="s">
        <v>13</v>
      </c>
      <c r="B535" t="s">
        <v>24</v>
      </c>
      <c r="C535" t="s">
        <v>15</v>
      </c>
      <c r="D535">
        <v>0</v>
      </c>
      <c r="E535">
        <v>15</v>
      </c>
      <c r="F535">
        <v>3</v>
      </c>
      <c r="G535">
        <v>20260214</v>
      </c>
      <c r="H535">
        <v>20260303</v>
      </c>
      <c r="I535">
        <v>42.242600000000003</v>
      </c>
      <c r="J535">
        <f t="shared" si="81"/>
        <v>18</v>
      </c>
      <c r="K535">
        <f t="shared" si="82"/>
        <v>2.3468111111111112</v>
      </c>
      <c r="L535">
        <f t="shared" si="83"/>
        <v>0</v>
      </c>
      <c r="M535">
        <f t="shared" si="84"/>
        <v>35.20216666666667</v>
      </c>
      <c r="N535">
        <f t="shared" si="85"/>
        <v>5.1906865348823228</v>
      </c>
      <c r="O535">
        <f t="shared" si="86"/>
        <v>40.392853201548995</v>
      </c>
      <c r="P535">
        <f t="shared" si="87"/>
        <v>0</v>
      </c>
      <c r="Q535">
        <f t="shared" si="88"/>
        <v>36.814211618413438</v>
      </c>
      <c r="R535">
        <f t="shared" si="89"/>
        <v>5.4283883815865597</v>
      </c>
      <c r="S535">
        <f t="shared" si="90"/>
        <v>42.242599999999996</v>
      </c>
    </row>
    <row r="536" spans="1:19" x14ac:dyDescent="0.3">
      <c r="A536" t="s">
        <v>13</v>
      </c>
      <c r="B536" t="s">
        <v>24</v>
      </c>
      <c r="C536" t="s">
        <v>14</v>
      </c>
      <c r="D536">
        <v>19</v>
      </c>
      <c r="E536">
        <v>3</v>
      </c>
      <c r="F536">
        <v>0</v>
      </c>
      <c r="G536">
        <v>20260113</v>
      </c>
      <c r="H536">
        <v>20260203</v>
      </c>
      <c r="I536">
        <v>26947.642800000001</v>
      </c>
      <c r="J536">
        <f t="shared" si="81"/>
        <v>22</v>
      </c>
      <c r="K536">
        <f t="shared" si="82"/>
        <v>1224.8928545454546</v>
      </c>
      <c r="L536">
        <f t="shared" si="83"/>
        <v>28226.487480335454</v>
      </c>
      <c r="M536">
        <f t="shared" si="84"/>
        <v>3674.6785636363638</v>
      </c>
      <c r="N536">
        <f t="shared" si="85"/>
        <v>0</v>
      </c>
      <c r="O536">
        <f t="shared" si="86"/>
        <v>31901.166043971818</v>
      </c>
      <c r="P536">
        <f t="shared" si="87"/>
        <v>23843.557977482931</v>
      </c>
      <c r="Q536">
        <f t="shared" si="88"/>
        <v>3104.0848225170689</v>
      </c>
      <c r="R536">
        <f t="shared" si="89"/>
        <v>0</v>
      </c>
      <c r="S536">
        <f t="shared" si="90"/>
        <v>26947.642800000001</v>
      </c>
    </row>
    <row r="537" spans="1:19" x14ac:dyDescent="0.3">
      <c r="A537" t="s">
        <v>13</v>
      </c>
      <c r="B537" t="s">
        <v>24</v>
      </c>
      <c r="C537" t="s">
        <v>15</v>
      </c>
      <c r="D537">
        <v>8</v>
      </c>
      <c r="E537">
        <v>3</v>
      </c>
      <c r="F537">
        <v>0</v>
      </c>
      <c r="G537">
        <v>20260124</v>
      </c>
      <c r="H537">
        <v>20260203</v>
      </c>
      <c r="I537">
        <v>15912.413399999999</v>
      </c>
      <c r="J537">
        <f t="shared" si="81"/>
        <v>11</v>
      </c>
      <c r="K537">
        <f t="shared" si="82"/>
        <v>1446.5830363636362</v>
      </c>
      <c r="L537">
        <f t="shared" si="83"/>
        <v>14035.842637143587</v>
      </c>
      <c r="M537">
        <f t="shared" si="84"/>
        <v>4339.7491090909089</v>
      </c>
      <c r="N537">
        <f t="shared" si="85"/>
        <v>0</v>
      </c>
      <c r="O537">
        <f t="shared" si="86"/>
        <v>18375.591746234495</v>
      </c>
      <c r="P537">
        <f t="shared" si="87"/>
        <v>12154.391191529512</v>
      </c>
      <c r="Q537">
        <f t="shared" si="88"/>
        <v>3758.0222084704883</v>
      </c>
      <c r="R537">
        <f t="shared" si="89"/>
        <v>0</v>
      </c>
      <c r="S537">
        <f t="shared" si="90"/>
        <v>15912.413400000001</v>
      </c>
    </row>
    <row r="538" spans="1:19" x14ac:dyDescent="0.3">
      <c r="A538" t="s">
        <v>13</v>
      </c>
      <c r="B538" t="s">
        <v>24</v>
      </c>
      <c r="C538" t="s">
        <v>15</v>
      </c>
      <c r="D538">
        <v>0</v>
      </c>
      <c r="E538">
        <v>24</v>
      </c>
      <c r="F538">
        <v>5</v>
      </c>
      <c r="G538">
        <v>20260205</v>
      </c>
      <c r="H538">
        <v>20260305</v>
      </c>
      <c r="I538">
        <v>3351997.0227000001</v>
      </c>
      <c r="J538">
        <f t="shared" si="81"/>
        <v>29</v>
      </c>
      <c r="K538">
        <f t="shared" si="82"/>
        <v>115586.10423103449</v>
      </c>
      <c r="L538">
        <f t="shared" si="83"/>
        <v>0</v>
      </c>
      <c r="M538">
        <f t="shared" si="84"/>
        <v>2774066.5015448276</v>
      </c>
      <c r="N538">
        <f t="shared" si="85"/>
        <v>426089.70673078985</v>
      </c>
      <c r="O538">
        <f t="shared" si="86"/>
        <v>3200156.2082756176</v>
      </c>
      <c r="P538">
        <f t="shared" si="87"/>
        <v>0</v>
      </c>
      <c r="Q538">
        <f t="shared" si="88"/>
        <v>2905690.2378401672</v>
      </c>
      <c r="R538">
        <f t="shared" si="89"/>
        <v>446306.78485983267</v>
      </c>
      <c r="S538">
        <f t="shared" si="90"/>
        <v>3351997.0227000001</v>
      </c>
    </row>
    <row r="539" spans="1:19" x14ac:dyDescent="0.3">
      <c r="A539" t="s">
        <v>13</v>
      </c>
      <c r="B539" t="s">
        <v>24</v>
      </c>
      <c r="C539" t="s">
        <v>15</v>
      </c>
      <c r="D539">
        <v>23</v>
      </c>
      <c r="E539">
        <v>3</v>
      </c>
      <c r="F539">
        <v>0</v>
      </c>
      <c r="G539">
        <v>20260109</v>
      </c>
      <c r="H539">
        <v>20260203</v>
      </c>
      <c r="I539">
        <v>405437.71759999997</v>
      </c>
      <c r="J539">
        <f t="shared" si="81"/>
        <v>26</v>
      </c>
      <c r="K539">
        <f t="shared" si="82"/>
        <v>15593.758369230769</v>
      </c>
      <c r="L539">
        <f t="shared" si="83"/>
        <v>434994.50611163635</v>
      </c>
      <c r="M539">
        <f t="shared" si="84"/>
        <v>46781.275107692309</v>
      </c>
      <c r="N539">
        <f t="shared" si="85"/>
        <v>0</v>
      </c>
      <c r="O539">
        <f t="shared" si="86"/>
        <v>481775.78121932864</v>
      </c>
      <c r="P539">
        <f t="shared" si="87"/>
        <v>366069.00263870187</v>
      </c>
      <c r="Q539">
        <f t="shared" si="88"/>
        <v>39368.714961298101</v>
      </c>
      <c r="R539">
        <f t="shared" si="89"/>
        <v>0</v>
      </c>
      <c r="S539">
        <f t="shared" si="90"/>
        <v>405437.71759999997</v>
      </c>
    </row>
    <row r="540" spans="1:19" x14ac:dyDescent="0.3">
      <c r="A540" t="s">
        <v>13</v>
      </c>
      <c r="B540" t="s">
        <v>24</v>
      </c>
      <c r="C540" t="s">
        <v>15</v>
      </c>
      <c r="D540">
        <v>0</v>
      </c>
      <c r="E540">
        <v>26</v>
      </c>
      <c r="F540">
        <v>4</v>
      </c>
      <c r="G540">
        <v>20260203</v>
      </c>
      <c r="H540">
        <v>20260304</v>
      </c>
      <c r="I540">
        <v>3502651.1131000002</v>
      </c>
      <c r="J540">
        <f t="shared" si="81"/>
        <v>30</v>
      </c>
      <c r="K540">
        <f t="shared" si="82"/>
        <v>116755.03710333334</v>
      </c>
      <c r="L540">
        <f t="shared" si="83"/>
        <v>0</v>
      </c>
      <c r="M540">
        <f t="shared" si="84"/>
        <v>3035630.9646866666</v>
      </c>
      <c r="N540">
        <f t="shared" si="85"/>
        <v>344319.03280875232</v>
      </c>
      <c r="O540">
        <f t="shared" si="86"/>
        <v>3379949.9974954189</v>
      </c>
      <c r="P540">
        <f t="shared" si="87"/>
        <v>0</v>
      </c>
      <c r="Q540">
        <f t="shared" si="88"/>
        <v>3145832.3896210217</v>
      </c>
      <c r="R540">
        <f t="shared" si="89"/>
        <v>356818.72347897844</v>
      </c>
      <c r="S540">
        <f t="shared" si="90"/>
        <v>3502651.1131000002</v>
      </c>
    </row>
    <row r="541" spans="1:19" x14ac:dyDescent="0.3">
      <c r="A541" t="s">
        <v>13</v>
      </c>
      <c r="B541" t="s">
        <v>24</v>
      </c>
      <c r="C541" t="s">
        <v>14</v>
      </c>
      <c r="D541">
        <v>29</v>
      </c>
      <c r="E541">
        <v>2</v>
      </c>
      <c r="F541">
        <v>0</v>
      </c>
      <c r="G541">
        <v>20260103</v>
      </c>
      <c r="H541">
        <v>20260202</v>
      </c>
      <c r="I541">
        <v>2287347.7048999998</v>
      </c>
      <c r="J541">
        <f t="shared" si="81"/>
        <v>31</v>
      </c>
      <c r="K541">
        <f t="shared" si="82"/>
        <v>73785.409835483864</v>
      </c>
      <c r="L541">
        <f t="shared" si="83"/>
        <v>2595216.7007268006</v>
      </c>
      <c r="M541">
        <f t="shared" si="84"/>
        <v>147570.81967096773</v>
      </c>
      <c r="N541">
        <f t="shared" si="85"/>
        <v>0</v>
      </c>
      <c r="O541">
        <f t="shared" si="86"/>
        <v>2742787.5203977684</v>
      </c>
      <c r="P541">
        <f t="shared" si="87"/>
        <v>2164281.0170234093</v>
      </c>
      <c r="Q541">
        <f t="shared" si="88"/>
        <v>123066.6878765905</v>
      </c>
      <c r="R541">
        <f t="shared" si="89"/>
        <v>0</v>
      </c>
      <c r="S541">
        <f t="shared" si="90"/>
        <v>2287347.7048999998</v>
      </c>
    </row>
    <row r="542" spans="1:19" x14ac:dyDescent="0.3">
      <c r="A542" t="s">
        <v>13</v>
      </c>
      <c r="B542" t="s">
        <v>24</v>
      </c>
      <c r="C542" t="s">
        <v>15</v>
      </c>
      <c r="D542">
        <v>0</v>
      </c>
      <c r="E542">
        <v>25</v>
      </c>
      <c r="F542">
        <v>3</v>
      </c>
      <c r="G542">
        <v>20260204</v>
      </c>
      <c r="H542">
        <v>20260303</v>
      </c>
      <c r="I542">
        <v>12043937.243799999</v>
      </c>
      <c r="J542">
        <f t="shared" si="81"/>
        <v>28</v>
      </c>
      <c r="K542">
        <f t="shared" si="82"/>
        <v>430140.61585</v>
      </c>
      <c r="L542">
        <f t="shared" si="83"/>
        <v>0</v>
      </c>
      <c r="M542">
        <f t="shared" si="84"/>
        <v>10753515.39625</v>
      </c>
      <c r="N542">
        <f t="shared" si="85"/>
        <v>951386.79556595779</v>
      </c>
      <c r="O542">
        <f t="shared" si="86"/>
        <v>11704902.191815957</v>
      </c>
      <c r="P542">
        <f t="shared" si="87"/>
        <v>0</v>
      </c>
      <c r="Q542">
        <f t="shared" si="88"/>
        <v>11064993.321621129</v>
      </c>
      <c r="R542">
        <f t="shared" si="89"/>
        <v>978943.92217887077</v>
      </c>
      <c r="S542">
        <f t="shared" si="90"/>
        <v>12043937.243799999</v>
      </c>
    </row>
    <row r="543" spans="1:19" x14ac:dyDescent="0.3">
      <c r="A543" t="s">
        <v>13</v>
      </c>
      <c r="B543" t="s">
        <v>24</v>
      </c>
      <c r="C543" t="s">
        <v>14</v>
      </c>
      <c r="D543">
        <v>28</v>
      </c>
      <c r="E543">
        <v>2</v>
      </c>
      <c r="F543">
        <v>0</v>
      </c>
      <c r="G543">
        <v>20260104</v>
      </c>
      <c r="H543">
        <v>20260202</v>
      </c>
      <c r="I543">
        <v>538272.72140000004</v>
      </c>
      <c r="J543">
        <f t="shared" si="81"/>
        <v>30</v>
      </c>
      <c r="K543">
        <f t="shared" si="82"/>
        <v>17942.424046666667</v>
      </c>
      <c r="L543">
        <f t="shared" si="83"/>
        <v>609318.38643940119</v>
      </c>
      <c r="M543">
        <f t="shared" si="84"/>
        <v>35884.848093333334</v>
      </c>
      <c r="N543">
        <f t="shared" si="85"/>
        <v>0</v>
      </c>
      <c r="O543">
        <f t="shared" si="86"/>
        <v>645203.2345327345</v>
      </c>
      <c r="P543">
        <f t="shared" si="87"/>
        <v>508335.12374642823</v>
      </c>
      <c r="Q543">
        <f t="shared" si="88"/>
        <v>29937.597653571815</v>
      </c>
      <c r="R543">
        <f t="shared" si="89"/>
        <v>0</v>
      </c>
      <c r="S543">
        <f t="shared" si="90"/>
        <v>538272.72140000004</v>
      </c>
    </row>
    <row r="544" spans="1:19" x14ac:dyDescent="0.3">
      <c r="A544" t="s">
        <v>13</v>
      </c>
      <c r="B544" t="s">
        <v>24</v>
      </c>
      <c r="C544" t="s">
        <v>15</v>
      </c>
      <c r="D544">
        <v>0</v>
      </c>
      <c r="E544">
        <v>27</v>
      </c>
      <c r="F544">
        <v>4</v>
      </c>
      <c r="G544">
        <v>20260202</v>
      </c>
      <c r="H544">
        <v>20260304</v>
      </c>
      <c r="I544">
        <v>2942220.8095</v>
      </c>
      <c r="J544">
        <f t="shared" si="81"/>
        <v>31</v>
      </c>
      <c r="K544">
        <f t="shared" si="82"/>
        <v>94910.348693548382</v>
      </c>
      <c r="L544">
        <f t="shared" si="83"/>
        <v>0</v>
      </c>
      <c r="M544">
        <f t="shared" si="84"/>
        <v>2562579.4147258061</v>
      </c>
      <c r="N544">
        <f t="shared" si="85"/>
        <v>279897.46974926034</v>
      </c>
      <c r="O544">
        <f t="shared" si="86"/>
        <v>2842476.8844750663</v>
      </c>
      <c r="P544">
        <f t="shared" si="87"/>
        <v>0</v>
      </c>
      <c r="Q544">
        <f t="shared" si="88"/>
        <v>2652501.5985820354</v>
      </c>
      <c r="R544">
        <f t="shared" si="89"/>
        <v>289719.21091796458</v>
      </c>
      <c r="S544">
        <f t="shared" si="90"/>
        <v>2942220.8095</v>
      </c>
    </row>
    <row r="545" spans="1:19" x14ac:dyDescent="0.3">
      <c r="A545" t="s">
        <v>13</v>
      </c>
      <c r="B545" t="s">
        <v>24</v>
      </c>
      <c r="C545" t="s">
        <v>15</v>
      </c>
      <c r="D545">
        <v>29</v>
      </c>
      <c r="E545">
        <v>4</v>
      </c>
      <c r="F545">
        <v>0</v>
      </c>
      <c r="G545">
        <v>20260103</v>
      </c>
      <c r="H545">
        <v>20260204</v>
      </c>
      <c r="I545">
        <v>2727332.2563999998</v>
      </c>
      <c r="J545">
        <f t="shared" si="81"/>
        <v>33</v>
      </c>
      <c r="K545">
        <f t="shared" si="82"/>
        <v>82646.432012121208</v>
      </c>
      <c r="L545">
        <f t="shared" si="83"/>
        <v>2906880.9279716392</v>
      </c>
      <c r="M545">
        <f t="shared" si="84"/>
        <v>330585.72804848483</v>
      </c>
      <c r="N545">
        <f t="shared" si="85"/>
        <v>0</v>
      </c>
      <c r="O545">
        <f t="shared" si="86"/>
        <v>3237466.656020124</v>
      </c>
      <c r="P545">
        <f t="shared" si="87"/>
        <v>2448837.6137028965</v>
      </c>
      <c r="Q545">
        <f t="shared" si="88"/>
        <v>278494.6426971035</v>
      </c>
      <c r="R545">
        <f t="shared" si="89"/>
        <v>0</v>
      </c>
      <c r="S545">
        <f t="shared" si="90"/>
        <v>2727332.2563999998</v>
      </c>
    </row>
    <row r="546" spans="1:19" x14ac:dyDescent="0.3">
      <c r="A546" t="s">
        <v>13</v>
      </c>
      <c r="B546" t="s">
        <v>24</v>
      </c>
      <c r="C546" t="s">
        <v>15</v>
      </c>
      <c r="D546">
        <v>26</v>
      </c>
      <c r="E546">
        <v>1</v>
      </c>
      <c r="F546">
        <v>0</v>
      </c>
      <c r="G546">
        <v>20260106</v>
      </c>
      <c r="H546">
        <v>20260201</v>
      </c>
      <c r="I546">
        <v>1274834.4262000001</v>
      </c>
      <c r="J546">
        <f t="shared" si="81"/>
        <v>27</v>
      </c>
      <c r="K546">
        <f t="shared" si="82"/>
        <v>47216.089859259264</v>
      </c>
      <c r="L546">
        <f t="shared" si="83"/>
        <v>1488910.1899280183</v>
      </c>
      <c r="M546">
        <f t="shared" si="84"/>
        <v>47216.089859259264</v>
      </c>
      <c r="N546">
        <f t="shared" si="85"/>
        <v>0</v>
      </c>
      <c r="O546">
        <f t="shared" si="86"/>
        <v>1536126.2797872776</v>
      </c>
      <c r="P546">
        <f t="shared" si="87"/>
        <v>1235649.6940492867</v>
      </c>
      <c r="Q546">
        <f t="shared" si="88"/>
        <v>39184.732150713484</v>
      </c>
      <c r="R546">
        <f t="shared" si="89"/>
        <v>0</v>
      </c>
      <c r="S546">
        <f t="shared" si="90"/>
        <v>1274834.4262000001</v>
      </c>
    </row>
    <row r="547" spans="1:19" x14ac:dyDescent="0.3">
      <c r="A547" t="s">
        <v>13</v>
      </c>
      <c r="B547" t="s">
        <v>24</v>
      </c>
      <c r="C547" t="s">
        <v>14</v>
      </c>
      <c r="D547">
        <v>26</v>
      </c>
      <c r="E547">
        <v>6</v>
      </c>
      <c r="F547">
        <v>0</v>
      </c>
      <c r="G547">
        <v>20260106</v>
      </c>
      <c r="H547">
        <v>20260206</v>
      </c>
      <c r="I547">
        <v>141026.5864</v>
      </c>
      <c r="J547">
        <f t="shared" si="81"/>
        <v>32</v>
      </c>
      <c r="K547">
        <f t="shared" si="82"/>
        <v>4407.080825</v>
      </c>
      <c r="L547">
        <f t="shared" si="83"/>
        <v>138972.70120710967</v>
      </c>
      <c r="M547">
        <f t="shared" si="84"/>
        <v>26442.484949999998</v>
      </c>
      <c r="N547">
        <f t="shared" si="85"/>
        <v>0</v>
      </c>
      <c r="O547">
        <f t="shared" si="86"/>
        <v>165415.18615710968</v>
      </c>
      <c r="P547">
        <f t="shared" si="87"/>
        <v>118482.74701580935</v>
      </c>
      <c r="Q547">
        <f t="shared" si="88"/>
        <v>22543.839384190633</v>
      </c>
      <c r="R547">
        <f t="shared" si="89"/>
        <v>0</v>
      </c>
      <c r="S547">
        <f t="shared" si="90"/>
        <v>141026.58639999997</v>
      </c>
    </row>
    <row r="548" spans="1:19" x14ac:dyDescent="0.3">
      <c r="A548" t="s">
        <v>13</v>
      </c>
      <c r="B548" t="s">
        <v>24</v>
      </c>
      <c r="C548" t="s">
        <v>14</v>
      </c>
      <c r="D548">
        <v>0</v>
      </c>
      <c r="E548">
        <v>8</v>
      </c>
      <c r="F548">
        <v>16</v>
      </c>
      <c r="G548">
        <v>20260221</v>
      </c>
      <c r="H548">
        <v>20260316</v>
      </c>
      <c r="I548">
        <v>1115830.3012999999</v>
      </c>
      <c r="J548">
        <f t="shared" si="81"/>
        <v>24</v>
      </c>
      <c r="K548">
        <f t="shared" si="82"/>
        <v>46492.929220833328</v>
      </c>
      <c r="L548">
        <f t="shared" si="83"/>
        <v>0</v>
      </c>
      <c r="M548">
        <f t="shared" si="84"/>
        <v>371943.43376666663</v>
      </c>
      <c r="N548">
        <f t="shared" si="85"/>
        <v>548444.01814013289</v>
      </c>
      <c r="O548">
        <f t="shared" si="86"/>
        <v>920387.45190679957</v>
      </c>
      <c r="P548">
        <f t="shared" si="87"/>
        <v>0</v>
      </c>
      <c r="Q548">
        <f t="shared" si="88"/>
        <v>450925.04564962559</v>
      </c>
      <c r="R548">
        <f t="shared" si="89"/>
        <v>664905.25565037434</v>
      </c>
      <c r="S548">
        <f t="shared" si="90"/>
        <v>1115830.3012999999</v>
      </c>
    </row>
    <row r="549" spans="1:19" x14ac:dyDescent="0.3">
      <c r="A549" t="s">
        <v>13</v>
      </c>
      <c r="B549" t="s">
        <v>24</v>
      </c>
      <c r="C549" t="s">
        <v>15</v>
      </c>
      <c r="D549">
        <v>0</v>
      </c>
      <c r="E549">
        <v>22</v>
      </c>
      <c r="F549">
        <v>6</v>
      </c>
      <c r="G549">
        <v>20260207</v>
      </c>
      <c r="H549">
        <v>20260306</v>
      </c>
      <c r="I549">
        <v>866728.27709999995</v>
      </c>
      <c r="J549">
        <f t="shared" si="81"/>
        <v>28</v>
      </c>
      <c r="K549">
        <f t="shared" si="82"/>
        <v>30954.581324999999</v>
      </c>
      <c r="L549">
        <f t="shared" si="83"/>
        <v>0</v>
      </c>
      <c r="M549">
        <f t="shared" si="84"/>
        <v>681000.78914999997</v>
      </c>
      <c r="N549">
        <f t="shared" si="85"/>
        <v>136930.94234629266</v>
      </c>
      <c r="O549">
        <f t="shared" si="86"/>
        <v>817931.73149629263</v>
      </c>
      <c r="P549">
        <f t="shared" si="87"/>
        <v>0</v>
      </c>
      <c r="Q549">
        <f t="shared" si="88"/>
        <v>721628.24592212948</v>
      </c>
      <c r="R549">
        <f t="shared" si="89"/>
        <v>145100.03117787049</v>
      </c>
      <c r="S549">
        <f t="shared" si="90"/>
        <v>866728.27709999995</v>
      </c>
    </row>
    <row r="550" spans="1:19" x14ac:dyDescent="0.3">
      <c r="A550" t="s">
        <v>13</v>
      </c>
      <c r="B550" t="s">
        <v>24</v>
      </c>
      <c r="C550" t="s">
        <v>14</v>
      </c>
      <c r="D550">
        <v>0</v>
      </c>
      <c r="E550">
        <v>27</v>
      </c>
      <c r="F550">
        <v>4</v>
      </c>
      <c r="G550">
        <v>20260202</v>
      </c>
      <c r="H550">
        <v>20260304</v>
      </c>
      <c r="I550">
        <v>412436.12760000001</v>
      </c>
      <c r="J550">
        <f t="shared" si="81"/>
        <v>31</v>
      </c>
      <c r="K550">
        <f t="shared" si="82"/>
        <v>13304.391212903227</v>
      </c>
      <c r="L550">
        <f t="shared" si="83"/>
        <v>0</v>
      </c>
      <c r="M550">
        <f t="shared" si="84"/>
        <v>359218.56274838711</v>
      </c>
      <c r="N550">
        <f t="shared" si="85"/>
        <v>39235.610113178722</v>
      </c>
      <c r="O550">
        <f t="shared" si="86"/>
        <v>398454.17286156584</v>
      </c>
      <c r="P550">
        <f t="shared" si="87"/>
        <v>0</v>
      </c>
      <c r="Q550">
        <f t="shared" si="88"/>
        <v>371823.72044941667</v>
      </c>
      <c r="R550">
        <f t="shared" si="89"/>
        <v>40612.407150583349</v>
      </c>
      <c r="S550">
        <f t="shared" si="90"/>
        <v>412436.12760000001</v>
      </c>
    </row>
    <row r="551" spans="1:19" x14ac:dyDescent="0.3">
      <c r="A551" t="s">
        <v>13</v>
      </c>
      <c r="B551" t="s">
        <v>24</v>
      </c>
      <c r="C551" t="s">
        <v>14</v>
      </c>
      <c r="D551">
        <v>15</v>
      </c>
      <c r="E551">
        <v>15</v>
      </c>
      <c r="F551">
        <v>0</v>
      </c>
      <c r="G551">
        <v>20260117</v>
      </c>
      <c r="H551">
        <v>20260215</v>
      </c>
      <c r="I551">
        <v>1089138.7305999999</v>
      </c>
      <c r="J551">
        <f t="shared" si="81"/>
        <v>30</v>
      </c>
      <c r="K551">
        <f t="shared" si="82"/>
        <v>36304.624353333333</v>
      </c>
      <c r="L551">
        <f t="shared" si="83"/>
        <v>660477.97846899496</v>
      </c>
      <c r="M551">
        <f t="shared" si="84"/>
        <v>544569.36529999995</v>
      </c>
      <c r="N551">
        <f t="shared" si="85"/>
        <v>0</v>
      </c>
      <c r="O551">
        <f t="shared" si="86"/>
        <v>1205047.3437689948</v>
      </c>
      <c r="P551">
        <f t="shared" si="87"/>
        <v>596949.28234858927</v>
      </c>
      <c r="Q551">
        <f t="shared" si="88"/>
        <v>492189.44825141068</v>
      </c>
      <c r="R551">
        <f t="shared" si="89"/>
        <v>0</v>
      </c>
      <c r="S551">
        <f t="shared" si="90"/>
        <v>1089138.7305999999</v>
      </c>
    </row>
    <row r="552" spans="1:19" x14ac:dyDescent="0.3">
      <c r="A552" t="s">
        <v>13</v>
      </c>
      <c r="B552" t="s">
        <v>24</v>
      </c>
      <c r="C552" t="s">
        <v>15</v>
      </c>
      <c r="D552">
        <v>0</v>
      </c>
      <c r="E552">
        <v>24</v>
      </c>
      <c r="F552">
        <v>1</v>
      </c>
      <c r="G552">
        <v>20260205</v>
      </c>
      <c r="H552">
        <v>20260301</v>
      </c>
      <c r="I552">
        <v>1207624.7818</v>
      </c>
      <c r="J552">
        <f t="shared" si="81"/>
        <v>25</v>
      </c>
      <c r="K552">
        <f t="shared" si="82"/>
        <v>48304.991271999999</v>
      </c>
      <c r="L552">
        <f t="shared" si="83"/>
        <v>0</v>
      </c>
      <c r="M552">
        <f t="shared" si="84"/>
        <v>1159319.7905279999</v>
      </c>
      <c r="N552">
        <f t="shared" si="85"/>
        <v>35613.726583568983</v>
      </c>
      <c r="O552">
        <f t="shared" si="86"/>
        <v>1194933.5171115689</v>
      </c>
      <c r="P552">
        <f t="shared" si="87"/>
        <v>0</v>
      </c>
      <c r="Q552">
        <f t="shared" si="88"/>
        <v>1171632.8055279411</v>
      </c>
      <c r="R552">
        <f t="shared" si="89"/>
        <v>35991.976272058797</v>
      </c>
      <c r="S552">
        <f t="shared" si="90"/>
        <v>1207624.7818</v>
      </c>
    </row>
    <row r="553" spans="1:19" x14ac:dyDescent="0.3">
      <c r="A553" t="s">
        <v>13</v>
      </c>
      <c r="B553" t="s">
        <v>24</v>
      </c>
      <c r="C553" t="s">
        <v>15</v>
      </c>
      <c r="D553">
        <v>0</v>
      </c>
      <c r="E553">
        <v>27</v>
      </c>
      <c r="F553">
        <v>0</v>
      </c>
      <c r="G553">
        <v>20260202</v>
      </c>
      <c r="H553">
        <v>20260228</v>
      </c>
      <c r="I553">
        <v>14808.4172</v>
      </c>
      <c r="J553">
        <f t="shared" si="81"/>
        <v>27</v>
      </c>
      <c r="K553">
        <f t="shared" si="82"/>
        <v>548.45989629629628</v>
      </c>
      <c r="L553">
        <f t="shared" si="83"/>
        <v>0</v>
      </c>
      <c r="M553">
        <f t="shared" si="84"/>
        <v>14808.4172</v>
      </c>
      <c r="N553">
        <f t="shared" si="85"/>
        <v>0</v>
      </c>
      <c r="O553">
        <f t="shared" si="86"/>
        <v>14808.4172</v>
      </c>
      <c r="P553">
        <f t="shared" si="87"/>
        <v>0</v>
      </c>
      <c r="Q553">
        <f t="shared" si="88"/>
        <v>14808.4172</v>
      </c>
      <c r="R553">
        <f t="shared" si="89"/>
        <v>0</v>
      </c>
      <c r="S553">
        <f t="shared" si="90"/>
        <v>14808.4172</v>
      </c>
    </row>
    <row r="554" spans="1:19" x14ac:dyDescent="0.3">
      <c r="A554" t="s">
        <v>13</v>
      </c>
      <c r="B554" t="s">
        <v>24</v>
      </c>
      <c r="C554" t="s">
        <v>14</v>
      </c>
      <c r="D554">
        <v>0</v>
      </c>
      <c r="E554">
        <v>24</v>
      </c>
      <c r="F554">
        <v>8</v>
      </c>
      <c r="G554">
        <v>20260205</v>
      </c>
      <c r="H554">
        <v>20260308</v>
      </c>
      <c r="I554">
        <v>2914.6019999999999</v>
      </c>
      <c r="J554">
        <f t="shared" si="81"/>
        <v>32</v>
      </c>
      <c r="K554">
        <f t="shared" si="82"/>
        <v>91.081312499999996</v>
      </c>
      <c r="L554">
        <f t="shared" si="83"/>
        <v>0</v>
      </c>
      <c r="M554">
        <f t="shared" si="84"/>
        <v>2185.9515000000001</v>
      </c>
      <c r="N554">
        <f t="shared" si="85"/>
        <v>537.21073120290021</v>
      </c>
      <c r="O554">
        <f t="shared" si="86"/>
        <v>2723.1622312029003</v>
      </c>
      <c r="P554">
        <f t="shared" si="87"/>
        <v>0</v>
      </c>
      <c r="Q554">
        <f t="shared" si="88"/>
        <v>2339.6250655946651</v>
      </c>
      <c r="R554">
        <f t="shared" si="89"/>
        <v>574.97693440533487</v>
      </c>
      <c r="S554">
        <f t="shared" si="90"/>
        <v>2914.6019999999999</v>
      </c>
    </row>
    <row r="555" spans="1:19" x14ac:dyDescent="0.3">
      <c r="A555" t="s">
        <v>13</v>
      </c>
      <c r="B555" t="s">
        <v>24</v>
      </c>
      <c r="C555" t="s">
        <v>15</v>
      </c>
      <c r="D555">
        <v>15</v>
      </c>
      <c r="E555">
        <v>16</v>
      </c>
      <c r="F555">
        <v>0</v>
      </c>
      <c r="G555">
        <v>20260117</v>
      </c>
      <c r="H555">
        <v>20260216</v>
      </c>
      <c r="I555">
        <v>25045.553500000002</v>
      </c>
      <c r="J555">
        <f t="shared" si="81"/>
        <v>31</v>
      </c>
      <c r="K555">
        <f t="shared" si="82"/>
        <v>807.9210806451614</v>
      </c>
      <c r="L555">
        <f t="shared" si="83"/>
        <v>14698.24000693752</v>
      </c>
      <c r="M555">
        <f t="shared" si="84"/>
        <v>12926.737290322582</v>
      </c>
      <c r="N555">
        <f t="shared" si="85"/>
        <v>0</v>
      </c>
      <c r="O555">
        <f t="shared" si="86"/>
        <v>27624.977297260102</v>
      </c>
      <c r="P555">
        <f t="shared" si="87"/>
        <v>13325.822949585028</v>
      </c>
      <c r="Q555">
        <f t="shared" si="88"/>
        <v>11719.730550414974</v>
      </c>
      <c r="R555">
        <f t="shared" si="89"/>
        <v>0</v>
      </c>
      <c r="S555">
        <f t="shared" si="90"/>
        <v>25045.553500000002</v>
      </c>
    </row>
    <row r="556" spans="1:19" x14ac:dyDescent="0.3">
      <c r="A556" t="s">
        <v>13</v>
      </c>
      <c r="B556" t="s">
        <v>24</v>
      </c>
      <c r="C556" t="s">
        <v>14</v>
      </c>
      <c r="D556">
        <v>27</v>
      </c>
      <c r="E556">
        <v>3</v>
      </c>
      <c r="F556">
        <v>0</v>
      </c>
      <c r="G556">
        <v>20260105</v>
      </c>
      <c r="H556">
        <v>20260203</v>
      </c>
      <c r="I556">
        <v>124791.3091</v>
      </c>
      <c r="J556">
        <f t="shared" si="81"/>
        <v>30</v>
      </c>
      <c r="K556">
        <f t="shared" si="82"/>
        <v>4159.7103033333333</v>
      </c>
      <c r="L556">
        <f t="shared" si="83"/>
        <v>136217.21149796151</v>
      </c>
      <c r="M556">
        <f t="shared" si="84"/>
        <v>12479.13091</v>
      </c>
      <c r="N556">
        <f t="shared" si="85"/>
        <v>0</v>
      </c>
      <c r="O556">
        <f t="shared" si="86"/>
        <v>148696.34240796152</v>
      </c>
      <c r="P556">
        <f t="shared" si="87"/>
        <v>114318.37440994137</v>
      </c>
      <c r="Q556">
        <f t="shared" si="88"/>
        <v>10472.934690058617</v>
      </c>
      <c r="R556">
        <f t="shared" si="89"/>
        <v>0</v>
      </c>
      <c r="S556">
        <f t="shared" si="90"/>
        <v>124791.30909999998</v>
      </c>
    </row>
    <row r="557" spans="1:19" x14ac:dyDescent="0.3">
      <c r="A557" t="s">
        <v>13</v>
      </c>
      <c r="B557" t="s">
        <v>24</v>
      </c>
      <c r="C557" t="s">
        <v>15</v>
      </c>
      <c r="D557">
        <v>0</v>
      </c>
      <c r="E557">
        <v>22</v>
      </c>
      <c r="F557">
        <v>5</v>
      </c>
      <c r="G557">
        <v>20260207</v>
      </c>
      <c r="H557">
        <v>20260305</v>
      </c>
      <c r="I557">
        <v>507171.12709999998</v>
      </c>
      <c r="J557">
        <f t="shared" si="81"/>
        <v>27</v>
      </c>
      <c r="K557">
        <f t="shared" si="82"/>
        <v>18784.11581851852</v>
      </c>
      <c r="L557">
        <f t="shared" si="83"/>
        <v>0</v>
      </c>
      <c r="M557">
        <f t="shared" si="84"/>
        <v>413250.54800740746</v>
      </c>
      <c r="N557">
        <f t="shared" si="85"/>
        <v>69244.641936472282</v>
      </c>
      <c r="O557">
        <f t="shared" si="86"/>
        <v>482495.18994387973</v>
      </c>
      <c r="P557">
        <f t="shared" si="87"/>
        <v>0</v>
      </c>
      <c r="Q557">
        <f t="shared" si="88"/>
        <v>434385.15155350527</v>
      </c>
      <c r="R557">
        <f t="shared" si="89"/>
        <v>72785.975546494767</v>
      </c>
      <c r="S557">
        <f t="shared" si="90"/>
        <v>507171.12710000004</v>
      </c>
    </row>
    <row r="558" spans="1:19" x14ac:dyDescent="0.3">
      <c r="A558" t="s">
        <v>13</v>
      </c>
      <c r="B558" t="s">
        <v>24</v>
      </c>
      <c r="C558" t="s">
        <v>15</v>
      </c>
      <c r="D558">
        <v>27</v>
      </c>
      <c r="E558">
        <v>6</v>
      </c>
      <c r="F558">
        <v>0</v>
      </c>
      <c r="G558">
        <v>20260105</v>
      </c>
      <c r="H558">
        <v>20260206</v>
      </c>
      <c r="I558">
        <v>512581.13740000001</v>
      </c>
      <c r="J558">
        <f t="shared" si="81"/>
        <v>33</v>
      </c>
      <c r="K558">
        <f t="shared" si="82"/>
        <v>15532.76173939394</v>
      </c>
      <c r="L558">
        <f t="shared" si="83"/>
        <v>508648.27997925103</v>
      </c>
      <c r="M558">
        <f t="shared" si="84"/>
        <v>93196.570436363632</v>
      </c>
      <c r="N558">
        <f t="shared" si="85"/>
        <v>0</v>
      </c>
      <c r="O558">
        <f t="shared" si="86"/>
        <v>601844.85041561467</v>
      </c>
      <c r="P558">
        <f t="shared" si="87"/>
        <v>433207.18571949378</v>
      </c>
      <c r="Q558">
        <f t="shared" si="88"/>
        <v>79373.951680506216</v>
      </c>
      <c r="R558">
        <f t="shared" si="89"/>
        <v>0</v>
      </c>
      <c r="S558">
        <f t="shared" si="90"/>
        <v>512581.13740000001</v>
      </c>
    </row>
    <row r="559" spans="1:19" x14ac:dyDescent="0.3">
      <c r="A559" t="s">
        <v>13</v>
      </c>
      <c r="B559" t="s">
        <v>24</v>
      </c>
      <c r="C559" t="s">
        <v>14</v>
      </c>
      <c r="D559">
        <v>26</v>
      </c>
      <c r="E559">
        <v>9</v>
      </c>
      <c r="F559">
        <v>0</v>
      </c>
      <c r="G559">
        <v>20260106</v>
      </c>
      <c r="H559">
        <v>20260209</v>
      </c>
      <c r="I559">
        <v>48854.007799999999</v>
      </c>
      <c r="J559">
        <f t="shared" si="81"/>
        <v>35</v>
      </c>
      <c r="K559">
        <f t="shared" si="82"/>
        <v>1395.8287942857144</v>
      </c>
      <c r="L559">
        <f t="shared" si="83"/>
        <v>44016.006437673786</v>
      </c>
      <c r="M559">
        <f t="shared" si="84"/>
        <v>12562.45914857143</v>
      </c>
      <c r="N559">
        <f t="shared" si="85"/>
        <v>0</v>
      </c>
      <c r="O559">
        <f t="shared" si="86"/>
        <v>56578.46558624522</v>
      </c>
      <c r="P559">
        <f t="shared" si="87"/>
        <v>38006.656765073858</v>
      </c>
      <c r="Q559">
        <f t="shared" si="88"/>
        <v>10847.351034926138</v>
      </c>
      <c r="R559">
        <f t="shared" si="89"/>
        <v>0</v>
      </c>
      <c r="S559">
        <f t="shared" si="90"/>
        <v>48854.007799999992</v>
      </c>
    </row>
    <row r="560" spans="1:19" x14ac:dyDescent="0.3">
      <c r="A560" t="s">
        <v>13</v>
      </c>
      <c r="B560" t="s">
        <v>24</v>
      </c>
      <c r="C560" t="s">
        <v>15</v>
      </c>
      <c r="D560">
        <v>24</v>
      </c>
      <c r="E560">
        <v>1</v>
      </c>
      <c r="F560">
        <v>0</v>
      </c>
      <c r="G560">
        <v>20260108</v>
      </c>
      <c r="H560">
        <v>20260201</v>
      </c>
      <c r="I560">
        <v>132461.7757</v>
      </c>
      <c r="J560">
        <f t="shared" si="81"/>
        <v>25</v>
      </c>
      <c r="K560">
        <f t="shared" si="82"/>
        <v>5298.4710279999999</v>
      </c>
      <c r="L560">
        <f t="shared" si="83"/>
        <v>154229.31908578935</v>
      </c>
      <c r="M560">
        <f t="shared" si="84"/>
        <v>5298.4710279999999</v>
      </c>
      <c r="N560">
        <f t="shared" si="85"/>
        <v>0</v>
      </c>
      <c r="O560">
        <f t="shared" si="86"/>
        <v>159527.79011378935</v>
      </c>
      <c r="P560">
        <f t="shared" si="87"/>
        <v>128062.26085457233</v>
      </c>
      <c r="Q560">
        <f t="shared" si="88"/>
        <v>4399.5148454276623</v>
      </c>
      <c r="R560">
        <f t="shared" si="89"/>
        <v>0</v>
      </c>
      <c r="S560">
        <f t="shared" si="90"/>
        <v>132461.7757</v>
      </c>
    </row>
    <row r="561" spans="1:19" x14ac:dyDescent="0.3">
      <c r="A561" t="s">
        <v>13</v>
      </c>
      <c r="B561" t="s">
        <v>24</v>
      </c>
      <c r="C561" t="s">
        <v>14</v>
      </c>
      <c r="D561">
        <v>27</v>
      </c>
      <c r="E561">
        <v>5</v>
      </c>
      <c r="F561">
        <v>0</v>
      </c>
      <c r="G561">
        <v>20260105</v>
      </c>
      <c r="H561">
        <v>20260205</v>
      </c>
      <c r="I561">
        <v>59633.732400000001</v>
      </c>
      <c r="J561">
        <f t="shared" si="81"/>
        <v>32</v>
      </c>
      <c r="K561">
        <f t="shared" si="82"/>
        <v>1863.5541375</v>
      </c>
      <c r="L561">
        <f t="shared" si="83"/>
        <v>61025.439171165504</v>
      </c>
      <c r="M561">
        <f t="shared" si="84"/>
        <v>9317.7706875000003</v>
      </c>
      <c r="N561">
        <f t="shared" si="85"/>
        <v>0</v>
      </c>
      <c r="O561">
        <f t="shared" si="86"/>
        <v>70343.209858665505</v>
      </c>
      <c r="P561">
        <f t="shared" si="87"/>
        <v>51734.555708186177</v>
      </c>
      <c r="Q561">
        <f t="shared" si="88"/>
        <v>7899.1766918138246</v>
      </c>
      <c r="R561">
        <f t="shared" si="89"/>
        <v>0</v>
      </c>
      <c r="S561">
        <f t="shared" si="90"/>
        <v>59633.732400000001</v>
      </c>
    </row>
    <row r="562" spans="1:19" x14ac:dyDescent="0.3">
      <c r="A562" t="s">
        <v>13</v>
      </c>
      <c r="B562" t="s">
        <v>24</v>
      </c>
      <c r="C562" t="s">
        <v>14</v>
      </c>
      <c r="D562">
        <v>0</v>
      </c>
      <c r="E562">
        <v>22</v>
      </c>
      <c r="F562">
        <v>2</v>
      </c>
      <c r="G562">
        <v>20260207</v>
      </c>
      <c r="H562">
        <v>20260302</v>
      </c>
      <c r="I562">
        <v>49813.600599999998</v>
      </c>
      <c r="J562">
        <f t="shared" si="81"/>
        <v>24</v>
      </c>
      <c r="K562">
        <f t="shared" si="82"/>
        <v>2075.5666916666664</v>
      </c>
      <c r="L562">
        <f t="shared" si="83"/>
        <v>0</v>
      </c>
      <c r="M562">
        <f t="shared" si="84"/>
        <v>45662.467216666664</v>
      </c>
      <c r="N562">
        <f t="shared" si="85"/>
        <v>3060.4980030635661</v>
      </c>
      <c r="O562">
        <f t="shared" si="86"/>
        <v>48722.965219730228</v>
      </c>
      <c r="P562">
        <f t="shared" si="87"/>
        <v>0</v>
      </c>
      <c r="Q562">
        <f t="shared" si="88"/>
        <v>46684.59512026023</v>
      </c>
      <c r="R562">
        <f t="shared" si="89"/>
        <v>3129.0054797397688</v>
      </c>
      <c r="S562">
        <f t="shared" si="90"/>
        <v>49813.600599999998</v>
      </c>
    </row>
    <row r="563" spans="1:19" x14ac:dyDescent="0.3">
      <c r="A563" t="s">
        <v>13</v>
      </c>
      <c r="B563" t="s">
        <v>24</v>
      </c>
      <c r="C563" t="s">
        <v>14</v>
      </c>
      <c r="D563">
        <v>0</v>
      </c>
      <c r="E563">
        <v>21</v>
      </c>
      <c r="F563">
        <v>8</v>
      </c>
      <c r="G563">
        <v>20260208</v>
      </c>
      <c r="H563">
        <v>20260308</v>
      </c>
      <c r="I563">
        <v>48519.446000000004</v>
      </c>
      <c r="J563">
        <f t="shared" si="81"/>
        <v>29</v>
      </c>
      <c r="K563">
        <f t="shared" si="82"/>
        <v>1673.0843448275864</v>
      </c>
      <c r="L563">
        <f t="shared" si="83"/>
        <v>0</v>
      </c>
      <c r="M563">
        <f t="shared" si="84"/>
        <v>35134.771241379312</v>
      </c>
      <c r="N563">
        <f t="shared" si="85"/>
        <v>9868.0930212655094</v>
      </c>
      <c r="O563">
        <f t="shared" si="86"/>
        <v>45002.86426264482</v>
      </c>
      <c r="P563">
        <f t="shared" si="87"/>
        <v>0</v>
      </c>
      <c r="Q563">
        <f t="shared" si="88"/>
        <v>37880.247488679961</v>
      </c>
      <c r="R563">
        <f t="shared" si="89"/>
        <v>10639.198511320044</v>
      </c>
      <c r="S563">
        <f t="shared" si="90"/>
        <v>48519.446000000004</v>
      </c>
    </row>
    <row r="564" spans="1:19" x14ac:dyDescent="0.3">
      <c r="A564" t="s">
        <v>13</v>
      </c>
      <c r="B564" t="s">
        <v>24</v>
      </c>
      <c r="C564" t="s">
        <v>15</v>
      </c>
      <c r="D564">
        <v>0</v>
      </c>
      <c r="E564">
        <v>10</v>
      </c>
      <c r="F564">
        <v>16</v>
      </c>
      <c r="G564">
        <v>20260219</v>
      </c>
      <c r="H564">
        <v>20260316</v>
      </c>
      <c r="I564">
        <v>229462.32089999999</v>
      </c>
      <c r="J564">
        <f t="shared" si="81"/>
        <v>26</v>
      </c>
      <c r="K564">
        <f t="shared" si="82"/>
        <v>8825.4738807692302</v>
      </c>
      <c r="L564">
        <f t="shared" si="83"/>
        <v>0</v>
      </c>
      <c r="M564">
        <f t="shared" si="84"/>
        <v>88254.738807692309</v>
      </c>
      <c r="N564">
        <f t="shared" si="85"/>
        <v>104107.83829449395</v>
      </c>
      <c r="O564">
        <f t="shared" si="86"/>
        <v>192362.57710218627</v>
      </c>
      <c r="P564">
        <f t="shared" si="87"/>
        <v>0</v>
      </c>
      <c r="Q564">
        <f t="shared" si="88"/>
        <v>105275.86759496691</v>
      </c>
      <c r="R564">
        <f t="shared" si="89"/>
        <v>124186.45330503306</v>
      </c>
      <c r="S564">
        <f t="shared" si="90"/>
        <v>229462.32089999999</v>
      </c>
    </row>
    <row r="565" spans="1:19" x14ac:dyDescent="0.3">
      <c r="A565" t="s">
        <v>13</v>
      </c>
      <c r="B565" t="s">
        <v>24</v>
      </c>
      <c r="C565" t="s">
        <v>14</v>
      </c>
      <c r="D565">
        <v>0</v>
      </c>
      <c r="E565">
        <v>19</v>
      </c>
      <c r="F565">
        <v>6</v>
      </c>
      <c r="G565">
        <v>20260210</v>
      </c>
      <c r="H565">
        <v>20260306</v>
      </c>
      <c r="I565">
        <v>43111.628199999999</v>
      </c>
      <c r="J565">
        <f t="shared" si="81"/>
        <v>25</v>
      </c>
      <c r="K565">
        <f t="shared" si="82"/>
        <v>1724.465128</v>
      </c>
      <c r="L565">
        <f t="shared" si="83"/>
        <v>0</v>
      </c>
      <c r="M565">
        <f t="shared" si="84"/>
        <v>32764.837432</v>
      </c>
      <c r="N565">
        <f t="shared" si="85"/>
        <v>7628.3582239780226</v>
      </c>
      <c r="O565">
        <f t="shared" si="86"/>
        <v>40393.195655978023</v>
      </c>
      <c r="P565">
        <f t="shared" si="87"/>
        <v>0</v>
      </c>
      <c r="Q565">
        <f t="shared" si="88"/>
        <v>34969.88704316035</v>
      </c>
      <c r="R565">
        <f t="shared" si="89"/>
        <v>8141.7411568396501</v>
      </c>
      <c r="S565">
        <f t="shared" si="90"/>
        <v>43111.628199999999</v>
      </c>
    </row>
    <row r="566" spans="1:19" x14ac:dyDescent="0.3">
      <c r="A566" t="s">
        <v>13</v>
      </c>
      <c r="B566" t="s">
        <v>24</v>
      </c>
      <c r="C566" t="s">
        <v>15</v>
      </c>
      <c r="D566">
        <v>24</v>
      </c>
      <c r="E566">
        <v>7</v>
      </c>
      <c r="F566">
        <v>0</v>
      </c>
      <c r="G566">
        <v>20260108</v>
      </c>
      <c r="H566">
        <v>20260207</v>
      </c>
      <c r="I566">
        <v>475522.99449999997</v>
      </c>
      <c r="J566">
        <f t="shared" si="81"/>
        <v>31</v>
      </c>
      <c r="K566">
        <f t="shared" si="82"/>
        <v>15339.45143548387</v>
      </c>
      <c r="L566">
        <f t="shared" si="83"/>
        <v>446504.87613163772</v>
      </c>
      <c r="M566">
        <f t="shared" si="84"/>
        <v>107376.16004838709</v>
      </c>
      <c r="N566">
        <f t="shared" si="85"/>
        <v>0</v>
      </c>
      <c r="O566">
        <f t="shared" si="86"/>
        <v>553881.03618002485</v>
      </c>
      <c r="P566">
        <f t="shared" si="87"/>
        <v>383337.43509492109</v>
      </c>
      <c r="Q566">
        <f t="shared" si="88"/>
        <v>92185.55940507882</v>
      </c>
      <c r="R566">
        <f t="shared" si="89"/>
        <v>0</v>
      </c>
      <c r="S566">
        <f t="shared" si="90"/>
        <v>475522.99449999991</v>
      </c>
    </row>
    <row r="567" spans="1:19" x14ac:dyDescent="0.3">
      <c r="A567" t="s">
        <v>13</v>
      </c>
      <c r="B567" t="s">
        <v>24</v>
      </c>
      <c r="C567" t="s">
        <v>14</v>
      </c>
      <c r="D567">
        <v>0</v>
      </c>
      <c r="E567">
        <v>20</v>
      </c>
      <c r="F567">
        <v>8</v>
      </c>
      <c r="G567">
        <v>20260209</v>
      </c>
      <c r="H567">
        <v>20260308</v>
      </c>
      <c r="I567">
        <v>1563.9629</v>
      </c>
      <c r="J567">
        <f t="shared" si="81"/>
        <v>28</v>
      </c>
      <c r="K567">
        <f t="shared" si="82"/>
        <v>55.85581785714286</v>
      </c>
      <c r="L567">
        <f t="shared" si="83"/>
        <v>0</v>
      </c>
      <c r="M567">
        <f t="shared" si="84"/>
        <v>1117.1163571428572</v>
      </c>
      <c r="N567">
        <f t="shared" si="85"/>
        <v>329.44567803600467</v>
      </c>
      <c r="O567">
        <f t="shared" si="86"/>
        <v>1446.5620351788618</v>
      </c>
      <c r="P567">
        <f t="shared" si="87"/>
        <v>0</v>
      </c>
      <c r="Q567">
        <f t="shared" si="88"/>
        <v>1207.779891263739</v>
      </c>
      <c r="R567">
        <f t="shared" si="89"/>
        <v>356.18300873626112</v>
      </c>
      <c r="S567">
        <f t="shared" si="90"/>
        <v>1563.9629000000002</v>
      </c>
    </row>
    <row r="568" spans="1:19" x14ac:dyDescent="0.3">
      <c r="A568" t="s">
        <v>13</v>
      </c>
      <c r="B568" t="s">
        <v>24</v>
      </c>
      <c r="C568" t="s">
        <v>14</v>
      </c>
      <c r="D568">
        <v>0</v>
      </c>
      <c r="E568">
        <v>24</v>
      </c>
      <c r="F568">
        <v>7</v>
      </c>
      <c r="G568">
        <v>20260205</v>
      </c>
      <c r="H568">
        <v>20260307</v>
      </c>
      <c r="I568">
        <v>6124.3152</v>
      </c>
      <c r="J568">
        <f t="shared" si="81"/>
        <v>31</v>
      </c>
      <c r="K568">
        <f t="shared" si="82"/>
        <v>197.55855483870968</v>
      </c>
      <c r="L568">
        <f t="shared" si="83"/>
        <v>0</v>
      </c>
      <c r="M568">
        <f t="shared" si="84"/>
        <v>4741.4053161290321</v>
      </c>
      <c r="N568">
        <f t="shared" si="85"/>
        <v>1019.5752694907098</v>
      </c>
      <c r="O568">
        <f t="shared" si="86"/>
        <v>5760.9805856197418</v>
      </c>
      <c r="P568">
        <f t="shared" si="87"/>
        <v>0</v>
      </c>
      <c r="Q568">
        <f t="shared" si="88"/>
        <v>5040.4371643627173</v>
      </c>
      <c r="R568">
        <f t="shared" si="89"/>
        <v>1083.8780356372831</v>
      </c>
      <c r="S568">
        <f t="shared" si="90"/>
        <v>6124.3152000000009</v>
      </c>
    </row>
    <row r="569" spans="1:19" x14ac:dyDescent="0.3">
      <c r="A569" t="s">
        <v>13</v>
      </c>
      <c r="B569" t="s">
        <v>24</v>
      </c>
      <c r="C569" t="s">
        <v>14</v>
      </c>
      <c r="D569">
        <v>0</v>
      </c>
      <c r="E569">
        <v>24</v>
      </c>
      <c r="F569">
        <v>2</v>
      </c>
      <c r="G569">
        <v>20260205</v>
      </c>
      <c r="H569">
        <v>20260302</v>
      </c>
      <c r="I569">
        <v>110825.98330000001</v>
      </c>
      <c r="J569">
        <f t="shared" si="81"/>
        <v>26</v>
      </c>
      <c r="K569">
        <f t="shared" si="82"/>
        <v>4262.5378192307699</v>
      </c>
      <c r="L569">
        <f t="shared" si="83"/>
        <v>0</v>
      </c>
      <c r="M569">
        <f t="shared" si="84"/>
        <v>102300.90766153848</v>
      </c>
      <c r="N569">
        <f t="shared" si="85"/>
        <v>6285.2658679270171</v>
      </c>
      <c r="O569">
        <f t="shared" si="86"/>
        <v>108586.17352946551</v>
      </c>
      <c r="P569">
        <f t="shared" si="87"/>
        <v>0</v>
      </c>
      <c r="Q569">
        <f t="shared" si="88"/>
        <v>104411.0710927297</v>
      </c>
      <c r="R569">
        <f t="shared" si="89"/>
        <v>6414.9122072703021</v>
      </c>
      <c r="S569">
        <f t="shared" si="90"/>
        <v>110825.98330000001</v>
      </c>
    </row>
    <row r="570" spans="1:19" x14ac:dyDescent="0.3">
      <c r="A570" t="s">
        <v>13</v>
      </c>
      <c r="B570" t="s">
        <v>24</v>
      </c>
      <c r="C570" t="s">
        <v>15</v>
      </c>
      <c r="D570">
        <v>0</v>
      </c>
      <c r="E570">
        <v>26</v>
      </c>
      <c r="F570">
        <v>7</v>
      </c>
      <c r="G570">
        <v>20260203</v>
      </c>
      <c r="H570">
        <v>20260307</v>
      </c>
      <c r="I570">
        <v>161593.66570000001</v>
      </c>
      <c r="J570">
        <f t="shared" si="81"/>
        <v>33</v>
      </c>
      <c r="K570">
        <f t="shared" si="82"/>
        <v>4896.7777484848484</v>
      </c>
      <c r="L570">
        <f t="shared" si="83"/>
        <v>0</v>
      </c>
      <c r="M570">
        <f t="shared" si="84"/>
        <v>127316.22146060606</v>
      </c>
      <c r="N570">
        <f t="shared" si="85"/>
        <v>25271.664376283908</v>
      </c>
      <c r="O570">
        <f t="shared" si="86"/>
        <v>152587.88583688997</v>
      </c>
      <c r="P570">
        <f t="shared" si="87"/>
        <v>0</v>
      </c>
      <c r="Q570">
        <f t="shared" si="88"/>
        <v>134830.46059688216</v>
      </c>
      <c r="R570">
        <f t="shared" si="89"/>
        <v>26763.205103117874</v>
      </c>
      <c r="S570">
        <f t="shared" si="90"/>
        <v>161593.66570000004</v>
      </c>
    </row>
    <row r="571" spans="1:19" x14ac:dyDescent="0.3">
      <c r="A571" t="s">
        <v>13</v>
      </c>
      <c r="B571" t="s">
        <v>24</v>
      </c>
      <c r="C571" t="s">
        <v>15</v>
      </c>
      <c r="D571">
        <v>0</v>
      </c>
      <c r="E571">
        <v>20</v>
      </c>
      <c r="F571">
        <v>3</v>
      </c>
      <c r="G571">
        <v>20260209</v>
      </c>
      <c r="H571">
        <v>20260303</v>
      </c>
      <c r="I571">
        <v>25933.913700000001</v>
      </c>
      <c r="J571">
        <f t="shared" si="81"/>
        <v>23</v>
      </c>
      <c r="K571">
        <f t="shared" si="82"/>
        <v>1127.5614652173913</v>
      </c>
      <c r="L571">
        <f t="shared" si="83"/>
        <v>0</v>
      </c>
      <c r="M571">
        <f t="shared" si="84"/>
        <v>22551.229304347828</v>
      </c>
      <c r="N571">
        <f t="shared" si="85"/>
        <v>2493.9451185677426</v>
      </c>
      <c r="O571">
        <f t="shared" si="86"/>
        <v>25045.17442291557</v>
      </c>
      <c r="P571">
        <f t="shared" si="87"/>
        <v>0</v>
      </c>
      <c r="Q571">
        <f t="shared" si="88"/>
        <v>23351.469817385474</v>
      </c>
      <c r="R571">
        <f t="shared" si="89"/>
        <v>2582.443882614526</v>
      </c>
      <c r="S571">
        <f t="shared" si="90"/>
        <v>25933.913700000001</v>
      </c>
    </row>
    <row r="572" spans="1:19" x14ac:dyDescent="0.3">
      <c r="A572" t="s">
        <v>13</v>
      </c>
      <c r="B572" t="s">
        <v>24</v>
      </c>
      <c r="C572" t="s">
        <v>15</v>
      </c>
      <c r="D572">
        <v>0</v>
      </c>
      <c r="E572">
        <v>25</v>
      </c>
      <c r="F572">
        <v>9</v>
      </c>
      <c r="G572">
        <v>20260204</v>
      </c>
      <c r="H572">
        <v>20260309</v>
      </c>
      <c r="I572">
        <v>75234.044599999994</v>
      </c>
      <c r="J572">
        <f t="shared" si="81"/>
        <v>34</v>
      </c>
      <c r="K572">
        <f t="shared" si="82"/>
        <v>2212.7660176470586</v>
      </c>
      <c r="L572">
        <f t="shared" si="83"/>
        <v>0</v>
      </c>
      <c r="M572">
        <f t="shared" si="84"/>
        <v>55319.150441176462</v>
      </c>
      <c r="N572">
        <f t="shared" si="85"/>
        <v>14682.615126030867</v>
      </c>
      <c r="O572">
        <f t="shared" si="86"/>
        <v>70001.765567207331</v>
      </c>
      <c r="P572">
        <f t="shared" si="87"/>
        <v>0</v>
      </c>
      <c r="Q572">
        <f t="shared" si="88"/>
        <v>59453.978021880546</v>
      </c>
      <c r="R572">
        <f t="shared" si="89"/>
        <v>15780.066578119442</v>
      </c>
      <c r="S572">
        <f t="shared" si="90"/>
        <v>75234.044599999994</v>
      </c>
    </row>
    <row r="573" spans="1:19" x14ac:dyDescent="0.3">
      <c r="A573" t="s">
        <v>13</v>
      </c>
      <c r="B573" t="s">
        <v>24</v>
      </c>
      <c r="C573" t="s">
        <v>15</v>
      </c>
      <c r="D573">
        <v>0</v>
      </c>
      <c r="E573">
        <v>22</v>
      </c>
      <c r="F573">
        <v>0</v>
      </c>
      <c r="G573">
        <v>20260204</v>
      </c>
      <c r="H573">
        <v>20260225</v>
      </c>
      <c r="I573">
        <v>11889.836600000001</v>
      </c>
      <c r="J573">
        <f t="shared" si="81"/>
        <v>22</v>
      </c>
      <c r="K573">
        <f t="shared" si="82"/>
        <v>540.44711818181815</v>
      </c>
      <c r="L573">
        <f t="shared" si="83"/>
        <v>0</v>
      </c>
      <c r="M573">
        <f t="shared" si="84"/>
        <v>11889.836599999999</v>
      </c>
      <c r="N573">
        <f t="shared" si="85"/>
        <v>0</v>
      </c>
      <c r="O573">
        <f t="shared" si="86"/>
        <v>11889.836599999999</v>
      </c>
      <c r="P573">
        <f t="shared" si="87"/>
        <v>0</v>
      </c>
      <c r="Q573">
        <f t="shared" si="88"/>
        <v>11889.836600000001</v>
      </c>
      <c r="R573">
        <f t="shared" si="89"/>
        <v>0</v>
      </c>
      <c r="S573">
        <f t="shared" si="90"/>
        <v>11889.836600000001</v>
      </c>
    </row>
    <row r="574" spans="1:19" x14ac:dyDescent="0.3">
      <c r="A574" t="s">
        <v>13</v>
      </c>
      <c r="B574" t="s">
        <v>24</v>
      </c>
      <c r="C574" t="s">
        <v>15</v>
      </c>
      <c r="D574">
        <v>23</v>
      </c>
      <c r="E574">
        <v>1</v>
      </c>
      <c r="F574">
        <v>0</v>
      </c>
      <c r="G574">
        <v>20260109</v>
      </c>
      <c r="H574">
        <v>20260201</v>
      </c>
      <c r="I574">
        <v>76767.368400000007</v>
      </c>
      <c r="J574">
        <f t="shared" si="81"/>
        <v>24</v>
      </c>
      <c r="K574">
        <f t="shared" si="82"/>
        <v>3198.6403500000001</v>
      </c>
      <c r="L574">
        <f t="shared" si="83"/>
        <v>89227.429740251784</v>
      </c>
      <c r="M574">
        <f t="shared" si="84"/>
        <v>3198.6403500000001</v>
      </c>
      <c r="N574">
        <f t="shared" si="85"/>
        <v>0</v>
      </c>
      <c r="O574">
        <f t="shared" si="86"/>
        <v>92426.070090251786</v>
      </c>
      <c r="P574">
        <f t="shared" si="87"/>
        <v>74110.637437753307</v>
      </c>
      <c r="Q574">
        <f t="shared" si="88"/>
        <v>2656.7309622466937</v>
      </c>
      <c r="R574">
        <f t="shared" si="89"/>
        <v>0</v>
      </c>
      <c r="S574">
        <f t="shared" si="90"/>
        <v>76767.368400000007</v>
      </c>
    </row>
    <row r="575" spans="1:19" x14ac:dyDescent="0.3">
      <c r="A575" t="s">
        <v>13</v>
      </c>
      <c r="B575" t="s">
        <v>24</v>
      </c>
      <c r="C575" t="s">
        <v>15</v>
      </c>
      <c r="D575">
        <v>0</v>
      </c>
      <c r="E575">
        <v>10</v>
      </c>
      <c r="F575">
        <v>15</v>
      </c>
      <c r="G575">
        <v>20260219</v>
      </c>
      <c r="H575">
        <v>20260315</v>
      </c>
      <c r="I575">
        <v>12214.6757</v>
      </c>
      <c r="J575">
        <f t="shared" si="81"/>
        <v>25</v>
      </c>
      <c r="K575">
        <f t="shared" si="82"/>
        <v>488.58702799999998</v>
      </c>
      <c r="L575">
        <f t="shared" si="83"/>
        <v>0</v>
      </c>
      <c r="M575">
        <f t="shared" si="84"/>
        <v>4885.8702800000001</v>
      </c>
      <c r="N575">
        <f t="shared" si="85"/>
        <v>5403.2940600767834</v>
      </c>
      <c r="O575">
        <f t="shared" si="86"/>
        <v>10289.164340076783</v>
      </c>
      <c r="P575">
        <f t="shared" si="87"/>
        <v>0</v>
      </c>
      <c r="Q575">
        <f t="shared" si="88"/>
        <v>5800.2106886381835</v>
      </c>
      <c r="R575">
        <f t="shared" si="89"/>
        <v>6414.4650113618172</v>
      </c>
      <c r="S575">
        <f t="shared" si="90"/>
        <v>12214.6757</v>
      </c>
    </row>
    <row r="576" spans="1:19" x14ac:dyDescent="0.3">
      <c r="A576" t="s">
        <v>13</v>
      </c>
      <c r="B576" t="s">
        <v>24</v>
      </c>
      <c r="C576" t="s">
        <v>15</v>
      </c>
      <c r="D576">
        <v>0</v>
      </c>
      <c r="E576">
        <v>13</v>
      </c>
      <c r="F576">
        <v>17</v>
      </c>
      <c r="G576">
        <v>20260216</v>
      </c>
      <c r="H576">
        <v>20260317</v>
      </c>
      <c r="I576">
        <v>236645.98120000001</v>
      </c>
      <c r="J576">
        <f t="shared" si="81"/>
        <v>30</v>
      </c>
      <c r="K576">
        <f t="shared" si="82"/>
        <v>7888.1993733333338</v>
      </c>
      <c r="L576">
        <f t="shared" si="83"/>
        <v>0</v>
      </c>
      <c r="M576">
        <f t="shared" si="84"/>
        <v>102546.59185333335</v>
      </c>
      <c r="N576">
        <f t="shared" si="85"/>
        <v>98867.194910022299</v>
      </c>
      <c r="O576">
        <f t="shared" si="86"/>
        <v>201413.78676335566</v>
      </c>
      <c r="P576">
        <f t="shared" si="87"/>
        <v>0</v>
      </c>
      <c r="Q576">
        <f t="shared" si="88"/>
        <v>120484.49730186528</v>
      </c>
      <c r="R576">
        <f t="shared" si="89"/>
        <v>116161.4838981347</v>
      </c>
      <c r="S576">
        <f t="shared" si="90"/>
        <v>236645.98119999998</v>
      </c>
    </row>
    <row r="577" spans="1:19" x14ac:dyDescent="0.3">
      <c r="A577" t="s">
        <v>13</v>
      </c>
      <c r="B577" t="s">
        <v>24</v>
      </c>
      <c r="C577" t="s">
        <v>15</v>
      </c>
      <c r="D577">
        <v>15</v>
      </c>
      <c r="E577">
        <v>2</v>
      </c>
      <c r="F577">
        <v>0</v>
      </c>
      <c r="G577">
        <v>20260117</v>
      </c>
      <c r="H577">
        <v>20260202</v>
      </c>
      <c r="I577">
        <v>13118.3313</v>
      </c>
      <c r="J577">
        <f t="shared" si="81"/>
        <v>17</v>
      </c>
      <c r="K577">
        <f t="shared" si="82"/>
        <v>771.66654705882354</v>
      </c>
      <c r="L577">
        <f t="shared" si="83"/>
        <v>14038.673313163365</v>
      </c>
      <c r="M577">
        <f t="shared" si="84"/>
        <v>1543.3330941176471</v>
      </c>
      <c r="N577">
        <f t="shared" si="85"/>
        <v>0</v>
      </c>
      <c r="O577">
        <f t="shared" si="86"/>
        <v>15582.006407281011</v>
      </c>
      <c r="P577">
        <f t="shared" si="87"/>
        <v>11819.01500492846</v>
      </c>
      <c r="Q577">
        <f t="shared" si="88"/>
        <v>1299.3162950715409</v>
      </c>
      <c r="R577">
        <f t="shared" si="89"/>
        <v>0</v>
      </c>
      <c r="S577">
        <f t="shared" si="90"/>
        <v>13118.331300000002</v>
      </c>
    </row>
    <row r="578" spans="1:19" x14ac:dyDescent="0.3">
      <c r="A578" t="s">
        <v>13</v>
      </c>
      <c r="B578" t="s">
        <v>24</v>
      </c>
      <c r="C578" t="s">
        <v>15</v>
      </c>
      <c r="D578">
        <v>0</v>
      </c>
      <c r="E578">
        <v>19</v>
      </c>
      <c r="F578">
        <v>3</v>
      </c>
      <c r="G578">
        <v>20260210</v>
      </c>
      <c r="H578">
        <v>20260303</v>
      </c>
      <c r="I578">
        <v>19260.366000000002</v>
      </c>
      <c r="J578">
        <f t="shared" si="81"/>
        <v>22</v>
      </c>
      <c r="K578">
        <f t="shared" si="82"/>
        <v>875.47118181818189</v>
      </c>
      <c r="L578">
        <f t="shared" si="83"/>
        <v>0</v>
      </c>
      <c r="M578">
        <f t="shared" si="84"/>
        <v>16633.952454545455</v>
      </c>
      <c r="N578">
        <f t="shared" si="85"/>
        <v>1936.3707857125441</v>
      </c>
      <c r="O578">
        <f t="shared" si="86"/>
        <v>18570.323240258</v>
      </c>
      <c r="P578">
        <f t="shared" si="87"/>
        <v>0</v>
      </c>
      <c r="Q578">
        <f t="shared" si="88"/>
        <v>17252.042851177255</v>
      </c>
      <c r="R578">
        <f t="shared" si="89"/>
        <v>2008.3231488227466</v>
      </c>
      <c r="S578">
        <f t="shared" si="90"/>
        <v>19260.366000000002</v>
      </c>
    </row>
    <row r="579" spans="1:19" x14ac:dyDescent="0.3">
      <c r="A579" t="s">
        <v>13</v>
      </c>
      <c r="B579" t="s">
        <v>24</v>
      </c>
      <c r="C579" t="s">
        <v>15</v>
      </c>
      <c r="D579">
        <v>0</v>
      </c>
      <c r="E579">
        <v>11</v>
      </c>
      <c r="F579">
        <v>0</v>
      </c>
      <c r="G579">
        <v>20260203</v>
      </c>
      <c r="H579">
        <v>20260213</v>
      </c>
      <c r="I579">
        <v>506.05720000000002</v>
      </c>
      <c r="J579">
        <f t="shared" si="81"/>
        <v>11</v>
      </c>
      <c r="K579">
        <f t="shared" si="82"/>
        <v>46.005200000000002</v>
      </c>
      <c r="L579">
        <f t="shared" si="83"/>
        <v>0</v>
      </c>
      <c r="M579">
        <f t="shared" si="84"/>
        <v>506.05720000000002</v>
      </c>
      <c r="N579">
        <f t="shared" si="85"/>
        <v>0</v>
      </c>
      <c r="O579">
        <f t="shared" si="86"/>
        <v>506.05720000000002</v>
      </c>
      <c r="P579">
        <f t="shared" si="87"/>
        <v>0</v>
      </c>
      <c r="Q579">
        <f t="shared" si="88"/>
        <v>506.05720000000002</v>
      </c>
      <c r="R579">
        <f t="shared" si="89"/>
        <v>0</v>
      </c>
      <c r="S579">
        <f t="shared" si="90"/>
        <v>506.05720000000002</v>
      </c>
    </row>
    <row r="580" spans="1:19" x14ac:dyDescent="0.3">
      <c r="A580" t="s">
        <v>13</v>
      </c>
      <c r="B580" t="s">
        <v>24</v>
      </c>
      <c r="C580" t="s">
        <v>14</v>
      </c>
      <c r="D580">
        <v>30</v>
      </c>
      <c r="E580">
        <v>10</v>
      </c>
      <c r="F580">
        <v>0</v>
      </c>
      <c r="G580">
        <v>20260102</v>
      </c>
      <c r="H580">
        <v>20260210</v>
      </c>
      <c r="I580">
        <v>129155.5294</v>
      </c>
      <c r="J580">
        <f t="shared" si="81"/>
        <v>40</v>
      </c>
      <c r="K580">
        <f t="shared" si="82"/>
        <v>3228.8882349999999</v>
      </c>
      <c r="L580">
        <f t="shared" si="83"/>
        <v>117484.18346927832</v>
      </c>
      <c r="M580">
        <f t="shared" si="84"/>
        <v>32288.88235</v>
      </c>
      <c r="N580">
        <f t="shared" si="85"/>
        <v>0</v>
      </c>
      <c r="O580">
        <f t="shared" si="86"/>
        <v>149773.0658192783</v>
      </c>
      <c r="P580">
        <f t="shared" si="87"/>
        <v>101311.48634168011</v>
      </c>
      <c r="Q580">
        <f t="shared" si="88"/>
        <v>27844.043058319905</v>
      </c>
      <c r="R580">
        <f t="shared" si="89"/>
        <v>0</v>
      </c>
      <c r="S580">
        <f t="shared" si="90"/>
        <v>129155.52940000001</v>
      </c>
    </row>
    <row r="581" spans="1:19" x14ac:dyDescent="0.3">
      <c r="A581" t="s">
        <v>13</v>
      </c>
      <c r="B581" t="s">
        <v>24</v>
      </c>
      <c r="C581" t="s">
        <v>15</v>
      </c>
      <c r="D581">
        <v>0</v>
      </c>
      <c r="E581">
        <v>11</v>
      </c>
      <c r="F581">
        <v>16</v>
      </c>
      <c r="G581">
        <v>20260218</v>
      </c>
      <c r="H581">
        <v>20260316</v>
      </c>
      <c r="I581">
        <v>338716.04</v>
      </c>
      <c r="J581">
        <f t="shared" si="81"/>
        <v>27</v>
      </c>
      <c r="K581">
        <f t="shared" si="82"/>
        <v>12545.038518518517</v>
      </c>
      <c r="L581">
        <f t="shared" si="83"/>
        <v>0</v>
      </c>
      <c r="M581">
        <f t="shared" si="84"/>
        <v>137995.42370370368</v>
      </c>
      <c r="N581">
        <f t="shared" si="85"/>
        <v>147984.89680310394</v>
      </c>
      <c r="O581">
        <f t="shared" si="86"/>
        <v>285980.32050680765</v>
      </c>
      <c r="P581">
        <f t="shared" si="87"/>
        <v>0</v>
      </c>
      <c r="Q581">
        <f t="shared" si="88"/>
        <v>163442.23746657415</v>
      </c>
      <c r="R581">
        <f t="shared" si="89"/>
        <v>175273.80253342577</v>
      </c>
      <c r="S581">
        <f t="shared" si="90"/>
        <v>338716.03999999992</v>
      </c>
    </row>
    <row r="582" spans="1:19" x14ac:dyDescent="0.3">
      <c r="A582" t="s">
        <v>13</v>
      </c>
      <c r="B582" t="s">
        <v>24</v>
      </c>
      <c r="C582" t="s">
        <v>15</v>
      </c>
      <c r="D582">
        <v>0</v>
      </c>
      <c r="E582">
        <v>21</v>
      </c>
      <c r="F582">
        <v>0</v>
      </c>
      <c r="G582">
        <v>20260203</v>
      </c>
      <c r="H582">
        <v>20260223</v>
      </c>
      <c r="I582">
        <v>1349.0116</v>
      </c>
      <c r="J582">
        <f t="shared" si="81"/>
        <v>21</v>
      </c>
      <c r="K582">
        <f t="shared" si="82"/>
        <v>64.238647619047626</v>
      </c>
      <c r="L582">
        <f t="shared" si="83"/>
        <v>0</v>
      </c>
      <c r="M582">
        <f t="shared" si="84"/>
        <v>1349.0116</v>
      </c>
      <c r="N582">
        <f t="shared" si="85"/>
        <v>0</v>
      </c>
      <c r="O582">
        <f t="shared" si="86"/>
        <v>1349.0116</v>
      </c>
      <c r="P582">
        <f t="shared" si="87"/>
        <v>0</v>
      </c>
      <c r="Q582">
        <f t="shared" si="88"/>
        <v>1349.0116</v>
      </c>
      <c r="R582">
        <f t="shared" si="89"/>
        <v>0</v>
      </c>
      <c r="S582">
        <f t="shared" si="90"/>
        <v>1349.0116</v>
      </c>
    </row>
    <row r="583" spans="1:19" x14ac:dyDescent="0.3">
      <c r="A583" t="s">
        <v>13</v>
      </c>
      <c r="B583" t="s">
        <v>24</v>
      </c>
      <c r="C583" t="s">
        <v>15</v>
      </c>
      <c r="D583">
        <v>0</v>
      </c>
      <c r="E583">
        <v>20</v>
      </c>
      <c r="F583">
        <v>5</v>
      </c>
      <c r="G583">
        <v>20260209</v>
      </c>
      <c r="H583">
        <v>20260305</v>
      </c>
      <c r="I583">
        <v>7056.3271000000004</v>
      </c>
      <c r="J583">
        <f t="shared" si="81"/>
        <v>25</v>
      </c>
      <c r="K583">
        <f t="shared" si="82"/>
        <v>282.253084</v>
      </c>
      <c r="L583">
        <f t="shared" si="83"/>
        <v>0</v>
      </c>
      <c r="M583">
        <f t="shared" si="84"/>
        <v>5645.0616799999998</v>
      </c>
      <c r="N583">
        <f t="shared" si="85"/>
        <v>1040.4809002389595</v>
      </c>
      <c r="O583">
        <f t="shared" si="86"/>
        <v>6685.5425802389591</v>
      </c>
      <c r="P583">
        <f t="shared" si="87"/>
        <v>0</v>
      </c>
      <c r="Q583">
        <f t="shared" si="88"/>
        <v>5958.1404554201163</v>
      </c>
      <c r="R583">
        <f t="shared" si="89"/>
        <v>1098.1866445798848</v>
      </c>
      <c r="S583">
        <f t="shared" si="90"/>
        <v>7056.3271000000013</v>
      </c>
    </row>
    <row r="584" spans="1:19" x14ac:dyDescent="0.3">
      <c r="A584" t="s">
        <v>13</v>
      </c>
      <c r="B584" t="s">
        <v>24</v>
      </c>
      <c r="C584" t="s">
        <v>14</v>
      </c>
      <c r="D584">
        <v>0</v>
      </c>
      <c r="E584">
        <v>19</v>
      </c>
      <c r="F584">
        <v>0</v>
      </c>
      <c r="G584">
        <v>20260201</v>
      </c>
      <c r="H584">
        <v>20260219</v>
      </c>
      <c r="I584">
        <v>5114026.4467000002</v>
      </c>
      <c r="J584">
        <f t="shared" si="81"/>
        <v>19</v>
      </c>
      <c r="K584">
        <f t="shared" si="82"/>
        <v>269159.28666842106</v>
      </c>
      <c r="L584">
        <f t="shared" si="83"/>
        <v>0</v>
      </c>
      <c r="M584">
        <f t="shared" si="84"/>
        <v>5114026.4467000002</v>
      </c>
      <c r="N584">
        <f t="shared" si="85"/>
        <v>0</v>
      </c>
      <c r="O584">
        <f t="shared" si="86"/>
        <v>5114026.4467000002</v>
      </c>
      <c r="P584">
        <f t="shared" si="87"/>
        <v>0</v>
      </c>
      <c r="Q584">
        <f t="shared" si="88"/>
        <v>5114026.4467000002</v>
      </c>
      <c r="R584">
        <f t="shared" si="89"/>
        <v>0</v>
      </c>
      <c r="S584">
        <f t="shared" si="90"/>
        <v>5114026.4467000002</v>
      </c>
    </row>
    <row r="585" spans="1:19" x14ac:dyDescent="0.3">
      <c r="A585" t="s">
        <v>13</v>
      </c>
      <c r="B585" t="s">
        <v>24</v>
      </c>
      <c r="C585" t="s">
        <v>15</v>
      </c>
      <c r="D585">
        <v>0</v>
      </c>
      <c r="E585">
        <v>22</v>
      </c>
      <c r="F585">
        <v>0</v>
      </c>
      <c r="G585">
        <v>20260205</v>
      </c>
      <c r="H585">
        <v>20260226</v>
      </c>
      <c r="I585">
        <v>3078.0819999999999</v>
      </c>
      <c r="J585">
        <f t="shared" si="81"/>
        <v>22</v>
      </c>
      <c r="K585">
        <f t="shared" si="82"/>
        <v>139.91281818181818</v>
      </c>
      <c r="L585">
        <f t="shared" si="83"/>
        <v>0</v>
      </c>
      <c r="M585">
        <f t="shared" si="84"/>
        <v>3078.0819999999999</v>
      </c>
      <c r="N585">
        <f t="shared" si="85"/>
        <v>0</v>
      </c>
      <c r="O585">
        <f t="shared" si="86"/>
        <v>3078.0819999999999</v>
      </c>
      <c r="P585">
        <f t="shared" si="87"/>
        <v>0</v>
      </c>
      <c r="Q585">
        <f t="shared" si="88"/>
        <v>3078.0819999999999</v>
      </c>
      <c r="R585">
        <f t="shared" si="89"/>
        <v>0</v>
      </c>
      <c r="S585">
        <f t="shared" si="90"/>
        <v>3078.0819999999999</v>
      </c>
    </row>
    <row r="586" spans="1:19" x14ac:dyDescent="0.3">
      <c r="A586" t="s">
        <v>13</v>
      </c>
      <c r="B586" t="s">
        <v>24</v>
      </c>
      <c r="C586" t="s">
        <v>15</v>
      </c>
      <c r="D586">
        <v>15</v>
      </c>
      <c r="E586">
        <v>3</v>
      </c>
      <c r="F586">
        <v>0</v>
      </c>
      <c r="G586">
        <v>20260117</v>
      </c>
      <c r="H586">
        <v>20260203</v>
      </c>
      <c r="I586">
        <v>3196.3921999999998</v>
      </c>
      <c r="J586">
        <f t="shared" si="81"/>
        <v>18</v>
      </c>
      <c r="K586">
        <f t="shared" si="82"/>
        <v>177.57734444444444</v>
      </c>
      <c r="L586">
        <f t="shared" si="83"/>
        <v>3230.6056754389861</v>
      </c>
      <c r="M586">
        <f t="shared" si="84"/>
        <v>532.73203333333333</v>
      </c>
      <c r="N586">
        <f t="shared" si="85"/>
        <v>0</v>
      </c>
      <c r="O586">
        <f t="shared" si="86"/>
        <v>3763.3377087723193</v>
      </c>
      <c r="P586">
        <f t="shared" si="87"/>
        <v>2743.916061048255</v>
      </c>
      <c r="Q586">
        <f t="shared" si="88"/>
        <v>452.47613895174527</v>
      </c>
      <c r="R586">
        <f t="shared" si="89"/>
        <v>0</v>
      </c>
      <c r="S586">
        <f t="shared" si="90"/>
        <v>3196.3922000000002</v>
      </c>
    </row>
    <row r="587" spans="1:19" x14ac:dyDescent="0.3">
      <c r="A587" t="s">
        <v>13</v>
      </c>
      <c r="B587" t="s">
        <v>24</v>
      </c>
      <c r="C587" t="s">
        <v>15</v>
      </c>
      <c r="D587">
        <v>0</v>
      </c>
      <c r="E587">
        <v>27</v>
      </c>
      <c r="F587">
        <v>10</v>
      </c>
      <c r="G587">
        <v>20260202</v>
      </c>
      <c r="H587">
        <v>20260310</v>
      </c>
      <c r="I587">
        <v>13010.411899999999</v>
      </c>
      <c r="J587">
        <f t="shared" ref="J587:J609" si="91">IF(D587&lt;0,0,D587)+E587+F587</f>
        <v>37</v>
      </c>
      <c r="K587">
        <f t="shared" ref="K587:K609" si="92">I587/J587</f>
        <v>351.63275405405403</v>
      </c>
      <c r="L587">
        <f t="shared" ref="L587:L609" si="93">IF(D587&lt;0,0,D587)*$K587*$B$6</f>
        <v>0</v>
      </c>
      <c r="M587">
        <f t="shared" ref="M587:M609" si="94">IF(E587&lt;0,0,E587)*$K587*$C$6</f>
        <v>9494.0843594594589</v>
      </c>
      <c r="N587">
        <f t="shared" ref="N587:N609" si="95">IF(F587&lt;0,0,F587)*$K587*$D$6</f>
        <v>2592.4759390169625</v>
      </c>
      <c r="O587">
        <f t="shared" ref="O587:O609" si="96">L587+M587+N587</f>
        <v>12086.560298476421</v>
      </c>
      <c r="P587">
        <f t="shared" ref="P587:P609" si="97">L587/$O587*$I587</f>
        <v>0</v>
      </c>
      <c r="Q587">
        <f t="shared" ref="Q587:Q609" si="98">M587/$O587*$I587</f>
        <v>10219.776766884277</v>
      </c>
      <c r="R587">
        <f t="shared" ref="R587:R609" si="99">N587/$O587*$I587</f>
        <v>2790.6351331157234</v>
      </c>
      <c r="S587">
        <f t="shared" ref="S587:S609" si="100">P587+Q587+R587</f>
        <v>13010.411900000001</v>
      </c>
    </row>
    <row r="588" spans="1:19" x14ac:dyDescent="0.3">
      <c r="A588" t="s">
        <v>13</v>
      </c>
      <c r="B588" t="s">
        <v>24</v>
      </c>
      <c r="C588" t="s">
        <v>15</v>
      </c>
      <c r="D588">
        <v>0</v>
      </c>
      <c r="E588">
        <v>10</v>
      </c>
      <c r="F588">
        <v>0</v>
      </c>
      <c r="G588">
        <v>20260204</v>
      </c>
      <c r="H588">
        <v>20260213</v>
      </c>
      <c r="I588">
        <v>5607.7493999999997</v>
      </c>
      <c r="J588">
        <f t="shared" si="91"/>
        <v>10</v>
      </c>
      <c r="K588">
        <f t="shared" si="92"/>
        <v>560.77494000000002</v>
      </c>
      <c r="L588">
        <f t="shared" si="93"/>
        <v>0</v>
      </c>
      <c r="M588">
        <f t="shared" si="94"/>
        <v>5607.7494000000006</v>
      </c>
      <c r="N588">
        <f t="shared" si="95"/>
        <v>0</v>
      </c>
      <c r="O588">
        <f t="shared" si="96"/>
        <v>5607.7494000000006</v>
      </c>
      <c r="P588">
        <f t="shared" si="97"/>
        <v>0</v>
      </c>
      <c r="Q588">
        <f t="shared" si="98"/>
        <v>5607.7493999999997</v>
      </c>
      <c r="R588">
        <f t="shared" si="99"/>
        <v>0</v>
      </c>
      <c r="S588">
        <f t="shared" si="100"/>
        <v>5607.7493999999997</v>
      </c>
    </row>
    <row r="589" spans="1:19" x14ac:dyDescent="0.3">
      <c r="A589" t="s">
        <v>13</v>
      </c>
      <c r="B589" t="s">
        <v>24</v>
      </c>
      <c r="C589" t="s">
        <v>15</v>
      </c>
      <c r="D589">
        <v>0</v>
      </c>
      <c r="E589">
        <v>12</v>
      </c>
      <c r="F589">
        <v>0</v>
      </c>
      <c r="G589">
        <v>20260203</v>
      </c>
      <c r="H589">
        <v>20260214</v>
      </c>
      <c r="I589">
        <v>758.94349999999997</v>
      </c>
      <c r="J589">
        <f t="shared" si="91"/>
        <v>12</v>
      </c>
      <c r="K589">
        <f t="shared" si="92"/>
        <v>63.245291666666667</v>
      </c>
      <c r="L589">
        <f t="shared" si="93"/>
        <v>0</v>
      </c>
      <c r="M589">
        <f t="shared" si="94"/>
        <v>758.94349999999997</v>
      </c>
      <c r="N589">
        <f t="shared" si="95"/>
        <v>0</v>
      </c>
      <c r="O589">
        <f t="shared" si="96"/>
        <v>758.94349999999997</v>
      </c>
      <c r="P589">
        <f t="shared" si="97"/>
        <v>0</v>
      </c>
      <c r="Q589">
        <f t="shared" si="98"/>
        <v>758.94349999999997</v>
      </c>
      <c r="R589">
        <f t="shared" si="99"/>
        <v>0</v>
      </c>
      <c r="S589">
        <f t="shared" si="100"/>
        <v>758.94349999999997</v>
      </c>
    </row>
    <row r="590" spans="1:19" x14ac:dyDescent="0.3">
      <c r="A590" t="s">
        <v>13</v>
      </c>
      <c r="B590" t="s">
        <v>24</v>
      </c>
      <c r="C590" t="s">
        <v>15</v>
      </c>
      <c r="D590">
        <v>16</v>
      </c>
      <c r="E590">
        <v>2</v>
      </c>
      <c r="F590">
        <v>0</v>
      </c>
      <c r="G590">
        <v>20260116</v>
      </c>
      <c r="H590">
        <v>20260202</v>
      </c>
      <c r="I590">
        <v>18414.387599999998</v>
      </c>
      <c r="J590">
        <f t="shared" si="91"/>
        <v>18</v>
      </c>
      <c r="K590">
        <f t="shared" si="92"/>
        <v>1023.0215333333332</v>
      </c>
      <c r="L590">
        <f t="shared" si="93"/>
        <v>19852.25720933521</v>
      </c>
      <c r="M590">
        <f t="shared" si="94"/>
        <v>2046.0430666666664</v>
      </c>
      <c r="N590">
        <f t="shared" si="95"/>
        <v>0</v>
      </c>
      <c r="O590">
        <f t="shared" si="96"/>
        <v>21898.300276001875</v>
      </c>
      <c r="P590">
        <f t="shared" si="97"/>
        <v>16693.85999735396</v>
      </c>
      <c r="Q590">
        <f t="shared" si="98"/>
        <v>1720.5276026460404</v>
      </c>
      <c r="R590">
        <f t="shared" si="99"/>
        <v>0</v>
      </c>
      <c r="S590">
        <f t="shared" si="100"/>
        <v>18414.387600000002</v>
      </c>
    </row>
    <row r="591" spans="1:19" x14ac:dyDescent="0.3">
      <c r="A591" t="s">
        <v>13</v>
      </c>
      <c r="B591" t="s">
        <v>24</v>
      </c>
      <c r="C591" t="s">
        <v>14</v>
      </c>
      <c r="D591">
        <v>0</v>
      </c>
      <c r="E591">
        <v>15</v>
      </c>
      <c r="F591">
        <v>16</v>
      </c>
      <c r="G591">
        <v>20260214</v>
      </c>
      <c r="H591">
        <v>20260316</v>
      </c>
      <c r="I591">
        <v>5574.7168000000001</v>
      </c>
      <c r="J591">
        <f t="shared" si="91"/>
        <v>31</v>
      </c>
      <c r="K591">
        <f t="shared" si="92"/>
        <v>179.82957419354838</v>
      </c>
      <c r="L591">
        <f t="shared" si="93"/>
        <v>0</v>
      </c>
      <c r="M591">
        <f t="shared" si="94"/>
        <v>2697.4436129032256</v>
      </c>
      <c r="N591">
        <f t="shared" si="95"/>
        <v>2121.3215838193441</v>
      </c>
      <c r="O591">
        <f t="shared" si="96"/>
        <v>4818.7651967225702</v>
      </c>
      <c r="P591">
        <f t="shared" si="97"/>
        <v>0</v>
      </c>
      <c r="Q591">
        <f t="shared" si="98"/>
        <v>3120.609453254101</v>
      </c>
      <c r="R591">
        <f t="shared" si="99"/>
        <v>2454.1073467458991</v>
      </c>
      <c r="S591">
        <f t="shared" si="100"/>
        <v>5574.7168000000001</v>
      </c>
    </row>
    <row r="592" spans="1:19" x14ac:dyDescent="0.3">
      <c r="A592" t="s">
        <v>13</v>
      </c>
      <c r="B592" t="s">
        <v>24</v>
      </c>
      <c r="C592" t="s">
        <v>15</v>
      </c>
      <c r="D592">
        <v>0</v>
      </c>
      <c r="E592">
        <v>22</v>
      </c>
      <c r="F592">
        <v>10</v>
      </c>
      <c r="G592">
        <v>20260207</v>
      </c>
      <c r="H592">
        <v>20260310</v>
      </c>
      <c r="I592">
        <v>5704.4832999999999</v>
      </c>
      <c r="J592">
        <f t="shared" si="91"/>
        <v>32</v>
      </c>
      <c r="K592">
        <f t="shared" si="92"/>
        <v>178.265103125</v>
      </c>
      <c r="L592">
        <f t="shared" si="93"/>
        <v>0</v>
      </c>
      <c r="M592">
        <f t="shared" si="94"/>
        <v>3921.8322687499999</v>
      </c>
      <c r="N592">
        <f t="shared" si="95"/>
        <v>1314.2916445914971</v>
      </c>
      <c r="O592">
        <f t="shared" si="96"/>
        <v>5236.1239133414965</v>
      </c>
      <c r="P592">
        <f t="shared" si="97"/>
        <v>0</v>
      </c>
      <c r="Q592">
        <f t="shared" si="98"/>
        <v>4272.6312541004218</v>
      </c>
      <c r="R592">
        <f t="shared" si="99"/>
        <v>1431.8520458995786</v>
      </c>
      <c r="S592">
        <f t="shared" si="100"/>
        <v>5704.4832999999999</v>
      </c>
    </row>
    <row r="593" spans="1:19" x14ac:dyDescent="0.3">
      <c r="A593" t="s">
        <v>13</v>
      </c>
      <c r="B593" t="s">
        <v>24</v>
      </c>
      <c r="C593" t="s">
        <v>15</v>
      </c>
      <c r="D593">
        <v>0</v>
      </c>
      <c r="E593">
        <v>17</v>
      </c>
      <c r="F593">
        <v>4</v>
      </c>
      <c r="G593">
        <v>20260212</v>
      </c>
      <c r="H593">
        <v>20260304</v>
      </c>
      <c r="I593">
        <v>33595.4254</v>
      </c>
      <c r="J593">
        <f t="shared" si="91"/>
        <v>21</v>
      </c>
      <c r="K593">
        <f t="shared" si="92"/>
        <v>1599.782161904762</v>
      </c>
      <c r="L593">
        <f t="shared" si="93"/>
        <v>0</v>
      </c>
      <c r="M593">
        <f t="shared" si="94"/>
        <v>27196.296752380953</v>
      </c>
      <c r="N593">
        <f t="shared" si="95"/>
        <v>4717.8730816061397</v>
      </c>
      <c r="O593">
        <f t="shared" si="96"/>
        <v>31914.169833987093</v>
      </c>
      <c r="P593">
        <f t="shared" si="97"/>
        <v>0</v>
      </c>
      <c r="Q593">
        <f t="shared" si="98"/>
        <v>28629.012236685525</v>
      </c>
      <c r="R593">
        <f t="shared" si="99"/>
        <v>4966.4131633144734</v>
      </c>
      <c r="S593">
        <f t="shared" si="100"/>
        <v>33595.4254</v>
      </c>
    </row>
    <row r="594" spans="1:19" x14ac:dyDescent="0.3">
      <c r="A594" t="s">
        <v>13</v>
      </c>
      <c r="B594" t="s">
        <v>24</v>
      </c>
      <c r="C594" t="s">
        <v>15</v>
      </c>
      <c r="D594">
        <v>0</v>
      </c>
      <c r="E594">
        <v>9</v>
      </c>
      <c r="F594">
        <v>0</v>
      </c>
      <c r="G594">
        <v>20260205</v>
      </c>
      <c r="H594">
        <v>20260213</v>
      </c>
      <c r="I594">
        <v>42.159599999999998</v>
      </c>
      <c r="J594">
        <f t="shared" si="91"/>
        <v>9</v>
      </c>
      <c r="K594">
        <f t="shared" si="92"/>
        <v>4.6844000000000001</v>
      </c>
      <c r="L594">
        <f t="shared" si="93"/>
        <v>0</v>
      </c>
      <c r="M594">
        <f t="shared" si="94"/>
        <v>42.159599999999998</v>
      </c>
      <c r="N594">
        <f t="shared" si="95"/>
        <v>0</v>
      </c>
      <c r="O594">
        <f t="shared" si="96"/>
        <v>42.159599999999998</v>
      </c>
      <c r="P594">
        <f t="shared" si="97"/>
        <v>0</v>
      </c>
      <c r="Q594">
        <f t="shared" si="98"/>
        <v>42.159599999999998</v>
      </c>
      <c r="R594">
        <f t="shared" si="99"/>
        <v>0</v>
      </c>
      <c r="S594">
        <f t="shared" si="100"/>
        <v>42.159599999999998</v>
      </c>
    </row>
    <row r="595" spans="1:19" x14ac:dyDescent="0.3">
      <c r="A595" t="s">
        <v>13</v>
      </c>
      <c r="B595" t="s">
        <v>24</v>
      </c>
      <c r="C595" t="s">
        <v>14</v>
      </c>
      <c r="D595">
        <v>31</v>
      </c>
      <c r="E595">
        <v>3</v>
      </c>
      <c r="F595">
        <v>0</v>
      </c>
      <c r="G595">
        <v>20251231</v>
      </c>
      <c r="H595">
        <v>20260203</v>
      </c>
      <c r="I595">
        <v>16619.846000000001</v>
      </c>
      <c r="J595">
        <f t="shared" si="91"/>
        <v>34</v>
      </c>
      <c r="K595">
        <f t="shared" si="92"/>
        <v>488.81900000000002</v>
      </c>
      <c r="L595">
        <f t="shared" si="93"/>
        <v>18378.705030828711</v>
      </c>
      <c r="M595">
        <f t="shared" si="94"/>
        <v>1466.4570000000001</v>
      </c>
      <c r="N595">
        <f t="shared" si="95"/>
        <v>0</v>
      </c>
      <c r="O595">
        <f t="shared" si="96"/>
        <v>19845.162030828709</v>
      </c>
      <c r="P595">
        <f t="shared" si="97"/>
        <v>15391.72352522451</v>
      </c>
      <c r="Q595">
        <f t="shared" si="98"/>
        <v>1228.1224747754929</v>
      </c>
      <c r="R595">
        <f t="shared" si="99"/>
        <v>0</v>
      </c>
      <c r="S595">
        <f t="shared" si="100"/>
        <v>16619.846000000001</v>
      </c>
    </row>
    <row r="596" spans="1:19" x14ac:dyDescent="0.3">
      <c r="A596" t="s">
        <v>13</v>
      </c>
      <c r="B596" t="s">
        <v>24</v>
      </c>
      <c r="C596" t="s">
        <v>15</v>
      </c>
      <c r="D596">
        <v>31</v>
      </c>
      <c r="E596">
        <v>4</v>
      </c>
      <c r="F596">
        <v>0</v>
      </c>
      <c r="G596">
        <v>20251231</v>
      </c>
      <c r="H596">
        <v>20260204</v>
      </c>
      <c r="I596">
        <v>5167.2740999999996</v>
      </c>
      <c r="J596">
        <f t="shared" si="91"/>
        <v>35</v>
      </c>
      <c r="K596">
        <f t="shared" si="92"/>
        <v>147.63640285714285</v>
      </c>
      <c r="L596">
        <f t="shared" si="93"/>
        <v>5550.8601341683234</v>
      </c>
      <c r="M596">
        <f t="shared" si="94"/>
        <v>590.54561142857142</v>
      </c>
      <c r="N596">
        <f t="shared" si="95"/>
        <v>0</v>
      </c>
      <c r="O596">
        <f t="shared" si="96"/>
        <v>6141.405745596895</v>
      </c>
      <c r="P596">
        <f t="shared" si="97"/>
        <v>4670.3990897482645</v>
      </c>
      <c r="Q596">
        <f t="shared" si="98"/>
        <v>496.87501025173492</v>
      </c>
      <c r="R596">
        <f t="shared" si="99"/>
        <v>0</v>
      </c>
      <c r="S596">
        <f t="shared" si="100"/>
        <v>5167.2740999999996</v>
      </c>
    </row>
    <row r="597" spans="1:19" x14ac:dyDescent="0.3">
      <c r="A597" t="s">
        <v>13</v>
      </c>
      <c r="B597" t="s">
        <v>24</v>
      </c>
      <c r="C597" t="s">
        <v>15</v>
      </c>
      <c r="D597">
        <v>31</v>
      </c>
      <c r="E597">
        <v>6</v>
      </c>
      <c r="F597">
        <v>0</v>
      </c>
      <c r="G597">
        <v>20251231</v>
      </c>
      <c r="H597">
        <v>20260206</v>
      </c>
      <c r="I597">
        <v>42.012300000000003</v>
      </c>
      <c r="J597">
        <f t="shared" si="91"/>
        <v>37</v>
      </c>
      <c r="K597">
        <f t="shared" si="92"/>
        <v>1.1354675675675676</v>
      </c>
      <c r="L597">
        <f t="shared" si="93"/>
        <v>42.691514643246052</v>
      </c>
      <c r="M597">
        <f t="shared" si="94"/>
        <v>6.8128054054054061</v>
      </c>
      <c r="N597">
        <f t="shared" si="95"/>
        <v>0</v>
      </c>
      <c r="O597">
        <f t="shared" si="96"/>
        <v>49.504320048651458</v>
      </c>
      <c r="P597">
        <f t="shared" si="97"/>
        <v>36.230549553731414</v>
      </c>
      <c r="Q597">
        <f t="shared" si="98"/>
        <v>5.7817504462685871</v>
      </c>
      <c r="R597">
        <f t="shared" si="99"/>
        <v>0</v>
      </c>
      <c r="S597">
        <f t="shared" si="100"/>
        <v>42.012300000000003</v>
      </c>
    </row>
    <row r="598" spans="1:19" x14ac:dyDescent="0.3">
      <c r="A598" t="s">
        <v>13</v>
      </c>
      <c r="B598" t="s">
        <v>24</v>
      </c>
      <c r="C598" t="s">
        <v>15</v>
      </c>
      <c r="D598">
        <v>31</v>
      </c>
      <c r="E598">
        <v>3</v>
      </c>
      <c r="F598">
        <v>0</v>
      </c>
      <c r="G598">
        <v>20251227</v>
      </c>
      <c r="H598">
        <v>20260203</v>
      </c>
      <c r="I598">
        <v>77417.805600000007</v>
      </c>
      <c r="J598">
        <f t="shared" si="91"/>
        <v>34</v>
      </c>
      <c r="K598">
        <f t="shared" si="92"/>
        <v>2276.9942823529414</v>
      </c>
      <c r="L598">
        <f t="shared" si="93"/>
        <v>85610.842197721868</v>
      </c>
      <c r="M598">
        <f t="shared" si="94"/>
        <v>6830.9828470588236</v>
      </c>
      <c r="N598">
        <f t="shared" si="95"/>
        <v>0</v>
      </c>
      <c r="O598">
        <f t="shared" si="96"/>
        <v>92441.825044780693</v>
      </c>
      <c r="P598">
        <f t="shared" si="97"/>
        <v>71697.021724796825</v>
      </c>
      <c r="Q598">
        <f t="shared" si="98"/>
        <v>5720.7838752031766</v>
      </c>
      <c r="R598">
        <f t="shared" si="99"/>
        <v>0</v>
      </c>
      <c r="S598">
        <f t="shared" si="100"/>
        <v>77417.805600000007</v>
      </c>
    </row>
    <row r="599" spans="1:19" x14ac:dyDescent="0.3">
      <c r="A599" t="s">
        <v>13</v>
      </c>
      <c r="B599" t="s">
        <v>24</v>
      </c>
      <c r="C599" t="s">
        <v>15</v>
      </c>
      <c r="D599">
        <v>31</v>
      </c>
      <c r="E599">
        <v>3</v>
      </c>
      <c r="F599">
        <v>0</v>
      </c>
      <c r="G599">
        <v>20251230</v>
      </c>
      <c r="H599">
        <v>20260203</v>
      </c>
      <c r="I599">
        <v>33979.984299999996</v>
      </c>
      <c r="J599">
        <f t="shared" si="91"/>
        <v>34</v>
      </c>
      <c r="K599">
        <f t="shared" si="92"/>
        <v>999.41130294117636</v>
      </c>
      <c r="L599">
        <f t="shared" si="93"/>
        <v>37576.046637368992</v>
      </c>
      <c r="M599">
        <f t="shared" si="94"/>
        <v>2998.233908823529</v>
      </c>
      <c r="N599">
        <f t="shared" si="95"/>
        <v>0</v>
      </c>
      <c r="O599">
        <f t="shared" si="96"/>
        <v>40574.280546192524</v>
      </c>
      <c r="P599">
        <f t="shared" si="97"/>
        <v>31469.03549750517</v>
      </c>
      <c r="Q599">
        <f t="shared" si="98"/>
        <v>2510.9488024948232</v>
      </c>
      <c r="R599">
        <f t="shared" si="99"/>
        <v>0</v>
      </c>
      <c r="S599">
        <f t="shared" si="100"/>
        <v>33979.984299999996</v>
      </c>
    </row>
    <row r="600" spans="1:19" x14ac:dyDescent="0.3">
      <c r="A600" t="s">
        <v>13</v>
      </c>
      <c r="B600" t="s">
        <v>24</v>
      </c>
      <c r="C600" t="s">
        <v>15</v>
      </c>
      <c r="D600">
        <v>0</v>
      </c>
      <c r="E600">
        <v>16</v>
      </c>
      <c r="F600">
        <v>2</v>
      </c>
      <c r="G600">
        <v>20260213</v>
      </c>
      <c r="H600">
        <v>20260302</v>
      </c>
      <c r="I600">
        <v>295.62889999999999</v>
      </c>
      <c r="J600">
        <f t="shared" si="91"/>
        <v>18</v>
      </c>
      <c r="K600">
        <f t="shared" si="92"/>
        <v>16.423827777777777</v>
      </c>
      <c r="L600">
        <f t="shared" si="93"/>
        <v>0</v>
      </c>
      <c r="M600">
        <f t="shared" si="94"/>
        <v>262.78124444444444</v>
      </c>
      <c r="N600">
        <f t="shared" si="95"/>
        <v>24.217526865487649</v>
      </c>
      <c r="O600">
        <f t="shared" si="96"/>
        <v>286.99877130993207</v>
      </c>
      <c r="P600">
        <f t="shared" si="97"/>
        <v>0</v>
      </c>
      <c r="Q600">
        <f t="shared" si="98"/>
        <v>270.68314571928545</v>
      </c>
      <c r="R600">
        <f t="shared" si="99"/>
        <v>24.945754280714574</v>
      </c>
      <c r="S600">
        <f t="shared" si="100"/>
        <v>295.62890000000004</v>
      </c>
    </row>
    <row r="601" spans="1:19" x14ac:dyDescent="0.3">
      <c r="A601" t="s">
        <v>13</v>
      </c>
      <c r="B601" t="s">
        <v>24</v>
      </c>
      <c r="C601" t="s">
        <v>15</v>
      </c>
      <c r="D601">
        <v>5</v>
      </c>
      <c r="E601">
        <v>28</v>
      </c>
      <c r="F601">
        <v>1</v>
      </c>
      <c r="G601">
        <v>20260127</v>
      </c>
      <c r="H601">
        <v>20260301</v>
      </c>
      <c r="I601">
        <v>24371.091199999999</v>
      </c>
      <c r="J601">
        <f t="shared" si="91"/>
        <v>34</v>
      </c>
      <c r="K601">
        <f t="shared" si="92"/>
        <v>716.79679999999996</v>
      </c>
      <c r="L601">
        <f t="shared" si="93"/>
        <v>4346.8154068512067</v>
      </c>
      <c r="M601">
        <f t="shared" si="94"/>
        <v>20070.310399999998</v>
      </c>
      <c r="N601">
        <f t="shared" si="95"/>
        <v>528.47137695218623</v>
      </c>
      <c r="O601">
        <f t="shared" si="96"/>
        <v>24945.597183803391</v>
      </c>
      <c r="P601">
        <f t="shared" si="97"/>
        <v>4246.7067005602939</v>
      </c>
      <c r="Q601">
        <f t="shared" si="98"/>
        <v>19608.084006435125</v>
      </c>
      <c r="R601">
        <f t="shared" si="99"/>
        <v>516.30049300457824</v>
      </c>
      <c r="S601">
        <f t="shared" si="100"/>
        <v>24371.091199999999</v>
      </c>
    </row>
    <row r="602" spans="1:19" x14ac:dyDescent="0.3">
      <c r="A602" t="s">
        <v>13</v>
      </c>
      <c r="B602" t="s">
        <v>24</v>
      </c>
      <c r="C602" t="s">
        <v>15</v>
      </c>
      <c r="D602">
        <v>13</v>
      </c>
      <c r="E602">
        <v>4</v>
      </c>
      <c r="F602">
        <v>0</v>
      </c>
      <c r="G602">
        <v>20260119</v>
      </c>
      <c r="H602">
        <v>20260204</v>
      </c>
      <c r="I602">
        <v>2187.9814999999999</v>
      </c>
      <c r="J602">
        <f t="shared" si="91"/>
        <v>17</v>
      </c>
      <c r="K602">
        <f t="shared" si="92"/>
        <v>128.70479411764705</v>
      </c>
      <c r="L602">
        <f t="shared" si="93"/>
        <v>2029.2857797581155</v>
      </c>
      <c r="M602">
        <f t="shared" si="94"/>
        <v>514.81917647058822</v>
      </c>
      <c r="N602">
        <f t="shared" si="95"/>
        <v>0</v>
      </c>
      <c r="O602">
        <f t="shared" si="96"/>
        <v>2544.1049562287035</v>
      </c>
      <c r="P602">
        <f t="shared" si="97"/>
        <v>1745.2266399046673</v>
      </c>
      <c r="Q602">
        <f t="shared" si="98"/>
        <v>442.75486009533273</v>
      </c>
      <c r="R602">
        <f t="shared" si="99"/>
        <v>0</v>
      </c>
      <c r="S602">
        <f t="shared" si="100"/>
        <v>2187.9814999999999</v>
      </c>
    </row>
    <row r="603" spans="1:19" x14ac:dyDescent="0.3">
      <c r="A603" t="s">
        <v>13</v>
      </c>
      <c r="B603" t="s">
        <v>24</v>
      </c>
      <c r="C603" t="s">
        <v>15</v>
      </c>
      <c r="D603">
        <v>4</v>
      </c>
      <c r="E603">
        <v>28</v>
      </c>
      <c r="F603">
        <v>5</v>
      </c>
      <c r="G603">
        <v>20260128</v>
      </c>
      <c r="H603">
        <v>20260305</v>
      </c>
      <c r="I603">
        <v>24896.305700000001</v>
      </c>
      <c r="J603">
        <f t="shared" si="91"/>
        <v>37</v>
      </c>
      <c r="K603">
        <f t="shared" si="92"/>
        <v>672.87312702702707</v>
      </c>
      <c r="L603">
        <f t="shared" si="93"/>
        <v>3264.361978644135</v>
      </c>
      <c r="M603">
        <f t="shared" si="94"/>
        <v>18840.447556756757</v>
      </c>
      <c r="N603">
        <f t="shared" si="95"/>
        <v>2480.4392817748098</v>
      </c>
      <c r="O603">
        <f t="shared" si="96"/>
        <v>24585.2488171757</v>
      </c>
      <c r="P603">
        <f t="shared" si="97"/>
        <v>3305.6632593038548</v>
      </c>
      <c r="Q603">
        <f t="shared" si="98"/>
        <v>19078.820205803338</v>
      </c>
      <c r="R603">
        <f t="shared" si="99"/>
        <v>2511.8222348928111</v>
      </c>
      <c r="S603">
        <f t="shared" si="100"/>
        <v>24896.305700000004</v>
      </c>
    </row>
    <row r="604" spans="1:19" x14ac:dyDescent="0.3">
      <c r="A604" t="s">
        <v>13</v>
      </c>
      <c r="B604" t="s">
        <v>24</v>
      </c>
      <c r="C604" t="s">
        <v>15</v>
      </c>
      <c r="D604">
        <v>0</v>
      </c>
      <c r="E604">
        <v>16</v>
      </c>
      <c r="F604">
        <v>3</v>
      </c>
      <c r="G604">
        <v>20260213</v>
      </c>
      <c r="H604">
        <v>20260303</v>
      </c>
      <c r="I604">
        <v>1225.0923</v>
      </c>
      <c r="J604">
        <f t="shared" si="91"/>
        <v>19</v>
      </c>
      <c r="K604">
        <f t="shared" si="92"/>
        <v>64.478542105263159</v>
      </c>
      <c r="L604">
        <f t="shared" si="93"/>
        <v>0</v>
      </c>
      <c r="M604">
        <f t="shared" si="94"/>
        <v>1031.6566736842105</v>
      </c>
      <c r="N604">
        <f t="shared" si="95"/>
        <v>142.61390646653811</v>
      </c>
      <c r="O604">
        <f t="shared" si="96"/>
        <v>1174.2705801507486</v>
      </c>
      <c r="P604">
        <f t="shared" si="97"/>
        <v>0</v>
      </c>
      <c r="Q604">
        <f t="shared" si="98"/>
        <v>1076.3061499947376</v>
      </c>
      <c r="R604">
        <f t="shared" si="99"/>
        <v>148.78615000526261</v>
      </c>
      <c r="S604">
        <f t="shared" si="100"/>
        <v>1225.0923000000003</v>
      </c>
    </row>
    <row r="605" spans="1:19" x14ac:dyDescent="0.3">
      <c r="A605" t="s">
        <v>13</v>
      </c>
      <c r="B605" t="s">
        <v>24</v>
      </c>
      <c r="C605" t="s">
        <v>15</v>
      </c>
      <c r="D605">
        <v>0</v>
      </c>
      <c r="E605">
        <v>10</v>
      </c>
      <c r="F605">
        <v>6</v>
      </c>
      <c r="G605">
        <v>20260219</v>
      </c>
      <c r="H605">
        <v>20260306</v>
      </c>
      <c r="I605">
        <v>3894.3182999999999</v>
      </c>
      <c r="J605">
        <f t="shared" si="91"/>
        <v>16</v>
      </c>
      <c r="K605">
        <f t="shared" si="92"/>
        <v>243.39489374999999</v>
      </c>
      <c r="L605">
        <f t="shared" si="93"/>
        <v>0</v>
      </c>
      <c r="M605">
        <f t="shared" si="94"/>
        <v>2433.9489374999998</v>
      </c>
      <c r="N605">
        <f t="shared" si="95"/>
        <v>1076.6836680341787</v>
      </c>
      <c r="O605">
        <f t="shared" si="96"/>
        <v>3510.6326055341788</v>
      </c>
      <c r="P605">
        <f t="shared" si="97"/>
        <v>0</v>
      </c>
      <c r="Q605">
        <f t="shared" si="98"/>
        <v>2699.9612188497699</v>
      </c>
      <c r="R605">
        <f t="shared" si="99"/>
        <v>1194.3570811502298</v>
      </c>
      <c r="S605">
        <f t="shared" si="100"/>
        <v>3894.3182999999999</v>
      </c>
    </row>
    <row r="606" spans="1:19" x14ac:dyDescent="0.3">
      <c r="A606" t="s">
        <v>13</v>
      </c>
      <c r="B606" t="s">
        <v>24</v>
      </c>
      <c r="C606" t="s">
        <v>15</v>
      </c>
      <c r="D606">
        <v>0</v>
      </c>
      <c r="E606">
        <v>9</v>
      </c>
      <c r="F606">
        <v>5</v>
      </c>
      <c r="G606">
        <v>20260220</v>
      </c>
      <c r="H606">
        <v>20260305</v>
      </c>
      <c r="I606">
        <v>3047.6561999999999</v>
      </c>
      <c r="J606">
        <f t="shared" si="91"/>
        <v>14</v>
      </c>
      <c r="K606">
        <f t="shared" si="92"/>
        <v>217.68972857142856</v>
      </c>
      <c r="L606">
        <f t="shared" si="93"/>
        <v>0</v>
      </c>
      <c r="M606">
        <f t="shared" si="94"/>
        <v>1959.207557142857</v>
      </c>
      <c r="N606">
        <f t="shared" si="95"/>
        <v>802.47840536181627</v>
      </c>
      <c r="O606">
        <f t="shared" si="96"/>
        <v>2761.6859625046732</v>
      </c>
      <c r="P606">
        <f t="shared" si="97"/>
        <v>0</v>
      </c>
      <c r="Q606">
        <f t="shared" si="98"/>
        <v>2162.081836849391</v>
      </c>
      <c r="R606">
        <f t="shared" si="99"/>
        <v>885.57436315060897</v>
      </c>
      <c r="S606">
        <f t="shared" si="100"/>
        <v>3047.6561999999999</v>
      </c>
    </row>
    <row r="607" spans="1:19" x14ac:dyDescent="0.3">
      <c r="A607" t="s">
        <v>13</v>
      </c>
      <c r="B607" t="s">
        <v>24</v>
      </c>
      <c r="C607" t="s">
        <v>15</v>
      </c>
      <c r="D607">
        <v>6</v>
      </c>
      <c r="E607">
        <v>28</v>
      </c>
      <c r="F607">
        <v>6</v>
      </c>
      <c r="G607">
        <v>20260126</v>
      </c>
      <c r="H607">
        <v>20260306</v>
      </c>
      <c r="I607">
        <v>7004.0671000000002</v>
      </c>
      <c r="J607">
        <f t="shared" si="91"/>
        <v>40</v>
      </c>
      <c r="K607">
        <f t="shared" si="92"/>
        <v>175.10167749999999</v>
      </c>
      <c r="L607">
        <f t="shared" si="93"/>
        <v>1274.2266754357572</v>
      </c>
      <c r="M607">
        <f t="shared" si="94"/>
        <v>4902.8469699999996</v>
      </c>
      <c r="N607">
        <f t="shared" si="95"/>
        <v>774.58123095747067</v>
      </c>
      <c r="O607">
        <f t="shared" si="96"/>
        <v>6951.6548763932269</v>
      </c>
      <c r="P607">
        <f t="shared" si="97"/>
        <v>1283.833748086249</v>
      </c>
      <c r="Q607">
        <f t="shared" si="98"/>
        <v>4939.8121410665408</v>
      </c>
      <c r="R607">
        <f t="shared" si="99"/>
        <v>780.42121084721111</v>
      </c>
      <c r="S607">
        <f t="shared" si="100"/>
        <v>7004.0671000000011</v>
      </c>
    </row>
    <row r="608" spans="1:19" x14ac:dyDescent="0.3">
      <c r="A608" t="s">
        <v>13</v>
      </c>
      <c r="B608" t="s">
        <v>24</v>
      </c>
      <c r="C608" t="s">
        <v>15</v>
      </c>
      <c r="D608">
        <v>19</v>
      </c>
      <c r="E608">
        <v>4</v>
      </c>
      <c r="F608">
        <v>0</v>
      </c>
      <c r="G608">
        <v>20260113</v>
      </c>
      <c r="H608">
        <v>20260204</v>
      </c>
      <c r="I608">
        <v>12193.6073</v>
      </c>
      <c r="J608">
        <f t="shared" si="91"/>
        <v>23</v>
      </c>
      <c r="K608">
        <f t="shared" si="92"/>
        <v>530.15683913043472</v>
      </c>
      <c r="L608">
        <f t="shared" si="93"/>
        <v>12216.958672587405</v>
      </c>
      <c r="M608">
        <f t="shared" si="94"/>
        <v>2120.6273565217389</v>
      </c>
      <c r="N608">
        <f t="shared" si="95"/>
        <v>0</v>
      </c>
      <c r="O608">
        <f t="shared" si="96"/>
        <v>14337.586029109145</v>
      </c>
      <c r="P608">
        <f t="shared" si="97"/>
        <v>10390.089109241506</v>
      </c>
      <c r="Q608">
        <f t="shared" si="98"/>
        <v>1803.5181907584933</v>
      </c>
      <c r="R608">
        <f t="shared" si="99"/>
        <v>0</v>
      </c>
      <c r="S608">
        <f t="shared" si="100"/>
        <v>12193.6073</v>
      </c>
    </row>
    <row r="609" spans="1:19" x14ac:dyDescent="0.3">
      <c r="A609" t="s">
        <v>13</v>
      </c>
      <c r="B609" t="s">
        <v>24</v>
      </c>
      <c r="C609" t="s">
        <v>14</v>
      </c>
      <c r="D609">
        <v>0</v>
      </c>
      <c r="E609">
        <v>9</v>
      </c>
      <c r="F609">
        <v>10</v>
      </c>
      <c r="G609">
        <v>20260220</v>
      </c>
      <c r="H609">
        <v>20260310</v>
      </c>
      <c r="I609">
        <v>42.334499999999998</v>
      </c>
      <c r="J609">
        <f t="shared" si="91"/>
        <v>19</v>
      </c>
      <c r="K609">
        <f t="shared" si="92"/>
        <v>2.2281315789473681</v>
      </c>
      <c r="L609">
        <f t="shared" si="93"/>
        <v>0</v>
      </c>
      <c r="M609">
        <f t="shared" si="94"/>
        <v>20.053184210526315</v>
      </c>
      <c r="N609">
        <f t="shared" si="95"/>
        <v>16.427302180436136</v>
      </c>
      <c r="O609">
        <f t="shared" si="96"/>
        <v>36.480486390962454</v>
      </c>
      <c r="P609">
        <f t="shared" si="97"/>
        <v>0</v>
      </c>
      <c r="Q609">
        <f t="shared" si="98"/>
        <v>23.271113160674304</v>
      </c>
      <c r="R609">
        <f t="shared" si="99"/>
        <v>19.063386839325688</v>
      </c>
      <c r="S609">
        <f t="shared" si="100"/>
        <v>42.334499999999991</v>
      </c>
    </row>
  </sheetData>
  <autoFilter ref="A9:S9" xr:uid="{919B7CE4-068E-4220-B194-7E4D930DC5D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2월검증</vt:lpstr>
      <vt:lpstr>2월계산내역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2024-10-08T06:13:20Z</dcterms:created>
  <dcterms:modified xsi:type="dcterms:W3CDTF">2026-04-07T01:29:50Z</dcterms:modified>
</cp:coreProperties>
</file>
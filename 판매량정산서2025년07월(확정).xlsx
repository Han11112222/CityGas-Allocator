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E:\오원석\빌링팀\업무\주업무\매출관련\2025년7월매출까지\7월\"/>
    </mc:Choice>
  </mc:AlternateContent>
  <xr:revisionPtr revIDLastSave="0" documentId="13_ncr:1_{E3393CE7-DA64-4406-8EBA-DCE84F545EE6}" xr6:coauthVersionLast="36" xr6:coauthVersionMax="36" xr10:uidLastSave="{00000000-0000-0000-0000-000000000000}"/>
  <bookViews>
    <workbookView xWindow="0" yWindow="0" windowWidth="22695" windowHeight="1038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매출액표!$A$8:$S$97</definedName>
    <definedName name="_xlnm.Print_Area" localSheetId="1">매출액표!$A$1:$N$98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</workbook>
</file>

<file path=xl/calcChain.xml><?xml version="1.0" encoding="utf-8"?>
<calcChain xmlns="http://schemas.openxmlformats.org/spreadsheetml/2006/main">
  <c r="E15" i="13" l="1"/>
  <c r="E8" i="13"/>
  <c r="M6" i="46" l="1"/>
  <c r="L12" i="46" l="1"/>
  <c r="L21" i="46"/>
  <c r="K21" i="46"/>
  <c r="A2" i="7" l="1"/>
  <c r="N65" i="3" l="1"/>
  <c r="N66" i="3"/>
  <c r="F65" i="3" l="1"/>
  <c r="F66" i="3"/>
  <c r="D69" i="3"/>
  <c r="J69" i="3" l="1"/>
  <c r="I69" i="3"/>
  <c r="G69" i="3"/>
  <c r="E69" i="3"/>
  <c r="N51" i="3" l="1"/>
  <c r="Q19" i="46" l="1"/>
  <c r="K19" i="46" s="1"/>
  <c r="Q17" i="46"/>
  <c r="K17" i="46" s="1"/>
  <c r="Q14" i="46"/>
  <c r="K14" i="46" s="1"/>
  <c r="Q13" i="46"/>
  <c r="K13" i="46" s="1"/>
  <c r="Q12" i="46"/>
  <c r="Q10" i="46" s="1"/>
  <c r="K10" i="46" s="1"/>
  <c r="K12" i="46" s="1"/>
  <c r="E16" i="46"/>
  <c r="L16" i="46" s="1"/>
  <c r="B1" i="46"/>
  <c r="K20" i="46"/>
  <c r="K18" i="46"/>
  <c r="K16" i="46"/>
  <c r="K15" i="46"/>
  <c r="I12" i="46"/>
  <c r="H12" i="46"/>
  <c r="Q9" i="46"/>
  <c r="J9" i="46"/>
  <c r="J21" i="46" s="1"/>
  <c r="I9" i="46"/>
  <c r="I21" i="46" s="1"/>
  <c r="H9" i="46"/>
  <c r="F9" i="46"/>
  <c r="F21" i="46" s="1"/>
  <c r="H21" i="46" l="1"/>
  <c r="Q21" i="46"/>
  <c r="K24" i="46" l="1"/>
  <c r="E17" i="13" l="1"/>
  <c r="E16" i="13"/>
  <c r="F16" i="13" s="1"/>
  <c r="D53" i="3" l="1"/>
  <c r="E53" i="3"/>
  <c r="E11" i="46" s="1"/>
  <c r="L11" i="46" s="1"/>
  <c r="E49" i="3"/>
  <c r="K24" i="13" l="1"/>
  <c r="F38" i="3" l="1"/>
  <c r="N64" i="3" l="1"/>
  <c r="F64" i="3"/>
  <c r="N52" i="3" l="1"/>
  <c r="V11" i="13" l="1"/>
  <c r="N67" i="3" l="1"/>
  <c r="N61" i="3" l="1"/>
  <c r="N38" i="3" l="1"/>
  <c r="F45" i="3" l="1"/>
  <c r="N45" i="3"/>
  <c r="F72" i="3" l="1"/>
  <c r="C11" i="13" l="1"/>
  <c r="N63" i="3"/>
  <c r="N69" i="3" s="1"/>
  <c r="F63" i="3"/>
  <c r="J8" i="13" l="1"/>
  <c r="J24" i="13" l="1"/>
  <c r="K57" i="3" l="1"/>
  <c r="L57" i="3"/>
  <c r="M57" i="3"/>
  <c r="I57" i="3"/>
  <c r="J57" i="3"/>
  <c r="H73" i="3"/>
  <c r="H57" i="3"/>
  <c r="H43" i="3"/>
  <c r="H40" i="3"/>
  <c r="F84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0" i="3" l="1"/>
  <c r="N72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5" i="3"/>
  <c r="E105" i="3"/>
  <c r="D105" i="3"/>
  <c r="I36" i="3"/>
  <c r="G21" i="46" l="1"/>
  <c r="L10" i="46"/>
  <c r="E12" i="46"/>
  <c r="L96" i="3"/>
  <c r="L97" i="3"/>
  <c r="L95" i="3"/>
  <c r="L94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F12" i="7" l="1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3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87" i="3" l="1"/>
  <c r="N86" i="3"/>
  <c r="N84" i="3"/>
  <c r="N80" i="3"/>
  <c r="N81" i="3"/>
  <c r="N82" i="3"/>
  <c r="N79" i="3"/>
  <c r="N75" i="3"/>
  <c r="N76" i="3"/>
  <c r="N77" i="3"/>
  <c r="N74" i="3"/>
  <c r="N71" i="3"/>
  <c r="N60" i="3"/>
  <c r="N58" i="3"/>
  <c r="N56" i="3"/>
  <c r="N55" i="3"/>
  <c r="N46" i="3"/>
  <c r="N47" i="3"/>
  <c r="N48" i="3"/>
  <c r="N41" i="3"/>
  <c r="N42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88" i="3" l="1"/>
  <c r="D73" i="3"/>
  <c r="D15" i="13" s="1"/>
  <c r="J73" i="3"/>
  <c r="I73" i="3"/>
  <c r="G73" i="3"/>
  <c r="D39" i="13" s="1"/>
  <c r="E73" i="3"/>
  <c r="F71" i="3"/>
  <c r="E15" i="46" l="1"/>
  <c r="L15" i="46" s="1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0" i="3"/>
  <c r="L88" i="3"/>
  <c r="K88" i="3"/>
  <c r="I88" i="3"/>
  <c r="H88" i="3"/>
  <c r="G88" i="3"/>
  <c r="E88" i="3"/>
  <c r="D88" i="3"/>
  <c r="D21" i="13" s="1"/>
  <c r="F86" i="3"/>
  <c r="M85" i="3"/>
  <c r="L85" i="3"/>
  <c r="K85" i="3"/>
  <c r="J85" i="3"/>
  <c r="I85" i="3"/>
  <c r="H85" i="3"/>
  <c r="G85" i="3"/>
  <c r="E85" i="3"/>
  <c r="D85" i="3"/>
  <c r="D20" i="13" s="1"/>
  <c r="M83" i="3"/>
  <c r="L83" i="3"/>
  <c r="K83" i="3"/>
  <c r="J83" i="3"/>
  <c r="I83" i="3"/>
  <c r="H83" i="3"/>
  <c r="G83" i="3"/>
  <c r="E83" i="3"/>
  <c r="D83" i="3"/>
  <c r="D19" i="13" s="1"/>
  <c r="F79" i="3"/>
  <c r="N83" i="3"/>
  <c r="M78" i="3"/>
  <c r="L78" i="3"/>
  <c r="K78" i="3"/>
  <c r="J78" i="3"/>
  <c r="I78" i="3"/>
  <c r="H78" i="3"/>
  <c r="G78" i="3"/>
  <c r="D42" i="13" s="1"/>
  <c r="E78" i="3"/>
  <c r="D78" i="3"/>
  <c r="D18" i="13" s="1"/>
  <c r="F75" i="3"/>
  <c r="F74" i="3"/>
  <c r="L69" i="3"/>
  <c r="K69" i="3"/>
  <c r="H69" i="3"/>
  <c r="D14" i="13"/>
  <c r="L62" i="3"/>
  <c r="K62" i="3"/>
  <c r="H62" i="3"/>
  <c r="F58" i="3"/>
  <c r="G57" i="3"/>
  <c r="E57" i="3"/>
  <c r="D57" i="3"/>
  <c r="F56" i="3"/>
  <c r="F55" i="3"/>
  <c r="L53" i="3"/>
  <c r="K53" i="3"/>
  <c r="J53" i="3"/>
  <c r="I53" i="3"/>
  <c r="H53" i="3"/>
  <c r="G53" i="3"/>
  <c r="N50" i="3"/>
  <c r="F50" i="3"/>
  <c r="L49" i="3"/>
  <c r="K49" i="3"/>
  <c r="H49" i="3"/>
  <c r="F46" i="3"/>
  <c r="L43" i="3"/>
  <c r="K43" i="3"/>
  <c r="J43" i="3"/>
  <c r="I43" i="3"/>
  <c r="G43" i="3"/>
  <c r="D34" i="13" s="1"/>
  <c r="E43" i="3"/>
  <c r="D43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1" i="3" s="1"/>
  <c r="D17" i="3"/>
  <c r="D91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0" i="3"/>
  <c r="H15" i="13"/>
  <c r="F15" i="13"/>
  <c r="L70" i="3"/>
  <c r="H70" i="3"/>
  <c r="K70" i="3"/>
  <c r="E14" i="41"/>
  <c r="F14" i="41"/>
  <c r="K40" i="13"/>
  <c r="L44" i="3"/>
  <c r="N57" i="3"/>
  <c r="K44" i="3"/>
  <c r="AH14" i="42"/>
  <c r="L13" i="42"/>
  <c r="J12" i="42" s="1"/>
  <c r="L15" i="42"/>
  <c r="J14" i="42" s="1"/>
  <c r="F88" i="3"/>
  <c r="H54" i="3"/>
  <c r="K54" i="3"/>
  <c r="L54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3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3" i="3"/>
  <c r="N78" i="3"/>
  <c r="N85" i="3"/>
  <c r="F85" i="3"/>
  <c r="F78" i="3"/>
  <c r="N73" i="3"/>
  <c r="D13" i="41"/>
  <c r="F13" i="41"/>
  <c r="F73" i="3"/>
  <c r="L15" i="13"/>
  <c r="N12" i="42"/>
  <c r="F69" i="3"/>
  <c r="O17" i="13"/>
  <c r="H17" i="13"/>
  <c r="F57" i="3"/>
  <c r="O16" i="13"/>
  <c r="H16" i="13"/>
  <c r="N14" i="42"/>
  <c r="N53" i="3"/>
  <c r="F53" i="3"/>
  <c r="N43" i="3"/>
  <c r="F43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4" i="3"/>
  <c r="H89" i="3" s="1"/>
  <c r="N25" i="3" l="1"/>
  <c r="N31" i="3" s="1"/>
  <c r="I31" i="3"/>
  <c r="I44" i="3" l="1"/>
  <c r="D49" i="3"/>
  <c r="D54" i="3" s="1"/>
  <c r="D12" i="13" s="1"/>
  <c r="E54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49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4" i="3"/>
  <c r="F49" i="3"/>
  <c r="E9" i="41" l="1"/>
  <c r="D9" i="41" s="1"/>
  <c r="D8" i="41"/>
  <c r="G8" i="41"/>
  <c r="F9" i="41" s="1"/>
  <c r="F54" i="3"/>
  <c r="K8" i="41"/>
  <c r="L8" i="41"/>
  <c r="M8" i="41" l="1"/>
  <c r="L9" i="41" s="1"/>
  <c r="J49" i="3" l="1"/>
  <c r="J54" i="3" s="1"/>
  <c r="I49" i="3"/>
  <c r="I54" i="3" s="1"/>
  <c r="N49" i="3"/>
  <c r="N54" i="3" s="1"/>
  <c r="D62" i="3" l="1"/>
  <c r="E62" i="3"/>
  <c r="E14" i="46" l="1"/>
  <c r="L14" i="46" s="1"/>
  <c r="E13" i="13"/>
  <c r="D70" i="3"/>
  <c r="D13" i="13"/>
  <c r="E70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59" i="3"/>
  <c r="I62" i="3"/>
  <c r="J62" i="3"/>
  <c r="J70" i="3" s="1"/>
  <c r="G62" i="3"/>
  <c r="F62" i="3" s="1"/>
  <c r="N59" i="3"/>
  <c r="N62" i="3" s="1"/>
  <c r="D11" i="42" l="1"/>
  <c r="E11" i="42"/>
  <c r="J22" i="13"/>
  <c r="M22" i="13" s="1"/>
  <c r="M13" i="13"/>
  <c r="AA10" i="42"/>
  <c r="F10" i="42"/>
  <c r="G11" i="42" s="1"/>
  <c r="H11" i="42"/>
  <c r="D37" i="13"/>
  <c r="G70" i="3"/>
  <c r="AB10" i="42" l="1"/>
  <c r="Z11" i="42"/>
  <c r="AC10" i="42" s="1"/>
  <c r="AA11" i="42"/>
  <c r="AD11" i="42" s="1"/>
  <c r="AC11" i="42" s="1"/>
  <c r="F10" i="41"/>
  <c r="K37" i="13"/>
  <c r="D46" i="13"/>
  <c r="E10" i="41"/>
  <c r="F70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D31" i="13"/>
  <c r="M7" i="13"/>
  <c r="G44" i="3"/>
  <c r="G89" i="3" s="1"/>
  <c r="D35" i="13" l="1"/>
  <c r="K31" i="13"/>
  <c r="F104" i="3" l="1"/>
  <c r="F106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l="1"/>
  <c r="L6" i="46" s="1"/>
  <c r="I12" i="41"/>
  <c r="J46" i="13"/>
  <c r="L46" i="13" s="1"/>
  <c r="I6" i="41"/>
  <c r="L35" i="13"/>
  <c r="E44" i="3"/>
  <c r="E89" i="3" s="1"/>
  <c r="D44" i="3"/>
  <c r="D11" i="13"/>
  <c r="D23" i="13" s="1"/>
  <c r="F31" i="3"/>
  <c r="E9" i="46" l="1"/>
  <c r="E21" i="46" s="1"/>
  <c r="E24" i="46" s="1"/>
  <c r="L9" i="46"/>
  <c r="E25" i="46"/>
  <c r="L25" i="46"/>
  <c r="E104" i="3"/>
  <c r="E106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4" i="3"/>
  <c r="D89" i="3"/>
  <c r="D104" i="3" s="1"/>
  <c r="F8" i="13"/>
  <c r="L8" i="13"/>
  <c r="E11" i="13"/>
  <c r="F92" i="3"/>
  <c r="F89" i="3"/>
  <c r="E90" i="3"/>
  <c r="E26" i="46" l="1"/>
  <c r="M5" i="46"/>
  <c r="M17" i="46"/>
  <c r="M11" i="46"/>
  <c r="M15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90" i="3"/>
  <c r="D106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4" i="3" s="1"/>
  <c r="J40" i="3"/>
  <c r="J44" i="3" s="1"/>
  <c r="J89" i="3" s="1"/>
  <c r="Q96" i="3" l="1"/>
  <c r="P96" i="3" s="1"/>
  <c r="M89" i="3" l="1"/>
  <c r="R99" i="3"/>
  <c r="N70" i="3" l="1"/>
  <c r="Q89" i="3" s="1"/>
  <c r="I70" i="3"/>
  <c r="I89" i="3" s="1"/>
  <c r="R89" i="3" l="1"/>
  <c r="Q95" i="3"/>
  <c r="S89" i="3" l="1"/>
  <c r="P95" i="3"/>
  <c r="Q109" i="3"/>
  <c r="R109" i="3" l="1"/>
  <c r="R111" i="3" s="1"/>
  <c r="R98" i="3"/>
  <c r="P99" i="3" s="1"/>
  <c r="L89" i="3"/>
  <c r="Q111" i="3"/>
  <c r="S109" i="3" l="1"/>
  <c r="S111" i="3" s="1"/>
  <c r="K89" i="3"/>
  <c r="P98" i="3"/>
  <c r="R90" i="3" l="1"/>
  <c r="R91" i="3" s="1"/>
  <c r="N89" i="3"/>
  <c r="Q90" i="3" s="1"/>
  <c r="S90" i="3" l="1"/>
  <c r="Q91" i="3"/>
  <c r="S9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7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3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4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99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3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5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<sst xmlns="http://schemas.openxmlformats.org/spreadsheetml/2006/main" count="1031" uniqueCount="470">
  <si>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</si>
  <si>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</si>
  <si>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</si>
  <si>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</si>
  <si>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</si>
  <si>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</si>
  <si>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</si>
  <si>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</si>
  <si>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</si>
  <si>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</si>
  <si>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</si>
  <si>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</si>
  <si>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</si>
  <si>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5" type="noConversion"/>
  </si>
  <si>
    <t>금액(원)</t>
    <phoneticPr fontId="35" type="noConversion"/>
  </si>
  <si>
    <t>미적용</t>
    <phoneticPr fontId="35" type="noConversion"/>
  </si>
  <si>
    <t>적용</t>
    <phoneticPr fontId="35" type="noConversion"/>
  </si>
  <si>
    <t>소계</t>
    <phoneticPr fontId="36" type="noConversion"/>
  </si>
  <si>
    <t xml:space="preserve">취사용
</t>
    <phoneticPr fontId="35" type="noConversion"/>
  </si>
  <si>
    <t>2.판매금액(단위:백만원)</t>
    <phoneticPr fontId="36" type="noConversion"/>
  </si>
  <si>
    <t>당           월</t>
    <phoneticPr fontId="36" type="noConversion"/>
  </si>
  <si>
    <t>누           계</t>
    <phoneticPr fontId="36" type="noConversion"/>
  </si>
  <si>
    <t>계획</t>
    <phoneticPr fontId="36" type="noConversion"/>
  </si>
  <si>
    <t>실적</t>
    <phoneticPr fontId="36" type="noConversion"/>
  </si>
  <si>
    <t>전년</t>
    <phoneticPr fontId="33" type="noConversion"/>
  </si>
  <si>
    <t>가정용</t>
    <phoneticPr fontId="36" type="noConversion"/>
  </si>
  <si>
    <t>수송용(CNG)</t>
    <phoneticPr fontId="36" type="noConversion"/>
  </si>
  <si>
    <t>계</t>
    <phoneticPr fontId="36" type="noConversion"/>
  </si>
  <si>
    <t>취사용</t>
    <phoneticPr fontId="36" type="noConversion"/>
  </si>
  <si>
    <t>사회복지</t>
  </si>
  <si>
    <t>자가소모</t>
  </si>
  <si>
    <t>소계</t>
  </si>
  <si>
    <t>사회적배려 할인액</t>
    <phoneticPr fontId="36" type="noConversion"/>
  </si>
  <si>
    <t>검침착오분조정</t>
    <phoneticPr fontId="36" type="noConversion"/>
  </si>
  <si>
    <t xml:space="preserve"> </t>
    <phoneticPr fontId="35" type="noConversion"/>
  </si>
  <si>
    <t>업무난방용</t>
    <phoneticPr fontId="36" type="noConversion"/>
  </si>
  <si>
    <t>합계</t>
    <phoneticPr fontId="36" type="noConversion"/>
  </si>
  <si>
    <t>취사용</t>
  </si>
  <si>
    <t>중앙난방용</t>
  </si>
  <si>
    <t>일반용</t>
  </si>
  <si>
    <t>업무난방용</t>
  </si>
  <si>
    <t>소  계</t>
    <phoneticPr fontId="33" type="noConversion"/>
  </si>
  <si>
    <t>업무난방용</t>
    <phoneticPr fontId="33" type="noConversion"/>
  </si>
  <si>
    <t>공급량</t>
    <phoneticPr fontId="33" type="noConversion"/>
  </si>
  <si>
    <t>산 업 용</t>
    <phoneticPr fontId="36" type="noConversion"/>
  </si>
  <si>
    <t>구분</t>
    <phoneticPr fontId="33" type="noConversion"/>
  </si>
  <si>
    <t>소계</t>
    <phoneticPr fontId="33" type="noConversion"/>
  </si>
  <si>
    <t>열전용설비용</t>
  </si>
  <si>
    <t>사회적배려</t>
    <phoneticPr fontId="36" type="noConversion"/>
  </si>
  <si>
    <t>사회복지시설할인액</t>
    <phoneticPr fontId="36" type="noConversion"/>
  </si>
  <si>
    <t>침</t>
    <phoneticPr fontId="36" type="noConversion"/>
  </si>
  <si>
    <t>계획대비 :</t>
    <phoneticPr fontId="36" type="noConversion"/>
  </si>
  <si>
    <t>사회복지시설</t>
    <phoneticPr fontId="36" type="noConversion"/>
  </si>
  <si>
    <t>절사액</t>
    <phoneticPr fontId="36" type="noConversion"/>
  </si>
  <si>
    <t>조정예수금</t>
    <phoneticPr fontId="36" type="noConversion"/>
  </si>
  <si>
    <t>연체가산금</t>
    <phoneticPr fontId="36" type="noConversion"/>
  </si>
  <si>
    <t>1.판매량</t>
    <phoneticPr fontId="36" type="noConversion"/>
  </si>
  <si>
    <t>판매량(MJ)</t>
    <phoneticPr fontId="35" type="noConversion"/>
  </si>
  <si>
    <t xml:space="preserve">냉난방용
(업무)
</t>
    <phoneticPr fontId="35" type="noConversion"/>
  </si>
  <si>
    <t>주한미군</t>
    <phoneticPr fontId="33" type="noConversion"/>
  </si>
  <si>
    <t>상품</t>
    <phoneticPr fontId="36" type="noConversion"/>
  </si>
  <si>
    <t>사용량(㎥)</t>
    <phoneticPr fontId="36" type="noConversion"/>
  </si>
  <si>
    <t>사용열랑(MJ)</t>
    <phoneticPr fontId="36" type="noConversion"/>
  </si>
  <si>
    <t>1.판매량(단위:GJ)</t>
    <phoneticPr fontId="36" type="noConversion"/>
  </si>
  <si>
    <t>계획(GJ)</t>
    <phoneticPr fontId="33" type="noConversion"/>
  </si>
  <si>
    <t>실적(GJ)</t>
    <phoneticPr fontId="36" type="noConversion"/>
  </si>
  <si>
    <t>전년(GJ)</t>
    <phoneticPr fontId="36" type="noConversion"/>
  </si>
  <si>
    <t>당월생산(LNG)(+)</t>
    <phoneticPr fontId="36" type="noConversion"/>
  </si>
  <si>
    <t>당월재고(LNG)</t>
    <phoneticPr fontId="36" type="noConversion"/>
  </si>
  <si>
    <t>당월재고(BIO)</t>
    <phoneticPr fontId="36" type="noConversion"/>
  </si>
  <si>
    <t>수송용 (BIO)</t>
    <phoneticPr fontId="36" type="noConversion"/>
  </si>
  <si>
    <t>자가소모(LNG) 소계</t>
    <phoneticPr fontId="36" type="noConversion"/>
  </si>
  <si>
    <t>자가소모 합계</t>
    <phoneticPr fontId="36" type="noConversion"/>
  </si>
  <si>
    <t>수송용(BIO)</t>
    <phoneticPr fontId="36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</si>
  <si>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</si>
  <si>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</si>
  <si>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</si>
  <si>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</si>
  <si>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6" type="noConversion"/>
  </si>
  <si>
    <t>부가세(매출화면)</t>
    <phoneticPr fontId="36" type="noConversion"/>
  </si>
  <si>
    <t>* 사회복지할인금액 :매출내역과 청구할인 정산내역 및 상품별 청구할인정산내역 같은지 재 확인 할 것</t>
    <phoneticPr fontId="36" type="noConversion"/>
  </si>
  <si>
    <t>계량기관리비</t>
    <phoneticPr fontId="36" type="noConversion"/>
  </si>
  <si>
    <t>보정기관리비</t>
    <phoneticPr fontId="36" type="noConversion"/>
  </si>
  <si>
    <t>보정기부가세</t>
    <phoneticPr fontId="36" type="noConversion"/>
  </si>
  <si>
    <t>계량기부가세</t>
    <phoneticPr fontId="36" type="noConversion"/>
  </si>
  <si>
    <t>계기부가세/보정기부가세</t>
    <phoneticPr fontId="36" type="noConversion"/>
  </si>
  <si>
    <t>계량기/보정기관리비</t>
    <phoneticPr fontId="36" type="noConversion"/>
  </si>
  <si>
    <t>검침착오분조정</t>
  </si>
  <si>
    <t>주한미군(정산비)</t>
    <phoneticPr fontId="36" type="noConversion"/>
  </si>
  <si>
    <t>수입부과금</t>
    <phoneticPr fontId="36" type="noConversion"/>
  </si>
  <si>
    <t>수입부과금</t>
    <phoneticPr fontId="36" type="noConversion"/>
  </si>
  <si>
    <t>개별난방용 변동후</t>
    <phoneticPr fontId="36" type="noConversion"/>
  </si>
  <si>
    <t>공급가액</t>
    <phoneticPr fontId="36" type="noConversion"/>
  </si>
  <si>
    <t>부가세</t>
    <phoneticPr fontId="36" type="noConversion"/>
  </si>
  <si>
    <t>일반계량기관리비</t>
    <phoneticPr fontId="36" type="noConversion"/>
  </si>
  <si>
    <t>특수계량기관리비</t>
    <phoneticPr fontId="36" type="noConversion"/>
  </si>
  <si>
    <t>합  계</t>
    <phoneticPr fontId="36" type="noConversion"/>
  </si>
  <si>
    <t>합 계</t>
    <phoneticPr fontId="36" type="noConversion"/>
  </si>
  <si>
    <t>구  분</t>
    <phoneticPr fontId="36" type="noConversion"/>
  </si>
  <si>
    <t>※ 계량기관리비 상세내역</t>
    <phoneticPr fontId="36" type="noConversion"/>
  </si>
  <si>
    <t>실적(천N㎥)</t>
    <phoneticPr fontId="33" type="noConversion"/>
  </si>
  <si>
    <t>퍼지량(업무난방)</t>
    <phoneticPr fontId="36" type="noConversion"/>
  </si>
  <si>
    <t>전월재고</t>
  </si>
  <si>
    <t>전월재고</t>
    <phoneticPr fontId="36" type="noConversion"/>
  </si>
  <si>
    <t>가스부가세</t>
    <phoneticPr fontId="36" type="noConversion"/>
  </si>
  <si>
    <t>적             요</t>
    <phoneticPr fontId="36" type="noConversion"/>
  </si>
  <si>
    <t xml:space="preserve"> </t>
  </si>
  <si>
    <t>퍼지량(CNG)</t>
    <phoneticPr fontId="36" type="noConversion"/>
  </si>
  <si>
    <t>계획</t>
    <phoneticPr fontId="33" type="noConversion"/>
  </si>
  <si>
    <t>실적</t>
    <phoneticPr fontId="33" type="noConversion"/>
  </si>
  <si>
    <t xml:space="preserve"> </t>
    <phoneticPr fontId="33" type="noConversion"/>
  </si>
  <si>
    <t>수량(㎥)</t>
    <phoneticPr fontId="36" type="noConversion"/>
  </si>
  <si>
    <t>수량(MJ)</t>
    <phoneticPr fontId="36" type="noConversion"/>
  </si>
  <si>
    <t>.</t>
    <phoneticPr fontId="36" type="noConversion"/>
  </si>
  <si>
    <t>합  계</t>
    <phoneticPr fontId="33" type="noConversion"/>
  </si>
  <si>
    <t>산 업 용</t>
    <phoneticPr fontId="36" type="noConversion"/>
  </si>
  <si>
    <t>2.판매금액</t>
    <phoneticPr fontId="36" type="noConversion"/>
  </si>
  <si>
    <t>단위 : 백만원</t>
    <phoneticPr fontId="33" type="noConversion"/>
  </si>
  <si>
    <t>구    분</t>
    <phoneticPr fontId="36" type="noConversion"/>
  </si>
  <si>
    <t>계획</t>
    <phoneticPr fontId="36" type="noConversion"/>
  </si>
  <si>
    <t>실적</t>
    <phoneticPr fontId="36" type="noConversion"/>
  </si>
  <si>
    <t>구성비</t>
    <phoneticPr fontId="36" type="noConversion"/>
  </si>
  <si>
    <t>산 업 용</t>
    <phoneticPr fontId="36" type="noConversion"/>
  </si>
  <si>
    <t>수 송 용</t>
    <phoneticPr fontId="36" type="noConversion"/>
  </si>
  <si>
    <t>판매량</t>
    <phoneticPr fontId="36" type="noConversion"/>
  </si>
  <si>
    <t>구성비</t>
    <phoneticPr fontId="36" type="noConversion"/>
  </si>
  <si>
    <t>판매금액</t>
    <phoneticPr fontId="36" type="noConversion"/>
  </si>
  <si>
    <t>판매금액 구성비</t>
    <phoneticPr fontId="36" type="noConversion"/>
  </si>
  <si>
    <t>사용량</t>
    <phoneticPr fontId="36" type="noConversion"/>
  </si>
  <si>
    <t>누 계</t>
    <phoneticPr fontId="36" type="noConversion"/>
  </si>
  <si>
    <t>※ 구성비는 판매량 정산서 기준으로 작성되었으며 한국가스공사 정산시 수송용(BIO)은 제외되고 자가소모분이 추가 됨</t>
    <phoneticPr fontId="36" type="noConversion"/>
  </si>
  <si>
    <t>업무냉방용</t>
    <phoneticPr fontId="36" type="noConversion"/>
  </si>
  <si>
    <t>기 타</t>
    <phoneticPr fontId="36" type="noConversion"/>
  </si>
  <si>
    <t>기 타</t>
    <phoneticPr fontId="36" type="noConversion"/>
  </si>
  <si>
    <t>취사용 변동후</t>
    <phoneticPr fontId="36" type="noConversion"/>
  </si>
  <si>
    <t>※ 기타 : 열병합용, 연료전지, 열전용설비(주택용외), 주한미군</t>
    <phoneticPr fontId="36" type="noConversion"/>
  </si>
  <si>
    <t>전년동월</t>
    <phoneticPr fontId="36" type="noConversion"/>
  </si>
  <si>
    <t>차이</t>
    <phoneticPr fontId="36" type="noConversion"/>
  </si>
  <si>
    <t>총 합 계</t>
    <phoneticPr fontId="142" type="noConversion"/>
  </si>
  <si>
    <t>금 액</t>
    <phoneticPr fontId="36" type="noConversion"/>
  </si>
  <si>
    <t>연료전지</t>
  </si>
  <si>
    <t>주한미군</t>
  </si>
  <si>
    <t>수송용(CNG)</t>
  </si>
  <si>
    <t>수송용(BIO)</t>
  </si>
  <si>
    <t>용도</t>
    <phoneticPr fontId="36" type="noConversion"/>
  </si>
  <si>
    <t>검수</t>
    <phoneticPr fontId="36" type="noConversion"/>
  </si>
  <si>
    <t>합  계</t>
    <phoneticPr fontId="36" type="noConversion"/>
  </si>
  <si>
    <t>용 도
[판매전수]</t>
    <phoneticPr fontId="36" type="noConversion"/>
  </si>
  <si>
    <t>용 도</t>
    <phoneticPr fontId="36" type="noConversion"/>
  </si>
  <si>
    <t>판  매  실  적</t>
    <phoneticPr fontId="36" type="noConversion"/>
  </si>
  <si>
    <t>사업계획</t>
    <phoneticPr fontId="36" type="noConversion"/>
  </si>
  <si>
    <t>대비(%)</t>
    <phoneticPr fontId="36" type="noConversion"/>
  </si>
  <si>
    <t>차이</t>
    <phoneticPr fontId="142" type="noConversion"/>
  </si>
  <si>
    <t>판  매  금  액</t>
    <phoneticPr fontId="36" type="noConversion"/>
  </si>
  <si>
    <t>금액</t>
    <phoneticPr fontId="36" type="noConversion"/>
  </si>
  <si>
    <t>누 계</t>
    <phoneticPr fontId="36" type="noConversion"/>
  </si>
  <si>
    <t>개별난방용</t>
    <phoneticPr fontId="36" type="noConversion"/>
  </si>
  <si>
    <t>자가열전용</t>
    <phoneticPr fontId="36" type="noConversion"/>
  </si>
  <si>
    <t>열전용설비용</t>
    <phoneticPr fontId="36" type="noConversion"/>
  </si>
  <si>
    <t>개 별
난방용</t>
    <phoneticPr fontId="35" type="noConversion"/>
  </si>
  <si>
    <t>주  택  용</t>
    <phoneticPr fontId="35" type="noConversion"/>
  </si>
  <si>
    <t>업
무
용</t>
    <phoneticPr fontId="35" type="noConversion"/>
  </si>
  <si>
    <t>연료전지용</t>
    <phoneticPr fontId="35" type="noConversion"/>
  </si>
  <si>
    <t>앞으로 없음. 다 없앰. 관리비가 더 많이 들어서?</t>
    <phoneticPr fontId="36" type="noConversion"/>
  </si>
  <si>
    <t>총계와 같아야됨</t>
    <phoneticPr fontId="36" type="noConversion"/>
  </si>
  <si>
    <t>1~3번 보일러 합계</t>
    <phoneticPr fontId="36" type="noConversion"/>
  </si>
  <si>
    <t>업무난방용 변동후</t>
    <phoneticPr fontId="36" type="noConversion"/>
  </si>
  <si>
    <t>일 반 용</t>
    <phoneticPr fontId="36" type="noConversion"/>
  </si>
  <si>
    <t>열병합용</t>
  </si>
  <si>
    <t>상품</t>
    <phoneticPr fontId="142" type="noConversion"/>
  </si>
  <si>
    <t>공급전수</t>
    <phoneticPr fontId="142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</si>
  <si>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</si>
  <si>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</si>
  <si>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</si>
  <si>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</si>
  <si>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</si>
  <si>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</si>
  <si>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</si>
  <si>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</si>
  <si>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2" type="noConversion"/>
  </si>
  <si>
    <t>열병합용</t>
    <phoneticPr fontId="33" type="noConversion"/>
  </si>
  <si>
    <t>연료전지용</t>
    <phoneticPr fontId="33" type="noConversion"/>
  </si>
  <si>
    <t>열전용설비용</t>
    <phoneticPr fontId="33" type="noConversion"/>
  </si>
  <si>
    <t>자가소모량 확인대장</t>
    <phoneticPr fontId="36" type="noConversion"/>
  </si>
  <si>
    <t>본사 취사용</t>
    <phoneticPr fontId="36" type="noConversion"/>
  </si>
  <si>
    <t>퍼지량 계</t>
    <phoneticPr fontId="36" type="noConversion"/>
  </si>
  <si>
    <t>개별난방용</t>
    <phoneticPr fontId="33" type="noConversion"/>
  </si>
  <si>
    <t>중앙난방용</t>
    <phoneticPr fontId="33" type="noConversion"/>
  </si>
  <si>
    <t>자가열전용</t>
    <phoneticPr fontId="33" type="noConversion"/>
  </si>
  <si>
    <t>중앙난방용</t>
    <phoneticPr fontId="33" type="noConversion"/>
  </si>
  <si>
    <t>영세율(계량기/보정기)관리비</t>
    <phoneticPr fontId="36" type="noConversion"/>
  </si>
  <si>
    <t>전월누계(1~11월)</t>
    <phoneticPr fontId="36" type="noConversion"/>
  </si>
  <si>
    <t>업
무
용</t>
    <phoneticPr fontId="36" type="noConversion"/>
  </si>
  <si>
    <t>계획</t>
    <phoneticPr fontId="36" type="noConversion"/>
  </si>
  <si>
    <t>실적</t>
    <phoneticPr fontId="36" type="noConversion"/>
  </si>
  <si>
    <t>누계</t>
    <phoneticPr fontId="36" type="noConversion"/>
  </si>
  <si>
    <t>당월</t>
    <phoneticPr fontId="36" type="noConversion"/>
  </si>
  <si>
    <t>당월</t>
    <phoneticPr fontId="36" type="noConversion"/>
  </si>
  <si>
    <t>업무냉난방용</t>
    <phoneticPr fontId="36" type="noConversion"/>
  </si>
  <si>
    <t>구 분</t>
  </si>
  <si>
    <t>계획</t>
  </si>
  <si>
    <t>실적</t>
  </si>
  <si>
    <t>실적대비</t>
    <phoneticPr fontId="142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</si>
  <si>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</si>
  <si>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</si>
  <si>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</si>
  <si>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</si>
  <si>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</si>
  <si>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</si>
  <si>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</si>
  <si>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6" type="noConversion"/>
  </si>
  <si>
    <t>정산관리=&gt;청구할인정산관리=&gt;정산년월:마감월, 원가정산항목:사회적복지할인</t>
    <phoneticPr fontId="36" type="noConversion"/>
  </si>
  <si>
    <t>개별난방용 변동전</t>
    <phoneticPr fontId="36" type="noConversion"/>
  </si>
  <si>
    <t>수송용(CNG)</t>
    <phoneticPr fontId="36" type="noConversion"/>
  </si>
  <si>
    <t>수
송
용</t>
    <phoneticPr fontId="36" type="noConversion"/>
  </si>
  <si>
    <t>미
군</t>
    <phoneticPr fontId="36" type="noConversion"/>
  </si>
  <si>
    <t>주한미군</t>
    <phoneticPr fontId="36" type="noConversion"/>
  </si>
  <si>
    <t>상품별 건수 (전산요청, 파일입력 후 =&gt; 판매량월별추이 상품별 전수 입력할 것)</t>
    <phoneticPr fontId="36" type="noConversion"/>
  </si>
  <si>
    <t>[계획대비]</t>
    <phoneticPr fontId="36" type="noConversion"/>
  </si>
  <si>
    <t>[입력할것]</t>
    <phoneticPr fontId="36" type="noConversion"/>
  </si>
  <si>
    <t>냉난방용+서부지사+수성안전팀</t>
    <phoneticPr fontId="36" type="noConversion"/>
  </si>
  <si>
    <t>사회적배려 할인액</t>
    <phoneticPr fontId="36" type="noConversion"/>
  </si>
  <si>
    <t>취사용 변동전</t>
    <phoneticPr fontId="36" type="noConversion"/>
  </si>
  <si>
    <t>기    타</t>
    <phoneticPr fontId="36" type="noConversion"/>
  </si>
  <si>
    <t>공급가액</t>
    <phoneticPr fontId="36" type="noConversion"/>
  </si>
  <si>
    <t>부가세</t>
    <phoneticPr fontId="36" type="noConversion"/>
  </si>
  <si>
    <t>합계</t>
    <phoneticPr fontId="36" type="noConversion"/>
  </si>
  <si>
    <t>매출액표 소계의 합</t>
    <phoneticPr fontId="36" type="noConversion"/>
  </si>
  <si>
    <t>합계검증</t>
    <phoneticPr fontId="36" type="noConversion"/>
  </si>
  <si>
    <t>합계(매출액,절사액제외)</t>
    <phoneticPr fontId="36" type="noConversion"/>
  </si>
  <si>
    <t>수송용(BIO)</t>
    <phoneticPr fontId="36" type="noConversion"/>
  </si>
  <si>
    <t>구분</t>
    <phoneticPr fontId="36" type="noConversion"/>
  </si>
  <si>
    <t>열병합용 변동후</t>
    <phoneticPr fontId="36" type="noConversion"/>
  </si>
  <si>
    <t>연료전지 변동후</t>
    <phoneticPr fontId="36" type="noConversion"/>
  </si>
  <si>
    <t>연료전지 변동전</t>
    <phoneticPr fontId="36" type="noConversion"/>
  </si>
  <si>
    <t>열병합용 변동전</t>
    <phoneticPr fontId="36" type="noConversion"/>
  </si>
  <si>
    <t>업무난방용 변동전</t>
    <phoneticPr fontId="36" type="noConversion"/>
  </si>
  <si>
    <t>냉방용</t>
    <phoneticPr fontId="33" type="noConversion"/>
  </si>
  <si>
    <t>일반용</t>
    <phoneticPr fontId="33" type="noConversion"/>
  </si>
  <si>
    <t>냉방용</t>
  </si>
  <si>
    <t>소계</t>
    <phoneticPr fontId="36" type="noConversion"/>
  </si>
  <si>
    <t xml:space="preserve">          </t>
    <phoneticPr fontId="36" type="noConversion"/>
  </si>
  <si>
    <t>산업용</t>
    <phoneticPr fontId="33" type="noConversion"/>
  </si>
  <si>
    <t>수송용(CNG)</t>
    <phoneticPr fontId="33" type="noConversion"/>
  </si>
  <si>
    <t>수송용(BIO)</t>
    <phoneticPr fontId="33" type="noConversion"/>
  </si>
  <si>
    <t>누           계</t>
  </si>
  <si>
    <t>합계</t>
    <phoneticPr fontId="33" type="noConversion"/>
  </si>
  <si>
    <t>구분</t>
    <phoneticPr fontId="36" type="noConversion"/>
  </si>
  <si>
    <t>구성비</t>
    <phoneticPr fontId="36" type="noConversion"/>
  </si>
  <si>
    <t>당월</t>
    <phoneticPr fontId="36" type="noConversion"/>
  </si>
  <si>
    <t>누계</t>
    <phoneticPr fontId="36" type="noConversion"/>
  </si>
  <si>
    <t>당월</t>
    <phoneticPr fontId="33" type="noConversion"/>
  </si>
  <si>
    <t>누계</t>
    <phoneticPr fontId="33" type="noConversion"/>
  </si>
  <si>
    <t>판매금액(누계)</t>
    <phoneticPr fontId="36" type="noConversion"/>
  </si>
  <si>
    <t>판매량(누계)</t>
    <phoneticPr fontId="36" type="noConversion"/>
  </si>
  <si>
    <t>(누계-집계용도)</t>
    <phoneticPr fontId="33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</si>
  <si>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6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</si>
  <si>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6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</si>
  <si>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3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</si>
  <si>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6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</si>
  <si>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3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</si>
  <si>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3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</si>
  <si>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3" type="noConversion"/>
  </si>
  <si>
    <t>업  무
난방용</t>
    <phoneticPr fontId="35" type="noConversion"/>
  </si>
  <si>
    <t>소  계</t>
    <phoneticPr fontId="35" type="noConversion"/>
  </si>
  <si>
    <t>합  계</t>
    <phoneticPr fontId="35" type="noConversion"/>
  </si>
  <si>
    <t>전년누계</t>
    <phoneticPr fontId="33" type="noConversion"/>
  </si>
  <si>
    <t>전월기준 누계값으로 작성</t>
    <phoneticPr fontId="36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</si>
  <si>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</si>
  <si>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</si>
  <si>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</si>
  <si>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</si>
  <si>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</si>
  <si>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</si>
  <si>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</si>
  <si>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</si>
  <si>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</si>
  <si>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</si>
  <si>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</si>
  <si>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</si>
  <si>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</si>
  <si>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</si>
  <si>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</si>
  <si>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</si>
  <si>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</si>
  <si>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</si>
  <si>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</si>
  <si>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</si>
  <si>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</si>
  <si>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</si>
  <si>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</si>
  <si>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</si>
  <si>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</si>
  <si>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</si>
  <si>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</si>
  <si>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</si>
  <si>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</si>
  <si>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</si>
  <si>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</si>
  <si>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</si>
  <si>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</si>
  <si>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</si>
  <si>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</si>
  <si>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</si>
  <si>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</si>
  <si>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</si>
  <si>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</si>
  <si>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</si>
  <si>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</si>
  <si>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</si>
  <si>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</si>
  <si>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</si>
  <si>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</si>
  <si>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</si>
  <si>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</si>
  <si>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</si>
  <si>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</si>
  <si>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</si>
  <si>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</si>
  <si>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</si>
  <si>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</si>
  <si>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</si>
  <si>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</si>
  <si>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</si>
  <si>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</si>
  <si>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6" type="noConversion"/>
  </si>
  <si>
    <t>서비스</t>
    <phoneticPr fontId="36" type="noConversion"/>
  </si>
  <si>
    <t>정상매출</t>
    <phoneticPr fontId="36" type="noConversion"/>
  </si>
  <si>
    <t>변동 후 단가</t>
    <phoneticPr fontId="36" type="noConversion"/>
  </si>
  <si>
    <t>청구년월</t>
  </si>
  <si>
    <t>정상청구액</t>
  </si>
  <si>
    <t>할인액</t>
  </si>
  <si>
    <t>감면청구액</t>
  </si>
  <si>
    <t>열
병
합
용</t>
    <phoneticPr fontId="36" type="noConversion"/>
  </si>
  <si>
    <t>연
료
전
지</t>
    <phoneticPr fontId="36" type="noConversion"/>
  </si>
  <si>
    <t>일반용(2)(하절기)</t>
    <phoneticPr fontId="36" type="noConversion"/>
  </si>
  <si>
    <t xml:space="preserve">합계 </t>
  </si>
  <si>
    <t>냉난방(기타)</t>
    <phoneticPr fontId="36" type="noConversion"/>
  </si>
  <si>
    <t>산업용(기타)</t>
    <phoneticPr fontId="36" type="noConversion"/>
  </si>
  <si>
    <t>냉난방(기타)</t>
    <phoneticPr fontId="36" type="noConversion"/>
  </si>
  <si>
    <t>냉난방(하절기)</t>
    <phoneticPr fontId="36" type="noConversion"/>
  </si>
  <si>
    <t>단가변동갯수</t>
    <phoneticPr fontId="36" type="noConversion"/>
  </si>
  <si>
    <t>일반용(2)(동절기)</t>
    <phoneticPr fontId="36" type="noConversion"/>
  </si>
  <si>
    <t>산업용(동절기)</t>
    <phoneticPr fontId="36" type="noConversion"/>
  </si>
  <si>
    <t>열병합용(동절기)</t>
    <phoneticPr fontId="36" type="noConversion"/>
  </si>
  <si>
    <t>연료전지(동절기)</t>
    <phoneticPr fontId="36" type="noConversion"/>
  </si>
  <si>
    <t>일 반 용</t>
    <phoneticPr fontId="35" type="noConversion"/>
  </si>
  <si>
    <t>냉난방(동절기)</t>
    <phoneticPr fontId="36" type="noConversion"/>
  </si>
  <si>
    <t>2. 2024년 판매금액 현황</t>
    <phoneticPr fontId="33" type="noConversion"/>
  </si>
  <si>
    <t>- 다   음 -</t>
    <phoneticPr fontId="36" type="noConversion"/>
  </si>
  <si>
    <t>2. 매출현황</t>
    <phoneticPr fontId="36" type="noConversion"/>
  </si>
  <si>
    <t>계획대비</t>
    <phoneticPr fontId="142" type="noConversion"/>
  </si>
  <si>
    <t>전년대비</t>
    <phoneticPr fontId="36" type="noConversion"/>
  </si>
  <si>
    <t>전월대비</t>
    <phoneticPr fontId="36" type="noConversion"/>
  </si>
  <si>
    <t>[GJ]</t>
    <phoneticPr fontId="36" type="noConversion"/>
  </si>
  <si>
    <t xml:space="preserve">별    첨 :  1. 매출현황 </t>
    <phoneticPr fontId="36" type="noConversion"/>
  </si>
  <si>
    <t xml:space="preserve">             2. 매출액 집계표</t>
    <phoneticPr fontId="36" type="noConversion"/>
  </si>
  <si>
    <t xml:space="preserve">             3. 매출 증빙자료 각 1부.  끝.</t>
    <phoneticPr fontId="36" type="noConversion"/>
  </si>
  <si>
    <t>3. 상세현황: 별첨 참조</t>
    <phoneticPr fontId="36" type="noConversion"/>
  </si>
  <si>
    <t>바이오가스</t>
  </si>
  <si>
    <t>천연가스</t>
    <phoneticPr fontId="36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</si>
  <si>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6" type="noConversion"/>
  </si>
  <si>
    <t>[이미지 830*523]</t>
    <phoneticPr fontId="36" type="noConversion"/>
  </si>
  <si>
    <t xml:space="preserve"> </t>
    <phoneticPr fontId="36" type="noConversion"/>
  </si>
  <si>
    <t>산업용(기타)</t>
  </si>
  <si>
    <t>열병합용(기타)</t>
  </si>
  <si>
    <t>연료전지(기타)</t>
  </si>
  <si>
    <t>(단위:천MJ)</t>
    <phoneticPr fontId="36" type="noConversion"/>
  </si>
  <si>
    <t>(단위:백만원)</t>
    <phoneticPr fontId="36" type="noConversion"/>
  </si>
  <si>
    <t>주 택 용</t>
    <phoneticPr fontId="36" type="noConversion"/>
  </si>
  <si>
    <t>주
택
용</t>
    <phoneticPr fontId="36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</si>
  <si>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</si>
  <si>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</si>
  <si>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</si>
  <si>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</si>
  <si>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</si>
  <si>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6" type="noConversion"/>
  </si>
  <si>
    <t>열병합용(기타)</t>
    <phoneticPr fontId="36" type="noConversion"/>
  </si>
  <si>
    <t>열병합용(하절기)</t>
    <phoneticPr fontId="36" type="noConversion"/>
  </si>
  <si>
    <t>연료전지(하절기)</t>
    <phoneticPr fontId="36" type="noConversion"/>
  </si>
  <si>
    <t>연료전지(기타)</t>
    <phoneticPr fontId="36" type="noConversion"/>
  </si>
  <si>
    <t>계</t>
    <phoneticPr fontId="36" type="noConversion"/>
  </si>
  <si>
    <t>열병합용1</t>
    <phoneticPr fontId="36" type="noConversion"/>
  </si>
  <si>
    <t>냉난방용</t>
    <phoneticPr fontId="36" type="noConversion"/>
  </si>
  <si>
    <t>일반용</t>
    <phoneticPr fontId="36" type="noConversion"/>
  </si>
  <si>
    <t>총무결재본</t>
    <phoneticPr fontId="36" type="noConversion"/>
  </si>
  <si>
    <t>취사난방용(취사)변동전</t>
    <phoneticPr fontId="36" type="noConversion"/>
  </si>
  <si>
    <t>취사난방용(취사)변동후</t>
    <phoneticPr fontId="36" type="noConversion"/>
  </si>
  <si>
    <t>취사난방용(난방)변동전</t>
    <phoneticPr fontId="36" type="noConversion"/>
  </si>
  <si>
    <t>취사난방용(난방)변동후</t>
    <phoneticPr fontId="36" type="noConversion"/>
  </si>
  <si>
    <t>주 택 용</t>
  </si>
  <si>
    <t>산업용</t>
    <phoneticPr fontId="36" type="noConversion"/>
  </si>
  <si>
    <t>열전</t>
    <phoneticPr fontId="36" type="noConversion"/>
  </si>
  <si>
    <t>`</t>
    <phoneticPr fontId="36" type="noConversion"/>
  </si>
  <si>
    <t>중앙난방용(중앙난방)</t>
    <phoneticPr fontId="36" type="noConversion"/>
  </si>
  <si>
    <t>냉난방용(주택)(중앙난방)</t>
    <phoneticPr fontId="36" type="noConversion"/>
  </si>
  <si>
    <t>산업용 변동전</t>
    <phoneticPr fontId="36" type="noConversion"/>
  </si>
  <si>
    <t>산업용 변동후</t>
    <phoneticPr fontId="36" type="noConversion"/>
  </si>
  <si>
    <t>일반용(1) 변동전</t>
    <phoneticPr fontId="36" type="noConversion"/>
  </si>
  <si>
    <t>일반용(2)</t>
    <phoneticPr fontId="36" type="noConversion"/>
  </si>
  <si>
    <t>일 반용</t>
    <phoneticPr fontId="36" type="noConversion"/>
  </si>
  <si>
    <t>1. 2025년 판매량 현황</t>
    <phoneticPr fontId="33" type="noConversion"/>
  </si>
  <si>
    <t>산  업  용</t>
    <phoneticPr fontId="36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</si>
  <si>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6" type="noConversion"/>
  </si>
  <si>
    <t>구     분</t>
  </si>
  <si>
    <t>판 매 량</t>
  </si>
  <si>
    <t>개별소비세</t>
  </si>
  <si>
    <t>차상위할인</t>
    <phoneticPr fontId="36" type="noConversion"/>
  </si>
  <si>
    <t>다자녀할인</t>
    <phoneticPr fontId="36" type="noConversion"/>
  </si>
  <si>
    <t>판 매 량 계</t>
  </si>
  <si>
    <t>구성비</t>
  </si>
  <si>
    <t>(MJ)</t>
    <phoneticPr fontId="36" type="noConversion"/>
  </si>
  <si>
    <t>(%)</t>
  </si>
  <si>
    <t>주택용</t>
    <phoneticPr fontId="36" type="noConversion"/>
  </si>
  <si>
    <t>※ 판매량+(개별소비세+사회복지+사회적배려+차상위할인)=매출액표 수량합계(자가소모포함되어있으므로 제외됨)</t>
    <phoneticPr fontId="36" type="noConversion"/>
  </si>
  <si>
    <t>중앙난방용</t>
    <phoneticPr fontId="36" type="noConversion"/>
  </si>
  <si>
    <t>※ 업무난방과 냉방용은 구별요(5월~9월 냉방용적용)</t>
    <phoneticPr fontId="36" type="noConversion"/>
  </si>
  <si>
    <t>※ 매출내역서의 자가소모를 확인한다</t>
    <phoneticPr fontId="36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</si>
  <si>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</si>
  <si>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6" type="noConversion"/>
  </si>
  <si>
    <t xml:space="preserve"> 일반용1</t>
    <phoneticPr fontId="36" type="noConversion"/>
  </si>
  <si>
    <t>일반용2</t>
    <phoneticPr fontId="36" type="noConversion"/>
  </si>
  <si>
    <t>냉난방공조용</t>
    <phoneticPr fontId="36" type="noConversion"/>
  </si>
  <si>
    <t>수  송  용</t>
    <phoneticPr fontId="36" type="noConversion"/>
  </si>
  <si>
    <t>열 병 합 용</t>
    <phoneticPr fontId="36" type="noConversion"/>
  </si>
  <si>
    <t>연료전지용</t>
    <phoneticPr fontId="36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</si>
  <si>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</si>
  <si>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6" type="noConversion"/>
  </si>
  <si>
    <t>판매열량(MJ)</t>
    <phoneticPr fontId="36" type="noConversion"/>
  </si>
  <si>
    <t>냉방물량(9월)</t>
    <phoneticPr fontId="36" type="noConversion"/>
  </si>
  <si>
    <t>※ 관리납기와 일반납기의판매량전산실의뢰 (일반납기 청구작업이후)</t>
    <phoneticPr fontId="36" type="noConversion"/>
  </si>
  <si>
    <t>(월초)</t>
    <phoneticPr fontId="36" type="noConversion"/>
  </si>
  <si>
    <t>관리납기(변동)</t>
    <phoneticPr fontId="36" type="noConversion"/>
  </si>
  <si>
    <t xml:space="preserve">   - 9월판매실적 작성을 위한 냉방용 상품에대한 변동검침사용량 자료 요청</t>
    <phoneticPr fontId="36" type="noConversion"/>
  </si>
  <si>
    <t>(청구일)</t>
    <phoneticPr fontId="36" type="noConversion"/>
  </si>
  <si>
    <t>일반납기(일수)</t>
    <phoneticPr fontId="36" type="noConversion"/>
  </si>
  <si>
    <t>※ 계절이 바뀌는 4월(기타)↔5월(하절기) 냉방집계 조정</t>
    <phoneticPr fontId="36" type="noConversion"/>
  </si>
  <si>
    <t>- 시기: 2022년 4월 매출분부터</t>
    <phoneticPr fontId="36" type="noConversion"/>
  </si>
  <si>
    <t>- 사유: 기존 9월, 10월만 물량조정했으나 가스공사 이의제기로 4월, 5월도 시행하게 됨</t>
    <phoneticPr fontId="36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</si>
  <si>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6" type="noConversion"/>
  </si>
  <si>
    <t>※ 9월 판매량에 냉방용을 추가청구하여  10월 판매량에서 차감함</t>
    <phoneticPr fontId="36" type="noConversion"/>
  </si>
  <si>
    <t>※ 매출건</t>
    <phoneticPr fontId="36" type="noConversion"/>
  </si>
  <si>
    <t xml:space="preserve">   - 9월매출은일반납기의 경우 (8/1~8 부터9/1~8사용량)이므로 9월사용분(10월 청구분) 포함</t>
    <phoneticPr fontId="36" type="noConversion"/>
  </si>
  <si>
    <t xml:space="preserve">   - 관리납기는 (8/16~9/16)까지이나 관리납기는 10월에 변동검침을 했으므로, 9/16~10초까지 변동검침 물량 포함</t>
    <phoneticPr fontId="36" type="noConversion"/>
  </si>
  <si>
    <t>※ 사 유 : 냉난방의 경우 10월 하절기ㅡ&gt; 기타 단가로 변동됨에 따라 도매요금인상이 많이 이루어지므로 보전차원에서 9월 정산</t>
    <phoneticPr fontId="33" type="noConversion"/>
  </si>
  <si>
    <t xml:space="preserve">           [5월의 경우 (기타 ㅡ&gt; 하절기 단가 변동)는 회사 손해가 없으므로 물량정산 안함.]</t>
    <phoneticPr fontId="36" type="noConversion"/>
  </si>
  <si>
    <t>※ 9월 냉방용집계확인 할 것</t>
    <phoneticPr fontId="33" type="noConversion"/>
  </si>
  <si>
    <t xml:space="preserve">   - 냉방용 (+), 10월매출(-) 변동검침확인할 것</t>
    <phoneticPr fontId="33" type="noConversion"/>
  </si>
  <si>
    <t xml:space="preserve">   - 10/14청구작업후 자료요청할것</t>
    <phoneticPr fontId="33" type="noConversion"/>
  </si>
  <si>
    <t>작업순서</t>
    <phoneticPr fontId="36" type="noConversion"/>
  </si>
  <si>
    <t>1. 월매출 작업 기존대로 작성하여 메일 전송</t>
    <phoneticPr fontId="36" type="noConversion"/>
  </si>
  <si>
    <t>2. 10월 청구작업 후 전산에 자료 요청하여 가스공사용 시트에 입력</t>
    <phoneticPr fontId="36" type="noConversion"/>
  </si>
  <si>
    <t>3. 가스공사 공문 발송 및 재무팀 자료 재전달</t>
    <phoneticPr fontId="36" type="noConversion"/>
  </si>
  <si>
    <t>세너지 (1번 ~ 3번발전기) 계-보일러합계</t>
    <phoneticPr fontId="36" type="noConversion"/>
  </si>
  <si>
    <t>왼쪽 자동 계산 됨</t>
    <phoneticPr fontId="36" type="noConversion"/>
  </si>
  <si>
    <t xml:space="preserve">빌링관리-청구관리-청구작업관리-청구작업지원-청구서 출력현황(배송방법별)=&gt;합계(우편+등기) </t>
    <phoneticPr fontId="36" type="noConversion"/>
  </si>
  <si>
    <t>1번 )전월기준 누계값으로 작성</t>
    <phoneticPr fontId="36" type="noConversion"/>
  </si>
  <si>
    <t xml:space="preserve"> (사회복지 할인만 조회)</t>
    <phoneticPr fontId="36" type="noConversion"/>
  </si>
  <si>
    <t>(샘플참고)</t>
    <phoneticPr fontId="36" type="noConversion"/>
  </si>
  <si>
    <t>냉난방용(업무)(하절기)변동전</t>
    <phoneticPr fontId="36" type="noConversion"/>
  </si>
  <si>
    <t>냉난방용(업무)(하절기)변동후</t>
    <phoneticPr fontId="36" type="noConversion"/>
  </si>
  <si>
    <t>냉난방용(주택)(하절기)변동전</t>
    <phoneticPr fontId="36" type="noConversion"/>
  </si>
  <si>
    <t>냉난방용(주택)(하절기)변동후</t>
    <phoneticPr fontId="36" type="noConversion"/>
  </si>
  <si>
    <t>판매열량</t>
  </si>
  <si>
    <t>2025년 7월 매출현황</t>
    <phoneticPr fontId="33" type="noConversion"/>
  </si>
  <si>
    <t>2025년 사업계획서 normal기준작성</t>
    <phoneticPr fontId="36" type="noConversion"/>
  </si>
  <si>
    <t>7월</t>
    <phoneticPr fontId="36" type="noConversion"/>
  </si>
  <si>
    <t>경산지사(업무난방--&gt;냉난방용으로 상품변경)</t>
    <phoneticPr fontId="36" type="noConversion"/>
  </si>
  <si>
    <t>일반용(1)</t>
    <phoneticPr fontId="36" type="noConversion"/>
  </si>
  <si>
    <t xml:space="preserve">25년 7월 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</si>
</sst>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11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u/>
      <sz val="9"/>
      <color rgb="FFFF0000"/>
      <name val="굴림체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0000FF"/>
      <name val="돋움"/>
      <family val="3"/>
      <charset val="129"/>
    </font>
    <font>
      <b/>
      <sz val="9"/>
      <color rgb="FF0000FF"/>
      <name val="굴림체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41">
    <xf numFmtId="0" fontId="0" fillId="0" borderId="0"/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3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5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7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6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2" fillId="4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6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0" fontId="103" fillId="3" borderId="0" applyNumberFormat="0" applyBorder="0" applyAlignment="0" applyProtection="0">
      <alignment vertical="center"/>
    </xf>
    <xf numFmtId="178" fontId="34" fillId="0" borderId="0" applyFont="0" applyFill="0" applyBorder="0" applyAlignment="0" applyProtection="0"/>
    <xf numFmtId="179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181" fontId="34" fillId="0" borderId="0" applyFont="0" applyFill="0" applyBorder="0" applyAlignment="0" applyProtection="0"/>
    <xf numFmtId="0" fontId="34" fillId="0" borderId="0"/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0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5" fillId="14" borderId="88" applyNumberFormat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60" fillId="22" borderId="89" applyNumberFormat="0" applyFont="0" applyAlignment="0" applyProtection="0">
      <alignment vertical="center"/>
    </xf>
    <xf numFmtId="0" fontId="66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72" fillId="22" borderId="89" applyNumberFormat="0" applyFont="0" applyAlignment="0" applyProtection="0">
      <alignment vertical="center"/>
    </xf>
    <xf numFmtId="0" fontId="78" fillId="22" borderId="89" applyNumberFormat="0" applyFont="0" applyAlignment="0" applyProtection="0">
      <alignment vertical="center"/>
    </xf>
    <xf numFmtId="0" fontId="84" fillId="22" borderId="89" applyNumberFormat="0" applyFont="0" applyAlignment="0" applyProtection="0">
      <alignment vertical="center"/>
    </xf>
    <xf numFmtId="0" fontId="90" fillId="22" borderId="89" applyNumberFormat="0" applyFont="0" applyAlignment="0" applyProtection="0">
      <alignment vertical="center"/>
    </xf>
    <xf numFmtId="0" fontId="96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0" fontId="109" fillId="24" borderId="90" applyNumberFormat="0" applyAlignment="0" applyProtection="0">
      <alignment vertical="center"/>
    </xf>
    <xf numFmtId="41" fontId="37" fillId="0" borderId="0" applyFont="0" applyFill="0" applyBorder="0" applyAlignment="0" applyProtection="0"/>
    <xf numFmtId="41" fontId="55" fillId="0" borderId="0" applyFont="0" applyFill="0" applyBorder="0" applyAlignment="0" applyProtection="0">
      <alignment vertical="center"/>
    </xf>
    <xf numFmtId="41" fontId="84" fillId="0" borderId="0" applyFont="0" applyFill="0" applyBorder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7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73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5" fillId="0" borderId="1" applyNumberFormat="0" applyFill="0" applyAlignment="0" applyProtection="0">
      <alignment vertical="center"/>
    </xf>
    <xf numFmtId="0" fontId="91" fillId="0" borderId="1" applyNumberFormat="0" applyFill="0" applyAlignment="0" applyProtection="0">
      <alignment vertical="center"/>
    </xf>
    <xf numFmtId="0" fontId="97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0" fillId="0" borderId="2" applyNumberFormat="0" applyFill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111" fillId="7" borderId="88" applyNumberFormat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8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80" fillId="0" borderId="3" applyNumberFormat="0" applyFill="0" applyAlignment="0" applyProtection="0">
      <alignment vertical="center"/>
    </xf>
    <xf numFmtId="0" fontId="86" fillId="0" borderId="3" applyNumberFormat="0" applyFill="0" applyAlignment="0" applyProtection="0">
      <alignment vertical="center"/>
    </xf>
    <xf numFmtId="0" fontId="92" fillId="0" borderId="3" applyNumberFormat="0" applyFill="0" applyAlignment="0" applyProtection="0">
      <alignment vertical="center"/>
    </xf>
    <xf numFmtId="0" fontId="98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9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75" fillId="0" borderId="4" applyNumberFormat="0" applyFill="0" applyAlignment="0" applyProtection="0">
      <alignment vertical="center"/>
    </xf>
    <xf numFmtId="0" fontId="81" fillId="0" borderId="4" applyNumberFormat="0" applyFill="0" applyAlignment="0" applyProtection="0">
      <alignment vertical="center"/>
    </xf>
    <xf numFmtId="0" fontId="87" fillId="0" borderId="4" applyNumberFormat="0" applyFill="0" applyAlignment="0" applyProtection="0">
      <alignment vertical="center"/>
    </xf>
    <xf numFmtId="0" fontId="93" fillId="0" borderId="4" applyNumberFormat="0" applyFill="0" applyAlignment="0" applyProtection="0">
      <alignment vertical="center"/>
    </xf>
    <xf numFmtId="0" fontId="99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82" fillId="0" borderId="5" applyNumberFormat="0" applyFill="0" applyAlignment="0" applyProtection="0">
      <alignment vertical="center"/>
    </xf>
    <xf numFmtId="0" fontId="88" fillId="0" borderId="5" applyNumberFormat="0" applyFill="0" applyAlignment="0" applyProtection="0">
      <alignment vertical="center"/>
    </xf>
    <xf numFmtId="0" fontId="94" fillId="0" borderId="5" applyNumberFormat="0" applyFill="0" applyAlignment="0" applyProtection="0">
      <alignment vertical="center"/>
    </xf>
    <xf numFmtId="0" fontId="100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13" fillId="14" borderId="91" applyNumberFormat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37" fillId="0" borderId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111" applyNumberFormat="0" applyFill="0" applyAlignment="0" applyProtection="0">
      <alignment vertical="center"/>
    </xf>
    <xf numFmtId="0" fontId="124" fillId="0" borderId="112" applyNumberFormat="0" applyFill="0" applyAlignment="0" applyProtection="0">
      <alignment vertical="center"/>
    </xf>
    <xf numFmtId="0" fontId="125" fillId="0" borderId="113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26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9" fillId="28" borderId="88" applyNumberFormat="0" applyAlignment="0" applyProtection="0">
      <alignment vertical="center"/>
    </xf>
    <xf numFmtId="0" fontId="130" fillId="29" borderId="91" applyNumberFormat="0" applyAlignment="0" applyProtection="0">
      <alignment vertical="center"/>
    </xf>
    <xf numFmtId="0" fontId="131" fillId="29" borderId="88" applyNumberFormat="0" applyAlignment="0" applyProtection="0">
      <alignment vertical="center"/>
    </xf>
    <xf numFmtId="0" fontId="132" fillId="0" borderId="114" applyNumberFormat="0" applyFill="0" applyAlignment="0" applyProtection="0">
      <alignment vertical="center"/>
    </xf>
    <xf numFmtId="0" fontId="133" fillId="24" borderId="90" applyNumberFormat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115" applyNumberFormat="0" applyFill="0" applyAlignment="0" applyProtection="0">
      <alignment vertical="center"/>
    </xf>
    <xf numFmtId="0" fontId="137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37" fillId="33" borderId="0" applyNumberFormat="0" applyBorder="0" applyAlignment="0" applyProtection="0">
      <alignment vertical="center"/>
    </xf>
    <xf numFmtId="0" fontId="137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37" fillId="36" borderId="0" applyNumberFormat="0" applyBorder="0" applyAlignment="0" applyProtection="0">
      <alignment vertical="center"/>
    </xf>
    <xf numFmtId="0" fontId="137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137" fillId="40" borderId="0" applyNumberFormat="0" applyBorder="0" applyAlignment="0" applyProtection="0">
      <alignment vertical="center"/>
    </xf>
    <xf numFmtId="0" fontId="137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137" fillId="44" borderId="0" applyNumberFormat="0" applyBorder="0" applyAlignment="0" applyProtection="0">
      <alignment vertical="center"/>
    </xf>
    <xf numFmtId="0" fontId="137" fillId="21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137" fillId="46" borderId="0" applyNumberFormat="0" applyBorder="0" applyAlignment="0" applyProtection="0">
      <alignment vertical="center"/>
    </xf>
    <xf numFmtId="0" fontId="137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2" borderId="89" applyNumberFormat="0" applyFont="0" applyAlignment="0" applyProtection="0">
      <alignment vertical="center"/>
    </xf>
    <xf numFmtId="0" fontId="31" fillId="0" borderId="0">
      <alignment vertical="center"/>
    </xf>
    <xf numFmtId="0" fontId="31" fillId="22" borderId="89" applyNumberFormat="0" applyFont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158" fillId="0" borderId="0">
      <alignment vertical="center"/>
    </xf>
    <xf numFmtId="41" fontId="158" fillId="0" borderId="0" applyFont="0" applyFill="0" applyBorder="0" applyAlignment="0" applyProtection="0">
      <alignment vertical="center"/>
    </xf>
    <xf numFmtId="9" fontId="15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59" fillId="0" borderId="0" applyNumberFormat="0" applyFill="0" applyBorder="0" applyAlignment="0" applyProtection="0">
      <alignment vertical="center"/>
    </xf>
    <xf numFmtId="0" fontId="27" fillId="22" borderId="89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2" borderId="89" applyNumberFormat="0" applyFont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2" borderId="89" applyNumberFormat="0" applyFont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7" fillId="23" borderId="0" applyNumberFormat="0" applyBorder="0" applyAlignment="0" applyProtection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37" fillId="0" borderId="0"/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0" fontId="55" fillId="22" borderId="89" applyNumberFormat="0" applyFont="0" applyAlignment="0" applyProtection="0">
      <alignment vertical="center"/>
    </xf>
    <xf numFmtId="41" fontId="37" fillId="0" borderId="0" applyFont="0" applyFill="0" applyBorder="0" applyAlignment="0" applyProtection="0"/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3" fillId="0" borderId="3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4" fillId="0" borderId="4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37" fillId="33" borderId="0" applyNumberFormat="0" applyBorder="0" applyAlignment="0" applyProtection="0">
      <alignment vertical="center"/>
    </xf>
    <xf numFmtId="0" fontId="137" fillId="36" borderId="0" applyNumberFormat="0" applyBorder="0" applyAlignment="0" applyProtection="0">
      <alignment vertical="center"/>
    </xf>
    <xf numFmtId="0" fontId="137" fillId="40" borderId="0" applyNumberFormat="0" applyBorder="0" applyAlignment="0" applyProtection="0">
      <alignment vertical="center"/>
    </xf>
    <xf numFmtId="0" fontId="137" fillId="44" borderId="0" applyNumberFormat="0" applyBorder="0" applyAlignment="0" applyProtection="0">
      <alignment vertical="center"/>
    </xf>
    <xf numFmtId="0" fontId="137" fillId="46" borderId="0" applyNumberFormat="0" applyBorder="0" applyAlignment="0" applyProtection="0">
      <alignment vertical="center"/>
    </xf>
    <xf numFmtId="0" fontId="137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41" fontId="158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5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/>
    <xf numFmtId="41" fontId="5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15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62">
    <xf numFmtId="0" fontId="0" fillId="0" borderId="0" xfId="0"/>
    <xf numFmtId="0" fontId="40" fillId="0" borderId="0" xfId="0" applyFont="1"/>
    <xf numFmtId="0" fontId="40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2" fillId="17" borderId="11" xfId="0" applyFont="1" applyFill="1" applyBorder="1" applyAlignment="1">
      <alignment horizontal="center" vertical="center"/>
    </xf>
    <xf numFmtId="176" fontId="40" fillId="0" borderId="0" xfId="0" applyNumberFormat="1" applyFont="1" applyBorder="1" applyAlignment="1">
      <alignment vertical="center"/>
    </xf>
    <xf numFmtId="176" fontId="42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84" fontId="40" fillId="0" borderId="0" xfId="0" applyNumberFormat="1" applyFont="1"/>
    <xf numFmtId="0" fontId="40" fillId="0" borderId="0" xfId="0" applyFont="1" applyBorder="1" applyAlignment="1">
      <alignment vertical="center"/>
    </xf>
    <xf numFmtId="186" fontId="40" fillId="17" borderId="15" xfId="0" applyNumberFormat="1" applyFont="1" applyFill="1" applyBorder="1" applyAlignment="1">
      <alignment horizontal="right" vertical="center"/>
    </xf>
    <xf numFmtId="0" fontId="42" fillId="17" borderId="22" xfId="0" applyFont="1" applyFill="1" applyBorder="1" applyAlignment="1">
      <alignment horizontal="centerContinuous" vertical="center"/>
    </xf>
    <xf numFmtId="0" fontId="42" fillId="17" borderId="16" xfId="0" applyFont="1" applyFill="1" applyBorder="1" applyAlignment="1">
      <alignment horizontal="center" vertical="center"/>
    </xf>
    <xf numFmtId="0" fontId="40" fillId="0" borderId="0" xfId="0" applyFont="1" applyFill="1" applyAlignment="1">
      <alignment vertical="center"/>
    </xf>
    <xf numFmtId="0" fontId="42" fillId="0" borderId="0" xfId="0" applyFont="1" applyFill="1" applyAlignment="1">
      <alignment vertical="center"/>
    </xf>
    <xf numFmtId="176" fontId="42" fillId="0" borderId="0" xfId="0" applyNumberFormat="1" applyFont="1" applyFill="1" applyAlignment="1">
      <alignment vertical="center"/>
    </xf>
    <xf numFmtId="0" fontId="38" fillId="0" borderId="0" xfId="0" applyFont="1" applyBorder="1" applyAlignment="1">
      <alignment vertical="center"/>
    </xf>
    <xf numFmtId="0" fontId="38" fillId="0" borderId="0" xfId="0" applyFont="1" applyBorder="1" applyAlignment="1">
      <alignment horizontal="center" vertical="center"/>
    </xf>
    <xf numFmtId="177" fontId="42" fillId="17" borderId="18" xfId="0" applyNumberFormat="1" applyFont="1" applyFill="1" applyBorder="1" applyAlignment="1">
      <alignment vertical="center"/>
    </xf>
    <xf numFmtId="0" fontId="42" fillId="17" borderId="29" xfId="0" applyFont="1" applyFill="1" applyBorder="1" applyAlignment="1">
      <alignment horizontal="centerContinuous" vertical="center"/>
    </xf>
    <xf numFmtId="176" fontId="42" fillId="0" borderId="0" xfId="0" applyNumberFormat="1" applyFont="1" applyBorder="1" applyAlignment="1">
      <alignment horizontal="center" vertical="center"/>
    </xf>
    <xf numFmtId="176" fontId="42" fillId="0" borderId="0" xfId="0" applyNumberFormat="1" applyFont="1" applyBorder="1" applyAlignment="1">
      <alignment vertical="center"/>
    </xf>
    <xf numFmtId="0" fontId="42" fillId="0" borderId="0" xfId="0" applyFont="1" applyBorder="1" applyAlignment="1">
      <alignment horizontal="center" vertical="center"/>
    </xf>
    <xf numFmtId="0" fontId="48" fillId="0" borderId="0" xfId="0" applyFont="1"/>
    <xf numFmtId="0" fontId="50" fillId="0" borderId="0" xfId="0" applyFont="1"/>
    <xf numFmtId="0" fontId="42" fillId="18" borderId="6" xfId="0" applyFont="1" applyFill="1" applyBorder="1" applyAlignment="1">
      <alignment horizontal="center" vertical="center"/>
    </xf>
    <xf numFmtId="177" fontId="42" fillId="18" borderId="36" xfId="0" applyNumberFormat="1" applyFont="1" applyFill="1" applyBorder="1" applyAlignment="1">
      <alignment vertical="center"/>
    </xf>
    <xf numFmtId="185" fontId="40" fillId="0" borderId="0" xfId="0" applyNumberFormat="1" applyFont="1" applyFill="1" applyAlignment="1">
      <alignment vertical="center"/>
    </xf>
    <xf numFmtId="0" fontId="35" fillId="0" borderId="53" xfId="0" applyFont="1" applyBorder="1"/>
    <xf numFmtId="0" fontId="40" fillId="17" borderId="0" xfId="0" applyFont="1" applyFill="1" applyAlignment="1">
      <alignment vertical="center"/>
    </xf>
    <xf numFmtId="177" fontId="40" fillId="0" borderId="0" xfId="0" applyNumberFormat="1" applyFont="1" applyAlignment="1">
      <alignment vertical="center"/>
    </xf>
    <xf numFmtId="189" fontId="51" fillId="0" borderId="51" xfId="1959" applyNumberFormat="1" applyFont="1" applyBorder="1"/>
    <xf numFmtId="0" fontId="51" fillId="0" borderId="49" xfId="2639" applyFont="1" applyBorder="1" applyAlignment="1">
      <alignment horizontal="center" vertical="center"/>
    </xf>
    <xf numFmtId="0" fontId="51" fillId="0" borderId="47" xfId="0" applyFont="1" applyBorder="1" applyAlignment="1">
      <alignment horizontal="center"/>
    </xf>
    <xf numFmtId="0" fontId="51" fillId="0" borderId="56" xfId="2639" applyFont="1" applyBorder="1" applyAlignment="1">
      <alignment horizontal="center" vertical="center"/>
    </xf>
    <xf numFmtId="0" fontId="51" fillId="0" borderId="53" xfId="0" applyFont="1" applyBorder="1" applyAlignment="1">
      <alignment horizontal="center"/>
    </xf>
    <xf numFmtId="0" fontId="51" fillId="0" borderId="57" xfId="2639" applyFont="1" applyBorder="1" applyAlignment="1">
      <alignment horizontal="center" vertical="center"/>
    </xf>
    <xf numFmtId="0" fontId="39" fillId="0" borderId="0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191" fontId="38" fillId="0" borderId="0" xfId="0" applyNumberFormat="1" applyFont="1" applyFill="1" applyBorder="1" applyAlignment="1">
      <alignment horizontal="center" vertical="center"/>
    </xf>
    <xf numFmtId="191" fontId="38" fillId="0" borderId="0" xfId="0" applyNumberFormat="1" applyFont="1" applyFill="1" applyBorder="1" applyAlignment="1">
      <alignment horizontal="right" vertical="center"/>
    </xf>
    <xf numFmtId="0" fontId="38" fillId="0" borderId="0" xfId="0" applyFont="1" applyFill="1" applyBorder="1" applyAlignment="1">
      <alignment vertical="center" textRotation="255"/>
    </xf>
    <xf numFmtId="177" fontId="42" fillId="17" borderId="39" xfId="0" applyNumberFormat="1" applyFont="1" applyFill="1" applyBorder="1" applyAlignment="1">
      <alignment vertical="center"/>
    </xf>
    <xf numFmtId="176" fontId="42" fillId="0" borderId="59" xfId="0" applyNumberFormat="1" applyFont="1" applyBorder="1" applyAlignment="1">
      <alignment horizontal="right" vertical="center"/>
    </xf>
    <xf numFmtId="186" fontId="42" fillId="17" borderId="14" xfId="0" applyNumberFormat="1" applyFont="1" applyFill="1" applyBorder="1" applyAlignment="1">
      <alignment vertical="center"/>
    </xf>
    <xf numFmtId="177" fontId="42" fillId="17" borderId="21" xfId="0" applyNumberFormat="1" applyFont="1" applyFill="1" applyBorder="1" applyAlignment="1">
      <alignment vertical="center"/>
    </xf>
    <xf numFmtId="0" fontId="42" fillId="17" borderId="26" xfId="0" applyFont="1" applyFill="1" applyBorder="1" applyAlignment="1">
      <alignment horizontal="centerContinuous" vertical="center"/>
    </xf>
    <xf numFmtId="0" fontId="42" fillId="17" borderId="27" xfId="0" applyFont="1" applyFill="1" applyBorder="1" applyAlignment="1">
      <alignment horizontal="centerContinuous" vertical="center"/>
    </xf>
    <xf numFmtId="0" fontId="51" fillId="0" borderId="52" xfId="0" applyFont="1" applyBorder="1" applyAlignment="1">
      <alignment horizontal="center"/>
    </xf>
    <xf numFmtId="189" fontId="51" fillId="0" borderId="61" xfId="1959" applyNumberFormat="1" applyFont="1" applyBorder="1"/>
    <xf numFmtId="176" fontId="42" fillId="0" borderId="0" xfId="0" applyNumberFormat="1" applyFont="1" applyBorder="1" applyAlignment="1">
      <alignment horizontal="right" vertical="center"/>
    </xf>
    <xf numFmtId="177" fontId="42" fillId="17" borderId="63" xfId="0" applyNumberFormat="1" applyFont="1" applyFill="1" applyBorder="1" applyAlignment="1">
      <alignment vertical="center"/>
    </xf>
    <xf numFmtId="177" fontId="42" fillId="17" borderId="64" xfId="0" applyNumberFormat="1" applyFont="1" applyFill="1" applyBorder="1" applyAlignment="1">
      <alignment vertical="center"/>
    </xf>
    <xf numFmtId="186" fontId="42" fillId="17" borderId="33" xfId="0" applyNumberFormat="1" applyFont="1" applyFill="1" applyBorder="1" applyAlignment="1">
      <alignment vertical="center"/>
    </xf>
    <xf numFmtId="3" fontId="57" fillId="0" borderId="0" xfId="0" applyNumberFormat="1" applyFont="1" applyFill="1" applyBorder="1" applyAlignment="1">
      <alignment horizontal="right" vertical="center"/>
    </xf>
    <xf numFmtId="177" fontId="42" fillId="17" borderId="19" xfId="0" applyNumberFormat="1" applyFont="1" applyFill="1" applyBorder="1" applyAlignment="1">
      <alignment vertical="center"/>
    </xf>
    <xf numFmtId="177" fontId="42" fillId="18" borderId="6" xfId="0" applyNumberFormat="1" applyFont="1" applyFill="1" applyBorder="1" applyAlignment="1">
      <alignment vertical="center"/>
    </xf>
    <xf numFmtId="176" fontId="42" fillId="0" borderId="68" xfId="0" applyNumberFormat="1" applyFont="1" applyBorder="1" applyAlignment="1">
      <alignment horizontal="right" vertical="center"/>
    </xf>
    <xf numFmtId="0" fontId="42" fillId="17" borderId="32" xfId="0" applyFont="1" applyFill="1" applyBorder="1" applyAlignment="1">
      <alignment horizontal="centerContinuous" vertical="center"/>
    </xf>
    <xf numFmtId="177" fontId="45" fillId="18" borderId="6" xfId="0" applyNumberFormat="1" applyFont="1" applyFill="1" applyBorder="1" applyAlignment="1">
      <alignment vertical="center"/>
    </xf>
    <xf numFmtId="177" fontId="42" fillId="17" borderId="33" xfId="0" applyNumberFormat="1" applyFont="1" applyFill="1" applyBorder="1" applyAlignment="1">
      <alignment vertical="center"/>
    </xf>
    <xf numFmtId="177" fontId="42" fillId="17" borderId="6" xfId="0" applyNumberFormat="1" applyFont="1" applyFill="1" applyBorder="1" applyAlignment="1">
      <alignment vertical="center"/>
    </xf>
    <xf numFmtId="195" fontId="42" fillId="18" borderId="6" xfId="1959" applyNumberFormat="1" applyFont="1" applyFill="1" applyBorder="1" applyAlignment="1">
      <alignment vertical="center"/>
    </xf>
    <xf numFmtId="195" fontId="45" fillId="18" borderId="6" xfId="1959" applyNumberFormat="1" applyFont="1" applyFill="1" applyBorder="1" applyAlignment="1">
      <alignment vertical="center"/>
    </xf>
    <xf numFmtId="195" fontId="42" fillId="0" borderId="15" xfId="1959" applyNumberFormat="1" applyFont="1" applyFill="1" applyBorder="1" applyAlignment="1">
      <alignment vertical="center"/>
    </xf>
    <xf numFmtId="195" fontId="42" fillId="0" borderId="16" xfId="1959" applyNumberFormat="1" applyFont="1" applyFill="1" applyBorder="1" applyAlignment="1">
      <alignment vertical="center"/>
    </xf>
    <xf numFmtId="195" fontId="42" fillId="16" borderId="6" xfId="1959" applyNumberFormat="1" applyFont="1" applyFill="1" applyBorder="1" applyAlignment="1">
      <alignment vertical="center"/>
    </xf>
    <xf numFmtId="195" fontId="42" fillId="17" borderId="33" xfId="1959" applyNumberFormat="1" applyFont="1" applyFill="1" applyBorder="1" applyAlignment="1">
      <alignment vertical="center"/>
    </xf>
    <xf numFmtId="195" fontId="42" fillId="17" borderId="14" xfId="1959" applyNumberFormat="1" applyFont="1" applyFill="1" applyBorder="1" applyAlignment="1">
      <alignment vertical="center"/>
    </xf>
    <xf numFmtId="195" fontId="40" fillId="17" borderId="16" xfId="1959" applyNumberFormat="1" applyFont="1" applyFill="1" applyBorder="1" applyAlignment="1">
      <alignment horizontal="center" vertical="center"/>
    </xf>
    <xf numFmtId="41" fontId="40" fillId="17" borderId="16" xfId="1959" applyNumberFormat="1" applyFont="1" applyFill="1" applyBorder="1" applyAlignment="1">
      <alignment horizontal="center" vertical="center"/>
    </xf>
    <xf numFmtId="195" fontId="40" fillId="17" borderId="15" xfId="1959" applyNumberFormat="1" applyFont="1" applyFill="1" applyBorder="1" applyAlignment="1">
      <alignment horizontal="center" vertical="center"/>
    </xf>
    <xf numFmtId="41" fontId="40" fillId="17" borderId="15" xfId="1959" applyNumberFormat="1" applyFont="1" applyFill="1" applyBorder="1" applyAlignment="1">
      <alignment horizontal="center" vertical="center"/>
    </xf>
    <xf numFmtId="0" fontId="38" fillId="25" borderId="0" xfId="0" applyFont="1" applyFill="1" applyBorder="1" applyAlignment="1">
      <alignment vertical="center"/>
    </xf>
    <xf numFmtId="0" fontId="0" fillId="0" borderId="0" xfId="0"/>
    <xf numFmtId="41" fontId="40" fillId="0" borderId="0" xfId="0" applyNumberFormat="1" applyFont="1"/>
    <xf numFmtId="0" fontId="42" fillId="17" borderId="105" xfId="0" applyFont="1" applyFill="1" applyBorder="1" applyAlignment="1">
      <alignment horizontal="center" vertical="center"/>
    </xf>
    <xf numFmtId="0" fontId="42" fillId="17" borderId="100" xfId="0" applyFont="1" applyFill="1" applyBorder="1" applyAlignment="1">
      <alignment horizontal="center" vertical="center"/>
    </xf>
    <xf numFmtId="195" fontId="42" fillId="0" borderId="100" xfId="1959" applyNumberFormat="1" applyFont="1" applyFill="1" applyBorder="1" applyAlignment="1">
      <alignment vertical="center"/>
    </xf>
    <xf numFmtId="0" fontId="40" fillId="0" borderId="0" xfId="0" applyFont="1" applyBorder="1" applyAlignment="1">
      <alignment horizontal="center" vertical="center" wrapText="1"/>
    </xf>
    <xf numFmtId="183" fontId="40" fillId="0" borderId="0" xfId="0" applyNumberFormat="1" applyFont="1" applyBorder="1" applyAlignment="1">
      <alignment vertical="center"/>
    </xf>
    <xf numFmtId="182" fontId="40" fillId="0" borderId="0" xfId="0" applyNumberFormat="1" applyFont="1" applyBorder="1" applyAlignment="1">
      <alignment vertical="center"/>
    </xf>
    <xf numFmtId="0" fontId="38" fillId="0" borderId="0" xfId="0" applyFont="1" applyBorder="1"/>
    <xf numFmtId="0" fontId="40" fillId="0" borderId="0" xfId="0" applyFont="1" applyBorder="1"/>
    <xf numFmtId="193" fontId="40" fillId="0" borderId="0" xfId="0" applyNumberFormat="1" applyFont="1"/>
    <xf numFmtId="177" fontId="115" fillId="18" borderId="6" xfId="0" applyNumberFormat="1" applyFont="1" applyFill="1" applyBorder="1" applyAlignment="1">
      <alignment vertical="center"/>
    </xf>
    <xf numFmtId="177" fontId="40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16" fillId="17" borderId="15" xfId="1959" applyNumberFormat="1" applyFont="1" applyFill="1" applyBorder="1" applyAlignment="1">
      <alignment horizontal="center" vertical="center"/>
    </xf>
    <xf numFmtId="41" fontId="116" fillId="17" borderId="15" xfId="1959" applyNumberFormat="1" applyFont="1" applyFill="1" applyBorder="1" applyAlignment="1">
      <alignment horizontal="center" vertical="center"/>
    </xf>
    <xf numFmtId="176" fontId="40" fillId="0" borderId="0" xfId="0" applyNumberFormat="1" applyFont="1" applyFill="1" applyBorder="1" applyAlignment="1">
      <alignment vertical="center"/>
    </xf>
    <xf numFmtId="41" fontId="116" fillId="17" borderId="16" xfId="1959" applyNumberFormat="1" applyFont="1" applyFill="1" applyBorder="1" applyAlignment="1">
      <alignment horizontal="center" vertical="center"/>
    </xf>
    <xf numFmtId="176" fontId="114" fillId="0" borderId="0" xfId="0" applyNumberFormat="1" applyFont="1" applyAlignment="1">
      <alignment vertical="center"/>
    </xf>
    <xf numFmtId="9" fontId="40" fillId="0" borderId="0" xfId="2696" applyFont="1" applyBorder="1" applyAlignment="1"/>
    <xf numFmtId="0" fontId="0" fillId="0" borderId="0" xfId="0"/>
    <xf numFmtId="0" fontId="38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140" fillId="0" borderId="0" xfId="2697" applyFont="1">
      <alignment vertical="center"/>
    </xf>
    <xf numFmtId="0" fontId="141" fillId="0" borderId="0" xfId="2697" applyFont="1" applyAlignment="1">
      <alignment horizontal="center" vertical="center"/>
    </xf>
    <xf numFmtId="0" fontId="141" fillId="0" borderId="0" xfId="2697" applyFont="1">
      <alignment vertical="center"/>
    </xf>
    <xf numFmtId="0" fontId="37" fillId="0" borderId="0" xfId="2697">
      <alignment vertical="center"/>
    </xf>
    <xf numFmtId="41" fontId="38" fillId="0" borderId="95" xfId="1959" applyFont="1" applyBorder="1" applyAlignment="1">
      <alignment horizontal="center" vertical="center"/>
    </xf>
    <xf numFmtId="41" fontId="38" fillId="0" borderId="96" xfId="1959" applyFont="1" applyBorder="1" applyAlignment="1">
      <alignment horizontal="center" vertical="center"/>
    </xf>
    <xf numFmtId="41" fontId="38" fillId="0" borderId="96" xfId="0" applyNumberFormat="1" applyFont="1" applyBorder="1" applyAlignment="1">
      <alignment horizontal="center" vertical="center"/>
    </xf>
    <xf numFmtId="41" fontId="38" fillId="0" borderId="97" xfId="0" applyNumberFormat="1" applyFont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144" fillId="0" borderId="92" xfId="2697" applyFont="1" applyFill="1" applyBorder="1" applyAlignment="1">
      <alignment horizontal="center" vertical="center"/>
    </xf>
    <xf numFmtId="198" fontId="54" fillId="0" borderId="93" xfId="0" applyNumberFormat="1" applyFont="1" applyBorder="1" applyAlignment="1">
      <alignment vertical="center"/>
    </xf>
    <xf numFmtId="198" fontId="54" fillId="0" borderId="94" xfId="0" applyNumberFormat="1" applyFont="1" applyBorder="1" applyAlignment="1">
      <alignment vertical="center"/>
    </xf>
    <xf numFmtId="0" fontId="141" fillId="0" borderId="0" xfId="2697" applyFont="1" applyFill="1">
      <alignment vertical="center"/>
    </xf>
    <xf numFmtId="0" fontId="143" fillId="0" borderId="0" xfId="2697" applyFont="1" applyFill="1" applyBorder="1" applyAlignment="1">
      <alignment horizontal="centerContinuous" vertical="center"/>
    </xf>
    <xf numFmtId="186" fontId="143" fillId="0" borderId="0" xfId="2699" applyNumberFormat="1" applyFont="1" applyFill="1" applyBorder="1">
      <alignment vertical="center"/>
    </xf>
    <xf numFmtId="195" fontId="42" fillId="0" borderId="25" xfId="1959" applyNumberFormat="1" applyFont="1" applyFill="1" applyBorder="1" applyAlignment="1">
      <alignment vertical="center"/>
    </xf>
    <xf numFmtId="41" fontId="42" fillId="16" borderId="10" xfId="1959" applyNumberFormat="1" applyFont="1" applyFill="1" applyBorder="1" applyAlignment="1">
      <alignment vertical="center"/>
    </xf>
    <xf numFmtId="177" fontId="42" fillId="16" borderId="10" xfId="1959" applyNumberFormat="1" applyFont="1" applyFill="1" applyBorder="1" applyAlignment="1">
      <alignment vertical="center"/>
    </xf>
    <xf numFmtId="41" fontId="42" fillId="17" borderId="15" xfId="0" applyNumberFormat="1" applyFont="1" applyFill="1" applyBorder="1" applyAlignment="1">
      <alignment vertical="center"/>
    </xf>
    <xf numFmtId="41" fontId="42" fillId="17" borderId="6" xfId="0" applyNumberFormat="1" applyFont="1" applyFill="1" applyBorder="1" applyAlignment="1">
      <alignment vertical="center"/>
    </xf>
    <xf numFmtId="41" fontId="42" fillId="17" borderId="33" xfId="0" applyNumberFormat="1" applyFont="1" applyFill="1" applyBorder="1" applyAlignment="1">
      <alignment vertical="center"/>
    </xf>
    <xf numFmtId="41" fontId="42" fillId="17" borderId="25" xfId="1959" applyNumberFormat="1" applyFont="1" applyFill="1" applyBorder="1" applyAlignment="1">
      <alignment vertical="center"/>
    </xf>
    <xf numFmtId="41" fontId="114" fillId="0" borderId="16" xfId="1959" applyNumberFormat="1" applyFont="1" applyFill="1" applyBorder="1" applyAlignment="1">
      <alignment vertical="center"/>
    </xf>
    <xf numFmtId="41" fontId="45" fillId="17" borderId="25" xfId="1959" applyNumberFormat="1" applyFont="1" applyFill="1" applyBorder="1" applyAlignment="1">
      <alignment vertical="center"/>
    </xf>
    <xf numFmtId="41" fontId="42" fillId="18" borderId="6" xfId="1959" applyNumberFormat="1" applyFont="1" applyFill="1" applyBorder="1" applyAlignment="1">
      <alignment vertical="center"/>
    </xf>
    <xf numFmtId="41" fontId="114" fillId="0" borderId="15" xfId="1959" applyNumberFormat="1" applyFont="1" applyFill="1" applyBorder="1" applyAlignment="1">
      <alignment vertical="center"/>
    </xf>
    <xf numFmtId="41" fontId="52" fillId="17" borderId="25" xfId="1959" applyNumberFormat="1" applyFont="1" applyFill="1" applyBorder="1" applyAlignment="1">
      <alignment vertical="center"/>
    </xf>
    <xf numFmtId="41" fontId="52" fillId="17" borderId="105" xfId="1959" applyNumberFormat="1" applyFont="1" applyFill="1" applyBorder="1" applyAlignment="1">
      <alignment vertical="center"/>
    </xf>
    <xf numFmtId="41" fontId="45" fillId="17" borderId="16" xfId="1959" applyNumberFormat="1" applyFont="1" applyFill="1" applyBorder="1" applyAlignment="1">
      <alignment vertical="center"/>
    </xf>
    <xf numFmtId="41" fontId="114" fillId="17" borderId="25" xfId="1959" applyNumberFormat="1" applyFont="1" applyFill="1" applyBorder="1" applyAlignment="1">
      <alignment vertical="center"/>
    </xf>
    <xf numFmtId="41" fontId="114" fillId="17" borderId="16" xfId="1959" applyNumberFormat="1" applyFont="1" applyFill="1" applyBorder="1" applyAlignment="1">
      <alignment vertical="center"/>
    </xf>
    <xf numFmtId="41" fontId="114" fillId="0" borderId="55" xfId="1959" applyNumberFormat="1" applyFont="1" applyFill="1" applyBorder="1" applyAlignment="1">
      <alignment vertical="center"/>
    </xf>
    <xf numFmtId="41" fontId="42" fillId="17" borderId="15" xfId="1959" applyNumberFormat="1" applyFont="1" applyFill="1" applyBorder="1" applyAlignment="1">
      <alignment vertical="center"/>
    </xf>
    <xf numFmtId="41" fontId="114" fillId="17" borderId="100" xfId="1959" applyNumberFormat="1" applyFont="1" applyFill="1" applyBorder="1" applyAlignment="1">
      <alignment vertical="center"/>
    </xf>
    <xf numFmtId="41" fontId="42" fillId="17" borderId="100" xfId="1959" applyNumberFormat="1" applyFont="1" applyFill="1" applyBorder="1" applyAlignment="1">
      <alignment vertical="center"/>
    </xf>
    <xf numFmtId="41" fontId="114" fillId="0" borderId="100" xfId="1959" applyNumberFormat="1" applyFont="1" applyFill="1" applyBorder="1" applyAlignment="1">
      <alignment vertical="center"/>
    </xf>
    <xf numFmtId="41" fontId="42" fillId="0" borderId="15" xfId="1959" applyNumberFormat="1" applyFont="1" applyFill="1" applyBorder="1" applyAlignment="1">
      <alignment vertical="center"/>
    </xf>
    <xf numFmtId="41" fontId="42" fillId="0" borderId="55" xfId="1959" applyNumberFormat="1" applyFont="1" applyFill="1" applyBorder="1" applyAlignment="1">
      <alignment vertical="center"/>
    </xf>
    <xf numFmtId="195" fontId="114" fillId="17" borderId="15" xfId="0" applyNumberFormat="1" applyFont="1" applyFill="1" applyBorder="1" applyAlignment="1">
      <alignment vertical="center"/>
    </xf>
    <xf numFmtId="195" fontId="42" fillId="17" borderId="6" xfId="0" applyNumberFormat="1" applyFont="1" applyFill="1" applyBorder="1" applyAlignment="1">
      <alignment vertical="center"/>
    </xf>
    <xf numFmtId="195" fontId="42" fillId="17" borderId="33" xfId="0" applyNumberFormat="1" applyFont="1" applyFill="1" applyBorder="1" applyAlignment="1">
      <alignment vertical="center"/>
    </xf>
    <xf numFmtId="195" fontId="42" fillId="0" borderId="15" xfId="0" applyNumberFormat="1" applyFont="1" applyBorder="1" applyAlignment="1">
      <alignment vertical="center"/>
    </xf>
    <xf numFmtId="195" fontId="42" fillId="18" borderId="6" xfId="0" applyNumberFormat="1" applyFont="1" applyFill="1" applyBorder="1" applyAlignment="1">
      <alignment vertical="center"/>
    </xf>
    <xf numFmtId="195" fontId="42" fillId="0" borderId="15" xfId="0" applyNumberFormat="1" applyFont="1" applyFill="1" applyBorder="1" applyAlignment="1">
      <alignment vertical="center"/>
    </xf>
    <xf numFmtId="199" fontId="42" fillId="0" borderId="27" xfId="1959" applyNumberFormat="1" applyFont="1" applyFill="1" applyBorder="1" applyAlignment="1">
      <alignment vertical="center"/>
    </xf>
    <xf numFmtId="199" fontId="42" fillId="0" borderId="6" xfId="1959" applyNumberFormat="1" applyFont="1" applyFill="1" applyBorder="1" applyAlignment="1">
      <alignment vertical="center"/>
    </xf>
    <xf numFmtId="199" fontId="42" fillId="18" borderId="27" xfId="1959" applyNumberFormat="1" applyFont="1" applyFill="1" applyBorder="1" applyAlignment="1">
      <alignment vertical="center"/>
    </xf>
    <xf numFmtId="199" fontId="42" fillId="18" borderId="6" xfId="1959" applyNumberFormat="1" applyFont="1" applyFill="1" applyBorder="1" applyAlignment="1">
      <alignment vertical="center"/>
    </xf>
    <xf numFmtId="199" fontId="114" fillId="0" borderId="105" xfId="1959" applyNumberFormat="1" applyFont="1" applyFill="1" applyBorder="1" applyAlignment="1">
      <alignment vertical="center"/>
    </xf>
    <xf numFmtId="199" fontId="114" fillId="0" borderId="16" xfId="1959" applyNumberFormat="1" applyFont="1" applyFill="1" applyBorder="1" applyAlignment="1">
      <alignment vertical="center"/>
    </xf>
    <xf numFmtId="199" fontId="115" fillId="18" borderId="6" xfId="1959" applyNumberFormat="1" applyFont="1" applyFill="1" applyBorder="1" applyAlignment="1">
      <alignment vertical="center"/>
    </xf>
    <xf numFmtId="199" fontId="42" fillId="16" borderId="10" xfId="1959" applyNumberFormat="1" applyFont="1" applyFill="1" applyBorder="1" applyAlignment="1">
      <alignment vertical="center"/>
    </xf>
    <xf numFmtId="199" fontId="45" fillId="18" borderId="27" xfId="1959" applyNumberFormat="1" applyFont="1" applyFill="1" applyBorder="1" applyAlignment="1">
      <alignment vertical="center"/>
    </xf>
    <xf numFmtId="199" fontId="42" fillId="0" borderId="12" xfId="1959" applyNumberFormat="1" applyFont="1" applyFill="1" applyBorder="1" applyAlignment="1">
      <alignment vertical="center"/>
    </xf>
    <xf numFmtId="199" fontId="42" fillId="0" borderId="33" xfId="1959" applyNumberFormat="1" applyFont="1" applyFill="1" applyBorder="1" applyAlignment="1">
      <alignment vertical="center"/>
    </xf>
    <xf numFmtId="199" fontId="42" fillId="0" borderId="14" xfId="1959" applyNumberFormat="1" applyFont="1" applyFill="1" applyBorder="1" applyAlignment="1">
      <alignment vertical="center"/>
    </xf>
    <xf numFmtId="200" fontId="42" fillId="0" borderId="0" xfId="0" applyNumberFormat="1" applyFont="1" applyFill="1" applyAlignment="1">
      <alignment vertical="center"/>
    </xf>
    <xf numFmtId="41" fontId="54" fillId="0" borderId="93" xfId="1959" applyFont="1" applyBorder="1" applyAlignment="1">
      <alignment vertical="center"/>
    </xf>
    <xf numFmtId="0" fontId="39" fillId="0" borderId="0" xfId="0" applyFont="1" applyAlignment="1">
      <alignment horizontal="center" vertical="center"/>
    </xf>
    <xf numFmtId="41" fontId="121" fillId="0" borderId="0" xfId="0" applyNumberFormat="1" applyFont="1" applyAlignment="1">
      <alignment vertical="center"/>
    </xf>
    <xf numFmtId="0" fontId="146" fillId="0" borderId="92" xfId="0" applyFont="1" applyBorder="1" applyAlignment="1">
      <alignment horizontal="center" vertical="center"/>
    </xf>
    <xf numFmtId="0" fontId="147" fillId="0" borderId="95" xfId="0" applyFont="1" applyBorder="1" applyAlignment="1">
      <alignment horizontal="center" vertical="center"/>
    </xf>
    <xf numFmtId="0" fontId="146" fillId="0" borderId="92" xfId="0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Continuous"/>
    </xf>
    <xf numFmtId="201" fontId="40" fillId="0" borderId="0" xfId="0" applyNumberFormat="1" applyFont="1" applyAlignment="1">
      <alignment vertical="center"/>
    </xf>
    <xf numFmtId="189" fontId="42" fillId="0" borderId="0" xfId="0" applyNumberFormat="1" applyFont="1" applyAlignment="1">
      <alignment vertical="center"/>
    </xf>
    <xf numFmtId="199" fontId="114" fillId="0" borderId="98" xfId="1959" applyNumberFormat="1" applyFont="1" applyFill="1" applyBorder="1" applyAlignment="1">
      <alignment vertical="center"/>
    </xf>
    <xf numFmtId="199" fontId="114" fillId="0" borderId="99" xfId="1959" applyNumberFormat="1" applyFont="1" applyFill="1" applyBorder="1" applyAlignment="1">
      <alignment vertical="center"/>
    </xf>
    <xf numFmtId="41" fontId="114" fillId="18" borderId="6" xfId="1959" applyNumberFormat="1" applyFont="1" applyFill="1" applyBorder="1" applyAlignment="1">
      <alignment vertical="center"/>
    </xf>
    <xf numFmtId="41" fontId="38" fillId="0" borderId="0" xfId="0" applyNumberFormat="1" applyFont="1" applyAlignment="1">
      <alignment vertical="center"/>
    </xf>
    <xf numFmtId="0" fontId="42" fillId="17" borderId="9" xfId="0" applyFont="1" applyFill="1" applyBorder="1" applyAlignment="1">
      <alignment horizontal="center" vertical="center"/>
    </xf>
    <xf numFmtId="0" fontId="42" fillId="17" borderId="10" xfId="0" applyFont="1" applyFill="1" applyBorder="1" applyAlignment="1">
      <alignment horizontal="center" vertical="center"/>
    </xf>
    <xf numFmtId="0" fontId="42" fillId="17" borderId="101" xfId="0" applyFont="1" applyFill="1" applyBorder="1" applyAlignment="1">
      <alignment horizontal="centerContinuous" vertical="center"/>
    </xf>
    <xf numFmtId="0" fontId="42" fillId="17" borderId="98" xfId="0" applyFont="1" applyFill="1" applyBorder="1" applyAlignment="1">
      <alignment horizontal="centerContinuous" vertical="center"/>
    </xf>
    <xf numFmtId="41" fontId="42" fillId="17" borderId="100" xfId="0" applyNumberFormat="1" applyFont="1" applyFill="1" applyBorder="1" applyAlignment="1">
      <alignment vertical="center"/>
    </xf>
    <xf numFmtId="195" fontId="114" fillId="17" borderId="105" xfId="0" applyNumberFormat="1" applyFont="1" applyFill="1" applyBorder="1" applyAlignment="1">
      <alignment vertical="center"/>
    </xf>
    <xf numFmtId="41" fontId="42" fillId="17" borderId="105" xfId="0" applyNumberFormat="1" applyFont="1" applyFill="1" applyBorder="1" applyAlignment="1">
      <alignment vertical="center"/>
    </xf>
    <xf numFmtId="0" fontId="42" fillId="17" borderId="104" xfId="0" applyFont="1" applyFill="1" applyBorder="1" applyAlignment="1">
      <alignment horizontal="centerContinuous" vertical="center"/>
    </xf>
    <xf numFmtId="177" fontId="42" fillId="17" borderId="100" xfId="0" applyNumberFormat="1" applyFont="1" applyFill="1" applyBorder="1" applyAlignment="1">
      <alignment vertical="center"/>
    </xf>
    <xf numFmtId="199" fontId="114" fillId="0" borderId="104" xfId="1959" applyNumberFormat="1" applyFont="1" applyFill="1" applyBorder="1" applyAlignment="1">
      <alignment vertical="center"/>
    </xf>
    <xf numFmtId="195" fontId="42" fillId="0" borderId="100" xfId="0" applyNumberFormat="1" applyFont="1" applyFill="1" applyBorder="1" applyAlignment="1">
      <alignment vertical="center"/>
    </xf>
    <xf numFmtId="199" fontId="114" fillId="0" borderId="100" xfId="1959" applyNumberFormat="1" applyFont="1" applyFill="1" applyBorder="1" applyAlignment="1">
      <alignment vertical="center"/>
    </xf>
    <xf numFmtId="195" fontId="56" fillId="0" borderId="100" xfId="0" applyNumberFormat="1" applyFont="1" applyFill="1" applyBorder="1" applyAlignment="1">
      <alignment vertical="center"/>
    </xf>
    <xf numFmtId="41" fontId="45" fillId="17" borderId="100" xfId="1959" applyNumberFormat="1" applyFont="1" applyFill="1" applyBorder="1" applyAlignment="1">
      <alignment vertical="center"/>
    </xf>
    <xf numFmtId="41" fontId="52" fillId="17" borderId="100" xfId="1959" applyNumberFormat="1" applyFont="1" applyFill="1" applyBorder="1" applyAlignment="1">
      <alignment vertical="center"/>
    </xf>
    <xf numFmtId="41" fontId="114" fillId="17" borderId="105" xfId="1959" applyNumberFormat="1" applyFont="1" applyFill="1" applyBorder="1" applyAlignment="1">
      <alignment vertical="center"/>
    </xf>
    <xf numFmtId="41" fontId="42" fillId="0" borderId="100" xfId="1959" applyNumberFormat="1" applyFont="1" applyFill="1" applyBorder="1" applyAlignment="1">
      <alignment vertical="center"/>
    </xf>
    <xf numFmtId="0" fontId="152" fillId="54" borderId="181" xfId="0" applyFont="1" applyFill="1" applyBorder="1" applyAlignment="1">
      <alignment horizontal="center" vertical="center" wrapText="1"/>
    </xf>
    <xf numFmtId="0" fontId="152" fillId="54" borderId="182" xfId="0" applyFont="1" applyFill="1" applyBorder="1" applyAlignment="1">
      <alignment horizontal="center" vertical="center" wrapText="1"/>
    </xf>
    <xf numFmtId="0" fontId="152" fillId="54" borderId="183" xfId="0" applyFont="1" applyFill="1" applyBorder="1" applyAlignment="1">
      <alignment horizontal="center" vertical="center" wrapText="1"/>
    </xf>
    <xf numFmtId="0" fontId="155" fillId="54" borderId="184" xfId="0" applyFont="1" applyFill="1" applyBorder="1" applyAlignment="1">
      <alignment horizontal="center" vertical="center" wrapText="1"/>
    </xf>
    <xf numFmtId="0" fontId="155" fillId="54" borderId="185" xfId="0" applyFont="1" applyFill="1" applyBorder="1" applyAlignment="1">
      <alignment horizontal="center" vertical="center" wrapText="1"/>
    </xf>
    <xf numFmtId="0" fontId="152" fillId="54" borderId="186" xfId="0" applyFont="1" applyFill="1" applyBorder="1" applyAlignment="1">
      <alignment horizontal="center" vertical="center" wrapText="1"/>
    </xf>
    <xf numFmtId="0" fontId="140" fillId="0" borderId="145" xfId="2697" applyFont="1" applyBorder="1">
      <alignment vertical="center"/>
    </xf>
    <xf numFmtId="176" fontId="156" fillId="0" borderId="94" xfId="0" applyNumberFormat="1" applyFont="1" applyBorder="1" applyAlignment="1">
      <alignment vertical="center"/>
    </xf>
    <xf numFmtId="0" fontId="53" fillId="55" borderId="0" xfId="0" applyFont="1" applyFill="1" applyAlignment="1">
      <alignment horizontal="left" vertical="center"/>
    </xf>
    <xf numFmtId="41" fontId="42" fillId="16" borderId="10" xfId="1959" applyNumberFormat="1" applyFont="1" applyFill="1" applyBorder="1" applyAlignment="1">
      <alignment vertical="center" shrinkToFit="1"/>
    </xf>
    <xf numFmtId="177" fontId="42" fillId="16" borderId="28" xfId="1959" applyNumberFormat="1" applyFont="1" applyFill="1" applyBorder="1" applyAlignment="1">
      <alignment vertical="center" shrinkToFit="1"/>
    </xf>
    <xf numFmtId="199" fontId="42" fillId="0" borderId="27" xfId="1959" applyNumberFormat="1" applyFont="1" applyFill="1" applyBorder="1" applyAlignment="1">
      <alignment vertical="center" shrinkToFit="1"/>
    </xf>
    <xf numFmtId="0" fontId="152" fillId="51" borderId="181" xfId="0" applyFont="1" applyFill="1" applyBorder="1" applyAlignment="1">
      <alignment horizontal="center" vertical="center" wrapText="1"/>
    </xf>
    <xf numFmtId="0" fontId="38" fillId="51" borderId="0" xfId="0" applyFont="1" applyFill="1" applyAlignment="1">
      <alignment horizontal="center" vertical="center"/>
    </xf>
    <xf numFmtId="195" fontId="114" fillId="0" borderId="100" xfId="0" applyNumberFormat="1" applyFont="1" applyFill="1" applyBorder="1" applyAlignment="1">
      <alignment vertical="center"/>
    </xf>
    <xf numFmtId="3" fontId="153" fillId="0" borderId="184" xfId="0" applyNumberFormat="1" applyFont="1" applyBorder="1" applyAlignment="1">
      <alignment horizontal="right" vertical="center" wrapText="1"/>
    </xf>
    <xf numFmtId="190" fontId="154" fillId="0" borderId="185" xfId="2696" applyNumberFormat="1" applyFont="1" applyBorder="1" applyAlignment="1">
      <alignment horizontal="center" vertical="center" wrapText="1"/>
    </xf>
    <xf numFmtId="3" fontId="153" fillId="0" borderId="188" xfId="0" applyNumberFormat="1" applyFont="1" applyBorder="1" applyAlignment="1">
      <alignment horizontal="right" vertical="center" wrapText="1"/>
    </xf>
    <xf numFmtId="190" fontId="154" fillId="0" borderId="188" xfId="2696" applyNumberFormat="1" applyFont="1" applyBorder="1" applyAlignment="1">
      <alignment horizontal="center" vertical="center" wrapText="1"/>
    </xf>
    <xf numFmtId="195" fontId="116" fillId="17" borderId="16" xfId="1959" applyNumberFormat="1" applyFont="1" applyFill="1" applyBorder="1" applyAlignment="1">
      <alignment horizontal="center" vertical="center"/>
    </xf>
    <xf numFmtId="3" fontId="152" fillId="0" borderId="188" xfId="0" applyNumberFormat="1" applyFont="1" applyFill="1" applyBorder="1" applyAlignment="1">
      <alignment horizontal="right" vertical="center" wrapText="1"/>
    </xf>
    <xf numFmtId="190" fontId="152" fillId="0" borderId="188" xfId="2696" applyNumberFormat="1" applyFont="1" applyFill="1" applyBorder="1" applyAlignment="1">
      <alignment horizontal="right" vertical="center" wrapText="1"/>
    </xf>
    <xf numFmtId="190" fontId="154" fillId="0" borderId="188" xfId="2696" applyNumberFormat="1" applyFont="1" applyFill="1" applyBorder="1" applyAlignment="1">
      <alignment horizontal="center" vertical="center" wrapText="1"/>
    </xf>
    <xf numFmtId="3" fontId="152" fillId="0" borderId="184" xfId="0" applyNumberFormat="1" applyFont="1" applyFill="1" applyBorder="1" applyAlignment="1">
      <alignment horizontal="right" vertical="center" wrapText="1"/>
    </xf>
    <xf numFmtId="190" fontId="152" fillId="0" borderId="185" xfId="0" applyNumberFormat="1" applyFont="1" applyFill="1" applyBorder="1" applyAlignment="1">
      <alignment horizontal="right" vertical="center" wrapText="1"/>
    </xf>
    <xf numFmtId="190" fontId="154" fillId="0" borderId="185" xfId="2696" applyNumberFormat="1" applyFont="1" applyFill="1" applyBorder="1" applyAlignment="1">
      <alignment horizontal="center" vertical="center" wrapText="1"/>
    </xf>
    <xf numFmtId="0" fontId="40" fillId="0" borderId="43" xfId="0" applyFont="1" applyBorder="1" applyAlignment="1">
      <alignment vertical="center"/>
    </xf>
    <xf numFmtId="177" fontId="40" fillId="0" borderId="92" xfId="0" applyNumberFormat="1" applyFont="1" applyFill="1" applyBorder="1" applyAlignment="1">
      <alignment vertical="center"/>
    </xf>
    <xf numFmtId="177" fontId="40" fillId="0" borderId="93" xfId="0" applyNumberFormat="1" applyFont="1" applyFill="1" applyBorder="1" applyAlignment="1">
      <alignment vertical="center"/>
    </xf>
    <xf numFmtId="0" fontId="40" fillId="0" borderId="94" xfId="0" applyFont="1" applyBorder="1" applyAlignment="1">
      <alignment vertical="center"/>
    </xf>
    <xf numFmtId="0" fontId="40" fillId="0" borderId="92" xfId="0" applyFont="1" applyFill="1" applyBorder="1" applyAlignment="1">
      <alignment vertical="center"/>
    </xf>
    <xf numFmtId="41" fontId="40" fillId="0" borderId="93" xfId="0" applyNumberFormat="1" applyFont="1" applyFill="1" applyBorder="1" applyAlignment="1">
      <alignment vertical="center"/>
    </xf>
    <xf numFmtId="0" fontId="40" fillId="0" borderId="95" xfId="0" applyFont="1" applyBorder="1" applyAlignment="1">
      <alignment vertical="center"/>
    </xf>
    <xf numFmtId="177" fontId="40" fillId="0" borderId="96" xfId="0" applyNumberFormat="1" applyFont="1" applyBorder="1" applyAlignment="1">
      <alignment vertical="center"/>
    </xf>
    <xf numFmtId="43" fontId="40" fillId="0" borderId="96" xfId="0" applyNumberFormat="1" applyFont="1" applyBorder="1" applyAlignment="1">
      <alignment vertical="center"/>
    </xf>
    <xf numFmtId="0" fontId="40" fillId="0" borderId="97" xfId="0" applyFont="1" applyBorder="1" applyAlignment="1">
      <alignment vertical="center"/>
    </xf>
    <xf numFmtId="177" fontId="40" fillId="0" borderId="41" xfId="0" applyNumberFormat="1" applyFont="1" applyFill="1" applyBorder="1" applyAlignment="1">
      <alignment horizontal="center" vertical="center"/>
    </xf>
    <xf numFmtId="0" fontId="40" fillId="0" borderId="42" xfId="0" applyFont="1" applyFill="1" applyBorder="1" applyAlignment="1">
      <alignment horizontal="center" vertical="center"/>
    </xf>
    <xf numFmtId="190" fontId="40" fillId="0" borderId="0" xfId="2696" applyNumberFormat="1" applyFont="1" applyAlignment="1">
      <alignment vertical="center"/>
    </xf>
    <xf numFmtId="41" fontId="40" fillId="0" borderId="0" xfId="1959" applyFont="1" applyAlignment="1">
      <alignment vertical="center"/>
    </xf>
    <xf numFmtId="176" fontId="40" fillId="0" borderId="0" xfId="0" applyNumberFormat="1" applyFont="1" applyAlignment="1">
      <alignment vertical="center"/>
    </xf>
    <xf numFmtId="0" fontId="145" fillId="0" borderId="0" xfId="0" applyFont="1" applyAlignment="1">
      <alignment vertical="center"/>
    </xf>
    <xf numFmtId="0" fontId="117" fillId="51" borderId="181" xfId="0" applyFont="1" applyFill="1" applyBorder="1" applyAlignment="1">
      <alignment horizontal="center" vertical="center" wrapText="1"/>
    </xf>
    <xf numFmtId="0" fontId="51" fillId="52" borderId="50" xfId="0" applyFont="1" applyFill="1" applyBorder="1"/>
    <xf numFmtId="0" fontId="51" fillId="52" borderId="48" xfId="0" applyFont="1" applyFill="1" applyBorder="1" applyAlignment="1">
      <alignment horizontal="center"/>
    </xf>
    <xf numFmtId="0" fontId="51" fillId="52" borderId="51" xfId="0" applyFont="1" applyFill="1" applyBorder="1" applyAlignment="1">
      <alignment horizontal="center"/>
    </xf>
    <xf numFmtId="189" fontId="51" fillId="52" borderId="51" xfId="1959" applyNumberFormat="1" applyFont="1" applyFill="1" applyBorder="1"/>
    <xf numFmtId="43" fontId="40" fillId="0" borderId="0" xfId="0" applyNumberFormat="1" applyFont="1" applyAlignment="1">
      <alignment vertical="center"/>
    </xf>
    <xf numFmtId="195" fontId="116" fillId="17" borderId="25" xfId="1959" applyNumberFormat="1" applyFont="1" applyFill="1" applyBorder="1" applyAlignment="1">
      <alignment horizontal="center" vertical="center"/>
    </xf>
    <xf numFmtId="41" fontId="116" fillId="17" borderId="25" xfId="1959" applyNumberFormat="1" applyFont="1" applyFill="1" applyBorder="1" applyAlignment="1">
      <alignment horizontal="center" vertical="center"/>
    </xf>
    <xf numFmtId="209" fontId="38" fillId="0" borderId="0" xfId="0" applyNumberFormat="1" applyFont="1" applyAlignment="1">
      <alignment vertical="center"/>
    </xf>
    <xf numFmtId="41" fontId="121" fillId="0" borderId="188" xfId="1959" applyFont="1" applyFill="1" applyBorder="1" applyAlignment="1">
      <alignment horizontal="center" vertical="center" wrapText="1"/>
    </xf>
    <xf numFmtId="41" fontId="121" fillId="0" borderId="184" xfId="1959" applyFont="1" applyFill="1" applyBorder="1" applyAlignment="1">
      <alignment horizontal="center" vertical="center" wrapText="1"/>
    </xf>
    <xf numFmtId="205" fontId="153" fillId="0" borderId="188" xfId="0" applyNumberFormat="1" applyFont="1" applyBorder="1" applyAlignment="1">
      <alignment horizontal="right" vertical="center" wrapText="1"/>
    </xf>
    <xf numFmtId="205" fontId="152" fillId="0" borderId="188" xfId="0" applyNumberFormat="1" applyFont="1" applyFill="1" applyBorder="1" applyAlignment="1">
      <alignment horizontal="right" vertical="center" wrapText="1"/>
    </xf>
    <xf numFmtId="190" fontId="152" fillId="0" borderId="188" xfId="0" applyNumberFormat="1" applyFont="1" applyFill="1" applyBorder="1" applyAlignment="1">
      <alignment horizontal="right" vertical="center" wrapText="1"/>
    </xf>
    <xf numFmtId="210" fontId="152" fillId="0" borderId="188" xfId="0" applyNumberFormat="1" applyFont="1" applyFill="1" applyBorder="1" applyAlignment="1">
      <alignment horizontal="right" vertical="center" wrapText="1"/>
    </xf>
    <xf numFmtId="205" fontId="153" fillId="0" borderId="199" xfId="0" applyNumberFormat="1" applyFont="1" applyBorder="1" applyAlignment="1">
      <alignment horizontal="right" vertical="center" wrapText="1"/>
    </xf>
    <xf numFmtId="205" fontId="152" fillId="0" borderId="199" xfId="0" applyNumberFormat="1" applyFont="1" applyFill="1" applyBorder="1" applyAlignment="1">
      <alignment horizontal="right" vertical="center" wrapText="1"/>
    </xf>
    <xf numFmtId="190" fontId="152" fillId="0" borderId="199" xfId="0" applyNumberFormat="1" applyFont="1" applyFill="1" applyBorder="1" applyAlignment="1">
      <alignment horizontal="right" vertical="center" wrapText="1"/>
    </xf>
    <xf numFmtId="210" fontId="152" fillId="0" borderId="199" xfId="0" applyNumberFormat="1" applyFont="1" applyFill="1" applyBorder="1" applyAlignment="1">
      <alignment horizontal="right" vertical="center" wrapText="1"/>
    </xf>
    <xf numFmtId="190" fontId="154" fillId="0" borderId="199" xfId="2696" applyNumberFormat="1" applyFont="1" applyFill="1" applyBorder="1" applyAlignment="1">
      <alignment horizontal="center" vertical="center" wrapText="1"/>
    </xf>
    <xf numFmtId="190" fontId="154" fillId="0" borderId="199" xfId="2696" applyNumberFormat="1" applyFont="1" applyBorder="1" applyAlignment="1">
      <alignment horizontal="center" vertical="center" wrapText="1"/>
    </xf>
    <xf numFmtId="0" fontId="42" fillId="52" borderId="7" xfId="0" applyFont="1" applyFill="1" applyBorder="1" applyAlignment="1">
      <alignment horizontal="centerContinuous" vertical="center"/>
    </xf>
    <xf numFmtId="0" fontId="115" fillId="52" borderId="10" xfId="0" applyFont="1" applyFill="1" applyBorder="1" applyAlignment="1">
      <alignment horizontal="center" vertical="center"/>
    </xf>
    <xf numFmtId="182" fontId="40" fillId="52" borderId="6" xfId="0" applyNumberFormat="1" applyFont="1" applyFill="1" applyBorder="1" applyAlignment="1">
      <alignment horizontal="center" vertical="center"/>
    </xf>
    <xf numFmtId="195" fontId="40" fillId="52" borderId="6" xfId="1959" applyNumberFormat="1" applyFont="1" applyFill="1" applyBorder="1" applyAlignment="1">
      <alignment horizontal="center" vertical="center"/>
    </xf>
    <xf numFmtId="41" fontId="40" fillId="52" borderId="6" xfId="1959" applyNumberFormat="1" applyFont="1" applyFill="1" applyBorder="1" applyAlignment="1">
      <alignment horizontal="center" vertical="center"/>
    </xf>
    <xf numFmtId="182" fontId="40" fillId="52" borderId="34" xfId="0" applyNumberFormat="1" applyFont="1" applyFill="1" applyBorder="1" applyAlignment="1">
      <alignment horizontal="center" vertical="center"/>
    </xf>
    <xf numFmtId="195" fontId="157" fillId="52" borderId="34" xfId="1959" applyNumberFormat="1" applyFont="1" applyFill="1" applyBorder="1" applyAlignment="1">
      <alignment horizontal="center" vertical="center"/>
    </xf>
    <xf numFmtId="41" fontId="157" fillId="52" borderId="34" xfId="1959" applyNumberFormat="1" applyFont="1" applyFill="1" applyBorder="1" applyAlignment="1">
      <alignment horizontal="center" vertical="center"/>
    </xf>
    <xf numFmtId="0" fontId="39" fillId="52" borderId="93" xfId="0" applyFont="1" applyFill="1" applyBorder="1" applyAlignment="1">
      <alignment horizontal="center" vertical="center"/>
    </xf>
    <xf numFmtId="0" fontId="39" fillId="52" borderId="94" xfId="0" applyFont="1" applyFill="1" applyBorder="1" applyAlignment="1">
      <alignment horizontal="center" vertical="center"/>
    </xf>
    <xf numFmtId="0" fontId="39" fillId="52" borderId="92" xfId="0" applyFont="1" applyFill="1" applyBorder="1" applyAlignment="1">
      <alignment horizontal="center" vertical="center"/>
    </xf>
    <xf numFmtId="0" fontId="39" fillId="52" borderId="41" xfId="0" applyFont="1" applyFill="1" applyBorder="1" applyAlignment="1">
      <alignment horizontal="center" vertical="center"/>
    </xf>
    <xf numFmtId="0" fontId="39" fillId="52" borderId="42" xfId="0" applyFont="1" applyFill="1" applyBorder="1" applyAlignment="1">
      <alignment horizontal="center" vertical="center"/>
    </xf>
    <xf numFmtId="0" fontId="39" fillId="52" borderId="43" xfId="0" applyFont="1" applyFill="1" applyBorder="1" applyAlignment="1">
      <alignment horizontal="center" vertical="center"/>
    </xf>
    <xf numFmtId="0" fontId="146" fillId="52" borderId="41" xfId="0" applyFont="1" applyFill="1" applyBorder="1" applyAlignment="1">
      <alignment horizontal="center" vertical="center"/>
    </xf>
    <xf numFmtId="176" fontId="146" fillId="52" borderId="43" xfId="0" applyNumberFormat="1" applyFont="1" applyFill="1" applyBorder="1" applyAlignment="1">
      <alignment horizontal="center" vertical="center"/>
    </xf>
    <xf numFmtId="41" fontId="37" fillId="0" borderId="100" xfId="1959" applyNumberFormat="1" applyFont="1" applyBorder="1" applyAlignment="1">
      <alignment horizontal="center" vertical="center"/>
    </xf>
    <xf numFmtId="195" fontId="37" fillId="0" borderId="100" xfId="1959" applyNumberFormat="1" applyFont="1" applyBorder="1" applyAlignment="1">
      <alignment horizontal="center" vertical="center"/>
    </xf>
    <xf numFmtId="195" fontId="37" fillId="0" borderId="16" xfId="1959" applyNumberFormat="1" applyFont="1" applyBorder="1" applyAlignment="1">
      <alignment horizontal="center" vertical="center"/>
    </xf>
    <xf numFmtId="41" fontId="37" fillId="0" borderId="16" xfId="1959" applyNumberFormat="1" applyFont="1" applyBorder="1" applyAlignment="1">
      <alignment horizontal="center" vertical="center"/>
    </xf>
    <xf numFmtId="211" fontId="40" fillId="0" borderId="0" xfId="1959" applyNumberFormat="1" applyFont="1" applyFill="1" applyAlignment="1">
      <alignment vertical="center"/>
    </xf>
    <xf numFmtId="211" fontId="40" fillId="0" borderId="0" xfId="0" applyNumberFormat="1" applyFont="1" applyFill="1" applyAlignment="1">
      <alignment vertical="center"/>
    </xf>
    <xf numFmtId="0" fontId="58" fillId="0" borderId="0" xfId="0" applyFont="1" applyFill="1" applyBorder="1" applyAlignment="1">
      <alignment horizontal="center" vertical="center"/>
    </xf>
    <xf numFmtId="0" fontId="58" fillId="0" borderId="81" xfId="0" applyFont="1" applyFill="1" applyBorder="1" applyAlignment="1">
      <alignment horizontal="center" vertical="center"/>
    </xf>
    <xf numFmtId="0" fontId="38" fillId="56" borderId="26" xfId="0" applyFont="1" applyFill="1" applyBorder="1" applyAlignment="1">
      <alignment horizontal="center" vertical="center"/>
    </xf>
    <xf numFmtId="41" fontId="38" fillId="56" borderId="6" xfId="1959" applyFont="1" applyFill="1" applyBorder="1" applyAlignment="1">
      <alignment horizontal="center" vertical="center"/>
    </xf>
    <xf numFmtId="0" fontId="38" fillId="56" borderId="208" xfId="0" applyFont="1" applyFill="1" applyBorder="1" applyAlignment="1">
      <alignment horizontal="center" vertical="center"/>
    </xf>
    <xf numFmtId="0" fontId="38" fillId="56" borderId="209" xfId="0" applyFont="1" applyFill="1" applyBorder="1" applyAlignment="1">
      <alignment horizontal="center" vertical="center"/>
    </xf>
    <xf numFmtId="41" fontId="38" fillId="56" borderId="26" xfId="1959" applyFont="1" applyFill="1" applyBorder="1" applyAlignment="1">
      <alignment horizontal="center" vertical="center"/>
    </xf>
    <xf numFmtId="212" fontId="38" fillId="0" borderId="6" xfId="0" applyNumberFormat="1" applyFont="1" applyBorder="1" applyAlignment="1">
      <alignment horizontal="right" vertical="center"/>
    </xf>
    <xf numFmtId="0" fontId="38" fillId="0" borderId="0" xfId="0" applyFont="1" applyFill="1" applyBorder="1" applyAlignment="1">
      <alignment horizontal="right" vertical="center"/>
    </xf>
    <xf numFmtId="176" fontId="161" fillId="0" borderId="0" xfId="0" applyNumberFormat="1" applyFont="1" applyFill="1" applyBorder="1" applyAlignment="1">
      <alignment vertical="center"/>
    </xf>
    <xf numFmtId="206" fontId="161" fillId="0" borderId="0" xfId="0" applyNumberFormat="1" applyFont="1" applyFill="1" applyBorder="1" applyAlignment="1">
      <alignment vertical="center"/>
    </xf>
    <xf numFmtId="0" fontId="161" fillId="0" borderId="0" xfId="0" applyFont="1" applyBorder="1" applyAlignment="1">
      <alignment horizontal="center" vertical="center"/>
    </xf>
    <xf numFmtId="41" fontId="118" fillId="56" borderId="208" xfId="1959" applyFont="1" applyFill="1" applyBorder="1" applyAlignment="1">
      <alignment horizontal="center" vertical="center"/>
    </xf>
    <xf numFmtId="41" fontId="118" fillId="56" borderId="6" xfId="1959" applyFont="1" applyFill="1" applyBorder="1" applyAlignment="1">
      <alignment horizontal="center" vertical="center"/>
    </xf>
    <xf numFmtId="0" fontId="38" fillId="57" borderId="6" xfId="0" applyFont="1" applyFill="1" applyBorder="1" applyAlignment="1">
      <alignment horizontal="right" vertical="center"/>
    </xf>
    <xf numFmtId="0" fontId="163" fillId="57" borderId="191" xfId="0" applyFont="1" applyFill="1" applyBorder="1" applyAlignment="1">
      <alignment horizontal="right" vertical="center"/>
    </xf>
    <xf numFmtId="0" fontId="163" fillId="57" borderId="198" xfId="0" applyFont="1" applyFill="1" applyBorder="1" applyAlignment="1">
      <alignment horizontal="right" vertical="center"/>
    </xf>
    <xf numFmtId="206" fontId="163" fillId="57" borderId="210" xfId="1959" applyNumberFormat="1" applyFont="1" applyFill="1" applyBorder="1" applyAlignment="1">
      <alignment horizontal="right" vertical="center"/>
    </xf>
    <xf numFmtId="206" fontId="163" fillId="57" borderId="191" xfId="1959" applyNumberFormat="1" applyFont="1" applyFill="1" applyBorder="1" applyAlignment="1">
      <alignment horizontal="right" vertical="center"/>
    </xf>
    <xf numFmtId="0" fontId="163" fillId="57" borderId="55" xfId="0" applyFont="1" applyFill="1" applyBorder="1" applyAlignment="1">
      <alignment horizontal="right" vertical="center"/>
    </xf>
    <xf numFmtId="0" fontId="163" fillId="57" borderId="24" xfId="0" applyFont="1" applyFill="1" applyBorder="1" applyAlignment="1">
      <alignment horizontal="right" vertical="center"/>
    </xf>
    <xf numFmtId="206" fontId="163" fillId="57" borderId="217" xfId="1959" applyNumberFormat="1" applyFont="1" applyFill="1" applyBorder="1" applyAlignment="1">
      <alignment horizontal="right" vertical="center"/>
    </xf>
    <xf numFmtId="206" fontId="163" fillId="57" borderId="218" xfId="1959" applyNumberFormat="1" applyFont="1" applyFill="1" applyBorder="1" applyAlignment="1">
      <alignment horizontal="right" vertical="center"/>
    </xf>
    <xf numFmtId="0" fontId="163" fillId="57" borderId="6" xfId="0" applyFont="1" applyFill="1" applyBorder="1" applyAlignment="1">
      <alignment horizontal="right" vertical="center"/>
    </xf>
    <xf numFmtId="0" fontId="164" fillId="52" borderId="50" xfId="0" applyFont="1" applyFill="1" applyBorder="1" applyAlignment="1">
      <alignment horizontal="center" vertical="center" wrapText="1"/>
    </xf>
    <xf numFmtId="0" fontId="164" fillId="52" borderId="48" xfId="0" applyFont="1" applyFill="1" applyBorder="1" applyAlignment="1">
      <alignment horizontal="center" vertical="center" wrapText="1"/>
    </xf>
    <xf numFmtId="192" fontId="164" fillId="52" borderId="48" xfId="0" applyNumberFormat="1" applyFont="1" applyFill="1" applyBorder="1" applyAlignment="1">
      <alignment horizontal="center" vertical="center" wrapText="1"/>
    </xf>
    <xf numFmtId="0" fontId="165" fillId="52" borderId="87" xfId="0" applyFont="1" applyFill="1" applyBorder="1" applyAlignment="1">
      <alignment horizontal="center" vertical="center" wrapText="1"/>
    </xf>
    <xf numFmtId="0" fontId="164" fillId="52" borderId="134" xfId="0" applyFont="1" applyFill="1" applyBorder="1" applyAlignment="1">
      <alignment horizontal="center" vertical="center" wrapText="1"/>
    </xf>
    <xf numFmtId="0" fontId="164" fillId="52" borderId="127" xfId="0" applyFont="1" applyFill="1" applyBorder="1" applyAlignment="1">
      <alignment horizontal="center" vertical="center" wrapText="1"/>
    </xf>
    <xf numFmtId="0" fontId="164" fillId="0" borderId="22" xfId="0" applyFont="1" applyFill="1" applyBorder="1" applyAlignment="1">
      <alignment horizontal="center" vertical="center" shrinkToFit="1"/>
    </xf>
    <xf numFmtId="176" fontId="166" fillId="0" borderId="42" xfId="0" applyNumberFormat="1" applyFont="1" applyFill="1" applyBorder="1" applyAlignment="1">
      <alignment vertical="center" shrinkToFit="1"/>
    </xf>
    <xf numFmtId="188" fontId="166" fillId="0" borderId="42" xfId="0" applyNumberFormat="1" applyFont="1" applyFill="1" applyBorder="1" applyAlignment="1">
      <alignment vertical="center" shrinkToFit="1"/>
    </xf>
    <xf numFmtId="187" fontId="166" fillId="0" borderId="42" xfId="0" applyNumberFormat="1" applyFont="1" applyFill="1" applyBorder="1" applyAlignment="1">
      <alignment vertical="center" shrinkToFit="1"/>
    </xf>
    <xf numFmtId="187" fontId="167" fillId="0" borderId="42" xfId="0" applyNumberFormat="1" applyFont="1" applyFill="1" applyBorder="1" applyAlignment="1">
      <alignment vertical="center" shrinkToFit="1"/>
    </xf>
    <xf numFmtId="188" fontId="166" fillId="0" borderId="23" xfId="0" applyNumberFormat="1" applyFont="1" applyFill="1" applyBorder="1" applyAlignment="1">
      <alignment vertical="center" shrinkToFit="1"/>
    </xf>
    <xf numFmtId="188" fontId="167" fillId="0" borderId="129" xfId="0" applyNumberFormat="1" applyFont="1" applyFill="1" applyBorder="1" applyAlignment="1">
      <alignment vertical="center" shrinkToFit="1"/>
    </xf>
    <xf numFmtId="0" fontId="164" fillId="0" borderId="101" xfId="0" applyFont="1" applyFill="1" applyBorder="1" applyAlignment="1">
      <alignment horizontal="center" vertical="center" shrinkToFit="1"/>
    </xf>
    <xf numFmtId="176" fontId="166" fillId="0" borderId="93" xfId="0" applyNumberFormat="1" applyFont="1" applyFill="1" applyBorder="1" applyAlignment="1">
      <alignment vertical="center" shrinkToFit="1"/>
    </xf>
    <xf numFmtId="188" fontId="166" fillId="0" borderId="66" xfId="0" applyNumberFormat="1" applyFont="1" applyFill="1" applyBorder="1" applyAlignment="1">
      <alignment vertical="center" shrinkToFit="1"/>
    </xf>
    <xf numFmtId="187" fontId="166" fillId="0" borderId="93" xfId="0" applyNumberFormat="1" applyFont="1" applyFill="1" applyBorder="1" applyAlignment="1">
      <alignment vertical="center" shrinkToFit="1"/>
    </xf>
    <xf numFmtId="187" fontId="167" fillId="0" borderId="66" xfId="0" applyNumberFormat="1" applyFont="1" applyFill="1" applyBorder="1" applyAlignment="1">
      <alignment vertical="center" shrinkToFit="1"/>
    </xf>
    <xf numFmtId="176" fontId="168" fillId="0" borderId="93" xfId="0" applyNumberFormat="1" applyFont="1" applyFill="1" applyBorder="1" applyAlignment="1">
      <alignment vertical="center" shrinkToFit="1"/>
    </xf>
    <xf numFmtId="188" fontId="166" fillId="0" borderId="98" xfId="0" applyNumberFormat="1" applyFont="1" applyFill="1" applyBorder="1" applyAlignment="1">
      <alignment vertical="center" shrinkToFit="1"/>
    </xf>
    <xf numFmtId="188" fontId="166" fillId="0" borderId="93" xfId="0" applyNumberFormat="1" applyFont="1" applyFill="1" applyBorder="1" applyAlignment="1">
      <alignment vertical="center" shrinkToFit="1"/>
    </xf>
    <xf numFmtId="188" fontId="167" fillId="0" borderId="130" xfId="0" applyNumberFormat="1" applyFont="1" applyFill="1" applyBorder="1" applyAlignment="1">
      <alignment vertical="center" shrinkToFit="1"/>
    </xf>
    <xf numFmtId="0" fontId="164" fillId="0" borderId="102" xfId="0" applyFont="1" applyFill="1" applyBorder="1" applyAlignment="1">
      <alignment horizontal="center" vertical="center" shrinkToFit="1"/>
    </xf>
    <xf numFmtId="176" fontId="166" fillId="0" borderId="96" xfId="0" applyNumberFormat="1" applyFont="1" applyFill="1" applyBorder="1" applyAlignment="1">
      <alignment vertical="center" shrinkToFit="1"/>
    </xf>
    <xf numFmtId="188" fontId="166" fillId="0" borderId="141" xfId="0" applyNumberFormat="1" applyFont="1" applyFill="1" applyBorder="1" applyAlignment="1">
      <alignment vertical="center" shrinkToFit="1"/>
    </xf>
    <xf numFmtId="187" fontId="166" fillId="0" borderId="96" xfId="0" applyNumberFormat="1" applyFont="1" applyFill="1" applyBorder="1" applyAlignment="1">
      <alignment vertical="center" shrinkToFit="1"/>
    </xf>
    <xf numFmtId="187" fontId="167" fillId="0" borderId="141" xfId="0" applyNumberFormat="1" applyFont="1" applyFill="1" applyBorder="1" applyAlignment="1">
      <alignment vertical="center" shrinkToFit="1"/>
    </xf>
    <xf numFmtId="176" fontId="168" fillId="0" borderId="96" xfId="0" applyNumberFormat="1" applyFont="1" applyFill="1" applyBorder="1" applyAlignment="1">
      <alignment vertical="center" shrinkToFit="1"/>
    </xf>
    <xf numFmtId="188" fontId="166" fillId="0" borderId="99" xfId="0" applyNumberFormat="1" applyFont="1" applyFill="1" applyBorder="1" applyAlignment="1">
      <alignment vertical="center" shrinkToFit="1"/>
    </xf>
    <xf numFmtId="188" fontId="166" fillId="0" borderId="96" xfId="0" applyNumberFormat="1" applyFont="1" applyFill="1" applyBorder="1" applyAlignment="1">
      <alignment vertical="center" shrinkToFit="1"/>
    </xf>
    <xf numFmtId="188" fontId="167" fillId="0" borderId="139" xfId="0" applyNumberFormat="1" applyFont="1" applyFill="1" applyBorder="1" applyAlignment="1">
      <alignment vertical="center" shrinkToFit="1"/>
    </xf>
    <xf numFmtId="0" fontId="164" fillId="52" borderId="26" xfId="0" applyFont="1" applyFill="1" applyBorder="1" applyAlignment="1">
      <alignment horizontal="center" vertical="center" shrinkToFit="1"/>
    </xf>
    <xf numFmtId="176" fontId="168" fillId="52" borderId="50" xfId="0" applyNumberFormat="1" applyFont="1" applyFill="1" applyBorder="1" applyAlignment="1">
      <alignment vertical="center" shrinkToFit="1"/>
    </xf>
    <xf numFmtId="176" fontId="168" fillId="52" borderId="48" xfId="0" applyNumberFormat="1" applyFont="1" applyFill="1" applyBorder="1" applyAlignment="1">
      <alignment vertical="center" shrinkToFit="1"/>
    </xf>
    <xf numFmtId="188" fontId="168" fillId="52" borderId="58" xfId="0" applyNumberFormat="1" applyFont="1" applyFill="1" applyBorder="1" applyAlignment="1">
      <alignment vertical="center" shrinkToFit="1"/>
    </xf>
    <xf numFmtId="208" fontId="168" fillId="52" borderId="50" xfId="0" applyNumberFormat="1" applyFont="1" applyFill="1" applyBorder="1" applyAlignment="1">
      <alignment vertical="center" shrinkToFit="1"/>
    </xf>
    <xf numFmtId="187" fontId="166" fillId="52" borderId="48" xfId="0" applyNumberFormat="1" applyFont="1" applyFill="1" applyBorder="1" applyAlignment="1">
      <alignment vertical="center" shrinkToFit="1"/>
    </xf>
    <xf numFmtId="187" fontId="169" fillId="52" borderId="48" xfId="0" applyNumberFormat="1" applyFont="1" applyFill="1" applyBorder="1" applyAlignment="1">
      <alignment vertical="center" shrinkToFit="1"/>
    </xf>
    <xf numFmtId="176" fontId="168" fillId="52" borderId="134" xfId="0" applyNumberFormat="1" applyFont="1" applyFill="1" applyBorder="1" applyAlignment="1">
      <alignment vertical="center" shrinkToFit="1"/>
    </xf>
    <xf numFmtId="176" fontId="166" fillId="52" borderId="48" xfId="0" applyNumberFormat="1" applyFont="1" applyFill="1" applyBorder="1" applyAlignment="1">
      <alignment vertical="center" shrinkToFit="1"/>
    </xf>
    <xf numFmtId="188" fontId="166" fillId="52" borderId="27" xfId="0" applyNumberFormat="1" applyFont="1" applyFill="1" applyBorder="1" applyAlignment="1">
      <alignment vertical="center" shrinkToFit="1"/>
    </xf>
    <xf numFmtId="208" fontId="166" fillId="52" borderId="50" xfId="0" applyNumberFormat="1" applyFont="1" applyFill="1" applyBorder="1" applyAlignment="1">
      <alignment vertical="center" shrinkToFit="1"/>
    </xf>
    <xf numFmtId="188" fontId="166" fillId="52" borderId="48" xfId="0" applyNumberFormat="1" applyFont="1" applyFill="1" applyBorder="1" applyAlignment="1">
      <alignment vertical="center" shrinkToFit="1"/>
    </xf>
    <xf numFmtId="188" fontId="169" fillId="52" borderId="127" xfId="0" applyNumberFormat="1" applyFont="1" applyFill="1" applyBorder="1" applyAlignment="1">
      <alignment vertical="center" shrinkToFit="1"/>
    </xf>
    <xf numFmtId="176" fontId="168" fillId="0" borderId="53" xfId="0" applyNumberFormat="1" applyFont="1" applyFill="1" applyBorder="1" applyAlignment="1">
      <alignment vertical="center" shrinkToFit="1"/>
    </xf>
    <xf numFmtId="188" fontId="166" fillId="0" borderId="140" xfId="0" applyNumberFormat="1" applyFont="1" applyFill="1" applyBorder="1" applyAlignment="1">
      <alignment vertical="center" shrinkToFit="1"/>
    </xf>
    <xf numFmtId="187" fontId="166" fillId="0" borderId="53" xfId="0" applyNumberFormat="1" applyFont="1" applyFill="1" applyBorder="1" applyAlignment="1">
      <alignment vertical="center" shrinkToFit="1"/>
    </xf>
    <xf numFmtId="176" fontId="166" fillId="0" borderId="66" xfId="0" applyNumberFormat="1" applyFont="1" applyFill="1" applyBorder="1" applyAlignment="1">
      <alignment vertical="center" shrinkToFit="1"/>
    </xf>
    <xf numFmtId="188" fontId="166" fillId="0" borderId="53" xfId="0" applyNumberFormat="1" applyFont="1" applyFill="1" applyBorder="1" applyAlignment="1">
      <alignment vertical="center" shrinkToFit="1"/>
    </xf>
    <xf numFmtId="188" fontId="166" fillId="0" borderId="60" xfId="0" applyNumberFormat="1" applyFont="1" applyFill="1" applyBorder="1" applyAlignment="1">
      <alignment vertical="center" shrinkToFit="1"/>
    </xf>
    <xf numFmtId="187" fontId="167" fillId="0" borderId="60" xfId="0" applyNumberFormat="1" applyFont="1" applyFill="1" applyBorder="1" applyAlignment="1">
      <alignment vertical="center" shrinkToFit="1"/>
    </xf>
    <xf numFmtId="187" fontId="166" fillId="0" borderId="66" xfId="0" applyNumberFormat="1" applyFont="1" applyFill="1" applyBorder="1" applyAlignment="1">
      <alignment vertical="center" shrinkToFit="1"/>
    </xf>
    <xf numFmtId="188" fontId="167" fillId="0" borderId="131" xfId="0" applyNumberFormat="1" applyFont="1" applyFill="1" applyBorder="1" applyAlignment="1">
      <alignment vertical="center" shrinkToFit="1"/>
    </xf>
    <xf numFmtId="176" fontId="166" fillId="52" borderId="122" xfId="0" applyNumberFormat="1" applyFont="1" applyFill="1" applyBorder="1" applyAlignment="1">
      <alignment vertical="center" shrinkToFit="1"/>
    </xf>
    <xf numFmtId="188" fontId="166" fillId="52" borderId="122" xfId="0" applyNumberFormat="1" applyFont="1" applyFill="1" applyBorder="1" applyAlignment="1">
      <alignment vertical="center" shrinkToFit="1"/>
    </xf>
    <xf numFmtId="187" fontId="166" fillId="52" borderId="42" xfId="0" applyNumberFormat="1" applyFont="1" applyFill="1" applyBorder="1" applyAlignment="1">
      <alignment vertical="center" shrinkToFit="1"/>
    </xf>
    <xf numFmtId="176" fontId="166" fillId="52" borderId="134" xfId="0" applyNumberFormat="1" applyFont="1" applyFill="1" applyBorder="1" applyAlignment="1">
      <alignment vertical="center" shrinkToFit="1"/>
    </xf>
    <xf numFmtId="188" fontId="166" fillId="52" borderId="71" xfId="0" applyNumberFormat="1" applyFont="1" applyFill="1" applyBorder="1" applyAlignment="1">
      <alignment vertical="center" shrinkToFit="1"/>
    </xf>
    <xf numFmtId="187" fontId="169" fillId="52" borderId="127" xfId="0" applyNumberFormat="1" applyFont="1" applyFill="1" applyBorder="1" applyAlignment="1">
      <alignment vertical="center" shrinkToFit="1"/>
    </xf>
    <xf numFmtId="176" fontId="165" fillId="51" borderId="125" xfId="0" applyNumberFormat="1" applyFont="1" applyFill="1" applyBorder="1" applyAlignment="1">
      <alignment vertical="center" shrinkToFit="1"/>
    </xf>
    <xf numFmtId="187" fontId="167" fillId="52" borderId="48" xfId="0" applyNumberFormat="1" applyFont="1" applyFill="1" applyBorder="1" applyAlignment="1">
      <alignment vertical="center" shrinkToFit="1"/>
    </xf>
    <xf numFmtId="188" fontId="165" fillId="51" borderId="116" xfId="0" applyNumberFormat="1" applyFont="1" applyFill="1" applyBorder="1" applyAlignment="1">
      <alignment vertical="center" shrinkToFit="1"/>
    </xf>
    <xf numFmtId="208" fontId="166" fillId="52" borderId="87" xfId="0" applyNumberFormat="1" applyFont="1" applyFill="1" applyBorder="1" applyAlignment="1">
      <alignment vertical="center" shrinkToFit="1"/>
    </xf>
    <xf numFmtId="188" fontId="167" fillId="52" borderId="127" xfId="0" applyNumberFormat="1" applyFont="1" applyFill="1" applyBorder="1" applyAlignment="1">
      <alignment vertical="center" shrinkToFit="1"/>
    </xf>
    <xf numFmtId="187" fontId="166" fillId="0" borderId="123" xfId="0" applyNumberFormat="1" applyFont="1" applyFill="1" applyBorder="1" applyAlignment="1">
      <alignment vertical="center" shrinkToFit="1"/>
    </xf>
    <xf numFmtId="188" fontId="166" fillId="0" borderId="123" xfId="0" applyNumberFormat="1" applyFont="1" applyFill="1" applyBorder="1" applyAlignment="1">
      <alignment vertical="center" shrinkToFit="1"/>
    </xf>
    <xf numFmtId="188" fontId="166" fillId="0" borderId="117" xfId="0" applyNumberFormat="1" applyFont="1" applyFill="1" applyBorder="1" applyAlignment="1">
      <alignment vertical="center" shrinkToFit="1"/>
    </xf>
    <xf numFmtId="190" fontId="167" fillId="0" borderId="133" xfId="0" applyNumberFormat="1" applyFont="1" applyFill="1" applyBorder="1" applyAlignment="1">
      <alignment vertical="center" shrinkToFit="1"/>
    </xf>
    <xf numFmtId="0" fontId="164" fillId="0" borderId="68" xfId="0" applyFont="1" applyFill="1" applyBorder="1" applyAlignment="1">
      <alignment horizontal="center" vertical="center" shrinkToFit="1"/>
    </xf>
    <xf numFmtId="188" fontId="166" fillId="0" borderId="0" xfId="0" applyNumberFormat="1" applyFont="1" applyFill="1" applyBorder="1" applyAlignment="1">
      <alignment vertical="center" shrinkToFit="1"/>
    </xf>
    <xf numFmtId="187" fontId="166" fillId="0" borderId="0" xfId="0" applyNumberFormat="1" applyFont="1" applyFill="1" applyBorder="1" applyAlignment="1">
      <alignment vertical="center" shrinkToFit="1"/>
    </xf>
    <xf numFmtId="176" fontId="170" fillId="0" borderId="0" xfId="0" applyNumberFormat="1" applyFont="1" applyFill="1" applyBorder="1" applyAlignment="1">
      <alignment vertical="center" shrinkToFit="1"/>
    </xf>
    <xf numFmtId="210" fontId="170" fillId="0" borderId="0" xfId="0" applyNumberFormat="1" applyFont="1" applyFill="1" applyBorder="1" applyAlignment="1">
      <alignment vertical="center" shrinkToFit="1"/>
    </xf>
    <xf numFmtId="176" fontId="166" fillId="0" borderId="0" xfId="0" applyNumberFormat="1" applyFont="1" applyFill="1" applyBorder="1" applyAlignment="1">
      <alignment vertical="center" shrinkToFit="1"/>
    </xf>
    <xf numFmtId="207" fontId="166" fillId="0" borderId="0" xfId="0" applyNumberFormat="1" applyFont="1" applyFill="1" applyBorder="1" applyAlignment="1">
      <alignment vertical="center" shrinkToFit="1"/>
    </xf>
    <xf numFmtId="190" fontId="167" fillId="0" borderId="0" xfId="0" applyNumberFormat="1" applyFont="1" applyFill="1" applyBorder="1" applyAlignment="1">
      <alignment vertical="center" shrinkToFit="1"/>
    </xf>
    <xf numFmtId="0" fontId="166" fillId="0" borderId="0" xfId="0" applyFont="1" applyFill="1" applyBorder="1" applyAlignment="1">
      <alignment horizontal="center" vertical="center"/>
    </xf>
    <xf numFmtId="3" fontId="166" fillId="0" borderId="0" xfId="0" applyNumberFormat="1" applyFont="1" applyFill="1" applyBorder="1" applyAlignment="1">
      <alignment horizontal="right" vertical="center"/>
    </xf>
    <xf numFmtId="3" fontId="171" fillId="0" borderId="0" xfId="0" applyNumberFormat="1" applyFont="1" applyFill="1" applyBorder="1" applyAlignment="1">
      <alignment horizontal="right" vertical="center"/>
    </xf>
    <xf numFmtId="190" fontId="167" fillId="0" borderId="0" xfId="0" applyNumberFormat="1" applyFont="1" applyFill="1" applyBorder="1" applyAlignment="1">
      <alignment horizontal="center" vertical="center"/>
    </xf>
    <xf numFmtId="0" fontId="165" fillId="52" borderId="151" xfId="0" applyFont="1" applyFill="1" applyBorder="1" applyAlignment="1">
      <alignment horizontal="center" vertical="center"/>
    </xf>
    <xf numFmtId="0" fontId="164" fillId="52" borderId="142" xfId="0" applyFont="1" applyFill="1" applyBorder="1" applyAlignment="1">
      <alignment horizontal="center" vertical="center"/>
    </xf>
    <xf numFmtId="0" fontId="164" fillId="52" borderId="226" xfId="0" applyFont="1" applyFill="1" applyBorder="1" applyAlignment="1">
      <alignment horizontal="center" vertical="center" wrapText="1"/>
    </xf>
    <xf numFmtId="3" fontId="165" fillId="52" borderId="227" xfId="0" applyNumberFormat="1" applyFont="1" applyFill="1" applyBorder="1" applyAlignment="1">
      <alignment horizontal="center" vertical="center"/>
    </xf>
    <xf numFmtId="0" fontId="164" fillId="52" borderId="151" xfId="0" applyFont="1" applyFill="1" applyBorder="1" applyAlignment="1">
      <alignment horizontal="center" vertical="center"/>
    </xf>
    <xf numFmtId="0" fontId="164" fillId="52" borderId="51" xfId="0" applyFont="1" applyFill="1" applyBorder="1" applyAlignment="1">
      <alignment horizontal="center" vertical="center" wrapText="1"/>
    </xf>
    <xf numFmtId="0" fontId="164" fillId="52" borderId="227" xfId="0" applyFont="1" applyFill="1" applyBorder="1" applyAlignment="1">
      <alignment horizontal="center" vertical="center"/>
    </xf>
    <xf numFmtId="206" fontId="168" fillId="0" borderId="53" xfId="1959" applyNumberFormat="1" applyFont="1" applyFill="1" applyBorder="1" applyAlignment="1">
      <alignment vertical="center"/>
    </xf>
    <xf numFmtId="192" fontId="168" fillId="0" borderId="61" xfId="0" applyNumberFormat="1" applyFont="1" applyFill="1" applyBorder="1" applyAlignment="1">
      <alignment vertical="center"/>
    </xf>
    <xf numFmtId="192" fontId="166" fillId="0" borderId="53" xfId="0" applyNumberFormat="1" applyFont="1" applyFill="1" applyBorder="1" applyAlignment="1">
      <alignment horizontal="center" vertical="center"/>
    </xf>
    <xf numFmtId="192" fontId="168" fillId="0" borderId="61" xfId="0" applyNumberFormat="1" applyFont="1" applyFill="1" applyBorder="1" applyAlignment="1">
      <alignment horizontal="center" vertical="center"/>
    </xf>
    <xf numFmtId="206" fontId="168" fillId="0" borderId="93" xfId="1959" applyNumberFormat="1" applyFont="1" applyFill="1" applyBorder="1" applyAlignment="1">
      <alignment vertical="center"/>
    </xf>
    <xf numFmtId="192" fontId="168" fillId="0" borderId="94" xfId="0" applyNumberFormat="1" applyFont="1" applyFill="1" applyBorder="1" applyAlignment="1">
      <alignment vertical="center"/>
    </xf>
    <xf numFmtId="192" fontId="166" fillId="0" borderId="93" xfId="0" applyNumberFormat="1" applyFont="1" applyFill="1" applyBorder="1" applyAlignment="1">
      <alignment horizontal="center" vertical="center"/>
    </xf>
    <xf numFmtId="192" fontId="168" fillId="0" borderId="94" xfId="0" applyNumberFormat="1" applyFont="1" applyFill="1" applyBorder="1" applyAlignment="1">
      <alignment horizontal="center" vertical="center"/>
    </xf>
    <xf numFmtId="206" fontId="168" fillId="0" borderId="96" xfId="1959" applyNumberFormat="1" applyFont="1" applyFill="1" applyBorder="1" applyAlignment="1">
      <alignment vertical="center"/>
    </xf>
    <xf numFmtId="192" fontId="168" fillId="0" borderId="97" xfId="0" applyNumberFormat="1" applyFont="1" applyFill="1" applyBorder="1" applyAlignment="1">
      <alignment vertical="center"/>
    </xf>
    <xf numFmtId="192" fontId="166" fillId="0" borderId="96" xfId="0" applyNumberFormat="1" applyFont="1" applyFill="1" applyBorder="1" applyAlignment="1">
      <alignment horizontal="center" vertical="center"/>
    </xf>
    <xf numFmtId="192" fontId="168" fillId="0" borderId="97" xfId="0" applyNumberFormat="1" applyFont="1" applyFill="1" applyBorder="1" applyAlignment="1">
      <alignment horizontal="center" vertical="center"/>
    </xf>
    <xf numFmtId="205" fontId="168" fillId="52" borderId="48" xfId="0" applyNumberFormat="1" applyFont="1" applyFill="1" applyBorder="1" applyAlignment="1">
      <alignment vertical="center"/>
    </xf>
    <xf numFmtId="192" fontId="168" fillId="52" borderId="51" xfId="0" applyNumberFormat="1" applyFont="1" applyFill="1" applyBorder="1" applyAlignment="1">
      <alignment horizontal="center" vertical="center"/>
    </xf>
    <xf numFmtId="192" fontId="166" fillId="52" borderId="48" xfId="0" applyNumberFormat="1" applyFont="1" applyFill="1" applyBorder="1" applyAlignment="1">
      <alignment horizontal="center" vertical="center"/>
    </xf>
    <xf numFmtId="206" fontId="166" fillId="52" borderId="134" xfId="0" applyNumberFormat="1" applyFont="1" applyFill="1" applyBorder="1" applyAlignment="1">
      <alignment vertical="center"/>
    </xf>
    <xf numFmtId="206" fontId="166" fillId="52" borderId="48" xfId="1959" applyNumberFormat="1" applyFont="1" applyFill="1" applyBorder="1" applyAlignment="1">
      <alignment vertical="center"/>
    </xf>
    <xf numFmtId="206" fontId="166" fillId="52" borderId="87" xfId="1959" applyNumberFormat="1" applyFont="1" applyFill="1" applyBorder="1" applyAlignment="1">
      <alignment horizontal="right" vertical="center"/>
    </xf>
    <xf numFmtId="188" fontId="166" fillId="52" borderId="48" xfId="0" applyNumberFormat="1" applyFont="1" applyFill="1" applyBorder="1" applyAlignment="1">
      <alignment horizontal="center" vertical="center"/>
    </xf>
    <xf numFmtId="205" fontId="168" fillId="52" borderId="122" xfId="0" applyNumberFormat="1" applyFont="1" applyFill="1" applyBorder="1" applyAlignment="1">
      <alignment vertical="center"/>
    </xf>
    <xf numFmtId="192" fontId="168" fillId="52" borderId="228" xfId="0" applyNumberFormat="1" applyFont="1" applyFill="1" applyBorder="1" applyAlignment="1">
      <alignment horizontal="center" vertical="center"/>
    </xf>
    <xf numFmtId="206" fontId="170" fillId="52" borderId="134" xfId="0" applyNumberFormat="1" applyFont="1" applyFill="1" applyBorder="1" applyAlignment="1">
      <alignment vertical="center"/>
    </xf>
    <xf numFmtId="206" fontId="166" fillId="52" borderId="122" xfId="0" applyNumberFormat="1" applyFont="1" applyFill="1" applyBorder="1" applyAlignment="1">
      <alignment vertical="center"/>
    </xf>
    <xf numFmtId="206" fontId="166" fillId="52" borderId="87" xfId="0" applyNumberFormat="1" applyFont="1" applyFill="1" applyBorder="1" applyAlignment="1">
      <alignment horizontal="right" vertical="center"/>
    </xf>
    <xf numFmtId="206" fontId="165" fillId="51" borderId="144" xfId="0" applyNumberFormat="1" applyFont="1" applyFill="1" applyBorder="1" applyAlignment="1">
      <alignment vertical="center"/>
    </xf>
    <xf numFmtId="192" fontId="165" fillId="51" borderId="229" xfId="0" applyNumberFormat="1" applyFont="1" applyFill="1" applyBorder="1" applyAlignment="1">
      <alignment horizontal="center" vertical="center"/>
    </xf>
    <xf numFmtId="192" fontId="166" fillId="52" borderId="223" xfId="0" applyNumberFormat="1" applyFont="1" applyFill="1" applyBorder="1" applyAlignment="1">
      <alignment horizontal="center" vertical="center"/>
    </xf>
    <xf numFmtId="206" fontId="168" fillId="52" borderId="82" xfId="0" applyNumberFormat="1" applyFont="1" applyFill="1" applyBorder="1" applyAlignment="1">
      <alignment vertical="center"/>
    </xf>
    <xf numFmtId="206" fontId="166" fillId="52" borderId="167" xfId="0" applyNumberFormat="1" applyFont="1" applyFill="1" applyBorder="1" applyAlignment="1">
      <alignment horizontal="right" vertical="center"/>
    </xf>
    <xf numFmtId="188" fontId="166" fillId="52" borderId="223" xfId="0" applyNumberFormat="1" applyFont="1" applyFill="1" applyBorder="1" applyAlignment="1">
      <alignment horizontal="center" vertical="center"/>
    </xf>
    <xf numFmtId="176" fontId="168" fillId="52" borderId="58" xfId="0" applyNumberFormat="1" applyFont="1" applyFill="1" applyBorder="1" applyAlignment="1">
      <alignment vertical="center" shrinkToFit="1"/>
    </xf>
    <xf numFmtId="208" fontId="168" fillId="52" borderId="87" xfId="0" applyNumberFormat="1" applyFont="1" applyFill="1" applyBorder="1" applyAlignment="1">
      <alignment vertical="center" shrinkToFit="1"/>
    </xf>
    <xf numFmtId="188" fontId="164" fillId="51" borderId="231" xfId="0" applyNumberFormat="1" applyFont="1" applyFill="1" applyBorder="1" applyAlignment="1">
      <alignment vertical="center" shrinkToFit="1"/>
    </xf>
    <xf numFmtId="188" fontId="166" fillId="0" borderId="232" xfId="0" applyNumberFormat="1" applyFont="1" applyFill="1" applyBorder="1" applyAlignment="1">
      <alignment vertical="center" shrinkToFit="1"/>
    </xf>
    <xf numFmtId="0" fontId="41" fillId="0" borderId="0" xfId="0" applyFont="1" applyAlignment="1">
      <alignment vertical="center"/>
    </xf>
    <xf numFmtId="189" fontId="116" fillId="17" borderId="16" xfId="1959" applyNumberFormat="1" applyFont="1" applyFill="1" applyBorder="1" applyAlignment="1">
      <alignment horizontal="right" vertical="center"/>
    </xf>
    <xf numFmtId="41" fontId="118" fillId="58" borderId="209" xfId="1959" applyFont="1" applyFill="1" applyBorder="1" applyAlignment="1">
      <alignment horizontal="center" vertical="center"/>
    </xf>
    <xf numFmtId="206" fontId="163" fillId="57" borderId="211" xfId="1959" applyNumberFormat="1" applyFont="1" applyFill="1" applyBorder="1" applyAlignment="1">
      <alignment horizontal="right" vertical="center"/>
    </xf>
    <xf numFmtId="206" fontId="163" fillId="57" borderId="219" xfId="1959" applyNumberFormat="1" applyFont="1" applyFill="1" applyBorder="1" applyAlignment="1">
      <alignment horizontal="right" vertical="center"/>
    </xf>
    <xf numFmtId="186" fontId="40" fillId="17" borderId="15" xfId="0" applyNumberFormat="1" applyFont="1" applyFill="1" applyBorder="1" applyAlignment="1">
      <alignment vertical="center"/>
    </xf>
    <xf numFmtId="41" fontId="40" fillId="17" borderId="25" xfId="1959" applyNumberFormat="1" applyFont="1" applyFill="1" applyBorder="1" applyAlignment="1">
      <alignment horizontal="center" vertical="center"/>
    </xf>
    <xf numFmtId="186" fontId="40" fillId="17" borderId="34" xfId="0" applyNumberFormat="1" applyFont="1" applyFill="1" applyBorder="1" applyAlignment="1">
      <alignment vertical="center"/>
    </xf>
    <xf numFmtId="195" fontId="40" fillId="17" borderId="100" xfId="1959" applyNumberFormat="1" applyFont="1" applyFill="1" applyBorder="1" applyAlignment="1">
      <alignment horizontal="center" vertical="center"/>
    </xf>
    <xf numFmtId="186" fontId="40" fillId="17" borderId="34" xfId="0" applyNumberFormat="1" applyFont="1" applyFill="1" applyBorder="1" applyAlignment="1">
      <alignment horizontal="right" vertical="center"/>
    </xf>
    <xf numFmtId="41" fontId="40" fillId="17" borderId="100" xfId="1959" applyNumberFormat="1" applyFont="1" applyFill="1" applyBorder="1" applyAlignment="1">
      <alignment horizontal="center" vertical="center"/>
    </xf>
    <xf numFmtId="182" fontId="40" fillId="52" borderId="191" xfId="0" applyNumberFormat="1" applyFont="1" applyFill="1" applyBorder="1" applyAlignment="1">
      <alignment horizontal="center" vertical="center"/>
    </xf>
    <xf numFmtId="195" fontId="40" fillId="52" borderId="191" xfId="1959" applyNumberFormat="1" applyFont="1" applyFill="1" applyBorder="1" applyAlignment="1">
      <alignment horizontal="center" vertical="center"/>
    </xf>
    <xf numFmtId="41" fontId="40" fillId="52" borderId="191" xfId="1959" applyNumberFormat="1" applyFont="1" applyFill="1" applyBorder="1" applyAlignment="1">
      <alignment horizontal="center" vertical="center"/>
    </xf>
    <xf numFmtId="41" fontId="116" fillId="17" borderId="100" xfId="1959" applyNumberFormat="1" applyFont="1" applyFill="1" applyBorder="1" applyAlignment="1">
      <alignment horizontal="center" vertical="center"/>
    </xf>
    <xf numFmtId="41" fontId="40" fillId="0" borderId="100" xfId="1959" applyNumberFormat="1" applyFont="1" applyFill="1" applyBorder="1" applyAlignment="1">
      <alignment horizontal="center" vertical="center"/>
    </xf>
    <xf numFmtId="182" fontId="40" fillId="52" borderId="55" xfId="0" applyNumberFormat="1" applyFont="1" applyFill="1" applyBorder="1" applyAlignment="1">
      <alignment horizontal="center" vertical="center"/>
    </xf>
    <xf numFmtId="195" fontId="40" fillId="52" borderId="55" xfId="1959" applyNumberFormat="1" applyFont="1" applyFill="1" applyBorder="1" applyAlignment="1">
      <alignment horizontal="center" vertical="center"/>
    </xf>
    <xf numFmtId="41" fontId="40" fillId="52" borderId="55" xfId="1959" applyNumberFormat="1" applyFont="1" applyFill="1" applyBorder="1" applyAlignment="1">
      <alignment horizontal="center" vertical="center"/>
    </xf>
    <xf numFmtId="193" fontId="51" fillId="0" borderId="58" xfId="0" applyNumberFormat="1" applyFont="1" applyBorder="1"/>
    <xf numFmtId="193" fontId="51" fillId="0" borderId="60" xfId="0" applyNumberFormat="1" applyFont="1" applyBorder="1"/>
    <xf numFmtId="193" fontId="51" fillId="52" borderId="58" xfId="2639" applyNumberFormat="1" applyFont="1" applyFill="1" applyBorder="1">
      <alignment vertical="center"/>
    </xf>
    <xf numFmtId="41" fontId="171" fillId="0" borderId="0" xfId="1959" applyFont="1" applyFill="1" applyBorder="1" applyAlignment="1">
      <alignment vertical="center" shrinkToFit="1"/>
    </xf>
    <xf numFmtId="210" fontId="171" fillId="0" borderId="0" xfId="1959" applyNumberFormat="1" applyFont="1" applyFill="1" applyBorder="1" applyAlignment="1">
      <alignment vertical="center" shrinkToFit="1"/>
    </xf>
    <xf numFmtId="193" fontId="40" fillId="17" borderId="100" xfId="1959" applyNumberFormat="1" applyFont="1" applyFill="1" applyBorder="1" applyAlignment="1">
      <alignment horizontal="right" vertical="center"/>
    </xf>
    <xf numFmtId="192" fontId="164" fillId="52" borderId="51" xfId="0" applyNumberFormat="1" applyFont="1" applyFill="1" applyBorder="1" applyAlignment="1">
      <alignment horizontal="center" vertical="center" wrapText="1"/>
    </xf>
    <xf numFmtId="0" fontId="163" fillId="0" borderId="6" xfId="0" applyFont="1" applyFill="1" applyBorder="1" applyAlignment="1">
      <alignment horizontal="right" vertical="center"/>
    </xf>
    <xf numFmtId="0" fontId="163" fillId="0" borderId="26" xfId="0" applyFont="1" applyFill="1" applyBorder="1" applyAlignment="1">
      <alignment horizontal="right" vertical="center"/>
    </xf>
    <xf numFmtId="0" fontId="40" fillId="52" borderId="6" xfId="0" applyFont="1" applyFill="1" applyBorder="1" applyAlignment="1">
      <alignment horizontal="center" vertical="center"/>
    </xf>
    <xf numFmtId="182" fontId="40" fillId="17" borderId="33" xfId="0" applyNumberFormat="1" applyFont="1" applyFill="1" applyBorder="1" applyAlignment="1">
      <alignment horizontal="center" vertical="center"/>
    </xf>
    <xf numFmtId="182" fontId="40" fillId="17" borderId="55" xfId="0" applyNumberFormat="1" applyFont="1" applyFill="1" applyBorder="1" applyAlignment="1">
      <alignment horizontal="center" vertical="center"/>
    </xf>
    <xf numFmtId="182" fontId="40" fillId="17" borderId="34" xfId="0" applyNumberFormat="1" applyFont="1" applyFill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177" fontId="42" fillId="0" borderId="0" xfId="0" applyNumberFormat="1" applyFont="1" applyAlignment="1">
      <alignment vertical="center"/>
    </xf>
    <xf numFmtId="177" fontId="42" fillId="52" borderId="8" xfId="0" applyNumberFormat="1" applyFont="1" applyFill="1" applyBorder="1" applyAlignment="1">
      <alignment horizontal="centerContinuous" vertical="center"/>
    </xf>
    <xf numFmtId="177" fontId="42" fillId="52" borderId="10" xfId="0" applyNumberFormat="1" applyFont="1" applyFill="1" applyBorder="1" applyAlignment="1">
      <alignment horizontal="center" vertical="center"/>
    </xf>
    <xf numFmtId="177" fontId="42" fillId="17" borderId="15" xfId="0" applyNumberFormat="1" applyFont="1" applyFill="1" applyBorder="1" applyAlignment="1">
      <alignment vertical="center"/>
    </xf>
    <xf numFmtId="177" fontId="42" fillId="17" borderId="105" xfId="0" applyNumberFormat="1" applyFont="1" applyFill="1" applyBorder="1" applyAlignment="1">
      <alignment vertical="center"/>
    </xf>
    <xf numFmtId="177" fontId="42" fillId="17" borderId="14" xfId="0" applyNumberFormat="1" applyFont="1" applyFill="1" applyBorder="1" applyAlignment="1">
      <alignment vertical="center"/>
    </xf>
    <xf numFmtId="177" fontId="59" fillId="0" borderId="0" xfId="0" applyNumberFormat="1" applyFont="1" applyBorder="1" applyAlignment="1">
      <alignment horizontal="center" vertical="center"/>
    </xf>
    <xf numFmtId="176" fontId="42" fillId="17" borderId="15" xfId="0" applyNumberFormat="1" applyFont="1" applyFill="1" applyBorder="1" applyAlignment="1">
      <alignment vertical="center"/>
    </xf>
    <xf numFmtId="176" fontId="42" fillId="17" borderId="100" xfId="0" applyNumberFormat="1" applyFont="1" applyFill="1" applyBorder="1" applyAlignment="1">
      <alignment vertical="center"/>
    </xf>
    <xf numFmtId="176" fontId="42" fillId="17" borderId="105" xfId="0" applyNumberFormat="1" applyFont="1" applyFill="1" applyBorder="1" applyAlignment="1">
      <alignment vertical="center"/>
    </xf>
    <xf numFmtId="176" fontId="42" fillId="17" borderId="6" xfId="0" applyNumberFormat="1" applyFont="1" applyFill="1" applyBorder="1" applyAlignment="1">
      <alignment vertical="center"/>
    </xf>
    <xf numFmtId="176" fontId="42" fillId="17" borderId="33" xfId="0" applyNumberFormat="1" applyFont="1" applyFill="1" applyBorder="1" applyAlignment="1">
      <alignment vertical="center"/>
    </xf>
    <xf numFmtId="176" fontId="114" fillId="17" borderId="100" xfId="0" applyNumberFormat="1" applyFont="1" applyFill="1" applyBorder="1" applyAlignment="1">
      <alignment vertical="center"/>
    </xf>
    <xf numFmtId="176" fontId="114" fillId="17" borderId="33" xfId="0" applyNumberFormat="1" applyFont="1" applyFill="1" applyBorder="1" applyAlignment="1">
      <alignment vertical="center"/>
    </xf>
    <xf numFmtId="176" fontId="114" fillId="0" borderId="100" xfId="1959" applyNumberFormat="1" applyFont="1" applyFill="1" applyBorder="1" applyAlignment="1">
      <alignment vertical="center"/>
    </xf>
    <xf numFmtId="176" fontId="42" fillId="18" borderId="6" xfId="1959" applyNumberFormat="1" applyFont="1" applyFill="1" applyBorder="1" applyAlignment="1">
      <alignment vertical="center"/>
    </xf>
    <xf numFmtId="176" fontId="114" fillId="0" borderId="15" xfId="1959" applyNumberFormat="1" applyFont="1" applyFill="1" applyBorder="1" applyAlignment="1">
      <alignment vertical="center"/>
    </xf>
    <xf numFmtId="176" fontId="114" fillId="0" borderId="55" xfId="1959" applyNumberFormat="1" applyFont="1" applyFill="1" applyBorder="1" applyAlignment="1">
      <alignment vertical="center"/>
    </xf>
    <xf numFmtId="176" fontId="114" fillId="17" borderId="15" xfId="1959" applyNumberFormat="1" applyFont="1" applyFill="1" applyBorder="1" applyAlignment="1">
      <alignment vertical="center"/>
    </xf>
    <xf numFmtId="176" fontId="115" fillId="18" borderId="6" xfId="1959" applyNumberFormat="1" applyFont="1" applyFill="1" applyBorder="1" applyAlignment="1">
      <alignment vertical="center"/>
    </xf>
    <xf numFmtId="176" fontId="114" fillId="17" borderId="100" xfId="1959" applyNumberFormat="1" applyFont="1" applyFill="1" applyBorder="1" applyAlignment="1">
      <alignment vertical="center"/>
    </xf>
    <xf numFmtId="176" fontId="42" fillId="17" borderId="14" xfId="0" applyNumberFormat="1" applyFont="1" applyFill="1" applyBorder="1" applyAlignment="1">
      <alignment vertical="center"/>
    </xf>
    <xf numFmtId="176" fontId="46" fillId="0" borderId="0" xfId="0" applyNumberFormat="1" applyFont="1" applyBorder="1" applyAlignment="1">
      <alignment horizontal="center" vertical="center"/>
    </xf>
    <xf numFmtId="41" fontId="115" fillId="18" borderId="6" xfId="1959" applyFont="1" applyFill="1" applyBorder="1" applyAlignment="1">
      <alignment vertical="center"/>
    </xf>
    <xf numFmtId="41" fontId="42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0" fillId="17" borderId="100" xfId="1959" applyNumberFormat="1" applyFont="1" applyFill="1" applyBorder="1" applyAlignment="1">
      <alignment horizontal="right" vertical="center"/>
    </xf>
    <xf numFmtId="0" fontId="144" fillId="0" borderId="95" xfId="2697" applyFont="1" applyFill="1" applyBorder="1" applyAlignment="1">
      <alignment horizontal="center" vertical="center"/>
    </xf>
    <xf numFmtId="41" fontId="54" fillId="0" borderId="96" xfId="1959" applyFont="1" applyBorder="1" applyAlignment="1">
      <alignment vertical="center"/>
    </xf>
    <xf numFmtId="0" fontId="141" fillId="0" borderId="0" xfId="2697" applyFont="1" applyBorder="1" applyAlignment="1">
      <alignment horizontal="center" vertical="center"/>
    </xf>
    <xf numFmtId="0" fontId="141" fillId="0" borderId="59" xfId="2697" applyFont="1" applyBorder="1" applyAlignment="1">
      <alignment horizontal="center" vertical="center"/>
    </xf>
    <xf numFmtId="0" fontId="0" fillId="0" borderId="0" xfId="0"/>
    <xf numFmtId="0" fontId="173" fillId="0" borderId="0" xfId="0" applyFont="1" applyAlignment="1">
      <alignment vertical="center"/>
    </xf>
    <xf numFmtId="0" fontId="172" fillId="0" borderId="0" xfId="0" applyFont="1" applyAlignment="1">
      <alignment vertical="center"/>
    </xf>
    <xf numFmtId="0" fontId="174" fillId="52" borderId="181" xfId="0" applyFont="1" applyFill="1" applyBorder="1" applyAlignment="1">
      <alignment horizontal="center" vertical="center" wrapText="1"/>
    </xf>
    <xf numFmtId="0" fontId="174" fillId="54" borderId="182" xfId="0" applyFont="1" applyFill="1" applyBorder="1" applyAlignment="1">
      <alignment horizontal="center" vertical="center" wrapText="1"/>
    </xf>
    <xf numFmtId="0" fontId="174" fillId="54" borderId="184" xfId="0" applyFont="1" applyFill="1" applyBorder="1" applyAlignment="1">
      <alignment horizontal="center" vertical="center" wrapText="1"/>
    </xf>
    <xf numFmtId="190" fontId="176" fillId="0" borderId="184" xfId="2696" applyNumberFormat="1" applyFont="1" applyFill="1" applyBorder="1" applyAlignment="1">
      <alignment horizontal="center" vertical="center" wrapText="1"/>
    </xf>
    <xf numFmtId="190" fontId="174" fillId="0" borderId="185" xfId="2696" applyNumberFormat="1" applyFont="1" applyFill="1" applyBorder="1" applyAlignment="1">
      <alignment horizontal="center" vertical="center" wrapText="1"/>
    </xf>
    <xf numFmtId="0" fontId="174" fillId="54" borderId="185" xfId="0" applyFont="1" applyFill="1" applyBorder="1" applyAlignment="1">
      <alignment horizontal="center" vertical="center" wrapText="1"/>
    </xf>
    <xf numFmtId="0" fontId="172" fillId="0" borderId="0" xfId="0" quotePrefix="1" applyFont="1" applyAlignment="1">
      <alignment horizontal="center" vertical="center"/>
    </xf>
    <xf numFmtId="0" fontId="174" fillId="54" borderId="240" xfId="0" applyFont="1" applyFill="1" applyBorder="1" applyAlignment="1">
      <alignment horizontal="center" vertical="center" wrapText="1"/>
    </xf>
    <xf numFmtId="190" fontId="174" fillId="0" borderId="240" xfId="2696" applyNumberFormat="1" applyFont="1" applyFill="1" applyBorder="1" applyAlignment="1">
      <alignment horizontal="center" vertical="center" wrapText="1"/>
    </xf>
    <xf numFmtId="190" fontId="176" fillId="0" borderId="240" xfId="2696" applyNumberFormat="1" applyFont="1" applyFill="1" applyBorder="1" applyAlignment="1">
      <alignment horizontal="center" vertical="center" wrapText="1"/>
    </xf>
    <xf numFmtId="215" fontId="175" fillId="0" borderId="200" xfId="1959" applyNumberFormat="1" applyFont="1" applyBorder="1" applyAlignment="1">
      <alignment horizontal="right" vertical="center" wrapText="1" indent="1"/>
    </xf>
    <xf numFmtId="190" fontId="174" fillId="0" borderId="200" xfId="2696" applyNumberFormat="1" applyFont="1" applyFill="1" applyBorder="1" applyAlignment="1">
      <alignment horizontal="center" vertical="center" wrapText="1"/>
    </xf>
    <xf numFmtId="215" fontId="175" fillId="0" borderId="240" xfId="1959" applyNumberFormat="1" applyFont="1" applyBorder="1" applyAlignment="1">
      <alignment horizontal="right" vertical="center" wrapText="1" indent="1"/>
    </xf>
    <xf numFmtId="0" fontId="174" fillId="52" borderId="180" xfId="0" applyFont="1" applyFill="1" applyBorder="1" applyAlignment="1">
      <alignment horizontal="center" vertical="center" wrapText="1"/>
    </xf>
    <xf numFmtId="190" fontId="174" fillId="0" borderId="241" xfId="2696" applyNumberFormat="1" applyFont="1" applyFill="1" applyBorder="1" applyAlignment="1">
      <alignment horizontal="center" vertical="center" wrapText="1"/>
    </xf>
    <xf numFmtId="190" fontId="174" fillId="0" borderId="242" xfId="0" applyNumberFormat="1" applyFont="1" applyFill="1" applyBorder="1" applyAlignment="1">
      <alignment horizontal="center" vertical="center" wrapText="1"/>
    </xf>
    <xf numFmtId="190" fontId="174" fillId="0" borderId="241" xfId="0" applyNumberFormat="1" applyFont="1" applyFill="1" applyBorder="1" applyAlignment="1">
      <alignment horizontal="center" vertical="center" wrapText="1"/>
    </xf>
    <xf numFmtId="190" fontId="174" fillId="0" borderId="243" xfId="0" applyNumberFormat="1" applyFont="1" applyFill="1" applyBorder="1" applyAlignment="1">
      <alignment horizontal="center" vertical="center" wrapText="1"/>
    </xf>
    <xf numFmtId="0" fontId="174" fillId="52" borderId="244" xfId="0" applyFont="1" applyFill="1" applyBorder="1" applyAlignment="1">
      <alignment horizontal="center" vertical="center" wrapText="1"/>
    </xf>
    <xf numFmtId="215" fontId="174" fillId="0" borderId="245" xfId="1959" applyNumberFormat="1" applyFont="1" applyBorder="1" applyAlignment="1">
      <alignment horizontal="right" vertical="center" wrapText="1" indent="1"/>
    </xf>
    <xf numFmtId="215" fontId="174" fillId="0" borderId="247" xfId="1959" applyNumberFormat="1" applyFont="1" applyBorder="1" applyAlignment="1">
      <alignment horizontal="right" vertical="center" wrapText="1" indent="1"/>
    </xf>
    <xf numFmtId="0" fontId="173" fillId="0" borderId="0" xfId="0" applyFont="1"/>
    <xf numFmtId="0" fontId="115" fillId="52" borderId="41" xfId="0" applyFont="1" applyFill="1" applyBorder="1" applyAlignment="1">
      <alignment horizontal="center" vertical="center"/>
    </xf>
    <xf numFmtId="0" fontId="115" fillId="52" borderId="42" xfId="0" applyFont="1" applyFill="1" applyBorder="1" applyAlignment="1">
      <alignment horizontal="center" vertical="center"/>
    </xf>
    <xf numFmtId="0" fontId="40" fillId="0" borderId="92" xfId="0" applyFont="1" applyBorder="1" applyAlignment="1">
      <alignment horizontal="center" vertical="center"/>
    </xf>
    <xf numFmtId="188" fontId="40" fillId="0" borderId="93" xfId="0" applyNumberFormat="1" applyFont="1" applyFill="1" applyBorder="1" applyAlignment="1">
      <alignment vertical="center" shrinkToFit="1"/>
    </xf>
    <xf numFmtId="0" fontId="40" fillId="0" borderId="95" xfId="0" applyFont="1" applyBorder="1" applyAlignment="1">
      <alignment horizontal="center" vertical="center"/>
    </xf>
    <xf numFmtId="188" fontId="40" fillId="0" borderId="96" xfId="0" applyNumberFormat="1" applyFont="1" applyFill="1" applyBorder="1" applyAlignment="1">
      <alignment vertical="center" shrinkToFit="1"/>
    </xf>
    <xf numFmtId="189" fontId="40" fillId="0" borderId="96" xfId="0" applyNumberFormat="1" applyFont="1" applyFill="1" applyBorder="1" applyAlignment="1">
      <alignment vertical="center" shrinkToFit="1"/>
    </xf>
    <xf numFmtId="188" fontId="166" fillId="0" borderId="43" xfId="0" applyNumberFormat="1" applyFont="1" applyFill="1" applyBorder="1" applyAlignment="1">
      <alignment vertical="center" shrinkToFit="1"/>
    </xf>
    <xf numFmtId="191" fontId="163" fillId="57" borderId="210" xfId="0" applyNumberFormat="1" applyFont="1" applyFill="1" applyBorder="1" applyAlignment="1">
      <alignment horizontal="right" vertical="center"/>
    </xf>
    <xf numFmtId="191" fontId="163" fillId="57" borderId="191" xfId="0" applyNumberFormat="1" applyFont="1" applyFill="1" applyBorder="1" applyAlignment="1">
      <alignment horizontal="right" vertical="center"/>
    </xf>
    <xf numFmtId="191" fontId="163" fillId="57" borderId="211" xfId="0" applyNumberFormat="1" applyFont="1" applyFill="1" applyBorder="1" applyAlignment="1">
      <alignment horizontal="right" vertical="center"/>
    </xf>
    <xf numFmtId="191" fontId="163" fillId="57" borderId="212" xfId="0" applyNumberFormat="1" applyFont="1" applyFill="1" applyBorder="1" applyAlignment="1">
      <alignment horizontal="right" vertical="center"/>
    </xf>
    <xf numFmtId="191" fontId="163" fillId="57" borderId="55" xfId="0" applyNumberFormat="1" applyFont="1" applyFill="1" applyBorder="1" applyAlignment="1">
      <alignment horizontal="right" vertical="center"/>
    </xf>
    <xf numFmtId="191" fontId="163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4" fillId="0" borderId="240" xfId="1959" applyNumberFormat="1" applyFont="1" applyBorder="1" applyAlignment="1">
      <alignment horizontal="right" vertical="center" wrapText="1" indent="1"/>
    </xf>
    <xf numFmtId="176" fontId="119" fillId="17" borderId="100" xfId="1959" applyNumberFormat="1" applyFont="1" applyFill="1" applyBorder="1" applyAlignment="1">
      <alignment vertical="center"/>
    </xf>
    <xf numFmtId="176" fontId="119" fillId="0" borderId="15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19" fillId="0" borderId="16" xfId="1959" applyNumberFormat="1" applyFont="1" applyFill="1" applyBorder="1" applyAlignment="1">
      <alignment vertical="center"/>
    </xf>
    <xf numFmtId="176" fontId="119" fillId="0" borderId="100" xfId="0" applyNumberFormat="1" applyFont="1" applyFill="1" applyBorder="1" applyAlignment="1">
      <alignment vertical="center"/>
    </xf>
    <xf numFmtId="176" fontId="119" fillId="0" borderId="100" xfId="1959" applyNumberFormat="1" applyFont="1" applyFill="1" applyBorder="1" applyAlignment="1" applyProtection="1">
      <alignment vertical="center"/>
    </xf>
    <xf numFmtId="176" fontId="119" fillId="0" borderId="100" xfId="1959" applyNumberFormat="1" applyFont="1" applyFill="1" applyBorder="1" applyAlignment="1">
      <alignment vertical="center"/>
    </xf>
    <xf numFmtId="41" fontId="119" fillId="0" borderId="100" xfId="1959" applyFont="1" applyFill="1" applyBorder="1" applyAlignment="1">
      <alignment vertical="center"/>
    </xf>
    <xf numFmtId="0" fontId="178" fillId="0" borderId="0" xfId="0" applyFont="1" applyAlignment="1">
      <alignment horizontal="left" vertical="center"/>
    </xf>
    <xf numFmtId="197" fontId="179" fillId="0" borderId="0" xfId="2697" applyNumberFormat="1" applyFont="1" applyAlignment="1">
      <alignment horizontal="centerContinuous" vertical="center"/>
    </xf>
    <xf numFmtId="0" fontId="180" fillId="0" borderId="0" xfId="2697" applyFont="1" applyAlignment="1">
      <alignment horizontal="center" vertical="center"/>
    </xf>
    <xf numFmtId="197" fontId="180" fillId="0" borderId="0" xfId="2697" applyNumberFormat="1" applyFont="1">
      <alignment vertical="center"/>
    </xf>
    <xf numFmtId="197" fontId="181" fillId="0" borderId="0" xfId="2697" applyNumberFormat="1" applyFont="1" applyAlignment="1">
      <alignment horizontal="right" vertical="center"/>
    </xf>
    <xf numFmtId="197" fontId="182" fillId="0" borderId="0" xfId="2697" applyNumberFormat="1" applyFont="1" applyAlignment="1">
      <alignment horizontal="right" vertical="center"/>
    </xf>
    <xf numFmtId="0" fontId="181" fillId="0" borderId="0" xfId="2697" applyFont="1" applyFill="1" applyBorder="1" applyAlignment="1">
      <alignment horizontal="center" vertical="center"/>
    </xf>
    <xf numFmtId="186" fontId="183" fillId="0" borderId="0" xfId="2699" applyNumberFormat="1" applyFont="1" applyFill="1" applyBorder="1" applyAlignment="1">
      <alignment horizontal="center" vertical="center"/>
    </xf>
    <xf numFmtId="186" fontId="183" fillId="0" borderId="0" xfId="1959" applyNumberFormat="1" applyFont="1" applyFill="1" applyBorder="1" applyAlignment="1">
      <alignment vertical="center"/>
    </xf>
    <xf numFmtId="190" fontId="183" fillId="0" borderId="0" xfId="2699" applyNumberFormat="1" applyFont="1" applyFill="1" applyBorder="1" applyAlignment="1">
      <alignment vertical="center"/>
    </xf>
    <xf numFmtId="190" fontId="183" fillId="0" borderId="0" xfId="2699" applyNumberFormat="1" applyFont="1" applyFill="1" applyBorder="1" applyAlignment="1">
      <alignment horizontal="center" vertical="center"/>
    </xf>
    <xf numFmtId="186" fontId="183" fillId="0" borderId="0" xfId="2699" applyNumberFormat="1" applyFont="1" applyFill="1" applyBorder="1" applyAlignment="1">
      <alignment vertical="center"/>
    </xf>
    <xf numFmtId="0" fontId="182" fillId="0" borderId="0" xfId="2697" applyFont="1">
      <alignment vertical="center"/>
    </xf>
    <xf numFmtId="197" fontId="184" fillId="0" borderId="0" xfId="2697" applyNumberFormat="1" applyFont="1" applyAlignment="1">
      <alignment horizontal="centerContinuous" vertical="center"/>
    </xf>
    <xf numFmtId="0" fontId="185" fillId="0" borderId="0" xfId="2697" applyFont="1" applyAlignment="1">
      <alignment horizontal="center" vertical="center"/>
    </xf>
    <xf numFmtId="197" fontId="185" fillId="0" borderId="0" xfId="2697" applyNumberFormat="1" applyFont="1">
      <alignment vertical="center"/>
    </xf>
    <xf numFmtId="0" fontId="185" fillId="0" borderId="0" xfId="2697" applyFont="1">
      <alignment vertical="center"/>
    </xf>
    <xf numFmtId="0" fontId="186" fillId="52" borderId="85" xfId="2697" applyFont="1" applyFill="1" applyBorder="1" applyAlignment="1">
      <alignment horizontal="centerContinuous" vertical="center"/>
    </xf>
    <xf numFmtId="0" fontId="186" fillId="52" borderId="68" xfId="2697" applyFont="1" applyFill="1" applyBorder="1" applyAlignment="1">
      <alignment horizontal="centerContinuous" vertical="center"/>
    </xf>
    <xf numFmtId="0" fontId="186" fillId="52" borderId="170" xfId="2697" applyFont="1" applyFill="1" applyBorder="1" applyAlignment="1">
      <alignment horizontal="centerContinuous" vertical="center"/>
    </xf>
    <xf numFmtId="0" fontId="186" fillId="52" borderId="171" xfId="2697" applyFont="1" applyFill="1" applyBorder="1" applyAlignment="1">
      <alignment horizontal="centerContinuous" vertical="center"/>
    </xf>
    <xf numFmtId="0" fontId="186" fillId="52" borderId="172" xfId="2697" applyFont="1" applyFill="1" applyBorder="1" applyAlignment="1">
      <alignment horizontal="centerContinuous" vertical="center"/>
    </xf>
    <xf numFmtId="0" fontId="186" fillId="52" borderId="187" xfId="2697" applyFont="1" applyFill="1" applyBorder="1" applyAlignment="1">
      <alignment horizontal="centerContinuous" vertical="center"/>
    </xf>
    <xf numFmtId="0" fontId="186" fillId="52" borderId="148" xfId="2697" applyFont="1" applyFill="1" applyBorder="1" applyAlignment="1">
      <alignment horizontal="centerContinuous" vertical="center"/>
    </xf>
    <xf numFmtId="0" fontId="186" fillId="52" borderId="6" xfId="2697" applyFont="1" applyFill="1" applyBorder="1" applyAlignment="1">
      <alignment horizontal="centerContinuous" vertical="center"/>
    </xf>
    <xf numFmtId="0" fontId="186" fillId="52" borderId="24" xfId="2697" applyNumberFormat="1" applyFont="1" applyFill="1" applyBorder="1" applyAlignment="1">
      <alignment horizontal="center" vertical="center"/>
    </xf>
    <xf numFmtId="0" fontId="186" fillId="52" borderId="226" xfId="2697" applyNumberFormat="1" applyFont="1" applyFill="1" applyBorder="1" applyAlignment="1">
      <alignment horizontal="center" vertical="center"/>
    </xf>
    <xf numFmtId="0" fontId="186" fillId="52" borderId="95" xfId="2697" applyNumberFormat="1" applyFont="1" applyFill="1" applyBorder="1" applyAlignment="1">
      <alignment horizontal="center" vertical="center"/>
    </xf>
    <xf numFmtId="0" fontId="186" fillId="52" borderId="10" xfId="2697" applyNumberFormat="1" applyFont="1" applyFill="1" applyBorder="1" applyAlignment="1">
      <alignment horizontal="center" vertical="center"/>
    </xf>
    <xf numFmtId="0" fontId="186" fillId="52" borderId="227" xfId="2697" applyNumberFormat="1" applyFont="1" applyFill="1" applyBorder="1" applyAlignment="1">
      <alignment horizontal="center" vertical="center"/>
    </xf>
    <xf numFmtId="0" fontId="186" fillId="52" borderId="59" xfId="2697" applyNumberFormat="1" applyFont="1" applyFill="1" applyBorder="1" applyAlignment="1">
      <alignment horizontal="center" vertical="center"/>
    </xf>
    <xf numFmtId="202" fontId="186" fillId="52" borderId="6" xfId="2697" applyNumberFormat="1" applyFont="1" applyFill="1" applyBorder="1" applyAlignment="1">
      <alignment horizontal="center" vertical="center"/>
    </xf>
    <xf numFmtId="0" fontId="186" fillId="52" borderId="6" xfId="2697" applyNumberFormat="1" applyFont="1" applyFill="1" applyBorder="1" applyAlignment="1">
      <alignment horizontal="center" vertical="center"/>
    </xf>
    <xf numFmtId="0" fontId="186" fillId="52" borderId="177" xfId="2697" applyNumberFormat="1" applyFont="1" applyFill="1" applyBorder="1" applyAlignment="1">
      <alignment horizontal="center" vertical="center"/>
    </xf>
    <xf numFmtId="0" fontId="186" fillId="0" borderId="109" xfId="2697" applyFont="1" applyFill="1" applyBorder="1" applyAlignment="1">
      <alignment horizontal="center" wrapText="1"/>
    </xf>
    <xf numFmtId="186" fontId="186" fillId="0" borderId="32" xfId="1959" applyNumberFormat="1" applyFont="1" applyBorder="1" applyAlignment="1">
      <alignment horizontal="center" vertical="center"/>
    </xf>
    <xf numFmtId="186" fontId="186" fillId="0" borderId="146" xfId="2699" applyNumberFormat="1" applyFont="1" applyBorder="1" applyAlignment="1">
      <alignment vertical="center"/>
    </xf>
    <xf numFmtId="190" fontId="186" fillId="0" borderId="0" xfId="2699" applyNumberFormat="1" applyFont="1" applyBorder="1" applyAlignment="1">
      <alignment horizontal="center" vertical="center"/>
    </xf>
    <xf numFmtId="41" fontId="186" fillId="0" borderId="0" xfId="1959" applyFont="1" applyBorder="1" applyAlignment="1">
      <alignment vertical="center"/>
    </xf>
    <xf numFmtId="186" fontId="186" fillId="0" borderId="55" xfId="1959" applyNumberFormat="1" applyFont="1" applyBorder="1" applyAlignment="1">
      <alignment vertical="center"/>
    </xf>
    <xf numFmtId="186" fontId="186" fillId="0" borderId="55" xfId="2699" applyNumberFormat="1" applyFont="1" applyBorder="1" applyAlignment="1">
      <alignment vertical="center"/>
    </xf>
    <xf numFmtId="190" fontId="186" fillId="0" borderId="55" xfId="1959" applyNumberFormat="1" applyFont="1" applyBorder="1" applyAlignment="1">
      <alignment vertical="center"/>
    </xf>
    <xf numFmtId="41" fontId="186" fillId="0" borderId="55" xfId="1959" applyFont="1" applyBorder="1" applyAlignment="1">
      <alignment vertical="center"/>
    </xf>
    <xf numFmtId="186" fontId="186" fillId="0" borderId="55" xfId="1959" applyNumberFormat="1" applyFont="1" applyBorder="1" applyAlignment="1">
      <alignment horizontal="center" vertical="center"/>
    </xf>
    <xf numFmtId="190" fontId="186" fillId="0" borderId="32" xfId="1959" applyNumberFormat="1" applyFont="1" applyBorder="1" applyAlignment="1">
      <alignment horizontal="center" vertical="center"/>
    </xf>
    <xf numFmtId="190" fontId="186" fillId="0" borderId="12" xfId="1959" applyNumberFormat="1" applyFont="1" applyBorder="1" applyAlignment="1">
      <alignment vertical="center"/>
    </xf>
    <xf numFmtId="203" fontId="186" fillId="0" borderId="109" xfId="2697" applyNumberFormat="1" applyFont="1" applyFill="1" applyBorder="1" applyAlignment="1">
      <alignment horizontal="center" vertical="center"/>
    </xf>
    <xf numFmtId="186" fontId="186" fillId="0" borderId="168" xfId="1959" applyNumberFormat="1" applyFont="1" applyBorder="1" applyAlignment="1">
      <alignment vertical="center"/>
    </xf>
    <xf numFmtId="190" fontId="186" fillId="0" borderId="69" xfId="2699" applyNumberFormat="1" applyFont="1" applyBorder="1" applyAlignment="1">
      <alignment vertical="center"/>
    </xf>
    <xf numFmtId="217" fontId="186" fillId="0" borderId="6" xfId="2696" applyNumberFormat="1" applyFont="1" applyBorder="1" applyAlignment="1">
      <alignment vertical="center"/>
    </xf>
    <xf numFmtId="217" fontId="186" fillId="0" borderId="6" xfId="2699" applyNumberFormat="1" applyFont="1" applyBorder="1" applyAlignment="1">
      <alignment vertical="center"/>
    </xf>
    <xf numFmtId="41" fontId="186" fillId="0" borderId="6" xfId="1959" applyFont="1" applyBorder="1" applyAlignment="1">
      <alignment vertical="center"/>
    </xf>
    <xf numFmtId="190" fontId="186" fillId="0" borderId="6" xfId="2699" applyNumberFormat="1" applyFont="1" applyBorder="1" applyAlignment="1">
      <alignment vertical="center"/>
    </xf>
    <xf numFmtId="186" fontId="186" fillId="0" borderId="6" xfId="1959" applyNumberFormat="1" applyFont="1" applyBorder="1" applyAlignment="1">
      <alignment vertical="center"/>
    </xf>
    <xf numFmtId="190" fontId="186" fillId="0" borderId="168" xfId="1959" applyNumberFormat="1" applyFont="1" applyBorder="1" applyAlignment="1">
      <alignment vertical="center"/>
    </xf>
    <xf numFmtId="0" fontId="186" fillId="0" borderId="108" xfId="2697" applyFont="1" applyFill="1" applyBorder="1" applyAlignment="1">
      <alignment horizontal="center" wrapText="1"/>
    </xf>
    <xf numFmtId="186" fontId="186" fillId="0" borderId="65" xfId="1959" applyNumberFormat="1" applyFont="1" applyBorder="1" applyAlignment="1">
      <alignment vertical="center"/>
    </xf>
    <xf numFmtId="186" fontId="186" fillId="0" borderId="23" xfId="2699" applyNumberFormat="1" applyFont="1" applyBorder="1" applyAlignment="1">
      <alignment vertical="center"/>
    </xf>
    <xf numFmtId="41" fontId="186" fillId="0" borderId="70" xfId="1959" applyFont="1" applyBorder="1" applyAlignment="1">
      <alignment vertical="center"/>
    </xf>
    <xf numFmtId="186" fontId="186" fillId="0" borderId="6" xfId="2699" applyNumberFormat="1" applyFont="1" applyBorder="1" applyAlignment="1">
      <alignment vertical="center"/>
    </xf>
    <xf numFmtId="190" fontId="186" fillId="0" borderId="6" xfId="1959" applyNumberFormat="1" applyFont="1" applyBorder="1" applyAlignment="1">
      <alignment vertical="center"/>
    </xf>
    <xf numFmtId="190" fontId="186" fillId="0" borderId="65" xfId="1959" applyNumberFormat="1" applyFont="1" applyBorder="1" applyAlignment="1">
      <alignment vertical="center"/>
    </xf>
    <xf numFmtId="190" fontId="186" fillId="0" borderId="71" xfId="1959" applyNumberFormat="1" applyFont="1" applyBorder="1" applyAlignment="1">
      <alignment vertical="center"/>
    </xf>
    <xf numFmtId="217" fontId="186" fillId="0" borderId="6" xfId="1959" applyNumberFormat="1" applyFont="1" applyBorder="1" applyAlignment="1">
      <alignment vertical="center"/>
    </xf>
    <xf numFmtId="203" fontId="186" fillId="0" borderId="107" xfId="2697" applyNumberFormat="1" applyFont="1" applyFill="1" applyBorder="1" applyAlignment="1">
      <alignment horizontal="center" vertical="center"/>
    </xf>
    <xf numFmtId="217" fontId="186" fillId="0" borderId="14" xfId="1959" applyNumberFormat="1" applyFont="1" applyBorder="1" applyAlignment="1">
      <alignment vertical="center"/>
    </xf>
    <xf numFmtId="217" fontId="186" fillId="0" borderId="14" xfId="2699" applyNumberFormat="1" applyFont="1" applyBorder="1" applyAlignment="1">
      <alignment vertical="center"/>
    </xf>
    <xf numFmtId="41" fontId="186" fillId="0" borderId="14" xfId="1959" applyFont="1" applyBorder="1" applyAlignment="1">
      <alignment vertical="center"/>
    </xf>
    <xf numFmtId="190" fontId="186" fillId="0" borderId="14" xfId="2699" applyNumberFormat="1" applyFont="1" applyBorder="1" applyAlignment="1">
      <alignment vertical="center"/>
    </xf>
    <xf numFmtId="186" fontId="186" fillId="0" borderId="14" xfId="1959" applyNumberFormat="1" applyFont="1" applyBorder="1" applyAlignment="1">
      <alignment vertical="center"/>
    </xf>
    <xf numFmtId="0" fontId="186" fillId="52" borderId="106" xfId="2697" applyFont="1" applyFill="1" applyBorder="1" applyAlignment="1">
      <alignment horizontal="center" wrapText="1"/>
    </xf>
    <xf numFmtId="186" fontId="186" fillId="52" borderId="37" xfId="1959" applyNumberFormat="1" applyFont="1" applyFill="1" applyBorder="1" applyAlignment="1">
      <alignment vertical="center"/>
    </xf>
    <xf numFmtId="186" fontId="186" fillId="52" borderId="77" xfId="2699" applyNumberFormat="1" applyFont="1" applyFill="1" applyBorder="1" applyAlignment="1">
      <alignment vertical="center"/>
    </xf>
    <xf numFmtId="41" fontId="186" fillId="52" borderId="68" xfId="1959" applyFont="1" applyFill="1" applyBorder="1" applyAlignment="1">
      <alignment vertical="center"/>
    </xf>
    <xf numFmtId="186" fontId="186" fillId="53" borderId="86" xfId="1959" applyNumberFormat="1" applyFont="1" applyFill="1" applyBorder="1" applyAlignment="1">
      <alignment vertical="center"/>
    </xf>
    <xf numFmtId="186" fontId="186" fillId="53" borderId="86" xfId="2699" applyNumberFormat="1" applyFont="1" applyFill="1" applyBorder="1" applyAlignment="1">
      <alignment vertical="center"/>
    </xf>
    <xf numFmtId="190" fontId="186" fillId="53" borderId="86" xfId="1959" applyNumberFormat="1" applyFont="1" applyFill="1" applyBorder="1" applyAlignment="1">
      <alignment vertical="center"/>
    </xf>
    <xf numFmtId="186" fontId="186" fillId="53" borderId="118" xfId="1959" applyNumberFormat="1" applyFont="1" applyFill="1" applyBorder="1" applyAlignment="1">
      <alignment vertical="center"/>
    </xf>
    <xf numFmtId="190" fontId="186" fillId="52" borderId="37" xfId="1959" applyNumberFormat="1" applyFont="1" applyFill="1" applyBorder="1" applyAlignment="1">
      <alignment vertical="center"/>
    </xf>
    <xf numFmtId="190" fontId="186" fillId="52" borderId="77" xfId="1959" applyNumberFormat="1" applyFont="1" applyFill="1" applyBorder="1" applyAlignment="1">
      <alignment vertical="center"/>
    </xf>
    <xf numFmtId="203" fontId="186" fillId="52" borderId="110" xfId="2697" applyNumberFormat="1" applyFont="1" applyFill="1" applyBorder="1" applyAlignment="1">
      <alignment horizontal="center" vertical="center"/>
    </xf>
    <xf numFmtId="186" fontId="186" fillId="52" borderId="164" xfId="1959" applyNumberFormat="1" applyFont="1" applyFill="1" applyBorder="1" applyAlignment="1">
      <alignment vertical="center"/>
    </xf>
    <xf numFmtId="190" fontId="186" fillId="52" borderId="163" xfId="2699" applyNumberFormat="1" applyFont="1" applyFill="1" applyBorder="1" applyAlignment="1">
      <alignment vertical="center"/>
    </xf>
    <xf numFmtId="190" fontId="186" fillId="52" borderId="166" xfId="2699" applyNumberFormat="1" applyFont="1" applyFill="1" applyBorder="1" applyAlignment="1">
      <alignment vertical="center"/>
    </xf>
    <xf numFmtId="186" fontId="186" fillId="52" borderId="162" xfId="1959" applyNumberFormat="1" applyFont="1" applyFill="1" applyBorder="1" applyAlignment="1">
      <alignment vertical="center"/>
    </xf>
    <xf numFmtId="190" fontId="186" fillId="52" borderId="161" xfId="2699" applyNumberFormat="1" applyFont="1" applyFill="1" applyBorder="1" applyAlignment="1">
      <alignment vertical="center"/>
    </xf>
    <xf numFmtId="217" fontId="186" fillId="53" borderId="191" xfId="1959" applyNumberFormat="1" applyFont="1" applyFill="1" applyBorder="1" applyAlignment="1">
      <alignment vertical="center"/>
    </xf>
    <xf numFmtId="190" fontId="186" fillId="53" borderId="191" xfId="1959" applyNumberFormat="1" applyFont="1" applyFill="1" applyBorder="1" applyAlignment="1">
      <alignment vertical="center"/>
    </xf>
    <xf numFmtId="190" fontId="186" fillId="53" borderId="191" xfId="2699" applyNumberFormat="1" applyFont="1" applyFill="1" applyBorder="1" applyAlignment="1">
      <alignment vertical="center"/>
    </xf>
    <xf numFmtId="186" fontId="186" fillId="53" borderId="14" xfId="1959" applyNumberFormat="1" applyFont="1" applyFill="1" applyBorder="1" applyAlignment="1">
      <alignment vertical="center"/>
    </xf>
    <xf numFmtId="190" fontId="186" fillId="53" borderId="14" xfId="2699" applyNumberFormat="1" applyFont="1" applyFill="1" applyBorder="1" applyAlignment="1">
      <alignment vertical="center"/>
    </xf>
    <xf numFmtId="190" fontId="186" fillId="52" borderId="164" xfId="1959" applyNumberFormat="1" applyFont="1" applyFill="1" applyBorder="1" applyAlignment="1">
      <alignment vertical="center"/>
    </xf>
    <xf numFmtId="217" fontId="186" fillId="0" borderId="14" xfId="2696" applyNumberFormat="1" applyFont="1" applyBorder="1" applyAlignment="1">
      <alignment vertical="center"/>
    </xf>
    <xf numFmtId="217" fontId="186" fillId="53" borderId="14" xfId="2699" applyNumberFormat="1" applyFont="1" applyFill="1" applyBorder="1" applyAlignment="1">
      <alignment vertical="center"/>
    </xf>
    <xf numFmtId="0" fontId="186" fillId="52" borderId="173" xfId="2697" applyFont="1" applyFill="1" applyBorder="1" applyAlignment="1">
      <alignment horizontal="centerContinuous" vertical="center"/>
    </xf>
    <xf numFmtId="209" fontId="186" fillId="53" borderId="86" xfId="2699" applyNumberFormat="1" applyFont="1" applyFill="1" applyBorder="1" applyAlignment="1">
      <alignment vertical="center"/>
    </xf>
    <xf numFmtId="209" fontId="186" fillId="0" borderId="55" xfId="2699" applyNumberFormat="1" applyFont="1" applyBorder="1" applyAlignment="1">
      <alignment vertical="center"/>
    </xf>
    <xf numFmtId="209" fontId="186" fillId="0" borderId="55" xfId="1959" applyNumberFormat="1" applyFont="1" applyBorder="1" applyAlignment="1">
      <alignment vertical="center"/>
    </xf>
    <xf numFmtId="209" fontId="186" fillId="0" borderId="6" xfId="2699" applyNumberFormat="1" applyFont="1" applyBorder="1" applyAlignment="1">
      <alignment vertical="center"/>
    </xf>
    <xf numFmtId="209" fontId="186" fillId="0" borderId="6" xfId="1959" applyNumberFormat="1" applyFont="1" applyBorder="1" applyAlignment="1">
      <alignment vertical="center"/>
    </xf>
    <xf numFmtId="209" fontId="186" fillId="53" borderId="86" xfId="1959" applyNumberFormat="1" applyFont="1" applyFill="1" applyBorder="1" applyAlignment="1">
      <alignment vertical="center"/>
    </xf>
    <xf numFmtId="217" fontId="186" fillId="53" borderId="14" xfId="2696" applyNumberFormat="1" applyFont="1" applyFill="1" applyBorder="1" applyAlignment="1">
      <alignment vertical="center"/>
    </xf>
    <xf numFmtId="217" fontId="186" fillId="53" borderId="14" xfId="1959" applyNumberFormat="1" applyFont="1" applyFill="1" applyBorder="1" applyAlignment="1">
      <alignment vertical="center"/>
    </xf>
    <xf numFmtId="0" fontId="15" fillId="0" borderId="0" xfId="2821">
      <alignment vertical="center"/>
    </xf>
    <xf numFmtId="0" fontId="13" fillId="0" borderId="0" xfId="2842">
      <alignment vertical="center"/>
    </xf>
    <xf numFmtId="14" fontId="13" fillId="0" borderId="0" xfId="2842" applyNumberFormat="1">
      <alignment vertical="center"/>
    </xf>
    <xf numFmtId="4" fontId="13" fillId="0" borderId="0" xfId="2842" applyNumberFormat="1">
      <alignment vertical="center"/>
    </xf>
    <xf numFmtId="3" fontId="13" fillId="0" borderId="0" xfId="2842" applyNumberFormat="1">
      <alignment vertical="center"/>
    </xf>
    <xf numFmtId="22" fontId="13" fillId="0" borderId="0" xfId="2842" applyNumberFormat="1">
      <alignment vertical="center"/>
    </xf>
    <xf numFmtId="189" fontId="13" fillId="0" borderId="0" xfId="2842" applyNumberFormat="1">
      <alignment vertical="center"/>
    </xf>
    <xf numFmtId="17" fontId="13" fillId="0" borderId="0" xfId="2842" applyNumberFormat="1">
      <alignment vertical="center"/>
    </xf>
    <xf numFmtId="41" fontId="114" fillId="0" borderId="105" xfId="1959" applyNumberFormat="1" applyFont="1" applyFill="1" applyBorder="1" applyAlignment="1">
      <alignment vertical="center"/>
    </xf>
    <xf numFmtId="176" fontId="119" fillId="0" borderId="105" xfId="1959" applyNumberFormat="1" applyFont="1" applyFill="1" applyBorder="1" applyAlignment="1">
      <alignment vertical="center"/>
    </xf>
    <xf numFmtId="41" fontId="40" fillId="0" borderId="0" xfId="1959" applyFont="1" applyFill="1" applyAlignment="1">
      <alignment vertical="center"/>
    </xf>
    <xf numFmtId="0" fontId="12" fillId="0" borderId="0" xfId="3071">
      <alignment vertical="center"/>
    </xf>
    <xf numFmtId="14" fontId="12" fillId="0" borderId="0" xfId="3071" applyNumberFormat="1">
      <alignment vertical="center"/>
    </xf>
    <xf numFmtId="4" fontId="12" fillId="0" borderId="0" xfId="3071" applyNumberFormat="1">
      <alignment vertical="center"/>
    </xf>
    <xf numFmtId="3" fontId="12" fillId="0" borderId="0" xfId="3071" applyNumberFormat="1">
      <alignment vertical="center"/>
    </xf>
    <xf numFmtId="22" fontId="12" fillId="0" borderId="0" xfId="3071" applyNumberFormat="1">
      <alignment vertical="center"/>
    </xf>
    <xf numFmtId="189" fontId="12" fillId="0" borderId="0" xfId="3071" applyNumberFormat="1">
      <alignment vertical="center"/>
    </xf>
    <xf numFmtId="195" fontId="119" fillId="0" borderId="16" xfId="0" applyNumberFormat="1" applyFont="1" applyFill="1" applyBorder="1" applyAlignment="1">
      <alignment vertical="center"/>
    </xf>
    <xf numFmtId="195" fontId="119" fillId="0" borderId="100" xfId="1959" applyNumberFormat="1" applyFont="1" applyFill="1" applyBorder="1" applyAlignment="1">
      <alignment vertical="center"/>
    </xf>
    <xf numFmtId="218" fontId="40" fillId="0" borderId="0" xfId="1959" applyNumberFormat="1" applyFont="1" applyBorder="1" applyAlignment="1">
      <alignment vertical="center"/>
    </xf>
    <xf numFmtId="41" fontId="38" fillId="0" borderId="0" xfId="1959" applyFont="1" applyAlignment="1">
      <alignment vertical="center"/>
    </xf>
    <xf numFmtId="0" fontId="42" fillId="59" borderId="10" xfId="0" applyFont="1" applyFill="1" applyBorder="1" applyAlignment="1">
      <alignment horizontal="center" vertical="center"/>
    </xf>
    <xf numFmtId="199" fontId="115" fillId="59" borderId="10" xfId="1959" applyNumberFormat="1" applyFont="1" applyFill="1" applyBorder="1" applyAlignment="1">
      <alignment vertical="center"/>
    </xf>
    <xf numFmtId="199" fontId="115" fillId="59" borderId="55" xfId="1959" applyNumberFormat="1" applyFont="1" applyFill="1" applyBorder="1" applyAlignment="1">
      <alignment vertical="center"/>
    </xf>
    <xf numFmtId="195" fontId="42" fillId="59" borderId="55" xfId="0" applyNumberFormat="1" applyFont="1" applyFill="1" applyBorder="1" applyAlignment="1">
      <alignment vertical="center"/>
    </xf>
    <xf numFmtId="177" fontId="42" fillId="59" borderId="55" xfId="0" applyNumberFormat="1" applyFont="1" applyFill="1" applyBorder="1" applyAlignment="1">
      <alignment vertical="center"/>
    </xf>
    <xf numFmtId="176" fontId="42" fillId="59" borderId="55" xfId="1959" applyNumberFormat="1" applyFont="1" applyFill="1" applyBorder="1" applyAlignment="1">
      <alignment vertical="center"/>
    </xf>
    <xf numFmtId="41" fontId="42" fillId="59" borderId="55" xfId="1959" applyNumberFormat="1" applyFont="1" applyFill="1" applyBorder="1" applyAlignment="1">
      <alignment vertical="center"/>
    </xf>
    <xf numFmtId="177" fontId="42" fillId="59" borderId="36" xfId="0" applyNumberFormat="1" applyFont="1" applyFill="1" applyBorder="1" applyAlignment="1">
      <alignment vertical="center"/>
    </xf>
    <xf numFmtId="199" fontId="42" fillId="59" borderId="10" xfId="1959" applyNumberFormat="1" applyFont="1" applyFill="1" applyBorder="1" applyAlignment="1">
      <alignment vertical="center"/>
    </xf>
    <xf numFmtId="199" fontId="42" fillId="59" borderId="55" xfId="1959" applyNumberFormat="1" applyFont="1" applyFill="1" applyBorder="1" applyAlignment="1">
      <alignment vertical="center"/>
    </xf>
    <xf numFmtId="195" fontId="42" fillId="59" borderId="55" xfId="1959" applyNumberFormat="1" applyFont="1" applyFill="1" applyBorder="1" applyAlignment="1">
      <alignment vertical="center"/>
    </xf>
    <xf numFmtId="41" fontId="42" fillId="59" borderId="55" xfId="1959" applyFont="1" applyFill="1" applyBorder="1" applyAlignment="1">
      <alignment vertical="center"/>
    </xf>
    <xf numFmtId="177" fontId="42" fillId="59" borderId="28" xfId="0" applyNumberFormat="1" applyFont="1" applyFill="1" applyBorder="1" applyAlignment="1">
      <alignment vertical="center"/>
    </xf>
    <xf numFmtId="199" fontId="42" fillId="59" borderId="6" xfId="1959" applyNumberFormat="1" applyFont="1" applyFill="1" applyBorder="1" applyAlignment="1">
      <alignment vertical="center"/>
    </xf>
    <xf numFmtId="195" fontId="115" fillId="59" borderId="16" xfId="1959" applyNumberFormat="1" applyFont="1" applyFill="1" applyBorder="1" applyAlignment="1">
      <alignment vertical="center"/>
    </xf>
    <xf numFmtId="176" fontId="42" fillId="59" borderId="6" xfId="1959" applyNumberFormat="1" applyFont="1" applyFill="1" applyBorder="1" applyAlignment="1">
      <alignment vertical="center"/>
    </xf>
    <xf numFmtId="199" fontId="42" fillId="59" borderId="27" xfId="1959" applyNumberFormat="1" applyFont="1" applyFill="1" applyBorder="1" applyAlignment="1">
      <alignment vertical="center"/>
    </xf>
    <xf numFmtId="195" fontId="42" fillId="59" borderId="6" xfId="1959" applyNumberFormat="1" applyFont="1" applyFill="1" applyBorder="1" applyAlignment="1">
      <alignment vertical="center"/>
    </xf>
    <xf numFmtId="177" fontId="42" fillId="59" borderId="6" xfId="0" applyNumberFormat="1" applyFont="1" applyFill="1" applyBorder="1" applyAlignment="1">
      <alignment vertical="center"/>
    </xf>
    <xf numFmtId="176" fontId="42" fillId="59" borderId="6" xfId="0" applyNumberFormat="1" applyFont="1" applyFill="1" applyBorder="1" applyAlignment="1">
      <alignment vertical="center"/>
    </xf>
    <xf numFmtId="41" fontId="42" fillId="59" borderId="6" xfId="1959" applyNumberFormat="1" applyFont="1" applyFill="1" applyBorder="1" applyAlignment="1">
      <alignment vertical="center"/>
    </xf>
    <xf numFmtId="177" fontId="42" fillId="59" borderId="27" xfId="1959" applyNumberFormat="1" applyFont="1" applyFill="1" applyBorder="1" applyAlignment="1">
      <alignment vertical="center"/>
    </xf>
    <xf numFmtId="41" fontId="42" fillId="59" borderId="27" xfId="1959" applyFont="1" applyFill="1" applyBorder="1" applyAlignment="1">
      <alignment vertical="center"/>
    </xf>
    <xf numFmtId="176" fontId="42" fillId="59" borderId="27" xfId="1959" applyNumberFormat="1" applyFont="1" applyFill="1" applyBorder="1" applyAlignment="1">
      <alignment vertical="center"/>
    </xf>
    <xf numFmtId="41" fontId="42" fillId="59" borderId="27" xfId="1959" applyNumberFormat="1" applyFont="1" applyFill="1" applyBorder="1" applyAlignment="1">
      <alignment vertical="center"/>
    </xf>
    <xf numFmtId="177" fontId="42" fillId="59" borderId="36" xfId="1959" applyNumberFormat="1" applyFont="1" applyFill="1" applyBorder="1" applyAlignment="1">
      <alignment vertical="center"/>
    </xf>
    <xf numFmtId="177" fontId="42" fillId="59" borderId="6" xfId="1959" applyNumberFormat="1" applyFont="1" applyFill="1" applyBorder="1" applyAlignment="1">
      <alignment vertical="center"/>
    </xf>
    <xf numFmtId="41" fontId="42" fillId="59" borderId="6" xfId="1959" applyFont="1" applyFill="1" applyBorder="1" applyAlignment="1">
      <alignment vertical="center"/>
    </xf>
    <xf numFmtId="177" fontId="42" fillId="59" borderId="20" xfId="1959" applyNumberFormat="1" applyFont="1" applyFill="1" applyBorder="1" applyAlignment="1">
      <alignment vertical="center"/>
    </xf>
    <xf numFmtId="0" fontId="42" fillId="59" borderId="26" xfId="0" applyFont="1" applyFill="1" applyBorder="1" applyAlignment="1">
      <alignment horizontal="center" vertical="center"/>
    </xf>
    <xf numFmtId="177" fontId="42" fillId="52" borderId="17" xfId="0" applyNumberFormat="1" applyFont="1" applyFill="1" applyBorder="1" applyAlignment="1">
      <alignment vertical="center"/>
    </xf>
    <xf numFmtId="177" fontId="42" fillId="52" borderId="18" xfId="0" applyNumberFormat="1" applyFont="1" applyFill="1" applyBorder="1" applyAlignment="1">
      <alignment vertical="center"/>
    </xf>
    <xf numFmtId="177" fontId="42" fillId="52" borderId="30" xfId="0" applyNumberFormat="1" applyFont="1" applyFill="1" applyBorder="1" applyAlignment="1">
      <alignment vertical="center"/>
    </xf>
    <xf numFmtId="177" fontId="42" fillId="52" borderId="20" xfId="0" applyNumberFormat="1" applyFont="1" applyFill="1" applyBorder="1" applyAlignment="1">
      <alignment vertical="center"/>
    </xf>
    <xf numFmtId="177" fontId="42" fillId="52" borderId="39" xfId="0" applyNumberFormat="1" applyFont="1" applyFill="1" applyBorder="1" applyAlignment="1">
      <alignment vertical="center"/>
    </xf>
    <xf numFmtId="195" fontId="119" fillId="17" borderId="100" xfId="0" applyNumberFormat="1" applyFont="1" applyFill="1" applyBorder="1" applyAlignment="1">
      <alignment vertical="center"/>
    </xf>
    <xf numFmtId="0" fontId="42" fillId="0" borderId="23" xfId="0" applyFont="1" applyFill="1" applyBorder="1" applyAlignment="1">
      <alignment horizontal="centerContinuous" vertical="center"/>
    </xf>
    <xf numFmtId="217" fontId="196" fillId="53" borderId="191" xfId="2699" applyNumberFormat="1" applyFont="1" applyFill="1" applyBorder="1" applyAlignment="1">
      <alignment vertical="center"/>
    </xf>
    <xf numFmtId="217" fontId="196" fillId="53" borderId="14" xfId="2699" applyNumberFormat="1" applyFont="1" applyFill="1" applyBorder="1" applyAlignment="1">
      <alignment vertical="center"/>
    </xf>
    <xf numFmtId="0" fontId="38" fillId="0" borderId="41" xfId="0" applyFont="1" applyBorder="1" applyAlignment="1">
      <alignment vertical="center"/>
    </xf>
    <xf numFmtId="0" fontId="38" fillId="0" borderId="42" xfId="0" applyFont="1" applyBorder="1" applyAlignment="1">
      <alignment vertical="center"/>
    </xf>
    <xf numFmtId="0" fontId="38" fillId="0" borderId="43" xfId="0" applyFont="1" applyBorder="1" applyAlignment="1">
      <alignment vertical="center"/>
    </xf>
    <xf numFmtId="0" fontId="38" fillId="0" borderId="92" xfId="0" applyFont="1" applyBorder="1" applyAlignment="1">
      <alignment horizontal="center" vertical="center"/>
    </xf>
    <xf numFmtId="0" fontId="38" fillId="0" borderId="93" xfId="0" applyFont="1" applyBorder="1" applyAlignment="1">
      <alignment horizontal="center" vertical="center"/>
    </xf>
    <xf numFmtId="0" fontId="38" fillId="0" borderId="94" xfId="0" applyFont="1" applyBorder="1" applyAlignment="1">
      <alignment horizontal="center" vertical="center"/>
    </xf>
    <xf numFmtId="41" fontId="38" fillId="0" borderId="93" xfId="1959" applyFont="1" applyBorder="1" applyAlignment="1">
      <alignment vertical="center"/>
    </xf>
    <xf numFmtId="41" fontId="38" fillId="0" borderId="94" xfId="1959" applyFont="1" applyBorder="1" applyAlignment="1">
      <alignment vertical="center"/>
    </xf>
    <xf numFmtId="0" fontId="38" fillId="0" borderId="95" xfId="0" applyFont="1" applyBorder="1" applyAlignment="1">
      <alignment horizontal="center" vertical="center"/>
    </xf>
    <xf numFmtId="41" fontId="38" fillId="0" borderId="96" xfId="1959" applyFont="1" applyBorder="1" applyAlignment="1">
      <alignment vertical="center"/>
    </xf>
    <xf numFmtId="41" fontId="38" fillId="0" borderId="97" xfId="1959" applyFont="1" applyBorder="1" applyAlignment="1">
      <alignment vertical="center"/>
    </xf>
    <xf numFmtId="41" fontId="38" fillId="0" borderId="41" xfId="1959" applyFont="1" applyBorder="1" applyAlignment="1">
      <alignment horizontal="center" vertical="center"/>
    </xf>
    <xf numFmtId="41" fontId="38" fillId="0" borderId="42" xfId="1959" applyFont="1" applyBorder="1" applyAlignment="1">
      <alignment horizontal="center" vertical="center"/>
    </xf>
    <xf numFmtId="41" fontId="38" fillId="0" borderId="43" xfId="1959" applyFont="1" applyBorder="1" applyAlignment="1">
      <alignment horizontal="center" vertical="center"/>
    </xf>
    <xf numFmtId="41" fontId="38" fillId="0" borderId="49" xfId="1959" applyFont="1" applyBorder="1" applyAlignment="1">
      <alignment horizontal="center" vertical="center"/>
    </xf>
    <xf numFmtId="41" fontId="38" fillId="0" borderId="47" xfId="1959" applyFont="1" applyBorder="1" applyAlignment="1">
      <alignment horizontal="center" vertical="center"/>
    </xf>
    <xf numFmtId="196" fontId="38" fillId="0" borderId="67" xfId="1959" applyNumberFormat="1" applyFont="1" applyBorder="1" applyAlignment="1">
      <alignment horizontal="center" vertical="center"/>
    </xf>
    <xf numFmtId="41" fontId="38" fillId="0" borderId="67" xfId="1959" applyFont="1" applyBorder="1" applyAlignment="1">
      <alignment horizontal="center" vertical="center"/>
    </xf>
    <xf numFmtId="41" fontId="38" fillId="0" borderId="44" xfId="1959" applyFont="1" applyBorder="1" applyAlignment="1">
      <alignment horizontal="center" vertical="center"/>
    </xf>
    <xf numFmtId="41" fontId="38" fillId="0" borderId="45" xfId="1959" applyFont="1" applyBorder="1" applyAlignment="1">
      <alignment horizontal="center" vertical="center"/>
    </xf>
    <xf numFmtId="41" fontId="38" fillId="0" borderId="46" xfId="1959" applyFont="1" applyBorder="1" applyAlignment="1">
      <alignment horizontal="center" vertical="center"/>
    </xf>
    <xf numFmtId="176" fontId="38" fillId="0" borderId="15" xfId="0" applyNumberFormat="1" applyFont="1" applyBorder="1" applyAlignment="1">
      <alignment horizontal="center" vertical="center"/>
    </xf>
    <xf numFmtId="176" fontId="38" fillId="0" borderId="23" xfId="0" applyNumberFormat="1" applyFont="1" applyBorder="1" applyAlignment="1">
      <alignment vertical="center"/>
    </xf>
    <xf numFmtId="176" fontId="38" fillId="0" borderId="15" xfId="0" applyNumberFormat="1" applyFont="1" applyFill="1" applyBorder="1" applyAlignment="1">
      <alignment horizontal="center" vertical="center"/>
    </xf>
    <xf numFmtId="0" fontId="38" fillId="0" borderId="100" xfId="0" applyFont="1" applyBorder="1" applyAlignment="1">
      <alignment horizontal="center" vertical="center"/>
    </xf>
    <xf numFmtId="176" fontId="38" fillId="0" borderId="98" xfId="0" applyNumberFormat="1" applyFont="1" applyBorder="1" applyAlignment="1">
      <alignment vertical="center"/>
    </xf>
    <xf numFmtId="176" fontId="38" fillId="0" borderId="100" xfId="0" applyNumberFormat="1" applyFont="1" applyFill="1" applyBorder="1" applyAlignment="1">
      <alignment horizontal="center" vertical="center"/>
    </xf>
    <xf numFmtId="0" fontId="38" fillId="0" borderId="100" xfId="0" applyFont="1" applyFill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176" fontId="38" fillId="0" borderId="16" xfId="0" applyNumberFormat="1" applyFont="1" applyBorder="1" applyAlignment="1">
      <alignment vertical="center"/>
    </xf>
    <xf numFmtId="0" fontId="38" fillId="0" borderId="16" xfId="0" applyFont="1" applyBorder="1" applyAlignment="1">
      <alignment vertical="center"/>
    </xf>
    <xf numFmtId="0" fontId="38" fillId="0" borderId="99" xfId="0" applyFont="1" applyBorder="1" applyAlignment="1">
      <alignment vertical="center"/>
    </xf>
    <xf numFmtId="176" fontId="42" fillId="16" borderId="10" xfId="1959" applyNumberFormat="1" applyFont="1" applyFill="1" applyBorder="1" applyAlignment="1">
      <alignment vertical="center"/>
    </xf>
    <xf numFmtId="0" fontId="199" fillId="0" borderId="0" xfId="0" applyFont="1" applyAlignment="1">
      <alignment horizontal="centerContinuous" vertical="center"/>
    </xf>
    <xf numFmtId="0" fontId="199" fillId="0" borderId="0" xfId="0" applyFont="1" applyFill="1" applyAlignment="1">
      <alignment horizontal="centerContinuous" vertical="center"/>
    </xf>
    <xf numFmtId="177" fontId="199" fillId="0" borderId="0" xfId="0" applyNumberFormat="1" applyFont="1" applyAlignment="1">
      <alignment horizontal="centerContinuous" vertical="center"/>
    </xf>
    <xf numFmtId="176" fontId="199" fillId="0" borderId="0" xfId="0" applyNumberFormat="1" applyFont="1" applyAlignment="1">
      <alignment horizontal="centerContinuous" vertical="center"/>
    </xf>
    <xf numFmtId="194" fontId="52" fillId="0" borderId="0" xfId="0" applyNumberFormat="1" applyFont="1" applyAlignment="1">
      <alignment vertical="center"/>
    </xf>
    <xf numFmtId="176" fontId="52" fillId="0" borderId="0" xfId="0" applyNumberFormat="1" applyFont="1" applyBorder="1" applyAlignment="1">
      <alignment vertical="center"/>
    </xf>
    <xf numFmtId="176" fontId="52" fillId="0" borderId="0" xfId="0" applyNumberFormat="1" applyFont="1" applyBorder="1" applyAlignment="1">
      <alignment horizontal="center" vertical="center"/>
    </xf>
    <xf numFmtId="177" fontId="52" fillId="0" borderId="0" xfId="0" applyNumberFormat="1" applyFont="1" applyBorder="1" applyAlignment="1">
      <alignment horizontal="center" vertical="center"/>
    </xf>
    <xf numFmtId="177" fontId="52" fillId="0" borderId="0" xfId="0" applyNumberFormat="1" applyFont="1" applyFill="1" applyBorder="1" applyAlignment="1">
      <alignment horizontal="center" vertical="center"/>
    </xf>
    <xf numFmtId="0" fontId="49" fillId="0" borderId="0" xfId="0" applyFont="1" applyBorder="1" applyAlignment="1">
      <alignment vertical="center"/>
    </xf>
    <xf numFmtId="219" fontId="186" fillId="53" borderId="14" xfId="1959" applyNumberFormat="1" applyFont="1" applyFill="1" applyBorder="1" applyAlignment="1">
      <alignment vertical="center"/>
    </xf>
    <xf numFmtId="0" fontId="42" fillId="17" borderId="25" xfId="0" applyFont="1" applyFill="1" applyBorder="1" applyAlignment="1">
      <alignment horizontal="center" vertical="center"/>
    </xf>
    <xf numFmtId="0" fontId="42" fillId="17" borderId="100" xfId="0" applyFont="1" applyFill="1" applyBorder="1" applyAlignment="1">
      <alignment horizontal="center" vertical="center" shrinkToFit="1"/>
    </xf>
    <xf numFmtId="0" fontId="42" fillId="17" borderId="23" xfId="0" applyFont="1" applyFill="1" applyBorder="1" applyAlignment="1">
      <alignment horizontal="center" vertical="center"/>
    </xf>
    <xf numFmtId="0" fontId="42" fillId="0" borderId="16" xfId="0" applyFont="1" applyFill="1" applyBorder="1" applyAlignment="1">
      <alignment horizontal="center" vertical="center"/>
    </xf>
    <xf numFmtId="0" fontId="42" fillId="17" borderId="104" xfId="0" applyFont="1" applyFill="1" applyBorder="1" applyAlignment="1">
      <alignment horizontal="center" vertical="center"/>
    </xf>
    <xf numFmtId="0" fontId="42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0" fillId="0" borderId="0" xfId="1959" applyFont="1" applyBorder="1" applyAlignment="1">
      <alignment vertical="center"/>
    </xf>
    <xf numFmtId="206" fontId="166" fillId="0" borderId="147" xfId="0" applyNumberFormat="1" applyFont="1" applyFill="1" applyBorder="1" applyAlignment="1">
      <alignment vertical="center"/>
    </xf>
    <xf numFmtId="206" fontId="166" fillId="0" borderId="53" xfId="1959" applyNumberFormat="1" applyFont="1" applyFill="1" applyBorder="1" applyAlignment="1">
      <alignment vertical="center"/>
    </xf>
    <xf numFmtId="206" fontId="166" fillId="0" borderId="225" xfId="1959" applyNumberFormat="1" applyFont="1" applyFill="1" applyBorder="1" applyAlignment="1">
      <alignment horizontal="right" vertical="center"/>
    </xf>
    <xf numFmtId="206" fontId="166" fillId="0" borderId="136" xfId="0" applyNumberFormat="1" applyFont="1" applyFill="1" applyBorder="1" applyAlignment="1">
      <alignment vertical="center"/>
    </xf>
    <xf numFmtId="206" fontId="166" fillId="0" borderId="93" xfId="1959" applyNumberFormat="1" applyFont="1" applyFill="1" applyBorder="1" applyAlignment="1">
      <alignment vertical="center"/>
    </xf>
    <xf numFmtId="206" fontId="168" fillId="0" borderId="93" xfId="1959" applyNumberFormat="1" applyFont="1" applyBorder="1" applyAlignment="1">
      <alignment vertical="center"/>
    </xf>
    <xf numFmtId="206" fontId="166" fillId="0" borderId="137" xfId="0" applyNumberFormat="1" applyFont="1" applyFill="1" applyBorder="1" applyAlignment="1">
      <alignment vertical="center"/>
    </xf>
    <xf numFmtId="206" fontId="168" fillId="0" borderId="96" xfId="1959" applyNumberFormat="1" applyFont="1" applyBorder="1" applyAlignment="1">
      <alignment vertical="center"/>
    </xf>
    <xf numFmtId="206" fontId="166" fillId="0" borderId="96" xfId="1959" applyNumberFormat="1" applyFont="1" applyFill="1" applyBorder="1" applyAlignment="1">
      <alignment vertical="center"/>
    </xf>
    <xf numFmtId="176" fontId="168" fillId="0" borderId="135" xfId="0" applyNumberFormat="1" applyFont="1" applyFill="1" applyBorder="1" applyAlignment="1">
      <alignment vertical="center" shrinkToFit="1"/>
    </xf>
    <xf numFmtId="176" fontId="168" fillId="0" borderId="42" xfId="0" applyNumberFormat="1" applyFont="1" applyFill="1" applyBorder="1" applyAlignment="1">
      <alignment vertical="center" shrinkToFit="1"/>
    </xf>
    <xf numFmtId="208" fontId="166" fillId="0" borderId="41" xfId="0" applyNumberFormat="1" applyFont="1" applyFill="1" applyBorder="1" applyAlignment="1">
      <alignment vertical="center" shrinkToFit="1"/>
    </xf>
    <xf numFmtId="176" fontId="168" fillId="0" borderId="136" xfId="0" applyNumberFormat="1" applyFont="1" applyFill="1" applyBorder="1" applyAlignment="1">
      <alignment vertical="center" shrinkToFit="1"/>
    </xf>
    <xf numFmtId="208" fontId="166" fillId="0" borderId="92" xfId="0" applyNumberFormat="1" applyFont="1" applyFill="1" applyBorder="1" applyAlignment="1">
      <alignment vertical="center" shrinkToFit="1"/>
    </xf>
    <xf numFmtId="176" fontId="168" fillId="0" borderId="137" xfId="0" applyNumberFormat="1" applyFont="1" applyFill="1" applyBorder="1" applyAlignment="1">
      <alignment vertical="center" shrinkToFit="1"/>
    </xf>
    <xf numFmtId="208" fontId="166" fillId="0" borderId="95" xfId="0" applyNumberFormat="1" applyFont="1" applyFill="1" applyBorder="1" applyAlignment="1">
      <alignment vertical="center" shrinkToFit="1"/>
    </xf>
    <xf numFmtId="191" fontId="163" fillId="57" borderId="208" xfId="0" applyNumberFormat="1" applyFont="1" applyFill="1" applyBorder="1" applyAlignment="1">
      <alignment horizontal="right" vertical="center"/>
    </xf>
    <xf numFmtId="191" fontId="163" fillId="57" borderId="6" xfId="0" applyNumberFormat="1" applyFont="1" applyFill="1" applyBorder="1" applyAlignment="1">
      <alignment horizontal="right" vertical="center"/>
    </xf>
    <xf numFmtId="191" fontId="163" fillId="57" borderId="209" xfId="0" applyNumberFormat="1" applyFont="1" applyFill="1" applyBorder="1" applyAlignment="1">
      <alignment horizontal="right" vertical="center"/>
    </xf>
    <xf numFmtId="176" fontId="168" fillId="0" borderId="147" xfId="0" applyNumberFormat="1" applyFont="1" applyFill="1" applyBorder="1" applyAlignment="1">
      <alignment vertical="center" shrinkToFit="1"/>
    </xf>
    <xf numFmtId="208" fontId="166" fillId="0" borderId="56" xfId="0" applyNumberFormat="1" applyFont="1" applyFill="1" applyBorder="1" applyAlignment="1">
      <alignment vertical="center" shrinkToFit="1"/>
    </xf>
    <xf numFmtId="41" fontId="166" fillId="0" borderId="92" xfId="1959" applyFont="1" applyFill="1" applyBorder="1" applyAlignment="1">
      <alignment vertical="center" shrinkToFit="1"/>
    </xf>
    <xf numFmtId="176" fontId="170" fillId="0" borderId="138" xfId="0" applyNumberFormat="1" applyFont="1" applyFill="1" applyBorder="1" applyAlignment="1">
      <alignment vertical="center" shrinkToFit="1"/>
    </xf>
    <xf numFmtId="207" fontId="166" fillId="0" borderId="132" xfId="0" applyNumberFormat="1" applyFont="1" applyFill="1" applyBorder="1" applyAlignment="1">
      <alignment vertical="center" shrinkToFit="1"/>
    </xf>
    <xf numFmtId="176" fontId="42" fillId="0" borderId="98" xfId="0" applyNumberFormat="1" applyFont="1" applyBorder="1" applyAlignment="1">
      <alignment vertical="center"/>
    </xf>
    <xf numFmtId="0" fontId="8" fillId="0" borderId="0" xfId="3153">
      <alignment vertical="center"/>
    </xf>
    <xf numFmtId="195" fontId="8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Fill="1"/>
    <xf numFmtId="210" fontId="168" fillId="0" borderId="123" xfId="0" applyNumberFormat="1" applyFont="1" applyFill="1" applyBorder="1" applyAlignment="1">
      <alignment vertical="center" shrinkToFit="1"/>
    </xf>
    <xf numFmtId="176" fontId="168" fillId="0" borderId="126" xfId="0" applyNumberFormat="1" applyFont="1" applyFill="1" applyBorder="1" applyAlignment="1">
      <alignment vertical="center" shrinkToFit="1"/>
    </xf>
    <xf numFmtId="176" fontId="166" fillId="0" borderId="53" xfId="0" applyNumberFormat="1" applyFont="1" applyFill="1" applyBorder="1" applyAlignment="1">
      <alignment vertical="center" shrinkToFit="1"/>
    </xf>
    <xf numFmtId="0" fontId="204" fillId="0" borderId="0" xfId="2697" applyFont="1">
      <alignment vertical="center"/>
    </xf>
    <xf numFmtId="217" fontId="205" fillId="0" borderId="0" xfId="2697" applyNumberFormat="1" applyFont="1">
      <alignment vertical="center"/>
    </xf>
    <xf numFmtId="217" fontId="206" fillId="0" borderId="0" xfId="2697" applyNumberFormat="1" applyFont="1">
      <alignment vertical="center"/>
    </xf>
    <xf numFmtId="0" fontId="38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42" fillId="52" borderId="10" xfId="0" applyFont="1" applyFill="1" applyBorder="1" applyAlignment="1">
      <alignment horizontal="center" vertical="center"/>
    </xf>
    <xf numFmtId="205" fontId="166" fillId="52" borderId="134" xfId="0" applyNumberFormat="1" applyFont="1" applyFill="1" applyBorder="1" applyAlignment="1">
      <alignment vertical="center"/>
    </xf>
    <xf numFmtId="206" fontId="166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4" fontId="174" fillId="0" borderId="246" xfId="1959" applyNumberFormat="1" applyFont="1" applyBorder="1" applyAlignment="1">
      <alignment horizontal="right" vertical="center" wrapText="1" indent="1"/>
    </xf>
    <xf numFmtId="216" fontId="175" fillId="0" borderId="182" xfId="1959" applyNumberFormat="1" applyFont="1" applyBorder="1" applyAlignment="1">
      <alignment horizontal="right" vertical="center" wrapText="1" indent="1"/>
    </xf>
    <xf numFmtId="216" fontId="175" fillId="0" borderId="248" xfId="1959" applyNumberFormat="1" applyFont="1" applyBorder="1" applyAlignment="1">
      <alignment horizontal="right" vertical="center" wrapText="1" indent="1"/>
    </xf>
    <xf numFmtId="0" fontId="53" fillId="0" borderId="0" xfId="0" applyFont="1" applyAlignment="1">
      <alignment horizontal="centerContinuous"/>
    </xf>
    <xf numFmtId="0" fontId="207" fillId="0" borderId="0" xfId="0" applyFont="1" applyAlignment="1">
      <alignment vertical="center"/>
    </xf>
    <xf numFmtId="0" fontId="208" fillId="52" borderId="37" xfId="0" applyFont="1" applyFill="1" applyBorder="1" applyAlignment="1">
      <alignment horizontal="center"/>
    </xf>
    <xf numFmtId="0" fontId="208" fillId="52" borderId="40" xfId="0" applyFont="1" applyFill="1" applyBorder="1" applyAlignment="1">
      <alignment horizontal="center"/>
    </xf>
    <xf numFmtId="0" fontId="46" fillId="60" borderId="106" xfId="0" applyFont="1" applyFill="1" applyBorder="1" applyAlignment="1">
      <alignment horizontal="center"/>
    </xf>
    <xf numFmtId="0" fontId="208" fillId="52" borderId="24" xfId="0" applyFont="1" applyFill="1" applyBorder="1" applyAlignment="1">
      <alignment horizontal="center" vertical="top"/>
    </xf>
    <xf numFmtId="0" fontId="208" fillId="52" borderId="38" xfId="0" applyFont="1" applyFill="1" applyBorder="1" applyAlignment="1">
      <alignment horizontal="center" vertical="top"/>
    </xf>
    <xf numFmtId="0" fontId="46" fillId="60" borderId="107" xfId="0" applyFont="1" applyFill="1" applyBorder="1" applyAlignment="1">
      <alignment horizontal="center" vertical="top"/>
    </xf>
    <xf numFmtId="182" fontId="209" fillId="0" borderId="34" xfId="0" applyNumberFormat="1" applyFont="1" applyFill="1" applyBorder="1" applyAlignment="1">
      <alignment vertical="center"/>
    </xf>
    <xf numFmtId="187" fontId="209" fillId="0" borderId="34" xfId="0" applyNumberFormat="1" applyFont="1" applyBorder="1" applyAlignment="1">
      <alignment vertical="center"/>
    </xf>
    <xf numFmtId="182" fontId="209" fillId="0" borderId="32" xfId="1959" applyNumberFormat="1" applyFont="1" applyBorder="1" applyAlignment="1">
      <alignment vertical="center"/>
    </xf>
    <xf numFmtId="41" fontId="209" fillId="0" borderId="34" xfId="0" applyNumberFormat="1" applyFont="1" applyBorder="1" applyAlignment="1">
      <alignment vertical="center"/>
    </xf>
    <xf numFmtId="41" fontId="209" fillId="0" borderId="15" xfId="0" applyNumberFormat="1" applyFont="1" applyBorder="1" applyAlignment="1">
      <alignment vertical="center"/>
    </xf>
    <xf numFmtId="182" fontId="209" fillId="0" borderId="15" xfId="0" applyNumberFormat="1" applyFont="1" applyBorder="1" applyAlignment="1">
      <alignment vertical="center"/>
    </xf>
    <xf numFmtId="220" fontId="209" fillId="0" borderId="17" xfId="0" applyNumberFormat="1" applyFont="1" applyBorder="1" applyAlignment="1">
      <alignment vertical="center"/>
    </xf>
    <xf numFmtId="182" fontId="47" fillId="0" borderId="108" xfId="0" applyNumberFormat="1" applyFont="1" applyBorder="1" applyAlignment="1">
      <alignment vertical="center"/>
    </xf>
    <xf numFmtId="182" fontId="209" fillId="0" borderId="100" xfId="0" applyNumberFormat="1" applyFont="1" applyBorder="1" applyAlignment="1">
      <alignment vertical="center"/>
    </xf>
    <xf numFmtId="187" fontId="209" fillId="0" borderId="100" xfId="0" applyNumberFormat="1" applyFont="1" applyBorder="1" applyAlignment="1">
      <alignment vertical="center"/>
    </xf>
    <xf numFmtId="182" fontId="209" fillId="0" borderId="100" xfId="1959" applyNumberFormat="1" applyFont="1" applyBorder="1" applyAlignment="1">
      <alignment vertical="center"/>
    </xf>
    <xf numFmtId="41" fontId="209" fillId="0" borderId="100" xfId="0" applyNumberFormat="1" applyFont="1" applyBorder="1" applyAlignment="1">
      <alignment vertical="center"/>
    </xf>
    <xf numFmtId="220" fontId="209" fillId="0" borderId="18" xfId="0" applyNumberFormat="1" applyFont="1" applyBorder="1" applyAlignment="1">
      <alignment vertical="center"/>
    </xf>
    <xf numFmtId="182" fontId="47" fillId="0" borderId="249" xfId="0" applyNumberFormat="1" applyFont="1" applyBorder="1" applyAlignment="1">
      <alignment vertical="center"/>
    </xf>
    <xf numFmtId="0" fontId="35" fillId="0" borderId="0" xfId="2639" applyFont="1" applyBorder="1" applyAlignment="1">
      <alignment horizontal="center" vertical="center"/>
    </xf>
    <xf numFmtId="0" fontId="120" fillId="0" borderId="0" xfId="0" applyFont="1" applyAlignment="1">
      <alignment vertical="center"/>
    </xf>
    <xf numFmtId="184" fontId="35" fillId="0" borderId="0" xfId="0" applyNumberFormat="1" applyFont="1" applyBorder="1"/>
    <xf numFmtId="182" fontId="209" fillId="0" borderId="101" xfId="0" applyNumberFormat="1" applyFont="1" applyFill="1" applyBorder="1" applyAlignment="1">
      <alignment vertical="center"/>
    </xf>
    <xf numFmtId="187" fontId="209" fillId="0" borderId="101" xfId="0" applyNumberFormat="1" applyFont="1" applyFill="1" applyBorder="1" applyAlignment="1">
      <alignment vertical="center"/>
    </xf>
    <xf numFmtId="187" fontId="209" fillId="0" borderId="100" xfId="1959" applyNumberFormat="1" applyFont="1" applyBorder="1" applyAlignment="1">
      <alignment vertical="center"/>
    </xf>
    <xf numFmtId="41" fontId="209" fillId="0" borderId="101" xfId="0" applyNumberFormat="1" applyFont="1" applyFill="1" applyBorder="1" applyAlignment="1">
      <alignment vertical="center"/>
    </xf>
    <xf numFmtId="182" fontId="52" fillId="0" borderId="250" xfId="0" applyNumberFormat="1" applyFont="1" applyFill="1" applyBorder="1" applyAlignment="1">
      <alignment vertical="center"/>
    </xf>
    <xf numFmtId="0" fontId="117" fillId="0" borderId="0" xfId="0" applyFont="1" applyAlignment="1">
      <alignment vertical="center"/>
    </xf>
    <xf numFmtId="182" fontId="209" fillId="0" borderId="29" xfId="0" applyNumberFormat="1" applyFont="1" applyFill="1" applyBorder="1" applyAlignment="1">
      <alignment vertical="center"/>
    </xf>
    <xf numFmtId="187" fontId="209" fillId="0" borderId="29" xfId="0" applyNumberFormat="1" applyFont="1" applyFill="1" applyBorder="1" applyAlignment="1">
      <alignment vertical="center"/>
    </xf>
    <xf numFmtId="41" fontId="209" fillId="0" borderId="105" xfId="0" applyNumberFormat="1" applyFont="1" applyBorder="1" applyAlignment="1">
      <alignment vertical="center"/>
    </xf>
    <xf numFmtId="220" fontId="209" fillId="0" borderId="30" xfId="0" applyNumberFormat="1" applyFont="1" applyBorder="1" applyAlignment="1">
      <alignment vertical="center"/>
    </xf>
    <xf numFmtId="182" fontId="52" fillId="0" borderId="249" xfId="0" applyNumberFormat="1" applyFont="1" applyFill="1" applyBorder="1" applyAlignment="1">
      <alignment vertical="center"/>
    </xf>
    <xf numFmtId="182" fontId="208" fillId="52" borderId="16" xfId="0" applyNumberFormat="1" applyFont="1" applyFill="1" applyBorder="1" applyAlignment="1">
      <alignment vertical="center"/>
    </xf>
    <xf numFmtId="41" fontId="208" fillId="52" borderId="16" xfId="1959" applyNumberFormat="1" applyFont="1" applyFill="1" applyBorder="1" applyAlignment="1">
      <alignment vertical="center"/>
    </xf>
    <xf numFmtId="41" fontId="208" fillId="52" borderId="16" xfId="0" applyNumberFormat="1" applyFont="1" applyFill="1" applyBorder="1" applyAlignment="1">
      <alignment vertical="center"/>
    </xf>
    <xf numFmtId="220" fontId="208" fillId="52" borderId="19" xfId="0" applyNumberFormat="1" applyFont="1" applyFill="1" applyBorder="1" applyAlignment="1">
      <alignment horizontal="right" vertical="center"/>
    </xf>
    <xf numFmtId="182" fontId="119" fillId="60" borderId="251" xfId="0" applyNumberFormat="1" applyFont="1" applyFill="1" applyBorder="1" applyAlignment="1">
      <alignment vertical="center"/>
    </xf>
    <xf numFmtId="0" fontId="208" fillId="61" borderId="65" xfId="0" applyFont="1" applyFill="1" applyBorder="1" applyAlignment="1">
      <alignment vertical="center"/>
    </xf>
    <xf numFmtId="0" fontId="208" fillId="61" borderId="71" xfId="0" applyFont="1" applyFill="1" applyBorder="1" applyAlignment="1">
      <alignment vertical="center"/>
    </xf>
    <xf numFmtId="182" fontId="209" fillId="0" borderId="34" xfId="0" applyNumberFormat="1" applyFont="1" applyBorder="1" applyAlignment="1">
      <alignment vertical="center"/>
    </xf>
    <xf numFmtId="195" fontId="42" fillId="0" borderId="108" xfId="1959" applyNumberFormat="1" applyFont="1" applyBorder="1" applyAlignment="1">
      <alignment vertical="center"/>
    </xf>
    <xf numFmtId="220" fontId="40" fillId="0" borderId="0" xfId="0" applyNumberFormat="1" applyFont="1"/>
    <xf numFmtId="0" fontId="208" fillId="61" borderId="29" xfId="0" applyFont="1" applyFill="1" applyBorder="1" applyAlignment="1">
      <alignment horizontal="center" vertical="center"/>
    </xf>
    <xf numFmtId="0" fontId="208" fillId="61" borderId="104" xfId="0" applyFont="1" applyFill="1" applyBorder="1" applyAlignment="1">
      <alignment horizontal="center" vertical="center"/>
    </xf>
    <xf numFmtId="182" fontId="209" fillId="0" borderId="29" xfId="0" applyNumberFormat="1" applyFont="1" applyBorder="1" applyAlignment="1">
      <alignment vertical="center"/>
    </xf>
    <xf numFmtId="41" fontId="209" fillId="0" borderId="29" xfId="0" applyNumberFormat="1" applyFont="1" applyBorder="1" applyAlignment="1">
      <alignment vertical="center"/>
    </xf>
    <xf numFmtId="220" fontId="209" fillId="0" borderId="39" xfId="0" applyNumberFormat="1" applyFont="1" applyBorder="1" applyAlignment="1">
      <alignment vertical="center"/>
    </xf>
    <xf numFmtId="195" fontId="114" fillId="0" borderId="249" xfId="1959" applyNumberFormat="1" applyFont="1" applyBorder="1" applyAlignment="1">
      <alignment vertical="center"/>
    </xf>
    <xf numFmtId="182" fontId="209" fillId="0" borderId="16" xfId="0" applyNumberFormat="1" applyFont="1" applyFill="1" applyBorder="1" applyAlignment="1">
      <alignment vertical="center"/>
    </xf>
    <xf numFmtId="41" fontId="209" fillId="0" borderId="24" xfId="0" applyNumberFormat="1" applyFont="1" applyBorder="1" applyAlignment="1">
      <alignment vertical="center"/>
    </xf>
    <xf numFmtId="41" fontId="209" fillId="0" borderId="16" xfId="0" applyNumberFormat="1" applyFont="1" applyFill="1" applyBorder="1" applyAlignment="1">
      <alignment vertical="center"/>
    </xf>
    <xf numFmtId="220" fontId="209" fillId="0" borderId="19" xfId="0" applyNumberFormat="1" applyFont="1" applyFill="1" applyBorder="1" applyAlignment="1">
      <alignment horizontal="right" vertical="center"/>
    </xf>
    <xf numFmtId="195" fontId="115" fillId="0" borderId="251" xfId="1959" applyNumberFormat="1" applyFont="1" applyFill="1" applyBorder="1" applyAlignment="1">
      <alignment vertical="center"/>
    </xf>
    <xf numFmtId="182" fontId="209" fillId="0" borderId="24" xfId="0" applyNumberFormat="1" applyFont="1" applyBorder="1" applyAlignment="1">
      <alignment vertical="center"/>
    </xf>
    <xf numFmtId="41" fontId="209" fillId="0" borderId="24" xfId="1959" applyNumberFormat="1" applyFont="1" applyBorder="1" applyAlignment="1">
      <alignment vertical="center"/>
    </xf>
    <xf numFmtId="220" fontId="209" fillId="0" borderId="35" xfId="0" applyNumberFormat="1" applyFont="1" applyBorder="1" applyAlignment="1">
      <alignment vertical="center"/>
    </xf>
    <xf numFmtId="195" fontId="115" fillId="0" borderId="107" xfId="1959" applyNumberFormat="1" applyFont="1" applyBorder="1" applyAlignment="1">
      <alignment vertical="center"/>
    </xf>
    <xf numFmtId="4" fontId="35" fillId="0" borderId="0" xfId="2639" applyNumberFormat="1" applyFont="1" applyBorder="1" applyAlignment="1">
      <alignment horizontal="center" vertical="center"/>
    </xf>
    <xf numFmtId="183" fontId="35" fillId="0" borderId="0" xfId="2639" applyNumberFormat="1" applyFont="1" applyBorder="1">
      <alignment vertical="center"/>
    </xf>
    <xf numFmtId="0" fontId="49" fillId="0" borderId="0" xfId="0" applyFont="1"/>
    <xf numFmtId="178" fontId="40" fillId="0" borderId="0" xfId="0" applyNumberFormat="1" applyFont="1"/>
    <xf numFmtId="182" fontId="209" fillId="0" borderId="6" xfId="0" applyNumberFormat="1" applyFont="1" applyFill="1" applyBorder="1" applyAlignment="1">
      <alignment vertical="center"/>
    </xf>
    <xf numFmtId="178" fontId="209" fillId="0" borderId="24" xfId="0" applyNumberFormat="1" applyFont="1" applyFill="1" applyBorder="1" applyAlignment="1">
      <alignment vertical="center"/>
    </xf>
    <xf numFmtId="41" fontId="209" fillId="0" borderId="6" xfId="0" applyNumberFormat="1" applyFont="1" applyFill="1" applyBorder="1" applyAlignment="1">
      <alignment vertical="center"/>
    </xf>
    <xf numFmtId="195" fontId="115" fillId="0" borderId="109" xfId="1959" applyNumberFormat="1" applyFont="1" applyBorder="1"/>
    <xf numFmtId="221" fontId="40" fillId="0" borderId="0" xfId="0" applyNumberFormat="1" applyFont="1"/>
    <xf numFmtId="182" fontId="209" fillId="0" borderId="24" xfId="0" applyNumberFormat="1" applyFont="1" applyFill="1" applyBorder="1" applyAlignment="1">
      <alignment vertical="center"/>
    </xf>
    <xf numFmtId="41" fontId="209" fillId="0" borderId="24" xfId="0" applyNumberFormat="1" applyFont="1" applyFill="1" applyBorder="1" applyAlignment="1">
      <alignment vertical="center"/>
    </xf>
    <xf numFmtId="41" fontId="40" fillId="0" borderId="0" xfId="1959" applyFont="1"/>
    <xf numFmtId="195" fontId="115" fillId="0" borderId="107" xfId="1959" applyNumberFormat="1" applyFont="1" applyFill="1" applyBorder="1" applyAlignment="1">
      <alignment vertical="center"/>
    </xf>
    <xf numFmtId="0" fontId="40" fillId="0" borderId="0" xfId="0" applyFont="1" applyAlignment="1">
      <alignment horizontal="left" vertical="center"/>
    </xf>
    <xf numFmtId="222" fontId="42" fillId="0" borderId="0" xfId="0" applyNumberFormat="1" applyFont="1" applyAlignment="1">
      <alignment vertical="center"/>
    </xf>
    <xf numFmtId="222" fontId="207" fillId="0" borderId="0" xfId="0" applyNumberFormat="1" applyFont="1" applyAlignment="1">
      <alignment vertical="center"/>
    </xf>
    <xf numFmtId="223" fontId="46" fillId="0" borderId="0" xfId="0" applyNumberFormat="1" applyFont="1"/>
    <xf numFmtId="222" fontId="47" fillId="0" borderId="0" xfId="0" applyNumberFormat="1" applyFont="1" applyAlignment="1">
      <alignment vertical="center"/>
    </xf>
    <xf numFmtId="186" fontId="42" fillId="0" borderId="0" xfId="0" applyNumberFormat="1" applyFont="1" applyAlignment="1">
      <alignment vertical="center"/>
    </xf>
    <xf numFmtId="222" fontId="42" fillId="0" borderId="0" xfId="1959" applyNumberFormat="1" applyFont="1" applyAlignment="1">
      <alignment vertical="center"/>
    </xf>
    <xf numFmtId="222" fontId="40" fillId="0" borderId="0" xfId="0" applyNumberFormat="1" applyFont="1"/>
    <xf numFmtId="222" fontId="38" fillId="0" borderId="0" xfId="0" applyNumberFormat="1" applyFont="1" applyAlignment="1">
      <alignment vertical="center"/>
    </xf>
    <xf numFmtId="184" fontId="42" fillId="0" borderId="0" xfId="1959" applyNumberFormat="1" applyFont="1" applyAlignment="1">
      <alignment vertical="center"/>
    </xf>
    <xf numFmtId="182" fontId="40" fillId="0" borderId="0" xfId="0" applyNumberFormat="1" applyFont="1"/>
    <xf numFmtId="0" fontId="46" fillId="0" borderId="0" xfId="0" applyFont="1"/>
    <xf numFmtId="193" fontId="46" fillId="0" borderId="0" xfId="1959" applyNumberFormat="1" applyFont="1" applyAlignment="1">
      <alignment vertical="center"/>
    </xf>
    <xf numFmtId="183" fontId="210" fillId="0" borderId="0" xfId="0" applyNumberFormat="1" applyFont="1" applyAlignment="1">
      <alignment vertical="center"/>
    </xf>
    <xf numFmtId="183" fontId="46" fillId="0" borderId="0" xfId="0" applyNumberFormat="1" applyFont="1" applyAlignment="1">
      <alignment vertical="center"/>
    </xf>
    <xf numFmtId="3" fontId="42" fillId="62" borderId="0" xfId="0" applyNumberFormat="1" applyFont="1" applyFill="1" applyAlignment="1">
      <alignment vertical="center"/>
    </xf>
    <xf numFmtId="189" fontId="40" fillId="0" borderId="0" xfId="0" applyNumberFormat="1" applyFont="1"/>
    <xf numFmtId="193" fontId="46" fillId="0" borderId="0" xfId="1959" applyNumberFormat="1" applyFont="1"/>
    <xf numFmtId="185" fontId="40" fillId="0" borderId="0" xfId="0" applyNumberFormat="1" applyFont="1"/>
    <xf numFmtId="0" fontId="42" fillId="0" borderId="0" xfId="0" applyFont="1"/>
    <xf numFmtId="0" fontId="52" fillId="0" borderId="0" xfId="0" applyFont="1"/>
    <xf numFmtId="193" fontId="211" fillId="0" borderId="0" xfId="1959" applyNumberFormat="1" applyFont="1" applyAlignment="1">
      <alignment vertical="center"/>
    </xf>
    <xf numFmtId="0" fontId="46" fillId="0" borderId="0" xfId="0" applyFont="1" applyAlignment="1">
      <alignment horizontal="center"/>
    </xf>
    <xf numFmtId="0" fontId="138" fillId="0" borderId="0" xfId="0" applyFont="1"/>
    <xf numFmtId="189" fontId="42" fillId="0" borderId="0" xfId="0" applyNumberFormat="1" applyFont="1"/>
    <xf numFmtId="193" fontId="46" fillId="0" borderId="0" xfId="0" applyNumberFormat="1" applyFont="1"/>
    <xf numFmtId="0" fontId="212" fillId="0" borderId="0" xfId="0" applyFont="1"/>
    <xf numFmtId="0" fontId="212" fillId="0" borderId="0" xfId="0" quotePrefix="1" applyFont="1"/>
    <xf numFmtId="195" fontId="38" fillId="0" borderId="0" xfId="1959" applyNumberFormat="1" applyFont="1"/>
    <xf numFmtId="195" fontId="213" fillId="0" borderId="0" xfId="1959" applyNumberFormat="1" applyFont="1"/>
    <xf numFmtId="195" fontId="38" fillId="0" borderId="0" xfId="0" applyNumberFormat="1" applyFont="1"/>
    <xf numFmtId="43" fontId="40" fillId="0" borderId="0" xfId="0" applyNumberFormat="1" applyFont="1"/>
    <xf numFmtId="0" fontId="214" fillId="0" borderId="0" xfId="0" applyFont="1" applyFill="1"/>
    <xf numFmtId="0" fontId="214" fillId="0" borderId="0" xfId="0" applyFont="1"/>
    <xf numFmtId="177" fontId="38" fillId="0" borderId="0" xfId="0" applyNumberFormat="1" applyFont="1" applyAlignment="1">
      <alignment vertical="center"/>
    </xf>
    <xf numFmtId="0" fontId="38" fillId="56" borderId="6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 vertical="center" shrinkToFit="1"/>
    </xf>
    <xf numFmtId="0" fontId="164" fillId="52" borderId="142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center" vertical="center"/>
    </xf>
    <xf numFmtId="0" fontId="163" fillId="57" borderId="6" xfId="0" applyFont="1" applyFill="1" applyBorder="1" applyAlignment="1">
      <alignment horizontal="center" vertical="center" shrinkToFit="1"/>
    </xf>
    <xf numFmtId="0" fontId="44" fillId="0" borderId="0" xfId="0" applyFont="1" applyBorder="1" applyAlignment="1">
      <alignment horizontal="centerContinuous" vertical="center"/>
    </xf>
    <xf numFmtId="0" fontId="39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0" fontId="38" fillId="0" borderId="0" xfId="0" applyFont="1" applyBorder="1" applyAlignment="1">
      <alignment horizontal="centerContinuous" vertical="center"/>
    </xf>
    <xf numFmtId="0" fontId="41" fillId="0" borderId="0" xfId="0" applyFont="1" applyBorder="1" applyAlignment="1">
      <alignment vertical="center"/>
    </xf>
    <xf numFmtId="0" fontId="145" fillId="0" borderId="0" xfId="0" applyFont="1" applyBorder="1" applyAlignment="1">
      <alignment vertical="center"/>
    </xf>
    <xf numFmtId="0" fontId="139" fillId="0" borderId="0" xfId="0" applyFont="1" applyBorder="1" applyAlignment="1">
      <alignment vertical="center"/>
    </xf>
    <xf numFmtId="0" fontId="138" fillId="0" borderId="0" xfId="0" applyFont="1" applyBorder="1" applyAlignment="1">
      <alignment vertical="center"/>
    </xf>
    <xf numFmtId="0" fontId="161" fillId="0" borderId="0" xfId="0" applyFont="1" applyBorder="1" applyAlignment="1">
      <alignment vertical="center"/>
    </xf>
    <xf numFmtId="0" fontId="166" fillId="0" borderId="0" xfId="0" applyFont="1" applyFill="1" applyBorder="1" applyAlignment="1">
      <alignment vertical="center"/>
    </xf>
    <xf numFmtId="0" fontId="164" fillId="0" borderId="0" xfId="0" applyFont="1" applyFill="1" applyBorder="1" applyAlignment="1">
      <alignment horizontal="right" vertical="center"/>
    </xf>
    <xf numFmtId="0" fontId="57" fillId="0" borderId="0" xfId="0" applyFont="1" applyFill="1" applyBorder="1" applyAlignment="1">
      <alignment vertical="center"/>
    </xf>
    <xf numFmtId="0" fontId="57" fillId="0" borderId="0" xfId="0" applyFont="1" applyFill="1" applyBorder="1" applyAlignment="1">
      <alignment horizontal="right" vertical="center"/>
    </xf>
    <xf numFmtId="176" fontId="38" fillId="0" borderId="0" xfId="0" applyNumberFormat="1" applyFont="1" applyBorder="1" applyAlignment="1">
      <alignment vertical="center"/>
    </xf>
    <xf numFmtId="191" fontId="161" fillId="0" borderId="0" xfId="0" applyNumberFormat="1" applyFont="1" applyFill="1" applyBorder="1" applyAlignment="1">
      <alignment horizontal="right" vertical="center"/>
    </xf>
    <xf numFmtId="176" fontId="215" fillId="0" borderId="208" xfId="0" applyNumberFormat="1" applyFont="1" applyFill="1" applyBorder="1" applyAlignment="1">
      <alignment vertical="center"/>
    </xf>
    <xf numFmtId="176" fontId="215" fillId="0" borderId="209" xfId="0" applyNumberFormat="1" applyFont="1" applyFill="1" applyBorder="1" applyAlignment="1">
      <alignment vertical="center"/>
    </xf>
    <xf numFmtId="205" fontId="216" fillId="0" borderId="147" xfId="1959" applyNumberFormat="1" applyFont="1" applyFill="1" applyBorder="1" applyAlignment="1">
      <alignment vertical="center"/>
    </xf>
    <xf numFmtId="205" fontId="216" fillId="0" borderId="136" xfId="1959" applyNumberFormat="1" applyFont="1" applyFill="1" applyBorder="1" applyAlignment="1">
      <alignment vertical="center"/>
    </xf>
    <xf numFmtId="206" fontId="216" fillId="0" borderId="41" xfId="1959" applyNumberFormat="1" applyFont="1" applyFill="1" applyBorder="1" applyAlignment="1">
      <alignment vertical="center"/>
    </xf>
    <xf numFmtId="206" fontId="216" fillId="0" borderId="56" xfId="1959" applyNumberFormat="1" applyFont="1" applyFill="1" applyBorder="1" applyAlignment="1">
      <alignment vertical="center"/>
    </xf>
    <xf numFmtId="206" fontId="216" fillId="0" borderId="177" xfId="1959" applyNumberFormat="1" applyFont="1" applyFill="1" applyBorder="1" applyAlignment="1">
      <alignment vertical="center"/>
    </xf>
    <xf numFmtId="41" fontId="216" fillId="0" borderId="22" xfId="1959" applyFont="1" applyFill="1" applyBorder="1" applyAlignment="1">
      <alignment vertical="center" shrinkToFit="1"/>
    </xf>
    <xf numFmtId="41" fontId="216" fillId="0" borderId="101" xfId="1959" applyFont="1" applyFill="1" applyBorder="1" applyAlignment="1">
      <alignment vertical="center" shrinkToFit="1"/>
    </xf>
    <xf numFmtId="41" fontId="216" fillId="0" borderId="102" xfId="1959" applyFont="1" applyFill="1" applyBorder="1" applyAlignment="1">
      <alignment vertical="center" shrinkToFit="1"/>
    </xf>
    <xf numFmtId="41" fontId="216" fillId="0" borderId="41" xfId="1959" applyFont="1" applyFill="1" applyBorder="1" applyAlignment="1">
      <alignment vertical="center" shrinkToFit="1"/>
    </xf>
    <xf numFmtId="41" fontId="216" fillId="0" borderId="56" xfId="1959" applyFont="1" applyFill="1" applyBorder="1" applyAlignment="1">
      <alignment vertical="center" shrinkToFit="1"/>
    </xf>
    <xf numFmtId="41" fontId="216" fillId="0" borderId="192" xfId="1959" applyFont="1" applyFill="1" applyBorder="1" applyAlignment="1">
      <alignment vertical="center" shrinkToFit="1"/>
    </xf>
    <xf numFmtId="208" fontId="216" fillId="0" borderId="22" xfId="1959" applyNumberFormat="1" applyFont="1" applyFill="1" applyBorder="1" applyAlignment="1">
      <alignment vertical="center" shrinkToFit="1"/>
    </xf>
    <xf numFmtId="208" fontId="216" fillId="0" borderId="101" xfId="1959" applyNumberFormat="1" applyFont="1" applyFill="1" applyBorder="1" applyAlignment="1">
      <alignment vertical="center" shrinkToFit="1"/>
    </xf>
    <xf numFmtId="208" fontId="216" fillId="0" borderId="102" xfId="1959" applyNumberFormat="1" applyFont="1" applyFill="1" applyBorder="1" applyAlignment="1">
      <alignment vertical="center" shrinkToFit="1"/>
    </xf>
    <xf numFmtId="208" fontId="216" fillId="0" borderId="41" xfId="1959" applyNumberFormat="1" applyFont="1" applyFill="1" applyBorder="1" applyAlignment="1">
      <alignment vertical="center" shrinkToFit="1"/>
    </xf>
    <xf numFmtId="208" fontId="216" fillId="0" borderId="56" xfId="1959" applyNumberFormat="1" applyFont="1" applyFill="1" applyBorder="1" applyAlignment="1">
      <alignment vertical="center" shrinkToFit="1"/>
    </xf>
    <xf numFmtId="208" fontId="217" fillId="0" borderId="132" xfId="1959" applyNumberFormat="1" applyFont="1" applyFill="1" applyBorder="1" applyAlignment="1">
      <alignment vertical="center" shrinkToFit="1"/>
    </xf>
    <xf numFmtId="41" fontId="218" fillId="0" borderId="188" xfId="1959" applyFont="1" applyFill="1" applyBorder="1" applyAlignment="1">
      <alignment horizontal="center" vertical="center" wrapText="1"/>
    </xf>
    <xf numFmtId="41" fontId="218" fillId="0" borderId="184" xfId="1959" applyFont="1" applyFill="1" applyBorder="1" applyAlignment="1">
      <alignment horizontal="center" vertical="center" wrapText="1"/>
    </xf>
    <xf numFmtId="206" fontId="218" fillId="0" borderId="188" xfId="1959" applyNumberFormat="1" applyFont="1" applyFill="1" applyBorder="1" applyAlignment="1">
      <alignment horizontal="right" vertical="center" wrapText="1"/>
    </xf>
    <xf numFmtId="206" fontId="218" fillId="0" borderId="200" xfId="1959" applyNumberFormat="1" applyFont="1" applyFill="1" applyBorder="1" applyAlignment="1">
      <alignment horizontal="right" vertical="center" wrapText="1"/>
    </xf>
    <xf numFmtId="0" fontId="219" fillId="0" borderId="0" xfId="0" applyFont="1"/>
    <xf numFmtId="0" fontId="220" fillId="0" borderId="0" xfId="0" applyFont="1"/>
    <xf numFmtId="176" fontId="114" fillId="0" borderId="100" xfId="1959" applyNumberFormat="1" applyFont="1" applyFill="1" applyBorder="1" applyAlignment="1" applyProtection="1">
      <alignment vertical="center"/>
    </xf>
    <xf numFmtId="176" fontId="114" fillId="0" borderId="16" xfId="1959" applyNumberFormat="1" applyFont="1" applyFill="1" applyBorder="1" applyAlignment="1">
      <alignment vertical="center"/>
    </xf>
    <xf numFmtId="0" fontId="42" fillId="17" borderId="146" xfId="0" applyFont="1" applyFill="1" applyBorder="1" applyAlignment="1">
      <alignment horizontal="centerContinuous" vertical="center"/>
    </xf>
    <xf numFmtId="195" fontId="42" fillId="17" borderId="15" xfId="0" applyNumberFormat="1" applyFont="1" applyFill="1" applyBorder="1" applyAlignment="1">
      <alignment vertical="center"/>
    </xf>
    <xf numFmtId="195" fontId="42" fillId="17" borderId="25" xfId="0" applyNumberFormat="1" applyFont="1" applyFill="1" applyBorder="1" applyAlignment="1">
      <alignment vertical="center"/>
    </xf>
    <xf numFmtId="0" fontId="42" fillId="0" borderId="23" xfId="0" applyFont="1" applyFill="1" applyBorder="1" applyAlignment="1">
      <alignment horizontal="centerContinuous" vertical="center"/>
    </xf>
    <xf numFmtId="0" fontId="219" fillId="0" borderId="0" xfId="0" applyFont="1" applyAlignment="1">
      <alignment vertical="center"/>
    </xf>
    <xf numFmtId="0" fontId="222" fillId="0" borderId="92" xfId="0" applyFont="1" applyBorder="1" applyAlignment="1">
      <alignment horizontal="center" vertical="center"/>
    </xf>
    <xf numFmtId="206" fontId="216" fillId="0" borderId="225" xfId="1959" applyNumberFormat="1" applyFont="1" applyFill="1" applyBorder="1" applyAlignment="1">
      <alignment vertical="center"/>
    </xf>
    <xf numFmtId="0" fontId="42" fillId="17" borderId="33" xfId="0" applyFont="1" applyFill="1" applyBorder="1" applyAlignment="1">
      <alignment horizontal="center" vertical="center"/>
    </xf>
    <xf numFmtId="199" fontId="119" fillId="0" borderId="100" xfId="1959" applyNumberFormat="1" applyFont="1" applyFill="1" applyBorder="1" applyAlignment="1" applyProtection="1">
      <alignment vertical="center"/>
    </xf>
    <xf numFmtId="199" fontId="119" fillId="0" borderId="100" xfId="1959" applyNumberFormat="1" applyFont="1" applyFill="1" applyBorder="1" applyAlignment="1">
      <alignment vertical="center"/>
    </xf>
    <xf numFmtId="195" fontId="42" fillId="0" borderId="33" xfId="1959" applyNumberFormat="1" applyFont="1" applyFill="1" applyBorder="1" applyAlignment="1">
      <alignment vertical="center"/>
    </xf>
    <xf numFmtId="41" fontId="119" fillId="0" borderId="33" xfId="1959" applyFont="1" applyFill="1" applyBorder="1" applyAlignment="1">
      <alignment vertical="center"/>
    </xf>
    <xf numFmtId="176" fontId="114" fillId="17" borderId="33" xfId="1959" applyNumberFormat="1" applyFont="1" applyFill="1" applyBorder="1" applyAlignment="1">
      <alignment vertical="center"/>
    </xf>
    <xf numFmtId="199" fontId="119" fillId="0" borderId="99" xfId="1959" applyNumberFormat="1" applyFont="1" applyFill="1" applyBorder="1" applyAlignment="1">
      <alignment vertical="center"/>
    </xf>
    <xf numFmtId="177" fontId="42" fillId="17" borderId="174" xfId="0" applyNumberFormat="1" applyFont="1" applyFill="1" applyBorder="1" applyAlignment="1">
      <alignment vertical="center"/>
    </xf>
    <xf numFmtId="41" fontId="114" fillId="17" borderId="33" xfId="1959" applyNumberFormat="1" applyFont="1" applyFill="1" applyBorder="1" applyAlignment="1">
      <alignment vertical="center"/>
    </xf>
    <xf numFmtId="41" fontId="42" fillId="17" borderId="33" xfId="1959" applyNumberFormat="1" applyFont="1" applyFill="1" applyBorder="1" applyAlignment="1">
      <alignment vertical="center"/>
    </xf>
    <xf numFmtId="199" fontId="119" fillId="0" borderId="98" xfId="1959" applyNumberFormat="1" applyFont="1" applyFill="1" applyBorder="1" applyAlignment="1">
      <alignment vertical="center"/>
    </xf>
    <xf numFmtId="199" fontId="119" fillId="0" borderId="16" xfId="1959" applyNumberFormat="1" applyFont="1" applyFill="1" applyBorder="1" applyAlignment="1">
      <alignment vertical="center"/>
    </xf>
    <xf numFmtId="0" fontId="44" fillId="0" borderId="0" xfId="0" applyFont="1" applyBorder="1" applyAlignment="1">
      <alignment horizontal="center" vertical="center"/>
    </xf>
    <xf numFmtId="0" fontId="42" fillId="0" borderId="100" xfId="0" applyFont="1" applyFill="1" applyBorder="1" applyAlignment="1">
      <alignment horizontal="center" vertical="center"/>
    </xf>
    <xf numFmtId="0" fontId="227" fillId="0" borderId="0" xfId="0" applyFont="1" applyBorder="1" applyAlignment="1">
      <alignment horizontal="left" vertical="center"/>
    </xf>
    <xf numFmtId="0" fontId="228" fillId="0" borderId="0" xfId="0" applyFont="1" applyBorder="1" applyAlignment="1">
      <alignment horizontal="centerContinuous" vertical="center"/>
    </xf>
    <xf numFmtId="176" fontId="229" fillId="17" borderId="15" xfId="1959" applyNumberFormat="1" applyFont="1" applyFill="1" applyBorder="1" applyAlignment="1">
      <alignment vertical="center"/>
    </xf>
    <xf numFmtId="41" fontId="229" fillId="17" borderId="15" xfId="1959" applyNumberFormat="1" applyFont="1" applyFill="1" applyBorder="1" applyAlignment="1">
      <alignment vertical="center"/>
    </xf>
    <xf numFmtId="41" fontId="229" fillId="17" borderId="100" xfId="1959" applyNumberFormat="1" applyFont="1" applyFill="1" applyBorder="1" applyAlignment="1">
      <alignment vertical="center"/>
    </xf>
    <xf numFmtId="195" fontId="229" fillId="0" borderId="100" xfId="0" applyNumberFormat="1" applyFont="1" applyFill="1" applyBorder="1" applyAlignment="1">
      <alignment vertical="center"/>
    </xf>
    <xf numFmtId="41" fontId="229" fillId="0" borderId="100" xfId="1959" applyNumberFormat="1" applyFont="1" applyFill="1" applyBorder="1" applyAlignment="1">
      <alignment vertical="center"/>
    </xf>
    <xf numFmtId="41" fontId="229" fillId="0" borderId="16" xfId="1959" applyNumberFormat="1" applyFont="1" applyFill="1" applyBorder="1" applyAlignment="1">
      <alignment vertical="center"/>
    </xf>
    <xf numFmtId="41" fontId="229" fillId="17" borderId="25" xfId="1959" applyNumberFormat="1" applyFont="1" applyFill="1" applyBorder="1" applyAlignment="1">
      <alignment vertical="center"/>
    </xf>
    <xf numFmtId="41" fontId="229" fillId="17" borderId="105" xfId="1959" applyNumberFormat="1" applyFont="1" applyFill="1" applyBorder="1" applyAlignment="1">
      <alignment vertical="center"/>
    </xf>
    <xf numFmtId="176" fontId="229" fillId="0" borderId="100" xfId="1959" applyNumberFormat="1" applyFont="1" applyFill="1" applyBorder="1" applyAlignment="1" applyProtection="1">
      <alignment vertical="center"/>
    </xf>
    <xf numFmtId="195" fontId="229" fillId="0" borderId="16" xfId="1959" applyNumberFormat="1" applyFont="1" applyFill="1" applyBorder="1" applyAlignment="1">
      <alignment vertical="center"/>
    </xf>
    <xf numFmtId="41" fontId="229" fillId="17" borderId="33" xfId="1959" applyNumberFormat="1" applyFont="1" applyFill="1" applyBorder="1" applyAlignment="1">
      <alignment vertical="center"/>
    </xf>
    <xf numFmtId="41" fontId="229" fillId="17" borderId="16" xfId="1959" applyNumberFormat="1" applyFont="1" applyFill="1" applyBorder="1" applyAlignment="1">
      <alignment vertical="center"/>
    </xf>
    <xf numFmtId="41" fontId="229" fillId="17" borderId="55" xfId="1959" applyNumberFormat="1" applyFont="1" applyFill="1" applyBorder="1" applyAlignment="1">
      <alignment vertical="center"/>
    </xf>
    <xf numFmtId="206" fontId="163" fillId="57" borderId="208" xfId="1959" applyNumberFormat="1" applyFont="1" applyFill="1" applyBorder="1" applyAlignment="1">
      <alignment horizontal="right" vertical="center"/>
    </xf>
    <xf numFmtId="206" fontId="163" fillId="57" borderId="27" xfId="1959" applyNumberFormat="1" applyFont="1" applyFill="1" applyBorder="1" applyAlignment="1">
      <alignment horizontal="right" vertical="center"/>
    </xf>
    <xf numFmtId="206" fontId="163" fillId="57" borderId="209" xfId="1959" applyNumberFormat="1" applyFont="1" applyFill="1" applyBorder="1" applyAlignment="1">
      <alignment horizontal="right" vertical="center"/>
    </xf>
    <xf numFmtId="205" fontId="168" fillId="52" borderId="82" xfId="0" applyNumberFormat="1" applyFont="1" applyFill="1" applyBorder="1" applyAlignment="1">
      <alignment vertical="center"/>
    </xf>
    <xf numFmtId="206" fontId="168" fillId="52" borderId="167" xfId="0" applyNumberFormat="1" applyFont="1" applyFill="1" applyBorder="1" applyAlignment="1">
      <alignment vertical="center"/>
    </xf>
    <xf numFmtId="205" fontId="168" fillId="52" borderId="134" xfId="0" applyNumberFormat="1" applyFont="1" applyFill="1" applyBorder="1" applyAlignment="1">
      <alignment vertical="center"/>
    </xf>
    <xf numFmtId="206" fontId="168" fillId="52" borderId="87" xfId="0" applyNumberFormat="1" applyFont="1" applyFill="1" applyBorder="1" applyAlignment="1">
      <alignment vertical="center"/>
    </xf>
    <xf numFmtId="199" fontId="42" fillId="0" borderId="104" xfId="1959" applyNumberFormat="1" applyFont="1" applyFill="1" applyBorder="1" applyAlignment="1">
      <alignment vertical="center"/>
    </xf>
    <xf numFmtId="199" fontId="229" fillId="0" borderId="100" xfId="1959" applyNumberFormat="1" applyFont="1" applyFill="1" applyBorder="1" applyAlignment="1">
      <alignment vertical="center"/>
    </xf>
    <xf numFmtId="176" fontId="229" fillId="0" borderId="100" xfId="0" applyNumberFormat="1" applyFont="1" applyFill="1" applyBorder="1" applyAlignment="1">
      <alignment vertical="center"/>
    </xf>
    <xf numFmtId="176" fontId="229" fillId="0" borderId="100" xfId="1959" applyNumberFormat="1" applyFont="1" applyFill="1" applyBorder="1" applyAlignment="1">
      <alignment vertical="center"/>
    </xf>
    <xf numFmtId="176" fontId="229" fillId="0" borderId="16" xfId="1959" applyNumberFormat="1" applyFont="1" applyFill="1" applyBorder="1" applyAlignment="1">
      <alignment vertical="center"/>
    </xf>
    <xf numFmtId="41" fontId="160" fillId="0" borderId="15" xfId="1959" applyFont="1" applyFill="1" applyBorder="1" applyAlignment="1">
      <alignment vertical="center"/>
    </xf>
    <xf numFmtId="177" fontId="229" fillId="0" borderId="33" xfId="1959" applyNumberFormat="1" applyFont="1" applyFill="1" applyBorder="1" applyAlignment="1" applyProtection="1">
      <alignment vertical="center"/>
    </xf>
    <xf numFmtId="199" fontId="229" fillId="0" borderId="33" xfId="1959" applyNumberFormat="1" applyFont="1" applyFill="1" applyBorder="1" applyAlignment="1" applyProtection="1">
      <alignment vertical="center"/>
    </xf>
    <xf numFmtId="41" fontId="160" fillId="0" borderId="25" xfId="1959" applyFont="1" applyFill="1" applyBorder="1" applyAlignment="1">
      <alignment vertical="center"/>
    </xf>
    <xf numFmtId="41" fontId="160" fillId="0" borderId="100" xfId="1959" applyFont="1" applyFill="1" applyBorder="1" applyAlignment="1">
      <alignment vertical="center"/>
    </xf>
    <xf numFmtId="176" fontId="160" fillId="0" borderId="100" xfId="1959" applyNumberFormat="1" applyFont="1" applyFill="1" applyBorder="1" applyAlignment="1">
      <alignment vertical="center"/>
    </xf>
    <xf numFmtId="41" fontId="114" fillId="0" borderId="15" xfId="1959" applyFont="1" applyFill="1" applyBorder="1" applyAlignment="1">
      <alignment vertical="center"/>
    </xf>
    <xf numFmtId="177" fontId="114" fillId="0" borderId="100" xfId="1959" applyNumberFormat="1" applyFont="1" applyFill="1" applyBorder="1" applyAlignment="1" applyProtection="1">
      <alignment vertical="center"/>
    </xf>
    <xf numFmtId="41" fontId="221" fillId="0" borderId="15" xfId="1959" applyFont="1" applyFill="1" applyBorder="1" applyAlignment="1">
      <alignment vertical="center"/>
    </xf>
    <xf numFmtId="199" fontId="160" fillId="0" borderId="100" xfId="1959" applyNumberFormat="1" applyFont="1" applyFill="1" applyBorder="1" applyAlignment="1" applyProtection="1">
      <alignment vertical="center"/>
    </xf>
    <xf numFmtId="176" fontId="160" fillId="0" borderId="25" xfId="0" applyNumberFormat="1" applyFont="1" applyFill="1" applyBorder="1" applyAlignment="1">
      <alignment vertical="center"/>
    </xf>
    <xf numFmtId="176" fontId="145" fillId="0" borderId="6" xfId="0" applyNumberFormat="1" applyFont="1" applyFill="1" applyBorder="1" applyAlignment="1">
      <alignment vertical="center"/>
    </xf>
    <xf numFmtId="213" fontId="145" fillId="0" borderId="6" xfId="0" applyNumberFormat="1" applyFont="1" applyFill="1" applyBorder="1" applyAlignment="1">
      <alignment vertical="center"/>
    </xf>
    <xf numFmtId="206" fontId="145" fillId="0" borderId="208" xfId="1959" applyNumberFormat="1" applyFont="1" applyBorder="1" applyAlignment="1">
      <alignment horizontal="right" vertical="center"/>
    </xf>
    <xf numFmtId="206" fontId="145" fillId="0" borderId="27" xfId="1959" applyNumberFormat="1" applyFont="1" applyBorder="1" applyAlignment="1">
      <alignment horizontal="right" vertical="center"/>
    </xf>
    <xf numFmtId="206" fontId="145" fillId="0" borderId="209" xfId="0" applyNumberFormat="1" applyFont="1" applyFill="1" applyBorder="1" applyAlignment="1">
      <alignment horizontal="right" vertical="center"/>
    </xf>
    <xf numFmtId="0" fontId="230" fillId="0" borderId="0" xfId="0" applyFont="1" applyBorder="1" applyAlignment="1">
      <alignment vertical="center"/>
    </xf>
    <xf numFmtId="199" fontId="114" fillId="0" borderId="100" xfId="1959" applyNumberFormat="1" applyFont="1" applyFill="1" applyBorder="1" applyAlignment="1" applyProtection="1">
      <alignment vertical="center"/>
    </xf>
    <xf numFmtId="177" fontId="114" fillId="0" borderId="25" xfId="1959" applyNumberFormat="1" applyFont="1" applyFill="1" applyBorder="1" applyAlignment="1" applyProtection="1">
      <alignment vertical="center"/>
    </xf>
    <xf numFmtId="176" fontId="114" fillId="0" borderId="25" xfId="0" applyNumberFormat="1" applyFont="1" applyFill="1" applyBorder="1" applyAlignment="1">
      <alignment vertical="center"/>
    </xf>
    <xf numFmtId="41" fontId="221" fillId="0" borderId="25" xfId="1959" applyFont="1" applyFill="1" applyBorder="1" applyAlignment="1">
      <alignment vertical="center"/>
    </xf>
    <xf numFmtId="177" fontId="221" fillId="0" borderId="100" xfId="0" applyNumberFormat="1" applyFont="1" applyFill="1" applyBorder="1" applyAlignment="1">
      <alignment vertical="center"/>
    </xf>
    <xf numFmtId="193" fontId="231" fillId="0" borderId="60" xfId="0" applyNumberFormat="1" applyFont="1" applyBorder="1" applyAlignment="1">
      <alignment vertical="center"/>
    </xf>
    <xf numFmtId="189" fontId="231" fillId="0" borderId="43" xfId="1959" applyNumberFormat="1" applyFont="1" applyBorder="1"/>
    <xf numFmtId="189" fontId="231" fillId="0" borderId="67" xfId="1959" applyNumberFormat="1" applyFont="1" applyBorder="1"/>
    <xf numFmtId="193" fontId="232" fillId="0" borderId="60" xfId="0" applyNumberFormat="1" applyFont="1" applyBorder="1" applyAlignment="1">
      <alignment vertical="center"/>
    </xf>
    <xf numFmtId="189" fontId="232" fillId="0" borderId="67" xfId="1959" applyNumberFormat="1" applyFont="1" applyBorder="1"/>
    <xf numFmtId="189" fontId="232" fillId="0" borderId="69" xfId="1959" applyNumberFormat="1" applyFont="1" applyBorder="1"/>
    <xf numFmtId="177" fontId="160" fillId="0" borderId="15" xfId="0" applyNumberFormat="1" applyFont="1" applyFill="1" applyBorder="1" applyAlignment="1">
      <alignment vertical="center"/>
    </xf>
    <xf numFmtId="176" fontId="160" fillId="0" borderId="15" xfId="0" applyNumberFormat="1" applyFont="1" applyFill="1" applyBorder="1" applyAlignment="1">
      <alignment vertical="center"/>
    </xf>
    <xf numFmtId="199" fontId="160" fillId="0" borderId="100" xfId="1959" applyNumberFormat="1" applyFont="1" applyFill="1" applyBorder="1" applyAlignment="1">
      <alignment vertical="center"/>
    </xf>
    <xf numFmtId="177" fontId="160" fillId="0" borderId="100" xfId="0" applyNumberFormat="1" applyFont="1" applyFill="1" applyBorder="1" applyAlignment="1">
      <alignment vertical="center"/>
    </xf>
    <xf numFmtId="176" fontId="160" fillId="0" borderId="100" xfId="0" applyNumberFormat="1" applyFont="1" applyFill="1" applyBorder="1" applyAlignment="1">
      <alignment vertical="center"/>
    </xf>
    <xf numFmtId="177" fontId="160" fillId="0" borderId="100" xfId="1959" applyNumberFormat="1" applyFont="1" applyFill="1" applyBorder="1" applyAlignment="1" applyProtection="1">
      <alignment vertical="center"/>
    </xf>
    <xf numFmtId="177" fontId="160" fillId="0" borderId="100" xfId="1959" applyNumberFormat="1" applyFont="1" applyFill="1" applyBorder="1" applyAlignment="1">
      <alignment vertical="center"/>
    </xf>
    <xf numFmtId="177" fontId="160" fillId="0" borderId="16" xfId="0" applyNumberFormat="1" applyFont="1" applyFill="1" applyBorder="1" applyAlignment="1">
      <alignment vertical="center"/>
    </xf>
    <xf numFmtId="176" fontId="160" fillId="0" borderId="100" xfId="1959" applyNumberFormat="1" applyFont="1" applyFill="1" applyBorder="1" applyAlignment="1" applyProtection="1">
      <alignment vertical="center"/>
    </xf>
    <xf numFmtId="41" fontId="230" fillId="0" borderId="98" xfId="1959" applyFont="1" applyFill="1" applyBorder="1" applyAlignment="1">
      <alignment vertical="center"/>
    </xf>
    <xf numFmtId="176" fontId="233" fillId="0" borderId="15" xfId="1959" applyNumberFormat="1" applyFont="1" applyFill="1" applyBorder="1" applyAlignment="1" applyProtection="1">
      <alignment vertical="center"/>
    </xf>
    <xf numFmtId="41" fontId="215" fillId="0" borderId="47" xfId="1959" applyFont="1" applyFill="1" applyBorder="1" applyAlignment="1">
      <alignment horizontal="center" vertical="center"/>
    </xf>
    <xf numFmtId="41" fontId="230" fillId="0" borderId="93" xfId="1959" applyFont="1" applyFill="1" applyBorder="1" applyAlignment="1">
      <alignment vertical="center"/>
    </xf>
    <xf numFmtId="199" fontId="160" fillId="0" borderId="12" xfId="3362" applyNumberFormat="1" applyFont="1" applyFill="1" applyBorder="1" applyAlignment="1">
      <alignment vertical="center"/>
    </xf>
    <xf numFmtId="199" fontId="160" fillId="0" borderId="33" xfId="3362" applyNumberFormat="1" applyFont="1" applyFill="1" applyBorder="1" applyAlignment="1">
      <alignment vertical="center"/>
    </xf>
    <xf numFmtId="199" fontId="160" fillId="0" borderId="15" xfId="3362" applyNumberFormat="1" applyFont="1" applyFill="1" applyBorder="1" applyAlignment="1">
      <alignment vertical="center"/>
    </xf>
    <xf numFmtId="176" fontId="234" fillId="0" borderId="94" xfId="0" applyNumberFormat="1" applyFont="1" applyBorder="1" applyAlignment="1">
      <alignment vertical="center"/>
    </xf>
    <xf numFmtId="0" fontId="1" fillId="0" borderId="0" xfId="3721">
      <alignment vertical="center"/>
    </xf>
    <xf numFmtId="17" fontId="1" fillId="0" borderId="0" xfId="3721" applyNumberFormat="1">
      <alignment vertical="center"/>
    </xf>
    <xf numFmtId="3" fontId="1" fillId="0" borderId="0" xfId="3721" applyNumberFormat="1">
      <alignment vertical="center"/>
    </xf>
    <xf numFmtId="189" fontId="1" fillId="0" borderId="0" xfId="3721" applyNumberFormat="1">
      <alignment vertical="center"/>
    </xf>
    <xf numFmtId="199" fontId="160" fillId="0" borderId="146" xfId="1959" applyNumberFormat="1" applyFont="1" applyFill="1" applyBorder="1" applyAlignment="1">
      <alignment vertical="center"/>
    </xf>
    <xf numFmtId="199" fontId="160" fillId="0" borderId="25" xfId="1959" applyNumberFormat="1" applyFont="1" applyFill="1" applyBorder="1" applyAlignment="1">
      <alignment vertical="center"/>
    </xf>
    <xf numFmtId="199" fontId="160" fillId="0" borderId="98" xfId="1959" applyNumberFormat="1" applyFont="1" applyFill="1" applyBorder="1" applyAlignment="1">
      <alignment vertical="center"/>
    </xf>
    <xf numFmtId="41" fontId="216" fillId="0" borderId="126" xfId="1959" applyNumberFormat="1" applyFont="1" applyFill="1" applyBorder="1" applyAlignment="1">
      <alignment vertical="center" shrinkToFit="1"/>
    </xf>
    <xf numFmtId="206" fontId="216" fillId="0" borderId="124" xfId="1959" applyNumberFormat="1" applyFont="1" applyFill="1" applyBorder="1" applyAlignment="1">
      <alignment vertical="center" shrinkToFit="1"/>
    </xf>
    <xf numFmtId="0" fontId="38" fillId="56" borderId="6" xfId="0" applyFont="1" applyFill="1" applyBorder="1" applyAlignment="1">
      <alignment horizontal="center" vertical="center"/>
    </xf>
    <xf numFmtId="0" fontId="57" fillId="56" borderId="6" xfId="0" applyFont="1" applyFill="1" applyBorder="1" applyAlignment="1">
      <alignment horizontal="center" vertical="center"/>
    </xf>
    <xf numFmtId="0" fontId="57" fillId="56" borderId="26" xfId="0" applyFont="1" applyFill="1" applyBorder="1" applyAlignment="1">
      <alignment horizontal="center" vertical="center"/>
    </xf>
    <xf numFmtId="0" fontId="162" fillId="56" borderId="214" xfId="0" applyFont="1" applyFill="1" applyBorder="1" applyAlignment="1">
      <alignment horizontal="center" vertical="center"/>
    </xf>
    <xf numFmtId="0" fontId="162" fillId="56" borderId="215" xfId="0" applyFont="1" applyFill="1" applyBorder="1" applyAlignment="1">
      <alignment horizontal="center" vertical="center"/>
    </xf>
    <xf numFmtId="0" fontId="162" fillId="56" borderId="216" xfId="0" applyFont="1" applyFill="1" applyBorder="1" applyAlignment="1">
      <alignment horizontal="center" vertical="center"/>
    </xf>
    <xf numFmtId="0" fontId="39" fillId="56" borderId="205" xfId="0" applyFont="1" applyFill="1" applyBorder="1" applyAlignment="1">
      <alignment horizontal="center" vertical="center"/>
    </xf>
    <xf numFmtId="0" fontId="39" fillId="56" borderId="206" xfId="0" applyFont="1" applyFill="1" applyBorder="1" applyAlignment="1">
      <alignment horizontal="center" vertical="center"/>
    </xf>
    <xf numFmtId="0" fontId="39" fillId="56" borderId="207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163" fillId="57" borderId="191" xfId="0" applyFont="1" applyFill="1" applyBorder="1" applyAlignment="1">
      <alignment horizontal="center" vertical="center" shrinkToFit="1"/>
    </xf>
    <xf numFmtId="0" fontId="164" fillId="52" borderId="118" xfId="0" applyFont="1" applyFill="1" applyBorder="1" applyAlignment="1">
      <alignment horizontal="center" vertical="center"/>
    </xf>
    <xf numFmtId="0" fontId="164" fillId="52" borderId="7" xfId="0" applyFont="1" applyFill="1" applyBorder="1" applyAlignment="1">
      <alignment horizontal="center" vertical="center"/>
    </xf>
    <xf numFmtId="0" fontId="164" fillId="52" borderId="204" xfId="0" applyFont="1" applyFill="1" applyBorder="1" applyAlignment="1">
      <alignment horizontal="center" vertical="center"/>
    </xf>
    <xf numFmtId="0" fontId="164" fillId="52" borderId="119" xfId="0" applyFont="1" applyFill="1" applyBorder="1" applyAlignment="1">
      <alignment horizontal="center" vertical="center"/>
    </xf>
    <xf numFmtId="0" fontId="164" fillId="52" borderId="85" xfId="0" applyFont="1" applyFill="1" applyBorder="1" applyAlignment="1">
      <alignment horizontal="center" vertical="center"/>
    </xf>
    <xf numFmtId="0" fontId="164" fillId="52" borderId="77" xfId="0" applyFont="1" applyFill="1" applyBorder="1" applyAlignment="1">
      <alignment horizontal="center" vertical="center"/>
    </xf>
    <xf numFmtId="0" fontId="164" fillId="52" borderId="84" xfId="0" applyFont="1" applyFill="1" applyBorder="1" applyAlignment="1">
      <alignment horizontal="center" vertical="center"/>
    </xf>
    <xf numFmtId="0" fontId="164" fillId="52" borderId="10" xfId="0" applyFont="1" applyFill="1" applyBorder="1" applyAlignment="1">
      <alignment horizontal="center" vertical="center"/>
    </xf>
    <xf numFmtId="0" fontId="164" fillId="0" borderId="75" xfId="0" applyFont="1" applyFill="1" applyBorder="1" applyAlignment="1">
      <alignment horizontal="center" vertical="center" shrinkToFit="1"/>
    </xf>
    <xf numFmtId="0" fontId="164" fillId="0" borderId="70" xfId="0" applyFont="1" applyFill="1" applyBorder="1" applyAlignment="1">
      <alignment horizontal="center" vertical="center" shrinkToFit="1"/>
    </xf>
    <xf numFmtId="0" fontId="164" fillId="0" borderId="220" xfId="0" applyFont="1" applyFill="1" applyBorder="1" applyAlignment="1">
      <alignment horizontal="center" vertical="center" shrinkToFit="1"/>
    </xf>
    <xf numFmtId="0" fontId="164" fillId="0" borderId="221" xfId="0" applyFont="1" applyFill="1" applyBorder="1" applyAlignment="1">
      <alignment horizontal="center" vertical="center" shrinkToFit="1"/>
    </xf>
    <xf numFmtId="188" fontId="167" fillId="0" borderId="93" xfId="0" applyNumberFormat="1" applyFont="1" applyFill="1" applyBorder="1" applyAlignment="1">
      <alignment horizontal="right" vertical="center"/>
    </xf>
    <xf numFmtId="188" fontId="167" fillId="0" borderId="130" xfId="0" applyNumberFormat="1" applyFont="1" applyFill="1" applyBorder="1" applyAlignment="1">
      <alignment horizontal="right" vertical="center"/>
    </xf>
    <xf numFmtId="0" fontId="38" fillId="0" borderId="6" xfId="0" applyFont="1" applyBorder="1" applyAlignment="1">
      <alignment horizontal="center" vertical="center" shrinkToFit="1"/>
    </xf>
    <xf numFmtId="188" fontId="167" fillId="0" borderId="96" xfId="0" applyNumberFormat="1" applyFont="1" applyFill="1" applyBorder="1" applyAlignment="1">
      <alignment horizontal="right" vertical="center"/>
    </xf>
    <xf numFmtId="188" fontId="167" fillId="0" borderId="131" xfId="0" applyNumberFormat="1" applyFont="1" applyFill="1" applyBorder="1" applyAlignment="1">
      <alignment horizontal="right" vertical="center"/>
    </xf>
    <xf numFmtId="188" fontId="167" fillId="52" borderId="48" xfId="0" applyNumberFormat="1" applyFont="1" applyFill="1" applyBorder="1" applyAlignment="1">
      <alignment horizontal="right" vertical="center"/>
    </xf>
    <xf numFmtId="188" fontId="167" fillId="52" borderId="127" xfId="0" applyNumberFormat="1" applyFont="1" applyFill="1" applyBorder="1" applyAlignment="1">
      <alignment horizontal="right" vertical="center"/>
    </xf>
    <xf numFmtId="188" fontId="167" fillId="0" borderId="53" xfId="0" applyNumberFormat="1" applyFont="1" applyFill="1" applyBorder="1" applyAlignment="1">
      <alignment horizontal="right" vertical="center"/>
    </xf>
    <xf numFmtId="188" fontId="167" fillId="0" borderId="222" xfId="0" applyNumberFormat="1" applyFont="1" applyFill="1" applyBorder="1" applyAlignment="1">
      <alignment horizontal="right" vertical="center"/>
    </xf>
    <xf numFmtId="0" fontId="164" fillId="0" borderId="31" xfId="0" applyFont="1" applyFill="1" applyBorder="1" applyAlignment="1">
      <alignment horizontal="center" vertical="center" textRotation="255"/>
    </xf>
    <xf numFmtId="0" fontId="164" fillId="0" borderId="11" xfId="0" applyFont="1" applyFill="1" applyBorder="1" applyAlignment="1">
      <alignment horizontal="center" vertical="center" textRotation="255"/>
    </xf>
    <xf numFmtId="0" fontId="164" fillId="0" borderId="9" xfId="0" applyFont="1" applyFill="1" applyBorder="1" applyAlignment="1">
      <alignment horizontal="center" vertical="center" textRotation="255"/>
    </xf>
    <xf numFmtId="0" fontId="164" fillId="52" borderId="142" xfId="0" applyFont="1" applyFill="1" applyBorder="1" applyAlignment="1">
      <alignment horizontal="center" vertical="center" wrapText="1"/>
    </xf>
    <xf numFmtId="0" fontId="164" fillId="52" borderId="143" xfId="0" applyFont="1" applyFill="1" applyBorder="1" applyAlignment="1">
      <alignment horizontal="center" vertical="center" wrapText="1"/>
    </xf>
    <xf numFmtId="0" fontId="164" fillId="0" borderId="71" xfId="0" applyFont="1" applyFill="1" applyBorder="1" applyAlignment="1">
      <alignment horizontal="center" vertical="center" shrinkToFit="1"/>
    </xf>
    <xf numFmtId="0" fontId="164" fillId="0" borderId="104" xfId="0" applyFont="1" applyFill="1" applyBorder="1" applyAlignment="1">
      <alignment horizontal="center" vertical="center" shrinkToFit="1"/>
    </xf>
    <xf numFmtId="0" fontId="164" fillId="52" borderId="68" xfId="0" applyFont="1" applyFill="1" applyBorder="1" applyAlignment="1">
      <alignment horizontal="center" vertical="center"/>
    </xf>
    <xf numFmtId="0" fontId="164" fillId="52" borderId="59" xfId="0" applyFont="1" applyFill="1" applyBorder="1" applyAlignment="1">
      <alignment horizontal="center" vertical="center"/>
    </xf>
    <xf numFmtId="0" fontId="164" fillId="0" borderId="121" xfId="0" applyFont="1" applyFill="1" applyBorder="1" applyAlignment="1">
      <alignment horizontal="center" vertical="center" shrinkToFit="1"/>
    </xf>
    <xf numFmtId="0" fontId="164" fillId="0" borderId="99" xfId="0" applyFont="1" applyFill="1" applyBorder="1" applyAlignment="1">
      <alignment horizontal="center" vertical="center" shrinkToFit="1"/>
    </xf>
    <xf numFmtId="0" fontId="164" fillId="0" borderId="203" xfId="0" applyFont="1" applyFill="1" applyBorder="1" applyAlignment="1">
      <alignment horizontal="center" vertical="center" shrinkToFit="1"/>
    </xf>
    <xf numFmtId="0" fontId="164" fillId="0" borderId="23" xfId="0" applyFont="1" applyFill="1" applyBorder="1" applyAlignment="1">
      <alignment horizontal="center" vertical="center" shrinkToFit="1"/>
    </xf>
    <xf numFmtId="0" fontId="164" fillId="25" borderId="72" xfId="0" applyFont="1" applyFill="1" applyBorder="1" applyAlignment="1">
      <alignment horizontal="center" vertical="center" shrinkToFit="1"/>
    </xf>
    <xf numFmtId="0" fontId="164" fillId="25" borderId="74" xfId="0" applyFont="1" applyFill="1" applyBorder="1" applyAlignment="1">
      <alignment horizontal="center" vertical="center" shrinkToFit="1"/>
    </xf>
    <xf numFmtId="2" fontId="38" fillId="0" borderId="0" xfId="0" applyNumberFormat="1" applyFont="1" applyBorder="1" applyAlignment="1">
      <alignment horizontal="center" vertical="center"/>
    </xf>
    <xf numFmtId="0" fontId="164" fillId="0" borderId="103" xfId="0" applyFont="1" applyFill="1" applyBorder="1" applyAlignment="1">
      <alignment horizontal="center" vertical="center" shrinkToFit="1"/>
    </xf>
    <xf numFmtId="0" fontId="164" fillId="52" borderId="203" xfId="0" applyFont="1" applyFill="1" applyBorder="1" applyAlignment="1">
      <alignment horizontal="center" vertical="center" shrinkToFit="1"/>
    </xf>
    <xf numFmtId="0" fontId="164" fillId="52" borderId="62" xfId="0" applyFont="1" applyFill="1" applyBorder="1" applyAlignment="1">
      <alignment horizontal="center" vertical="center" shrinkToFit="1"/>
    </xf>
    <xf numFmtId="0" fontId="164" fillId="52" borderId="72" xfId="0" applyFont="1" applyFill="1" applyBorder="1" applyAlignment="1">
      <alignment horizontal="center" vertical="center" shrinkToFit="1"/>
    </xf>
    <xf numFmtId="0" fontId="164" fillId="52" borderId="230" xfId="0" applyFont="1" applyFill="1" applyBorder="1" applyAlignment="1">
      <alignment horizontal="center" vertical="center" shrinkToFit="1"/>
    </xf>
    <xf numFmtId="0" fontId="58" fillId="0" borderId="85" xfId="0" applyFont="1" applyFill="1" applyBorder="1" applyAlignment="1">
      <alignment horizontal="center" vertical="center" shrinkToFit="1"/>
    </xf>
    <xf numFmtId="0" fontId="58" fillId="0" borderId="68" xfId="0" applyFont="1" applyFill="1" applyBorder="1" applyAlignment="1">
      <alignment horizontal="center" vertical="center" shrinkToFit="1"/>
    </xf>
    <xf numFmtId="188" fontId="167" fillId="52" borderId="223" xfId="0" applyNumberFormat="1" applyFont="1" applyFill="1" applyBorder="1" applyAlignment="1">
      <alignment horizontal="right" vertical="center"/>
    </xf>
    <xf numFmtId="188" fontId="167" fillId="52" borderId="224" xfId="0" applyNumberFormat="1" applyFont="1" applyFill="1" applyBorder="1" applyAlignment="1">
      <alignment horizontal="right" vertical="center"/>
    </xf>
    <xf numFmtId="0" fontId="38" fillId="0" borderId="0" xfId="0" applyFont="1" applyFill="1" applyBorder="1" applyAlignment="1">
      <alignment horizontal="center" vertical="center" shrinkToFit="1"/>
    </xf>
    <xf numFmtId="0" fontId="38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 textRotation="255"/>
    </xf>
    <xf numFmtId="0" fontId="163" fillId="57" borderId="55" xfId="0" applyFont="1" applyFill="1" applyBorder="1" applyAlignment="1">
      <alignment horizontal="center" vertical="center"/>
    </xf>
    <xf numFmtId="0" fontId="163" fillId="57" borderId="6" xfId="0" applyFont="1" applyFill="1" applyBorder="1" applyAlignment="1">
      <alignment horizontal="center" vertical="center" shrinkToFit="1"/>
    </xf>
    <xf numFmtId="0" fontId="38" fillId="0" borderId="6" xfId="0" applyFont="1" applyBorder="1" applyAlignment="1">
      <alignment horizontal="center" vertical="center" textRotation="255"/>
    </xf>
    <xf numFmtId="0" fontId="163" fillId="57" borderId="55" xfId="0" applyFont="1" applyFill="1" applyBorder="1" applyAlignment="1">
      <alignment horizontal="center" vertical="center" shrinkToFit="1"/>
    </xf>
    <xf numFmtId="196" fontId="40" fillId="0" borderId="93" xfId="1960" applyNumberFormat="1" applyFont="1" applyBorder="1" applyAlignment="1">
      <alignment horizontal="left" vertical="center" shrinkToFit="1"/>
    </xf>
    <xf numFmtId="196" fontId="40" fillId="0" borderId="94" xfId="1960" applyNumberFormat="1" applyFont="1" applyBorder="1" applyAlignment="1">
      <alignment horizontal="left" vertical="center" shrinkToFit="1"/>
    </xf>
    <xf numFmtId="196" fontId="40" fillId="0" borderId="66" xfId="1960" applyNumberFormat="1" applyFont="1" applyFill="1" applyBorder="1" applyAlignment="1">
      <alignment horizontal="left" vertical="center" shrinkToFit="1"/>
    </xf>
    <xf numFmtId="196" fontId="40" fillId="0" borderId="98" xfId="1960" applyNumberFormat="1" applyFont="1" applyFill="1" applyBorder="1" applyAlignment="1">
      <alignment horizontal="left" vertical="center" shrinkToFit="1"/>
    </xf>
    <xf numFmtId="196" fontId="40" fillId="0" borderId="96" xfId="1960" applyNumberFormat="1" applyFont="1" applyFill="1" applyBorder="1" applyAlignment="1">
      <alignment horizontal="left" vertical="center" shrinkToFit="1"/>
    </xf>
    <xf numFmtId="196" fontId="40" fillId="0" borderId="97" xfId="1960" applyNumberFormat="1" applyFont="1" applyFill="1" applyBorder="1" applyAlignment="1">
      <alignment horizontal="left" vertical="center" shrinkToFit="1"/>
    </xf>
    <xf numFmtId="177" fontId="42" fillId="52" borderId="42" xfId="0" applyNumberFormat="1" applyFont="1" applyFill="1" applyBorder="1" applyAlignment="1">
      <alignment horizontal="center" vertical="center"/>
    </xf>
    <xf numFmtId="177" fontId="42" fillId="52" borderId="43" xfId="0" applyNumberFormat="1" applyFont="1" applyFill="1" applyBorder="1" applyAlignment="1">
      <alignment horizontal="center" vertical="center"/>
    </xf>
    <xf numFmtId="0" fontId="42" fillId="17" borderId="33" xfId="0" applyFont="1" applyFill="1" applyBorder="1" applyAlignment="1">
      <alignment horizontal="center" vertical="center" wrapText="1"/>
    </xf>
    <xf numFmtId="0" fontId="42" fillId="17" borderId="55" xfId="0" applyFont="1" applyFill="1" applyBorder="1" applyAlignment="1">
      <alignment horizontal="center" vertical="center" wrapText="1"/>
    </xf>
    <xf numFmtId="177" fontId="0" fillId="0" borderId="0" xfId="0" applyNumberFormat="1" applyFont="1"/>
    <xf numFmtId="0" fontId="0" fillId="0" borderId="0" xfId="0" applyFont="1"/>
    <xf numFmtId="0" fontId="42" fillId="17" borderId="34" xfId="0" applyFont="1" applyFill="1" applyBorder="1" applyAlignment="1">
      <alignment horizontal="center" vertical="center" wrapText="1"/>
    </xf>
    <xf numFmtId="0" fontId="42" fillId="17" borderId="33" xfId="0" applyFont="1" applyFill="1" applyBorder="1" applyAlignment="1">
      <alignment horizontal="center" vertical="center"/>
    </xf>
    <xf numFmtId="0" fontId="42" fillId="17" borderId="55" xfId="0" applyFont="1" applyFill="1" applyBorder="1" applyAlignment="1">
      <alignment horizontal="center" vertical="center"/>
    </xf>
    <xf numFmtId="194" fontId="229" fillId="0" borderId="0" xfId="0" applyNumberFormat="1" applyFont="1" applyAlignment="1">
      <alignment horizontal="left" vertical="center"/>
    </xf>
    <xf numFmtId="194" fontId="47" fillId="0" borderId="0" xfId="0" applyNumberFormat="1" applyFont="1" applyAlignment="1">
      <alignment horizontal="left" vertical="center"/>
    </xf>
    <xf numFmtId="190" fontId="42" fillId="0" borderId="0" xfId="2696" applyNumberFormat="1" applyFont="1" applyAlignment="1"/>
    <xf numFmtId="0" fontId="42" fillId="17" borderId="33" xfId="0" applyFont="1" applyFill="1" applyBorder="1" applyAlignment="1">
      <alignment horizontal="center" vertical="center" wrapText="1" shrinkToFit="1"/>
    </xf>
    <xf numFmtId="0" fontId="42" fillId="17" borderId="55" xfId="0" applyFont="1" applyFill="1" applyBorder="1" applyAlignment="1">
      <alignment horizontal="center" vertical="center" wrapText="1" shrinkToFit="1"/>
    </xf>
    <xf numFmtId="0" fontId="46" fillId="0" borderId="33" xfId="0" applyFont="1" applyFill="1" applyBorder="1" applyAlignment="1">
      <alignment horizontal="center" vertical="center" wrapText="1"/>
    </xf>
    <xf numFmtId="0" fontId="46" fillId="0" borderId="55" xfId="0" applyFont="1" applyFill="1" applyBorder="1" applyAlignment="1">
      <alignment horizontal="center" vertical="center" wrapText="1"/>
    </xf>
    <xf numFmtId="194" fontId="42" fillId="0" borderId="0" xfId="0" applyNumberFormat="1" applyFont="1" applyFill="1" applyAlignment="1">
      <alignment horizontal="left" vertical="center"/>
    </xf>
    <xf numFmtId="10" fontId="42" fillId="0" borderId="0" xfId="0" applyNumberFormat="1" applyFont="1" applyBorder="1" applyAlignment="1">
      <alignment horizontal="left" vertical="center"/>
    </xf>
    <xf numFmtId="0" fontId="42" fillId="16" borderId="26" xfId="0" applyFont="1" applyFill="1" applyBorder="1" applyAlignment="1">
      <alignment horizontal="center" vertical="center"/>
    </xf>
    <xf numFmtId="0" fontId="42" fillId="16" borderId="27" xfId="0" applyFont="1" applyFill="1" applyBorder="1" applyAlignment="1">
      <alignment horizontal="center" vertical="center"/>
    </xf>
    <xf numFmtId="0" fontId="42" fillId="17" borderId="80" xfId="0" applyFont="1" applyFill="1" applyBorder="1" applyAlignment="1">
      <alignment horizontal="center" vertical="center"/>
    </xf>
    <xf numFmtId="0" fontId="42" fillId="17" borderId="13" xfId="0" applyFont="1" applyFill="1" applyBorder="1" applyAlignment="1">
      <alignment horizontal="center" vertical="center"/>
    </xf>
    <xf numFmtId="0" fontId="42" fillId="17" borderId="27" xfId="0" applyFont="1" applyFill="1" applyBorder="1" applyAlignment="1">
      <alignment horizontal="center" vertical="center"/>
    </xf>
    <xf numFmtId="0" fontId="42" fillId="17" borderId="72" xfId="0" applyFont="1" applyFill="1" applyBorder="1" applyAlignment="1">
      <alignment horizontal="center" vertical="center"/>
    </xf>
    <xf numFmtId="0" fontId="42" fillId="17" borderId="73" xfId="0" applyFont="1" applyFill="1" applyBorder="1" applyAlignment="1">
      <alignment horizontal="center" vertical="center"/>
    </xf>
    <xf numFmtId="0" fontId="42" fillId="17" borderId="74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52" borderId="40" xfId="0" applyFont="1" applyFill="1" applyBorder="1" applyAlignment="1">
      <alignment horizontal="center" vertical="center"/>
    </xf>
    <xf numFmtId="0" fontId="40" fillId="52" borderId="38" xfId="0" applyFont="1" applyFill="1" applyBorder="1" applyAlignment="1">
      <alignment horizontal="center" vertical="center"/>
    </xf>
    <xf numFmtId="0" fontId="42" fillId="52" borderId="76" xfId="0" applyFont="1" applyFill="1" applyBorder="1" applyAlignment="1">
      <alignment horizontal="center" vertical="center"/>
    </xf>
    <xf numFmtId="0" fontId="42" fillId="52" borderId="9" xfId="0" applyFont="1" applyFill="1" applyBorder="1" applyAlignment="1">
      <alignment horizontal="center" vertical="center"/>
    </xf>
    <xf numFmtId="0" fontId="42" fillId="52" borderId="37" xfId="0" applyFont="1" applyFill="1" applyBorder="1" applyAlignment="1">
      <alignment horizontal="center" vertical="center"/>
    </xf>
    <xf numFmtId="0" fontId="42" fillId="52" borderId="77" xfId="0" applyFont="1" applyFill="1" applyBorder="1" applyAlignment="1">
      <alignment horizontal="center" vertical="center"/>
    </xf>
    <xf numFmtId="0" fontId="42" fillId="52" borderId="24" xfId="0" applyFont="1" applyFill="1" applyBorder="1" applyAlignment="1">
      <alignment horizontal="center" vertical="center"/>
    </xf>
    <xf numFmtId="0" fontId="42" fillId="52" borderId="10" xfId="0" applyFont="1" applyFill="1" applyBorder="1" applyAlignment="1">
      <alignment horizontal="center" vertical="center"/>
    </xf>
    <xf numFmtId="176" fontId="42" fillId="52" borderId="54" xfId="0" applyNumberFormat="1" applyFont="1" applyFill="1" applyBorder="1" applyAlignment="1">
      <alignment horizontal="center" vertical="center"/>
    </xf>
    <xf numFmtId="176" fontId="40" fillId="52" borderId="55" xfId="0" applyNumberFormat="1" applyFont="1" applyFill="1" applyBorder="1" applyAlignment="1">
      <alignment horizontal="center" vertical="center"/>
    </xf>
    <xf numFmtId="0" fontId="42" fillId="52" borderId="54" xfId="0" applyFont="1" applyFill="1" applyBorder="1" applyAlignment="1">
      <alignment horizontal="center" vertical="center"/>
    </xf>
    <xf numFmtId="0" fontId="40" fillId="52" borderId="55" xfId="0" applyFont="1" applyFill="1" applyBorder="1" applyAlignment="1">
      <alignment horizontal="center" vertical="center"/>
    </xf>
    <xf numFmtId="0" fontId="208" fillId="0" borderId="80" xfId="0" applyFont="1" applyBorder="1" applyAlignment="1">
      <alignment horizontal="center" vertical="center"/>
    </xf>
    <xf numFmtId="0" fontId="208" fillId="0" borderId="13" xfId="0" applyFont="1" applyBorder="1" applyAlignment="1">
      <alignment horizontal="center" vertical="center"/>
    </xf>
    <xf numFmtId="0" fontId="208" fillId="0" borderId="27" xfId="0" applyFont="1" applyBorder="1" applyAlignment="1">
      <alignment horizontal="center" vertical="center"/>
    </xf>
    <xf numFmtId="0" fontId="38" fillId="0" borderId="0" xfId="0" applyFont="1" applyAlignment="1">
      <alignment horizontal="left" vertical="top" wrapText="1"/>
    </xf>
    <xf numFmtId="0" fontId="208" fillId="52" borderId="85" xfId="0" applyFont="1" applyFill="1" applyBorder="1" applyAlignment="1">
      <alignment horizontal="center" vertical="center"/>
    </xf>
    <xf numFmtId="0" fontId="208" fillId="52" borderId="68" xfId="0" applyFont="1" applyFill="1" applyBorder="1" applyAlignment="1">
      <alignment horizontal="center" vertical="center"/>
    </xf>
    <xf numFmtId="0" fontId="208" fillId="52" borderId="77" xfId="0" applyFont="1" applyFill="1" applyBorder="1" applyAlignment="1">
      <alignment horizontal="center" vertical="center"/>
    </xf>
    <xf numFmtId="0" fontId="208" fillId="52" borderId="84" xfId="0" applyFont="1" applyFill="1" applyBorder="1" applyAlignment="1">
      <alignment horizontal="center" vertical="center"/>
    </xf>
    <xf numFmtId="0" fontId="208" fillId="52" borderId="59" xfId="0" applyFont="1" applyFill="1" applyBorder="1" applyAlignment="1">
      <alignment horizontal="center" vertical="center"/>
    </xf>
    <xf numFmtId="0" fontId="208" fillId="52" borderId="10" xfId="0" applyFont="1" applyFill="1" applyBorder="1" applyAlignment="1">
      <alignment horizontal="center" vertical="center"/>
    </xf>
    <xf numFmtId="0" fontId="208" fillId="0" borderId="31" xfId="0" applyFont="1" applyBorder="1" applyAlignment="1">
      <alignment horizontal="center" vertical="center" textRotation="255"/>
    </xf>
    <xf numFmtId="0" fontId="208" fillId="0" borderId="11" xfId="0" applyFont="1" applyBorder="1"/>
    <xf numFmtId="0" fontId="208" fillId="0" borderId="9" xfId="0" applyFont="1" applyBorder="1"/>
    <xf numFmtId="0" fontId="208" fillId="0" borderId="65" xfId="0" applyFont="1" applyBorder="1" applyAlignment="1">
      <alignment horizontal="center" vertical="center"/>
    </xf>
    <xf numFmtId="0" fontId="208" fillId="0" borderId="71" xfId="0" applyFont="1" applyBorder="1" applyAlignment="1">
      <alignment horizontal="center" vertical="center"/>
    </xf>
    <xf numFmtId="0" fontId="208" fillId="0" borderId="101" xfId="0" applyFont="1" applyBorder="1" applyAlignment="1">
      <alignment horizontal="center" vertical="center"/>
    </xf>
    <xf numFmtId="0" fontId="208" fillId="0" borderId="98" xfId="0" applyFont="1" applyBorder="1" applyAlignment="1">
      <alignment horizontal="center" vertical="center"/>
    </xf>
    <xf numFmtId="0" fontId="208" fillId="52" borderId="102" xfId="0" applyFont="1" applyFill="1" applyBorder="1" applyAlignment="1">
      <alignment horizontal="center" vertical="center"/>
    </xf>
    <xf numFmtId="0" fontId="208" fillId="52" borderId="99" xfId="0" applyFont="1" applyFill="1" applyBorder="1" applyAlignment="1">
      <alignment horizontal="center" vertical="center"/>
    </xf>
    <xf numFmtId="0" fontId="208" fillId="0" borderId="31" xfId="0" applyFont="1" applyBorder="1" applyAlignment="1">
      <alignment horizontal="center" vertical="center" wrapText="1"/>
    </xf>
    <xf numFmtId="0" fontId="208" fillId="0" borderId="9" xfId="0" applyFont="1" applyBorder="1" applyAlignment="1">
      <alignment horizontal="center" vertical="center" wrapText="1"/>
    </xf>
    <xf numFmtId="0" fontId="208" fillId="0" borderId="84" xfId="0" applyFont="1" applyBorder="1" applyAlignment="1">
      <alignment horizontal="center" vertical="center"/>
    </xf>
    <xf numFmtId="0" fontId="208" fillId="0" borderId="59" xfId="0" applyFont="1" applyBorder="1" applyAlignment="1">
      <alignment horizontal="center" vertical="center"/>
    </xf>
    <xf numFmtId="0" fontId="208" fillId="0" borderId="10" xfId="0" applyFont="1" applyBorder="1" applyAlignment="1">
      <alignment horizontal="center" vertical="center"/>
    </xf>
    <xf numFmtId="0" fontId="208" fillId="0" borderId="80" xfId="0" applyFont="1" applyBorder="1" applyAlignment="1">
      <alignment horizontal="center" vertical="center" wrapText="1"/>
    </xf>
    <xf numFmtId="0" fontId="208" fillId="52" borderId="75" xfId="0" applyFont="1" applyFill="1" applyBorder="1" applyAlignment="1">
      <alignment horizontal="center" vertical="center"/>
    </xf>
    <xf numFmtId="0" fontId="208" fillId="52" borderId="70" xfId="0" applyFont="1" applyFill="1" applyBorder="1" applyAlignment="1">
      <alignment horizontal="center" vertical="center"/>
    </xf>
    <xf numFmtId="0" fontId="208" fillId="52" borderId="71" xfId="0" applyFont="1" applyFill="1" applyBorder="1" applyAlignment="1">
      <alignment horizontal="center" vertical="center"/>
    </xf>
    <xf numFmtId="0" fontId="208" fillId="52" borderId="81" xfId="0" applyFont="1" applyFill="1" applyBorder="1" applyAlignment="1">
      <alignment horizontal="center" vertical="center"/>
    </xf>
    <xf numFmtId="0" fontId="208" fillId="52" borderId="0" xfId="0" applyFont="1" applyFill="1" applyBorder="1" applyAlignment="1">
      <alignment horizontal="center" vertical="center"/>
    </xf>
    <xf numFmtId="0" fontId="208" fillId="52" borderId="12" xfId="0" applyFont="1" applyFill="1" applyBorder="1" applyAlignment="1">
      <alignment horizontal="center" vertical="center"/>
    </xf>
    <xf numFmtId="0" fontId="208" fillId="52" borderId="82" xfId="0" applyFont="1" applyFill="1" applyBorder="1" applyAlignment="1">
      <alignment horizontal="center" vertical="center"/>
    </xf>
    <xf numFmtId="0" fontId="208" fillId="52" borderId="252" xfId="0" applyFont="1" applyFill="1" applyBorder="1" applyAlignment="1">
      <alignment horizontal="center" vertical="center"/>
    </xf>
    <xf numFmtId="0" fontId="208" fillId="52" borderId="83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182" fontId="208" fillId="52" borderId="34" xfId="0" applyNumberFormat="1" applyFont="1" applyFill="1" applyBorder="1" applyAlignment="1">
      <alignment vertical="center"/>
    </xf>
    <xf numFmtId="182" fontId="208" fillId="52" borderId="33" xfId="0" applyNumberFormat="1" applyFont="1" applyFill="1" applyBorder="1" applyAlignment="1">
      <alignment vertical="center"/>
    </xf>
    <xf numFmtId="182" fontId="208" fillId="52" borderId="78" xfId="0" applyNumberFormat="1" applyFont="1" applyFill="1" applyBorder="1" applyAlignment="1">
      <alignment vertical="center"/>
    </xf>
    <xf numFmtId="189" fontId="208" fillId="52" borderId="35" xfId="0" applyNumberFormat="1" applyFont="1" applyFill="1" applyBorder="1" applyAlignment="1">
      <alignment horizontal="center" vertical="center"/>
    </xf>
    <xf numFmtId="189" fontId="208" fillId="52" borderId="39" xfId="0" applyNumberFormat="1" applyFont="1" applyFill="1" applyBorder="1" applyAlignment="1">
      <alignment horizontal="center" vertical="center"/>
    </xf>
    <xf numFmtId="189" fontId="208" fillId="52" borderId="79" xfId="0" applyNumberFormat="1" applyFont="1" applyFill="1" applyBorder="1" applyAlignment="1">
      <alignment horizontal="center" vertical="center"/>
    </xf>
    <xf numFmtId="193" fontId="115" fillId="60" borderId="108" xfId="0" applyNumberFormat="1" applyFont="1" applyFill="1" applyBorder="1" applyAlignment="1">
      <alignment vertical="center"/>
    </xf>
    <xf numFmtId="193" fontId="115" fillId="60" borderId="109" xfId="0" applyNumberFormat="1" applyFont="1" applyFill="1" applyBorder="1" applyAlignment="1">
      <alignment vertical="center"/>
    </xf>
    <xf numFmtId="193" fontId="115" fillId="60" borderId="110" xfId="0" applyNumberFormat="1" applyFont="1" applyFill="1" applyBorder="1" applyAlignment="1">
      <alignment vertical="center"/>
    </xf>
    <xf numFmtId="0" fontId="138" fillId="0" borderId="0" xfId="0" applyFont="1" applyAlignment="1">
      <alignment horizontal="center" vertical="center"/>
    </xf>
    <xf numFmtId="182" fontId="208" fillId="52" borderId="34" xfId="0" applyNumberFormat="1" applyFont="1" applyFill="1" applyBorder="1" applyAlignment="1">
      <alignment horizontal="center" vertical="center"/>
    </xf>
    <xf numFmtId="182" fontId="208" fillId="52" borderId="33" xfId="0" applyNumberFormat="1" applyFont="1" applyFill="1" applyBorder="1" applyAlignment="1">
      <alignment horizontal="center" vertical="center"/>
    </xf>
    <xf numFmtId="182" fontId="208" fillId="52" borderId="78" xfId="0" applyNumberFormat="1" applyFont="1" applyFill="1" applyBorder="1" applyAlignment="1">
      <alignment horizontal="center" vertical="center"/>
    </xf>
    <xf numFmtId="0" fontId="40" fillId="52" borderId="24" xfId="0" applyFont="1" applyFill="1" applyBorder="1" applyAlignment="1">
      <alignment horizontal="center" vertical="center"/>
    </xf>
    <xf numFmtId="0" fontId="40" fillId="52" borderId="10" xfId="0" applyFont="1" applyFill="1" applyBorder="1" applyAlignment="1">
      <alignment horizontal="center" vertical="center"/>
    </xf>
    <xf numFmtId="0" fontId="40" fillId="52" borderId="198" xfId="0" applyFont="1" applyFill="1" applyBorder="1" applyAlignment="1">
      <alignment horizontal="center" vertical="center"/>
    </xf>
    <xf numFmtId="0" fontId="40" fillId="52" borderId="233" xfId="0" applyFont="1" applyFill="1" applyBorder="1" applyAlignment="1">
      <alignment horizontal="center" vertical="center"/>
    </xf>
    <xf numFmtId="0" fontId="40" fillId="0" borderId="65" xfId="0" applyFont="1" applyBorder="1" applyAlignment="1">
      <alignment horizontal="center" vertical="center" wrapText="1"/>
    </xf>
    <xf numFmtId="0" fontId="40" fillId="0" borderId="71" xfId="0" applyFont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43" fillId="0" borderId="0" xfId="0" applyFont="1" applyAlignment="1" applyProtection="1">
      <alignment horizontal="center"/>
    </xf>
    <xf numFmtId="0" fontId="40" fillId="52" borderId="34" xfId="0" applyFont="1" applyFill="1" applyBorder="1" applyAlignment="1">
      <alignment horizontal="center" vertical="center"/>
    </xf>
    <xf numFmtId="0" fontId="40" fillId="52" borderId="6" xfId="0" applyFont="1" applyFill="1" applyBorder="1" applyAlignment="1">
      <alignment horizontal="center" vertical="center"/>
    </xf>
    <xf numFmtId="0" fontId="40" fillId="52" borderId="65" xfId="0" applyFont="1" applyFill="1" applyBorder="1" applyAlignment="1">
      <alignment horizontal="center" vertical="center" wrapText="1"/>
    </xf>
    <xf numFmtId="0" fontId="40" fillId="52" borderId="71" xfId="0" applyFont="1" applyFill="1" applyBorder="1" applyAlignment="1">
      <alignment horizontal="center" vertical="center" wrapText="1"/>
    </xf>
    <xf numFmtId="0" fontId="40" fillId="52" borderId="24" xfId="0" applyFont="1" applyFill="1" applyBorder="1" applyAlignment="1">
      <alignment horizontal="center" vertical="center" wrapText="1"/>
    </xf>
    <xf numFmtId="0" fontId="40" fillId="52" borderId="10" xfId="0" applyFont="1" applyFill="1" applyBorder="1" applyAlignment="1">
      <alignment horizontal="center" vertical="center" wrapText="1"/>
    </xf>
    <xf numFmtId="182" fontId="40" fillId="17" borderId="33" xfId="0" applyNumberFormat="1" applyFont="1" applyFill="1" applyBorder="1" applyAlignment="1">
      <alignment horizontal="center" vertical="center"/>
    </xf>
    <xf numFmtId="182" fontId="40" fillId="17" borderId="55" xfId="0" applyNumberFormat="1" applyFont="1" applyFill="1" applyBorder="1" applyAlignment="1">
      <alignment horizontal="center" vertical="center"/>
    </xf>
    <xf numFmtId="0" fontId="40" fillId="52" borderId="13" xfId="0" applyFont="1" applyFill="1" applyBorder="1" applyAlignment="1">
      <alignment horizontal="center" vertical="center"/>
    </xf>
    <xf numFmtId="182" fontId="40" fillId="17" borderId="34" xfId="0" applyNumberFormat="1" applyFont="1" applyFill="1" applyBorder="1" applyAlignment="1">
      <alignment horizontal="center" vertical="center"/>
    </xf>
    <xf numFmtId="0" fontId="40" fillId="0" borderId="34" xfId="0" applyFont="1" applyBorder="1" applyAlignment="1">
      <alignment horizontal="center" vertical="center" wrapText="1"/>
    </xf>
    <xf numFmtId="0" fontId="40" fillId="0" borderId="33" xfId="0" applyFont="1" applyBorder="1" applyAlignment="1">
      <alignment horizontal="center" vertical="center"/>
    </xf>
    <xf numFmtId="0" fontId="40" fillId="0" borderId="55" xfId="0" applyFont="1" applyBorder="1" applyAlignment="1">
      <alignment horizontal="center" vertical="center"/>
    </xf>
    <xf numFmtId="0" fontId="40" fillId="17" borderId="71" xfId="0" applyFont="1" applyFill="1" applyBorder="1" applyAlignment="1">
      <alignment horizontal="center" vertical="center" wrapText="1"/>
    </xf>
    <xf numFmtId="0" fontId="40" fillId="17" borderId="12" xfId="0" applyFont="1" applyFill="1" applyBorder="1" applyAlignment="1">
      <alignment horizontal="center" vertical="center"/>
    </xf>
    <xf numFmtId="0" fontId="40" fillId="17" borderId="10" xfId="0" applyFont="1" applyFill="1" applyBorder="1" applyAlignment="1">
      <alignment horizontal="center" vertical="center"/>
    </xf>
    <xf numFmtId="0" fontId="38" fillId="17" borderId="12" xfId="0" applyFont="1" applyFill="1" applyBorder="1" applyAlignment="1">
      <alignment horizontal="center" vertical="center" wrapText="1"/>
    </xf>
    <xf numFmtId="0" fontId="38" fillId="17" borderId="12" xfId="0" applyFont="1" applyFill="1" applyBorder="1" applyAlignment="1">
      <alignment horizontal="center" vertical="center"/>
    </xf>
    <xf numFmtId="0" fontId="38" fillId="17" borderId="10" xfId="0" applyFont="1" applyFill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0" fillId="0" borderId="34" xfId="0" applyFont="1" applyBorder="1" applyAlignment="1">
      <alignment horizontal="center" vertical="center" textRotation="255"/>
    </xf>
    <xf numFmtId="0" fontId="40" fillId="0" borderId="33" xfId="0" applyFont="1" applyBorder="1" applyAlignment="1">
      <alignment horizontal="center" vertical="center" textRotation="255"/>
    </xf>
    <xf numFmtId="0" fontId="40" fillId="0" borderId="55" xfId="0" applyFont="1" applyBorder="1" applyAlignment="1">
      <alignment horizontal="center" vertical="center" textRotation="255"/>
    </xf>
    <xf numFmtId="0" fontId="51" fillId="0" borderId="26" xfId="2639" applyFont="1" applyBorder="1" applyAlignment="1">
      <alignment horizontal="center" vertical="center"/>
    </xf>
    <xf numFmtId="0" fontId="51" fillId="0" borderId="87" xfId="2639" applyFont="1" applyBorder="1" applyAlignment="1">
      <alignment horizontal="center" vertical="center"/>
    </xf>
    <xf numFmtId="4" fontId="51" fillId="52" borderId="26" xfId="2639" applyNumberFormat="1" applyFont="1" applyFill="1" applyBorder="1" applyAlignment="1">
      <alignment horizontal="center" vertical="center"/>
    </xf>
    <xf numFmtId="4" fontId="51" fillId="52" borderId="87" xfId="2639" applyNumberFormat="1" applyFont="1" applyFill="1" applyBorder="1" applyAlignment="1">
      <alignment horizontal="center" vertical="center"/>
    </xf>
    <xf numFmtId="186" fontId="186" fillId="52" borderId="150" xfId="2699" applyNumberFormat="1" applyFont="1" applyFill="1" applyBorder="1" applyAlignment="1">
      <alignment horizontal="center" vertical="center"/>
    </xf>
    <xf numFmtId="186" fontId="186" fillId="52" borderId="154" xfId="2699" applyNumberFormat="1" applyFont="1" applyFill="1" applyBorder="1" applyAlignment="1">
      <alignment horizontal="center" vertical="center"/>
    </xf>
    <xf numFmtId="190" fontId="186" fillId="52" borderId="54" xfId="2699" applyNumberFormat="1" applyFont="1" applyFill="1" applyBorder="1" applyAlignment="1">
      <alignment horizontal="center" vertical="center"/>
    </xf>
    <xf numFmtId="190" fontId="186" fillId="52" borderId="78" xfId="2699" applyNumberFormat="1" applyFont="1" applyFill="1" applyBorder="1" applyAlignment="1">
      <alignment horizontal="center" vertical="center"/>
    </xf>
    <xf numFmtId="186" fontId="186" fillId="52" borderId="155" xfId="2699" applyNumberFormat="1" applyFont="1" applyFill="1" applyBorder="1" applyAlignment="1">
      <alignment horizontal="center" vertical="center"/>
    </xf>
    <xf numFmtId="186" fontId="186" fillId="52" borderId="160" xfId="2699" applyNumberFormat="1" applyFont="1" applyFill="1" applyBorder="1" applyAlignment="1">
      <alignment horizontal="center" vertical="center"/>
    </xf>
    <xf numFmtId="190" fontId="186" fillId="53" borderId="235" xfId="2699" applyNumberFormat="1" applyFont="1" applyFill="1" applyBorder="1" applyAlignment="1">
      <alignment horizontal="center" vertical="center"/>
    </xf>
    <xf numFmtId="190" fontId="186" fillId="53" borderId="236" xfId="2699" applyNumberFormat="1" applyFont="1" applyFill="1" applyBorder="1" applyAlignment="1">
      <alignment horizontal="center" vertical="center"/>
    </xf>
    <xf numFmtId="186" fontId="186" fillId="53" borderId="8" xfId="2699" applyNumberFormat="1" applyFont="1" applyFill="1" applyBorder="1" applyAlignment="1">
      <alignment horizontal="center" vertical="center"/>
    </xf>
    <xf numFmtId="186" fontId="186" fillId="53" borderId="74" xfId="2699" applyNumberFormat="1" applyFont="1" applyFill="1" applyBorder="1" applyAlignment="1">
      <alignment horizontal="center" vertical="center"/>
    </xf>
    <xf numFmtId="186" fontId="186" fillId="53" borderId="86" xfId="2699" applyNumberFormat="1" applyFont="1" applyFill="1" applyBorder="1" applyAlignment="1">
      <alignment horizontal="center" vertical="center"/>
    </xf>
    <xf numFmtId="186" fontId="186" fillId="53" borderId="14" xfId="2699" applyNumberFormat="1" applyFont="1" applyFill="1" applyBorder="1" applyAlignment="1">
      <alignment horizontal="center" vertical="center"/>
    </xf>
    <xf numFmtId="190" fontId="186" fillId="52" borderId="77" xfId="2699" applyNumberFormat="1" applyFont="1" applyFill="1" applyBorder="1" applyAlignment="1">
      <alignment horizontal="center" vertical="center"/>
    </xf>
    <xf numFmtId="190" fontId="186" fillId="52" borderId="83" xfId="2699" applyNumberFormat="1" applyFont="1" applyFill="1" applyBorder="1" applyAlignment="1">
      <alignment horizontal="center" vertical="center"/>
    </xf>
    <xf numFmtId="186" fontId="186" fillId="52" borderId="176" xfId="1959" applyNumberFormat="1" applyFont="1" applyFill="1" applyBorder="1" applyAlignment="1">
      <alignment horizontal="center" vertical="center"/>
    </xf>
    <xf numFmtId="186" fontId="186" fillId="52" borderId="165" xfId="1959" applyNumberFormat="1" applyFont="1" applyFill="1" applyBorder="1" applyAlignment="1">
      <alignment horizontal="center" vertical="center"/>
    </xf>
    <xf numFmtId="190" fontId="186" fillId="53" borderId="86" xfId="2699" applyNumberFormat="1" applyFont="1" applyFill="1" applyBorder="1" applyAlignment="1">
      <alignment horizontal="center" vertical="center"/>
    </xf>
    <xf numFmtId="190" fontId="186" fillId="53" borderId="191" xfId="2699" applyNumberFormat="1" applyFont="1" applyFill="1" applyBorder="1" applyAlignment="1">
      <alignment horizontal="center" vertical="center"/>
    </xf>
    <xf numFmtId="186" fontId="186" fillId="0" borderId="153" xfId="2699" applyNumberFormat="1" applyFont="1" applyBorder="1" applyAlignment="1">
      <alignment horizontal="center" vertical="center"/>
    </xf>
    <xf numFmtId="186" fontId="186" fillId="0" borderId="151" xfId="2699" applyNumberFormat="1" applyFont="1" applyBorder="1" applyAlignment="1">
      <alignment horizontal="center" vertical="center"/>
    </xf>
    <xf numFmtId="190" fontId="186" fillId="0" borderId="34" xfId="2699" applyNumberFormat="1" applyFont="1" applyBorder="1" applyAlignment="1">
      <alignment horizontal="center" vertical="center"/>
    </xf>
    <xf numFmtId="190" fontId="186" fillId="0" borderId="55" xfId="2699" applyNumberFormat="1" applyFont="1" applyBorder="1" applyAlignment="1">
      <alignment horizontal="center" vertical="center"/>
    </xf>
    <xf numFmtId="186" fontId="186" fillId="0" borderId="157" xfId="2699" applyNumberFormat="1" applyFont="1" applyBorder="1" applyAlignment="1">
      <alignment horizontal="center" vertical="center"/>
    </xf>
    <xf numFmtId="186" fontId="186" fillId="0" borderId="159" xfId="2699" applyNumberFormat="1" applyFont="1" applyBorder="1" applyAlignment="1">
      <alignment horizontal="center" vertical="center"/>
    </xf>
    <xf numFmtId="198" fontId="186" fillId="0" borderId="234" xfId="2699" applyNumberFormat="1" applyFont="1" applyBorder="1" applyAlignment="1">
      <alignment horizontal="center" vertical="center"/>
    </xf>
    <xf numFmtId="186" fontId="186" fillId="0" borderId="27" xfId="2699" applyNumberFormat="1" applyFont="1" applyBorder="1" applyAlignment="1">
      <alignment horizontal="center" vertical="center"/>
    </xf>
    <xf numFmtId="186" fontId="186" fillId="0" borderId="74" xfId="2699" applyNumberFormat="1" applyFont="1" applyBorder="1" applyAlignment="1">
      <alignment horizontal="center" vertical="center"/>
    </xf>
    <xf numFmtId="198" fontId="186" fillId="0" borderId="149" xfId="2699" applyNumberFormat="1" applyFont="1" applyBorder="1" applyAlignment="1">
      <alignment horizontal="center" vertical="center"/>
    </xf>
    <xf numFmtId="198" fontId="186" fillId="0" borderId="28" xfId="2699" applyNumberFormat="1" applyFont="1" applyBorder="1" applyAlignment="1">
      <alignment horizontal="center" vertical="center"/>
    </xf>
    <xf numFmtId="186" fontId="186" fillId="0" borderId="178" xfId="1959" applyNumberFormat="1" applyFont="1" applyBorder="1" applyAlignment="1">
      <alignment horizontal="center" vertical="center"/>
    </xf>
    <xf numFmtId="186" fontId="186" fillId="0" borderId="177" xfId="1959" applyNumberFormat="1" applyFont="1" applyBorder="1" applyAlignment="1">
      <alignment horizontal="center" vertical="center"/>
    </xf>
    <xf numFmtId="190" fontId="186" fillId="0" borderId="71" xfId="2699" applyNumberFormat="1" applyFont="1" applyBorder="1" applyAlignment="1">
      <alignment horizontal="center" vertical="center"/>
    </xf>
    <xf numFmtId="190" fontId="186" fillId="0" borderId="10" xfId="2699" applyNumberFormat="1" applyFont="1" applyBorder="1" applyAlignment="1">
      <alignment horizontal="center" vertical="center"/>
    </xf>
    <xf numFmtId="190" fontId="186" fillId="0" borderId="6" xfId="2699" applyNumberFormat="1" applyFont="1" applyBorder="1" applyAlignment="1">
      <alignment horizontal="center" vertical="center"/>
    </xf>
    <xf numFmtId="190" fontId="186" fillId="0" borderId="14" xfId="2699" applyNumberFormat="1" applyFont="1" applyBorder="1" applyAlignment="1">
      <alignment horizontal="center" vertical="center"/>
    </xf>
    <xf numFmtId="186" fontId="186" fillId="0" borderId="165" xfId="1959" applyNumberFormat="1" applyFont="1" applyBorder="1" applyAlignment="1">
      <alignment horizontal="center" vertical="center"/>
    </xf>
    <xf numFmtId="190" fontId="186" fillId="0" borderId="83" xfId="2699" applyNumberFormat="1" applyFont="1" applyBorder="1" applyAlignment="1">
      <alignment horizontal="center" vertical="center"/>
    </xf>
    <xf numFmtId="186" fontId="186" fillId="0" borderId="190" xfId="2699" applyNumberFormat="1" applyFont="1" applyBorder="1" applyAlignment="1">
      <alignment horizontal="center" vertical="center"/>
    </xf>
    <xf numFmtId="198" fontId="186" fillId="0" borderId="193" xfId="2699" applyNumberFormat="1" applyFont="1" applyBorder="1" applyAlignment="1">
      <alignment horizontal="center" vertical="center"/>
    </xf>
    <xf numFmtId="198" fontId="186" fillId="0" borderId="194" xfId="2699" applyNumberFormat="1" applyFont="1" applyBorder="1" applyAlignment="1">
      <alignment horizontal="center" vertical="center"/>
    </xf>
    <xf numFmtId="186" fontId="186" fillId="0" borderId="156" xfId="2699" applyNumberFormat="1" applyFont="1" applyBorder="1" applyAlignment="1">
      <alignment horizontal="center" vertical="center"/>
    </xf>
    <xf numFmtId="186" fontId="186" fillId="0" borderId="152" xfId="2699" applyNumberFormat="1" applyFont="1" applyBorder="1" applyAlignment="1">
      <alignment horizontal="center" vertical="center"/>
    </xf>
    <xf numFmtId="190" fontId="186" fillId="0" borderId="33" xfId="2699" applyNumberFormat="1" applyFont="1" applyBorder="1" applyAlignment="1">
      <alignment horizontal="center" vertical="center"/>
    </xf>
    <xf numFmtId="186" fontId="186" fillId="0" borderId="201" xfId="2699" applyNumberFormat="1" applyFont="1" applyBorder="1" applyAlignment="1">
      <alignment horizontal="center" vertical="center"/>
    </xf>
    <xf numFmtId="186" fontId="186" fillId="0" borderId="175" xfId="2699" applyNumberFormat="1" applyFont="1" applyBorder="1" applyAlignment="1">
      <alignment horizontal="center" vertical="center"/>
    </xf>
    <xf numFmtId="190" fontId="186" fillId="0" borderId="0" xfId="2699" applyNumberFormat="1" applyFont="1" applyBorder="1" applyAlignment="1">
      <alignment horizontal="center" vertical="center"/>
    </xf>
    <xf numFmtId="190" fontId="186" fillId="0" borderId="59" xfId="2699" applyNumberFormat="1" applyFont="1" applyBorder="1" applyAlignment="1">
      <alignment horizontal="center" vertical="center"/>
    </xf>
    <xf numFmtId="186" fontId="186" fillId="0" borderId="168" xfId="1959" applyNumberFormat="1" applyFont="1" applyBorder="1" applyAlignment="1">
      <alignment horizontal="center" vertical="center"/>
    </xf>
    <xf numFmtId="0" fontId="186" fillId="52" borderId="106" xfId="2697" applyFont="1" applyFill="1" applyBorder="1" applyAlignment="1">
      <alignment horizontal="center" vertical="center" wrapText="1"/>
    </xf>
    <xf numFmtId="0" fontId="186" fillId="52" borderId="109" xfId="2697" applyFont="1" applyFill="1" applyBorder="1" applyAlignment="1">
      <alignment horizontal="center" vertical="center"/>
    </xf>
    <xf numFmtId="0" fontId="186" fillId="52" borderId="107" xfId="2697" applyFont="1" applyFill="1" applyBorder="1" applyAlignment="1">
      <alignment horizontal="center" vertical="center"/>
    </xf>
    <xf numFmtId="49" fontId="186" fillId="52" borderId="153" xfId="2697" applyNumberFormat="1" applyFont="1" applyFill="1" applyBorder="1" applyAlignment="1">
      <alignment horizontal="center" vertical="center"/>
    </xf>
    <xf numFmtId="49" fontId="186" fillId="52" borderId="151" xfId="2697" applyNumberFormat="1" applyFont="1" applyFill="1" applyBorder="1" applyAlignment="1">
      <alignment horizontal="center" vertical="center"/>
    </xf>
    <xf numFmtId="0" fontId="186" fillId="52" borderId="34" xfId="2697" applyNumberFormat="1" applyFont="1" applyFill="1" applyBorder="1" applyAlignment="1">
      <alignment horizontal="center" vertical="center"/>
    </xf>
    <xf numFmtId="0" fontId="186" fillId="52" borderId="55" xfId="2697" applyNumberFormat="1" applyFont="1" applyFill="1" applyBorder="1" applyAlignment="1">
      <alignment horizontal="center" vertical="center"/>
    </xf>
    <xf numFmtId="0" fontId="186" fillId="52" borderId="22" xfId="2697" applyFont="1" applyFill="1" applyBorder="1" applyAlignment="1">
      <alignment horizontal="center" vertical="center"/>
    </xf>
    <xf numFmtId="0" fontId="186" fillId="52" borderId="23" xfId="2697" applyFont="1" applyFill="1" applyBorder="1" applyAlignment="1">
      <alignment horizontal="center" vertical="center"/>
    </xf>
    <xf numFmtId="0" fontId="186" fillId="52" borderId="62" xfId="2697" applyFont="1" applyFill="1" applyBorder="1" applyAlignment="1">
      <alignment horizontal="center" vertical="center"/>
    </xf>
    <xf numFmtId="49" fontId="186" fillId="52" borderId="157" xfId="2697" applyNumberFormat="1" applyFont="1" applyFill="1" applyBorder="1" applyAlignment="1">
      <alignment horizontal="center" vertical="center"/>
    </xf>
    <xf numFmtId="49" fontId="186" fillId="52" borderId="159" xfId="2697" applyNumberFormat="1" applyFont="1" applyFill="1" applyBorder="1" applyAlignment="1">
      <alignment horizontal="center" vertical="center"/>
    </xf>
    <xf numFmtId="0" fontId="186" fillId="52" borderId="234" xfId="2697" applyNumberFormat="1" applyFont="1" applyFill="1" applyBorder="1" applyAlignment="1">
      <alignment horizontal="center" vertical="center"/>
    </xf>
    <xf numFmtId="0" fontId="186" fillId="52" borderId="6" xfId="2697" applyFont="1" applyFill="1" applyBorder="1" applyAlignment="1">
      <alignment horizontal="center" vertical="center"/>
    </xf>
    <xf numFmtId="49" fontId="186" fillId="52" borderId="27" xfId="2697" applyNumberFormat="1" applyFont="1" applyFill="1" applyBorder="1" applyAlignment="1">
      <alignment horizontal="center" vertical="center"/>
    </xf>
    <xf numFmtId="0" fontId="186" fillId="52" borderId="149" xfId="2697" applyNumberFormat="1" applyFont="1" applyFill="1" applyBorder="1" applyAlignment="1">
      <alignment horizontal="center" vertical="center"/>
    </xf>
    <xf numFmtId="0" fontId="186" fillId="52" borderId="28" xfId="2697" applyNumberFormat="1" applyFont="1" applyFill="1" applyBorder="1" applyAlignment="1">
      <alignment horizontal="center" vertical="center"/>
    </xf>
    <xf numFmtId="186" fontId="186" fillId="0" borderId="10" xfId="2699" applyNumberFormat="1" applyFont="1" applyBorder="1" applyAlignment="1">
      <alignment horizontal="center" vertical="center"/>
    </xf>
    <xf numFmtId="49" fontId="186" fillId="52" borderId="190" xfId="2697" applyNumberFormat="1" applyFont="1" applyFill="1" applyBorder="1" applyAlignment="1">
      <alignment horizontal="center" vertical="center"/>
    </xf>
    <xf numFmtId="49" fontId="186" fillId="52" borderId="6" xfId="2697" applyNumberFormat="1" applyFont="1" applyFill="1" applyBorder="1" applyAlignment="1">
      <alignment horizontal="center" vertical="center"/>
    </xf>
    <xf numFmtId="186" fontId="186" fillId="0" borderId="55" xfId="2699" applyNumberFormat="1" applyFont="1" applyBorder="1" applyAlignment="1">
      <alignment horizontal="center" vertical="center"/>
    </xf>
    <xf numFmtId="186" fontId="186" fillId="0" borderId="6" xfId="2699" applyNumberFormat="1" applyFont="1" applyBorder="1" applyAlignment="1">
      <alignment horizontal="center" vertical="center"/>
    </xf>
    <xf numFmtId="198" fontId="186" fillId="0" borderId="174" xfId="2699" applyNumberFormat="1" applyFont="1" applyBorder="1" applyAlignment="1">
      <alignment horizontal="center" vertical="center"/>
    </xf>
    <xf numFmtId="190" fontId="186" fillId="52" borderId="148" xfId="2699" applyNumberFormat="1" applyFont="1" applyFill="1" applyBorder="1" applyAlignment="1">
      <alignment horizontal="center" vertical="center"/>
    </xf>
    <xf numFmtId="190" fontId="186" fillId="52" borderId="169" xfId="2699" applyNumberFormat="1" applyFont="1" applyFill="1" applyBorder="1" applyAlignment="1">
      <alignment horizontal="center" vertical="center"/>
    </xf>
    <xf numFmtId="186" fontId="186" fillId="0" borderId="14" xfId="2699" applyNumberFormat="1" applyFont="1" applyBorder="1" applyAlignment="1">
      <alignment horizontal="center" vertical="center"/>
    </xf>
    <xf numFmtId="186" fontId="186" fillId="0" borderId="189" xfId="2699" applyNumberFormat="1" applyFont="1" applyBorder="1" applyAlignment="1">
      <alignment horizontal="center" vertical="center"/>
    </xf>
    <xf numFmtId="190" fontId="186" fillId="53" borderId="120" xfId="2699" applyNumberFormat="1" applyFont="1" applyFill="1" applyBorder="1" applyAlignment="1">
      <alignment horizontal="center" vertical="center"/>
    </xf>
    <xf numFmtId="190" fontId="186" fillId="53" borderId="21" xfId="2699" applyNumberFormat="1" applyFont="1" applyFill="1" applyBorder="1" applyAlignment="1">
      <alignment horizontal="center" vertical="center"/>
    </xf>
    <xf numFmtId="204" fontId="186" fillId="0" borderId="35" xfId="2699" applyNumberFormat="1" applyFont="1" applyBorder="1" applyAlignment="1">
      <alignment horizontal="center" vertical="center"/>
    </xf>
    <xf numFmtId="204" fontId="186" fillId="0" borderId="38" xfId="2699" applyNumberFormat="1" applyFont="1" applyBorder="1" applyAlignment="1">
      <alignment horizontal="center" vertical="center"/>
    </xf>
    <xf numFmtId="204" fontId="186" fillId="0" borderId="39" xfId="2699" applyNumberFormat="1" applyFont="1" applyBorder="1" applyAlignment="1">
      <alignment horizontal="center" vertical="center"/>
    </xf>
    <xf numFmtId="204" fontId="186" fillId="0" borderId="79" xfId="2699" applyNumberFormat="1" applyFont="1" applyBorder="1" applyAlignment="1">
      <alignment horizontal="center" vertical="center"/>
    </xf>
    <xf numFmtId="0" fontId="186" fillId="0" borderId="108" xfId="2697" applyFont="1" applyFill="1" applyBorder="1" applyAlignment="1">
      <alignment horizontal="center" vertical="center" wrapText="1"/>
    </xf>
    <xf numFmtId="0" fontId="186" fillId="0" borderId="107" xfId="2697" applyFont="1" applyFill="1" applyBorder="1" applyAlignment="1">
      <alignment horizontal="center" vertical="center" wrapText="1"/>
    </xf>
    <xf numFmtId="0" fontId="186" fillId="0" borderId="108" xfId="2697" applyFont="1" applyFill="1" applyBorder="1" applyAlignment="1">
      <alignment horizontal="center" vertical="center"/>
    </xf>
    <xf numFmtId="0" fontId="186" fillId="0" borderId="110" xfId="2697" applyFont="1" applyFill="1" applyBorder="1" applyAlignment="1">
      <alignment horizontal="center" vertical="center"/>
    </xf>
    <xf numFmtId="0" fontId="186" fillId="53" borderId="85" xfId="2697" applyFont="1" applyFill="1" applyBorder="1" applyAlignment="1">
      <alignment horizontal="center" vertical="center"/>
    </xf>
    <xf numFmtId="0" fontId="186" fillId="53" borderId="82" xfId="2697" applyFont="1" applyFill="1" applyBorder="1" applyAlignment="1">
      <alignment horizontal="center" vertical="center"/>
    </xf>
    <xf numFmtId="0" fontId="186" fillId="0" borderId="107" xfId="2697" applyFont="1" applyFill="1" applyBorder="1" applyAlignment="1">
      <alignment horizontal="center" vertical="center"/>
    </xf>
    <xf numFmtId="190" fontId="186" fillId="53" borderId="14" xfId="2699" applyNumberFormat="1" applyFont="1" applyFill="1" applyBorder="1" applyAlignment="1">
      <alignment horizontal="center" vertical="center"/>
    </xf>
    <xf numFmtId="190" fontId="186" fillId="0" borderId="78" xfId="2699" applyNumberFormat="1" applyFont="1" applyBorder="1" applyAlignment="1">
      <alignment horizontal="center" vertical="center"/>
    </xf>
    <xf numFmtId="209" fontId="186" fillId="0" borderId="196" xfId="2699" applyNumberFormat="1" applyFont="1" applyBorder="1" applyAlignment="1">
      <alignment horizontal="center" vertical="center"/>
    </xf>
    <xf numFmtId="209" fontId="186" fillId="0" borderId="175" xfId="2699" applyNumberFormat="1" applyFont="1" applyBorder="1" applyAlignment="1">
      <alignment horizontal="center" vertical="center"/>
    </xf>
    <xf numFmtId="209" fontId="186" fillId="53" borderId="237" xfId="2699" applyNumberFormat="1" applyFont="1" applyFill="1" applyBorder="1" applyAlignment="1">
      <alignment horizontal="center" vertical="center"/>
    </xf>
    <xf numFmtId="209" fontId="186" fillId="53" borderId="189" xfId="2699" applyNumberFormat="1" applyFont="1" applyFill="1" applyBorder="1" applyAlignment="1">
      <alignment horizontal="center" vertical="center"/>
    </xf>
    <xf numFmtId="209" fontId="186" fillId="0" borderId="201" xfId="2699" applyNumberFormat="1" applyFont="1" applyBorder="1" applyAlignment="1">
      <alignment horizontal="center" vertical="center"/>
    </xf>
    <xf numFmtId="209" fontId="186" fillId="0" borderId="197" xfId="2699" applyNumberFormat="1" applyFont="1" applyBorder="1" applyAlignment="1">
      <alignment horizontal="center" vertical="center"/>
    </xf>
    <xf numFmtId="0" fontId="186" fillId="52" borderId="106" xfId="2697" applyFont="1" applyFill="1" applyBorder="1" applyAlignment="1">
      <alignment horizontal="center" vertical="center"/>
    </xf>
    <xf numFmtId="0" fontId="186" fillId="0" borderId="109" xfId="2697" applyFont="1" applyFill="1" applyBorder="1" applyAlignment="1">
      <alignment horizontal="center" vertical="center"/>
    </xf>
    <xf numFmtId="0" fontId="186" fillId="52" borderId="158" xfId="2697" applyNumberFormat="1" applyFont="1" applyFill="1" applyBorder="1" applyAlignment="1">
      <alignment horizontal="center" vertical="center"/>
    </xf>
    <xf numFmtId="0" fontId="186" fillId="52" borderId="239" xfId="2697" applyNumberFormat="1" applyFont="1" applyFill="1" applyBorder="1" applyAlignment="1">
      <alignment horizontal="center" vertical="center"/>
    </xf>
    <xf numFmtId="209" fontId="186" fillId="53" borderId="8" xfId="2699" applyNumberFormat="1" applyFont="1" applyFill="1" applyBorder="1" applyAlignment="1">
      <alignment horizontal="center" vertical="center"/>
    </xf>
    <xf numFmtId="209" fontId="186" fillId="53" borderId="74" xfId="2699" applyNumberFormat="1" applyFont="1" applyFill="1" applyBorder="1" applyAlignment="1">
      <alignment horizontal="center" vertical="center"/>
    </xf>
    <xf numFmtId="204" fontId="186" fillId="0" borderId="193" xfId="2699" applyNumberFormat="1" applyFont="1" applyBorder="1" applyAlignment="1">
      <alignment horizontal="center" vertical="center"/>
    </xf>
    <xf numFmtId="204" fontId="186" fillId="0" borderId="194" xfId="2699" applyNumberFormat="1" applyFont="1" applyBorder="1" applyAlignment="1">
      <alignment horizontal="center" vertical="center"/>
    </xf>
    <xf numFmtId="190" fontId="186" fillId="53" borderId="238" xfId="2699" applyNumberFormat="1" applyFont="1" applyFill="1" applyBorder="1" applyAlignment="1">
      <alignment horizontal="center" vertical="center"/>
    </xf>
    <xf numFmtId="204" fontId="186" fillId="0" borderId="202" xfId="2699" applyNumberFormat="1" applyFont="1" applyBorder="1" applyAlignment="1">
      <alignment horizontal="center" vertical="center"/>
    </xf>
    <xf numFmtId="204" fontId="186" fillId="0" borderId="195" xfId="2699" applyNumberFormat="1" applyFont="1" applyBorder="1" applyAlignment="1">
      <alignment horizontal="center" vertical="center"/>
    </xf>
    <xf numFmtId="0" fontId="39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39" fillId="52" borderId="140" xfId="0" applyFont="1" applyFill="1" applyBorder="1" applyAlignment="1">
      <alignment horizontal="center" vertical="center"/>
    </xf>
    <xf numFmtId="0" fontId="39" fillId="52" borderId="23" xfId="0" applyFont="1" applyFill="1" applyBorder="1" applyAlignment="1">
      <alignment horizontal="center" vertical="center"/>
    </xf>
    <xf numFmtId="0" fontId="152" fillId="54" borderId="179" xfId="0" applyFont="1" applyFill="1" applyBorder="1" applyAlignment="1">
      <alignment horizontal="center" vertical="center" wrapText="1"/>
    </xf>
    <xf numFmtId="0" fontId="152" fillId="54" borderId="180" xfId="0" applyFont="1" applyFill="1" applyBorder="1" applyAlignment="1">
      <alignment horizontal="center" vertical="center" wrapText="1"/>
    </xf>
    <xf numFmtId="0" fontId="174" fillId="54" borderId="179" xfId="0" applyFont="1" applyFill="1" applyBorder="1" applyAlignment="1">
      <alignment horizontal="center" vertical="center" wrapText="1"/>
    </xf>
    <xf numFmtId="0" fontId="174" fillId="54" borderId="180" xfId="0" applyFont="1" applyFill="1" applyBorder="1" applyAlignment="1">
      <alignment horizontal="center" vertical="center" wrapText="1"/>
    </xf>
  </cellXfs>
  <cellStyles count="374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85" xfId="3703" xr:uid="{00000000-0005-0000-0000-0000790E0000}"/>
    <cellStyle name="20% - 강조색1 86" xfId="3723" xr:uid="{00000000-0005-0000-0000-00008D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85" xfId="3706" xr:uid="{00000000-0005-0000-0000-00007A0E0000}"/>
    <cellStyle name="20% - 강조색2 86" xfId="3726" xr:uid="{00000000-0005-0000-0000-00008E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85" xfId="3709" xr:uid="{00000000-0005-0000-0000-00007B0E0000}"/>
    <cellStyle name="20% - 강조색3 86" xfId="3729" xr:uid="{00000000-0005-0000-0000-00008F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85" xfId="3712" xr:uid="{00000000-0005-0000-0000-00007C0E0000}"/>
    <cellStyle name="20% - 강조색4 86" xfId="3732" xr:uid="{00000000-0005-0000-0000-000090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85" xfId="3715" xr:uid="{00000000-0005-0000-0000-00007D0E0000}"/>
    <cellStyle name="20% - 강조색5 86" xfId="3735" xr:uid="{00000000-0005-0000-0000-000091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85" xfId="3718" xr:uid="{00000000-0005-0000-0000-00007E0E0000}"/>
    <cellStyle name="20% - 강조색6 86" xfId="3738" xr:uid="{00000000-0005-0000-0000-000092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85" xfId="3704" xr:uid="{00000000-0005-0000-0000-00007F0E0000}"/>
    <cellStyle name="40% - 강조색1 86" xfId="3724" xr:uid="{00000000-0005-0000-0000-000093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85" xfId="3707" xr:uid="{00000000-0005-0000-0000-0000800E0000}"/>
    <cellStyle name="40% - 강조색2 86" xfId="3727" xr:uid="{00000000-0005-0000-0000-000094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85" xfId="3710" xr:uid="{00000000-0005-0000-0000-0000810E0000}"/>
    <cellStyle name="40% - 강조색3 86" xfId="3730" xr:uid="{00000000-0005-0000-0000-000095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85" xfId="3713" xr:uid="{00000000-0005-0000-0000-0000820E0000}"/>
    <cellStyle name="40% - 강조색4 86" xfId="3733" xr:uid="{00000000-0005-0000-0000-000096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85" xfId="3716" xr:uid="{00000000-0005-0000-0000-0000830E0000}"/>
    <cellStyle name="40% - 강조색5 86" xfId="3736" xr:uid="{00000000-0005-0000-0000-000097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85" xfId="3719" xr:uid="{00000000-0005-0000-0000-0000840E0000}"/>
    <cellStyle name="40% - 강조색6 86" xfId="3739" xr:uid="{00000000-0005-0000-0000-000098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78" xfId="3705" xr:uid="{00000000-0005-0000-0000-0000850E0000}"/>
    <cellStyle name="60% - 강조색1 79" xfId="3725" xr:uid="{00000000-0005-0000-0000-0000990E0000}"/>
    <cellStyle name="60% - 강조색1 8" xfId="818" xr:uid="{00000000-0005-0000-0000-00009203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78" xfId="3708" xr:uid="{00000000-0005-0000-0000-0000860E0000}"/>
    <cellStyle name="60% - 강조색2 79" xfId="3728" xr:uid="{00000000-0005-0000-0000-00009A0E0000}"/>
    <cellStyle name="60% - 강조색2 8" xfId="881" xr:uid="{00000000-0005-0000-0000-0000D203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78" xfId="3711" xr:uid="{00000000-0005-0000-0000-0000870E0000}"/>
    <cellStyle name="60% - 강조색3 79" xfId="3731" xr:uid="{00000000-0005-0000-0000-00009B0E0000}"/>
    <cellStyle name="60% - 강조색3 8" xfId="944" xr:uid="{00000000-0005-0000-0000-00001204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78" xfId="3714" xr:uid="{00000000-0005-0000-0000-0000880E0000}"/>
    <cellStyle name="60% - 강조색4 79" xfId="3734" xr:uid="{00000000-0005-0000-0000-00009C0E0000}"/>
    <cellStyle name="60% - 강조색4 8" xfId="1007" xr:uid="{00000000-0005-0000-0000-00005204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78" xfId="3717" xr:uid="{00000000-0005-0000-0000-0000890E0000}"/>
    <cellStyle name="60% - 강조색5 79" xfId="3737" xr:uid="{00000000-0005-0000-0000-00009D0E0000}"/>
    <cellStyle name="60% - 강조색5 8" xfId="1070" xr:uid="{00000000-0005-0000-0000-00009204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78" xfId="3720" xr:uid="{00000000-0005-0000-0000-00008A0E0000}"/>
    <cellStyle name="60% - 강조색6 79" xfId="3740" xr:uid="{00000000-0005-0000-0000-00009E0E0000}"/>
    <cellStyle name="60% - 강조색6 8" xfId="1133" xr:uid="{00000000-0005-0000-0000-0000D204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85" xfId="3702" xr:uid="{00000000-0005-0000-0000-00008B0E0000}"/>
    <cellStyle name="메모 86" xfId="3722" xr:uid="{00000000-0005-0000-0000-00009F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82" xfId="3701" xr:uid="{00000000-0005-0000-0000-00008C0E0000}"/>
    <cellStyle name="표준 83" xfId="3721" xr:uid="{00000000-0005-0000-0000-0000A0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  <color rgb="FFFF0066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0.16823716493732477"/>
                  <c:y val="0.11853911658339629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631221469980971"/>
                  <c:y val="9.90991787217222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30.5</c:v>
                </c:pt>
                <c:pt idx="1">
                  <c:v>11.2</c:v>
                </c:pt>
                <c:pt idx="2">
                  <c:v>9.7000000000000011</c:v>
                </c:pt>
                <c:pt idx="3">
                  <c:v>32.700000000000003</c:v>
                </c:pt>
                <c:pt idx="4">
                  <c:v>14</c:v>
                </c:pt>
                <c:pt idx="5">
                  <c:v>1.9000000000000004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655650900930956"/>
                  <c:y val="1.75406949725430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5531479929604"/>
                  <c:y val="-7.12626524244688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65.399999999999991</c:v>
                </c:pt>
                <c:pt idx="1">
                  <c:v>6.9</c:v>
                </c:pt>
                <c:pt idx="2">
                  <c:v>4.2</c:v>
                </c:pt>
                <c:pt idx="3">
                  <c:v>16.899999999999999</c:v>
                </c:pt>
                <c:pt idx="4">
                  <c:v>5.7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32455615</c:v>
                </c:pt>
                <c:pt idx="1">
                  <c:v>32679957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2121870</c:v>
                </c:pt>
                <c:pt idx="1">
                  <c:v>2098351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3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7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35.000000000000036</c:v>
                </c:pt>
                <c:pt idx="1">
                  <c:v>12.1</c:v>
                </c:pt>
                <c:pt idx="2">
                  <c:v>7</c:v>
                </c:pt>
                <c:pt idx="3">
                  <c:v>29.9</c:v>
                </c:pt>
                <c:pt idx="4">
                  <c:v>14.4</c:v>
                </c:pt>
                <c:pt idx="5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65.8</c:v>
                </c:pt>
                <c:pt idx="1">
                  <c:v>7.1</c:v>
                </c:pt>
                <c:pt idx="2">
                  <c:v>4.3</c:v>
                </c:pt>
                <c:pt idx="3">
                  <c:v>15.9</c:v>
                </c:pt>
                <c:pt idx="4">
                  <c:v>6.1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722247043.7650001</c:v>
                </c:pt>
                <c:pt idx="1">
                  <c:v>717511924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47016023</c:v>
                </c:pt>
                <c:pt idx="1">
                  <c:v>43613030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32455615</c:v>
                </c:pt>
                <c:pt idx="1">
                  <c:v>32679957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2121870</c:v>
                </c:pt>
                <c:pt idx="1">
                  <c:v>2098351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5.emf"/><Relationship Id="rId1" Type="http://schemas.openxmlformats.org/officeDocument/2006/relationships/image" Target="../media/image1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93</xdr:row>
          <xdr:rowOff>47625</xdr:rowOff>
        </xdr:from>
        <xdr:to>
          <xdr:col>8</xdr:col>
          <xdr:colOff>727904</xdr:colOff>
          <xdr:row>97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7:$S$111" spid="_x0000_s25751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403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7960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796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125965</xdr:colOff>
      <xdr:row>17</xdr:row>
      <xdr:rowOff>105104</xdr:rowOff>
    </xdr:from>
    <xdr:to>
      <xdr:col>5</xdr:col>
      <xdr:colOff>64860</xdr:colOff>
      <xdr:row>37</xdr:row>
      <xdr:rowOff>45982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6478226-A347-48B8-935A-7B9A9E17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965" y="2489638"/>
          <a:ext cx="4530602" cy="3356741"/>
        </a:xfrm>
        <a:prstGeom prst="rect">
          <a:avLst/>
        </a:prstGeom>
      </xdr:spPr>
    </xdr:pic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426983</xdr:colOff>
      <xdr:row>30</xdr:row>
      <xdr:rowOff>1</xdr:rowOff>
    </xdr:from>
    <xdr:to>
      <xdr:col>8</xdr:col>
      <xdr:colOff>499243</xdr:colOff>
      <xdr:row>35</xdr:row>
      <xdr:rowOff>54546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B38CB5-1D62-4716-BE6B-9E95BAAF4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18690" y="4604846"/>
          <a:ext cx="2358260" cy="908510"/>
        </a:xfrm>
        <a:prstGeom prst="rect">
          <a:avLst/>
        </a:prstGeom>
      </xdr:spPr>
    </xdr:pic>
    <xdr:clientData/>
  </xdr:twoCellAnchor>
  <xdr:twoCellAnchor editAs="oneCell">
    <xdr:from>
      <xdr:col>0</xdr:col>
      <xdr:colOff>131379</xdr:colOff>
      <xdr:row>17</xdr:row>
      <xdr:rowOff>104555</xdr:rowOff>
    </xdr:from>
    <xdr:to>
      <xdr:col>5</xdr:col>
      <xdr:colOff>65689</xdr:colOff>
      <xdr:row>37</xdr:row>
      <xdr:rowOff>91965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775B161-2B0B-4F46-9445-7610576B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1379" y="2489089"/>
          <a:ext cx="4526017" cy="34032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1047750</xdr:colOff>
          <xdr:row>28</xdr:row>
          <xdr:rowOff>219079</xdr:rowOff>
        </xdr:from>
        <xdr:to>
          <xdr:col>19</xdr:col>
          <xdr:colOff>95250</xdr:colOff>
          <xdr:row>29</xdr:row>
          <xdr:rowOff>219079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6889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39188" y="23364829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976316</xdr:colOff>
          <xdr:row>52</xdr:row>
          <xdr:rowOff>433381</xdr:rowOff>
        </xdr:from>
        <xdr:to>
          <xdr:col>19</xdr:col>
          <xdr:colOff>23816</xdr:colOff>
          <xdr:row>53</xdr:row>
          <xdr:rowOff>433381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6889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67754" y="34437631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552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180975</xdr:colOff>
      <xdr:row>3</xdr:row>
      <xdr:rowOff>123825</xdr:rowOff>
    </xdr:from>
    <xdr:to>
      <xdr:col>20</xdr:col>
      <xdr:colOff>646499</xdr:colOff>
      <xdr:row>38</xdr:row>
      <xdr:rowOff>94492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4ACC99A9-A18D-40DB-BDF3-8FF9300D2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68050" y="752475"/>
          <a:ext cx="9609524" cy="6238117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1&#50900;&#48516;(202502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__GM&#50629;&#47924;&#50857;\1__&#48716;&#47553;32G\(&#47588;&#50900;)05&#51068;__&#47588;&#52636;&#47560;&#44048;(&#50900;)\2025&#45380;02&#50900;&#48516;(20250305&#51089;&#50629;)\1__&#49324;&#51204;&#51456;&#48708;(25&#51068;&#44221;)\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.&#49688;&#45225;&#51452;&#50836;&#50629;&#47924;\10.%20&#50900;%20&#47588;&#52636;%20&#47560;&#44048;\2023&#45380;\&#54620;&#49884;&#51201;&#54624;&#51064;%20&#44288;&#47144;\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4"/>
  <sheetViews>
    <sheetView showGridLines="0" tabSelected="1" topLeftCell="A10" zoomScale="80" zoomScaleNormal="80" workbookViewId="0">
      <selection activeCell="E8" sqref="E8"/>
    </sheetView>
  </sheetViews>
  <sheetFormatPr defaultColWidth="8.88671875" defaultRowHeight="12" outlineLevelCol="1" x14ac:dyDescent="0.15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customWidth="1" outlineLevel="1"/>
    <col min="19" max="21" width="9.5546875" style="16" customWidth="1" outlineLevel="1"/>
    <col min="22" max="22" width="11.44140625" style="16" customWidth="1" outlineLevel="1"/>
    <col min="23" max="23" width="10.33203125" style="16" customWidth="1" outlineLevel="1"/>
    <col min="24" max="24" width="11.77734375" style="16" customWidth="1" outlineLevel="1"/>
    <col min="25" max="25" width="10.77734375" style="16" customWidth="1" outlineLevel="1"/>
    <col min="26" max="30" width="10.44140625" style="16" customWidth="1" outlineLevel="1"/>
    <col min="31" max="46" width="10.44140625" style="16" customWidth="1"/>
    <col min="47" max="16384" width="8.88671875" style="16"/>
  </cols>
  <sheetData>
    <row r="1" spans="1:29" ht="7.5" customHeight="1" x14ac:dyDescent="0.15"/>
    <row r="2" spans="1:29" ht="58.5" customHeight="1" x14ac:dyDescent="0.15">
      <c r="A2" s="971" t="s">
        <v>464</v>
      </c>
      <c r="B2" s="969"/>
      <c r="C2" s="972"/>
      <c r="D2" s="972"/>
      <c r="E2" s="972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908"/>
      <c r="Q2" s="908"/>
      <c r="R2" s="909" t="s">
        <v>255</v>
      </c>
      <c r="S2" s="908"/>
      <c r="T2" s="908"/>
      <c r="U2" s="908"/>
      <c r="V2" s="910"/>
      <c r="W2" s="911"/>
      <c r="AA2" s="1014" t="s">
        <v>465</v>
      </c>
    </row>
    <row r="3" spans="1:29" ht="36" customHeight="1" x14ac:dyDescent="0.15">
      <c r="A3" s="912" t="s">
        <v>56</v>
      </c>
      <c r="I3" s="908"/>
      <c r="R3" s="909" t="s">
        <v>63</v>
      </c>
      <c r="V3" s="915" t="s">
        <v>456</v>
      </c>
    </row>
    <row r="4" spans="1:29" ht="4.5" customHeight="1" thickBot="1" x14ac:dyDescent="0.2">
      <c r="A4" s="914"/>
    </row>
    <row r="5" spans="1:29" ht="26.25" customHeight="1" x14ac:dyDescent="0.15">
      <c r="A5" s="1067" t="s">
        <v>118</v>
      </c>
      <c r="B5" s="1068"/>
      <c r="C5" s="1063" t="s">
        <v>20</v>
      </c>
      <c r="D5" s="1064"/>
      <c r="E5" s="1064"/>
      <c r="F5" s="1064"/>
      <c r="G5" s="1064"/>
      <c r="H5" s="1064"/>
      <c r="I5" s="1064"/>
      <c r="J5" s="1065" t="s">
        <v>245</v>
      </c>
      <c r="K5" s="1064"/>
      <c r="L5" s="1064"/>
      <c r="M5" s="1064"/>
      <c r="N5" s="1064"/>
      <c r="O5" s="1064"/>
      <c r="P5" s="1066"/>
      <c r="Q5" s="272"/>
      <c r="R5" s="1052" t="s">
        <v>247</v>
      </c>
      <c r="S5" s="1052"/>
      <c r="T5" s="1053" t="s">
        <v>248</v>
      </c>
      <c r="U5" s="1054"/>
      <c r="V5" s="1058" t="s">
        <v>254</v>
      </c>
      <c r="W5" s="1059"/>
      <c r="X5" s="1059"/>
      <c r="Y5" s="1060"/>
      <c r="AA5"/>
      <c r="AB5"/>
      <c r="AC5"/>
    </row>
    <row r="6" spans="1:29" ht="26.25" customHeight="1" x14ac:dyDescent="0.15">
      <c r="A6" s="1069"/>
      <c r="B6" s="1070"/>
      <c r="C6" s="295" t="s">
        <v>256</v>
      </c>
      <c r="D6" s="296" t="s">
        <v>257</v>
      </c>
      <c r="E6" s="296" t="s">
        <v>258</v>
      </c>
      <c r="F6" s="441" t="s">
        <v>259</v>
      </c>
      <c r="G6" s="298" t="s">
        <v>260</v>
      </c>
      <c r="H6" s="297" t="s">
        <v>259</v>
      </c>
      <c r="I6" s="296" t="s">
        <v>261</v>
      </c>
      <c r="J6" s="299" t="s">
        <v>256</v>
      </c>
      <c r="K6" s="296" t="s">
        <v>257</v>
      </c>
      <c r="L6" s="296" t="s">
        <v>258</v>
      </c>
      <c r="M6" s="297" t="s">
        <v>259</v>
      </c>
      <c r="N6" s="298" t="s">
        <v>260</v>
      </c>
      <c r="O6" s="297" t="s">
        <v>259</v>
      </c>
      <c r="P6" s="300" t="s">
        <v>261</v>
      </c>
      <c r="Q6" s="17"/>
      <c r="R6" s="1052"/>
      <c r="S6" s="1052"/>
      <c r="T6" s="902" t="s">
        <v>249</v>
      </c>
      <c r="U6" s="273" t="s">
        <v>250</v>
      </c>
      <c r="V6" s="275" t="s">
        <v>64</v>
      </c>
      <c r="W6" s="902" t="s">
        <v>100</v>
      </c>
      <c r="X6" s="902" t="s">
        <v>65</v>
      </c>
      <c r="Y6" s="276" t="s">
        <v>66</v>
      </c>
      <c r="AA6"/>
      <c r="AB6"/>
      <c r="AC6"/>
    </row>
    <row r="7" spans="1:29" ht="26.25" customHeight="1" x14ac:dyDescent="0.15">
      <c r="A7" s="1084" t="s">
        <v>369</v>
      </c>
      <c r="B7" s="301" t="s">
        <v>28</v>
      </c>
      <c r="C7" s="930">
        <v>17800</v>
      </c>
      <c r="D7" s="302">
        <f>(매출액표!D23)/1000</f>
        <v>450.83075259999998</v>
      </c>
      <c r="E7" s="302">
        <f>ROUND((매출액표!E23)/1000,0)</f>
        <v>19172</v>
      </c>
      <c r="F7" s="303">
        <f>ROUND(E7/C7*100,1)</f>
        <v>107.7</v>
      </c>
      <c r="G7" s="936">
        <v>20011</v>
      </c>
      <c r="H7" s="304">
        <f t="shared" ref="H7:H16" si="0">E7/G7*100</f>
        <v>95.807305981710059</v>
      </c>
      <c r="I7" s="305">
        <f>IF(E7=MAX($E$7:$E$10,$E$12:$E$21),MAX($T$7:$T$21)+(100-SUM($T$7:$T$21)),T7)</f>
        <v>0.9</v>
      </c>
      <c r="J7" s="757">
        <f t="shared" ref="J7:L10" si="1">C7+V7</f>
        <v>143958</v>
      </c>
      <c r="K7" s="758">
        <f t="shared" si="1"/>
        <v>3462.6181876999999</v>
      </c>
      <c r="L7" s="302">
        <f t="shared" si="1"/>
        <v>148179</v>
      </c>
      <c r="M7" s="306">
        <f t="shared" ref="M7:M24" si="2">L7/J7*100</f>
        <v>102.93210519734923</v>
      </c>
      <c r="N7" s="759">
        <f>G7+Y7</f>
        <v>156380</v>
      </c>
      <c r="O7" s="303">
        <f t="shared" ref="O7:O16" si="3">L7/N7*100</f>
        <v>94.755723238265759</v>
      </c>
      <c r="P7" s="307">
        <f>IF(L7=MAX($L$7:$L$10,$L$12:$L$21),MAX($U$7:$U$21)+(100-SUM($U$7:$U$21)),U7)</f>
        <v>0.5</v>
      </c>
      <c r="R7" s="1114" t="s">
        <v>25</v>
      </c>
      <c r="S7" s="903" t="s">
        <v>37</v>
      </c>
      <c r="T7" s="278">
        <f>ROUND(E7/$E$23*100,1)</f>
        <v>0.9</v>
      </c>
      <c r="U7" s="278">
        <f>ROUND(L7/$L$23*100,1)</f>
        <v>0.5</v>
      </c>
      <c r="V7" s="923">
        <v>126158</v>
      </c>
      <c r="W7" s="1009">
        <v>3011.7874351</v>
      </c>
      <c r="X7" s="1009">
        <v>129007</v>
      </c>
      <c r="Y7" s="924">
        <v>136369</v>
      </c>
      <c r="AA7"/>
      <c r="AB7"/>
      <c r="AC7"/>
    </row>
    <row r="8" spans="1:29" ht="26.25" customHeight="1" x14ac:dyDescent="0.15">
      <c r="A8" s="1085"/>
      <c r="B8" s="308" t="s">
        <v>156</v>
      </c>
      <c r="C8" s="931">
        <v>601496</v>
      </c>
      <c r="D8" s="309">
        <f>(매출액표!D31+매출액표!D36)/1000</f>
        <v>14244.3668519</v>
      </c>
      <c r="E8" s="309">
        <f>ROUND((매출액표!E31+매출액표!E36)/1000,0)-1</f>
        <v>604141</v>
      </c>
      <c r="F8" s="310">
        <f>ROUND(E8/C8*100,1)</f>
        <v>100.4</v>
      </c>
      <c r="G8" s="937">
        <v>610484</v>
      </c>
      <c r="H8" s="311">
        <f t="shared" si="0"/>
        <v>98.960988330570501</v>
      </c>
      <c r="I8" s="312">
        <f>IF(E8=MAX($E$7:$E$10,$E$12:$E$21),MAX($T$7:$T$21)+(100-SUM($T$7:$T$21)),T8)</f>
        <v>28.8</v>
      </c>
      <c r="J8" s="760">
        <f>C8+V8</f>
        <v>20168490.928403117</v>
      </c>
      <c r="K8" s="313">
        <f t="shared" si="1"/>
        <v>480317.35930239997</v>
      </c>
      <c r="L8" s="309">
        <f t="shared" si="1"/>
        <v>20588593</v>
      </c>
      <c r="M8" s="314">
        <f t="shared" si="2"/>
        <v>102.08296234501736</v>
      </c>
      <c r="N8" s="761">
        <f>G8+Y8</f>
        <v>19469670</v>
      </c>
      <c r="O8" s="315">
        <f t="shared" si="3"/>
        <v>105.74700547056011</v>
      </c>
      <c r="P8" s="316">
        <f>IF(L8=MAX($L$7:$L$10,$L$12:$L$21),MAX($U$7:$U$21)+(100-SUM($U$7:$U$21)),U8)</f>
        <v>62.999999999999986</v>
      </c>
      <c r="R8" s="1114"/>
      <c r="S8" s="903" t="s">
        <v>186</v>
      </c>
      <c r="T8" s="278">
        <f>ROUND(E8/$E$23*100,1)</f>
        <v>28.8</v>
      </c>
      <c r="U8" s="278">
        <f>ROUND(L8/$L$23*100,1)</f>
        <v>63</v>
      </c>
      <c r="V8" s="923">
        <v>19566994.928403117</v>
      </c>
      <c r="W8" s="1009">
        <v>466072.99245049997</v>
      </c>
      <c r="X8" s="1009">
        <v>19984452</v>
      </c>
      <c r="Y8" s="924">
        <v>18859186</v>
      </c>
      <c r="AA8"/>
      <c r="AB8"/>
      <c r="AC8"/>
    </row>
    <row r="9" spans="1:29" ht="26.25" customHeight="1" x14ac:dyDescent="0.15">
      <c r="A9" s="1085"/>
      <c r="B9" s="308" t="s">
        <v>189</v>
      </c>
      <c r="C9" s="931">
        <v>13722</v>
      </c>
      <c r="D9" s="309">
        <f>매출액표!D40/1000</f>
        <v>290.33561560000004</v>
      </c>
      <c r="E9" s="309">
        <f>ROUND(매출액표!E40/1000,0)</f>
        <v>12309</v>
      </c>
      <c r="F9" s="310">
        <f>ROUND(E9/C9*100,1)</f>
        <v>89.7</v>
      </c>
      <c r="G9" s="937">
        <v>14159</v>
      </c>
      <c r="H9" s="311">
        <f t="shared" si="0"/>
        <v>86.934105515926262</v>
      </c>
      <c r="I9" s="312">
        <f>IF(E9=MAX($E$7:$E$10,$E$12:$E$21),MAX($T$7:$T$21)+(100-SUM($T$7:$T$21)),T9)</f>
        <v>0.6</v>
      </c>
      <c r="J9" s="760">
        <f t="shared" si="1"/>
        <v>376469</v>
      </c>
      <c r="K9" s="313">
        <f t="shared" si="1"/>
        <v>9441.1163013000005</v>
      </c>
      <c r="L9" s="309">
        <f t="shared" si="1"/>
        <v>404575</v>
      </c>
      <c r="M9" s="314">
        <f t="shared" si="2"/>
        <v>107.46568774587017</v>
      </c>
      <c r="N9" s="761">
        <f>G9+Y9</f>
        <v>389589</v>
      </c>
      <c r="O9" s="315">
        <f t="shared" si="3"/>
        <v>103.84661784598642</v>
      </c>
      <c r="P9" s="316">
        <f>IF(L9=MAX($L$7:$L$10,$L$12:$L$21),MAX($U$7:$U$21)+(100-SUM($U$7:$U$21)),U9)</f>
        <v>1.2</v>
      </c>
      <c r="R9" s="1114"/>
      <c r="S9" s="903" t="s">
        <v>187</v>
      </c>
      <c r="T9" s="278">
        <f>ROUND(E9/$E$23*100,1)</f>
        <v>0.6</v>
      </c>
      <c r="U9" s="278">
        <f>ROUND(L9/$L$23*100,1)</f>
        <v>1.2</v>
      </c>
      <c r="V9" s="923">
        <v>362747</v>
      </c>
      <c r="W9" s="1009">
        <v>9150.7806856999996</v>
      </c>
      <c r="X9" s="1009">
        <v>392266</v>
      </c>
      <c r="Y9" s="924">
        <v>375430</v>
      </c>
      <c r="AA9"/>
      <c r="AB9"/>
      <c r="AC9"/>
    </row>
    <row r="10" spans="1:29" ht="26.25" customHeight="1" x14ac:dyDescent="0.15">
      <c r="A10" s="1085"/>
      <c r="B10" s="317" t="s">
        <v>157</v>
      </c>
      <c r="C10" s="932">
        <v>2836</v>
      </c>
      <c r="D10" s="318">
        <f>(매출액표!D43)/1000</f>
        <v>90.355999999999995</v>
      </c>
      <c r="E10" s="318">
        <f>ROUND((매출액표!E43)/1000,0)</f>
        <v>3831</v>
      </c>
      <c r="F10" s="319">
        <f>ROUND(E10/C10*100,1)</f>
        <v>135.1</v>
      </c>
      <c r="G10" s="938">
        <v>4179</v>
      </c>
      <c r="H10" s="320">
        <f t="shared" si="0"/>
        <v>91.672648959081116</v>
      </c>
      <c r="I10" s="321">
        <f>IF(E10=MAX($E$7:$E$10,$E$12:$E$21),MAX($T$7:$T$21)+(100-SUM($T$7:$T$21)),T10)</f>
        <v>0.2</v>
      </c>
      <c r="J10" s="762">
        <f t="shared" si="1"/>
        <v>238987</v>
      </c>
      <c r="K10" s="322">
        <f t="shared" si="1"/>
        <v>5329.4429999999993</v>
      </c>
      <c r="L10" s="318">
        <f t="shared" si="1"/>
        <v>228544</v>
      </c>
      <c r="M10" s="323">
        <f t="shared" si="2"/>
        <v>95.630306250967621</v>
      </c>
      <c r="N10" s="763">
        <f>G10+Y10</f>
        <v>220382</v>
      </c>
      <c r="O10" s="324">
        <f t="shared" si="3"/>
        <v>103.70356925701736</v>
      </c>
      <c r="P10" s="325">
        <f>IF(L10=MAX($L$7:$L$10,$L$12:$L$21),MAX($U$7:$U$21)+(100-SUM($U$7:$U$21)),U10)</f>
        <v>0.7</v>
      </c>
      <c r="R10" s="1114"/>
      <c r="S10" s="903" t="s">
        <v>188</v>
      </c>
      <c r="T10" s="278">
        <f>ROUND(E10/$E$23*100,1)</f>
        <v>0.2</v>
      </c>
      <c r="U10" s="278">
        <f>ROUND(L10/$L$23*100,1)</f>
        <v>0.7</v>
      </c>
      <c r="V10" s="923">
        <v>236151</v>
      </c>
      <c r="W10" s="1009">
        <v>5239.0869999999995</v>
      </c>
      <c r="X10" s="1009">
        <v>224713</v>
      </c>
      <c r="Y10" s="924">
        <v>216203</v>
      </c>
      <c r="AA10"/>
      <c r="AB10"/>
      <c r="AC10"/>
    </row>
    <row r="11" spans="1:29" ht="26.25" customHeight="1" x14ac:dyDescent="0.15">
      <c r="A11" s="1086"/>
      <c r="B11" s="326" t="s">
        <v>41</v>
      </c>
      <c r="C11" s="327">
        <f>ROUND(SUM(C7:C10),0)</f>
        <v>635854</v>
      </c>
      <c r="D11" s="328">
        <f>SUM(D7:D10)</f>
        <v>15075.889220100002</v>
      </c>
      <c r="E11" s="328">
        <f>SUM(E7:E10)</f>
        <v>639453</v>
      </c>
      <c r="F11" s="329">
        <f>E11/C11*100</f>
        <v>100.56601043635803</v>
      </c>
      <c r="G11" s="330">
        <f>SUM(G7:G10)</f>
        <v>648833</v>
      </c>
      <c r="H11" s="331">
        <f t="shared" si="0"/>
        <v>98.554327538827408</v>
      </c>
      <c r="I11" s="332">
        <f>SUM(I7:I10)</f>
        <v>30.5</v>
      </c>
      <c r="J11" s="333">
        <f>ROUNDUP(SUM(J7:J10),0)</f>
        <v>20927905</v>
      </c>
      <c r="K11" s="328">
        <f>SUM(K7:K10)</f>
        <v>498550.53679139994</v>
      </c>
      <c r="L11" s="334">
        <f>SUM(L7:L10)</f>
        <v>21369891</v>
      </c>
      <c r="M11" s="335">
        <f t="shared" si="2"/>
        <v>102.11194574898921</v>
      </c>
      <c r="N11" s="336">
        <f>SUM(N7:N10)</f>
        <v>20236021</v>
      </c>
      <c r="O11" s="337">
        <f t="shared" si="3"/>
        <v>105.60322604923171</v>
      </c>
      <c r="P11" s="338">
        <f>SUM(P7:P10)</f>
        <v>65.399999999999991</v>
      </c>
      <c r="R11" s="1114"/>
      <c r="S11" s="907" t="s">
        <v>17</v>
      </c>
      <c r="T11" s="294"/>
      <c r="U11" s="294"/>
      <c r="V11" s="764">
        <f>ROUNDUP(SUM(V7:V10),0)</f>
        <v>20292051</v>
      </c>
      <c r="W11" s="765">
        <f t="shared" ref="W11:Y11" si="4">SUM(W7:W10)</f>
        <v>483474.64757129998</v>
      </c>
      <c r="X11" s="765">
        <f t="shared" si="4"/>
        <v>20730438</v>
      </c>
      <c r="Y11" s="766">
        <f t="shared" si="4"/>
        <v>19587188</v>
      </c>
      <c r="AA11"/>
      <c r="AB11"/>
      <c r="AC11"/>
    </row>
    <row r="12" spans="1:29" ht="26.25" customHeight="1" x14ac:dyDescent="0.15">
      <c r="A12" s="1071" t="s">
        <v>238</v>
      </c>
      <c r="B12" s="1089"/>
      <c r="C12" s="933">
        <v>238789</v>
      </c>
      <c r="D12" s="339">
        <f>매출액표!D54/1000</f>
        <v>5525.8161996999997</v>
      </c>
      <c r="E12" s="780">
        <f>ROUND(매출액표!E54/1000,0)</f>
        <v>234318</v>
      </c>
      <c r="F12" s="340">
        <f t="shared" ref="F12:F21" si="5">ROUND(E12/C12*100,1)</f>
        <v>98.1</v>
      </c>
      <c r="G12" s="939">
        <v>237275.93598860002</v>
      </c>
      <c r="H12" s="341">
        <f t="shared" si="0"/>
        <v>98.753377169801951</v>
      </c>
      <c r="I12" s="305">
        <f t="shared" ref="I12:I21" si="6">IF(E12=MAX($E$7:$E$10,$E$12:$E$21),MAX($T$7:$T$21)+(100-SUM($T$7:$T$21)),T12)</f>
        <v>11.2</v>
      </c>
      <c r="J12" s="767">
        <f t="shared" ref="J12:J21" si="7">C12+V12</f>
        <v>2259594</v>
      </c>
      <c r="K12" s="339">
        <f t="shared" ref="K12:K21" si="8">D12+W12</f>
        <v>52481.303491000006</v>
      </c>
      <c r="L12" s="342">
        <f t="shared" ref="L12:L21" si="9">E12+X12</f>
        <v>2244684</v>
      </c>
      <c r="M12" s="516">
        <f t="shared" si="2"/>
        <v>99.340146946752384</v>
      </c>
      <c r="N12" s="768">
        <f t="shared" ref="N12:N21" si="10">G12+Y12</f>
        <v>2247230.0006428999</v>
      </c>
      <c r="O12" s="343">
        <f t="shared" si="3"/>
        <v>99.886704937092702</v>
      </c>
      <c r="P12" s="307">
        <f t="shared" ref="P12:P21" si="11">IF(L12=MAX($L$7:$L$10,$L$12:$L$21),MAX($U$7:$U$21)+(100-SUM($U$7:$U$21)),U12)</f>
        <v>6.9</v>
      </c>
      <c r="R12" s="1061" t="s">
        <v>39</v>
      </c>
      <c r="S12" s="1061"/>
      <c r="T12" s="278">
        <f t="shared" ref="T12:T21" si="12">ROUND(E12/$E$23*100,1)</f>
        <v>11.2</v>
      </c>
      <c r="U12" s="278">
        <f t="shared" ref="U12:U21" si="13">ROUND(L12/$L$23*100,1)</f>
        <v>6.9</v>
      </c>
      <c r="V12" s="923">
        <v>2020805</v>
      </c>
      <c r="W12" s="1009">
        <v>46955.487291300007</v>
      </c>
      <c r="X12" s="1009">
        <v>2010366</v>
      </c>
      <c r="Y12" s="924">
        <v>2009954.0646543</v>
      </c>
      <c r="AA12"/>
      <c r="AB12"/>
      <c r="AC12"/>
    </row>
    <row r="13" spans="1:29" ht="26.25" customHeight="1" x14ac:dyDescent="0.15">
      <c r="A13" s="1073" t="s">
        <v>42</v>
      </c>
      <c r="B13" s="1090"/>
      <c r="C13" s="934">
        <v>19834</v>
      </c>
      <c r="D13" s="313">
        <f>매출액표!D62/1000</f>
        <v>457.64494020000001</v>
      </c>
      <c r="E13" s="309">
        <f>ROUND(매출액표!E62/1000,0)</f>
        <v>19402</v>
      </c>
      <c r="F13" s="344">
        <f t="shared" si="5"/>
        <v>97.8</v>
      </c>
      <c r="G13" s="940">
        <v>20855</v>
      </c>
      <c r="H13" s="311">
        <f t="shared" si="0"/>
        <v>93.032845840326061</v>
      </c>
      <c r="I13" s="345">
        <f t="shared" si="6"/>
        <v>0.9</v>
      </c>
      <c r="J13" s="760">
        <f t="shared" si="7"/>
        <v>527067</v>
      </c>
      <c r="K13" s="313">
        <f t="shared" si="8"/>
        <v>12635.419867199998</v>
      </c>
      <c r="L13" s="309">
        <f t="shared" si="9"/>
        <v>541603</v>
      </c>
      <c r="M13" s="314">
        <f t="shared" si="2"/>
        <v>102.75790364412873</v>
      </c>
      <c r="N13" s="761">
        <f t="shared" si="10"/>
        <v>528954</v>
      </c>
      <c r="O13" s="315">
        <f t="shared" si="3"/>
        <v>102.3913232530617</v>
      </c>
      <c r="P13" s="316">
        <f t="shared" si="11"/>
        <v>1.7</v>
      </c>
      <c r="R13" s="1061" t="s">
        <v>42</v>
      </c>
      <c r="S13" s="1061"/>
      <c r="T13" s="278">
        <f t="shared" si="12"/>
        <v>0.9</v>
      </c>
      <c r="U13" s="278">
        <f t="shared" si="13"/>
        <v>1.7</v>
      </c>
      <c r="V13" s="923">
        <v>507233</v>
      </c>
      <c r="W13" s="1009">
        <v>12177.774926999999</v>
      </c>
      <c r="X13" s="1009">
        <v>522201</v>
      </c>
      <c r="Y13" s="924">
        <v>508099</v>
      </c>
      <c r="AA13"/>
      <c r="AB13"/>
      <c r="AC13"/>
    </row>
    <row r="14" spans="1:29" ht="26.25" customHeight="1" x14ac:dyDescent="0.15">
      <c r="A14" s="1073" t="s">
        <v>237</v>
      </c>
      <c r="B14" s="1090"/>
      <c r="C14" s="931">
        <v>163679</v>
      </c>
      <c r="D14" s="313">
        <f>매출액표!D69/1000</f>
        <v>4376.2087730000012</v>
      </c>
      <c r="E14" s="309">
        <f>ROUND(매출액표!E69/1000,0)</f>
        <v>185485</v>
      </c>
      <c r="F14" s="310">
        <f t="shared" si="5"/>
        <v>113.3</v>
      </c>
      <c r="G14" s="937">
        <v>166841</v>
      </c>
      <c r="H14" s="311">
        <f t="shared" si="0"/>
        <v>111.17471125203038</v>
      </c>
      <c r="I14" s="312">
        <f t="shared" si="6"/>
        <v>8.8000000000000007</v>
      </c>
      <c r="J14" s="760">
        <f t="shared" si="7"/>
        <v>768907</v>
      </c>
      <c r="K14" s="313">
        <f t="shared" si="8"/>
        <v>19173.988186000002</v>
      </c>
      <c r="L14" s="309">
        <f t="shared" si="9"/>
        <v>819451</v>
      </c>
      <c r="M14" s="314">
        <f t="shared" si="2"/>
        <v>106.57348678058595</v>
      </c>
      <c r="N14" s="761">
        <f t="shared" si="10"/>
        <v>765482</v>
      </c>
      <c r="O14" s="315">
        <f t="shared" si="3"/>
        <v>107.05032907370781</v>
      </c>
      <c r="P14" s="316">
        <f t="shared" si="11"/>
        <v>2.5</v>
      </c>
      <c r="R14" s="1061" t="s">
        <v>237</v>
      </c>
      <c r="S14" s="1061"/>
      <c r="T14" s="278">
        <f t="shared" si="12"/>
        <v>8.8000000000000007</v>
      </c>
      <c r="U14" s="278">
        <f t="shared" si="13"/>
        <v>2.5</v>
      </c>
      <c r="V14" s="923">
        <v>605228</v>
      </c>
      <c r="W14" s="1009">
        <v>14797.779413</v>
      </c>
      <c r="X14" s="1009">
        <v>633966</v>
      </c>
      <c r="Y14" s="924">
        <v>598641</v>
      </c>
      <c r="AA14"/>
      <c r="AB14"/>
      <c r="AC14"/>
    </row>
    <row r="15" spans="1:29" ht="26.25" customHeight="1" x14ac:dyDescent="0.15">
      <c r="A15" s="1073" t="s">
        <v>242</v>
      </c>
      <c r="B15" s="1090"/>
      <c r="C15" s="931">
        <v>742258</v>
      </c>
      <c r="D15" s="313">
        <f>매출액표!D73/1000</f>
        <v>16247.9124254</v>
      </c>
      <c r="E15" s="309">
        <f>ROUND(매출액표!E73/1000,0)-1</f>
        <v>688770</v>
      </c>
      <c r="F15" s="310">
        <f t="shared" si="5"/>
        <v>92.8</v>
      </c>
      <c r="G15" s="937">
        <v>740465</v>
      </c>
      <c r="H15" s="311">
        <f t="shared" si="0"/>
        <v>93.018576164977418</v>
      </c>
      <c r="I15" s="312">
        <f t="shared" si="6"/>
        <v>32.700000000000003</v>
      </c>
      <c r="J15" s="760">
        <f>C15+V15</f>
        <v>5804008</v>
      </c>
      <c r="K15" s="313">
        <f t="shared" si="8"/>
        <v>129318.99245650001</v>
      </c>
      <c r="L15" s="309">
        <f t="shared" si="9"/>
        <v>5525626</v>
      </c>
      <c r="M15" s="314">
        <f t="shared" si="2"/>
        <v>95.203624805479251</v>
      </c>
      <c r="N15" s="761">
        <f t="shared" si="10"/>
        <v>5920112</v>
      </c>
      <c r="O15" s="315">
        <f t="shared" si="3"/>
        <v>93.336511201139444</v>
      </c>
      <c r="P15" s="316">
        <f t="shared" si="11"/>
        <v>16.899999999999999</v>
      </c>
      <c r="R15" s="1061" t="s">
        <v>242</v>
      </c>
      <c r="S15" s="1061"/>
      <c r="T15" s="278">
        <f t="shared" si="12"/>
        <v>32.799999999999997</v>
      </c>
      <c r="U15" s="278">
        <f t="shared" si="13"/>
        <v>16.899999999999999</v>
      </c>
      <c r="V15" s="923">
        <v>5061750</v>
      </c>
      <c r="W15" s="1009">
        <v>113071.08003110001</v>
      </c>
      <c r="X15" s="1009">
        <v>4836856</v>
      </c>
      <c r="Y15" s="924">
        <v>5179647</v>
      </c>
      <c r="AA15"/>
      <c r="AB15"/>
      <c r="AC15"/>
    </row>
    <row r="16" spans="1:29" ht="26.25" customHeight="1" x14ac:dyDescent="0.15">
      <c r="A16" s="1073" t="s">
        <v>243</v>
      </c>
      <c r="B16" s="1090"/>
      <c r="C16" s="931">
        <v>268266</v>
      </c>
      <c r="D16" s="313">
        <f>ROUND((매출액표!D55)/1000,0)</f>
        <v>6526</v>
      </c>
      <c r="E16" s="342">
        <f>ROUND((매출액표!E55)/1000,0)</f>
        <v>282161</v>
      </c>
      <c r="F16" s="310">
        <f>ROUND(E16/C16*100,1)</f>
        <v>105.2</v>
      </c>
      <c r="G16" s="937">
        <v>278839</v>
      </c>
      <c r="H16" s="311">
        <f t="shared" si="0"/>
        <v>101.19136849579866</v>
      </c>
      <c r="I16" s="345">
        <f t="shared" si="6"/>
        <v>13.4</v>
      </c>
      <c r="J16" s="760">
        <f t="shared" si="7"/>
        <v>1757594</v>
      </c>
      <c r="K16" s="313">
        <f t="shared" si="8"/>
        <v>41405</v>
      </c>
      <c r="L16" s="309">
        <f t="shared" si="9"/>
        <v>1788397</v>
      </c>
      <c r="M16" s="314">
        <f t="shared" si="2"/>
        <v>101.75256629232918</v>
      </c>
      <c r="N16" s="761">
        <f t="shared" si="10"/>
        <v>1810237</v>
      </c>
      <c r="O16" s="315">
        <f t="shared" si="3"/>
        <v>98.793528140237996</v>
      </c>
      <c r="P16" s="316">
        <f t="shared" si="11"/>
        <v>5.5</v>
      </c>
      <c r="R16" s="1061" t="s">
        <v>243</v>
      </c>
      <c r="S16" s="1061"/>
      <c r="T16" s="278">
        <f t="shared" si="12"/>
        <v>13.4</v>
      </c>
      <c r="U16" s="278">
        <f t="shared" si="13"/>
        <v>5.5</v>
      </c>
      <c r="V16" s="923">
        <v>1489328</v>
      </c>
      <c r="W16" s="1009">
        <v>34879</v>
      </c>
      <c r="X16" s="1009">
        <v>1506236</v>
      </c>
      <c r="Y16" s="924">
        <v>1531398</v>
      </c>
      <c r="AA16"/>
      <c r="AB16"/>
      <c r="AC16"/>
    </row>
    <row r="17" spans="1:39" ht="26.25" customHeight="1" x14ac:dyDescent="0.15">
      <c r="A17" s="1073" t="s">
        <v>244</v>
      </c>
      <c r="B17" s="1090"/>
      <c r="C17" s="931">
        <v>13612</v>
      </c>
      <c r="D17" s="313">
        <f>ROUND((매출액표!D56)/1000,0)</f>
        <v>278</v>
      </c>
      <c r="E17" s="342">
        <f>ROUND((매출액표!E56)/1000,0)</f>
        <v>11773</v>
      </c>
      <c r="F17" s="310">
        <f t="shared" si="5"/>
        <v>86.5</v>
      </c>
      <c r="G17" s="931">
        <v>13361</v>
      </c>
      <c r="H17" s="311">
        <f>IFERROR(E17/G17*100,0)</f>
        <v>88.114662076191891</v>
      </c>
      <c r="I17" s="312">
        <f t="shared" si="6"/>
        <v>0.6</v>
      </c>
      <c r="J17" s="760">
        <f t="shared" si="7"/>
        <v>89179</v>
      </c>
      <c r="K17" s="313">
        <f t="shared" si="8"/>
        <v>1913</v>
      </c>
      <c r="L17" s="309">
        <f t="shared" si="9"/>
        <v>80999</v>
      </c>
      <c r="M17" s="314">
        <f t="shared" si="2"/>
        <v>90.827436952645797</v>
      </c>
      <c r="N17" s="769">
        <f t="shared" si="10"/>
        <v>89413</v>
      </c>
      <c r="O17" s="315">
        <f>IFERROR(L17/N17*100,0)</f>
        <v>90.58973527339424</v>
      </c>
      <c r="P17" s="316">
        <f t="shared" si="11"/>
        <v>0.2</v>
      </c>
      <c r="R17" s="1061" t="s">
        <v>244</v>
      </c>
      <c r="S17" s="1061"/>
      <c r="T17" s="278">
        <f t="shared" si="12"/>
        <v>0.6</v>
      </c>
      <c r="U17" s="278">
        <f t="shared" si="13"/>
        <v>0.2</v>
      </c>
      <c r="V17" s="923">
        <v>75567</v>
      </c>
      <c r="W17" s="1009">
        <v>1635</v>
      </c>
      <c r="X17" s="1009">
        <v>69226</v>
      </c>
      <c r="Y17" s="924">
        <v>76052</v>
      </c>
      <c r="AA17"/>
      <c r="AB17"/>
      <c r="AC17"/>
    </row>
    <row r="18" spans="1:39" ht="26.25" customHeight="1" x14ac:dyDescent="0.15">
      <c r="A18" s="1073" t="s">
        <v>180</v>
      </c>
      <c r="B18" s="1090"/>
      <c r="C18" s="931">
        <v>17980</v>
      </c>
      <c r="D18" s="313">
        <f>매출액표!D78/1000</f>
        <v>425.35</v>
      </c>
      <c r="E18" s="342">
        <f>ROUND(매출액표!E78/1000,0)</f>
        <v>18034</v>
      </c>
      <c r="F18" s="310">
        <f t="shared" si="5"/>
        <v>100.3</v>
      </c>
      <c r="G18" s="937">
        <v>18868</v>
      </c>
      <c r="H18" s="346">
        <f t="shared" ref="H18:H23" si="14">E18/G18*100</f>
        <v>95.579817680729278</v>
      </c>
      <c r="I18" s="312">
        <f t="shared" si="6"/>
        <v>0.9</v>
      </c>
      <c r="J18" s="760">
        <f t="shared" si="7"/>
        <v>136712</v>
      </c>
      <c r="K18" s="313">
        <f t="shared" si="8"/>
        <v>3421.7090000000003</v>
      </c>
      <c r="L18" s="309">
        <f t="shared" si="9"/>
        <v>146286</v>
      </c>
      <c r="M18" s="314">
        <f t="shared" si="2"/>
        <v>107.00304289308913</v>
      </c>
      <c r="N18" s="761">
        <f t="shared" si="10"/>
        <v>146083</v>
      </c>
      <c r="O18" s="315">
        <f t="shared" ref="O18:O24" si="15">L18/N18*100</f>
        <v>100.13896209689013</v>
      </c>
      <c r="P18" s="316">
        <f t="shared" si="11"/>
        <v>0.4</v>
      </c>
      <c r="R18" s="1061" t="s">
        <v>180</v>
      </c>
      <c r="S18" s="1061"/>
      <c r="T18" s="278">
        <f t="shared" si="12"/>
        <v>0.9</v>
      </c>
      <c r="U18" s="278">
        <f t="shared" si="13"/>
        <v>0.4</v>
      </c>
      <c r="V18" s="923">
        <v>118732</v>
      </c>
      <c r="W18" s="1009">
        <v>2996.3590000000004</v>
      </c>
      <c r="X18" s="1009">
        <v>128252</v>
      </c>
      <c r="Y18" s="924">
        <v>127215</v>
      </c>
      <c r="AA18"/>
      <c r="AB18"/>
      <c r="AC18"/>
    </row>
    <row r="19" spans="1:39" ht="26.25" customHeight="1" x14ac:dyDescent="0.15">
      <c r="A19" s="1073" t="s">
        <v>181</v>
      </c>
      <c r="B19" s="1090"/>
      <c r="C19" s="931">
        <v>19165</v>
      </c>
      <c r="D19" s="313">
        <f>매출액표!D83/1000</f>
        <v>383.744979</v>
      </c>
      <c r="E19" s="309">
        <f>ROUND(매출액표!E83/1000,0)</f>
        <v>16269</v>
      </c>
      <c r="F19" s="310">
        <f t="shared" si="5"/>
        <v>84.9</v>
      </c>
      <c r="G19" s="937">
        <v>18695</v>
      </c>
      <c r="H19" s="311">
        <f t="shared" si="14"/>
        <v>87.023268253543733</v>
      </c>
      <c r="I19" s="312">
        <f t="shared" si="6"/>
        <v>0.8</v>
      </c>
      <c r="J19" s="760">
        <f t="shared" si="7"/>
        <v>131525</v>
      </c>
      <c r="K19" s="313">
        <f t="shared" si="8"/>
        <v>2798.6954697000001</v>
      </c>
      <c r="L19" s="309">
        <f t="shared" si="9"/>
        <v>119526</v>
      </c>
      <c r="M19" s="314">
        <f t="shared" si="2"/>
        <v>90.877019578027003</v>
      </c>
      <c r="N19" s="761">
        <f t="shared" si="10"/>
        <v>126785</v>
      </c>
      <c r="O19" s="315">
        <f t="shared" si="15"/>
        <v>94.274559293291787</v>
      </c>
      <c r="P19" s="316">
        <f t="shared" si="11"/>
        <v>0.4</v>
      </c>
      <c r="R19" s="1061" t="s">
        <v>181</v>
      </c>
      <c r="S19" s="1061"/>
      <c r="T19" s="278">
        <f t="shared" si="12"/>
        <v>0.8</v>
      </c>
      <c r="U19" s="278">
        <f t="shared" si="13"/>
        <v>0.4</v>
      </c>
      <c r="V19" s="923">
        <v>112360</v>
      </c>
      <c r="W19" s="1009">
        <v>2414.9504907</v>
      </c>
      <c r="X19" s="1009">
        <v>103257</v>
      </c>
      <c r="Y19" s="924">
        <v>108090</v>
      </c>
      <c r="AA19"/>
      <c r="AB19"/>
      <c r="AC19"/>
    </row>
    <row r="20" spans="1:39" ht="26.25" customHeight="1" x14ac:dyDescent="0.15">
      <c r="A20" s="1073" t="s">
        <v>182</v>
      </c>
      <c r="B20" s="1090"/>
      <c r="C20" s="931">
        <v>785</v>
      </c>
      <c r="D20" s="313">
        <f>매출액표!D85/1000</f>
        <v>25.004999999999999</v>
      </c>
      <c r="E20" s="309">
        <f>ROUND(매출액표!E85/1000,0)</f>
        <v>1060</v>
      </c>
      <c r="F20" s="310">
        <f t="shared" si="5"/>
        <v>135</v>
      </c>
      <c r="G20" s="937">
        <v>27190</v>
      </c>
      <c r="H20" s="311">
        <f t="shared" si="14"/>
        <v>3.8984920926811331</v>
      </c>
      <c r="I20" s="312">
        <f t="shared" si="6"/>
        <v>0.1</v>
      </c>
      <c r="J20" s="760">
        <f t="shared" si="7"/>
        <v>13675</v>
      </c>
      <c r="K20" s="313">
        <f t="shared" si="8"/>
        <v>129.67499999999998</v>
      </c>
      <c r="L20" s="309">
        <f t="shared" si="9"/>
        <v>5535</v>
      </c>
      <c r="M20" s="314">
        <f t="shared" si="2"/>
        <v>40.475319926873858</v>
      </c>
      <c r="N20" s="761">
        <f t="shared" si="10"/>
        <v>141516</v>
      </c>
      <c r="O20" s="315">
        <f t="shared" si="15"/>
        <v>3.911218519460697</v>
      </c>
      <c r="P20" s="316">
        <f t="shared" si="11"/>
        <v>0</v>
      </c>
      <c r="R20" s="1061" t="s">
        <v>182</v>
      </c>
      <c r="S20" s="1061"/>
      <c r="T20" s="278">
        <f t="shared" si="12"/>
        <v>0.1</v>
      </c>
      <c r="U20" s="278">
        <f t="shared" si="13"/>
        <v>0</v>
      </c>
      <c r="V20" s="923">
        <v>12890</v>
      </c>
      <c r="W20" s="1009">
        <v>104.66999999999999</v>
      </c>
      <c r="X20" s="1009">
        <v>4475</v>
      </c>
      <c r="Y20" s="924">
        <v>114326</v>
      </c>
      <c r="AA20"/>
      <c r="AB20"/>
      <c r="AC20"/>
    </row>
    <row r="21" spans="1:39" ht="26.25" customHeight="1" x14ac:dyDescent="0.15">
      <c r="A21" s="1093" t="s">
        <v>59</v>
      </c>
      <c r="B21" s="1094"/>
      <c r="C21" s="932">
        <v>1648</v>
      </c>
      <c r="D21" s="322">
        <f>매출액표!D88/1000</f>
        <v>38.348141800000001</v>
      </c>
      <c r="E21" s="318">
        <f>ROUND(매출액표!E88/1000,0)</f>
        <v>1626</v>
      </c>
      <c r="F21" s="310">
        <f t="shared" si="5"/>
        <v>98.7</v>
      </c>
      <c r="G21" s="938">
        <v>1654</v>
      </c>
      <c r="H21" s="320">
        <f t="shared" si="14"/>
        <v>98.307134220072555</v>
      </c>
      <c r="I21" s="321">
        <f t="shared" si="6"/>
        <v>0.1</v>
      </c>
      <c r="J21" s="762">
        <f t="shared" si="7"/>
        <v>39449</v>
      </c>
      <c r="K21" s="322">
        <f t="shared" si="8"/>
        <v>885.65837659999988</v>
      </c>
      <c r="L21" s="318">
        <f t="shared" si="9"/>
        <v>37959</v>
      </c>
      <c r="M21" s="323">
        <f t="shared" si="2"/>
        <v>96.22297143146848</v>
      </c>
      <c r="N21" s="763">
        <f t="shared" si="10"/>
        <v>41998</v>
      </c>
      <c r="O21" s="324">
        <f t="shared" si="15"/>
        <v>90.382875375017861</v>
      </c>
      <c r="P21" s="347">
        <f t="shared" si="11"/>
        <v>0.1</v>
      </c>
      <c r="R21" s="1061" t="s">
        <v>59</v>
      </c>
      <c r="S21" s="1061"/>
      <c r="T21" s="278">
        <f t="shared" si="12"/>
        <v>0.1</v>
      </c>
      <c r="U21" s="278">
        <f t="shared" si="13"/>
        <v>0.1</v>
      </c>
      <c r="V21" s="923">
        <v>37801</v>
      </c>
      <c r="W21" s="1009">
        <v>847.31023479999988</v>
      </c>
      <c r="X21" s="1009">
        <v>36333</v>
      </c>
      <c r="Y21" s="924">
        <v>40344</v>
      </c>
      <c r="AA21"/>
      <c r="AB21"/>
      <c r="AC21"/>
    </row>
    <row r="22" spans="1:39" ht="26.25" customHeight="1" thickBot="1" x14ac:dyDescent="0.2">
      <c r="A22" s="1095" t="s">
        <v>41</v>
      </c>
      <c r="B22" s="1096"/>
      <c r="C22" s="327">
        <f>SUM(C12:C21)</f>
        <v>1486016</v>
      </c>
      <c r="D22" s="328">
        <f>SUM(D12:D21)</f>
        <v>34284.030459100002</v>
      </c>
      <c r="E22" s="348">
        <f>SUM(E12:E21)</f>
        <v>1458898</v>
      </c>
      <c r="F22" s="349">
        <f>E22/C22*100</f>
        <v>98.175120590895389</v>
      </c>
      <c r="G22" s="330">
        <f>SUM(G12:G21)</f>
        <v>1524043.9359885999</v>
      </c>
      <c r="H22" s="350">
        <f t="shared" si="14"/>
        <v>95.725455516717645</v>
      </c>
      <c r="I22" s="332">
        <f>SUM(I12:I21)</f>
        <v>69.499999999999986</v>
      </c>
      <c r="J22" s="351">
        <f>SUM(J12:J21)</f>
        <v>11527710</v>
      </c>
      <c r="K22" s="334">
        <f>SUM(K12:K21)</f>
        <v>264163.44184700004</v>
      </c>
      <c r="L22" s="348">
        <f>SUM(L12:L21)</f>
        <v>11310066</v>
      </c>
      <c r="M22" s="352">
        <f t="shared" si="2"/>
        <v>98.11199275484897</v>
      </c>
      <c r="N22" s="336">
        <f>SUM(N12:N21)</f>
        <v>11817810.000642899</v>
      </c>
      <c r="O22" s="337">
        <f t="shared" si="15"/>
        <v>95.703569437863052</v>
      </c>
      <c r="P22" s="353">
        <f>P23-P11</f>
        <v>34.600000000000009</v>
      </c>
      <c r="R22" s="1062" t="s">
        <v>46</v>
      </c>
      <c r="S22" s="1062"/>
      <c r="T22" s="286"/>
      <c r="U22" s="287"/>
      <c r="V22" s="517">
        <f>SUM(V12:V21)</f>
        <v>10041694</v>
      </c>
      <c r="W22" s="518">
        <f t="shared" ref="W22:Y22" si="16">SUM(W12:W21)</f>
        <v>229879.41138790004</v>
      </c>
      <c r="X22" s="518">
        <f t="shared" si="16"/>
        <v>9851168</v>
      </c>
      <c r="Y22" s="519">
        <f t="shared" si="16"/>
        <v>10293766.0646543</v>
      </c>
      <c r="AA22"/>
      <c r="AB22"/>
      <c r="AC22"/>
    </row>
    <row r="23" spans="1:39" ht="26.25" customHeight="1" thickTop="1" x14ac:dyDescent="0.15">
      <c r="A23" s="1095" t="s">
        <v>114</v>
      </c>
      <c r="B23" s="1096"/>
      <c r="C23" s="327">
        <f>C11+C22</f>
        <v>2121870</v>
      </c>
      <c r="D23" s="412">
        <f>D11+D22</f>
        <v>49359.9196792</v>
      </c>
      <c r="E23" s="354">
        <f>E22+E11</f>
        <v>2098351</v>
      </c>
      <c r="F23" s="414">
        <f>E23/C23*100</f>
        <v>98.891590908019808</v>
      </c>
      <c r="G23" s="413">
        <f>G22+G11</f>
        <v>2172876.9359885999</v>
      </c>
      <c r="H23" s="350">
        <f t="shared" si="14"/>
        <v>96.570172256226158</v>
      </c>
      <c r="I23" s="355">
        <f>I11+I22</f>
        <v>99.999999999999986</v>
      </c>
      <c r="J23" s="351">
        <f>J11+J22</f>
        <v>32455615</v>
      </c>
      <c r="K23" s="334">
        <f>K22+K11</f>
        <v>762713.97863839997</v>
      </c>
      <c r="L23" s="354">
        <f>L11+L22</f>
        <v>32679957</v>
      </c>
      <c r="M23" s="356">
        <f t="shared" si="2"/>
        <v>100.69122708042968</v>
      </c>
      <c r="N23" s="357">
        <f>N11+N22</f>
        <v>32053831.000642899</v>
      </c>
      <c r="O23" s="337">
        <f t="shared" si="15"/>
        <v>101.95335777288071</v>
      </c>
      <c r="P23" s="358">
        <v>100</v>
      </c>
      <c r="Q23" s="38"/>
      <c r="R23" s="1115" t="s">
        <v>246</v>
      </c>
      <c r="S23" s="1115"/>
      <c r="T23" s="290"/>
      <c r="U23" s="291"/>
      <c r="V23" s="520">
        <f>V11+V22</f>
        <v>30333745</v>
      </c>
      <c r="W23" s="521">
        <f t="shared" ref="W23:Y23" si="17">W11+W22</f>
        <v>713354.05895920005</v>
      </c>
      <c r="X23" s="521">
        <f t="shared" si="17"/>
        <v>30581606</v>
      </c>
      <c r="Y23" s="522">
        <f t="shared" si="17"/>
        <v>29880954.064654298</v>
      </c>
      <c r="AA23"/>
      <c r="AB23"/>
      <c r="AC23"/>
    </row>
    <row r="24" spans="1:39" ht="26.25" customHeight="1" thickBot="1" x14ac:dyDescent="0.2">
      <c r="A24" s="1097" t="s">
        <v>43</v>
      </c>
      <c r="B24" s="1098"/>
      <c r="C24" s="935">
        <v>2006153</v>
      </c>
      <c r="D24" s="1051">
        <v>44963952</v>
      </c>
      <c r="E24" s="1050">
        <v>1906099</v>
      </c>
      <c r="F24" s="415">
        <f>E24/C24*100</f>
        <v>95.012643601958587</v>
      </c>
      <c r="G24" s="941">
        <v>2054227</v>
      </c>
      <c r="H24" s="359">
        <f>$E$24/G24*100</f>
        <v>92.789112400917716</v>
      </c>
      <c r="I24" s="360"/>
      <c r="J24" s="770">
        <f>C24+V24</f>
        <v>27456538</v>
      </c>
      <c r="K24" s="778">
        <f>D24+W24</f>
        <v>654430172</v>
      </c>
      <c r="L24" s="779">
        <f>E24+X24</f>
        <v>28013925</v>
      </c>
      <c r="M24" s="361">
        <f t="shared" si="2"/>
        <v>102.03007021497031</v>
      </c>
      <c r="N24" s="771">
        <f>G24+Y24</f>
        <v>27423321</v>
      </c>
      <c r="O24" s="360">
        <f t="shared" si="15"/>
        <v>102.15365600687095</v>
      </c>
      <c r="P24" s="362"/>
      <c r="R24" s="1113" t="s">
        <v>43</v>
      </c>
      <c r="S24" s="1113"/>
      <c r="T24" s="442"/>
      <c r="U24" s="443"/>
      <c r="V24" s="923">
        <v>25450385</v>
      </c>
      <c r="W24" s="1010">
        <v>609466220</v>
      </c>
      <c r="X24" s="1009">
        <v>26107826</v>
      </c>
      <c r="Y24" s="924">
        <v>25369094</v>
      </c>
      <c r="AA24"/>
      <c r="AB24"/>
      <c r="AC24"/>
    </row>
    <row r="25" spans="1:39" ht="26.25" customHeight="1" x14ac:dyDescent="0.15">
      <c r="A25" s="363"/>
      <c r="B25" s="363"/>
      <c r="C25" s="438"/>
      <c r="D25" s="439"/>
      <c r="E25" s="438"/>
      <c r="F25" s="364"/>
      <c r="G25" s="438"/>
      <c r="H25" s="365"/>
      <c r="I25" s="364"/>
      <c r="J25" s="366"/>
      <c r="K25" s="367"/>
      <c r="L25" s="368"/>
      <c r="M25" s="364"/>
      <c r="N25" s="369"/>
      <c r="O25" s="364"/>
      <c r="P25" s="370"/>
      <c r="R25" s="905"/>
      <c r="S25" s="905"/>
      <c r="T25" s="279"/>
      <c r="U25" s="279"/>
      <c r="V25" s="280"/>
      <c r="W25" s="281"/>
      <c r="X25" s="280"/>
      <c r="Y25" s="280"/>
      <c r="AA25"/>
      <c r="AB25"/>
      <c r="AC25"/>
    </row>
    <row r="26" spans="1:39" ht="26.25" customHeight="1" x14ac:dyDescent="0.15">
      <c r="A26" s="371"/>
      <c r="B26" s="371"/>
      <c r="C26" s="372"/>
      <c r="D26" s="373"/>
      <c r="E26" s="373"/>
      <c r="F26" s="372"/>
      <c r="G26" s="372"/>
      <c r="H26" s="372"/>
      <c r="I26" s="372"/>
      <c r="J26" s="374"/>
      <c r="K26" s="374"/>
      <c r="L26" s="374"/>
      <c r="M26" s="374"/>
      <c r="N26" s="372"/>
      <c r="O26" s="372"/>
      <c r="P26" s="372"/>
      <c r="Q26" s="54"/>
      <c r="R26" s="54"/>
      <c r="S26" s="54"/>
      <c r="T26" s="54"/>
      <c r="U26" s="54"/>
      <c r="V26" s="916"/>
      <c r="W26" s="916"/>
      <c r="X26" s="916"/>
      <c r="Y26" s="916"/>
      <c r="AA26"/>
      <c r="AB26"/>
      <c r="AC26"/>
    </row>
    <row r="27" spans="1:39" ht="26.25" customHeight="1" x14ac:dyDescent="0.15">
      <c r="A27" s="914"/>
      <c r="B27" s="917"/>
      <c r="C27" s="917"/>
      <c r="D27" s="917"/>
      <c r="E27" s="917"/>
      <c r="F27" s="917"/>
      <c r="G27" s="917"/>
      <c r="H27" s="917"/>
      <c r="I27" s="917"/>
      <c r="J27" s="917"/>
      <c r="K27" s="917"/>
      <c r="L27" s="917"/>
      <c r="M27" s="917"/>
      <c r="N27" s="917"/>
      <c r="O27" s="917"/>
      <c r="P27" s="918"/>
      <c r="Q27" s="919"/>
      <c r="R27" s="909" t="s">
        <v>19</v>
      </c>
      <c r="S27" s="919"/>
      <c r="T27" s="920"/>
      <c r="U27" s="920"/>
      <c r="V27" s="282"/>
      <c r="W27" s="282"/>
      <c r="X27" s="916"/>
      <c r="Y27" s="916"/>
      <c r="Z27" s="915"/>
      <c r="AA27" s="915"/>
      <c r="AB27" s="915"/>
      <c r="AC27" s="915"/>
      <c r="AD27" s="915"/>
      <c r="AE27" s="915"/>
      <c r="AF27" s="915"/>
      <c r="AG27" s="915"/>
      <c r="AH27" s="915"/>
      <c r="AI27" s="915"/>
      <c r="AJ27" s="915"/>
      <c r="AK27" s="915"/>
      <c r="AL27" s="915"/>
      <c r="AM27" s="915"/>
    </row>
    <row r="28" spans="1:39" ht="26.25" customHeight="1" thickBot="1" x14ac:dyDescent="0.2">
      <c r="A28" s="912" t="s">
        <v>116</v>
      </c>
      <c r="B28" s="917"/>
      <c r="C28" s="917"/>
      <c r="D28" s="917"/>
      <c r="E28" s="917"/>
      <c r="F28" s="917"/>
      <c r="G28" s="917"/>
      <c r="H28" s="917"/>
      <c r="I28" s="917"/>
      <c r="J28" s="917"/>
      <c r="K28" s="917"/>
      <c r="L28" s="917"/>
      <c r="M28" s="917"/>
      <c r="N28" s="917"/>
      <c r="O28" s="917"/>
      <c r="P28" s="918" t="s">
        <v>117</v>
      </c>
      <c r="Q28" s="919"/>
      <c r="R28" s="919"/>
      <c r="S28" s="919"/>
      <c r="T28" s="920"/>
      <c r="U28" s="920"/>
      <c r="V28" s="913" t="s">
        <v>267</v>
      </c>
      <c r="W28" s="916"/>
      <c r="X28" s="916"/>
      <c r="Y28" s="916"/>
      <c r="Z28"/>
      <c r="AA28"/>
      <c r="AB28"/>
      <c r="AC28"/>
      <c r="AD28" s="915"/>
      <c r="AE28" s="915"/>
      <c r="AF28" s="915"/>
      <c r="AG28" s="915"/>
      <c r="AH28" s="915"/>
      <c r="AI28" s="915"/>
      <c r="AJ28" s="915"/>
      <c r="AK28" s="915"/>
      <c r="AL28" s="915"/>
      <c r="AM28" s="915"/>
    </row>
    <row r="29" spans="1:39" ht="29.25" customHeight="1" x14ac:dyDescent="0.15">
      <c r="A29" s="1067" t="s">
        <v>118</v>
      </c>
      <c r="B29" s="1091"/>
      <c r="C29" s="1065" t="s">
        <v>20</v>
      </c>
      <c r="D29" s="1064"/>
      <c r="E29" s="1064"/>
      <c r="F29" s="1064"/>
      <c r="G29" s="1064"/>
      <c r="H29" s="1064"/>
      <c r="I29" s="1066"/>
      <c r="J29" s="1065" t="s">
        <v>21</v>
      </c>
      <c r="K29" s="1064"/>
      <c r="L29" s="1064"/>
      <c r="M29" s="1064"/>
      <c r="N29" s="1064"/>
      <c r="O29" s="1064"/>
      <c r="P29" s="1066"/>
      <c r="Q29" s="271"/>
      <c r="R29" s="1052" t="s">
        <v>45</v>
      </c>
      <c r="S29" s="1052"/>
      <c r="T29" s="1053" t="s">
        <v>248</v>
      </c>
      <c r="U29" s="1054"/>
      <c r="V29" s="1055" t="s">
        <v>253</v>
      </c>
      <c r="W29" s="1056"/>
      <c r="X29" s="1057"/>
      <c r="Y29" s="916"/>
      <c r="Z29"/>
      <c r="AA29"/>
      <c r="AB29"/>
      <c r="AC29"/>
      <c r="AD29" s="915"/>
      <c r="AE29" s="915"/>
      <c r="AF29" s="915"/>
      <c r="AG29" s="915"/>
      <c r="AH29" s="915"/>
      <c r="AI29" s="915"/>
      <c r="AJ29" s="915"/>
      <c r="AK29" s="915"/>
      <c r="AL29" s="915"/>
      <c r="AM29" s="915"/>
    </row>
    <row r="30" spans="1:39" ht="29.25" customHeight="1" x14ac:dyDescent="0.15">
      <c r="A30" s="1069"/>
      <c r="B30" s="1092"/>
      <c r="C30" s="375" t="s">
        <v>22</v>
      </c>
      <c r="D30" s="376" t="s">
        <v>109</v>
      </c>
      <c r="E30" s="377" t="s">
        <v>259</v>
      </c>
      <c r="F30" s="378" t="s">
        <v>24</v>
      </c>
      <c r="G30" s="904" t="s">
        <v>262</v>
      </c>
      <c r="H30" s="1087" t="s">
        <v>261</v>
      </c>
      <c r="I30" s="1088"/>
      <c r="J30" s="379" t="s">
        <v>22</v>
      </c>
      <c r="K30" s="376" t="s">
        <v>23</v>
      </c>
      <c r="L30" s="380" t="s">
        <v>259</v>
      </c>
      <c r="M30" s="381" t="s">
        <v>24</v>
      </c>
      <c r="N30" s="904" t="s">
        <v>262</v>
      </c>
      <c r="O30" s="1087" t="s">
        <v>261</v>
      </c>
      <c r="P30" s="1088"/>
      <c r="Q30" s="17"/>
      <c r="R30" s="1052"/>
      <c r="S30" s="1052"/>
      <c r="T30" s="274" t="s">
        <v>251</v>
      </c>
      <c r="U30" s="277" t="s">
        <v>252</v>
      </c>
      <c r="V30" s="283" t="s">
        <v>108</v>
      </c>
      <c r="W30" s="284" t="s">
        <v>109</v>
      </c>
      <c r="X30" s="418" t="s">
        <v>266</v>
      </c>
      <c r="Y30" s="916"/>
      <c r="Z30"/>
      <c r="AA30"/>
      <c r="AB30"/>
      <c r="AC30"/>
    </row>
    <row r="31" spans="1:39" ht="29.25" customHeight="1" x14ac:dyDescent="0.15">
      <c r="A31" s="1084" t="s">
        <v>369</v>
      </c>
      <c r="B31" s="301" t="s">
        <v>28</v>
      </c>
      <c r="C31" s="925">
        <v>574782</v>
      </c>
      <c r="D31" s="382">
        <f>ROUND((매출액표!G23+매출액표!H23)/1000,0)</f>
        <v>526643</v>
      </c>
      <c r="E31" s="383"/>
      <c r="F31" s="927">
        <v>516811</v>
      </c>
      <c r="G31" s="384"/>
      <c r="H31" s="1082">
        <f>IF(D31=MAX($D$31:$D$34,$D$36:$D$45),MAX($T$31:$T$45)+(100-SUM($T$31:$T$45)),T31)</f>
        <v>1.2</v>
      </c>
      <c r="I31" s="1083"/>
      <c r="J31" s="748">
        <f t="shared" ref="J31:K34" si="18">C31+V31</f>
        <v>4476392.8499999996</v>
      </c>
      <c r="K31" s="749">
        <f t="shared" si="18"/>
        <v>4013840</v>
      </c>
      <c r="L31" s="385"/>
      <c r="M31" s="750">
        <f>X31+F31-1</f>
        <v>3970912.5980000002</v>
      </c>
      <c r="N31" s="384"/>
      <c r="O31" s="1082">
        <f>IF(K31=MAX($K$31:$K$34,$K$36:$K$45),MAX($U$31:$U$45)+(100-SUM($U$31:$U$45)),U31)</f>
        <v>0.6</v>
      </c>
      <c r="P31" s="1083"/>
      <c r="R31" s="1114" t="s">
        <v>25</v>
      </c>
      <c r="S31" s="903" t="s">
        <v>37</v>
      </c>
      <c r="T31" s="278">
        <f>ROUND(D31/$D$47*100,1)</f>
        <v>1.2</v>
      </c>
      <c r="U31" s="278">
        <f>ROUND(K31/$K$47*100,1)</f>
        <v>0.6</v>
      </c>
      <c r="V31" s="1011">
        <v>3901610.8499999996</v>
      </c>
      <c r="W31" s="1012">
        <v>3487197</v>
      </c>
      <c r="X31" s="1013">
        <v>3454102.5980000002</v>
      </c>
      <c r="Y31" s="916"/>
      <c r="Z31"/>
      <c r="AA31"/>
      <c r="AB31"/>
      <c r="AC31"/>
    </row>
    <row r="32" spans="1:39" ht="29.25" customHeight="1" x14ac:dyDescent="0.15">
      <c r="A32" s="1085"/>
      <c r="B32" s="308" t="s">
        <v>156</v>
      </c>
      <c r="C32" s="926">
        <v>14191911</v>
      </c>
      <c r="D32" s="386">
        <f>ROUND((매출액표!G31+매출액표!H31+매출액표!G36+매출액표!H36)/1000,0)</f>
        <v>14388692</v>
      </c>
      <c r="E32" s="387"/>
      <c r="F32" s="928">
        <v>13569630</v>
      </c>
      <c r="G32" s="388"/>
      <c r="H32" s="1075">
        <f>IF(D32=MAX($D$31:$D$34,$D$36:$D$45),MAX($T$31:$T$45)+(100-SUM($T$31:$T$45)),T32)</f>
        <v>33.000000000000028</v>
      </c>
      <c r="I32" s="1076"/>
      <c r="J32" s="751">
        <f t="shared" si="18"/>
        <v>447329965.91500002</v>
      </c>
      <c r="K32" s="752">
        <f t="shared" si="18"/>
        <v>454596742</v>
      </c>
      <c r="L32" s="389"/>
      <c r="M32" s="750">
        <f t="shared" ref="M32:M34" si="19">X32+F32</f>
        <v>399421881.324</v>
      </c>
      <c r="N32" s="388"/>
      <c r="O32" s="1075">
        <f>IF(K32=MAX($K$31:$K$34,$K$36:$K$45),MAX($U$31:$U$45)+(100-SUM($U$31:$U$45)),U32)</f>
        <v>63.29999999999999</v>
      </c>
      <c r="P32" s="1076"/>
      <c r="R32" s="1114"/>
      <c r="S32" s="903" t="s">
        <v>186</v>
      </c>
      <c r="T32" s="278">
        <f>ROUND(D32/$D$47*100,1)</f>
        <v>33</v>
      </c>
      <c r="U32" s="278">
        <f>ROUND(K32/$K$47*100,1)</f>
        <v>63.4</v>
      </c>
      <c r="V32" s="1011">
        <v>433138054.91500002</v>
      </c>
      <c r="W32" s="1012">
        <v>440208050</v>
      </c>
      <c r="X32" s="1013">
        <v>385852251.324</v>
      </c>
      <c r="Y32" s="916"/>
      <c r="Z32"/>
      <c r="AA32"/>
      <c r="AB32"/>
      <c r="AC32"/>
    </row>
    <row r="33" spans="1:29" ht="29.25" customHeight="1" x14ac:dyDescent="0.15">
      <c r="A33" s="1085"/>
      <c r="B33" s="308" t="s">
        <v>187</v>
      </c>
      <c r="C33" s="926">
        <v>322038</v>
      </c>
      <c r="D33" s="386">
        <f>ROUND((매출액표!G40+매출액표!H40)/1000,0)</f>
        <v>258180</v>
      </c>
      <c r="E33" s="387"/>
      <c r="F33" s="928">
        <v>279859.20899999997</v>
      </c>
      <c r="G33" s="388"/>
      <c r="H33" s="1075">
        <f>IF(D33=MAX($D$31:$D$34,$D$36:$D$45),MAX($T$31:$T$45)+(100-SUM($T$31:$T$45)),T33)</f>
        <v>0.6</v>
      </c>
      <c r="I33" s="1076"/>
      <c r="J33" s="751">
        <f t="shared" si="18"/>
        <v>8835272</v>
      </c>
      <c r="K33" s="753">
        <f t="shared" si="18"/>
        <v>8587992</v>
      </c>
      <c r="L33" s="389"/>
      <c r="M33" s="750">
        <f t="shared" si="19"/>
        <v>7650069.5609999998</v>
      </c>
      <c r="N33" s="388"/>
      <c r="O33" s="1075">
        <f>IF(K33=MAX($K$31:$K$34,$K$36:$K$45),MAX($U$31:$U$45)+(100-SUM($U$31:$U$45)),U33)</f>
        <v>1.2</v>
      </c>
      <c r="P33" s="1076"/>
      <c r="R33" s="1114"/>
      <c r="S33" s="903" t="s">
        <v>187</v>
      </c>
      <c r="T33" s="278">
        <f>ROUND(D33/$D$47*100,1)</f>
        <v>0.6</v>
      </c>
      <c r="U33" s="278">
        <f>ROUND(K33/$K$47*100,1)</f>
        <v>1.2</v>
      </c>
      <c r="V33" s="1011">
        <v>8513234</v>
      </c>
      <c r="W33" s="1012">
        <v>8329812</v>
      </c>
      <c r="X33" s="1013">
        <v>7370210.352</v>
      </c>
      <c r="Y33" s="916"/>
      <c r="Z33"/>
      <c r="AA33"/>
      <c r="AB33"/>
      <c r="AC33"/>
    </row>
    <row r="34" spans="1:29" ht="29.25" customHeight="1" x14ac:dyDescent="0.15">
      <c r="A34" s="1085"/>
      <c r="B34" s="317" t="s">
        <v>157</v>
      </c>
      <c r="C34" s="926">
        <v>66557</v>
      </c>
      <c r="D34" s="390">
        <f>ROUND((매출액표!G43+매출액표!H43)/1000,0)</f>
        <v>86952</v>
      </c>
      <c r="E34" s="391"/>
      <c r="F34" s="929">
        <v>89946.664999999994</v>
      </c>
      <c r="G34" s="392"/>
      <c r="H34" s="1078">
        <f>IF(D34=MAX($D$31:$D$34,$D$36:$D$45),MAX($T$31:$T$45)+(100-SUM($T$31:$T$45)),T34)</f>
        <v>0.2</v>
      </c>
      <c r="I34" s="1079"/>
      <c r="J34" s="754">
        <f t="shared" si="18"/>
        <v>5608734</v>
      </c>
      <c r="K34" s="755">
        <f t="shared" si="18"/>
        <v>5225282</v>
      </c>
      <c r="L34" s="393"/>
      <c r="M34" s="750">
        <f t="shared" si="19"/>
        <v>4677456.2539999997</v>
      </c>
      <c r="N34" s="392"/>
      <c r="O34" s="1078">
        <f>IF(K34=MAX($K$31:$K$34,$K$36:$K$45),MAX($U$31:$U$45)+(100-SUM($U$31:$U$45)),U34)</f>
        <v>0.7</v>
      </c>
      <c r="P34" s="1079"/>
      <c r="R34" s="1114"/>
      <c r="S34" s="903" t="s">
        <v>188</v>
      </c>
      <c r="T34" s="278">
        <f>ROUND(D34/$D$47*100,1)</f>
        <v>0.2</v>
      </c>
      <c r="U34" s="278">
        <f>ROUND(K34/$K$47*100,1)</f>
        <v>0.7</v>
      </c>
      <c r="V34" s="1011">
        <v>5542177</v>
      </c>
      <c r="W34" s="1012">
        <v>5138330</v>
      </c>
      <c r="X34" s="1013">
        <v>4587509.5889999997</v>
      </c>
      <c r="Y34" s="916"/>
      <c r="Z34"/>
      <c r="AA34"/>
      <c r="AB34"/>
      <c r="AC34"/>
    </row>
    <row r="35" spans="1:29" ht="29.25" customHeight="1" x14ac:dyDescent="0.15">
      <c r="A35" s="1086"/>
      <c r="B35" s="326" t="s">
        <v>41</v>
      </c>
      <c r="C35" s="991">
        <f>SUM(C31:C34)</f>
        <v>15155288</v>
      </c>
      <c r="D35" s="394">
        <f>SUM(D31:D34)</f>
        <v>15260467</v>
      </c>
      <c r="E35" s="395">
        <f>D35/C35*100</f>
        <v>100.69400858630995</v>
      </c>
      <c r="F35" s="992">
        <f>SUM(F31:F34)</f>
        <v>14456246.874</v>
      </c>
      <c r="G35" s="396">
        <f>D35/F35*100</f>
        <v>105.56313220858462</v>
      </c>
      <c r="H35" s="1080">
        <f>SUM(H31:I34)</f>
        <v>35.000000000000036</v>
      </c>
      <c r="I35" s="1081"/>
      <c r="J35" s="397">
        <f t="shared" ref="J35:J45" si="20">C35+V35</f>
        <v>466250364.76500005</v>
      </c>
      <c r="K35" s="398">
        <f>SUM(K31:K34)</f>
        <v>472423856</v>
      </c>
      <c r="L35" s="395">
        <f>K35/J35*100</f>
        <v>101.32407215125967</v>
      </c>
      <c r="M35" s="399">
        <f>SUM(M31:M34)</f>
        <v>415720319.73699999</v>
      </c>
      <c r="N35" s="400">
        <f>K35/M35*100</f>
        <v>113.63982792538809</v>
      </c>
      <c r="O35" s="1080">
        <f>SUM(O31:P34)</f>
        <v>65.8</v>
      </c>
      <c r="P35" s="1081"/>
      <c r="R35" s="1114"/>
      <c r="S35" s="907" t="s">
        <v>240</v>
      </c>
      <c r="T35" s="285"/>
      <c r="U35" s="285"/>
      <c r="V35" s="986">
        <f>SUM(V31:V34)</f>
        <v>451095076.76500005</v>
      </c>
      <c r="W35" s="987">
        <f>SUM(W31:W34)</f>
        <v>457163389</v>
      </c>
      <c r="X35" s="988">
        <f>SUM(X31:X34)</f>
        <v>401264073.86299998</v>
      </c>
      <c r="Y35" s="916"/>
      <c r="Z35"/>
      <c r="AA35"/>
      <c r="AB35"/>
      <c r="AC35"/>
    </row>
    <row r="36" spans="1:29" ht="29.25" customHeight="1" x14ac:dyDescent="0.15">
      <c r="A36" s="1071" t="s">
        <v>238</v>
      </c>
      <c r="B36" s="1072"/>
      <c r="C36" s="925">
        <v>5399114</v>
      </c>
      <c r="D36" s="382">
        <f>ROUNDDOWN((매출액표!G49+매출액표!G53)/1000,-3)</f>
        <v>5287000</v>
      </c>
      <c r="E36" s="385"/>
      <c r="F36" s="956">
        <v>4999292.4800000004</v>
      </c>
      <c r="G36" s="384"/>
      <c r="H36" s="1082">
        <f t="shared" ref="H36:H45" si="21">IF(D36=MAX($D$31:$D$34,$D$36:$D$45),MAX($T$31:$T$45)+(100-SUM($T$31:$T$45)),T36)</f>
        <v>12.1</v>
      </c>
      <c r="I36" s="1083"/>
      <c r="J36" s="748">
        <f t="shared" si="20"/>
        <v>51090318</v>
      </c>
      <c r="K36" s="749">
        <f t="shared" ref="K36:K45" si="22">D36+W36</f>
        <v>50633000</v>
      </c>
      <c r="L36" s="385"/>
      <c r="M36" s="750">
        <f>X36+F36</f>
        <v>47441143.494000003</v>
      </c>
      <c r="N36" s="384"/>
      <c r="O36" s="1082">
        <f t="shared" ref="O36:O45" si="23">IF(K36=MAX($K$31:$K$34,$K$36:$K$45),MAX($U$31:$U$45)+(100-SUM($U$31:$U$45)),U36)</f>
        <v>7.1</v>
      </c>
      <c r="P36" s="1083"/>
      <c r="R36" s="1077" t="s">
        <v>39</v>
      </c>
      <c r="S36" s="1077"/>
      <c r="T36" s="278">
        <f t="shared" ref="T36:T45" si="24">ROUND(D36/$D$47*100,1)</f>
        <v>12.1</v>
      </c>
      <c r="U36" s="278">
        <f t="shared" ref="U36:U45" si="25">ROUND(K36/$K$47*100,1)</f>
        <v>7.1</v>
      </c>
      <c r="V36" s="1011">
        <v>45691204</v>
      </c>
      <c r="W36" s="1012">
        <v>45346000</v>
      </c>
      <c r="X36" s="1013">
        <v>42441851.013999999</v>
      </c>
      <c r="Y36" s="916"/>
      <c r="Z36"/>
      <c r="AA36"/>
      <c r="AB36"/>
      <c r="AC36"/>
    </row>
    <row r="37" spans="1:29" ht="29.25" customHeight="1" x14ac:dyDescent="0.15">
      <c r="A37" s="1073" t="s">
        <v>42</v>
      </c>
      <c r="B37" s="1074"/>
      <c r="C37" s="925">
        <v>508658</v>
      </c>
      <c r="D37" s="386">
        <f>ROUND((매출액표!G62+매출액표!H62)/1000,0)</f>
        <v>446066</v>
      </c>
      <c r="E37" s="389"/>
      <c r="F37" s="956">
        <v>503371.76899999997</v>
      </c>
      <c r="G37" s="388"/>
      <c r="H37" s="1075">
        <f t="shared" si="21"/>
        <v>1</v>
      </c>
      <c r="I37" s="1076"/>
      <c r="J37" s="751">
        <f t="shared" si="20"/>
        <v>13517051</v>
      </c>
      <c r="K37" s="752">
        <f t="shared" si="22"/>
        <v>13333915</v>
      </c>
      <c r="L37" s="389"/>
      <c r="M37" s="750">
        <f t="shared" ref="M37:M45" si="26">X37+F37</f>
        <v>12859271.768999999</v>
      </c>
      <c r="N37" s="388"/>
      <c r="O37" s="1075">
        <f t="shared" si="23"/>
        <v>1.9</v>
      </c>
      <c r="P37" s="1076"/>
      <c r="R37" s="1077" t="s">
        <v>35</v>
      </c>
      <c r="S37" s="1077"/>
      <c r="T37" s="278">
        <f t="shared" si="24"/>
        <v>1</v>
      </c>
      <c r="U37" s="278">
        <f t="shared" si="25"/>
        <v>1.9</v>
      </c>
      <c r="V37" s="1011">
        <v>13008393</v>
      </c>
      <c r="W37" s="1012">
        <v>12887849</v>
      </c>
      <c r="X37" s="1013">
        <v>12355900</v>
      </c>
      <c r="Y37" s="916"/>
      <c r="Z37"/>
      <c r="AA37"/>
      <c r="AB37"/>
      <c r="AC37"/>
    </row>
    <row r="38" spans="1:29" ht="29.25" customHeight="1" x14ac:dyDescent="0.15">
      <c r="A38" s="1073" t="s">
        <v>237</v>
      </c>
      <c r="B38" s="1074"/>
      <c r="C38" s="925">
        <v>2503175</v>
      </c>
      <c r="D38" s="386">
        <f>ROUND((매출액표!G69+매출액표!H69)/1000,0)</f>
        <v>2638553</v>
      </c>
      <c r="E38" s="389"/>
      <c r="F38" s="956">
        <v>2456955.2659999998</v>
      </c>
      <c r="G38" s="388"/>
      <c r="H38" s="1075">
        <f t="shared" si="21"/>
        <v>6</v>
      </c>
      <c r="I38" s="1076"/>
      <c r="J38" s="751">
        <f t="shared" si="20"/>
        <v>16272774</v>
      </c>
      <c r="K38" s="752">
        <f t="shared" si="22"/>
        <v>17394211</v>
      </c>
      <c r="L38" s="389"/>
      <c r="M38" s="750">
        <f t="shared" si="26"/>
        <v>16279231.265999999</v>
      </c>
      <c r="N38" s="388"/>
      <c r="O38" s="1075">
        <f t="shared" si="23"/>
        <v>2.4</v>
      </c>
      <c r="P38" s="1076"/>
      <c r="R38" s="1077" t="s">
        <v>239</v>
      </c>
      <c r="S38" s="1077"/>
      <c r="T38" s="278">
        <f t="shared" si="24"/>
        <v>6</v>
      </c>
      <c r="U38" s="278">
        <f t="shared" si="25"/>
        <v>2.4</v>
      </c>
      <c r="V38" s="1011">
        <v>13769599</v>
      </c>
      <c r="W38" s="1012">
        <v>14755658</v>
      </c>
      <c r="X38" s="1013">
        <v>13822276</v>
      </c>
      <c r="Y38" s="916"/>
      <c r="Z38"/>
      <c r="AA38"/>
      <c r="AB38"/>
      <c r="AC38"/>
    </row>
    <row r="39" spans="1:29" ht="29.25" customHeight="1" x14ac:dyDescent="0.15">
      <c r="A39" s="1073" t="s">
        <v>242</v>
      </c>
      <c r="B39" s="1074"/>
      <c r="C39" s="925">
        <v>15808165</v>
      </c>
      <c r="D39" s="386">
        <f>ROUND((매출액표!G73+매출액표!H73)/1000,0)</f>
        <v>13044159</v>
      </c>
      <c r="E39" s="389"/>
      <c r="F39" s="956">
        <v>15015611.616</v>
      </c>
      <c r="G39" s="388"/>
      <c r="H39" s="1075">
        <f t="shared" si="21"/>
        <v>29.9</v>
      </c>
      <c r="I39" s="1076"/>
      <c r="J39" s="751">
        <f t="shared" si="20"/>
        <v>123610276</v>
      </c>
      <c r="K39" s="752">
        <f t="shared" si="22"/>
        <v>114292336</v>
      </c>
      <c r="L39" s="389"/>
      <c r="M39" s="750">
        <f>X39+F39+1</f>
        <v>124666421.616</v>
      </c>
      <c r="N39" s="388" t="s">
        <v>110</v>
      </c>
      <c r="O39" s="1075">
        <f t="shared" si="23"/>
        <v>15.9</v>
      </c>
      <c r="P39" s="1076"/>
      <c r="R39" s="1077" t="s">
        <v>175</v>
      </c>
      <c r="S39" s="1077"/>
      <c r="T39" s="278">
        <f t="shared" si="24"/>
        <v>29.9</v>
      </c>
      <c r="U39" s="278">
        <f t="shared" si="25"/>
        <v>15.9</v>
      </c>
      <c r="V39" s="1011">
        <v>107802111</v>
      </c>
      <c r="W39" s="1012">
        <v>101248177</v>
      </c>
      <c r="X39" s="1013">
        <v>109650809</v>
      </c>
      <c r="Y39" s="916"/>
      <c r="Z39"/>
      <c r="AA39"/>
      <c r="AB39"/>
      <c r="AC39"/>
    </row>
    <row r="40" spans="1:29" ht="29.25" customHeight="1" x14ac:dyDescent="0.15">
      <c r="A40" s="1073" t="s">
        <v>243</v>
      </c>
      <c r="B40" s="1074"/>
      <c r="C40" s="925">
        <v>6451850</v>
      </c>
      <c r="D40" s="386">
        <f>ROUND(매출액표!G55/1000,0)</f>
        <v>6016903</v>
      </c>
      <c r="E40" s="389"/>
      <c r="F40" s="956">
        <v>6597747.8439999996</v>
      </c>
      <c r="G40" s="388"/>
      <c r="H40" s="1075">
        <f t="shared" si="21"/>
        <v>13.8</v>
      </c>
      <c r="I40" s="1076"/>
      <c r="J40" s="751">
        <f t="shared" si="20"/>
        <v>42270484</v>
      </c>
      <c r="K40" s="752">
        <f t="shared" si="22"/>
        <v>41374160</v>
      </c>
      <c r="L40" s="389"/>
      <c r="M40" s="750">
        <f t="shared" si="26"/>
        <v>42424256.843999997</v>
      </c>
      <c r="N40" s="388" t="s">
        <v>110</v>
      </c>
      <c r="O40" s="1075">
        <f t="shared" si="23"/>
        <v>5.8</v>
      </c>
      <c r="P40" s="1076"/>
      <c r="R40" s="1077" t="s">
        <v>26</v>
      </c>
      <c r="S40" s="1077"/>
      <c r="T40" s="278">
        <f t="shared" si="24"/>
        <v>13.8</v>
      </c>
      <c r="U40" s="278">
        <f t="shared" si="25"/>
        <v>5.8</v>
      </c>
      <c r="V40" s="1011">
        <v>35818634</v>
      </c>
      <c r="W40" s="1012">
        <v>35357257</v>
      </c>
      <c r="X40" s="1013">
        <v>35826509</v>
      </c>
      <c r="Y40" s="916"/>
      <c r="Z40"/>
      <c r="AA40"/>
      <c r="AB40"/>
      <c r="AC40"/>
    </row>
    <row r="41" spans="1:29" ht="29.25" customHeight="1" x14ac:dyDescent="0.15">
      <c r="A41" s="1073" t="s">
        <v>244</v>
      </c>
      <c r="B41" s="1074"/>
      <c r="C41" s="925">
        <v>327371</v>
      </c>
      <c r="D41" s="386">
        <f>ROUND(매출액표!G56/1000,0)</f>
        <v>251055</v>
      </c>
      <c r="E41" s="389"/>
      <c r="F41" s="956">
        <v>316142.53100000002</v>
      </c>
      <c r="G41" s="388"/>
      <c r="H41" s="1075">
        <f t="shared" si="21"/>
        <v>0.6</v>
      </c>
      <c r="I41" s="1076"/>
      <c r="J41" s="751">
        <f t="shared" si="20"/>
        <v>2144771</v>
      </c>
      <c r="K41" s="752">
        <f t="shared" si="22"/>
        <v>1875610</v>
      </c>
      <c r="L41" s="389"/>
      <c r="M41" s="750">
        <f t="shared" si="26"/>
        <v>2091797.531</v>
      </c>
      <c r="N41" s="388"/>
      <c r="O41" s="1075">
        <f t="shared" si="23"/>
        <v>0.3</v>
      </c>
      <c r="P41" s="1076"/>
      <c r="R41" s="1077" t="s">
        <v>73</v>
      </c>
      <c r="S41" s="1077"/>
      <c r="T41" s="278">
        <f t="shared" si="24"/>
        <v>0.6</v>
      </c>
      <c r="U41" s="278">
        <f t="shared" si="25"/>
        <v>0.3</v>
      </c>
      <c r="V41" s="1011">
        <v>1817400</v>
      </c>
      <c r="W41" s="1012">
        <v>1624555</v>
      </c>
      <c r="X41" s="1013">
        <v>1775655</v>
      </c>
      <c r="Y41" s="916"/>
      <c r="Z41"/>
      <c r="AA41"/>
      <c r="AB41"/>
      <c r="AC41"/>
    </row>
    <row r="42" spans="1:29" ht="29.25" customHeight="1" x14ac:dyDescent="0.15">
      <c r="A42" s="1073" t="s">
        <v>180</v>
      </c>
      <c r="B42" s="1074"/>
      <c r="C42" s="925">
        <v>418601</v>
      </c>
      <c r="D42" s="386">
        <f>ROUND((매출액표!G78)/1000,0)</f>
        <v>346992</v>
      </c>
      <c r="E42" s="389"/>
      <c r="F42" s="956">
        <v>425334.17700000003</v>
      </c>
      <c r="G42" s="388"/>
      <c r="H42" s="1075">
        <f t="shared" si="21"/>
        <v>0.8</v>
      </c>
      <c r="I42" s="1076"/>
      <c r="J42" s="751">
        <f t="shared" si="20"/>
        <v>3182857</v>
      </c>
      <c r="K42" s="752">
        <f t="shared" si="22"/>
        <v>3073824</v>
      </c>
      <c r="L42" s="389"/>
      <c r="M42" s="750">
        <f t="shared" si="26"/>
        <v>3136276.1770000001</v>
      </c>
      <c r="N42" s="388"/>
      <c r="O42" s="1075">
        <f t="shared" si="23"/>
        <v>0.4</v>
      </c>
      <c r="P42" s="1076"/>
      <c r="R42" s="1077" t="s">
        <v>180</v>
      </c>
      <c r="S42" s="1077"/>
      <c r="T42" s="278">
        <f t="shared" si="24"/>
        <v>0.8</v>
      </c>
      <c r="U42" s="278">
        <f t="shared" si="25"/>
        <v>0.4</v>
      </c>
      <c r="V42" s="1011">
        <v>2764256</v>
      </c>
      <c r="W42" s="1012">
        <v>2726832</v>
      </c>
      <c r="X42" s="1013">
        <v>2710942</v>
      </c>
      <c r="Y42" s="916"/>
      <c r="Z42"/>
      <c r="AA42"/>
      <c r="AB42"/>
      <c r="AC42"/>
    </row>
    <row r="43" spans="1:29" ht="29.25" customHeight="1" x14ac:dyDescent="0.15">
      <c r="A43" s="1073" t="s">
        <v>181</v>
      </c>
      <c r="B43" s="1074"/>
      <c r="C43" s="925">
        <v>385505</v>
      </c>
      <c r="D43" s="386">
        <f>ROUND((매출액표!G83+매출액표!H83)/1000,0)</f>
        <v>258047</v>
      </c>
      <c r="E43" s="389"/>
      <c r="F43" s="956">
        <v>362304.07799999998</v>
      </c>
      <c r="G43" s="388"/>
      <c r="H43" s="1075">
        <f t="shared" si="21"/>
        <v>0.6</v>
      </c>
      <c r="I43" s="1076"/>
      <c r="J43" s="751">
        <f t="shared" si="20"/>
        <v>2645635</v>
      </c>
      <c r="K43" s="752">
        <f t="shared" si="22"/>
        <v>2116106</v>
      </c>
      <c r="L43" s="389"/>
      <c r="M43" s="750">
        <f t="shared" si="26"/>
        <v>2366459.0779999997</v>
      </c>
      <c r="N43" s="388"/>
      <c r="O43" s="1075">
        <f t="shared" si="23"/>
        <v>0.3</v>
      </c>
      <c r="P43" s="1076"/>
      <c r="R43" s="1077" t="s">
        <v>181</v>
      </c>
      <c r="S43" s="1077"/>
      <c r="T43" s="278">
        <f t="shared" si="24"/>
        <v>0.6</v>
      </c>
      <c r="U43" s="278">
        <f t="shared" si="25"/>
        <v>0.3</v>
      </c>
      <c r="V43" s="1011">
        <v>2260130</v>
      </c>
      <c r="W43" s="1012">
        <v>1858059</v>
      </c>
      <c r="X43" s="1013">
        <v>2004155</v>
      </c>
      <c r="Y43" s="916"/>
      <c r="Z43"/>
      <c r="AA43"/>
      <c r="AB43"/>
      <c r="AC43"/>
    </row>
    <row r="44" spans="1:29" ht="29.25" customHeight="1" x14ac:dyDescent="0.15">
      <c r="A44" s="1073" t="s">
        <v>182</v>
      </c>
      <c r="B44" s="1074"/>
      <c r="C44" s="925">
        <v>20401</v>
      </c>
      <c r="D44" s="386">
        <f>ROUND((매출액표!G85+매출액표!H85)/1000,0)</f>
        <v>23334</v>
      </c>
      <c r="E44" s="389"/>
      <c r="F44" s="956">
        <v>696085.99</v>
      </c>
      <c r="G44" s="388"/>
      <c r="H44" s="1075">
        <f t="shared" si="21"/>
        <v>0.1</v>
      </c>
      <c r="I44" s="1076"/>
      <c r="J44" s="751">
        <f t="shared" si="20"/>
        <v>355395</v>
      </c>
      <c r="K44" s="752">
        <f t="shared" si="22"/>
        <v>131109</v>
      </c>
      <c r="L44" s="389"/>
      <c r="M44" s="750">
        <f t="shared" si="26"/>
        <v>3506319.99</v>
      </c>
      <c r="N44" s="388"/>
      <c r="O44" s="1075">
        <f t="shared" si="23"/>
        <v>0</v>
      </c>
      <c r="P44" s="1076"/>
      <c r="R44" s="1077" t="s">
        <v>158</v>
      </c>
      <c r="S44" s="1077"/>
      <c r="T44" s="278">
        <f t="shared" si="24"/>
        <v>0.1</v>
      </c>
      <c r="U44" s="278">
        <f t="shared" si="25"/>
        <v>0</v>
      </c>
      <c r="V44" s="1011">
        <v>334994</v>
      </c>
      <c r="W44" s="1012">
        <v>107775</v>
      </c>
      <c r="X44" s="1013">
        <v>2810234</v>
      </c>
      <c r="Y44" s="916"/>
      <c r="Z44"/>
      <c r="AA44"/>
      <c r="AB44"/>
      <c r="AC44"/>
    </row>
    <row r="45" spans="1:29" ht="29.25" customHeight="1" x14ac:dyDescent="0.15">
      <c r="A45" s="1093" t="s">
        <v>59</v>
      </c>
      <c r="B45" s="1100"/>
      <c r="C45" s="925">
        <v>37895</v>
      </c>
      <c r="D45" s="390">
        <f>ROUND(매출액표!G88/1000,0)</f>
        <v>40454</v>
      </c>
      <c r="E45" s="393"/>
      <c r="F45" s="956">
        <v>28312.675999999999</v>
      </c>
      <c r="G45" s="392"/>
      <c r="H45" s="1078">
        <f t="shared" si="21"/>
        <v>0.1</v>
      </c>
      <c r="I45" s="1079"/>
      <c r="J45" s="754">
        <f t="shared" si="20"/>
        <v>907118</v>
      </c>
      <c r="K45" s="756">
        <f t="shared" si="22"/>
        <v>863797</v>
      </c>
      <c r="L45" s="393"/>
      <c r="M45" s="750">
        <f t="shared" si="26"/>
        <v>916869.67599999998</v>
      </c>
      <c r="N45" s="392"/>
      <c r="O45" s="1078">
        <f t="shared" si="23"/>
        <v>0.1</v>
      </c>
      <c r="P45" s="1079"/>
      <c r="R45" s="1077" t="s">
        <v>59</v>
      </c>
      <c r="S45" s="1077"/>
      <c r="T45" s="278">
        <f t="shared" si="24"/>
        <v>0.1</v>
      </c>
      <c r="U45" s="278">
        <f t="shared" si="25"/>
        <v>0.1</v>
      </c>
      <c r="V45" s="1011">
        <v>869223</v>
      </c>
      <c r="W45" s="1012">
        <v>823343</v>
      </c>
      <c r="X45" s="1013">
        <v>888557</v>
      </c>
      <c r="Y45" s="916"/>
      <c r="Z45"/>
      <c r="AA45"/>
      <c r="AB45"/>
      <c r="AC45"/>
    </row>
    <row r="46" spans="1:29" ht="29.25" customHeight="1" thickBot="1" x14ac:dyDescent="0.2">
      <c r="A46" s="1101" t="s">
        <v>41</v>
      </c>
      <c r="B46" s="1102"/>
      <c r="C46" s="787">
        <f>SUM(C36:C45)</f>
        <v>31860735</v>
      </c>
      <c r="D46" s="401">
        <f>SUM(D36:D45)</f>
        <v>28352563</v>
      </c>
      <c r="E46" s="402">
        <f>D46/C46*100</f>
        <v>88.989042468731498</v>
      </c>
      <c r="F46" s="788">
        <f>SUM(F36:F45)</f>
        <v>31401158.427000001</v>
      </c>
      <c r="G46" s="396">
        <f>D46/F46*100</f>
        <v>90.291455539491523</v>
      </c>
      <c r="H46" s="1080">
        <f>SUM(H36:I45)</f>
        <v>64.999999999999986</v>
      </c>
      <c r="I46" s="1081"/>
      <c r="J46" s="403">
        <f>SUM(J36:J45)</f>
        <v>255996679</v>
      </c>
      <c r="K46" s="404">
        <f>SUM(K36:K45)</f>
        <v>245088068</v>
      </c>
      <c r="L46" s="402">
        <f>K46/J46*100</f>
        <v>95.738768548634184</v>
      </c>
      <c r="M46" s="405">
        <f>SUM(M36:M45)</f>
        <v>255688047.44099995</v>
      </c>
      <c r="N46" s="400">
        <f>K46/M46*100</f>
        <v>95.854331265349472</v>
      </c>
      <c r="O46" s="1080">
        <f>SUM(O36:P45)</f>
        <v>34.199999999999996</v>
      </c>
      <c r="P46" s="1081"/>
      <c r="R46" s="1062" t="s">
        <v>46</v>
      </c>
      <c r="S46" s="1062"/>
      <c r="T46" s="286"/>
      <c r="U46" s="287"/>
      <c r="V46" s="288">
        <f>SUM(V36:V45)</f>
        <v>224135944</v>
      </c>
      <c r="W46" s="289">
        <f>SUM(W36:W45)</f>
        <v>216735505</v>
      </c>
      <c r="X46" s="419">
        <f>SUM(X36:X45)</f>
        <v>224286888.014</v>
      </c>
      <c r="Y46" s="916"/>
      <c r="Z46"/>
      <c r="AA46"/>
      <c r="AB46"/>
      <c r="AC46"/>
    </row>
    <row r="47" spans="1:29" ht="29.25" customHeight="1" thickTop="1" thickBot="1" x14ac:dyDescent="0.2">
      <c r="A47" s="1103" t="s">
        <v>114</v>
      </c>
      <c r="B47" s="1104"/>
      <c r="C47" s="989">
        <f>C35+C46</f>
        <v>47016023</v>
      </c>
      <c r="D47" s="406">
        <f>D35+D46</f>
        <v>43613030</v>
      </c>
      <c r="E47" s="407">
        <f>D47/C47*100</f>
        <v>92.762056884309416</v>
      </c>
      <c r="F47" s="990">
        <f>F35+F46</f>
        <v>45857405.300999999</v>
      </c>
      <c r="G47" s="408">
        <f>D47/F47*100</f>
        <v>95.105751652828346</v>
      </c>
      <c r="H47" s="1107">
        <f>H35+H46</f>
        <v>100.00000000000003</v>
      </c>
      <c r="I47" s="1108"/>
      <c r="J47" s="409">
        <f>J35+J46</f>
        <v>722247043.7650001</v>
      </c>
      <c r="K47" s="406">
        <f>K35+K46</f>
        <v>717511924</v>
      </c>
      <c r="L47" s="407">
        <f>K47/J47*100</f>
        <v>99.344390564713649</v>
      </c>
      <c r="M47" s="410">
        <f>M35+M46</f>
        <v>671408367.17799997</v>
      </c>
      <c r="N47" s="411">
        <f>K47/M47*100</f>
        <v>106.86669381493981</v>
      </c>
      <c r="O47" s="1107">
        <f>O35+O46</f>
        <v>100</v>
      </c>
      <c r="P47" s="1108"/>
      <c r="Q47" s="73"/>
      <c r="R47" s="1112" t="s">
        <v>36</v>
      </c>
      <c r="S47" s="1112"/>
      <c r="T47" s="290"/>
      <c r="U47" s="291"/>
      <c r="V47" s="292">
        <f>V35+V46</f>
        <v>675231020.7650001</v>
      </c>
      <c r="W47" s="293">
        <f t="shared" ref="W47:X47" si="27">W35+W46</f>
        <v>673898894</v>
      </c>
      <c r="X47" s="420">
        <f t="shared" si="27"/>
        <v>625550961.87699997</v>
      </c>
      <c r="Y47" s="916"/>
      <c r="Z47"/>
      <c r="AA47"/>
      <c r="AB47"/>
      <c r="AC47"/>
    </row>
    <row r="48" spans="1:29" ht="13.5" x14ac:dyDescent="0.15">
      <c r="A48" s="1105"/>
      <c r="B48" s="1106"/>
      <c r="E48" s="17"/>
      <c r="Z48"/>
      <c r="AA48"/>
      <c r="AB48"/>
      <c r="AC48"/>
    </row>
    <row r="49" spans="1:53" ht="13.5" x14ac:dyDescent="0.15">
      <c r="D49" s="1099"/>
      <c r="E49" s="1099"/>
      <c r="F49" s="1099"/>
      <c r="G49" s="1099"/>
      <c r="Z49"/>
      <c r="AA49"/>
      <c r="AB49"/>
      <c r="AC49"/>
    </row>
    <row r="50" spans="1:53" ht="13.5" x14ac:dyDescent="0.1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Z50"/>
      <c r="AA50"/>
      <c r="AB50"/>
      <c r="AC50"/>
    </row>
    <row r="51" spans="1:53" x14ac:dyDescent="0.1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 x14ac:dyDescent="0.1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 x14ac:dyDescent="0.15">
      <c r="A53" s="906"/>
      <c r="B53" s="906"/>
      <c r="C53" s="906"/>
      <c r="D53" s="906"/>
      <c r="E53" s="906"/>
      <c r="F53" s="906"/>
      <c r="G53" s="906"/>
      <c r="H53" s="906"/>
      <c r="I53" s="906"/>
      <c r="J53" s="906"/>
      <c r="K53" s="906"/>
      <c r="L53" s="906"/>
      <c r="M53" s="906"/>
      <c r="N53" s="906"/>
      <c r="O53" s="906"/>
      <c r="P53" s="906"/>
      <c r="Q53" s="906"/>
      <c r="R53" s="906"/>
      <c r="S53" s="906"/>
      <c r="T53" s="906"/>
      <c r="U53" s="906"/>
      <c r="V53" s="906"/>
    </row>
    <row r="54" spans="1:53" ht="18" customHeight="1" x14ac:dyDescent="0.15">
      <c r="A54" s="1111"/>
      <c r="B54" s="905"/>
      <c r="C54" s="922"/>
      <c r="D54" s="922"/>
      <c r="E54" s="922"/>
      <c r="F54" s="922"/>
      <c r="G54" s="922"/>
      <c r="H54" s="922"/>
      <c r="I54" s="922"/>
      <c r="J54" s="922"/>
      <c r="K54" s="922"/>
      <c r="L54" s="922"/>
      <c r="M54" s="922"/>
      <c r="N54" s="922"/>
      <c r="O54" s="922"/>
      <c r="P54" s="922"/>
      <c r="Q54" s="922"/>
      <c r="R54" s="922"/>
      <c r="S54" s="922"/>
      <c r="T54" s="922"/>
      <c r="U54" s="922"/>
      <c r="V54" s="922"/>
    </row>
    <row r="55" spans="1:53" ht="18" customHeight="1" x14ac:dyDescent="0.15">
      <c r="A55" s="1111"/>
      <c r="B55" s="905"/>
      <c r="C55" s="922"/>
      <c r="D55" s="922"/>
      <c r="E55" s="922"/>
      <c r="F55" s="922"/>
      <c r="G55" s="922"/>
      <c r="H55" s="922"/>
      <c r="I55" s="922"/>
      <c r="J55" s="922"/>
      <c r="K55" s="922"/>
      <c r="L55" s="922"/>
      <c r="M55" s="922"/>
      <c r="N55" s="922"/>
      <c r="O55" s="922"/>
      <c r="P55" s="922"/>
      <c r="Q55" s="922"/>
      <c r="R55" s="922"/>
      <c r="S55" s="922"/>
      <c r="T55" s="922"/>
      <c r="U55" s="922"/>
      <c r="V55" s="922"/>
    </row>
    <row r="56" spans="1:53" ht="18" customHeight="1" x14ac:dyDescent="0.15">
      <c r="A56" s="1111"/>
      <c r="B56" s="905"/>
      <c r="C56" s="922"/>
      <c r="D56" s="922"/>
      <c r="E56" s="922"/>
      <c r="F56" s="922"/>
      <c r="G56" s="922"/>
      <c r="H56" s="922"/>
      <c r="I56" s="922"/>
      <c r="J56" s="922"/>
      <c r="K56" s="922"/>
      <c r="L56" s="922"/>
      <c r="M56" s="922"/>
      <c r="N56" s="922"/>
      <c r="O56" s="922"/>
      <c r="P56" s="922"/>
      <c r="Q56" s="922"/>
      <c r="R56" s="922"/>
      <c r="S56" s="922"/>
      <c r="T56" s="922"/>
      <c r="U56" s="922"/>
      <c r="V56" s="922"/>
    </row>
    <row r="57" spans="1:53" ht="18" customHeight="1" x14ac:dyDescent="0.15">
      <c r="A57" s="1111"/>
      <c r="B57" s="905"/>
      <c r="C57" s="922"/>
      <c r="D57" s="922"/>
      <c r="E57" s="922"/>
      <c r="F57" s="922"/>
      <c r="G57" s="922"/>
      <c r="H57" s="922"/>
      <c r="I57" s="922"/>
      <c r="J57" s="922"/>
      <c r="K57" s="922"/>
      <c r="L57" s="922"/>
      <c r="M57" s="922"/>
      <c r="N57" s="922"/>
      <c r="O57" s="922"/>
      <c r="P57" s="922"/>
      <c r="Q57" s="922"/>
      <c r="R57" s="922"/>
      <c r="S57" s="922"/>
      <c r="T57" s="922"/>
      <c r="U57" s="922"/>
      <c r="V57" s="922"/>
    </row>
    <row r="58" spans="1:53" ht="19.5" customHeight="1" x14ac:dyDescent="0.15">
      <c r="A58" s="1111"/>
      <c r="B58" s="90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921"/>
      <c r="AX58" s="921"/>
      <c r="AY58" s="921"/>
      <c r="AZ58" s="921"/>
      <c r="BA58" s="921"/>
    </row>
    <row r="59" spans="1:53" ht="18" customHeight="1" x14ac:dyDescent="0.15">
      <c r="A59" s="1110"/>
      <c r="B59" s="1110"/>
      <c r="C59" s="922"/>
      <c r="D59" s="922"/>
      <c r="E59" s="922"/>
      <c r="F59" s="922"/>
      <c r="G59" s="922"/>
      <c r="H59" s="922"/>
      <c r="I59" s="922"/>
      <c r="J59" s="922"/>
      <c r="K59" s="922"/>
      <c r="L59" s="922"/>
      <c r="M59" s="922"/>
      <c r="N59" s="922"/>
      <c r="O59" s="922"/>
      <c r="P59" s="922"/>
      <c r="Q59" s="922"/>
      <c r="R59" s="922"/>
      <c r="S59" s="922"/>
      <c r="T59" s="922"/>
      <c r="U59" s="922"/>
      <c r="V59" s="922"/>
      <c r="AW59" s="921"/>
      <c r="AX59" s="921"/>
      <c r="AY59" s="921"/>
      <c r="AZ59" s="921"/>
      <c r="BA59" s="921"/>
    </row>
    <row r="60" spans="1:53" ht="18" customHeight="1" x14ac:dyDescent="0.15">
      <c r="A60" s="1110"/>
      <c r="B60" s="1110"/>
      <c r="C60" s="922"/>
      <c r="D60" s="922"/>
      <c r="E60" s="922"/>
      <c r="F60" s="922"/>
      <c r="G60" s="922"/>
      <c r="H60" s="922"/>
      <c r="I60" s="922"/>
      <c r="J60" s="922"/>
      <c r="K60" s="922"/>
      <c r="L60" s="922"/>
      <c r="M60" s="922"/>
      <c r="N60" s="922"/>
      <c r="O60" s="922"/>
      <c r="P60" s="922"/>
      <c r="Q60" s="922"/>
      <c r="R60" s="922"/>
      <c r="S60" s="922"/>
      <c r="T60" s="922"/>
      <c r="U60" s="922"/>
      <c r="V60" s="922"/>
      <c r="AW60" s="921"/>
      <c r="AX60" s="921"/>
      <c r="AY60" s="921"/>
      <c r="AZ60" s="921"/>
      <c r="BA60" s="921"/>
    </row>
    <row r="61" spans="1:53" ht="18" customHeight="1" x14ac:dyDescent="0.15">
      <c r="A61" s="1110"/>
      <c r="B61" s="1110"/>
      <c r="C61" s="922"/>
      <c r="D61" s="922"/>
      <c r="E61" s="922"/>
      <c r="F61" s="922"/>
      <c r="G61" s="922"/>
      <c r="H61" s="922"/>
      <c r="I61" s="922"/>
      <c r="J61" s="922"/>
      <c r="K61" s="922"/>
      <c r="L61" s="922"/>
      <c r="M61" s="922"/>
      <c r="N61" s="922"/>
      <c r="O61" s="922"/>
      <c r="P61" s="922"/>
      <c r="Q61" s="922"/>
      <c r="R61" s="922"/>
      <c r="S61" s="922"/>
      <c r="T61" s="922"/>
      <c r="U61" s="922"/>
      <c r="V61" s="922"/>
      <c r="AW61" s="921"/>
      <c r="AX61" s="921"/>
      <c r="AY61" s="921"/>
      <c r="AZ61" s="921"/>
      <c r="BA61" s="921"/>
    </row>
    <row r="62" spans="1:53" ht="18" customHeight="1" x14ac:dyDescent="0.15">
      <c r="A62" s="906"/>
      <c r="B62" s="906"/>
      <c r="C62" s="922"/>
      <c r="D62" s="922"/>
      <c r="E62" s="922"/>
      <c r="F62" s="922"/>
      <c r="G62" s="922"/>
      <c r="H62" s="922"/>
      <c r="I62" s="922"/>
      <c r="J62" s="922"/>
      <c r="K62" s="922"/>
      <c r="L62" s="922"/>
      <c r="M62" s="922"/>
      <c r="N62" s="922"/>
      <c r="O62" s="922"/>
      <c r="P62" s="922"/>
      <c r="Q62" s="922"/>
      <c r="R62" s="922"/>
      <c r="S62" s="922"/>
      <c r="T62" s="922"/>
      <c r="U62" s="922"/>
      <c r="V62" s="922"/>
      <c r="AW62" s="921"/>
      <c r="AX62" s="921"/>
      <c r="AY62" s="921"/>
      <c r="AZ62" s="921"/>
      <c r="BA62" s="921"/>
    </row>
    <row r="63" spans="1:53" ht="18" customHeight="1" x14ac:dyDescent="0.15">
      <c r="A63" s="906"/>
      <c r="B63" s="905"/>
      <c r="C63" s="922"/>
      <c r="D63" s="922"/>
      <c r="E63" s="922"/>
      <c r="F63" s="922"/>
      <c r="G63" s="922"/>
      <c r="H63" s="922"/>
      <c r="I63" s="922"/>
      <c r="J63" s="922"/>
      <c r="K63" s="922"/>
      <c r="L63" s="922"/>
      <c r="M63" s="922"/>
      <c r="N63" s="922"/>
      <c r="O63" s="922"/>
      <c r="P63" s="922"/>
      <c r="Q63" s="922"/>
      <c r="R63" s="922"/>
      <c r="S63" s="922"/>
      <c r="T63" s="922"/>
      <c r="U63" s="922"/>
      <c r="V63" s="922"/>
      <c r="AW63" s="921"/>
      <c r="AX63" s="921"/>
      <c r="AY63" s="921"/>
      <c r="AZ63" s="921"/>
      <c r="BA63" s="921"/>
    </row>
    <row r="64" spans="1:53" ht="18" customHeight="1" x14ac:dyDescent="0.15">
      <c r="A64" s="906"/>
      <c r="B64" s="905"/>
      <c r="C64" s="922"/>
      <c r="D64" s="922"/>
      <c r="E64" s="922"/>
      <c r="F64" s="922"/>
      <c r="G64" s="922"/>
      <c r="H64" s="922"/>
      <c r="I64" s="922"/>
      <c r="J64" s="922"/>
      <c r="K64" s="922"/>
      <c r="L64" s="922"/>
      <c r="M64" s="922"/>
      <c r="N64" s="922"/>
      <c r="O64" s="922"/>
      <c r="P64" s="922"/>
      <c r="Q64" s="922"/>
      <c r="R64" s="922"/>
      <c r="S64" s="922"/>
      <c r="T64" s="922"/>
      <c r="U64" s="922"/>
      <c r="V64" s="922"/>
      <c r="AW64" s="921"/>
      <c r="AX64" s="921"/>
      <c r="AY64" s="921"/>
      <c r="AZ64" s="921"/>
      <c r="BA64" s="921"/>
    </row>
    <row r="65" spans="1:53" ht="16.5" customHeight="1" x14ac:dyDescent="0.15">
      <c r="A65" s="1109"/>
      <c r="B65" s="1109"/>
      <c r="C65" s="922"/>
      <c r="D65" s="922"/>
      <c r="E65" s="922"/>
      <c r="F65" s="922"/>
      <c r="G65" s="922"/>
      <c r="H65" s="922"/>
      <c r="I65" s="922"/>
      <c r="J65" s="922"/>
      <c r="K65" s="922"/>
      <c r="L65" s="922"/>
      <c r="M65" s="922"/>
      <c r="N65" s="922"/>
      <c r="O65" s="922"/>
      <c r="P65" s="922"/>
      <c r="Q65" s="922"/>
      <c r="R65" s="922"/>
      <c r="S65" s="922"/>
      <c r="T65" s="922"/>
      <c r="U65" s="922"/>
      <c r="V65" s="922"/>
      <c r="AW65" s="921"/>
      <c r="AX65" s="921"/>
      <c r="AY65" s="921"/>
      <c r="AZ65" s="921"/>
      <c r="BA65" s="921"/>
    </row>
    <row r="66" spans="1:53" ht="18" customHeight="1" x14ac:dyDescent="0.15">
      <c r="A66" s="1109"/>
      <c r="B66" s="1109"/>
      <c r="C66" s="922"/>
      <c r="D66" s="922"/>
      <c r="E66" s="922"/>
      <c r="F66" s="922"/>
      <c r="G66" s="922"/>
      <c r="H66" s="922"/>
      <c r="I66" s="922"/>
      <c r="J66" s="922"/>
      <c r="K66" s="922"/>
      <c r="L66" s="922"/>
      <c r="M66" s="922"/>
      <c r="N66" s="922"/>
      <c r="O66" s="922"/>
      <c r="P66" s="922"/>
      <c r="Q66" s="922"/>
      <c r="R66" s="922"/>
      <c r="S66" s="922"/>
      <c r="T66" s="922"/>
      <c r="U66" s="922"/>
      <c r="V66" s="922"/>
      <c r="AW66" s="921"/>
      <c r="AX66" s="921"/>
      <c r="AY66" s="921"/>
      <c r="AZ66" s="921"/>
      <c r="BA66" s="921"/>
    </row>
    <row r="67" spans="1:53" ht="18" customHeight="1" x14ac:dyDescent="0.15">
      <c r="A67" s="1109"/>
      <c r="B67" s="1109"/>
      <c r="C67" s="922"/>
      <c r="D67" s="922"/>
      <c r="E67" s="922"/>
      <c r="F67" s="922"/>
      <c r="G67" s="922"/>
      <c r="H67" s="922"/>
      <c r="I67" s="922"/>
      <c r="J67" s="922"/>
      <c r="K67" s="922"/>
      <c r="L67" s="922"/>
      <c r="M67" s="922"/>
      <c r="N67" s="922"/>
      <c r="O67" s="922"/>
      <c r="P67" s="922"/>
      <c r="Q67" s="922"/>
      <c r="R67" s="922"/>
      <c r="S67" s="922"/>
      <c r="T67" s="922"/>
      <c r="U67" s="922"/>
      <c r="V67" s="922"/>
      <c r="AW67" s="921"/>
      <c r="AX67" s="921"/>
      <c r="AY67" s="921"/>
      <c r="AZ67" s="921"/>
      <c r="BA67" s="921"/>
    </row>
    <row r="68" spans="1:53" ht="18" customHeight="1" x14ac:dyDescent="0.15">
      <c r="A68" s="905"/>
      <c r="B68" s="905"/>
      <c r="C68" s="922"/>
      <c r="D68" s="922"/>
      <c r="E68" s="922"/>
      <c r="F68" s="922"/>
      <c r="G68" s="922"/>
      <c r="H68" s="922"/>
      <c r="I68" s="922"/>
      <c r="J68" s="922"/>
      <c r="K68" s="922"/>
      <c r="L68" s="922"/>
      <c r="M68" s="922"/>
      <c r="N68" s="922"/>
      <c r="O68" s="922"/>
      <c r="P68" s="922"/>
      <c r="Q68" s="922"/>
      <c r="R68" s="922"/>
      <c r="S68" s="922"/>
      <c r="T68" s="922"/>
      <c r="U68" s="922"/>
      <c r="V68" s="922"/>
    </row>
    <row r="69" spans="1:53" ht="18" customHeight="1" x14ac:dyDescent="0.15">
      <c r="A69" s="1109"/>
      <c r="B69" s="110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 x14ac:dyDescent="0.15">
      <c r="A70" s="1110"/>
      <c r="B70" s="111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 x14ac:dyDescent="0.15">
      <c r="A71" s="38"/>
      <c r="B71" s="38"/>
      <c r="C71" s="922"/>
      <c r="D71" s="922"/>
      <c r="E71" s="922"/>
      <c r="F71" s="922"/>
      <c r="G71" s="922"/>
      <c r="H71" s="922"/>
      <c r="I71" s="922"/>
      <c r="J71" s="922"/>
      <c r="K71" s="922"/>
      <c r="L71" s="922"/>
      <c r="M71" s="922"/>
      <c r="N71" s="922"/>
      <c r="O71" s="922"/>
      <c r="P71" s="922"/>
      <c r="Q71" s="922"/>
      <c r="R71" s="922"/>
      <c r="S71" s="922"/>
      <c r="T71" s="922"/>
      <c r="U71" s="922"/>
      <c r="V71" s="922"/>
    </row>
    <row r="72" spans="1:53" ht="18" customHeight="1" x14ac:dyDescent="0.15">
      <c r="A72" s="906"/>
      <c r="B72" s="906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 x14ac:dyDescent="0.1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 x14ac:dyDescent="0.15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 x14ac:dyDescent="0.15">
      <c r="A75" s="1110"/>
      <c r="B75" s="1110"/>
      <c r="C75" s="906"/>
      <c r="D75" s="906"/>
      <c r="E75" s="906"/>
      <c r="F75" s="906"/>
      <c r="G75" s="906"/>
      <c r="H75" s="906"/>
      <c r="I75" s="906"/>
      <c r="J75" s="906"/>
      <c r="K75" s="906"/>
      <c r="L75" s="906"/>
      <c r="M75" s="906"/>
      <c r="N75" s="906"/>
      <c r="O75" s="906"/>
      <c r="P75" s="906"/>
      <c r="Q75" s="906"/>
      <c r="R75" s="906"/>
      <c r="S75" s="906"/>
      <c r="T75" s="906"/>
      <c r="U75" s="906"/>
      <c r="V75" s="906"/>
      <c r="X75" s="916"/>
      <c r="Y75" s="916"/>
    </row>
    <row r="76" spans="1:53" ht="18" customHeight="1" x14ac:dyDescent="0.15">
      <c r="A76" s="1111"/>
      <c r="B76" s="905"/>
      <c r="C76" s="922"/>
      <c r="D76" s="922"/>
      <c r="E76" s="922"/>
      <c r="F76" s="922"/>
      <c r="G76" s="922"/>
      <c r="H76" s="922"/>
      <c r="I76" s="922"/>
      <c r="J76" s="922"/>
      <c r="K76" s="922"/>
      <c r="L76" s="922"/>
      <c r="M76" s="922"/>
      <c r="N76" s="922"/>
      <c r="O76" s="922"/>
      <c r="P76" s="922"/>
      <c r="Q76" s="922"/>
      <c r="R76" s="922"/>
      <c r="S76" s="922"/>
      <c r="T76" s="922"/>
      <c r="U76" s="922"/>
      <c r="V76" s="922"/>
    </row>
    <row r="77" spans="1:53" ht="18" customHeight="1" x14ac:dyDescent="0.15">
      <c r="A77" s="1111"/>
      <c r="B77" s="905"/>
      <c r="C77" s="922"/>
      <c r="D77" s="922"/>
      <c r="E77" s="922"/>
      <c r="F77" s="922"/>
      <c r="G77" s="922"/>
      <c r="H77" s="922"/>
      <c r="I77" s="922"/>
      <c r="J77" s="922"/>
      <c r="K77" s="922"/>
      <c r="L77" s="922"/>
      <c r="M77" s="922"/>
      <c r="N77" s="922"/>
      <c r="O77" s="922"/>
      <c r="P77" s="922"/>
      <c r="Q77" s="922"/>
      <c r="R77" s="922"/>
      <c r="S77" s="922"/>
      <c r="T77" s="922"/>
      <c r="U77" s="922"/>
      <c r="V77" s="922"/>
    </row>
    <row r="78" spans="1:53" ht="18" customHeight="1" x14ac:dyDescent="0.15">
      <c r="A78" s="1111"/>
      <c r="B78" s="905"/>
      <c r="C78" s="922"/>
      <c r="D78" s="922"/>
      <c r="E78" s="922"/>
      <c r="F78" s="922"/>
      <c r="G78" s="922"/>
      <c r="H78" s="922"/>
      <c r="I78" s="922"/>
      <c r="J78" s="922"/>
      <c r="K78" s="922"/>
      <c r="L78" s="922"/>
      <c r="M78" s="922"/>
      <c r="N78" s="922"/>
      <c r="O78" s="922"/>
      <c r="P78" s="922"/>
      <c r="Q78" s="922"/>
      <c r="R78" s="922"/>
      <c r="S78" s="922"/>
      <c r="T78" s="922"/>
      <c r="U78" s="922"/>
      <c r="V78" s="922"/>
    </row>
    <row r="79" spans="1:53" ht="18" customHeight="1" x14ac:dyDescent="0.15">
      <c r="A79" s="1111"/>
      <c r="B79" s="905"/>
      <c r="C79" s="922"/>
      <c r="D79" s="922"/>
      <c r="E79" s="922"/>
      <c r="F79" s="922"/>
      <c r="G79" s="922"/>
      <c r="H79" s="922"/>
      <c r="I79" s="922"/>
      <c r="J79" s="922"/>
      <c r="K79" s="922"/>
      <c r="L79" s="922"/>
      <c r="M79" s="922"/>
      <c r="N79" s="922"/>
      <c r="O79" s="922"/>
      <c r="P79" s="922"/>
      <c r="Q79" s="922"/>
      <c r="R79" s="922"/>
      <c r="S79" s="922"/>
      <c r="T79" s="922"/>
      <c r="U79" s="922"/>
      <c r="V79" s="922"/>
    </row>
    <row r="80" spans="1:53" ht="18" customHeight="1" x14ac:dyDescent="0.15">
      <c r="A80" s="41"/>
      <c r="B80" s="905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 x14ac:dyDescent="0.15">
      <c r="A81" s="1109"/>
      <c r="B81" s="1109"/>
      <c r="C81" s="922"/>
      <c r="D81" s="922"/>
      <c r="E81" s="922"/>
      <c r="F81" s="922"/>
      <c r="G81" s="922"/>
      <c r="H81" s="922"/>
      <c r="I81" s="922"/>
      <c r="J81" s="922"/>
      <c r="K81" s="922"/>
      <c r="L81" s="922"/>
      <c r="M81" s="922"/>
      <c r="N81" s="922"/>
      <c r="O81" s="922"/>
      <c r="P81" s="922"/>
      <c r="Q81" s="922"/>
      <c r="R81" s="922"/>
      <c r="S81" s="922"/>
      <c r="T81" s="922"/>
      <c r="U81" s="922"/>
      <c r="V81" s="922"/>
    </row>
    <row r="82" spans="1:22" ht="18" customHeight="1" x14ac:dyDescent="0.15">
      <c r="A82" s="1109"/>
      <c r="B82" s="1109"/>
      <c r="C82" s="922"/>
      <c r="D82" s="922"/>
      <c r="E82" s="922"/>
      <c r="F82" s="922"/>
      <c r="G82" s="922"/>
      <c r="H82" s="922"/>
      <c r="I82" s="922"/>
      <c r="J82" s="922"/>
      <c r="K82" s="922"/>
      <c r="L82" s="922"/>
      <c r="M82" s="922"/>
      <c r="N82" s="922"/>
      <c r="O82" s="922"/>
      <c r="P82" s="922"/>
      <c r="Q82" s="922"/>
      <c r="R82" s="922"/>
      <c r="S82" s="922"/>
      <c r="T82" s="922"/>
      <c r="U82" s="922"/>
      <c r="V82" s="922"/>
    </row>
    <row r="83" spans="1:22" ht="18" customHeight="1" x14ac:dyDescent="0.15">
      <c r="A83" s="1109"/>
      <c r="B83" s="1109"/>
      <c r="C83" s="922"/>
      <c r="D83" s="922"/>
      <c r="E83" s="922"/>
      <c r="F83" s="922"/>
      <c r="G83" s="922"/>
      <c r="H83" s="922"/>
      <c r="I83" s="922"/>
      <c r="J83" s="922"/>
      <c r="K83" s="922"/>
      <c r="L83" s="922"/>
      <c r="M83" s="922"/>
      <c r="N83" s="922"/>
      <c r="O83" s="922"/>
      <c r="P83" s="922"/>
      <c r="Q83" s="922"/>
      <c r="R83" s="922"/>
      <c r="S83" s="922"/>
      <c r="T83" s="922"/>
      <c r="U83" s="922"/>
      <c r="V83" s="922"/>
    </row>
    <row r="84" spans="1:22" ht="18" customHeight="1" x14ac:dyDescent="0.15">
      <c r="A84" s="906"/>
      <c r="B84" s="906"/>
      <c r="C84" s="922"/>
      <c r="D84" s="922"/>
      <c r="E84" s="922"/>
      <c r="F84" s="922"/>
      <c r="G84" s="922"/>
      <c r="H84" s="922"/>
      <c r="I84" s="922"/>
      <c r="J84" s="922"/>
      <c r="K84" s="922"/>
      <c r="L84" s="922"/>
      <c r="M84" s="922"/>
      <c r="N84" s="922"/>
      <c r="O84" s="922"/>
      <c r="P84" s="922"/>
      <c r="Q84" s="922"/>
      <c r="R84" s="922"/>
      <c r="S84" s="922"/>
      <c r="T84" s="922"/>
      <c r="U84" s="922"/>
      <c r="V84" s="922"/>
    </row>
    <row r="85" spans="1:22" ht="18" customHeight="1" x14ac:dyDescent="0.15">
      <c r="A85" s="906"/>
      <c r="B85" s="905"/>
      <c r="C85" s="922"/>
      <c r="D85" s="922"/>
      <c r="E85" s="922"/>
      <c r="F85" s="922"/>
      <c r="G85" s="922"/>
      <c r="H85" s="922"/>
      <c r="I85" s="922"/>
      <c r="J85" s="922"/>
      <c r="K85" s="922"/>
      <c r="L85" s="922"/>
      <c r="M85" s="922"/>
      <c r="N85" s="922"/>
      <c r="O85" s="922"/>
      <c r="P85" s="922"/>
      <c r="Q85" s="922"/>
      <c r="R85" s="922"/>
      <c r="S85" s="922"/>
      <c r="T85" s="922"/>
      <c r="U85" s="922"/>
      <c r="V85" s="922"/>
    </row>
    <row r="86" spans="1:22" ht="18" customHeight="1" x14ac:dyDescent="0.15">
      <c r="A86" s="906"/>
      <c r="B86" s="905"/>
      <c r="C86" s="922"/>
      <c r="D86" s="922"/>
      <c r="E86" s="922"/>
      <c r="F86" s="922"/>
      <c r="G86" s="922"/>
      <c r="H86" s="922"/>
      <c r="I86" s="922"/>
      <c r="J86" s="922"/>
      <c r="K86" s="922"/>
      <c r="L86" s="922"/>
      <c r="M86" s="922"/>
      <c r="N86" s="922"/>
      <c r="O86" s="922"/>
      <c r="P86" s="922"/>
      <c r="Q86" s="922"/>
      <c r="R86" s="922"/>
      <c r="S86" s="922"/>
      <c r="T86" s="922"/>
      <c r="U86" s="922"/>
      <c r="V86" s="922"/>
    </row>
    <row r="87" spans="1:22" ht="18" customHeight="1" x14ac:dyDescent="0.15">
      <c r="A87" s="1109"/>
      <c r="B87" s="1109"/>
      <c r="C87" s="922"/>
      <c r="D87" s="922"/>
      <c r="E87" s="922"/>
      <c r="F87" s="922"/>
      <c r="G87" s="922"/>
      <c r="H87" s="922"/>
      <c r="I87" s="922"/>
      <c r="J87" s="922"/>
      <c r="K87" s="922"/>
      <c r="L87" s="922"/>
      <c r="M87" s="922"/>
      <c r="N87" s="922"/>
      <c r="O87" s="922"/>
      <c r="P87" s="922"/>
      <c r="Q87" s="922"/>
      <c r="R87" s="922"/>
      <c r="S87" s="922"/>
      <c r="T87" s="922"/>
      <c r="U87" s="922"/>
      <c r="V87" s="922"/>
    </row>
    <row r="88" spans="1:22" ht="18" customHeight="1" x14ac:dyDescent="0.15">
      <c r="A88" s="1109"/>
      <c r="B88" s="1109"/>
      <c r="C88" s="922"/>
      <c r="D88" s="922"/>
      <c r="E88" s="922"/>
      <c r="F88" s="922"/>
      <c r="G88" s="922"/>
      <c r="H88" s="922"/>
      <c r="I88" s="922"/>
      <c r="J88" s="922"/>
      <c r="K88" s="922"/>
      <c r="L88" s="922"/>
      <c r="M88" s="922"/>
      <c r="N88" s="922"/>
      <c r="O88" s="922"/>
      <c r="P88" s="922"/>
      <c r="Q88" s="922"/>
      <c r="R88" s="922"/>
      <c r="S88" s="922"/>
      <c r="T88" s="922"/>
      <c r="U88" s="922"/>
      <c r="V88" s="922"/>
    </row>
    <row r="89" spans="1:22" ht="18" customHeight="1" x14ac:dyDescent="0.15">
      <c r="A89" s="1109"/>
      <c r="B89" s="1109"/>
      <c r="C89" s="922"/>
      <c r="D89" s="922"/>
      <c r="E89" s="922"/>
      <c r="F89" s="922"/>
      <c r="G89" s="922"/>
      <c r="H89" s="922"/>
      <c r="I89" s="922"/>
      <c r="J89" s="922"/>
      <c r="K89" s="922"/>
      <c r="L89" s="922"/>
      <c r="M89" s="922"/>
      <c r="N89" s="922"/>
      <c r="O89" s="922"/>
      <c r="P89" s="922"/>
      <c r="Q89" s="922"/>
      <c r="R89" s="922"/>
      <c r="S89" s="922"/>
      <c r="T89" s="922"/>
      <c r="U89" s="922"/>
      <c r="V89" s="922"/>
    </row>
    <row r="90" spans="1:22" ht="18" customHeight="1" x14ac:dyDescent="0.15">
      <c r="A90" s="905"/>
      <c r="B90" s="905"/>
      <c r="C90" s="922"/>
      <c r="D90" s="922"/>
      <c r="E90" s="922"/>
      <c r="F90" s="922"/>
      <c r="G90" s="922"/>
      <c r="H90" s="922"/>
      <c r="I90" s="922"/>
      <c r="J90" s="922"/>
      <c r="K90" s="922"/>
      <c r="L90" s="922"/>
      <c r="M90" s="922"/>
      <c r="N90" s="922"/>
      <c r="O90" s="922"/>
      <c r="P90" s="922"/>
      <c r="Q90" s="922"/>
      <c r="R90" s="922"/>
      <c r="S90" s="922"/>
      <c r="T90" s="922"/>
      <c r="U90" s="922"/>
      <c r="V90" s="922"/>
    </row>
    <row r="91" spans="1:22" ht="18" customHeight="1" x14ac:dyDescent="0.15">
      <c r="A91" s="1109"/>
      <c r="B91" s="110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 x14ac:dyDescent="0.15">
      <c r="A92" s="1110"/>
      <c r="B92" s="111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 x14ac:dyDescent="0.1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 x14ac:dyDescent="0.1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23"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</mergeCells>
  <phoneticPr fontId="36" type="noConversion"/>
  <conditionalFormatting sqref="P7:P10 P12:P21">
    <cfRule type="top10" dxfId="11" priority="13" rank="3"/>
  </conditionalFormatting>
  <conditionalFormatting sqref="O31:O34 O36:O45">
    <cfRule type="top10" dxfId="10" priority="8" rank="3"/>
  </conditionalFormatting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4"/>
  <sheetViews>
    <sheetView showGridLines="0" zoomScaleNormal="100" zoomScaleSheetLayoutView="70" workbookViewId="0">
      <pane ySplit="8" topLeftCell="A78" activePane="bottomLeft" state="frozen"/>
      <selection activeCell="H14" sqref="H14"/>
      <selection pane="bottomLeft" activeCell="R94" sqref="R94"/>
    </sheetView>
  </sheetViews>
  <sheetFormatPr defaultColWidth="8.88671875" defaultRowHeight="15" customHeight="1" x14ac:dyDescent="0.15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12.44140625" style="2" bestFit="1" customWidth="1"/>
    <col min="7" max="7" width="14.44140625" style="30" customWidth="1"/>
    <col min="8" max="8" width="11.44140625" style="226" customWidth="1"/>
    <col min="9" max="9" width="12" style="226" customWidth="1"/>
    <col min="10" max="10" width="10.88671875" style="226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 x14ac:dyDescent="0.15">
      <c r="G1" s="901"/>
      <c r="H1" s="6"/>
    </row>
    <row r="2" spans="1:18" ht="13.5" x14ac:dyDescent="0.15">
      <c r="G2" s="901"/>
      <c r="H2" s="6"/>
    </row>
    <row r="3" spans="1:18" ht="13.5" x14ac:dyDescent="0.15">
      <c r="G3" s="901"/>
      <c r="H3" s="6"/>
    </row>
    <row r="4" spans="1:18" ht="25.5" x14ac:dyDescent="0.15">
      <c r="A4" s="1148" t="str">
        <f>LEFT(총괄표!A2,9)&amp;" 매출액집계표"</f>
        <v>2025년 7월  매출액집계표</v>
      </c>
      <c r="B4" s="1148"/>
      <c r="C4" s="1148"/>
      <c r="D4" s="1148"/>
      <c r="E4" s="1148"/>
      <c r="F4" s="1148"/>
      <c r="G4" s="1148"/>
      <c r="H4" s="1148"/>
      <c r="I4" s="1148"/>
      <c r="J4" s="1148"/>
      <c r="K4" s="1148"/>
      <c r="L4" s="1148"/>
      <c r="M4" s="1148"/>
      <c r="N4" s="1148"/>
    </row>
    <row r="5" spans="1:18" ht="13.5" customHeight="1" x14ac:dyDescent="0.15">
      <c r="A5" s="416"/>
      <c r="B5" s="729"/>
      <c r="C5" s="729"/>
      <c r="D5" s="730"/>
      <c r="E5" s="730"/>
      <c r="F5" s="729"/>
      <c r="G5" s="731"/>
      <c r="H5" s="732"/>
      <c r="I5" s="732"/>
      <c r="J5" s="732"/>
      <c r="K5" s="729"/>
      <c r="L5" s="729"/>
      <c r="M5" s="729"/>
      <c r="N5" s="729"/>
    </row>
    <row r="6" spans="1:18" ht="9" customHeight="1" thickBot="1" x14ac:dyDescent="0.2">
      <c r="A6" s="3"/>
      <c r="B6" s="3"/>
      <c r="C6" s="3"/>
      <c r="D6" s="14"/>
      <c r="E6" s="14"/>
      <c r="F6" s="3"/>
      <c r="G6" s="449"/>
      <c r="H6" s="6"/>
      <c r="I6" s="6"/>
      <c r="J6" s="6"/>
      <c r="K6" s="3"/>
      <c r="L6" s="3"/>
      <c r="M6" s="3"/>
      <c r="N6" s="3"/>
    </row>
    <row r="7" spans="1:18" ht="13.5" customHeight="1" x14ac:dyDescent="0.15">
      <c r="A7" s="1151" t="s">
        <v>5</v>
      </c>
      <c r="B7" s="1153" t="s">
        <v>105</v>
      </c>
      <c r="C7" s="1154"/>
      <c r="D7" s="249" t="s">
        <v>4</v>
      </c>
      <c r="E7" s="249"/>
      <c r="F7" s="249"/>
      <c r="G7" s="450"/>
      <c r="H7" s="1157" t="s">
        <v>12</v>
      </c>
      <c r="I7" s="1157" t="s">
        <v>81</v>
      </c>
      <c r="J7" s="1157" t="s">
        <v>82</v>
      </c>
      <c r="K7" s="1159" t="s">
        <v>6</v>
      </c>
      <c r="L7" s="1159" t="s">
        <v>84</v>
      </c>
      <c r="M7" s="1159" t="s">
        <v>83</v>
      </c>
      <c r="N7" s="1149" t="s">
        <v>2</v>
      </c>
    </row>
    <row r="8" spans="1:18" ht="13.5" customHeight="1" x14ac:dyDescent="0.15">
      <c r="A8" s="1152"/>
      <c r="B8" s="1155"/>
      <c r="C8" s="1156"/>
      <c r="D8" s="250" t="s">
        <v>111</v>
      </c>
      <c r="E8" s="250" t="s">
        <v>112</v>
      </c>
      <c r="F8" s="786" t="s">
        <v>0</v>
      </c>
      <c r="G8" s="451" t="s">
        <v>3</v>
      </c>
      <c r="H8" s="1158"/>
      <c r="I8" s="1158"/>
      <c r="J8" s="1158"/>
      <c r="K8" s="1160"/>
      <c r="L8" s="1160"/>
      <c r="M8" s="1160"/>
      <c r="N8" s="1150"/>
    </row>
    <row r="9" spans="1:18" ht="13.5" customHeight="1" x14ac:dyDescent="0.15">
      <c r="A9" s="4"/>
      <c r="B9" s="11" t="s">
        <v>103</v>
      </c>
      <c r="C9" s="693"/>
      <c r="D9" s="1039">
        <v>13378436.08780008</v>
      </c>
      <c r="E9" s="1040">
        <v>553459605.87230039</v>
      </c>
      <c r="F9" s="137"/>
      <c r="G9" s="452"/>
      <c r="H9" s="456"/>
      <c r="I9" s="456"/>
      <c r="J9" s="456"/>
      <c r="K9" s="117"/>
      <c r="L9" s="117"/>
      <c r="M9" s="117"/>
      <c r="N9" s="687"/>
    </row>
    <row r="10" spans="1:18" ht="13.5" customHeight="1" x14ac:dyDescent="0.15">
      <c r="A10" s="4" t="s">
        <v>7</v>
      </c>
      <c r="B10" s="171" t="s">
        <v>67</v>
      </c>
      <c r="C10" s="172"/>
      <c r="D10" s="1049">
        <v>44726746.060000002</v>
      </c>
      <c r="E10" s="1028">
        <v>1896000709</v>
      </c>
      <c r="F10" s="692"/>
      <c r="G10" s="177"/>
      <c r="H10" s="457"/>
      <c r="I10" s="457"/>
      <c r="J10" s="457"/>
      <c r="K10" s="173"/>
      <c r="L10" s="173"/>
      <c r="M10" s="173"/>
      <c r="N10" s="688"/>
    </row>
    <row r="11" spans="1:18" ht="13.5" customHeight="1" x14ac:dyDescent="0.15">
      <c r="A11" s="4"/>
      <c r="B11" s="171" t="s">
        <v>76</v>
      </c>
      <c r="C11" s="172"/>
      <c r="D11" s="993">
        <f>ROUND(-자가소모!D12-D12,4)</f>
        <v>-13170.94</v>
      </c>
      <c r="E11" s="993">
        <f>ROUND(-자가소모!E12-E12,4)</f>
        <v>-558412.58519999997</v>
      </c>
      <c r="F11" s="174"/>
      <c r="G11" s="453"/>
      <c r="H11" s="458"/>
      <c r="I11" s="458"/>
      <c r="J11" s="458"/>
      <c r="K11" s="175"/>
      <c r="L11" s="175"/>
      <c r="M11" s="175"/>
      <c r="N11" s="689"/>
    </row>
    <row r="12" spans="1:18" ht="13.5" customHeight="1" x14ac:dyDescent="0.15">
      <c r="A12" s="4"/>
      <c r="B12" s="19" t="s">
        <v>77</v>
      </c>
      <c r="C12" s="176"/>
      <c r="D12" s="993">
        <f>ROUND(-SUM(자가소모!D6:D7),4)</f>
        <v>-18479</v>
      </c>
      <c r="E12" s="993">
        <f>ROUND(-SUM(자가소모!E6:E7),4)</f>
        <v>-783454.16299999994</v>
      </c>
      <c r="F12" s="174"/>
      <c r="G12" s="453"/>
      <c r="H12" s="458"/>
      <c r="I12" s="458"/>
      <c r="J12" s="458"/>
      <c r="K12" s="175"/>
      <c r="L12" s="175"/>
      <c r="M12" s="175"/>
      <c r="N12" s="689"/>
    </row>
    <row r="13" spans="1:18" ht="13.5" customHeight="1" x14ac:dyDescent="0.15">
      <c r="A13" s="4"/>
      <c r="B13" s="46" t="s">
        <v>1</v>
      </c>
      <c r="C13" s="47"/>
      <c r="D13" s="197">
        <f>D9+D10+D12+D11</f>
        <v>58073532.207800083</v>
      </c>
      <c r="E13" s="197">
        <f>E9+E10+E11+E12</f>
        <v>2448118448.1241002</v>
      </c>
      <c r="F13" s="138"/>
      <c r="G13" s="61"/>
      <c r="H13" s="459"/>
      <c r="I13" s="459"/>
      <c r="J13" s="459"/>
      <c r="K13" s="118"/>
      <c r="L13" s="118"/>
      <c r="M13" s="118"/>
      <c r="N13" s="690"/>
      <c r="O13" s="13"/>
      <c r="P13" s="13"/>
      <c r="Q13" s="13"/>
      <c r="R13" s="13"/>
    </row>
    <row r="14" spans="1:18" ht="13.5" customHeight="1" x14ac:dyDescent="0.15">
      <c r="A14" s="4"/>
      <c r="B14" s="58" t="s">
        <v>102</v>
      </c>
      <c r="C14" s="953"/>
      <c r="D14" s="1041">
        <v>-30083.76999999996</v>
      </c>
      <c r="E14" s="1041">
        <v>-1403453.3184999973</v>
      </c>
      <c r="F14" s="951"/>
      <c r="G14" s="60"/>
      <c r="H14" s="460"/>
      <c r="I14" s="460"/>
      <c r="J14" s="460"/>
      <c r="K14" s="119"/>
      <c r="L14" s="119"/>
      <c r="M14" s="119"/>
      <c r="N14" s="691"/>
      <c r="O14" s="13"/>
      <c r="P14" s="269"/>
      <c r="Q14" s="13"/>
      <c r="R14" s="13"/>
    </row>
    <row r="15" spans="1:18" ht="13.5" customHeight="1" x14ac:dyDescent="0.15">
      <c r="A15" s="4" t="s">
        <v>8</v>
      </c>
      <c r="B15" s="19" t="s">
        <v>75</v>
      </c>
      <c r="C15" s="950"/>
      <c r="D15" s="1047">
        <v>272768</v>
      </c>
      <c r="E15" s="1048">
        <v>11513684.112</v>
      </c>
      <c r="F15" s="952"/>
      <c r="G15" s="177"/>
      <c r="H15" s="457"/>
      <c r="I15" s="457"/>
      <c r="J15" s="461"/>
      <c r="K15" s="173"/>
      <c r="L15" s="173"/>
      <c r="M15" s="173"/>
      <c r="N15" s="688"/>
      <c r="O15" s="13"/>
      <c r="P15" s="269"/>
      <c r="Q15" s="13"/>
      <c r="R15" s="13"/>
    </row>
    <row r="16" spans="1:18" ht="13.5" hidden="1" customHeight="1" x14ac:dyDescent="0.15">
      <c r="A16" s="4"/>
      <c r="B16" s="19" t="s">
        <v>74</v>
      </c>
      <c r="C16" s="176"/>
      <c r="D16" s="178"/>
      <c r="E16" s="147"/>
      <c r="F16" s="139"/>
      <c r="G16" s="60"/>
      <c r="H16" s="460"/>
      <c r="I16" s="460"/>
      <c r="J16" s="462"/>
      <c r="K16" s="119"/>
      <c r="L16" s="119"/>
      <c r="M16" s="119"/>
      <c r="N16" s="691"/>
      <c r="O16" s="13"/>
      <c r="P16" s="270"/>
      <c r="Q16" s="13"/>
      <c r="R16" s="13"/>
    </row>
    <row r="17" spans="1:18" ht="13.5" customHeight="1" x14ac:dyDescent="0.15">
      <c r="A17" s="169"/>
      <c r="B17" s="46" t="s">
        <v>1</v>
      </c>
      <c r="C17" s="47"/>
      <c r="D17" s="143">
        <f>D14+D15+D16</f>
        <v>242684.23000000004</v>
      </c>
      <c r="E17" s="144">
        <f>E14+E15+E16</f>
        <v>10110230.793500002</v>
      </c>
      <c r="F17" s="138"/>
      <c r="G17" s="61"/>
      <c r="H17" s="459"/>
      <c r="I17" s="459"/>
      <c r="J17" s="459"/>
      <c r="K17" s="118"/>
      <c r="L17" s="118"/>
      <c r="M17" s="118"/>
      <c r="N17" s="690"/>
      <c r="O17" s="13"/>
      <c r="P17" s="270"/>
      <c r="Q17" s="13"/>
      <c r="R17" s="13"/>
    </row>
    <row r="18" spans="1:18" ht="13.5" customHeight="1" x14ac:dyDescent="0.15">
      <c r="A18" s="4"/>
      <c r="B18" s="1128" t="s">
        <v>370</v>
      </c>
      <c r="C18" s="740" t="s">
        <v>222</v>
      </c>
      <c r="D18" s="1007">
        <v>9.1963000000000008</v>
      </c>
      <c r="E18" s="1007">
        <v>393.24379999999996</v>
      </c>
      <c r="F18" s="140">
        <f>G18/E18</f>
        <v>21.948623220505958</v>
      </c>
      <c r="G18" s="1026">
        <v>8631.16</v>
      </c>
      <c r="H18" s="1027">
        <v>18780</v>
      </c>
      <c r="I18" s="998">
        <v>2880</v>
      </c>
      <c r="J18" s="973"/>
      <c r="K18" s="974"/>
      <c r="L18" s="120"/>
      <c r="M18" s="120"/>
      <c r="N18" s="18">
        <f>SUM(G18:M18)</f>
        <v>30291.16</v>
      </c>
      <c r="O18" s="86"/>
      <c r="P18" s="86"/>
      <c r="Q18" s="13"/>
      <c r="R18" s="13"/>
    </row>
    <row r="19" spans="1:18" ht="13.5" customHeight="1" x14ac:dyDescent="0.15">
      <c r="A19" s="4"/>
      <c r="B19" s="1129"/>
      <c r="C19" s="740" t="s">
        <v>134</v>
      </c>
      <c r="D19" s="1028">
        <v>454525.30609999999</v>
      </c>
      <c r="E19" s="1028">
        <v>19329648.527100001</v>
      </c>
      <c r="F19" s="179">
        <f>G19/E19</f>
        <v>23.50303106665741</v>
      </c>
      <c r="G19" s="1029">
        <v>454305329.83999997</v>
      </c>
      <c r="H19" s="1030">
        <v>89270020</v>
      </c>
      <c r="I19" s="1030">
        <v>10873060</v>
      </c>
      <c r="J19" s="525"/>
      <c r="K19" s="975"/>
      <c r="L19" s="120"/>
      <c r="M19" s="133"/>
      <c r="N19" s="18">
        <f t="shared" ref="N19:N22" si="0">SUM(G19:M19)</f>
        <v>554448409.83999991</v>
      </c>
      <c r="O19" s="13"/>
      <c r="P19" s="86"/>
      <c r="Q19" s="13"/>
      <c r="R19" s="13"/>
    </row>
    <row r="20" spans="1:18" ht="13.5" customHeight="1" x14ac:dyDescent="0.15">
      <c r="A20" s="4"/>
      <c r="B20" s="1129"/>
      <c r="C20" s="77" t="s">
        <v>49</v>
      </c>
      <c r="D20" s="959"/>
      <c r="E20" s="959"/>
      <c r="F20" s="976"/>
      <c r="G20" s="1029">
        <v>-66664</v>
      </c>
      <c r="H20" s="996"/>
      <c r="I20" s="996"/>
      <c r="J20" s="463"/>
      <c r="K20" s="977"/>
      <c r="L20" s="120"/>
      <c r="M20" s="120"/>
      <c r="N20" s="18">
        <f t="shared" si="0"/>
        <v>-66664</v>
      </c>
      <c r="O20" s="13"/>
      <c r="P20" s="86"/>
      <c r="Q20" s="13"/>
      <c r="R20" s="13"/>
    </row>
    <row r="21" spans="1:18" ht="13.5" customHeight="1" x14ac:dyDescent="0.15">
      <c r="A21" s="4"/>
      <c r="B21" s="1129"/>
      <c r="C21" s="77" t="s">
        <v>32</v>
      </c>
      <c r="D21" s="959"/>
      <c r="E21" s="959"/>
      <c r="F21" s="181"/>
      <c r="G21" s="1029">
        <v>-13197653</v>
      </c>
      <c r="H21" s="996"/>
      <c r="I21" s="996"/>
      <c r="J21" s="531"/>
      <c r="K21" s="977"/>
      <c r="L21" s="120"/>
      <c r="M21" s="120"/>
      <c r="N21" s="18">
        <f t="shared" si="0"/>
        <v>-13197653</v>
      </c>
      <c r="O21" s="13"/>
      <c r="P21" s="86"/>
      <c r="Q21" s="13"/>
      <c r="R21" s="13"/>
    </row>
    <row r="22" spans="1:18" ht="13.5" customHeight="1" x14ac:dyDescent="0.15">
      <c r="A22" s="4"/>
      <c r="B22" s="1129"/>
      <c r="C22" s="77" t="s">
        <v>33</v>
      </c>
      <c r="D22" s="1007">
        <v>-3703.7498000000001</v>
      </c>
      <c r="E22" s="1007">
        <v>-158426.31849999999</v>
      </c>
      <c r="F22" s="653"/>
      <c r="G22" s="1033">
        <v>-3695649</v>
      </c>
      <c r="H22" s="997"/>
      <c r="I22" s="997"/>
      <c r="J22" s="528"/>
      <c r="K22" s="978"/>
      <c r="L22" s="182"/>
      <c r="M22" s="122"/>
      <c r="N22" s="18">
        <f t="shared" si="0"/>
        <v>-3695649</v>
      </c>
      <c r="O22" s="13"/>
      <c r="P22" s="86"/>
      <c r="Q22" s="13"/>
      <c r="R22" s="13"/>
    </row>
    <row r="23" spans="1:18" ht="13.5" customHeight="1" x14ac:dyDescent="0.15">
      <c r="A23" s="4"/>
      <c r="B23" s="1129"/>
      <c r="C23" s="25" t="s">
        <v>17</v>
      </c>
      <c r="D23" s="145">
        <f>SUM(D18:D22)</f>
        <v>450830.75260000001</v>
      </c>
      <c r="E23" s="146">
        <f>SUM(E18:E22)</f>
        <v>19171615.452399999</v>
      </c>
      <c r="F23" s="141">
        <f>G23/E23</f>
        <v>22.812579153065052</v>
      </c>
      <c r="G23" s="56">
        <f t="shared" ref="G23:L23" si="1">SUM(G18:G22)</f>
        <v>437353995</v>
      </c>
      <c r="H23" s="464">
        <f t="shared" si="1"/>
        <v>89288800</v>
      </c>
      <c r="I23" s="464">
        <f t="shared" si="1"/>
        <v>10875940</v>
      </c>
      <c r="J23" s="473">
        <f t="shared" si="1"/>
        <v>0</v>
      </c>
      <c r="K23" s="123">
        <f t="shared" si="1"/>
        <v>0</v>
      </c>
      <c r="L23" s="123">
        <f t="shared" si="1"/>
        <v>0</v>
      </c>
      <c r="M23" s="123">
        <v>0</v>
      </c>
      <c r="N23" s="26">
        <f>SUM(N18:N22)</f>
        <v>537518734.99999988</v>
      </c>
      <c r="O23" s="27"/>
      <c r="P23" s="86"/>
      <c r="Q23" s="13"/>
      <c r="R23" s="13"/>
    </row>
    <row r="24" spans="1:18" ht="13.5" customHeight="1" x14ac:dyDescent="0.15">
      <c r="A24" s="4"/>
      <c r="B24" s="1129"/>
      <c r="C24" s="77" t="s">
        <v>386</v>
      </c>
      <c r="D24" s="1007">
        <v>45.975000000000001</v>
      </c>
      <c r="E24" s="1007">
        <v>1966.7151000000001</v>
      </c>
      <c r="F24" s="142">
        <f>G24/E24</f>
        <v>21.170702355414871</v>
      </c>
      <c r="G24" s="1031">
        <v>41636.74</v>
      </c>
      <c r="H24" s="1027">
        <v>11700</v>
      </c>
      <c r="I24" s="1004"/>
      <c r="J24" s="465"/>
      <c r="K24" s="124"/>
      <c r="L24" s="125"/>
      <c r="M24" s="979"/>
      <c r="N24" s="18">
        <f>SUM(G24:M24)</f>
        <v>53336.74</v>
      </c>
      <c r="O24" s="27"/>
      <c r="P24" s="86"/>
      <c r="Q24" s="13"/>
      <c r="R24" s="13"/>
    </row>
    <row r="25" spans="1:18" ht="13.5" customHeight="1" x14ac:dyDescent="0.15">
      <c r="A25" s="4"/>
      <c r="B25" s="1129"/>
      <c r="C25" s="77" t="s">
        <v>387</v>
      </c>
      <c r="D25" s="1028">
        <v>3924435.5699</v>
      </c>
      <c r="E25" s="1028">
        <v>166454747.63</v>
      </c>
      <c r="F25" s="179">
        <f>G25/E25</f>
        <v>23.504387437098661</v>
      </c>
      <c r="G25" s="1032">
        <v>3912416879.04</v>
      </c>
      <c r="H25" s="1030">
        <v>388615500</v>
      </c>
      <c r="I25" s="1030">
        <v>34103440</v>
      </c>
      <c r="J25" s="531"/>
      <c r="K25" s="134"/>
      <c r="L25" s="125"/>
      <c r="M25" s="979"/>
      <c r="N25" s="51">
        <f t="shared" ref="N25:N30" si="2">SUM(G25:M25)</f>
        <v>4335135819.04</v>
      </c>
      <c r="O25" s="27"/>
      <c r="P25" s="86"/>
      <c r="Q25" s="13"/>
      <c r="R25" s="13"/>
    </row>
    <row r="26" spans="1:18" ht="13.5" customHeight="1" x14ac:dyDescent="0.15">
      <c r="A26" s="4"/>
      <c r="B26" s="1129"/>
      <c r="C26" s="77" t="s">
        <v>388</v>
      </c>
      <c r="D26" s="1007">
        <v>171.88370000000003</v>
      </c>
      <c r="E26" s="1007">
        <v>7354.4441000000006</v>
      </c>
      <c r="F26" s="179">
        <f>G26/E26</f>
        <v>21.094422350698128</v>
      </c>
      <c r="G26" s="1031">
        <v>155137.75</v>
      </c>
      <c r="H26" s="996"/>
      <c r="I26" s="996"/>
      <c r="J26" s="531"/>
      <c r="K26" s="134"/>
      <c r="L26" s="125"/>
      <c r="M26" s="979"/>
      <c r="N26" s="51">
        <f t="shared" si="2"/>
        <v>155137.75</v>
      </c>
      <c r="O26" s="27"/>
      <c r="P26" s="86"/>
      <c r="Q26" s="13"/>
      <c r="R26" s="13"/>
    </row>
    <row r="27" spans="1:18" ht="13.5" customHeight="1" x14ac:dyDescent="0.15">
      <c r="A27" s="4"/>
      <c r="B27" s="1129"/>
      <c r="C27" s="77" t="s">
        <v>389</v>
      </c>
      <c r="D27" s="1007">
        <v>2550049.2990999999</v>
      </c>
      <c r="E27" s="1007">
        <v>108161275.92829999</v>
      </c>
      <c r="F27" s="179">
        <f>G27/E27</f>
        <v>23.504066151690385</v>
      </c>
      <c r="G27" s="1031">
        <v>2542229784.4699998</v>
      </c>
      <c r="H27" s="996"/>
      <c r="I27" s="996"/>
      <c r="J27" s="531"/>
      <c r="K27" s="134"/>
      <c r="L27" s="125"/>
      <c r="M27" s="979"/>
      <c r="N27" s="51">
        <f t="shared" si="2"/>
        <v>2542229784.4699998</v>
      </c>
      <c r="O27" s="27"/>
      <c r="P27" s="86"/>
      <c r="Q27" s="13"/>
      <c r="R27" s="13"/>
    </row>
    <row r="28" spans="1:18" ht="13.5" customHeight="1" x14ac:dyDescent="0.15">
      <c r="A28" s="4"/>
      <c r="B28" s="1129"/>
      <c r="C28" s="76" t="s">
        <v>49</v>
      </c>
      <c r="D28" s="994"/>
      <c r="E28" s="994"/>
      <c r="F28" s="179"/>
      <c r="G28" s="1029">
        <v>-922088</v>
      </c>
      <c r="H28" s="996"/>
      <c r="I28" s="996"/>
      <c r="J28" s="463"/>
      <c r="K28" s="134"/>
      <c r="L28" s="183"/>
      <c r="M28" s="975"/>
      <c r="N28" s="51">
        <f t="shared" si="2"/>
        <v>-922088</v>
      </c>
      <c r="O28" s="27"/>
      <c r="P28" s="86"/>
      <c r="Q28" s="13"/>
      <c r="R28" s="13"/>
    </row>
    <row r="29" spans="1:18" ht="13.5" customHeight="1" x14ac:dyDescent="0.15">
      <c r="A29" s="4"/>
      <c r="B29" s="1129"/>
      <c r="C29" s="76" t="s">
        <v>32</v>
      </c>
      <c r="D29" s="994"/>
      <c r="E29" s="994"/>
      <c r="F29" s="200"/>
      <c r="G29" s="1029">
        <v>-769675671</v>
      </c>
      <c r="H29" s="996"/>
      <c r="I29" s="996"/>
      <c r="J29" s="531"/>
      <c r="K29" s="134"/>
      <c r="L29" s="126"/>
      <c r="M29" s="980"/>
      <c r="N29" s="51">
        <f t="shared" si="2"/>
        <v>-769675671</v>
      </c>
      <c r="O29" s="27"/>
      <c r="P29" s="86"/>
      <c r="Q29" s="13"/>
      <c r="R29" s="13"/>
    </row>
    <row r="30" spans="1:18" ht="13.5" customHeight="1" x14ac:dyDescent="0.15">
      <c r="A30" s="4"/>
      <c r="B30" s="1129"/>
      <c r="C30" s="12" t="s">
        <v>33</v>
      </c>
      <c r="D30" s="1007">
        <v>-57700.7906</v>
      </c>
      <c r="E30" s="1007">
        <v>-2462809.4564999999</v>
      </c>
      <c r="F30" s="653"/>
      <c r="G30" s="1033">
        <v>-57655730</v>
      </c>
      <c r="H30" s="997"/>
      <c r="I30" s="997"/>
      <c r="J30" s="528"/>
      <c r="K30" s="121"/>
      <c r="L30" s="127"/>
      <c r="M30" s="127"/>
      <c r="N30" s="55">
        <f t="shared" si="2"/>
        <v>-57655730</v>
      </c>
      <c r="O30" s="27"/>
      <c r="P30" s="86"/>
      <c r="Q30" s="13"/>
      <c r="R30" s="13"/>
    </row>
    <row r="31" spans="1:18" ht="13.5" customHeight="1" x14ac:dyDescent="0.15">
      <c r="A31" s="4" t="s">
        <v>9</v>
      </c>
      <c r="B31" s="1129"/>
      <c r="C31" s="25" t="s">
        <v>17</v>
      </c>
      <c r="D31" s="145">
        <f>SUM(D24:D30)</f>
        <v>6417001.9371000007</v>
      </c>
      <c r="E31" s="146">
        <f>SUM(E24:E30)</f>
        <v>272162535.26099998</v>
      </c>
      <c r="F31" s="141">
        <f>G31/E31</f>
        <v>20.673638800447609</v>
      </c>
      <c r="G31" s="56">
        <f t="shared" ref="G31:N31" si="3">SUM(G24:G30)</f>
        <v>5626589949</v>
      </c>
      <c r="H31" s="464">
        <f t="shared" si="3"/>
        <v>388627200</v>
      </c>
      <c r="I31" s="464">
        <f t="shared" si="3"/>
        <v>34103440</v>
      </c>
      <c r="J31" s="473">
        <f t="shared" si="3"/>
        <v>0</v>
      </c>
      <c r="K31" s="123">
        <f t="shared" si="3"/>
        <v>0</v>
      </c>
      <c r="L31" s="123">
        <f t="shared" si="3"/>
        <v>0</v>
      </c>
      <c r="M31" s="123">
        <f t="shared" si="3"/>
        <v>0</v>
      </c>
      <c r="N31" s="26">
        <f t="shared" si="3"/>
        <v>6049320589</v>
      </c>
      <c r="O31" s="27"/>
      <c r="P31" s="86"/>
      <c r="Q31" s="13"/>
      <c r="R31" s="13"/>
    </row>
    <row r="32" spans="1:18" ht="13.5" customHeight="1" x14ac:dyDescent="0.15">
      <c r="A32" s="4"/>
      <c r="B32" s="1129"/>
      <c r="C32" s="77" t="s">
        <v>212</v>
      </c>
      <c r="D32" s="1007">
        <v>30.970100000000002</v>
      </c>
      <c r="E32" s="1007">
        <v>1324.1101000000001</v>
      </c>
      <c r="F32" s="142">
        <f>G32/E32</f>
        <v>21.884177154150549</v>
      </c>
      <c r="G32" s="1031">
        <v>28977.06</v>
      </c>
      <c r="H32" s="1027">
        <v>1800</v>
      </c>
      <c r="I32" s="1006"/>
      <c r="J32" s="465"/>
      <c r="K32" s="124"/>
      <c r="L32" s="979"/>
      <c r="M32" s="979"/>
      <c r="N32" s="18">
        <f>SUM(G32:M32)</f>
        <v>30777.06</v>
      </c>
      <c r="O32" s="27"/>
      <c r="P32" s="86"/>
      <c r="Q32" s="13"/>
      <c r="R32" s="13"/>
    </row>
    <row r="33" spans="1:18" ht="13.5" customHeight="1" x14ac:dyDescent="0.15">
      <c r="A33" s="4"/>
      <c r="B33" s="1129"/>
      <c r="C33" s="77" t="s">
        <v>91</v>
      </c>
      <c r="D33" s="1007">
        <v>7881577.9868000001</v>
      </c>
      <c r="E33" s="1007">
        <v>334293034.65179998</v>
      </c>
      <c r="F33" s="179">
        <f>G33/E33</f>
        <v>23.504128840507065</v>
      </c>
      <c r="G33" s="1031">
        <v>7857266556.9399996</v>
      </c>
      <c r="H33" s="1030">
        <v>570885890</v>
      </c>
      <c r="I33" s="1030">
        <v>137169240</v>
      </c>
      <c r="J33" s="531"/>
      <c r="K33" s="134"/>
      <c r="L33" s="979"/>
      <c r="M33" s="979"/>
      <c r="N33" s="18">
        <f>SUM(G33:M33)</f>
        <v>8565321686.9399996</v>
      </c>
      <c r="O33" s="27"/>
      <c r="P33" s="86"/>
      <c r="Q33" s="13"/>
      <c r="R33" s="13"/>
    </row>
    <row r="34" spans="1:18" ht="13.5" customHeight="1" x14ac:dyDescent="0.15">
      <c r="A34" s="4"/>
      <c r="B34" s="1129"/>
      <c r="C34" s="77" t="s">
        <v>49</v>
      </c>
      <c r="D34" s="994" t="s">
        <v>106</v>
      </c>
      <c r="E34" s="994"/>
      <c r="F34" s="179"/>
      <c r="G34" s="1029">
        <v>-320443</v>
      </c>
      <c r="H34" s="996"/>
      <c r="I34" s="996"/>
      <c r="J34" s="463"/>
      <c r="K34" s="134"/>
      <c r="L34" s="975"/>
      <c r="M34" s="975"/>
      <c r="N34" s="18">
        <f>SUM(G34:M34)</f>
        <v>-320443</v>
      </c>
      <c r="O34" s="27"/>
      <c r="P34" s="86"/>
      <c r="Q34" s="13"/>
      <c r="R34" s="13"/>
    </row>
    <row r="35" spans="1:18" ht="13.5" customHeight="1" x14ac:dyDescent="0.15">
      <c r="A35" s="4"/>
      <c r="B35" s="1129"/>
      <c r="C35" s="76" t="s">
        <v>33</v>
      </c>
      <c r="D35" s="1007">
        <v>-54244.042099999999</v>
      </c>
      <c r="E35" s="1007">
        <v>-2315299.0866999999</v>
      </c>
      <c r="F35" s="653"/>
      <c r="G35" s="1033">
        <v>-54387475</v>
      </c>
      <c r="H35" s="997"/>
      <c r="I35" s="997"/>
      <c r="J35" s="528"/>
      <c r="K35" s="121"/>
      <c r="L35" s="980"/>
      <c r="M35" s="980"/>
      <c r="N35" s="18">
        <f>SUM(G35:M35)</f>
        <v>-54387475</v>
      </c>
      <c r="O35" s="27"/>
      <c r="P35" s="86"/>
      <c r="Q35" s="13"/>
      <c r="R35" s="13"/>
    </row>
    <row r="36" spans="1:18" ht="13.5" customHeight="1" x14ac:dyDescent="0.15">
      <c r="A36" s="4"/>
      <c r="B36" s="1129"/>
      <c r="C36" s="25" t="s">
        <v>17</v>
      </c>
      <c r="D36" s="145">
        <f>SUM(D32:D35)</f>
        <v>7827364.9147999994</v>
      </c>
      <c r="E36" s="146">
        <f>SUM(E32:E35)</f>
        <v>331979059.67519993</v>
      </c>
      <c r="F36" s="141">
        <f>G36/E36</f>
        <v>23.503252354633023</v>
      </c>
      <c r="G36" s="56">
        <f>SUM(G32:G35)</f>
        <v>7802587616</v>
      </c>
      <c r="H36" s="464">
        <f>SUM(H32:H35)</f>
        <v>570887690</v>
      </c>
      <c r="I36" s="464">
        <f>SUM(I32:I35)</f>
        <v>137169240</v>
      </c>
      <c r="J36" s="473">
        <v>0</v>
      </c>
      <c r="K36" s="123">
        <f>SUM(K32:K35)</f>
        <v>0</v>
      </c>
      <c r="L36" s="123">
        <f>SUM(L32:L35)</f>
        <v>0</v>
      </c>
      <c r="M36" s="123">
        <v>0</v>
      </c>
      <c r="N36" s="26">
        <f>SUM(N32:N35)</f>
        <v>8510644546</v>
      </c>
      <c r="O36" s="27"/>
      <c r="P36" s="86"/>
      <c r="Q36" s="13"/>
      <c r="R36" s="13"/>
    </row>
    <row r="37" spans="1:18" ht="14.25" customHeight="1" x14ac:dyDescent="0.15">
      <c r="A37" s="4"/>
      <c r="B37" s="1129"/>
      <c r="C37" s="741" t="s">
        <v>394</v>
      </c>
      <c r="D37" s="1007">
        <v>290335.61560000002</v>
      </c>
      <c r="E37" s="1007">
        <v>12308543.8391</v>
      </c>
      <c r="F37" s="179">
        <f>G37/E37</f>
        <v>23.468796697329058</v>
      </c>
      <c r="G37" s="1031">
        <v>288866713</v>
      </c>
      <c r="H37" s="998"/>
      <c r="I37" s="1027">
        <v>1868290</v>
      </c>
      <c r="J37" s="1027">
        <v>1049000</v>
      </c>
      <c r="K37" s="134"/>
      <c r="L37" s="979"/>
      <c r="M37" s="979"/>
      <c r="N37" s="51">
        <f>L37+K37+I37+H37+G37+J37</f>
        <v>291784003</v>
      </c>
      <c r="O37" s="27"/>
      <c r="P37" s="86"/>
      <c r="Q37" s="13"/>
      <c r="R37" s="13"/>
    </row>
    <row r="38" spans="1:18" ht="14.25" hidden="1" customHeight="1" x14ac:dyDescent="0.15">
      <c r="A38" s="4"/>
      <c r="B38" s="1129"/>
      <c r="C38" s="741" t="s">
        <v>395</v>
      </c>
      <c r="D38" s="1007"/>
      <c r="E38" s="1007"/>
      <c r="F38" s="179" t="e">
        <f>G38/E38</f>
        <v>#DIV/0!</v>
      </c>
      <c r="G38" s="1005"/>
      <c r="H38" s="1001"/>
      <c r="I38" s="1008"/>
      <c r="J38" s="1008"/>
      <c r="K38" s="134"/>
      <c r="L38" s="979"/>
      <c r="M38" s="979"/>
      <c r="N38" s="51">
        <f>L38+K38+I38+H38+G38+J38</f>
        <v>0</v>
      </c>
      <c r="O38" s="27"/>
      <c r="P38" s="86"/>
      <c r="Q38" s="13"/>
      <c r="R38" s="13"/>
    </row>
    <row r="39" spans="1:18" ht="13.5" customHeight="1" x14ac:dyDescent="0.15">
      <c r="A39" s="4"/>
      <c r="B39" s="1129"/>
      <c r="C39" s="77" t="s">
        <v>221</v>
      </c>
      <c r="D39" s="180"/>
      <c r="E39" s="180"/>
      <c r="F39" s="179"/>
      <c r="G39" s="1029">
        <v>-30686894</v>
      </c>
      <c r="H39" s="531"/>
      <c r="I39" s="463"/>
      <c r="J39" s="463"/>
      <c r="K39" s="134"/>
      <c r="L39" s="132"/>
      <c r="M39" s="975"/>
      <c r="N39" s="18">
        <f t="shared" ref="N39" si="4">SUM(G39:M39)</f>
        <v>-30686894</v>
      </c>
      <c r="O39" s="27"/>
      <c r="P39" s="86"/>
      <c r="Q39" s="13"/>
      <c r="R39" s="13"/>
    </row>
    <row r="40" spans="1:18" ht="13.5" customHeight="1" x14ac:dyDescent="0.15">
      <c r="A40" s="4"/>
      <c r="B40" s="1129"/>
      <c r="C40" s="25" t="s">
        <v>17</v>
      </c>
      <c r="D40" s="149">
        <f>SUM(D37:D39)</f>
        <v>290335.61560000002</v>
      </c>
      <c r="E40" s="149">
        <f>SUM(E37:E39)</f>
        <v>12308543.8391</v>
      </c>
      <c r="F40" s="141">
        <f>G40/E40</f>
        <v>20.975659052360989</v>
      </c>
      <c r="G40" s="56">
        <f>SUM(G37:G39)</f>
        <v>258179819</v>
      </c>
      <c r="H40" s="473">
        <f>SUM(H39:H39)</f>
        <v>0</v>
      </c>
      <c r="I40" s="464">
        <f>SUM(I37:I39)</f>
        <v>1868290</v>
      </c>
      <c r="J40" s="464">
        <f>SUM(J37:J39)</f>
        <v>1049000</v>
      </c>
      <c r="K40" s="123">
        <f>SUM(K37:K39)</f>
        <v>0</v>
      </c>
      <c r="L40" s="123">
        <f>SUM(L37:L39)</f>
        <v>0</v>
      </c>
      <c r="M40" s="123">
        <v>0</v>
      </c>
      <c r="N40" s="26">
        <f>SUM(N37:N39)</f>
        <v>261097109</v>
      </c>
      <c r="O40" s="27"/>
      <c r="P40" s="86"/>
      <c r="Q40" s="13"/>
      <c r="R40" s="13"/>
    </row>
    <row r="41" spans="1:18" ht="13.5" customHeight="1" x14ac:dyDescent="0.15">
      <c r="A41" s="4"/>
      <c r="B41" s="1129"/>
      <c r="C41" s="740" t="s">
        <v>157</v>
      </c>
      <c r="D41" s="1007">
        <v>90356</v>
      </c>
      <c r="E41" s="1007">
        <v>3830932.4249999998</v>
      </c>
      <c r="F41" s="179">
        <f>G41/E41</f>
        <v>23.468797938924752</v>
      </c>
      <c r="G41" s="1031">
        <v>89907379</v>
      </c>
      <c r="H41" s="1002"/>
      <c r="I41" s="1030">
        <v>712570</v>
      </c>
      <c r="J41" s="1003">
        <v>735000</v>
      </c>
      <c r="K41" s="134"/>
      <c r="L41" s="128"/>
      <c r="M41" s="979"/>
      <c r="N41" s="18">
        <f>SUM(G41:M41)</f>
        <v>91354949</v>
      </c>
      <c r="O41" s="27"/>
      <c r="P41" s="86"/>
      <c r="Q41" s="13"/>
      <c r="R41" s="13"/>
    </row>
    <row r="42" spans="1:18" ht="13.5" customHeight="1" x14ac:dyDescent="0.15">
      <c r="A42" s="4"/>
      <c r="B42" s="1129"/>
      <c r="C42" s="77" t="s">
        <v>32</v>
      </c>
      <c r="D42" s="180"/>
      <c r="E42" s="180"/>
      <c r="F42" s="179"/>
      <c r="G42" s="1029">
        <v>-2955076</v>
      </c>
      <c r="H42" s="531"/>
      <c r="I42" s="463"/>
      <c r="J42" s="463"/>
      <c r="K42" s="134"/>
      <c r="L42" s="134"/>
      <c r="M42" s="977"/>
      <c r="N42" s="18">
        <f>SUM(G42:M42)</f>
        <v>-2955076</v>
      </c>
      <c r="O42" s="27"/>
      <c r="P42" s="86"/>
      <c r="Q42" s="13"/>
      <c r="R42" s="13"/>
    </row>
    <row r="43" spans="1:18" ht="13.5" customHeight="1" x14ac:dyDescent="0.15">
      <c r="A43" s="4"/>
      <c r="B43" s="1129"/>
      <c r="C43" s="25" t="s">
        <v>31</v>
      </c>
      <c r="D43" s="146">
        <f>SUM(D41:D42)</f>
        <v>90356</v>
      </c>
      <c r="E43" s="146">
        <f>SUM(E41:E42)</f>
        <v>3830932.4249999998</v>
      </c>
      <c r="F43" s="141">
        <f t="shared" ref="F43:F46" si="5">G43/E43</f>
        <v>22.697425418565039</v>
      </c>
      <c r="G43" s="56">
        <f t="shared" ref="G43:L43" si="6">SUM(G41:G42)</f>
        <v>86952303</v>
      </c>
      <c r="H43" s="473">
        <f t="shared" si="6"/>
        <v>0</v>
      </c>
      <c r="I43" s="464">
        <f t="shared" si="6"/>
        <v>712570</v>
      </c>
      <c r="J43" s="464">
        <f t="shared" si="6"/>
        <v>735000</v>
      </c>
      <c r="K43" s="123">
        <f t="shared" si="6"/>
        <v>0</v>
      </c>
      <c r="L43" s="123">
        <f t="shared" si="6"/>
        <v>0</v>
      </c>
      <c r="M43" s="123">
        <v>0</v>
      </c>
      <c r="N43" s="26">
        <f>SUM(N41:N42)</f>
        <v>88399873</v>
      </c>
      <c r="O43" s="27"/>
      <c r="P43" s="86"/>
      <c r="Q43" s="13"/>
      <c r="R43" s="13"/>
    </row>
    <row r="44" spans="1:18" ht="13.5" customHeight="1" x14ac:dyDescent="0.15">
      <c r="A44" s="4"/>
      <c r="B44" s="1130"/>
      <c r="C44" s="657" t="s">
        <v>27</v>
      </c>
      <c r="D44" s="658">
        <f>D23+D31+D36+D43+D40</f>
        <v>15075889.220099999</v>
      </c>
      <c r="E44" s="659">
        <f>E23+E31+E36+E43+E40</f>
        <v>639452686.65269983</v>
      </c>
      <c r="F44" s="660">
        <f t="shared" si="5"/>
        <v>22.224730583888615</v>
      </c>
      <c r="G44" s="661">
        <f t="shared" ref="G44:L44" si="7">G23+G31+G36+G43+G40</f>
        <v>14211663682</v>
      </c>
      <c r="H44" s="662">
        <f t="shared" si="7"/>
        <v>1048803690</v>
      </c>
      <c r="I44" s="662">
        <f t="shared" si="7"/>
        <v>184729480</v>
      </c>
      <c r="J44" s="662">
        <f t="shared" si="7"/>
        <v>1784000</v>
      </c>
      <c r="K44" s="663">
        <f t="shared" si="7"/>
        <v>0</v>
      </c>
      <c r="L44" s="663">
        <f t="shared" si="7"/>
        <v>0</v>
      </c>
      <c r="M44" s="663">
        <v>0</v>
      </c>
      <c r="N44" s="664">
        <f>N23+N31+N36+N43+N40</f>
        <v>15446980852</v>
      </c>
      <c r="O44" s="27"/>
      <c r="P44" s="86"/>
      <c r="Q44" s="13"/>
      <c r="R44" s="13"/>
    </row>
    <row r="45" spans="1:18" ht="13.5" hidden="1" customHeight="1" x14ac:dyDescent="0.15">
      <c r="A45" s="4"/>
      <c r="B45" s="1124" t="s">
        <v>400</v>
      </c>
      <c r="C45" s="77" t="s">
        <v>398</v>
      </c>
      <c r="D45" s="1015"/>
      <c r="E45" s="1015"/>
      <c r="F45" s="78" t="e">
        <f t="shared" ref="F45" si="8">G45/E45</f>
        <v>#DIV/0!</v>
      </c>
      <c r="G45" s="1016"/>
      <c r="H45" s="981"/>
      <c r="I45" s="1017"/>
      <c r="J45" s="1018"/>
      <c r="K45" s="134"/>
      <c r="L45" s="184"/>
      <c r="M45" s="980"/>
      <c r="N45" s="51">
        <f>L45+K45+I45+H45+G45+J45</f>
        <v>0</v>
      </c>
      <c r="O45" s="27"/>
      <c r="P45" s="86"/>
      <c r="Q45" s="13"/>
      <c r="R45" s="13"/>
    </row>
    <row r="46" spans="1:18" ht="13.5" customHeight="1" x14ac:dyDescent="0.15">
      <c r="A46" s="4"/>
      <c r="B46" s="1124"/>
      <c r="C46" s="77" t="s">
        <v>468</v>
      </c>
      <c r="D46" s="1007">
        <v>4348914.0331999995</v>
      </c>
      <c r="E46" s="1007">
        <v>184427261.11649999</v>
      </c>
      <c r="F46" s="78">
        <f t="shared" si="5"/>
        <v>22.610347140414859</v>
      </c>
      <c r="G46" s="1032">
        <v>4169964396</v>
      </c>
      <c r="H46" s="463"/>
      <c r="I46" s="1003">
        <v>38974280</v>
      </c>
      <c r="J46" s="1001">
        <v>1306200</v>
      </c>
      <c r="K46" s="134"/>
      <c r="L46" s="184"/>
      <c r="M46" s="980"/>
      <c r="N46" s="18">
        <f t="shared" ref="N46:N48" si="9">SUM(G46:M46)</f>
        <v>4210244876</v>
      </c>
      <c r="O46" s="27"/>
      <c r="P46" s="86"/>
      <c r="Q46" s="13"/>
      <c r="R46" s="13"/>
    </row>
    <row r="47" spans="1:18" ht="13.5" customHeight="1" x14ac:dyDescent="0.15">
      <c r="A47" s="4"/>
      <c r="B47" s="1124"/>
      <c r="C47" s="76" t="s">
        <v>49</v>
      </c>
      <c r="D47" s="994"/>
      <c r="E47" s="994"/>
      <c r="F47" s="78"/>
      <c r="G47" s="1029">
        <v>-7229173</v>
      </c>
      <c r="H47" s="463"/>
      <c r="I47" s="463"/>
      <c r="J47" s="463"/>
      <c r="K47" s="134"/>
      <c r="L47" s="184"/>
      <c r="M47" s="980"/>
      <c r="N47" s="18">
        <f t="shared" si="9"/>
        <v>-7229173</v>
      </c>
      <c r="O47" s="27"/>
      <c r="P47" s="86"/>
      <c r="Q47" s="13"/>
      <c r="R47" s="13"/>
    </row>
    <row r="48" spans="1:18" ht="13.5" customHeight="1" x14ac:dyDescent="0.15">
      <c r="A48" s="4"/>
      <c r="B48" s="1124"/>
      <c r="C48" s="76" t="s">
        <v>33</v>
      </c>
      <c r="D48" s="1007">
        <v>-1609.6021000000001</v>
      </c>
      <c r="E48" s="1007">
        <v>-68638.972399999999</v>
      </c>
      <c r="F48" s="982"/>
      <c r="G48" s="1033">
        <v>-1551944</v>
      </c>
      <c r="H48" s="528"/>
      <c r="I48" s="949"/>
      <c r="J48" s="949"/>
      <c r="K48" s="121"/>
      <c r="L48" s="184"/>
      <c r="M48" s="980"/>
      <c r="N48" s="18">
        <f t="shared" si="9"/>
        <v>-1551944</v>
      </c>
      <c r="O48" s="27"/>
      <c r="P48" s="86"/>
      <c r="Q48" s="13"/>
      <c r="R48" s="13"/>
    </row>
    <row r="49" spans="1:19" ht="13.5" customHeight="1" x14ac:dyDescent="0.15">
      <c r="A49" s="4"/>
      <c r="B49" s="1124"/>
      <c r="C49" s="25" t="s">
        <v>17</v>
      </c>
      <c r="D49" s="145">
        <f>SUM(D45:D48)</f>
        <v>4347304.4310999997</v>
      </c>
      <c r="E49" s="146">
        <f>SUM(E45:E48)</f>
        <v>184358622.14409998</v>
      </c>
      <c r="F49" s="62">
        <f t="shared" ref="F49:F50" si="10">G49/E49</f>
        <v>22.571134621235668</v>
      </c>
      <c r="G49" s="56">
        <f t="shared" ref="G49:L49" si="11">SUM(G45:G48)</f>
        <v>4161183279</v>
      </c>
      <c r="H49" s="473">
        <f t="shared" si="11"/>
        <v>0</v>
      </c>
      <c r="I49" s="464">
        <f t="shared" si="11"/>
        <v>38974280</v>
      </c>
      <c r="J49" s="464">
        <f t="shared" si="11"/>
        <v>1306200</v>
      </c>
      <c r="K49" s="123">
        <f t="shared" si="11"/>
        <v>0</v>
      </c>
      <c r="L49" s="123">
        <f t="shared" si="11"/>
        <v>0</v>
      </c>
      <c r="M49" s="123">
        <v>0</v>
      </c>
      <c r="N49" s="26">
        <f>SUM(N45:N48)</f>
        <v>4201463759</v>
      </c>
      <c r="O49" s="27"/>
      <c r="P49" s="86"/>
      <c r="Q49" s="13"/>
      <c r="R49" s="13"/>
    </row>
    <row r="50" spans="1:19" ht="13.5" customHeight="1" x14ac:dyDescent="0.15">
      <c r="A50" s="4"/>
      <c r="B50" s="1124"/>
      <c r="C50" s="77" t="s">
        <v>399</v>
      </c>
      <c r="D50" s="1007">
        <v>1178511.7686000001</v>
      </c>
      <c r="E50" s="1007">
        <v>49959132.456200004</v>
      </c>
      <c r="F50" s="78">
        <f t="shared" si="10"/>
        <v>22.610391403220124</v>
      </c>
      <c r="G50" s="1032">
        <v>1129595539</v>
      </c>
      <c r="H50" s="1003"/>
      <c r="I50" s="1003">
        <v>10166610</v>
      </c>
      <c r="J50" s="1008">
        <v>2490200</v>
      </c>
      <c r="K50" s="134"/>
      <c r="L50" s="184"/>
      <c r="M50" s="980"/>
      <c r="N50" s="51">
        <f t="shared" ref="N50:N51" si="12">L50+K50+I50+H50+G50+J50</f>
        <v>1142252349</v>
      </c>
      <c r="O50" s="27"/>
      <c r="P50" s="86"/>
      <c r="Q50" s="92"/>
      <c r="R50" s="92"/>
      <c r="S50" s="5"/>
    </row>
    <row r="51" spans="1:19" ht="13.5" customHeight="1" x14ac:dyDescent="0.15">
      <c r="A51" s="4"/>
      <c r="B51" s="1124"/>
      <c r="C51" s="76" t="s">
        <v>49</v>
      </c>
      <c r="D51" s="959"/>
      <c r="E51" s="959"/>
      <c r="F51" s="654"/>
      <c r="G51" s="1029">
        <v>-3266884</v>
      </c>
      <c r="H51" s="463"/>
      <c r="I51" s="531"/>
      <c r="J51" s="531"/>
      <c r="K51" s="134"/>
      <c r="L51" s="184"/>
      <c r="M51" s="980"/>
      <c r="N51" s="51">
        <f t="shared" si="12"/>
        <v>-3266884</v>
      </c>
      <c r="O51" s="27"/>
      <c r="P51" s="86"/>
      <c r="Q51" s="92"/>
      <c r="R51" s="92"/>
      <c r="S51" s="5"/>
    </row>
    <row r="52" spans="1:19" ht="13.5" hidden="1" customHeight="1" x14ac:dyDescent="0.15">
      <c r="A52" s="4"/>
      <c r="B52" s="1124"/>
      <c r="C52" s="76" t="s">
        <v>33</v>
      </c>
      <c r="D52" s="1015"/>
      <c r="E52" s="1015"/>
      <c r="F52" s="654"/>
      <c r="G52" s="1019"/>
      <c r="H52" s="463"/>
      <c r="I52" s="463"/>
      <c r="J52" s="463"/>
      <c r="K52" s="134"/>
      <c r="L52" s="184"/>
      <c r="M52" s="980"/>
      <c r="N52" s="51">
        <f t="shared" ref="N52" si="13">L52+K52+I52+H52+G52+J52</f>
        <v>0</v>
      </c>
      <c r="O52" s="27"/>
      <c r="P52" s="86"/>
      <c r="Q52" s="92"/>
      <c r="R52" s="92"/>
      <c r="S52" s="5"/>
    </row>
    <row r="53" spans="1:19" ht="13.5" customHeight="1" x14ac:dyDescent="0.15">
      <c r="A53" s="4"/>
      <c r="B53" s="1124"/>
      <c r="C53" s="25" t="s">
        <v>17</v>
      </c>
      <c r="D53" s="151">
        <f>SUM(D50:D52)</f>
        <v>1178511.7686000001</v>
      </c>
      <c r="E53" s="146">
        <f>SUM(E50:E52)</f>
        <v>49959132.456200004</v>
      </c>
      <c r="F53" s="63">
        <f t="shared" ref="F53:F59" si="14">G53/E53</f>
        <v>22.545000275724782</v>
      </c>
      <c r="G53" s="59">
        <f t="shared" ref="G53:L53" si="15">SUM(G50:G52)</f>
        <v>1126328655</v>
      </c>
      <c r="H53" s="473">
        <f t="shared" si="15"/>
        <v>0</v>
      </c>
      <c r="I53" s="464">
        <f t="shared" si="15"/>
        <v>10166610</v>
      </c>
      <c r="J53" s="464">
        <f t="shared" si="15"/>
        <v>2490200</v>
      </c>
      <c r="K53" s="123">
        <f t="shared" si="15"/>
        <v>0</v>
      </c>
      <c r="L53" s="123">
        <f t="shared" si="15"/>
        <v>0</v>
      </c>
      <c r="M53" s="123">
        <v>0</v>
      </c>
      <c r="N53" s="26">
        <f>SUM(N50:N52)</f>
        <v>1138985465</v>
      </c>
      <c r="O53" s="27"/>
      <c r="P53" s="86"/>
      <c r="Q53" s="92"/>
      <c r="R53" s="92"/>
      <c r="S53" s="5"/>
    </row>
    <row r="54" spans="1:19" ht="13.5" customHeight="1" x14ac:dyDescent="0.15">
      <c r="A54" s="4" t="s">
        <v>50</v>
      </c>
      <c r="B54" s="1125"/>
      <c r="C54" s="657" t="s">
        <v>27</v>
      </c>
      <c r="D54" s="665">
        <f>D49+D53</f>
        <v>5525816.1996999998</v>
      </c>
      <c r="E54" s="666">
        <f>E49+E53</f>
        <v>234317754.60029998</v>
      </c>
      <c r="F54" s="667">
        <f t="shared" si="14"/>
        <v>22.565562490215289</v>
      </c>
      <c r="G54" s="661">
        <f t="shared" ref="G54:L54" si="16">G49+G53</f>
        <v>5287511934</v>
      </c>
      <c r="H54" s="668">
        <f t="shared" si="16"/>
        <v>0</v>
      </c>
      <c r="I54" s="662">
        <f t="shared" si="16"/>
        <v>49140890</v>
      </c>
      <c r="J54" s="662">
        <f t="shared" si="16"/>
        <v>3796400</v>
      </c>
      <c r="K54" s="663">
        <f t="shared" si="16"/>
        <v>0</v>
      </c>
      <c r="L54" s="663">
        <f t="shared" si="16"/>
        <v>0</v>
      </c>
      <c r="M54" s="663">
        <v>0</v>
      </c>
      <c r="N54" s="669">
        <f>N49+N53</f>
        <v>5340449224</v>
      </c>
      <c r="O54" s="27"/>
      <c r="P54" s="86"/>
      <c r="Q54" s="13"/>
      <c r="R54" s="13"/>
    </row>
    <row r="55" spans="1:19" s="29" customFormat="1" ht="13.5" customHeight="1" x14ac:dyDescent="0.15">
      <c r="A55" s="4"/>
      <c r="B55" s="1128" t="s">
        <v>214</v>
      </c>
      <c r="C55" s="742" t="s">
        <v>213</v>
      </c>
      <c r="D55" s="1007">
        <v>6526420.1900000004</v>
      </c>
      <c r="E55" s="1007">
        <v>282160534.99589998</v>
      </c>
      <c r="F55" s="64">
        <f t="shared" si="14"/>
        <v>21.32439674133532</v>
      </c>
      <c r="G55" s="1031">
        <v>6016903193</v>
      </c>
      <c r="H55" s="526"/>
      <c r="I55" s="526"/>
      <c r="J55" s="467"/>
      <c r="K55" s="131"/>
      <c r="L55" s="131"/>
      <c r="M55" s="131"/>
      <c r="N55" s="18">
        <f>SUM(G55:M55)</f>
        <v>6016903193</v>
      </c>
      <c r="O55" s="27"/>
      <c r="P55" s="86"/>
      <c r="Q55" s="13"/>
      <c r="R55" s="13"/>
    </row>
    <row r="56" spans="1:19" ht="13.5" customHeight="1" x14ac:dyDescent="0.15">
      <c r="A56" s="4"/>
      <c r="B56" s="1129"/>
      <c r="C56" s="743" t="s">
        <v>230</v>
      </c>
      <c r="D56" s="1007">
        <v>278375.7</v>
      </c>
      <c r="E56" s="1007">
        <v>11773135.7268</v>
      </c>
      <c r="F56" s="65">
        <f>G56/E56</f>
        <v>21.324397409987057</v>
      </c>
      <c r="G56" s="1033">
        <v>251055025</v>
      </c>
      <c r="H56" s="529"/>
      <c r="I56" s="529"/>
      <c r="J56" s="531"/>
      <c r="K56" s="185"/>
      <c r="L56" s="185"/>
      <c r="M56" s="185"/>
      <c r="N56" s="55">
        <f>SUM(G56:M56)</f>
        <v>251055025</v>
      </c>
      <c r="O56" s="27"/>
      <c r="P56" s="86"/>
      <c r="Q56" s="13"/>
      <c r="R56" s="13"/>
    </row>
    <row r="57" spans="1:19" ht="13.5" customHeight="1" x14ac:dyDescent="0.15">
      <c r="A57" s="4"/>
      <c r="B57" s="1130"/>
      <c r="C57" s="657" t="s">
        <v>27</v>
      </c>
      <c r="D57" s="670">
        <f>SUM(D55:D56)</f>
        <v>6804795.8900000006</v>
      </c>
      <c r="E57" s="670">
        <f>SUM(E55:E56)</f>
        <v>293933670.7227</v>
      </c>
      <c r="F57" s="671">
        <f t="shared" si="14"/>
        <v>21.324396768117307</v>
      </c>
      <c r="G57" s="661">
        <f>SUM(G55:G56)</f>
        <v>6267958218</v>
      </c>
      <c r="H57" s="684">
        <f>SUM(H55:H56)</f>
        <v>0</v>
      </c>
      <c r="I57" s="684">
        <f t="shared" ref="I57:J57" si="17">SUM(I55:I56)</f>
        <v>0</v>
      </c>
      <c r="J57" s="684">
        <f t="shared" si="17"/>
        <v>0</v>
      </c>
      <c r="K57" s="684">
        <f>SUM(K55:K56)</f>
        <v>0</v>
      </c>
      <c r="L57" s="684">
        <f t="shared" ref="L57" si="18">SUM(L55:L56)</f>
        <v>0</v>
      </c>
      <c r="M57" s="684">
        <f t="shared" ref="M57" si="19">SUM(M55:M56)</f>
        <v>0</v>
      </c>
      <c r="N57" s="669">
        <f>SUM(N55:N56)</f>
        <v>6267958218</v>
      </c>
      <c r="O57" s="27"/>
      <c r="P57" s="86"/>
      <c r="Q57" s="13"/>
      <c r="R57" s="13"/>
    </row>
    <row r="58" spans="1:19" ht="13.5" customHeight="1" x14ac:dyDescent="0.15">
      <c r="A58" s="4"/>
      <c r="B58" s="1128" t="s">
        <v>192</v>
      </c>
      <c r="C58" s="77" t="s">
        <v>236</v>
      </c>
      <c r="D58" s="1007">
        <v>272745.43699999998</v>
      </c>
      <c r="E58" s="1007">
        <v>11572081.6449</v>
      </c>
      <c r="F58" s="64">
        <f t="shared" si="14"/>
        <v>24.118003924816914</v>
      </c>
      <c r="G58" s="1031">
        <v>279095510.52999997</v>
      </c>
      <c r="H58" s="526"/>
      <c r="I58" s="1027">
        <v>12840930</v>
      </c>
      <c r="J58" s="1027">
        <v>1440900</v>
      </c>
      <c r="K58" s="124"/>
      <c r="L58" s="128"/>
      <c r="M58" s="979"/>
      <c r="N58" s="18">
        <f t="shared" ref="N58:N60" si="20">SUM(G58:M58)</f>
        <v>293377340.52999997</v>
      </c>
      <c r="O58" s="27"/>
      <c r="P58" s="86"/>
      <c r="Q58" s="13"/>
      <c r="R58" s="13"/>
    </row>
    <row r="59" spans="1:19" ht="13.5" customHeight="1" x14ac:dyDescent="0.15">
      <c r="A59" s="4"/>
      <c r="B59" s="1124"/>
      <c r="C59" s="77" t="s">
        <v>166</v>
      </c>
      <c r="D59" s="1007">
        <v>185393.85320000001</v>
      </c>
      <c r="E59" s="1007">
        <v>7850938.5407999996</v>
      </c>
      <c r="F59" s="78">
        <f t="shared" si="14"/>
        <v>23.125448827102861</v>
      </c>
      <c r="G59" s="1031">
        <v>181556477.47</v>
      </c>
      <c r="H59" s="529"/>
      <c r="I59" s="1030">
        <v>350770</v>
      </c>
      <c r="J59" s="1030">
        <v>147000</v>
      </c>
      <c r="K59" s="134"/>
      <c r="L59" s="128"/>
      <c r="M59" s="979"/>
      <c r="N59" s="18">
        <f t="shared" si="20"/>
        <v>182054247.47</v>
      </c>
      <c r="O59" s="27"/>
      <c r="P59" s="86"/>
      <c r="Q59" s="13"/>
      <c r="R59" s="13"/>
    </row>
    <row r="60" spans="1:19" ht="13.5" customHeight="1" x14ac:dyDescent="0.15">
      <c r="A60" s="4"/>
      <c r="B60" s="1124"/>
      <c r="C60" s="77" t="s">
        <v>49</v>
      </c>
      <c r="D60" s="994"/>
      <c r="E60" s="994"/>
      <c r="F60" s="78"/>
      <c r="G60" s="1029">
        <v>-14098738</v>
      </c>
      <c r="H60" s="531"/>
      <c r="I60" s="531"/>
      <c r="J60" s="531"/>
      <c r="K60" s="134"/>
      <c r="L60" s="128"/>
      <c r="M60" s="979"/>
      <c r="N60" s="18">
        <f t="shared" si="20"/>
        <v>-14098738</v>
      </c>
      <c r="O60" s="27"/>
      <c r="P60" s="86"/>
      <c r="Q60" s="13"/>
      <c r="R60" s="13"/>
    </row>
    <row r="61" spans="1:19" ht="13.5" customHeight="1" x14ac:dyDescent="0.15">
      <c r="A61" s="4"/>
      <c r="B61" s="1124"/>
      <c r="C61" s="77" t="s">
        <v>87</v>
      </c>
      <c r="D61" s="1007">
        <v>-494.35</v>
      </c>
      <c r="E61" s="1007">
        <v>-21080.585899999998</v>
      </c>
      <c r="F61" s="654"/>
      <c r="G61" s="1033">
        <v>-487303</v>
      </c>
      <c r="H61" s="531"/>
      <c r="I61" s="531"/>
      <c r="J61" s="531"/>
      <c r="K61" s="134"/>
      <c r="L61" s="128"/>
      <c r="M61" s="120"/>
      <c r="N61" s="18">
        <f>SUM(G61:M61)</f>
        <v>-487303</v>
      </c>
      <c r="O61" s="27"/>
      <c r="P61" s="86"/>
      <c r="Q61" s="13"/>
      <c r="R61" s="13"/>
    </row>
    <row r="62" spans="1:19" ht="13.5" customHeight="1" x14ac:dyDescent="0.15">
      <c r="A62" s="4"/>
      <c r="B62" s="1124"/>
      <c r="C62" s="25" t="s">
        <v>17</v>
      </c>
      <c r="D62" s="145">
        <f>SUM(D58:D61)</f>
        <v>457644.94020000001</v>
      </c>
      <c r="E62" s="146">
        <f>SUM(E58:E61)</f>
        <v>19401939.599799998</v>
      </c>
      <c r="F62" s="62">
        <f t="shared" ref="F62" si="21">G62/E62</f>
        <v>22.990791446675683</v>
      </c>
      <c r="G62" s="85">
        <f t="shared" ref="G62:L62" si="22">SUM(G58:G61)</f>
        <v>446065947</v>
      </c>
      <c r="H62" s="472">
        <f t="shared" si="22"/>
        <v>0</v>
      </c>
      <c r="I62" s="468">
        <f t="shared" si="22"/>
        <v>13191700</v>
      </c>
      <c r="J62" s="468">
        <f t="shared" si="22"/>
        <v>1587900</v>
      </c>
      <c r="K62" s="167">
        <f t="shared" si="22"/>
        <v>0</v>
      </c>
      <c r="L62" s="123">
        <f t="shared" si="22"/>
        <v>0</v>
      </c>
      <c r="M62" s="123">
        <v>0</v>
      </c>
      <c r="N62" s="26">
        <f>SUM(N58:N61)</f>
        <v>460845547</v>
      </c>
      <c r="O62" s="27"/>
      <c r="P62" s="86"/>
      <c r="Q62" s="13"/>
      <c r="R62" s="13"/>
    </row>
    <row r="63" spans="1:19" ht="13.5" customHeight="1" x14ac:dyDescent="0.15">
      <c r="A63" s="4"/>
      <c r="B63" s="1124"/>
      <c r="C63" s="77" t="s">
        <v>459</v>
      </c>
      <c r="D63" s="1007">
        <v>1840762.9755000002</v>
      </c>
      <c r="E63" s="1007">
        <v>78108984.694000006</v>
      </c>
      <c r="F63" s="78">
        <f t="shared" ref="F63:F66" si="23">G63/E63</f>
        <v>14.648108681252499</v>
      </c>
      <c r="G63" s="1031">
        <v>1144148896.78</v>
      </c>
      <c r="H63" s="469"/>
      <c r="I63" s="1030">
        <v>10739340</v>
      </c>
      <c r="J63" s="1030">
        <v>4138400</v>
      </c>
      <c r="K63" s="132"/>
      <c r="L63" s="132"/>
      <c r="M63" s="133"/>
      <c r="N63" s="18">
        <f>SUM(G63:L63)</f>
        <v>1159026636.78</v>
      </c>
      <c r="O63" s="27"/>
      <c r="P63" s="86"/>
      <c r="Q63" s="13"/>
      <c r="R63" s="13"/>
    </row>
    <row r="64" spans="1:19" ht="13.5" customHeight="1" x14ac:dyDescent="0.15">
      <c r="A64" s="4"/>
      <c r="B64" s="1124"/>
      <c r="C64" s="970" t="s">
        <v>460</v>
      </c>
      <c r="D64" s="1007">
        <v>2449574.5621000002</v>
      </c>
      <c r="E64" s="1007">
        <v>103735971.15260001</v>
      </c>
      <c r="F64" s="78">
        <f t="shared" si="23"/>
        <v>13.904095254463227</v>
      </c>
      <c r="G64" s="1031">
        <v>1442354824.22</v>
      </c>
      <c r="H64" s="469"/>
      <c r="I64" s="1030">
        <v>663360</v>
      </c>
      <c r="J64" s="1030">
        <v>421600</v>
      </c>
      <c r="K64" s="132"/>
      <c r="L64" s="132"/>
      <c r="M64" s="133"/>
      <c r="N64" s="18">
        <f t="shared" ref="N64:N66" si="24">SUM(G64:L64)</f>
        <v>1443439784.22</v>
      </c>
      <c r="O64" s="27"/>
      <c r="P64" s="86"/>
      <c r="Q64" s="13"/>
      <c r="R64" s="13"/>
    </row>
    <row r="65" spans="1:18" ht="13.5" customHeight="1" x14ac:dyDescent="0.15">
      <c r="A65" s="4"/>
      <c r="B65" s="1124"/>
      <c r="C65" s="970" t="s">
        <v>461</v>
      </c>
      <c r="D65" s="1007">
        <v>45482.856800000001</v>
      </c>
      <c r="E65" s="1007">
        <v>1929939.423</v>
      </c>
      <c r="F65" s="78">
        <f t="shared" si="23"/>
        <v>14.648099428973632</v>
      </c>
      <c r="G65" s="1031">
        <v>28269944.559999999</v>
      </c>
      <c r="H65" s="469"/>
      <c r="I65" s="1030">
        <v>270690</v>
      </c>
      <c r="J65" s="1030">
        <v>98200</v>
      </c>
      <c r="K65" s="132"/>
      <c r="L65" s="132"/>
      <c r="M65" s="133"/>
      <c r="N65" s="18">
        <f t="shared" si="24"/>
        <v>28638834.559999999</v>
      </c>
      <c r="O65" s="27"/>
      <c r="P65" s="86"/>
      <c r="Q65" s="13"/>
      <c r="R65" s="13"/>
    </row>
    <row r="66" spans="1:18" ht="13.5" customHeight="1" x14ac:dyDescent="0.15">
      <c r="A66" s="4"/>
      <c r="B66" s="1124"/>
      <c r="C66" s="970" t="s">
        <v>462</v>
      </c>
      <c r="D66" s="1007">
        <v>40388.378599999996</v>
      </c>
      <c r="E66" s="1007">
        <v>1710231.4874</v>
      </c>
      <c r="F66" s="78">
        <f t="shared" si="23"/>
        <v>13.904091706410247</v>
      </c>
      <c r="G66" s="1031">
        <v>23779215.440000001</v>
      </c>
      <c r="H66" s="469"/>
      <c r="I66" s="995"/>
      <c r="J66" s="995"/>
      <c r="K66" s="132"/>
      <c r="L66" s="132"/>
      <c r="M66" s="133"/>
      <c r="N66" s="18">
        <f t="shared" si="24"/>
        <v>23779215.440000001</v>
      </c>
      <c r="O66" s="27"/>
      <c r="P66" s="86"/>
      <c r="Q66" s="13"/>
      <c r="R66" s="13"/>
    </row>
    <row r="67" spans="1:18" ht="13.5" hidden="1" customHeight="1" x14ac:dyDescent="0.15">
      <c r="A67" s="4"/>
      <c r="B67" s="1124"/>
      <c r="C67" s="77" t="s">
        <v>49</v>
      </c>
      <c r="D67" s="958"/>
      <c r="E67" s="958"/>
      <c r="F67" s="78"/>
      <c r="G67" s="1005">
        <v>0</v>
      </c>
      <c r="H67" s="469"/>
      <c r="I67" s="532"/>
      <c r="J67" s="532"/>
      <c r="K67" s="132"/>
      <c r="L67" s="132"/>
      <c r="M67" s="133"/>
      <c r="N67" s="18">
        <f>SUM(G67:L67)</f>
        <v>0</v>
      </c>
      <c r="O67" s="27"/>
      <c r="P67" s="86"/>
      <c r="Q67" s="13"/>
      <c r="R67" s="13"/>
    </row>
    <row r="68" spans="1:18" ht="13.5" hidden="1" customHeight="1" x14ac:dyDescent="0.15">
      <c r="A68" s="4"/>
      <c r="B68" s="1124"/>
      <c r="C68" s="957" t="s">
        <v>87</v>
      </c>
      <c r="D68" s="1000"/>
      <c r="E68" s="1000"/>
      <c r="F68" s="960"/>
      <c r="G68" s="999"/>
      <c r="H68" s="962"/>
      <c r="I68" s="961"/>
      <c r="J68" s="961"/>
      <c r="K68" s="965"/>
      <c r="L68" s="965"/>
      <c r="M68" s="966"/>
      <c r="N68" s="964"/>
      <c r="O68" s="27"/>
      <c r="P68" s="86"/>
      <c r="Q68" s="13"/>
      <c r="R68" s="13"/>
    </row>
    <row r="69" spans="1:18" ht="13.5" customHeight="1" x14ac:dyDescent="0.15">
      <c r="A69" s="4"/>
      <c r="B69" s="1124"/>
      <c r="C69" s="25" t="s">
        <v>17</v>
      </c>
      <c r="D69" s="146">
        <f>SUM(D63:D68)</f>
        <v>4376208.773000001</v>
      </c>
      <c r="E69" s="146">
        <f>SUM(E63:E68)</f>
        <v>185485126.757</v>
      </c>
      <c r="F69" s="62">
        <f>G69/E69</f>
        <v>14.225145310204361</v>
      </c>
      <c r="G69" s="56">
        <f>SUM(G63:G68)</f>
        <v>2638552881</v>
      </c>
      <c r="H69" s="473">
        <f>SUM(H63:H67)</f>
        <v>0</v>
      </c>
      <c r="I69" s="464">
        <f>SUM(I63:I68)</f>
        <v>11673390</v>
      </c>
      <c r="J69" s="464">
        <f>SUM(J63:J68)</f>
        <v>4658200</v>
      </c>
      <c r="K69" s="123">
        <f>SUM(K63:K67)</f>
        <v>0</v>
      </c>
      <c r="L69" s="123">
        <f>SUM(L63:L67)</f>
        <v>0</v>
      </c>
      <c r="M69" s="123">
        <v>0</v>
      </c>
      <c r="N69" s="26">
        <f>SUM(N63:N68)</f>
        <v>2654884471</v>
      </c>
      <c r="O69" s="27"/>
      <c r="P69" s="86"/>
      <c r="Q69" s="13"/>
      <c r="R69" s="13"/>
    </row>
    <row r="70" spans="1:18" ht="12" customHeight="1" x14ac:dyDescent="0.15">
      <c r="A70" s="4"/>
      <c r="B70" s="1125"/>
      <c r="C70" s="657" t="s">
        <v>27</v>
      </c>
      <c r="D70" s="665">
        <f>D62+D69</f>
        <v>4833853.713200001</v>
      </c>
      <c r="E70" s="666">
        <f>E62+E69</f>
        <v>204887066.35679999</v>
      </c>
      <c r="F70" s="667">
        <f>G70/E70</f>
        <v>15.055214967197097</v>
      </c>
      <c r="G70" s="661">
        <f t="shared" ref="G70:L70" si="25">G62+G69</f>
        <v>3084618828</v>
      </c>
      <c r="H70" s="668">
        <f t="shared" si="25"/>
        <v>0</v>
      </c>
      <c r="I70" s="662">
        <f t="shared" si="25"/>
        <v>24865090</v>
      </c>
      <c r="J70" s="662">
        <f t="shared" si="25"/>
        <v>6246100</v>
      </c>
      <c r="K70" s="663">
        <f t="shared" si="25"/>
        <v>0</v>
      </c>
      <c r="L70" s="663">
        <f t="shared" si="25"/>
        <v>0</v>
      </c>
      <c r="M70" s="663">
        <v>0</v>
      </c>
      <c r="N70" s="669">
        <f>N62+N69</f>
        <v>3115730018</v>
      </c>
      <c r="O70" s="27"/>
      <c r="P70" s="86"/>
      <c r="Q70" s="13"/>
      <c r="R70" s="13"/>
    </row>
    <row r="71" spans="1:18" ht="13.5" customHeight="1" x14ac:dyDescent="0.15">
      <c r="A71" s="4"/>
      <c r="B71" s="1136" t="s">
        <v>391</v>
      </c>
      <c r="C71" s="744" t="s">
        <v>396</v>
      </c>
      <c r="D71" s="1028">
        <v>5487770.4105000002</v>
      </c>
      <c r="E71" s="1028">
        <v>232878426.34349999</v>
      </c>
      <c r="F71" s="78">
        <f>G71/E71</f>
        <v>19.594798259368115</v>
      </c>
      <c r="G71" s="1032">
        <v>4563205783.1599998</v>
      </c>
      <c r="H71" s="531"/>
      <c r="I71" s="1003">
        <v>1042020</v>
      </c>
      <c r="J71" s="1003">
        <v>264600</v>
      </c>
      <c r="K71" s="134"/>
      <c r="L71" s="975"/>
      <c r="M71" s="979"/>
      <c r="N71" s="18">
        <f>SUM(G71:M71)</f>
        <v>4564512403.1599998</v>
      </c>
      <c r="O71" s="27"/>
      <c r="P71" s="86"/>
      <c r="Q71" s="13"/>
      <c r="R71" s="13"/>
    </row>
    <row r="72" spans="1:18" ht="13.5" customHeight="1" x14ac:dyDescent="0.15">
      <c r="A72" s="4"/>
      <c r="B72" s="1136"/>
      <c r="C72" s="12" t="s">
        <v>397</v>
      </c>
      <c r="D72" s="1028">
        <v>10760142.014900001</v>
      </c>
      <c r="E72" s="1028">
        <v>455892128.59939998</v>
      </c>
      <c r="F72" s="78">
        <f>G72/E72</f>
        <v>18.602983266886707</v>
      </c>
      <c r="G72" s="1032">
        <v>8480953639.8400002</v>
      </c>
      <c r="H72" s="645"/>
      <c r="I72" s="1003">
        <v>16788660</v>
      </c>
      <c r="J72" s="1003">
        <v>12809200</v>
      </c>
      <c r="K72" s="644"/>
      <c r="L72" s="980"/>
      <c r="M72" s="983"/>
      <c r="N72" s="18">
        <f t="shared" ref="N72" si="26">SUM(G72:M72)</f>
        <v>8510551499.8400002</v>
      </c>
      <c r="O72" s="27"/>
      <c r="P72" s="86"/>
      <c r="Q72" s="13"/>
      <c r="R72" s="13"/>
    </row>
    <row r="73" spans="1:18" ht="13.5" customHeight="1" x14ac:dyDescent="0.15">
      <c r="A73" s="4"/>
      <c r="B73" s="1137"/>
      <c r="C73" s="657" t="s">
        <v>27</v>
      </c>
      <c r="D73" s="673">
        <f>SUM(D71:D72)</f>
        <v>16247912.4254</v>
      </c>
      <c r="E73" s="673">
        <f>SUM(E71:E72)</f>
        <v>688770554.94289994</v>
      </c>
      <c r="F73" s="674">
        <f t="shared" ref="F73:F75" si="27">G73/E73</f>
        <v>18.938323262209401</v>
      </c>
      <c r="G73" s="675">
        <f>SUM(G71:G72)</f>
        <v>13044159423</v>
      </c>
      <c r="H73" s="684">
        <f>SUM(H71:H72)</f>
        <v>0</v>
      </c>
      <c r="I73" s="676">
        <f>SUM(I71:I72)</f>
        <v>17830680</v>
      </c>
      <c r="J73" s="676">
        <f>SUM(J71:J72)</f>
        <v>13073800</v>
      </c>
      <c r="K73" s="677">
        <v>0</v>
      </c>
      <c r="L73" s="677">
        <v>0</v>
      </c>
      <c r="M73" s="677">
        <v>0</v>
      </c>
      <c r="N73" s="664">
        <f>SUM(N71:N72)</f>
        <v>13075063903</v>
      </c>
      <c r="O73" s="27"/>
      <c r="P73" s="86"/>
      <c r="Q73" s="13"/>
      <c r="R73" s="13"/>
    </row>
    <row r="74" spans="1:18" ht="12.75" customHeight="1" x14ac:dyDescent="0.15">
      <c r="A74" s="4"/>
      <c r="B74" s="1124" t="s">
        <v>333</v>
      </c>
      <c r="C74" s="76" t="s">
        <v>235</v>
      </c>
      <c r="D74" s="1007">
        <v>29473.5517</v>
      </c>
      <c r="E74" s="1007">
        <v>1250732.2001</v>
      </c>
      <c r="F74" s="78">
        <f t="shared" si="27"/>
        <v>20.254399589276236</v>
      </c>
      <c r="G74" s="1031">
        <v>25332829.760000002</v>
      </c>
      <c r="H74" s="463"/>
      <c r="I74" s="1034">
        <v>71550</v>
      </c>
      <c r="J74" s="1034">
        <v>117600</v>
      </c>
      <c r="K74" s="134"/>
      <c r="L74" s="184"/>
      <c r="M74" s="980"/>
      <c r="N74" s="18">
        <f>SUM(G74:M74)</f>
        <v>25521979.760000002</v>
      </c>
      <c r="O74" s="27"/>
      <c r="P74" s="86"/>
      <c r="Q74" s="13"/>
      <c r="R74" s="13"/>
    </row>
    <row r="75" spans="1:18" ht="13.5" customHeight="1" x14ac:dyDescent="0.15">
      <c r="A75" s="4"/>
      <c r="B75" s="1124"/>
      <c r="C75" s="77" t="s">
        <v>232</v>
      </c>
      <c r="D75" s="1028">
        <v>395876.44829999999</v>
      </c>
      <c r="E75" s="1028">
        <v>16783532.473900001</v>
      </c>
      <c r="F75" s="78">
        <f t="shared" si="27"/>
        <v>19.262899615606052</v>
      </c>
      <c r="G75" s="1032">
        <v>323299501.24000001</v>
      </c>
      <c r="H75" s="463"/>
      <c r="I75" s="1003">
        <v>256810</v>
      </c>
      <c r="J75" s="1003">
        <v>323400</v>
      </c>
      <c r="K75" s="134"/>
      <c r="L75" s="132"/>
      <c r="M75" s="975"/>
      <c r="N75" s="18">
        <f>SUM(G75:M75)</f>
        <v>323879711.24000001</v>
      </c>
      <c r="O75" s="27"/>
      <c r="P75" s="86"/>
      <c r="Q75" s="13"/>
      <c r="R75" s="13"/>
    </row>
    <row r="76" spans="1:18" ht="13.5" customHeight="1" x14ac:dyDescent="0.15">
      <c r="A76" s="4"/>
      <c r="B76" s="1124"/>
      <c r="C76" s="76" t="s">
        <v>78</v>
      </c>
      <c r="D76" s="967"/>
      <c r="E76" s="959"/>
      <c r="F76" s="78"/>
      <c r="G76" s="1031">
        <v>-934559</v>
      </c>
      <c r="H76" s="531"/>
      <c r="I76" s="531"/>
      <c r="J76" s="531"/>
      <c r="K76" s="134"/>
      <c r="L76" s="184"/>
      <c r="M76" s="980"/>
      <c r="N76" s="18">
        <f>SUM(G76:M76)</f>
        <v>-934559</v>
      </c>
      <c r="O76" s="27"/>
      <c r="P76" s="86"/>
      <c r="Q76" s="13"/>
      <c r="R76" s="13"/>
    </row>
    <row r="77" spans="1:18" ht="13.5" customHeight="1" x14ac:dyDescent="0.15">
      <c r="A77" s="4"/>
      <c r="B77" s="1124"/>
      <c r="C77" s="12" t="s">
        <v>89</v>
      </c>
      <c r="D77" s="166"/>
      <c r="E77" s="148"/>
      <c r="F77" s="65"/>
      <c r="G77" s="1031">
        <v>-706076</v>
      </c>
      <c r="H77" s="528"/>
      <c r="I77" s="528"/>
      <c r="J77" s="528"/>
      <c r="K77" s="121"/>
      <c r="L77" s="129"/>
      <c r="M77" s="984"/>
      <c r="N77" s="18">
        <f>SUM(G77:M77)</f>
        <v>-706076</v>
      </c>
      <c r="O77" s="27"/>
      <c r="P77" s="86"/>
      <c r="Q77" s="13"/>
      <c r="R77" s="13"/>
    </row>
    <row r="78" spans="1:18" ht="13.5" customHeight="1" x14ac:dyDescent="0.15">
      <c r="A78" s="4"/>
      <c r="B78" s="1125"/>
      <c r="C78" s="657" t="s">
        <v>27</v>
      </c>
      <c r="D78" s="673">
        <f>SUM(D74:D77)</f>
        <v>425350</v>
      </c>
      <c r="E78" s="673">
        <f>SUM(E74:E77)</f>
        <v>18034264.674000002</v>
      </c>
      <c r="F78" s="674">
        <f>G78/E78</f>
        <v>19.240690001642147</v>
      </c>
      <c r="G78" s="678">
        <f>SUM(G74:G77)</f>
        <v>346991696</v>
      </c>
      <c r="H78" s="679">
        <f>SUM(H75:H77)</f>
        <v>0</v>
      </c>
      <c r="I78" s="680">
        <f>SUM(I74:I77)</f>
        <v>328360</v>
      </c>
      <c r="J78" s="680">
        <f>SUM(J74:J77)</f>
        <v>441000</v>
      </c>
      <c r="K78" s="681">
        <f>SUM(K75:K77)</f>
        <v>0</v>
      </c>
      <c r="L78" s="681">
        <f>SUM(L75:L77)</f>
        <v>0</v>
      </c>
      <c r="M78" s="681">
        <f>SUM(M75:M77)</f>
        <v>0</v>
      </c>
      <c r="N78" s="682">
        <f>SUM(N74:N77)</f>
        <v>347761056</v>
      </c>
      <c r="O78" s="27"/>
      <c r="P78" s="86"/>
      <c r="Q78" s="13"/>
      <c r="R78" s="13"/>
    </row>
    <row r="79" spans="1:18" ht="13.5" customHeight="1" x14ac:dyDescent="0.15">
      <c r="A79" s="4"/>
      <c r="B79" s="1124" t="s">
        <v>334</v>
      </c>
      <c r="C79" s="76" t="s">
        <v>234</v>
      </c>
      <c r="D79" s="1007">
        <v>52179.713499999998</v>
      </c>
      <c r="E79" s="1007">
        <v>2214297.5633</v>
      </c>
      <c r="F79" s="78">
        <f t="shared" ref="F79:F80" si="28">G79/E79</f>
        <v>16.892499991850574</v>
      </c>
      <c r="G79" s="1031">
        <v>37405021.57</v>
      </c>
      <c r="H79" s="463"/>
      <c r="I79" s="1034">
        <v>76370</v>
      </c>
      <c r="J79" s="530"/>
      <c r="K79" s="134"/>
      <c r="L79" s="132"/>
      <c r="M79" s="975"/>
      <c r="N79" s="18">
        <f>SUM(G79:M79)</f>
        <v>37481391.57</v>
      </c>
      <c r="O79" s="27"/>
      <c r="P79" s="86"/>
      <c r="Q79" s="13"/>
      <c r="R79" s="13"/>
    </row>
    <row r="80" spans="1:18" ht="13.5" customHeight="1" x14ac:dyDescent="0.15">
      <c r="A80" s="4"/>
      <c r="B80" s="1124"/>
      <c r="C80" s="76" t="s">
        <v>233</v>
      </c>
      <c r="D80" s="1028">
        <v>331565.26549999998</v>
      </c>
      <c r="E80" s="1028">
        <v>14054643.3232</v>
      </c>
      <c r="F80" s="78">
        <f t="shared" si="28"/>
        <v>15.900999640531383</v>
      </c>
      <c r="G80" s="1032">
        <v>223482878.43000001</v>
      </c>
      <c r="H80" s="463"/>
      <c r="I80" s="1003">
        <v>46200</v>
      </c>
      <c r="J80" s="531"/>
      <c r="K80" s="134"/>
      <c r="L80" s="184"/>
      <c r="M80" s="980"/>
      <c r="N80" s="51">
        <f>SUM(G80:M80)</f>
        <v>223529078.43000001</v>
      </c>
      <c r="O80" s="27"/>
      <c r="P80" s="86"/>
      <c r="Q80" s="13"/>
      <c r="R80" s="13"/>
    </row>
    <row r="81" spans="1:19" ht="13.5" customHeight="1" x14ac:dyDescent="0.15">
      <c r="A81" s="4"/>
      <c r="B81" s="1124"/>
      <c r="C81" s="77" t="s">
        <v>78</v>
      </c>
      <c r="D81" s="967"/>
      <c r="E81" s="959"/>
      <c r="F81" s="78"/>
      <c r="G81" s="1031">
        <v>-1618134</v>
      </c>
      <c r="H81" s="531"/>
      <c r="I81" s="531"/>
      <c r="J81" s="531"/>
      <c r="K81" s="134"/>
      <c r="L81" s="132"/>
      <c r="M81" s="975"/>
      <c r="N81" s="52">
        <f>SUM(G81:M81)</f>
        <v>-1618134</v>
      </c>
      <c r="O81" s="27"/>
      <c r="P81" s="86"/>
      <c r="Q81" s="13"/>
      <c r="R81" s="13"/>
    </row>
    <row r="82" spans="1:19" ht="13.5" customHeight="1" x14ac:dyDescent="0.15">
      <c r="A82" s="4"/>
      <c r="B82" s="1124"/>
      <c r="C82" s="12" t="s">
        <v>89</v>
      </c>
      <c r="D82" s="165"/>
      <c r="E82" s="180"/>
      <c r="F82" s="78"/>
      <c r="G82" s="1031">
        <v>-1222834</v>
      </c>
      <c r="H82" s="531"/>
      <c r="I82" s="531"/>
      <c r="J82" s="531"/>
      <c r="K82" s="134"/>
      <c r="L82" s="132"/>
      <c r="M82" s="975"/>
      <c r="N82" s="52">
        <f>SUM(G82:M82)</f>
        <v>-1222834</v>
      </c>
      <c r="O82" s="27"/>
      <c r="P82" s="86"/>
      <c r="Q82" s="13"/>
      <c r="R82" s="13"/>
    </row>
    <row r="83" spans="1:19" ht="13.5" customHeight="1" x14ac:dyDescent="0.15">
      <c r="A83" s="4"/>
      <c r="B83" s="1125"/>
      <c r="C83" s="657" t="s">
        <v>27</v>
      </c>
      <c r="D83" s="673">
        <f>SUM(D79:D82)</f>
        <v>383744.97899999999</v>
      </c>
      <c r="E83" s="670">
        <f>SUM(E79:E82)</f>
        <v>16268940.886500001</v>
      </c>
      <c r="F83" s="674">
        <f>G83/E83</f>
        <v>15.861323352285817</v>
      </c>
      <c r="G83" s="683">
        <f t="shared" ref="G83:N83" si="29">SUM(G79:G82)</f>
        <v>258046932</v>
      </c>
      <c r="H83" s="684">
        <f t="shared" si="29"/>
        <v>0</v>
      </c>
      <c r="I83" s="672">
        <f t="shared" si="29"/>
        <v>122570</v>
      </c>
      <c r="J83" s="684">
        <f t="shared" si="29"/>
        <v>0</v>
      </c>
      <c r="K83" s="677">
        <f t="shared" si="29"/>
        <v>0</v>
      </c>
      <c r="L83" s="677">
        <f t="shared" si="29"/>
        <v>0</v>
      </c>
      <c r="M83" s="677">
        <f t="shared" si="29"/>
        <v>0</v>
      </c>
      <c r="N83" s="685">
        <f t="shared" si="29"/>
        <v>258169502</v>
      </c>
      <c r="O83" s="27"/>
      <c r="P83" s="86"/>
      <c r="Q83" s="13"/>
      <c r="R83" s="13"/>
    </row>
    <row r="84" spans="1:19" ht="13.5" customHeight="1" x14ac:dyDescent="0.15">
      <c r="A84" s="4"/>
      <c r="B84" s="1134" t="s">
        <v>392</v>
      </c>
      <c r="C84" s="745" t="s">
        <v>158</v>
      </c>
      <c r="D84" s="1028">
        <v>25005</v>
      </c>
      <c r="E84" s="1028">
        <v>1060136.9850000001</v>
      </c>
      <c r="F84" s="114">
        <f>G84/E84</f>
        <v>22.01069798541176</v>
      </c>
      <c r="G84" s="1032">
        <v>23334355</v>
      </c>
      <c r="H84" s="466"/>
      <c r="I84" s="1003">
        <v>629820</v>
      </c>
      <c r="J84" s="1003">
        <v>88200</v>
      </c>
      <c r="K84" s="130"/>
      <c r="L84" s="985"/>
      <c r="M84" s="985"/>
      <c r="N84" s="51">
        <f>SUM(G84:M84)</f>
        <v>24052375</v>
      </c>
      <c r="O84" s="27"/>
      <c r="P84" s="86"/>
      <c r="Q84" s="13"/>
      <c r="R84" s="13"/>
    </row>
    <row r="85" spans="1:19" ht="13.5" customHeight="1" x14ac:dyDescent="0.15">
      <c r="A85" s="4"/>
      <c r="B85" s="1135"/>
      <c r="C85" s="657" t="s">
        <v>27</v>
      </c>
      <c r="D85" s="673">
        <f>SUM(D84:D84)</f>
        <v>25005</v>
      </c>
      <c r="E85" s="670">
        <f>SUM(E84:E84)</f>
        <v>1060136.9850000001</v>
      </c>
      <c r="F85" s="674">
        <f>G85/E85</f>
        <v>22.01069798541176</v>
      </c>
      <c r="G85" s="683">
        <f>SUM(G84:G84)</f>
        <v>23334355</v>
      </c>
      <c r="H85" s="684">
        <f t="shared" ref="H85:M85" si="30">SUM(H84)</f>
        <v>0</v>
      </c>
      <c r="I85" s="672">
        <f>SUM(I84:I84)</f>
        <v>629820</v>
      </c>
      <c r="J85" s="672">
        <f>SUM(J84:J84)</f>
        <v>88200</v>
      </c>
      <c r="K85" s="677">
        <f t="shared" si="30"/>
        <v>0</v>
      </c>
      <c r="L85" s="677">
        <f t="shared" si="30"/>
        <v>0</v>
      </c>
      <c r="M85" s="677">
        <f t="shared" si="30"/>
        <v>0</v>
      </c>
      <c r="N85" s="685">
        <f>SUM(N84:N84)</f>
        <v>24052375</v>
      </c>
      <c r="O85" s="27"/>
      <c r="P85" s="86"/>
      <c r="Q85" s="13"/>
      <c r="R85" s="13"/>
    </row>
    <row r="86" spans="1:19" ht="13.5" customHeight="1" x14ac:dyDescent="0.15">
      <c r="A86" s="4"/>
      <c r="B86" s="1128" t="s">
        <v>215</v>
      </c>
      <c r="C86" s="742" t="s">
        <v>216</v>
      </c>
      <c r="D86" s="1007">
        <v>38348.141799999998</v>
      </c>
      <c r="E86" s="1007">
        <v>1625846.1677999999</v>
      </c>
      <c r="F86" s="64">
        <f>G86/E86</f>
        <v>22.915399327363104</v>
      </c>
      <c r="G86" s="1031">
        <v>37256914.18</v>
      </c>
      <c r="H86" s="465"/>
      <c r="I86" s="1034">
        <v>1257480</v>
      </c>
      <c r="J86" s="948"/>
      <c r="K86" s="124"/>
      <c r="L86" s="135"/>
      <c r="M86" s="135"/>
      <c r="N86" s="51">
        <f>SUM(G86:M86)</f>
        <v>38514394.18</v>
      </c>
      <c r="O86" s="27"/>
      <c r="P86" s="86"/>
      <c r="Q86" s="86"/>
      <c r="R86" s="13"/>
    </row>
    <row r="87" spans="1:19" ht="13.5" customHeight="1" x14ac:dyDescent="0.15">
      <c r="A87" s="4"/>
      <c r="B87" s="1124"/>
      <c r="C87" s="170" t="s">
        <v>88</v>
      </c>
      <c r="D87" s="963"/>
      <c r="E87" s="968"/>
      <c r="F87" s="65"/>
      <c r="G87" s="1031">
        <v>3197356.82</v>
      </c>
      <c r="H87" s="528"/>
      <c r="I87" s="949"/>
      <c r="J87" s="949"/>
      <c r="K87" s="121"/>
      <c r="L87" s="136"/>
      <c r="M87" s="136"/>
      <c r="N87" s="51">
        <f>SUM(G87:M87)</f>
        <v>3197356.82</v>
      </c>
      <c r="O87" s="27"/>
      <c r="P87" s="86"/>
      <c r="Q87" s="86"/>
      <c r="R87" s="13"/>
    </row>
    <row r="88" spans="1:19" ht="13.5" customHeight="1" x14ac:dyDescent="0.15">
      <c r="A88" s="4"/>
      <c r="B88" s="1125"/>
      <c r="C88" s="686" t="s">
        <v>381</v>
      </c>
      <c r="D88" s="673">
        <f>D86</f>
        <v>38348.141799999998</v>
      </c>
      <c r="E88" s="670">
        <f>E86</f>
        <v>1625846.1677999999</v>
      </c>
      <c r="F88" s="674">
        <f>G88/E88</f>
        <v>24.881979489326692</v>
      </c>
      <c r="G88" s="675">
        <f>SUM(G86:G87)</f>
        <v>40454271</v>
      </c>
      <c r="H88" s="684">
        <f>SUM(H86)</f>
        <v>0</v>
      </c>
      <c r="I88" s="672">
        <f>SUM(I86)</f>
        <v>1257480</v>
      </c>
      <c r="J88" s="684">
        <v>0</v>
      </c>
      <c r="K88" s="677">
        <f>SUM(K86)</f>
        <v>0</v>
      </c>
      <c r="L88" s="677">
        <f>SUM(L86)</f>
        <v>0</v>
      </c>
      <c r="M88" s="677">
        <v>0</v>
      </c>
      <c r="N88" s="664">
        <f>SUM(N86:N87)</f>
        <v>41711751</v>
      </c>
      <c r="O88" s="27"/>
      <c r="P88" s="222" t="s">
        <v>228</v>
      </c>
      <c r="Q88" s="223" t="s">
        <v>227</v>
      </c>
      <c r="R88" s="223" t="s">
        <v>226</v>
      </c>
      <c r="S88" s="212"/>
    </row>
    <row r="89" spans="1:19" ht="18" customHeight="1" x14ac:dyDescent="0.15">
      <c r="A89" s="169"/>
      <c r="B89" s="1140" t="s">
        <v>36</v>
      </c>
      <c r="C89" s="1141"/>
      <c r="D89" s="150">
        <f>D88+D85+D78+D73+D70+D57+D54+D44+D83</f>
        <v>49360715.569200002</v>
      </c>
      <c r="E89" s="150">
        <f>E88+E85+E78+E73+E70+E57+E54+E44+E83</f>
        <v>2098350921.9886994</v>
      </c>
      <c r="F89" s="66">
        <f>G89/E89</f>
        <v>20.284852687394881</v>
      </c>
      <c r="G89" s="116">
        <f>G88+G85+G83+G78+G73+G70+G57+G54+G44</f>
        <v>42564739339</v>
      </c>
      <c r="H89" s="728">
        <f>H88+H85+H78+H73+H70+H57+H54+H44+H83</f>
        <v>1048803690</v>
      </c>
      <c r="I89" s="728">
        <f>I88+I85+I78+I73+I70+I57+I54+I44+I83</f>
        <v>278904370</v>
      </c>
      <c r="J89" s="728">
        <f>J88+J85+J78+J73+J70+J57+J54+J44+J83</f>
        <v>25429500</v>
      </c>
      <c r="K89" s="195">
        <f>P99</f>
        <v>4346954852</v>
      </c>
      <c r="L89" s="115">
        <f>P95</f>
        <v>27686552</v>
      </c>
      <c r="M89" s="115">
        <f>P96</f>
        <v>2540010</v>
      </c>
      <c r="N89" s="196">
        <f>SUM(G89:M89)</f>
        <v>48295058313</v>
      </c>
      <c r="O89" s="27"/>
      <c r="P89" s="213" t="s">
        <v>224</v>
      </c>
      <c r="Q89" s="214">
        <f>SUMIFS($N:$N,$C:$C,"계")</f>
        <v>43917876899</v>
      </c>
      <c r="R89" s="214">
        <f>SUM(G89:J89)</f>
        <v>43917876899</v>
      </c>
      <c r="S89" s="215" t="b">
        <f>Q89=R89</f>
        <v>1</v>
      </c>
    </row>
    <row r="90" spans="1:19" ht="18" customHeight="1" x14ac:dyDescent="0.15">
      <c r="A90" s="1142" t="s">
        <v>68</v>
      </c>
      <c r="B90" s="1143"/>
      <c r="C90" s="1144"/>
      <c r="D90" s="152">
        <f>D13-D89+D56</f>
        <v>8991192.3386000805</v>
      </c>
      <c r="E90" s="153">
        <f>E13-E89+E56</f>
        <v>361540661.8622008</v>
      </c>
      <c r="F90" s="67"/>
      <c r="G90" s="60"/>
      <c r="H90" s="460"/>
      <c r="I90" s="460"/>
      <c r="J90" s="460"/>
      <c r="K90" s="53"/>
      <c r="L90" s="53"/>
      <c r="M90" s="53"/>
      <c r="N90" s="42"/>
      <c r="O90" s="27"/>
      <c r="P90" s="216" t="s">
        <v>225</v>
      </c>
      <c r="Q90" s="214">
        <f>N89-Q89</f>
        <v>4377181414</v>
      </c>
      <c r="R90" s="217">
        <f>SUM(K89:M89)</f>
        <v>4377181414</v>
      </c>
      <c r="S90" s="215" t="b">
        <f>Q90=R90</f>
        <v>1</v>
      </c>
    </row>
    <row r="91" spans="1:19" ht="18" customHeight="1" thickBot="1" x14ac:dyDescent="0.2">
      <c r="A91" s="1145" t="s">
        <v>69</v>
      </c>
      <c r="B91" s="1146"/>
      <c r="C91" s="1147"/>
      <c r="D91" s="154">
        <f>D17-D56</f>
        <v>-35691.469999999972</v>
      </c>
      <c r="E91" s="154">
        <f>E17-E56</f>
        <v>-1662904.9332999978</v>
      </c>
      <c r="F91" s="68"/>
      <c r="G91" s="454"/>
      <c r="H91" s="470"/>
      <c r="I91" s="470"/>
      <c r="J91" s="470"/>
      <c r="K91" s="44"/>
      <c r="L91" s="44"/>
      <c r="M91" s="44"/>
      <c r="N91" s="45"/>
      <c r="O91" s="27"/>
      <c r="P91" s="218" t="s">
        <v>229</v>
      </c>
      <c r="Q91" s="219">
        <f>Q89+Q90</f>
        <v>48295058313</v>
      </c>
      <c r="R91" s="220">
        <f>R89+R90</f>
        <v>48295058313</v>
      </c>
      <c r="S91" s="221" t="b">
        <f>Q91=R91</f>
        <v>1</v>
      </c>
    </row>
    <row r="92" spans="1:19" ht="18" customHeight="1" x14ac:dyDescent="0.15">
      <c r="A92" s="3"/>
      <c r="B92" s="3"/>
      <c r="C92" s="3"/>
      <c r="D92" s="15"/>
      <c r="E92" s="15" t="s">
        <v>51</v>
      </c>
      <c r="F92" s="1139">
        <f>E89/F93</f>
        <v>0.98891587231484468</v>
      </c>
      <c r="G92" s="1139"/>
      <c r="H92" s="20"/>
      <c r="I92" s="21"/>
      <c r="J92" s="21"/>
      <c r="K92" s="21"/>
      <c r="L92" s="57"/>
      <c r="M92" s="50"/>
      <c r="N92" s="6"/>
      <c r="O92" s="27"/>
    </row>
    <row r="93" spans="1:19" ht="18" customHeight="1" x14ac:dyDescent="0.15">
      <c r="A93" s="3"/>
      <c r="B93" s="3"/>
      <c r="C93" s="164"/>
      <c r="D93" s="15"/>
      <c r="E93" s="14" t="str">
        <f>'판매량-월별추이'!R4&amp;" 판매계획:"</f>
        <v>7월  판매계획:</v>
      </c>
      <c r="F93" s="1138">
        <f>ROUND(총괄표!C23*1000,-3)</f>
        <v>2121870000</v>
      </c>
      <c r="G93" s="1138"/>
      <c r="H93" s="1133"/>
      <c r="I93" s="1133"/>
      <c r="J93" s="21"/>
      <c r="K93" s="21"/>
      <c r="L93" s="43"/>
      <c r="M93" s="50"/>
      <c r="N93" s="94"/>
      <c r="O93" s="27"/>
    </row>
    <row r="94" spans="1:19" ht="18" customHeight="1" x14ac:dyDescent="0.15">
      <c r="C94" s="163"/>
      <c r="D94" s="155"/>
      <c r="E94" s="14"/>
      <c r="F94" s="733"/>
      <c r="G94" s="455"/>
      <c r="H94" s="734"/>
      <c r="I94" s="735"/>
      <c r="J94" s="735"/>
      <c r="K94" s="717" t="s">
        <v>52</v>
      </c>
      <c r="L94" s="718">
        <f>-SUMIFS($G:$G,$C:$C,"사회복지시설할인액")</f>
        <v>25903990</v>
      </c>
      <c r="M94" s="719" t="s">
        <v>53</v>
      </c>
      <c r="N94" s="1036">
        <v>4767043</v>
      </c>
      <c r="O94" s="27"/>
      <c r="P94" s="707" t="s">
        <v>85</v>
      </c>
      <c r="Q94" s="708" t="s">
        <v>86</v>
      </c>
      <c r="R94" s="708" t="s">
        <v>190</v>
      </c>
      <c r="S94" s="709" t="s">
        <v>93</v>
      </c>
    </row>
    <row r="95" spans="1:19" ht="18" customHeight="1" x14ac:dyDescent="0.15">
      <c r="C95" s="225"/>
      <c r="G95" s="736"/>
      <c r="H95" s="735"/>
      <c r="I95" s="735"/>
      <c r="J95" s="735"/>
      <c r="K95" s="720" t="s">
        <v>48</v>
      </c>
      <c r="L95" s="772">
        <f>-SUMIFS($G:$G,$C:$C,"사회적배려 할인액")</f>
        <v>816515294</v>
      </c>
      <c r="M95" s="722" t="s">
        <v>54</v>
      </c>
      <c r="N95" s="1035">
        <v>73776560</v>
      </c>
      <c r="O95" s="27"/>
      <c r="P95" s="710">
        <f>(Q95-R95)*S95</f>
        <v>27686552</v>
      </c>
      <c r="Q95" s="711">
        <f>I89</f>
        <v>278904370</v>
      </c>
      <c r="R95" s="1037">
        <v>2038850</v>
      </c>
      <c r="S95" s="712">
        <v>0.1</v>
      </c>
    </row>
    <row r="96" spans="1:19" ht="18" customHeight="1" x14ac:dyDescent="0.15">
      <c r="C96" s="224"/>
      <c r="D96" s="27"/>
      <c r="E96" s="27"/>
      <c r="G96" s="736"/>
      <c r="H96" s="735"/>
      <c r="I96" s="735"/>
      <c r="J96" s="735"/>
      <c r="K96" s="720" t="s">
        <v>78</v>
      </c>
      <c r="L96" s="721">
        <f>-SUMIFS($G:$G,$C:$C,K96)</f>
        <v>2552693</v>
      </c>
      <c r="M96" s="723" t="s">
        <v>55</v>
      </c>
      <c r="N96" s="1035">
        <v>124125220</v>
      </c>
      <c r="O96" s="27"/>
      <c r="P96" s="710">
        <f>(Q96-R96)*S95</f>
        <v>2540010</v>
      </c>
      <c r="Q96" s="711">
        <f>J89</f>
        <v>25429500</v>
      </c>
      <c r="R96" s="1037">
        <v>29400</v>
      </c>
      <c r="S96" s="713"/>
    </row>
    <row r="97" spans="1:19" ht="18" customHeight="1" x14ac:dyDescent="0.15">
      <c r="C97" s="225"/>
      <c r="D97" s="1131"/>
      <c r="E97" s="1132"/>
      <c r="G97" s="737"/>
      <c r="H97" s="735"/>
      <c r="I97" s="735"/>
      <c r="J97" s="735"/>
      <c r="K97" s="724" t="s">
        <v>90</v>
      </c>
      <c r="L97" s="725">
        <f>-SUMIFS($G:$G,$C:$C,K97)</f>
        <v>1928910</v>
      </c>
      <c r="M97" s="726"/>
      <c r="N97" s="727"/>
      <c r="O97" s="27"/>
      <c r="P97" s="710" t="s">
        <v>104</v>
      </c>
      <c r="Q97" s="711" t="s">
        <v>79</v>
      </c>
      <c r="R97" s="711" t="s">
        <v>85</v>
      </c>
      <c r="S97" s="713"/>
    </row>
    <row r="98" spans="1:19" ht="18" customHeight="1" x14ac:dyDescent="0.15">
      <c r="A98" s="2" t="s">
        <v>363</v>
      </c>
      <c r="C98" s="226"/>
      <c r="D98" s="1126"/>
      <c r="E98" s="1127"/>
      <c r="G98" s="736"/>
      <c r="H98" s="735"/>
      <c r="I98" s="735"/>
      <c r="J98" s="735"/>
      <c r="M98" s="22"/>
      <c r="N98" s="747"/>
      <c r="O98" s="27"/>
      <c r="P98" s="710">
        <f>(Q98-R98)</f>
        <v>4349494862</v>
      </c>
      <c r="Q98" s="1037">
        <v>4377181414</v>
      </c>
      <c r="R98" s="711">
        <f>P95</f>
        <v>27686552</v>
      </c>
      <c r="S98" s="713"/>
    </row>
    <row r="99" spans="1:19" ht="15" customHeight="1" x14ac:dyDescent="0.15">
      <c r="G99" s="656"/>
      <c r="H99" s="5"/>
      <c r="I99" s="20"/>
      <c r="J99" s="20"/>
      <c r="K99" s="21"/>
      <c r="L99" s="20"/>
      <c r="M99" s="20"/>
      <c r="N99" s="21"/>
      <c r="O99" s="27"/>
      <c r="P99" s="714">
        <f>Q98-R98-R99</f>
        <v>4346954852</v>
      </c>
      <c r="Q99" s="715"/>
      <c r="R99" s="715">
        <f>P96</f>
        <v>2540010</v>
      </c>
      <c r="S99" s="716"/>
    </row>
    <row r="100" spans="1:19" ht="15" customHeight="1" x14ac:dyDescent="0.15">
      <c r="G100" s="449"/>
      <c r="H100" s="655"/>
      <c r="I100" s="471"/>
      <c r="J100" s="471"/>
      <c r="K100" s="21"/>
      <c r="L100" s="20"/>
      <c r="M100" s="22"/>
      <c r="N100" s="21"/>
      <c r="O100" s="9"/>
      <c r="P100" s="3"/>
      <c r="Q100" s="785"/>
      <c r="R100" s="3"/>
      <c r="S100" s="3"/>
    </row>
    <row r="101" spans="1:19" ht="15" customHeight="1" x14ac:dyDescent="0.15">
      <c r="E101" s="646"/>
      <c r="H101" s="5"/>
      <c r="I101" s="20"/>
      <c r="J101" s="20"/>
      <c r="K101" s="21"/>
      <c r="L101" s="22"/>
      <c r="M101" s="22"/>
      <c r="N101" s="21"/>
      <c r="O101" s="9"/>
      <c r="P101" s="3"/>
      <c r="Q101" s="3"/>
      <c r="R101" s="3"/>
      <c r="S101" s="3"/>
    </row>
    <row r="102" spans="1:19" ht="15" customHeight="1" x14ac:dyDescent="0.15">
      <c r="H102" s="5"/>
      <c r="I102" s="5"/>
      <c r="J102" s="5"/>
      <c r="K102" s="9"/>
      <c r="L102" s="9"/>
      <c r="M102" s="9"/>
      <c r="N102" s="9"/>
      <c r="O102" s="9"/>
      <c r="P102" s="3"/>
      <c r="Q102" s="3"/>
      <c r="R102" s="3"/>
      <c r="S102" s="3"/>
    </row>
    <row r="103" spans="1:19" ht="15" customHeight="1" x14ac:dyDescent="0.15">
      <c r="C103" s="509" t="s">
        <v>231</v>
      </c>
      <c r="D103" s="510" t="s">
        <v>111</v>
      </c>
      <c r="E103" s="510" t="s">
        <v>112</v>
      </c>
      <c r="F103" s="1122" t="s">
        <v>3</v>
      </c>
      <c r="G103" s="1123"/>
      <c r="H103" s="5"/>
      <c r="I103" s="5"/>
      <c r="J103" s="5" t="s">
        <v>393</v>
      </c>
      <c r="K103" s="9"/>
      <c r="M103" s="9"/>
      <c r="N103" s="9"/>
      <c r="O103" s="738" t="s">
        <v>80</v>
      </c>
      <c r="P103" s="3"/>
      <c r="Q103" s="3"/>
      <c r="R103" s="3"/>
      <c r="S103" s="3"/>
    </row>
    <row r="104" spans="1:19" ht="15" customHeight="1" x14ac:dyDescent="0.15">
      <c r="C104" s="511" t="s">
        <v>360</v>
      </c>
      <c r="D104" s="512">
        <f>SUMIFS(D:D,$B:$B,"합계")-SUMIFS(D:D,$C:$C,"수송용(BIO)")</f>
        <v>49082339.869199999</v>
      </c>
      <c r="E104" s="512">
        <f>SUMIFS(E:E,$B:$B,"합계")-SUMIFS(E:E,$C:$C,"수송용(BIO)")</f>
        <v>2086577786.2618995</v>
      </c>
      <c r="F104" s="1116">
        <f>SUMIFS(G:G,$B:$B,"합계")+SUMIFS(H:H,$B:$B,"합계")-SUMIFS(G:G,$C:$C,"수송용(BIO)")</f>
        <v>43362488004</v>
      </c>
      <c r="G104" s="1117"/>
      <c r="P104" s="3"/>
      <c r="Q104" s="3"/>
      <c r="R104" s="3"/>
      <c r="S104" s="3"/>
    </row>
    <row r="105" spans="1:19" ht="15" customHeight="1" x14ac:dyDescent="0.15">
      <c r="C105" s="511" t="s">
        <v>359</v>
      </c>
      <c r="D105" s="512">
        <f>SUMIFS(D:D,$C:$C,"수송용(BIO)")</f>
        <v>278375.7</v>
      </c>
      <c r="E105" s="512">
        <f>SUMIFS(E:E,$C:$C,"수송용(BIO)")</f>
        <v>11773135.7268</v>
      </c>
      <c r="F105" s="1118">
        <f>SUMIFS(G:G,$C:$C,"수송용(BIO)")</f>
        <v>251055025</v>
      </c>
      <c r="G105" s="1119"/>
      <c r="P105" s="3"/>
      <c r="Q105" s="3"/>
      <c r="R105" s="3"/>
      <c r="S105" s="3"/>
    </row>
    <row r="106" spans="1:19" ht="15" customHeight="1" x14ac:dyDescent="0.15">
      <c r="C106" s="513" t="s">
        <v>1</v>
      </c>
      <c r="D106" s="514">
        <f>SUM(D104:D105)</f>
        <v>49360715.569200002</v>
      </c>
      <c r="E106" s="515">
        <f>SUM(E104:E105)-0</f>
        <v>2098350921.9886994</v>
      </c>
      <c r="F106" s="1120">
        <f>F104+F105</f>
        <v>43613543029</v>
      </c>
      <c r="G106" s="1121"/>
      <c r="P106" s="3"/>
      <c r="Q106" s="3"/>
      <c r="R106" s="3"/>
      <c r="S106" s="3"/>
    </row>
    <row r="107" spans="1:19" ht="15" customHeight="1" x14ac:dyDescent="0.15">
      <c r="P107" s="696" t="s">
        <v>99</v>
      </c>
      <c r="Q107" s="697"/>
      <c r="R107" s="697"/>
      <c r="S107" s="698"/>
    </row>
    <row r="108" spans="1:19" ht="15" customHeight="1" x14ac:dyDescent="0.15">
      <c r="P108" s="699" t="s">
        <v>98</v>
      </c>
      <c r="Q108" s="700" t="s">
        <v>92</v>
      </c>
      <c r="R108" s="700" t="s">
        <v>93</v>
      </c>
      <c r="S108" s="701" t="s">
        <v>97</v>
      </c>
    </row>
    <row r="109" spans="1:19" ht="15" customHeight="1" x14ac:dyDescent="0.15">
      <c r="P109" s="699" t="s">
        <v>94</v>
      </c>
      <c r="Q109" s="702">
        <f>Q95-(Q110)</f>
        <v>93977960</v>
      </c>
      <c r="R109" s="702">
        <f>P95-R110</f>
        <v>9193911</v>
      </c>
      <c r="S109" s="703">
        <f>Q109+R109</f>
        <v>103171871</v>
      </c>
    </row>
    <row r="110" spans="1:19" ht="15" customHeight="1" x14ac:dyDescent="0.15">
      <c r="P110" s="699" t="s">
        <v>95</v>
      </c>
      <c r="Q110" s="1038">
        <v>184926410</v>
      </c>
      <c r="R110" s="702">
        <f>Q110*10%</f>
        <v>18492641</v>
      </c>
      <c r="S110" s="703">
        <f>Q110+R110</f>
        <v>203419051</v>
      </c>
    </row>
    <row r="111" spans="1:19" ht="15" customHeight="1" x14ac:dyDescent="0.15">
      <c r="P111" s="704" t="s">
        <v>96</v>
      </c>
      <c r="Q111" s="705">
        <f>SUM(Q109:Q110)</f>
        <v>278904370</v>
      </c>
      <c r="R111" s="705">
        <f>SUM(R109:R110)</f>
        <v>27686552</v>
      </c>
      <c r="S111" s="706">
        <f>SUM(S109:S110)</f>
        <v>306590922</v>
      </c>
    </row>
    <row r="113" spans="18:19" ht="15" customHeight="1" x14ac:dyDescent="0.15">
      <c r="R113" s="233"/>
      <c r="S113" s="233"/>
    </row>
    <row r="114" spans="18:19" ht="15" customHeight="1" x14ac:dyDescent="0.15">
      <c r="R114" s="233"/>
      <c r="S114" s="233"/>
    </row>
  </sheetData>
  <mergeCells count="31"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  <mergeCell ref="B18:B44"/>
    <mergeCell ref="D97:E97"/>
    <mergeCell ref="H93:I93"/>
    <mergeCell ref="B58:B70"/>
    <mergeCell ref="B74:B78"/>
    <mergeCell ref="B79:B83"/>
    <mergeCell ref="B84:B85"/>
    <mergeCell ref="B55:B57"/>
    <mergeCell ref="B71:B73"/>
    <mergeCell ref="F93:G93"/>
    <mergeCell ref="F92:G92"/>
    <mergeCell ref="B89:C89"/>
    <mergeCell ref="A90:C90"/>
    <mergeCell ref="A91:C91"/>
    <mergeCell ref="F104:G104"/>
    <mergeCell ref="F105:G105"/>
    <mergeCell ref="F106:G106"/>
    <mergeCell ref="F103:G103"/>
    <mergeCell ref="B45:B54"/>
    <mergeCell ref="D98:E98"/>
    <mergeCell ref="B86:B88"/>
  </mergeCells>
  <phoneticPr fontId="36" type="noConversion"/>
  <conditionalFormatting sqref="S89:S91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5"/>
  </cellWatches>
  <ignoredErrors>
    <ignoredError sqref="D12:E12 M31" formulaRange="1"/>
    <ignoredError sqref="F23 N23 F31 N31 F36 F40 F43:F44 F49 N49 F53:F54 H53 F57 N57 F62 F69:F70 F73 N73 F78 H78 N78 F83 F85 H85 N85 N88" formula="1"/>
    <ignoredError sqref="F37 F41 F46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zoomScaleNormal="100" workbookViewId="0">
      <selection activeCell="X17" sqref="X17"/>
    </sheetView>
  </sheetViews>
  <sheetFormatPr defaultColWidth="8.88671875" defaultRowHeight="12.75" customHeight="1" x14ac:dyDescent="0.15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 x14ac:dyDescent="0.25">
      <c r="B1" s="793" t="str">
        <f>"한국가스공사 제출용 구성비 ("&amp;LEFT(총괄표!A2,9)&amp;")"</f>
        <v>한국가스공사 제출용 구성비 (2025년 7월 )</v>
      </c>
      <c r="C1" s="793"/>
      <c r="D1" s="793"/>
      <c r="E1" s="793"/>
      <c r="F1" s="793"/>
      <c r="G1" s="793"/>
      <c r="H1" s="793"/>
      <c r="I1" s="793"/>
      <c r="J1" s="793"/>
      <c r="K1" s="793"/>
      <c r="L1" s="793"/>
      <c r="M1" s="793"/>
      <c r="S1" s="1164" t="s">
        <v>403</v>
      </c>
      <c r="T1" s="1164"/>
      <c r="U1" s="1164"/>
      <c r="V1" s="1164"/>
      <c r="W1" s="1164"/>
      <c r="X1" s="1164"/>
      <c r="Y1" s="1164"/>
      <c r="Z1" s="1164"/>
    </row>
    <row r="2" spans="1:26" ht="12.75" customHeight="1" thickBot="1" x14ac:dyDescent="0.2">
      <c r="S2" s="1164"/>
      <c r="T2" s="1164"/>
      <c r="U2" s="1164"/>
      <c r="V2" s="1164"/>
      <c r="W2" s="1164"/>
      <c r="X2" s="1164"/>
      <c r="Y2" s="1164"/>
      <c r="Z2" s="1164"/>
    </row>
    <row r="3" spans="1:26" ht="24.75" customHeight="1" x14ac:dyDescent="0.15">
      <c r="A3" s="794"/>
      <c r="B3" s="1165" t="s">
        <v>404</v>
      </c>
      <c r="C3" s="1166"/>
      <c r="D3" s="1167"/>
      <c r="E3" s="795" t="s">
        <v>405</v>
      </c>
      <c r="F3" s="795" t="s">
        <v>406</v>
      </c>
      <c r="G3" s="795" t="s">
        <v>29</v>
      </c>
      <c r="H3" s="795" t="s">
        <v>48</v>
      </c>
      <c r="I3" s="795" t="s">
        <v>407</v>
      </c>
      <c r="J3" s="795" t="s">
        <v>408</v>
      </c>
      <c r="K3" s="795" t="s">
        <v>30</v>
      </c>
      <c r="L3" s="795" t="s">
        <v>409</v>
      </c>
      <c r="M3" s="796" t="s">
        <v>410</v>
      </c>
      <c r="N3" s="2"/>
      <c r="Q3" s="797" t="s">
        <v>30</v>
      </c>
      <c r="S3" s="1164"/>
      <c r="T3" s="1164"/>
      <c r="U3" s="1164"/>
      <c r="V3" s="1164"/>
      <c r="W3" s="1164"/>
      <c r="X3" s="1164"/>
      <c r="Y3" s="1164"/>
      <c r="Z3" s="1164"/>
    </row>
    <row r="4" spans="1:26" ht="24.75" customHeight="1" x14ac:dyDescent="0.15">
      <c r="A4" s="794"/>
      <c r="B4" s="1168"/>
      <c r="C4" s="1169"/>
      <c r="D4" s="1170"/>
      <c r="E4" s="798" t="s">
        <v>411</v>
      </c>
      <c r="F4" s="798" t="s">
        <v>411</v>
      </c>
      <c r="G4" s="798" t="s">
        <v>411</v>
      </c>
      <c r="H4" s="798" t="s">
        <v>411</v>
      </c>
      <c r="I4" s="798" t="s">
        <v>411</v>
      </c>
      <c r="J4" s="798" t="s">
        <v>411</v>
      </c>
      <c r="K4" s="798" t="s">
        <v>411</v>
      </c>
      <c r="L4" s="798" t="s">
        <v>411</v>
      </c>
      <c r="M4" s="799" t="s">
        <v>412</v>
      </c>
      <c r="N4" s="2"/>
      <c r="Q4" s="800" t="s">
        <v>411</v>
      </c>
      <c r="S4" s="1164"/>
      <c r="T4" s="1164"/>
      <c r="U4" s="1164"/>
      <c r="V4" s="1164"/>
      <c r="W4" s="1164"/>
      <c r="X4" s="1164"/>
      <c r="Y4" s="1164"/>
      <c r="Z4" s="1164"/>
    </row>
    <row r="5" spans="1:26" ht="27.75" customHeight="1" x14ac:dyDescent="0.15">
      <c r="A5" s="794"/>
      <c r="B5" s="1171" t="s">
        <v>413</v>
      </c>
      <c r="C5" s="1174" t="s">
        <v>28</v>
      </c>
      <c r="D5" s="1175"/>
      <c r="E5" s="801">
        <f>ROUND((매출액표!E23-G5-H5-I5),0)</f>
        <v>19154149</v>
      </c>
      <c r="F5" s="802"/>
      <c r="G5" s="803">
        <f>ROUNDDOWN(('사회복지시설(MJ)'!D7),0)</f>
        <v>17466</v>
      </c>
      <c r="H5" s="804"/>
      <c r="I5" s="805"/>
      <c r="J5" s="805"/>
      <c r="K5" s="804"/>
      <c r="L5" s="806">
        <f>ROUND((E5+G5+K5),0)</f>
        <v>19171615</v>
      </c>
      <c r="M5" s="807">
        <f>ROUND(L5/$L$21*100,4)</f>
        <v>0.91820000000000002</v>
      </c>
      <c r="N5" s="2"/>
      <c r="Q5" s="808"/>
    </row>
    <row r="6" spans="1:26" ht="29.25" customHeight="1" x14ac:dyDescent="0.15">
      <c r="A6" s="794"/>
      <c r="B6" s="1172"/>
      <c r="C6" s="1176" t="s">
        <v>156</v>
      </c>
      <c r="D6" s="1177"/>
      <c r="E6" s="809">
        <f>ROUND((매출액표!E31+매출액표!E36-G6-H6-I6),0)</f>
        <v>603830527</v>
      </c>
      <c r="F6" s="810"/>
      <c r="G6" s="811">
        <f>ROUNDDOWN(('사회복지시설(MJ)'!D10),0)</f>
        <v>311068</v>
      </c>
      <c r="H6" s="812"/>
      <c r="I6" s="812"/>
      <c r="J6" s="812"/>
      <c r="K6" s="812"/>
      <c r="L6" s="809">
        <f>ROUND((E6+G6+K6),0)</f>
        <v>604141595</v>
      </c>
      <c r="M6" s="813">
        <f>ROUND(L6/$L$21*100,4)-0.0001</f>
        <v>28.934999999999999</v>
      </c>
      <c r="N6" s="2"/>
      <c r="Q6" s="814"/>
      <c r="S6" s="815"/>
      <c r="T6" s="816" t="s">
        <v>414</v>
      </c>
      <c r="U6" s="817"/>
    </row>
    <row r="7" spans="1:26" ht="27.75" customHeight="1" x14ac:dyDescent="0.15">
      <c r="A7" s="794"/>
      <c r="B7" s="1172"/>
      <c r="C7" s="1176" t="s">
        <v>415</v>
      </c>
      <c r="D7" s="1177"/>
      <c r="E7" s="818">
        <f>ROUND((매출액표!E40-G7-H7-I7),0)</f>
        <v>12308544</v>
      </c>
      <c r="F7" s="819"/>
      <c r="G7" s="820"/>
      <c r="H7" s="821"/>
      <c r="I7" s="812"/>
      <c r="J7" s="812"/>
      <c r="K7" s="812"/>
      <c r="L7" s="809">
        <f>ROUND((E7+G7+K7),0)</f>
        <v>12308544</v>
      </c>
      <c r="M7" s="813">
        <f>ROUND(L7/$L$21*100,4)</f>
        <v>0.58950000000000002</v>
      </c>
      <c r="N7" s="2"/>
      <c r="Q7" s="822"/>
      <c r="S7" s="815"/>
      <c r="T7" s="823" t="s">
        <v>416</v>
      </c>
      <c r="U7" s="817"/>
    </row>
    <row r="8" spans="1:26" ht="27.75" customHeight="1" x14ac:dyDescent="0.15">
      <c r="A8" s="794"/>
      <c r="B8" s="1172"/>
      <c r="C8" s="1176" t="s">
        <v>157</v>
      </c>
      <c r="D8" s="1177"/>
      <c r="E8" s="824">
        <f>ROUND((매출액표!E43-G8-H8-I8),0)</f>
        <v>3830932</v>
      </c>
      <c r="F8" s="825"/>
      <c r="G8" s="820"/>
      <c r="H8" s="821"/>
      <c r="I8" s="812"/>
      <c r="J8" s="812"/>
      <c r="K8" s="826"/>
      <c r="L8" s="809">
        <f>ROUND((E8+G8+K8),0)</f>
        <v>3830932</v>
      </c>
      <c r="M8" s="827">
        <f>ROUND(L8/$L$21*100,4)</f>
        <v>0.1835</v>
      </c>
      <c r="N8" s="2"/>
      <c r="Q8" s="828"/>
      <c r="S8" s="815"/>
      <c r="T8" s="823" t="s">
        <v>417</v>
      </c>
      <c r="U8" s="817"/>
    </row>
    <row r="9" spans="1:26" ht="27.75" customHeight="1" x14ac:dyDescent="0.15">
      <c r="A9" s="794"/>
      <c r="B9" s="1173"/>
      <c r="C9" s="1178" t="s">
        <v>418</v>
      </c>
      <c r="D9" s="1179"/>
      <c r="E9" s="829">
        <f t="shared" ref="E9:J9" si="0">SUM(E5:E8)</f>
        <v>639124152</v>
      </c>
      <c r="F9" s="829">
        <f>SUM(F5:F8)</f>
        <v>0</v>
      </c>
      <c r="G9" s="830">
        <f>SUM(G5:G8)</f>
        <v>328534</v>
      </c>
      <c r="H9" s="831">
        <f t="shared" si="0"/>
        <v>0</v>
      </c>
      <c r="I9" s="831">
        <f t="shared" si="0"/>
        <v>0</v>
      </c>
      <c r="J9" s="831">
        <f t="shared" si="0"/>
        <v>0</v>
      </c>
      <c r="K9" s="831"/>
      <c r="L9" s="829">
        <f>SUM(L5:L8)</f>
        <v>639452686</v>
      </c>
      <c r="M9" s="832">
        <f>SUM(M5:M8)</f>
        <v>30.626199999999997</v>
      </c>
      <c r="N9" s="2"/>
      <c r="Q9" s="833">
        <f>SUM(Q5:Q8)</f>
        <v>0</v>
      </c>
      <c r="S9" s="815"/>
      <c r="T9" s="823" t="s">
        <v>419</v>
      </c>
      <c r="U9" s="817"/>
    </row>
    <row r="10" spans="1:26" ht="33" hidden="1" customHeight="1" x14ac:dyDescent="0.15">
      <c r="A10" s="794"/>
      <c r="B10" s="1180" t="s">
        <v>384</v>
      </c>
      <c r="C10" s="834" t="s">
        <v>420</v>
      </c>
      <c r="D10" s="835"/>
      <c r="E10" s="836">
        <f>ROUND((매출액표!E49-G10),0)</f>
        <v>181229288</v>
      </c>
      <c r="F10" s="806"/>
      <c r="G10" s="804">
        <f>ROUND(('사회복지시설(MJ)'!D21),0)</f>
        <v>3129334</v>
      </c>
      <c r="H10" s="804"/>
      <c r="I10" s="804"/>
      <c r="J10" s="804"/>
      <c r="K10" s="804">
        <f>ROUND(Q10,0)</f>
        <v>14245</v>
      </c>
      <c r="L10" s="806">
        <f>ROUND((E10+F10+G10+K10+H10),0)</f>
        <v>184372867</v>
      </c>
      <c r="M10" s="807">
        <f>ROUND(L10/$L$21*100,4)</f>
        <v>8.8305000000000007</v>
      </c>
      <c r="N10" s="2"/>
      <c r="Q10" s="837">
        <f>Q12</f>
        <v>14245.392</v>
      </c>
      <c r="S10" s="815"/>
      <c r="T10" s="815"/>
      <c r="U10" s="817"/>
      <c r="W10" s="838"/>
    </row>
    <row r="11" spans="1:26" ht="33" hidden="1" customHeight="1" x14ac:dyDescent="0.15">
      <c r="A11" s="794"/>
      <c r="B11" s="1181"/>
      <c r="C11" s="839" t="s">
        <v>421</v>
      </c>
      <c r="D11" s="840"/>
      <c r="E11" s="841">
        <f>ROUND((매출액표!E53-G11),0)</f>
        <v>49959132</v>
      </c>
      <c r="F11" s="809"/>
      <c r="G11" s="842"/>
      <c r="H11" s="842"/>
      <c r="I11" s="842"/>
      <c r="J11" s="842"/>
      <c r="K11" s="842"/>
      <c r="L11" s="809">
        <f>ROUND((E11+F11+G11+K11+H11),0)</f>
        <v>49959132</v>
      </c>
      <c r="M11" s="843">
        <f>ROUND(L11/$L$21*100,4)</f>
        <v>2.3927999999999998</v>
      </c>
      <c r="N11" s="2"/>
      <c r="Q11" s="844">
        <v>0</v>
      </c>
      <c r="S11" s="815"/>
      <c r="T11" s="815"/>
      <c r="U11" s="817"/>
    </row>
    <row r="12" spans="1:26" ht="33" customHeight="1" x14ac:dyDescent="0.15">
      <c r="A12" s="794"/>
      <c r="B12" s="1161" t="s">
        <v>167</v>
      </c>
      <c r="C12" s="1162"/>
      <c r="D12" s="1163"/>
      <c r="E12" s="845">
        <f>SUM(E10:E11)</f>
        <v>231188420</v>
      </c>
      <c r="F12" s="845"/>
      <c r="G12" s="846">
        <f>'사회복지시설(MJ)'!D21</f>
        <v>3129334.165</v>
      </c>
      <c r="H12" s="847">
        <f>SUM(H10:H11)</f>
        <v>0</v>
      </c>
      <c r="I12" s="847">
        <f>SUM(I10:I11)</f>
        <v>0</v>
      </c>
      <c r="J12" s="847"/>
      <c r="K12" s="847">
        <f>SUM(K10:K11)</f>
        <v>14245</v>
      </c>
      <c r="L12" s="845">
        <f>SUM(E12:K12)</f>
        <v>234331999.16499999</v>
      </c>
      <c r="M12" s="848">
        <f>SUM(M10:M11)</f>
        <v>11.2233</v>
      </c>
      <c r="N12" s="2"/>
      <c r="Q12" s="849">
        <f>자가소모!E4</f>
        <v>14245.392</v>
      </c>
      <c r="S12" s="815"/>
      <c r="T12" s="815"/>
      <c r="U12" s="817"/>
    </row>
    <row r="13" spans="1:26" ht="33" customHeight="1" x14ac:dyDescent="0.15">
      <c r="A13" s="794"/>
      <c r="B13" s="1161" t="s">
        <v>422</v>
      </c>
      <c r="C13" s="1162"/>
      <c r="D13" s="1163"/>
      <c r="E13" s="850">
        <f>ROUND((매출액표!E69-G13),0)+E68</f>
        <v>185485127</v>
      </c>
      <c r="F13" s="850"/>
      <c r="G13" s="851">
        <f>('사회복지시설(MJ)'!D17)</f>
        <v>0</v>
      </c>
      <c r="H13" s="846"/>
      <c r="I13" s="846"/>
      <c r="J13" s="846"/>
      <c r="K13" s="846">
        <f>ROUND(Q13,0)</f>
        <v>542643</v>
      </c>
      <c r="L13" s="850">
        <f t="shared" ref="L13:L20" si="1">ROUND((E13+G13+K13),0)</f>
        <v>186027770</v>
      </c>
      <c r="M13" s="852">
        <f t="shared" ref="M13:M20" si="2">ROUND(L13/$L$21*100,4)</f>
        <v>8.9097000000000008</v>
      </c>
      <c r="N13" s="2"/>
      <c r="Q13" s="853">
        <f>자가소모!E5</f>
        <v>542643.44499999995</v>
      </c>
      <c r="S13" s="854"/>
      <c r="T13" s="815"/>
      <c r="U13" s="855"/>
    </row>
    <row r="14" spans="1:26" ht="33" customHeight="1" x14ac:dyDescent="0.15">
      <c r="A14" s="794"/>
      <c r="B14" s="1161" t="s">
        <v>35</v>
      </c>
      <c r="C14" s="1162"/>
      <c r="D14" s="1163"/>
      <c r="E14" s="850">
        <f>ROUND((매출액표!E62-G14),0)</f>
        <v>16284595</v>
      </c>
      <c r="F14" s="850"/>
      <c r="G14" s="846">
        <f>('사회복지시설(MJ)'!D14)</f>
        <v>3117344.5266999998</v>
      </c>
      <c r="H14" s="846"/>
      <c r="I14" s="846"/>
      <c r="J14" s="846"/>
      <c r="K14" s="846">
        <f>ROUND(Q14,0)</f>
        <v>1524</v>
      </c>
      <c r="L14" s="850">
        <f t="shared" si="1"/>
        <v>19403464</v>
      </c>
      <c r="M14" s="852">
        <f t="shared" si="2"/>
        <v>0.92930000000000001</v>
      </c>
      <c r="N14" s="2"/>
      <c r="Q14" s="853">
        <f>자가소모!E3+자가소모!E8+자가소모!E9</f>
        <v>1523.7482</v>
      </c>
      <c r="T14" s="856"/>
    </row>
    <row r="15" spans="1:26" ht="33" customHeight="1" x14ac:dyDescent="0.15">
      <c r="A15" s="794"/>
      <c r="B15" s="1161" t="s">
        <v>402</v>
      </c>
      <c r="C15" s="1162"/>
      <c r="D15" s="1163"/>
      <c r="E15" s="850">
        <f>ROUND((매출액표!E73-G15),0)</f>
        <v>688770555</v>
      </c>
      <c r="F15" s="850"/>
      <c r="G15" s="846"/>
      <c r="H15" s="846"/>
      <c r="I15" s="846"/>
      <c r="J15" s="846"/>
      <c r="K15" s="846">
        <f t="shared" ref="K15:K18" si="3">ROUND(Q15,0)</f>
        <v>0</v>
      </c>
      <c r="L15" s="850">
        <f t="shared" si="1"/>
        <v>688770555</v>
      </c>
      <c r="M15" s="852">
        <f>ROUND(L15/$L$21*100,4)-0.0001</f>
        <v>32.988299999999995</v>
      </c>
      <c r="N15" s="2"/>
      <c r="Q15" s="853"/>
      <c r="U15" s="857"/>
    </row>
    <row r="16" spans="1:26" ht="33" customHeight="1" x14ac:dyDescent="0.15">
      <c r="A16" s="794"/>
      <c r="B16" s="1161" t="s">
        <v>423</v>
      </c>
      <c r="C16" s="1162"/>
      <c r="D16" s="1163"/>
      <c r="E16" s="858">
        <f>ROUND((매출액표!E55-G16),0)</f>
        <v>282160535</v>
      </c>
      <c r="F16" s="859"/>
      <c r="G16" s="846"/>
      <c r="H16" s="860"/>
      <c r="I16" s="860"/>
      <c r="J16" s="860"/>
      <c r="K16" s="846">
        <f t="shared" si="3"/>
        <v>0</v>
      </c>
      <c r="L16" s="850">
        <f t="shared" si="1"/>
        <v>282160535</v>
      </c>
      <c r="M16" s="852">
        <f t="shared" si="2"/>
        <v>13.513999999999999</v>
      </c>
      <c r="N16" s="2"/>
      <c r="Q16" s="861"/>
      <c r="R16" s="862"/>
      <c r="T16" s="856"/>
    </row>
    <row r="17" spans="1:26" ht="33" customHeight="1" x14ac:dyDescent="0.15">
      <c r="A17" s="794"/>
      <c r="B17" s="1182" t="s">
        <v>424</v>
      </c>
      <c r="C17" s="1183"/>
      <c r="D17" s="1184"/>
      <c r="E17" s="863">
        <f>ROUND((매출액표!E78-G17),0)</f>
        <v>18034265</v>
      </c>
      <c r="F17" s="863"/>
      <c r="G17" s="846"/>
      <c r="H17" s="864"/>
      <c r="I17" s="864"/>
      <c r="J17" s="864"/>
      <c r="K17" s="846">
        <f>ROUND(Q17,0)</f>
        <v>783454</v>
      </c>
      <c r="L17" s="850">
        <f t="shared" si="1"/>
        <v>18817719</v>
      </c>
      <c r="M17" s="852">
        <f t="shared" si="2"/>
        <v>0.90129999999999999</v>
      </c>
      <c r="N17" s="2"/>
      <c r="Q17" s="861">
        <f>자가소모!E7</f>
        <v>783454.16299999994</v>
      </c>
    </row>
    <row r="18" spans="1:26" ht="33" customHeight="1" x14ac:dyDescent="0.15">
      <c r="A18" s="794"/>
      <c r="B18" s="1182" t="s">
        <v>425</v>
      </c>
      <c r="C18" s="1183"/>
      <c r="D18" s="1184"/>
      <c r="E18" s="863">
        <f>ROUND((매출액표!E83-G18),0)</f>
        <v>16268941</v>
      </c>
      <c r="F18" s="863"/>
      <c r="G18" s="846"/>
      <c r="H18" s="864"/>
      <c r="I18" s="864"/>
      <c r="J18" s="864"/>
      <c r="K18" s="846">
        <f t="shared" si="3"/>
        <v>0</v>
      </c>
      <c r="L18" s="850">
        <f t="shared" si="1"/>
        <v>16268941</v>
      </c>
      <c r="M18" s="852">
        <f t="shared" si="2"/>
        <v>0.7792</v>
      </c>
      <c r="N18" s="2"/>
      <c r="Q18" s="861"/>
      <c r="W18" s="865"/>
    </row>
    <row r="19" spans="1:26" ht="33" customHeight="1" x14ac:dyDescent="0.15">
      <c r="A19" s="794"/>
      <c r="B19" s="1185" t="s">
        <v>158</v>
      </c>
      <c r="C19" s="1162"/>
      <c r="D19" s="1163"/>
      <c r="E19" s="863">
        <f>ROUND((매출액표!E85-G19),0)</f>
        <v>1060137</v>
      </c>
      <c r="F19" s="863"/>
      <c r="G19" s="846"/>
      <c r="H19" s="864"/>
      <c r="I19" s="864"/>
      <c r="J19" s="864"/>
      <c r="K19" s="846">
        <f>ROUND(Q19,0)</f>
        <v>0</v>
      </c>
      <c r="L19" s="850">
        <f t="shared" si="1"/>
        <v>1060137</v>
      </c>
      <c r="M19" s="852">
        <f t="shared" si="2"/>
        <v>5.0799999999999998E-2</v>
      </c>
      <c r="N19" s="2"/>
      <c r="Q19" s="861">
        <f>자가소모!E6</f>
        <v>0</v>
      </c>
      <c r="T19" s="856"/>
      <c r="W19" s="865"/>
    </row>
    <row r="20" spans="1:26" ht="33" customHeight="1" x14ac:dyDescent="0.15">
      <c r="A20" s="794"/>
      <c r="B20" s="1185" t="s">
        <v>216</v>
      </c>
      <c r="C20" s="1162"/>
      <c r="D20" s="1163"/>
      <c r="E20" s="863">
        <f>ROUND((매출액표!E88-G20),0)</f>
        <v>1625846</v>
      </c>
      <c r="F20" s="863"/>
      <c r="G20" s="864"/>
      <c r="H20" s="864"/>
      <c r="I20" s="864"/>
      <c r="J20" s="864"/>
      <c r="K20" s="846">
        <f t="shared" ref="K20" si="4">ROUND(Q20,0)</f>
        <v>0</v>
      </c>
      <c r="L20" s="850">
        <f t="shared" si="1"/>
        <v>1625846</v>
      </c>
      <c r="M20" s="852">
        <f t="shared" si="2"/>
        <v>7.7899999999999997E-2</v>
      </c>
      <c r="N20" s="2"/>
      <c r="Q20" s="866"/>
      <c r="T20" s="856"/>
    </row>
    <row r="21" spans="1:26" ht="13.5" customHeight="1" x14ac:dyDescent="0.15">
      <c r="A21" s="794"/>
      <c r="B21" s="1186" t="s">
        <v>426</v>
      </c>
      <c r="C21" s="1187"/>
      <c r="D21" s="1188"/>
      <c r="E21" s="1196">
        <f>SUM(E13:E20)+E12+E9</f>
        <v>2080002573</v>
      </c>
      <c r="F21" s="1196">
        <f>F20+F17+F16+F15+F13+F12+F9+F14</f>
        <v>0</v>
      </c>
      <c r="G21" s="1196">
        <f>ROUNDUP((G20+G17+G16+G15+G13+G12+G9+G14),0)</f>
        <v>6575213</v>
      </c>
      <c r="H21" s="1196">
        <f>H20+H17+H16+H15+H13+H12+H9+H14</f>
        <v>0</v>
      </c>
      <c r="I21" s="1196">
        <f>I20+I17+I16+I15+I13+I12+I9+I14</f>
        <v>0</v>
      </c>
      <c r="J21" s="1206">
        <f>J20+J19+J17+J16+J15+J14+J13+J12+J9</f>
        <v>0</v>
      </c>
      <c r="K21" s="1196">
        <f>K20+K17+K16+K15+K13+K12+K9+K14+K19</f>
        <v>1341866</v>
      </c>
      <c r="L21" s="1196">
        <f>ROUND((SUM(L13:L20)+L12+L9),0)</f>
        <v>2087919652</v>
      </c>
      <c r="M21" s="1199">
        <f>SUM(M5:M8,M12:M20)</f>
        <v>99.999999999999986</v>
      </c>
      <c r="N21" s="2"/>
      <c r="Q21" s="1202">
        <f>Q20+Q17+Q16+Q15+Q13+Q12+Q9+Q14+Q19</f>
        <v>1341866.7482</v>
      </c>
    </row>
    <row r="22" spans="1:26" ht="13.5" customHeight="1" x14ac:dyDescent="0.15">
      <c r="A22" s="794"/>
      <c r="B22" s="1189"/>
      <c r="C22" s="1190"/>
      <c r="D22" s="1191"/>
      <c r="E22" s="1197"/>
      <c r="F22" s="1197"/>
      <c r="G22" s="1197"/>
      <c r="H22" s="1197"/>
      <c r="I22" s="1197"/>
      <c r="J22" s="1207"/>
      <c r="K22" s="1197"/>
      <c r="L22" s="1197"/>
      <c r="M22" s="1200"/>
      <c r="N22" s="2"/>
      <c r="Q22" s="1203"/>
    </row>
    <row r="23" spans="1:26" ht="13.5" customHeight="1" thickBot="1" x14ac:dyDescent="0.2">
      <c r="A23" s="794"/>
      <c r="B23" s="1192"/>
      <c r="C23" s="1193"/>
      <c r="D23" s="1194"/>
      <c r="E23" s="1198"/>
      <c r="F23" s="1198"/>
      <c r="G23" s="1198"/>
      <c r="H23" s="1198"/>
      <c r="I23" s="1198"/>
      <c r="J23" s="1208"/>
      <c r="K23" s="1198"/>
      <c r="L23" s="1198"/>
      <c r="M23" s="1201"/>
      <c r="N23" s="867"/>
      <c r="Q23" s="1204"/>
    </row>
    <row r="24" spans="1:26" ht="13.5" customHeight="1" x14ac:dyDescent="0.15">
      <c r="A24" s="794"/>
      <c r="B24" s="794"/>
      <c r="C24" s="794"/>
      <c r="D24" s="794"/>
      <c r="E24" s="868">
        <f>ROUND(E21+G21,0)</f>
        <v>2086577786</v>
      </c>
      <c r="F24" s="869"/>
      <c r="G24" s="869"/>
      <c r="H24" s="869"/>
      <c r="I24" s="869"/>
      <c r="J24" s="869"/>
      <c r="K24" s="869" t="b">
        <f>ROUNDDOWN(Q21,0)=K21</f>
        <v>1</v>
      </c>
      <c r="L24" s="868">
        <f>ROUND(L21-K21,0)</f>
        <v>2086577786</v>
      </c>
      <c r="M24" s="794"/>
      <c r="Q24" s="870"/>
    </row>
    <row r="25" spans="1:26" ht="12.75" customHeight="1" x14ac:dyDescent="0.15">
      <c r="A25" s="794"/>
      <c r="B25" s="794"/>
      <c r="C25" s="794"/>
      <c r="D25" s="794"/>
      <c r="E25" s="868">
        <f>ROUND(SUMIFS(매출액표!E:E,매출액표!$B:$B,"합계")-SUMIFS(매출액표!E:E,매출액표!$C:$C,"수송용(BIO)"),0)</f>
        <v>2086577786</v>
      </c>
      <c r="F25" s="868"/>
      <c r="G25" s="869"/>
      <c r="H25" s="869"/>
      <c r="I25" s="869"/>
      <c r="J25" s="869"/>
      <c r="K25" s="871"/>
      <c r="L25" s="868">
        <f>ROUND(매출액표!E89-매출액표!E56,0)</f>
        <v>2086577786</v>
      </c>
      <c r="M25" s="794"/>
    </row>
    <row r="26" spans="1:26" ht="12.75" customHeight="1" x14ac:dyDescent="0.15">
      <c r="A26" s="794"/>
      <c r="B26" s="794"/>
      <c r="C26" s="794"/>
      <c r="D26" s="794"/>
      <c r="E26" s="872">
        <f>E24-E25</f>
        <v>0</v>
      </c>
      <c r="F26" s="873"/>
      <c r="G26" s="874"/>
      <c r="H26" s="874"/>
      <c r="I26" s="874"/>
      <c r="J26" s="874"/>
      <c r="K26" s="875"/>
      <c r="L26" s="872">
        <f>L24-L25</f>
        <v>0</v>
      </c>
      <c r="M26" s="794"/>
    </row>
    <row r="27" spans="1:26" ht="12.75" customHeight="1" x14ac:dyDescent="0.15">
      <c r="F27" s="876"/>
      <c r="L27" s="877"/>
      <c r="T27" s="878"/>
    </row>
    <row r="28" spans="1:26" ht="12.75" customHeight="1" x14ac:dyDescent="0.15">
      <c r="F28" s="879"/>
      <c r="G28" s="880"/>
      <c r="H28" s="881"/>
      <c r="I28" s="882"/>
      <c r="J28" s="882"/>
      <c r="K28" s="794"/>
    </row>
    <row r="29" spans="1:26" ht="12.75" customHeight="1" x14ac:dyDescent="0.15">
      <c r="E29" s="883"/>
      <c r="F29" s="884"/>
    </row>
    <row r="30" spans="1:26" ht="12.75" customHeight="1" x14ac:dyDescent="0.15">
      <c r="F30" s="884"/>
    </row>
    <row r="32" spans="1:26" ht="12.75" customHeight="1" x14ac:dyDescent="0.15">
      <c r="E32" s="84"/>
      <c r="F32" s="885"/>
    </row>
    <row r="33" spans="5:5" ht="12.75" customHeight="1" x14ac:dyDescent="0.15">
      <c r="E33" s="886"/>
    </row>
    <row r="35" spans="5:5" ht="12.75" customHeight="1" x14ac:dyDescent="0.15">
      <c r="E35" s="887"/>
    </row>
    <row r="36" spans="5:5" ht="12.75" customHeight="1" x14ac:dyDescent="0.15">
      <c r="E36" s="887"/>
    </row>
    <row r="37" spans="5:5" ht="12.75" customHeight="1" x14ac:dyDescent="0.15">
      <c r="E37" s="887"/>
    </row>
    <row r="38" spans="5:5" ht="12.75" customHeight="1" x14ac:dyDescent="0.15">
      <c r="E38" s="887"/>
    </row>
    <row r="39" spans="5:5" ht="12.75" customHeight="1" x14ac:dyDescent="0.15">
      <c r="E39" s="887"/>
    </row>
    <row r="40" spans="5:5" ht="12.75" customHeight="1" x14ac:dyDescent="0.15">
      <c r="E40" s="887"/>
    </row>
    <row r="41" spans="5:5" ht="12.75" customHeight="1" x14ac:dyDescent="0.15">
      <c r="E41" s="887"/>
    </row>
    <row r="42" spans="5:5" ht="12.75" customHeight="1" x14ac:dyDescent="0.15">
      <c r="E42" s="887"/>
    </row>
    <row r="43" spans="5:5" ht="12.75" customHeight="1" x14ac:dyDescent="0.15">
      <c r="E43" s="887"/>
    </row>
    <row r="44" spans="5:5" ht="12.75" customHeight="1" x14ac:dyDescent="0.15">
      <c r="E44" s="887"/>
    </row>
    <row r="45" spans="5:5" ht="12.75" customHeight="1" x14ac:dyDescent="0.15">
      <c r="E45" s="887"/>
    </row>
    <row r="46" spans="5:5" ht="12.75" customHeight="1" x14ac:dyDescent="0.15">
      <c r="E46" s="887"/>
    </row>
    <row r="47" spans="5:5" ht="12.75" customHeight="1" x14ac:dyDescent="0.15">
      <c r="E47" s="887"/>
    </row>
    <row r="48" spans="5:5" ht="12.75" customHeight="1" x14ac:dyDescent="0.15">
      <c r="E48" s="887"/>
    </row>
    <row r="49" spans="2:19" ht="12.75" customHeight="1" x14ac:dyDescent="0.15">
      <c r="E49" s="887"/>
    </row>
    <row r="50" spans="2:19" ht="12.75" customHeight="1" x14ac:dyDescent="0.15">
      <c r="E50" s="887"/>
    </row>
    <row r="51" spans="2:19" ht="12.75" customHeight="1" x14ac:dyDescent="0.15">
      <c r="E51" s="887"/>
    </row>
    <row r="52" spans="2:19" ht="12.75" customHeight="1" x14ac:dyDescent="0.15">
      <c r="E52" s="887"/>
    </row>
    <row r="53" spans="2:19" ht="12.75" customHeight="1" x14ac:dyDescent="0.15">
      <c r="E53" s="887"/>
    </row>
    <row r="54" spans="2:19" ht="12.75" customHeight="1" x14ac:dyDescent="0.15">
      <c r="E54" s="887"/>
    </row>
    <row r="55" spans="2:19" ht="12.75" customHeight="1" x14ac:dyDescent="0.15">
      <c r="E55" s="887"/>
    </row>
    <row r="56" spans="2:19" ht="12.75" customHeight="1" x14ac:dyDescent="0.15">
      <c r="E56" s="887"/>
    </row>
    <row r="57" spans="2:19" ht="12.75" customHeight="1" x14ac:dyDescent="0.15">
      <c r="E57" s="887"/>
    </row>
    <row r="58" spans="2:19" ht="12.75" customHeight="1" x14ac:dyDescent="0.15">
      <c r="F58" s="876"/>
      <c r="S58" s="878"/>
    </row>
    <row r="59" spans="2:19" ht="12.75" customHeight="1" x14ac:dyDescent="0.15">
      <c r="F59" s="876"/>
      <c r="S59" s="878"/>
    </row>
    <row r="60" spans="2:19" ht="12.75" customHeight="1" x14ac:dyDescent="0.15">
      <c r="F60" s="876"/>
      <c r="S60" s="878"/>
    </row>
    <row r="61" spans="2:19" ht="12.75" customHeight="1" x14ac:dyDescent="0.15">
      <c r="F61" s="876"/>
      <c r="S61" s="878"/>
    </row>
    <row r="62" spans="2:19" ht="12.75" customHeight="1" x14ac:dyDescent="0.15">
      <c r="E62" s="3"/>
      <c r="F62" s="876"/>
      <c r="S62" s="878"/>
    </row>
    <row r="63" spans="2:19" ht="12.75" customHeight="1" x14ac:dyDescent="0.15">
      <c r="E63" s="3"/>
      <c r="F63" s="876"/>
      <c r="P63" s="1" t="s">
        <v>427</v>
      </c>
      <c r="S63" s="878"/>
    </row>
    <row r="64" spans="2:19" ht="12.75" customHeight="1" x14ac:dyDescent="0.15">
      <c r="B64" s="1195" t="s">
        <v>231</v>
      </c>
      <c r="C64" s="1195"/>
      <c r="D64" s="1195"/>
      <c r="E64" s="1" t="s">
        <v>428</v>
      </c>
      <c r="F64" s="888"/>
      <c r="G64" s="880"/>
      <c r="H64" s="881">
        <v>5147</v>
      </c>
      <c r="I64" s="882">
        <v>4602</v>
      </c>
      <c r="J64" s="794"/>
    </row>
    <row r="65" spans="2:11" ht="12.75" customHeight="1" x14ac:dyDescent="0.15">
      <c r="B65" s="1205" t="s">
        <v>429</v>
      </c>
      <c r="C65" s="1205"/>
      <c r="D65" s="1205"/>
      <c r="E65" s="1205"/>
      <c r="K65" s="1" t="s">
        <v>430</v>
      </c>
    </row>
    <row r="66" spans="2:11" ht="12.75" customHeight="1" x14ac:dyDescent="0.15">
      <c r="B66" s="889" t="s">
        <v>431</v>
      </c>
      <c r="C66" s="890" t="s">
        <v>432</v>
      </c>
      <c r="E66" s="891"/>
      <c r="G66" s="891"/>
      <c r="K66" s="1" t="s">
        <v>433</v>
      </c>
    </row>
    <row r="67" spans="2:11" ht="12.75" customHeight="1" x14ac:dyDescent="0.15">
      <c r="B67" s="889" t="s">
        <v>434</v>
      </c>
      <c r="C67" s="890" t="s">
        <v>435</v>
      </c>
      <c r="E67" s="891"/>
      <c r="G67" s="891"/>
    </row>
    <row r="68" spans="2:11" ht="12.75" customHeight="1" x14ac:dyDescent="0.15">
      <c r="B68" s="1195" t="s">
        <v>27</v>
      </c>
      <c r="C68" s="1195"/>
      <c r="D68" s="892"/>
      <c r="E68" s="891"/>
      <c r="G68" s="891"/>
      <c r="K68" s="893" t="s">
        <v>436</v>
      </c>
    </row>
    <row r="69" spans="2:11" ht="12.75" customHeight="1" x14ac:dyDescent="0.15">
      <c r="K69" s="894" t="s">
        <v>437</v>
      </c>
    </row>
    <row r="70" spans="2:11" ht="12.75" customHeight="1" x14ac:dyDescent="0.15">
      <c r="E70" s="895"/>
      <c r="K70" s="894" t="s">
        <v>438</v>
      </c>
    </row>
    <row r="71" spans="2:11" ht="12.75" customHeight="1" x14ac:dyDescent="0.15">
      <c r="E71" s="896"/>
      <c r="K71" s="894" t="s">
        <v>439</v>
      </c>
    </row>
    <row r="72" spans="2:11" ht="12.75" customHeight="1" x14ac:dyDescent="0.15">
      <c r="E72" s="896"/>
    </row>
    <row r="73" spans="2:11" ht="12.75" customHeight="1" x14ac:dyDescent="0.15">
      <c r="E73" s="895"/>
    </row>
    <row r="74" spans="2:11" ht="12.75" customHeight="1" x14ac:dyDescent="0.15">
      <c r="E74" s="895"/>
      <c r="K74" s="1" t="s">
        <v>440</v>
      </c>
    </row>
    <row r="75" spans="2:11" ht="12.75" customHeight="1" x14ac:dyDescent="0.15">
      <c r="E75" s="895"/>
      <c r="K75" s="1" t="s">
        <v>441</v>
      </c>
    </row>
    <row r="76" spans="2:11" ht="12.75" customHeight="1" x14ac:dyDescent="0.15">
      <c r="E76" s="895"/>
      <c r="G76" s="1" t="s">
        <v>363</v>
      </c>
      <c r="K76" s="1" t="s">
        <v>442</v>
      </c>
    </row>
    <row r="77" spans="2:11" ht="12.75" customHeight="1" x14ac:dyDescent="0.15">
      <c r="E77" s="897"/>
      <c r="K77" s="1" t="s">
        <v>443</v>
      </c>
    </row>
    <row r="78" spans="2:11" ht="12.75" customHeight="1" x14ac:dyDescent="0.15">
      <c r="E78" s="898"/>
      <c r="F78" s="898"/>
    </row>
    <row r="79" spans="2:11" ht="12.75" customHeight="1" x14ac:dyDescent="0.15">
      <c r="E79" s="898"/>
      <c r="K79" s="13" t="s">
        <v>444</v>
      </c>
    </row>
    <row r="80" spans="2:11" ht="12.75" customHeight="1" x14ac:dyDescent="0.15">
      <c r="K80" s="2" t="s">
        <v>445</v>
      </c>
    </row>
    <row r="81" spans="5:11" ht="12.75" customHeight="1" x14ac:dyDescent="0.15">
      <c r="K81" s="13"/>
    </row>
    <row r="82" spans="5:11" ht="12.75" customHeight="1" x14ac:dyDescent="0.15">
      <c r="K82" s="13" t="s">
        <v>446</v>
      </c>
    </row>
    <row r="83" spans="5:11" ht="12.75" customHeight="1" x14ac:dyDescent="0.15">
      <c r="E83" s="895"/>
      <c r="K83" s="2" t="s">
        <v>447</v>
      </c>
    </row>
    <row r="84" spans="5:11" ht="12.75" customHeight="1" x14ac:dyDescent="0.15">
      <c r="E84" s="895"/>
      <c r="K84" s="2" t="s">
        <v>448</v>
      </c>
    </row>
    <row r="85" spans="5:11" ht="12.75" customHeight="1" x14ac:dyDescent="0.15">
      <c r="E85" s="895"/>
    </row>
    <row r="86" spans="5:11" ht="12.75" customHeight="1" x14ac:dyDescent="0.15">
      <c r="E86" s="895"/>
    </row>
    <row r="94" spans="5:11" ht="12.75" customHeight="1" x14ac:dyDescent="0.15">
      <c r="K94" s="1" t="s">
        <v>449</v>
      </c>
    </row>
    <row r="95" spans="5:11" ht="12.75" customHeight="1" x14ac:dyDescent="0.15">
      <c r="K95" s="1" t="s">
        <v>450</v>
      </c>
    </row>
    <row r="96" spans="5:11" ht="12.75" customHeight="1" x14ac:dyDescent="0.15">
      <c r="K96" s="1" t="s">
        <v>451</v>
      </c>
    </row>
    <row r="97" spans="11:11" ht="12.75" customHeight="1" x14ac:dyDescent="0.15">
      <c r="K97" s="1" t="s">
        <v>452</v>
      </c>
    </row>
  </sheetData>
  <mergeCells count="32">
    <mergeCell ref="L21:L23"/>
    <mergeCell ref="M21:M23"/>
    <mergeCell ref="Q21:Q23"/>
    <mergeCell ref="B64:D64"/>
    <mergeCell ref="B65:E65"/>
    <mergeCell ref="J21:J23"/>
    <mergeCell ref="K21:K23"/>
    <mergeCell ref="B68:C68"/>
    <mergeCell ref="F21:F23"/>
    <mergeCell ref="G21:G23"/>
    <mergeCell ref="H21:H23"/>
    <mergeCell ref="I21:I23"/>
    <mergeCell ref="E21:E23"/>
    <mergeCell ref="B17:D17"/>
    <mergeCell ref="B18:D18"/>
    <mergeCell ref="B19:D19"/>
    <mergeCell ref="B20:D20"/>
    <mergeCell ref="B21:D23"/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</mergeCells>
  <phoneticPr fontId="36" type="noConversion"/>
  <conditionalFormatting sqref="K12:K20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1"/>
  <sheetViews>
    <sheetView view="pageBreakPreview" topLeftCell="A10" zoomScaleNormal="100" zoomScaleSheetLayoutView="100" workbookViewId="0">
      <selection activeCell="E21" sqref="E21"/>
    </sheetView>
  </sheetViews>
  <sheetFormatPr defaultColWidth="8.88671875" defaultRowHeight="13.5" x14ac:dyDescent="0.1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 x14ac:dyDescent="0.15">
      <c r="B1" s="1" t="s">
        <v>34</v>
      </c>
    </row>
    <row r="2" spans="1:15" ht="22.5" x14ac:dyDescent="0.25">
      <c r="A2" s="1219" t="str">
        <f>"사회복지시설 용도별 판매량 ( "&amp;LEFT(총괄표!A2,9)&amp;")"</f>
        <v>사회복지시설 용도별 판매량 ( 2025년 7월 )</v>
      </c>
      <c r="B2" s="1219"/>
      <c r="C2" s="1219"/>
      <c r="D2" s="1219"/>
      <c r="E2" s="1219"/>
      <c r="F2" s="1219"/>
      <c r="G2" s="1219"/>
      <c r="H2" s="83"/>
      <c r="I2" s="83"/>
      <c r="J2" s="83"/>
      <c r="K2" s="83"/>
      <c r="L2" s="83"/>
      <c r="M2" s="83"/>
      <c r="N2" s="83"/>
      <c r="O2" s="83"/>
    </row>
    <row r="3" spans="1:15" ht="40.5" customHeight="1" x14ac:dyDescent="0.15">
      <c r="H3" s="83"/>
      <c r="I3" s="83"/>
      <c r="J3" s="83"/>
      <c r="K3" s="83"/>
      <c r="L3" s="83"/>
      <c r="M3" s="83"/>
      <c r="N3" s="83"/>
      <c r="O3" s="83"/>
    </row>
    <row r="4" spans="1:15" ht="25.5" customHeight="1" x14ac:dyDescent="0.15">
      <c r="A4" s="1222" t="s">
        <v>13</v>
      </c>
      <c r="B4" s="1223"/>
      <c r="C4" s="1220" t="s">
        <v>10</v>
      </c>
      <c r="D4" s="1220" t="s">
        <v>57</v>
      </c>
      <c r="E4" s="1221" t="s">
        <v>14</v>
      </c>
      <c r="F4" s="1221"/>
      <c r="G4" s="1220" t="s">
        <v>11</v>
      </c>
      <c r="H4" s="83"/>
      <c r="I4" s="1239"/>
      <c r="J4" s="1239"/>
      <c r="K4" s="1239"/>
      <c r="L4" s="79"/>
      <c r="M4" s="448"/>
      <c r="N4" s="1239"/>
      <c r="O4" s="83"/>
    </row>
    <row r="5" spans="1:15" ht="25.5" customHeight="1" x14ac:dyDescent="0.15">
      <c r="A5" s="1224"/>
      <c r="B5" s="1225"/>
      <c r="C5" s="1160"/>
      <c r="D5" s="1160"/>
      <c r="E5" s="444" t="s">
        <v>15</v>
      </c>
      <c r="F5" s="444" t="s">
        <v>16</v>
      </c>
      <c r="G5" s="1160"/>
      <c r="H5" s="83"/>
      <c r="I5" s="1239"/>
      <c r="J5" s="1239"/>
      <c r="K5" s="1239"/>
      <c r="L5" s="448"/>
      <c r="M5" s="448"/>
      <c r="N5" s="1239"/>
      <c r="O5" s="83"/>
    </row>
    <row r="6" spans="1:15" ht="27.75" customHeight="1" x14ac:dyDescent="0.15">
      <c r="A6" s="1240" t="s">
        <v>160</v>
      </c>
      <c r="B6" s="1233" t="s">
        <v>18</v>
      </c>
      <c r="C6" s="1229"/>
      <c r="D6" s="423"/>
      <c r="E6" s="421"/>
      <c r="F6" s="425"/>
      <c r="G6" s="10"/>
      <c r="H6" s="83"/>
      <c r="I6" s="1239"/>
      <c r="J6" s="448"/>
      <c r="K6" s="80"/>
      <c r="L6" s="81"/>
      <c r="M6" s="81"/>
      <c r="N6" s="81"/>
      <c r="O6" s="83"/>
    </row>
    <row r="7" spans="1:15" ht="27.75" customHeight="1" x14ac:dyDescent="0.15">
      <c r="A7" s="1241"/>
      <c r="B7" s="1234"/>
      <c r="C7" s="1226"/>
      <c r="D7" s="440">
        <f>SUMIFS(청구할인정산관리!$D:$D,청구할인정산관리!$B:$B,"취사용")</f>
        <v>17466.877799999998</v>
      </c>
      <c r="E7" s="479">
        <f>SUMIFS(청구할인정산관리!$E:$E,청구할인정산관리!$B:$B,"취사용")</f>
        <v>410538</v>
      </c>
      <c r="F7" s="479">
        <f>SUMIFS(청구할인정산관리!$G:$G,청구할인정산관리!$B:$B,"취사용")</f>
        <v>343874</v>
      </c>
      <c r="G7" s="422">
        <f>E7-F7</f>
        <v>66664</v>
      </c>
      <c r="H7" s="95">
        <f>G7/E7</f>
        <v>0.16238204502384676</v>
      </c>
      <c r="I7" s="1239"/>
      <c r="J7" s="448"/>
      <c r="K7" s="80"/>
      <c r="L7" s="81"/>
      <c r="M7" s="81"/>
      <c r="N7" s="81"/>
      <c r="O7" s="83"/>
    </row>
    <row r="8" spans="1:15" ht="27.75" customHeight="1" x14ac:dyDescent="0.15">
      <c r="A8" s="1241"/>
      <c r="B8" s="1235"/>
      <c r="C8" s="1227"/>
      <c r="D8" s="69"/>
      <c r="E8" s="70"/>
      <c r="F8" s="70"/>
      <c r="G8" s="70"/>
      <c r="H8" s="95"/>
      <c r="I8" s="1239"/>
      <c r="J8" s="448"/>
      <c r="K8" s="80"/>
      <c r="L8" s="81"/>
      <c r="M8" s="81"/>
      <c r="N8" s="81"/>
      <c r="O8" s="83"/>
    </row>
    <row r="9" spans="1:15" ht="27.75" customHeight="1" x14ac:dyDescent="0.15">
      <c r="A9" s="1241"/>
      <c r="B9" s="1233" t="s">
        <v>159</v>
      </c>
      <c r="C9" s="1229"/>
      <c r="D9" s="71"/>
      <c r="E9" s="72" t="s">
        <v>34</v>
      </c>
      <c r="F9" s="72"/>
      <c r="G9" s="72"/>
      <c r="H9" s="95"/>
      <c r="I9" s="1239"/>
      <c r="J9" s="448"/>
      <c r="K9" s="80"/>
      <c r="L9" s="81"/>
      <c r="M9" s="81"/>
      <c r="N9" s="81"/>
      <c r="O9" s="83"/>
    </row>
    <row r="10" spans="1:15" ht="27.75" customHeight="1" x14ac:dyDescent="0.15">
      <c r="A10" s="1241"/>
      <c r="B10" s="1234"/>
      <c r="C10" s="1226"/>
      <c r="D10" s="424">
        <f>SUMIFS(청구할인정산관리!$D:$D,청구할인정산관리!$B:$B,"취사난방용")+SUMIFS(청구할인정산관리!$D:$D,청구할인정산관리!$B:$B,"개별난방용")</f>
        <v>311068.80190000002</v>
      </c>
      <c r="E10" s="426">
        <f>SUMIFS(청구할인정산관리!$E:$E,청구할인정산관리!$B:$B,"취사난방용")+SUMIFS(청구할인정산관리!$E:$E,청구할인정산관리!$B:$B,"개별난방용")</f>
        <v>7311241</v>
      </c>
      <c r="F10" s="426">
        <f>SUMIFS(청구할인정산관리!$G:$G,청구할인정산관리!$B:$B,"취사난방용")+SUMIFS(청구할인정산관리!$G:$G,청구할인정산관리!$B:$B,"개별난방용")</f>
        <v>6068710</v>
      </c>
      <c r="G10" s="426">
        <f>E10-F10</f>
        <v>1242531</v>
      </c>
      <c r="H10" s="95">
        <f t="shared" ref="H10:H28" si="0">G10/E10</f>
        <v>0.16994802934276138</v>
      </c>
      <c r="I10" s="1239"/>
      <c r="J10" s="448"/>
      <c r="K10" s="80"/>
      <c r="L10" s="81"/>
      <c r="M10" s="81"/>
      <c r="N10" s="81"/>
      <c r="O10" s="83"/>
    </row>
    <row r="11" spans="1:15" ht="27.75" customHeight="1" x14ac:dyDescent="0.15">
      <c r="A11" s="1242"/>
      <c r="B11" s="1235"/>
      <c r="C11" s="1227"/>
      <c r="D11" s="69"/>
      <c r="E11" s="70"/>
      <c r="F11" s="70"/>
      <c r="G11" s="70"/>
      <c r="H11" s="95"/>
      <c r="I11" s="1239"/>
      <c r="J11" s="448"/>
      <c r="K11" s="80"/>
      <c r="L11" s="81"/>
      <c r="M11" s="81"/>
      <c r="N11" s="81"/>
      <c r="O11" s="83"/>
    </row>
    <row r="12" spans="1:15" ht="27.75" customHeight="1" x14ac:dyDescent="0.15">
      <c r="A12" s="1209" t="s">
        <v>264</v>
      </c>
      <c r="B12" s="1228"/>
      <c r="C12" s="251"/>
      <c r="D12" s="252">
        <f>D10+D7</f>
        <v>328535.67970000004</v>
      </c>
      <c r="E12" s="253">
        <f>E10+E7</f>
        <v>7721779</v>
      </c>
      <c r="F12" s="253">
        <f>F10+F7</f>
        <v>6412584</v>
      </c>
      <c r="G12" s="253">
        <f>G10+G7</f>
        <v>1309195</v>
      </c>
      <c r="H12" s="95">
        <f t="shared" si="0"/>
        <v>0.16954577436106369</v>
      </c>
      <c r="I12" s="448"/>
      <c r="J12" s="448"/>
      <c r="K12" s="80"/>
      <c r="L12" s="81"/>
      <c r="M12" s="81"/>
      <c r="N12" s="81"/>
      <c r="O12" s="83"/>
    </row>
    <row r="13" spans="1:15" ht="27.75" customHeight="1" x14ac:dyDescent="0.15">
      <c r="A13" s="1230" t="s">
        <v>161</v>
      </c>
      <c r="B13" s="1233" t="s">
        <v>263</v>
      </c>
      <c r="C13" s="1229"/>
      <c r="D13" s="90"/>
      <c r="E13" s="91"/>
      <c r="F13" s="91"/>
      <c r="G13" s="72"/>
      <c r="H13" s="95"/>
      <c r="I13" s="448"/>
      <c r="J13" s="448"/>
      <c r="K13" s="80"/>
      <c r="L13" s="81"/>
      <c r="M13" s="81"/>
      <c r="N13" s="81"/>
      <c r="O13" s="83"/>
    </row>
    <row r="14" spans="1:15" ht="27.75" customHeight="1" x14ac:dyDescent="0.15">
      <c r="A14" s="1231"/>
      <c r="B14" s="1234"/>
      <c r="C14" s="1226"/>
      <c r="D14" s="424">
        <f>SUMIFS(청구할인정산관리!$D:$D,청구할인정산관리!$B:$B,"업무난방용")</f>
        <v>3117344.5266999998</v>
      </c>
      <c r="E14" s="426">
        <f>SUMIFS(청구할인정산관리!$E:$E,청구할인정산관리!$B:$B,"업무난방용")</f>
        <v>74365275</v>
      </c>
      <c r="F14" s="426">
        <f>SUMIFS(청구할인정산관리!$G:$G,청구할인정산관리!$B:$B,"업무난방용")</f>
        <v>60266537</v>
      </c>
      <c r="G14" s="422">
        <f>E14-F14</f>
        <v>14098738</v>
      </c>
      <c r="H14" s="95">
        <f t="shared" si="0"/>
        <v>0.18958765364614061</v>
      </c>
      <c r="I14" s="448"/>
      <c r="J14" s="448"/>
      <c r="K14" s="80"/>
      <c r="L14" s="81"/>
      <c r="M14" s="81"/>
      <c r="N14" s="81"/>
      <c r="O14" s="83"/>
    </row>
    <row r="15" spans="1:15" ht="27.75" customHeight="1" x14ac:dyDescent="0.15">
      <c r="A15" s="1231"/>
      <c r="B15" s="1235"/>
      <c r="C15" s="1227"/>
      <c r="D15" s="417"/>
      <c r="E15" s="93"/>
      <c r="F15" s="93"/>
      <c r="G15" s="93"/>
      <c r="H15" s="95"/>
      <c r="I15" s="448"/>
      <c r="J15" s="448"/>
      <c r="K15" s="80"/>
      <c r="L15" s="81"/>
      <c r="M15" s="81"/>
      <c r="N15" s="81"/>
      <c r="O15" s="83"/>
    </row>
    <row r="16" spans="1:15" ht="27.75" customHeight="1" x14ac:dyDescent="0.15">
      <c r="A16" s="1231"/>
      <c r="B16" s="1236" t="s">
        <v>58</v>
      </c>
      <c r="C16" s="1226"/>
      <c r="D16" s="234"/>
      <c r="E16" s="235"/>
      <c r="F16" s="235"/>
      <c r="G16" s="430"/>
      <c r="H16" s="95"/>
      <c r="I16" s="448"/>
      <c r="J16" s="448"/>
      <c r="K16" s="80"/>
      <c r="L16" s="81"/>
      <c r="M16" s="81"/>
      <c r="N16" s="81"/>
      <c r="O16" s="83"/>
    </row>
    <row r="17" spans="1:15" ht="27.75" customHeight="1" x14ac:dyDescent="0.15">
      <c r="A17" s="1231"/>
      <c r="B17" s="1237"/>
      <c r="C17" s="1226"/>
      <c r="D17" s="424">
        <f>SUMIFS(청구할인정산관리!$D:$D,청구할인정산관리!$B:$B,"냉난방용(업무)")</f>
        <v>0</v>
      </c>
      <c r="E17" s="426">
        <f>SUMIFS(청구할인정산관리!$E:$E,청구할인정산관리!$B:$B,"냉난방용(업무)")</f>
        <v>0</v>
      </c>
      <c r="F17" s="426">
        <f>SUMIFS(청구할인정산관리!$G:$G,청구할인정산관리!$B:$B,"냉난방용(업무)")</f>
        <v>0</v>
      </c>
      <c r="G17" s="422">
        <f>E17-F17</f>
        <v>0</v>
      </c>
      <c r="H17" s="95" t="e">
        <f t="shared" si="0"/>
        <v>#DIV/0!</v>
      </c>
      <c r="I17" s="448"/>
      <c r="J17" s="448"/>
      <c r="K17" s="80"/>
      <c r="L17" s="81"/>
      <c r="M17" s="81"/>
      <c r="N17" s="81"/>
      <c r="O17" s="83"/>
    </row>
    <row r="18" spans="1:15" ht="27.75" customHeight="1" x14ac:dyDescent="0.15">
      <c r="A18" s="1232"/>
      <c r="B18" s="1238"/>
      <c r="C18" s="1227"/>
      <c r="D18" s="205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 x14ac:dyDescent="0.15">
      <c r="A19" s="1209" t="s">
        <v>264</v>
      </c>
      <c r="B19" s="1210"/>
      <c r="C19" s="254"/>
      <c r="D19" s="255">
        <f>D14+D17</f>
        <v>3117344.5266999998</v>
      </c>
      <c r="E19" s="256">
        <f>E14+E17</f>
        <v>74365275</v>
      </c>
      <c r="F19" s="256">
        <f>F14+F17</f>
        <v>60266537</v>
      </c>
      <c r="G19" s="256">
        <f>G14+G17</f>
        <v>14098738</v>
      </c>
      <c r="H19" s="95">
        <f t="shared" si="0"/>
        <v>0.18958765364614061</v>
      </c>
      <c r="I19" s="83"/>
      <c r="J19" s="83"/>
      <c r="K19" s="83"/>
      <c r="L19" s="83"/>
      <c r="M19" s="83"/>
      <c r="N19" s="83"/>
      <c r="O19" s="83"/>
    </row>
    <row r="20" spans="1:15" ht="27.75" customHeight="1" x14ac:dyDescent="0.15">
      <c r="A20" s="1213" t="s">
        <v>346</v>
      </c>
      <c r="B20" s="1214"/>
      <c r="C20" s="1229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 x14ac:dyDescent="0.15">
      <c r="A21" s="1215"/>
      <c r="B21" s="1216"/>
      <c r="C21" s="1226"/>
      <c r="D21" s="424">
        <f>SUMIFS(청구할인정산관리!$D:$D,청구할인정산관리!$B:$B,"일반용(1)")+SUMIFS(청구할인정산관리!$D:$D,청구할인정산관리!$B:$B,"일반용(2)")</f>
        <v>3129334.165</v>
      </c>
      <c r="E21" s="426">
        <f>SUMIFS(청구할인정산관리!$E:$E,청구할인정산관리!$B:$B,"일반용(1)")+SUMIFS(청구할인정산관리!$E:$E,청구할인정산관리!$B:$B,"일반용(2)")</f>
        <v>70754969</v>
      </c>
      <c r="F21" s="426">
        <f>SUMIFS(청구할인정산관리!$G:$G,청구할인정산관리!$B:$B,"일반용(1)")+SUMIFS(청구할인정산관리!$G:$G,청구할인정산관리!$B:$B,"일반용(2)")</f>
        <v>60258912</v>
      </c>
      <c r="G21" s="431">
        <f>E21-F21</f>
        <v>10496057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 x14ac:dyDescent="0.15">
      <c r="A22" s="1217"/>
      <c r="B22" s="1218"/>
      <c r="C22" s="1227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 x14ac:dyDescent="0.15">
      <c r="A23" s="1209" t="s">
        <v>264</v>
      </c>
      <c r="B23" s="1210"/>
      <c r="C23" s="251"/>
      <c r="D23" s="252">
        <f>SUM(D20:D22)</f>
        <v>3129334.165</v>
      </c>
      <c r="E23" s="253">
        <f>SUM(E20:E22)</f>
        <v>70754969</v>
      </c>
      <c r="F23" s="253">
        <f>SUM(F20:F22)</f>
        <v>60258912</v>
      </c>
      <c r="G23" s="253">
        <f>SUM(G20:G22)</f>
        <v>10496057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 x14ac:dyDescent="0.15">
      <c r="A24" s="1213" t="s">
        <v>162</v>
      </c>
      <c r="B24" s="1214"/>
      <c r="C24" s="447"/>
      <c r="D24" s="71"/>
      <c r="E24" s="72"/>
      <c r="F24" s="72"/>
      <c r="G24" s="72"/>
      <c r="H24" s="95"/>
      <c r="I24" s="448"/>
      <c r="J24" s="448"/>
      <c r="K24" s="80"/>
      <c r="L24" s="81"/>
      <c r="M24" s="81"/>
      <c r="N24" s="81"/>
      <c r="O24" s="83"/>
    </row>
    <row r="25" spans="1:15" ht="27.75" customHeight="1" x14ac:dyDescent="0.15">
      <c r="A25" s="1215"/>
      <c r="B25" s="1216"/>
      <c r="C25" s="445"/>
      <c r="D25" s="266"/>
      <c r="E25" s="265"/>
      <c r="F25" s="265"/>
      <c r="G25" s="426">
        <f>E25-F25</f>
        <v>0</v>
      </c>
      <c r="H25" s="95"/>
      <c r="I25" s="448"/>
      <c r="J25" s="83"/>
      <c r="K25" s="80"/>
      <c r="L25" s="81"/>
      <c r="M25" s="81"/>
      <c r="N25" s="81"/>
      <c r="O25" s="83"/>
    </row>
    <row r="26" spans="1:15" ht="27.75" customHeight="1" x14ac:dyDescent="0.15">
      <c r="A26" s="1217"/>
      <c r="B26" s="1218"/>
      <c r="C26" s="446"/>
      <c r="D26" s="267"/>
      <c r="E26" s="268"/>
      <c r="F26" s="268"/>
      <c r="G26" s="70"/>
      <c r="H26" s="95"/>
      <c r="I26" s="448"/>
      <c r="J26" s="448"/>
      <c r="K26" s="80"/>
      <c r="L26" s="81"/>
      <c r="M26" s="81"/>
      <c r="N26" s="81"/>
      <c r="O26" s="83"/>
    </row>
    <row r="27" spans="1:15" ht="27.75" customHeight="1" thickBot="1" x14ac:dyDescent="0.2">
      <c r="A27" s="1211" t="s">
        <v>264</v>
      </c>
      <c r="B27" s="1212"/>
      <c r="C27" s="427"/>
      <c r="D27" s="428">
        <f>SUM(D24:D26)</f>
        <v>0</v>
      </c>
      <c r="E27" s="429">
        <f>SUM(E24:E26)</f>
        <v>0</v>
      </c>
      <c r="F27" s="429">
        <f>SUM(F24:F26)</f>
        <v>0</v>
      </c>
      <c r="G27" s="429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 x14ac:dyDescent="0.15">
      <c r="A28" s="1209" t="s">
        <v>265</v>
      </c>
      <c r="B28" s="1210"/>
      <c r="C28" s="432"/>
      <c r="D28" s="433">
        <f>D23+D12+D19+D27</f>
        <v>6575214.3714000005</v>
      </c>
      <c r="E28" s="434">
        <f>E23+E12+E19+E27</f>
        <v>152842023</v>
      </c>
      <c r="F28" s="434">
        <f>F23+F12+F19+F27</f>
        <v>126938033</v>
      </c>
      <c r="G28" s="434">
        <f>G23+G12+G19+G27</f>
        <v>25903990</v>
      </c>
      <c r="H28" s="95">
        <f t="shared" si="0"/>
        <v>0.16948211945611319</v>
      </c>
      <c r="I28" s="83"/>
      <c r="J28" s="83"/>
      <c r="K28" s="83"/>
      <c r="L28" s="83"/>
      <c r="M28" s="83"/>
      <c r="N28" s="83"/>
      <c r="O28" s="83"/>
    </row>
    <row r="29" spans="1:15" ht="18.75" customHeight="1" x14ac:dyDescent="0.15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 x14ac:dyDescent="0.15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 x14ac:dyDescent="0.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 x14ac:dyDescent="0.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 x14ac:dyDescent="0.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 x14ac:dyDescent="0.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 x14ac:dyDescent="0.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 x14ac:dyDescent="0.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 x14ac:dyDescent="0.15">
      <c r="D37" s="84"/>
      <c r="H37" s="82"/>
      <c r="I37" s="83"/>
      <c r="J37" s="83"/>
      <c r="K37" s="83"/>
      <c r="L37" s="83"/>
      <c r="M37" s="83"/>
      <c r="N37" s="83"/>
      <c r="O37" s="83"/>
    </row>
    <row r="38" spans="4:15" x14ac:dyDescent="0.15">
      <c r="D38" s="8"/>
      <c r="H38" s="83"/>
      <c r="I38" s="83"/>
      <c r="J38" s="83"/>
      <c r="K38" s="83"/>
      <c r="L38" s="83"/>
      <c r="M38" s="83"/>
      <c r="N38" s="83"/>
      <c r="O38" s="83"/>
    </row>
    <row r="39" spans="4:15" x14ac:dyDescent="0.15">
      <c r="D39" s="24" t="s">
        <v>211</v>
      </c>
      <c r="H39" s="83"/>
      <c r="I39" s="83"/>
      <c r="J39" s="83"/>
      <c r="K39" s="83"/>
      <c r="L39" s="83"/>
      <c r="M39" s="83"/>
      <c r="N39" s="83"/>
      <c r="O39" s="83"/>
    </row>
    <row r="40" spans="4:15" x14ac:dyDescent="0.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 x14ac:dyDescent="0.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</mergeCells>
  <phoneticPr fontId="35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24" zoomScaleNormal="124" workbookViewId="0">
      <selection activeCell="F14" sqref="F14"/>
    </sheetView>
  </sheetViews>
  <sheetFormatPr defaultRowHeight="13.5" x14ac:dyDescent="0.15"/>
  <cols>
    <col min="2" max="2" width="7.109375" customWidth="1"/>
    <col min="3" max="4" width="12.21875" customWidth="1"/>
    <col min="5" max="5" width="13" customWidth="1"/>
  </cols>
  <sheetData>
    <row r="1" spans="1:7" x14ac:dyDescent="0.15">
      <c r="B1" s="947" t="s">
        <v>466</v>
      </c>
    </row>
    <row r="2" spans="1:7" ht="12" customHeight="1" x14ac:dyDescent="0.15">
      <c r="B2" s="229"/>
      <c r="C2" s="230" t="s">
        <v>60</v>
      </c>
      <c r="D2" s="230" t="s">
        <v>61</v>
      </c>
      <c r="E2" s="231" t="s">
        <v>62</v>
      </c>
      <c r="F2" s="162" t="s">
        <v>183</v>
      </c>
      <c r="G2" s="776"/>
    </row>
    <row r="3" spans="1:7" ht="12" customHeight="1" x14ac:dyDescent="0.15">
      <c r="B3" s="34" t="s">
        <v>30</v>
      </c>
      <c r="C3" s="35" t="s">
        <v>40</v>
      </c>
      <c r="D3" s="1020"/>
      <c r="E3" s="1021"/>
      <c r="F3" s="777" t="s">
        <v>467</v>
      </c>
      <c r="G3" s="775"/>
    </row>
    <row r="4" spans="1:7" ht="12" customHeight="1" x14ac:dyDescent="0.15">
      <c r="B4" s="32" t="s">
        <v>30</v>
      </c>
      <c r="C4" s="33" t="s">
        <v>384</v>
      </c>
      <c r="D4" s="1023">
        <v>336</v>
      </c>
      <c r="E4" s="1024">
        <v>14245.392</v>
      </c>
      <c r="F4" s="777" t="s">
        <v>184</v>
      </c>
      <c r="G4" s="775"/>
    </row>
    <row r="5" spans="1:7" ht="12" customHeight="1" x14ac:dyDescent="0.15">
      <c r="B5" s="32" t="s">
        <v>30</v>
      </c>
      <c r="C5" s="33" t="s">
        <v>383</v>
      </c>
      <c r="D5" s="1023">
        <v>12799</v>
      </c>
      <c r="E5" s="1024">
        <v>542643.44499999995</v>
      </c>
      <c r="F5" s="777" t="s">
        <v>220</v>
      </c>
      <c r="G5" s="775"/>
    </row>
    <row r="6" spans="1:7" ht="12" customHeight="1" x14ac:dyDescent="0.15">
      <c r="B6" s="32" t="s">
        <v>30</v>
      </c>
      <c r="C6" s="33" t="s">
        <v>47</v>
      </c>
      <c r="D6" s="1020"/>
      <c r="E6" s="1022"/>
      <c r="F6" s="777" t="s">
        <v>165</v>
      </c>
      <c r="G6" s="775"/>
    </row>
    <row r="7" spans="1:7" ht="12" customHeight="1" x14ac:dyDescent="0.15">
      <c r="B7" s="32" t="s">
        <v>30</v>
      </c>
      <c r="C7" s="33" t="s">
        <v>382</v>
      </c>
      <c r="D7" s="1023">
        <v>18479</v>
      </c>
      <c r="E7" s="1024">
        <v>783454.16299999994</v>
      </c>
      <c r="F7" s="777" t="s">
        <v>453</v>
      </c>
      <c r="G7" s="775"/>
    </row>
    <row r="8" spans="1:7" s="87" customFormat="1" ht="12" customHeight="1" x14ac:dyDescent="0.15">
      <c r="B8" s="36" t="s">
        <v>30</v>
      </c>
      <c r="C8" s="48" t="s">
        <v>107</v>
      </c>
      <c r="D8" s="1023">
        <v>0</v>
      </c>
      <c r="E8" s="1024">
        <v>0</v>
      </c>
      <c r="F8" s="777" t="s">
        <v>163</v>
      </c>
      <c r="G8" s="775"/>
    </row>
    <row r="9" spans="1:7" ht="12" customHeight="1" x14ac:dyDescent="0.15">
      <c r="B9" s="36" t="s">
        <v>30</v>
      </c>
      <c r="C9" s="48" t="s">
        <v>101</v>
      </c>
      <c r="D9" s="1023">
        <v>35.94</v>
      </c>
      <c r="E9" s="1025">
        <v>1523.7482</v>
      </c>
      <c r="F9" s="899" t="s">
        <v>185</v>
      </c>
      <c r="G9" s="900" t="s">
        <v>385</v>
      </c>
    </row>
    <row r="10" spans="1:7" ht="12" hidden="1" customHeight="1" x14ac:dyDescent="0.15">
      <c r="B10" s="1243" t="s">
        <v>71</v>
      </c>
      <c r="C10" s="1244"/>
      <c r="D10" s="435">
        <f>SUM(D3:D9)</f>
        <v>31649.94</v>
      </c>
      <c r="E10" s="31">
        <f>SUM(E3:E9)</f>
        <v>1341866.7482</v>
      </c>
      <c r="F10" s="775"/>
      <c r="G10" s="775"/>
    </row>
    <row r="11" spans="1:7" ht="12" hidden="1" customHeight="1" x14ac:dyDescent="0.15">
      <c r="B11" s="34" t="s">
        <v>30</v>
      </c>
      <c r="C11" s="35" t="s">
        <v>70</v>
      </c>
      <c r="D11" s="436">
        <v>0</v>
      </c>
      <c r="E11" s="49">
        <v>0</v>
      </c>
      <c r="F11" s="775"/>
      <c r="G11" s="775"/>
    </row>
    <row r="12" spans="1:7" ht="12" customHeight="1" x14ac:dyDescent="0.15">
      <c r="B12" s="1245" t="s">
        <v>72</v>
      </c>
      <c r="C12" s="1246"/>
      <c r="D12" s="437">
        <f>SUM(D3:D9)</f>
        <v>31649.94</v>
      </c>
      <c r="E12" s="232">
        <f>SUM(E3:E9)</f>
        <v>1341866.7482</v>
      </c>
      <c r="F12" s="775" t="s">
        <v>164</v>
      </c>
      <c r="G12" s="775"/>
    </row>
    <row r="13" spans="1:7" x14ac:dyDescent="0.15">
      <c r="D13" s="88"/>
      <c r="E13" s="89"/>
    </row>
    <row r="15" spans="1:7" x14ac:dyDescent="0.15">
      <c r="A15" s="74"/>
    </row>
    <row r="16" spans="1:7" x14ac:dyDescent="0.15">
      <c r="A16" s="96" t="s">
        <v>113</v>
      </c>
    </row>
    <row r="17" spans="1:16" x14ac:dyDescent="0.15">
      <c r="A17" s="746" t="s">
        <v>458</v>
      </c>
      <c r="B17" s="746"/>
      <c r="C17" s="746"/>
      <c r="D17" s="746"/>
      <c r="E17" s="746"/>
      <c r="F17" s="746"/>
      <c r="G17" s="746"/>
      <c r="H17" s="746"/>
      <c r="I17" s="746"/>
      <c r="J17" s="746"/>
      <c r="K17" s="746"/>
      <c r="L17" s="746"/>
      <c r="M17" s="746"/>
      <c r="N17" s="746"/>
      <c r="O17" s="746"/>
      <c r="P17" s="746"/>
    </row>
    <row r="19" spans="1:16" x14ac:dyDescent="0.15">
      <c r="C19" s="28"/>
      <c r="D19" s="28"/>
      <c r="E19" s="28"/>
    </row>
    <row r="22" spans="1:16" x14ac:dyDescent="0.15">
      <c r="H22" t="s">
        <v>241</v>
      </c>
    </row>
    <row r="41" spans="6:6" x14ac:dyDescent="0.15">
      <c r="F41" s="946" t="s">
        <v>454</v>
      </c>
    </row>
  </sheetData>
  <mergeCells count="2">
    <mergeCell ref="B10:C10"/>
    <mergeCell ref="B12:C12"/>
  </mergeCells>
  <phoneticPr fontId="36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topLeftCell="A7" zoomScale="40" zoomScaleNormal="25" zoomScaleSheetLayoutView="40" zoomScalePageLayoutView="70" workbookViewId="0">
      <selection activeCell="R16" sqref="R16"/>
    </sheetView>
  </sheetViews>
  <sheetFormatPr defaultRowHeight="13.5" x14ac:dyDescent="0.1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 x14ac:dyDescent="0.15">
      <c r="B1" s="533" t="s">
        <v>401</v>
      </c>
      <c r="C1" s="546"/>
      <c r="D1" s="546"/>
      <c r="E1" s="546"/>
      <c r="F1" s="546"/>
      <c r="G1" s="546"/>
      <c r="H1" s="546"/>
      <c r="I1" s="546"/>
      <c r="J1" s="546"/>
      <c r="K1" s="546"/>
      <c r="L1" s="546"/>
      <c r="M1" s="546"/>
      <c r="N1" s="546"/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  <c r="AD1" s="546"/>
      <c r="AE1" s="546"/>
      <c r="AF1" s="546"/>
      <c r="AG1" s="546"/>
      <c r="AH1" s="546"/>
      <c r="AI1" s="546"/>
    </row>
    <row r="2" spans="2:43" s="99" customFormat="1" ht="32.1" customHeight="1" thickBot="1" x14ac:dyDescent="0.2">
      <c r="B2" s="547"/>
      <c r="C2" s="548"/>
      <c r="D2" s="548"/>
      <c r="E2" s="548"/>
      <c r="F2" s="548"/>
      <c r="G2" s="548"/>
      <c r="H2" s="548"/>
      <c r="I2" s="548"/>
      <c r="J2" s="548"/>
      <c r="K2" s="548"/>
      <c r="L2" s="548"/>
      <c r="M2" s="548"/>
      <c r="N2" s="548"/>
      <c r="O2" s="548"/>
      <c r="P2" s="548"/>
      <c r="Q2" s="548"/>
      <c r="R2" s="548"/>
      <c r="S2" s="548"/>
      <c r="T2" s="548"/>
      <c r="U2" s="548"/>
      <c r="V2" s="548"/>
      <c r="W2" s="548"/>
      <c r="X2" s="548"/>
      <c r="Y2" s="548"/>
      <c r="Z2" s="548"/>
      <c r="AA2" s="548"/>
      <c r="AB2" s="548"/>
      <c r="AC2" s="548"/>
      <c r="AD2" s="548"/>
      <c r="AE2" s="548"/>
      <c r="AF2" s="537"/>
      <c r="AG2" s="548"/>
      <c r="AH2" s="537"/>
      <c r="AI2" s="538" t="s">
        <v>367</v>
      </c>
    </row>
    <row r="3" spans="2:43" s="100" customFormat="1" ht="54" customHeight="1" thickTop="1" x14ac:dyDescent="0.15">
      <c r="B3" s="1295" t="s">
        <v>147</v>
      </c>
      <c r="C3" s="550" t="s">
        <v>149</v>
      </c>
      <c r="D3" s="551"/>
      <c r="E3" s="551"/>
      <c r="F3" s="550" t="s">
        <v>149</v>
      </c>
      <c r="G3" s="551"/>
      <c r="H3" s="551"/>
      <c r="I3" s="551"/>
      <c r="J3" s="551"/>
      <c r="K3" s="551"/>
      <c r="L3" s="551"/>
      <c r="M3" s="551"/>
      <c r="N3" s="552" t="s">
        <v>149</v>
      </c>
      <c r="O3" s="553"/>
      <c r="P3" s="553"/>
      <c r="Q3" s="552" t="s">
        <v>149</v>
      </c>
      <c r="R3" s="553"/>
      <c r="S3" s="553"/>
      <c r="T3" s="553"/>
      <c r="U3" s="554"/>
      <c r="V3" s="553"/>
      <c r="W3" s="554"/>
      <c r="X3" s="554"/>
      <c r="Y3" s="553" t="s">
        <v>149</v>
      </c>
      <c r="Z3" s="551"/>
      <c r="AA3" s="551"/>
      <c r="AB3" s="555" t="s">
        <v>149</v>
      </c>
      <c r="AC3" s="551"/>
      <c r="AD3" s="551"/>
      <c r="AE3" s="551"/>
      <c r="AF3" s="556"/>
      <c r="AG3" s="551"/>
      <c r="AH3" s="556"/>
      <c r="AI3" s="556"/>
    </row>
    <row r="4" spans="2:43" s="100" customFormat="1" ht="46.5" customHeight="1" x14ac:dyDescent="0.15">
      <c r="B4" s="1296"/>
      <c r="C4" s="1298" t="s">
        <v>124</v>
      </c>
      <c r="D4" s="1302" t="s">
        <v>150</v>
      </c>
      <c r="E4" s="1303"/>
      <c r="F4" s="1298" t="s">
        <v>150</v>
      </c>
      <c r="G4" s="1302" t="s">
        <v>191</v>
      </c>
      <c r="H4" s="1303"/>
      <c r="I4" s="1304" t="s">
        <v>136</v>
      </c>
      <c r="J4" s="1304"/>
      <c r="K4" s="1304" t="s">
        <v>136</v>
      </c>
      <c r="L4" s="1304"/>
      <c r="M4" s="1300" t="s">
        <v>121</v>
      </c>
      <c r="N4" s="1305" t="s">
        <v>124</v>
      </c>
      <c r="O4" s="1302" t="s">
        <v>150</v>
      </c>
      <c r="P4" s="1303"/>
      <c r="Q4" s="1313" t="s">
        <v>150</v>
      </c>
      <c r="R4" s="557" t="str">
        <f>MID(총괄표!A2,7,3)</f>
        <v xml:space="preserve">7월 </v>
      </c>
      <c r="S4" s="557"/>
      <c r="T4" s="1308" t="s">
        <v>136</v>
      </c>
      <c r="U4" s="1308"/>
      <c r="V4" s="1308" t="s">
        <v>136</v>
      </c>
      <c r="W4" s="1308"/>
      <c r="X4" s="1307" t="s">
        <v>121</v>
      </c>
      <c r="Y4" s="1309" t="s">
        <v>124</v>
      </c>
      <c r="Z4" s="1308" t="s">
        <v>150</v>
      </c>
      <c r="AA4" s="1308"/>
      <c r="AB4" s="1314" t="s">
        <v>150</v>
      </c>
      <c r="AC4" s="557" t="s">
        <v>155</v>
      </c>
      <c r="AD4" s="557"/>
      <c r="AE4" s="1308" t="s">
        <v>136</v>
      </c>
      <c r="AF4" s="1308"/>
      <c r="AG4" s="1302" t="s">
        <v>136</v>
      </c>
      <c r="AH4" s="1303"/>
      <c r="AI4" s="1310" t="s">
        <v>121</v>
      </c>
    </row>
    <row r="5" spans="2:43" s="100" customFormat="1" ht="46.5" customHeight="1" x14ac:dyDescent="0.15">
      <c r="B5" s="1297"/>
      <c r="C5" s="1299"/>
      <c r="D5" s="558" t="s">
        <v>152</v>
      </c>
      <c r="E5" s="559" t="s">
        <v>128</v>
      </c>
      <c r="F5" s="1299"/>
      <c r="G5" s="558" t="s">
        <v>152</v>
      </c>
      <c r="H5" s="559" t="s">
        <v>128</v>
      </c>
      <c r="I5" s="560" t="s">
        <v>137</v>
      </c>
      <c r="J5" s="561" t="s">
        <v>151</v>
      </c>
      <c r="K5" s="562" t="s">
        <v>137</v>
      </c>
      <c r="L5" s="563" t="s">
        <v>128</v>
      </c>
      <c r="M5" s="1301"/>
      <c r="N5" s="1306"/>
      <c r="O5" s="558" t="s">
        <v>152</v>
      </c>
      <c r="P5" s="559" t="s">
        <v>128</v>
      </c>
      <c r="Q5" s="1313"/>
      <c r="R5" s="564" t="s">
        <v>152</v>
      </c>
      <c r="S5" s="565" t="s">
        <v>128</v>
      </c>
      <c r="T5" s="565" t="s">
        <v>137</v>
      </c>
      <c r="U5" s="565" t="s">
        <v>151</v>
      </c>
      <c r="V5" s="565" t="s">
        <v>137</v>
      </c>
      <c r="W5" s="565" t="s">
        <v>128</v>
      </c>
      <c r="X5" s="1307"/>
      <c r="Y5" s="1309"/>
      <c r="Z5" s="565" t="s">
        <v>152</v>
      </c>
      <c r="AA5" s="565" t="s">
        <v>128</v>
      </c>
      <c r="AB5" s="1314"/>
      <c r="AC5" s="565" t="s">
        <v>152</v>
      </c>
      <c r="AD5" s="565" t="s">
        <v>128</v>
      </c>
      <c r="AE5" s="565" t="s">
        <v>137</v>
      </c>
      <c r="AF5" s="565" t="s">
        <v>151</v>
      </c>
      <c r="AG5" s="566" t="s">
        <v>137</v>
      </c>
      <c r="AH5" s="561" t="s">
        <v>128</v>
      </c>
      <c r="AI5" s="1311"/>
    </row>
    <row r="6" spans="2:43" s="99" customFormat="1" ht="90" customHeight="1" x14ac:dyDescent="0.7">
      <c r="B6" s="567" t="s">
        <v>369</v>
      </c>
      <c r="C6" s="1288">
        <f>총괄표!$X$11</f>
        <v>20730438</v>
      </c>
      <c r="D6" s="568"/>
      <c r="E6" s="569">
        <f>총괄표!V11</f>
        <v>20292051</v>
      </c>
      <c r="F6" s="1288">
        <f>E6</f>
        <v>20292051</v>
      </c>
      <c r="G6" s="568"/>
      <c r="H6" s="569">
        <f>C6</f>
        <v>20730438</v>
      </c>
      <c r="I6" s="1294">
        <f>K7</f>
        <v>1143250</v>
      </c>
      <c r="J6" s="1292">
        <f>L7</f>
        <v>1.0583672347454878</v>
      </c>
      <c r="K6" s="570"/>
      <c r="L6" s="571">
        <f>총괄표!Y11</f>
        <v>19587188</v>
      </c>
      <c r="M6" s="1289">
        <f>C6/$C$18</f>
        <v>0.67787277097219811</v>
      </c>
      <c r="N6" s="1290">
        <f>총괄표!E11</f>
        <v>639453</v>
      </c>
      <c r="O6" s="568"/>
      <c r="P6" s="569">
        <f>총괄표!C11</f>
        <v>635854</v>
      </c>
      <c r="Q6" s="1291">
        <f>P6</f>
        <v>635854</v>
      </c>
      <c r="R6" s="572">
        <f>O7</f>
        <v>3599</v>
      </c>
      <c r="S6" s="573">
        <f>N6</f>
        <v>639453</v>
      </c>
      <c r="T6" s="572">
        <f>V7</f>
        <v>-9380</v>
      </c>
      <c r="U6" s="1268">
        <f>W7</f>
        <v>0.98554327538827402</v>
      </c>
      <c r="V6" s="574"/>
      <c r="W6" s="575">
        <f>총괄표!G11</f>
        <v>648833</v>
      </c>
      <c r="X6" s="1286">
        <f>총괄표!I11</f>
        <v>30.5</v>
      </c>
      <c r="Y6" s="1312">
        <f>C6+N6</f>
        <v>21369891</v>
      </c>
      <c r="Z6" s="576"/>
      <c r="AA6" s="573">
        <f>E6+P6</f>
        <v>20927905</v>
      </c>
      <c r="AB6" s="1315">
        <f>AA6</f>
        <v>20927905</v>
      </c>
      <c r="AC6" s="572">
        <f>Z7</f>
        <v>441986</v>
      </c>
      <c r="AD6" s="573">
        <f>Y6</f>
        <v>21369891</v>
      </c>
      <c r="AE6" s="572">
        <f>AG7</f>
        <v>1133870</v>
      </c>
      <c r="AF6" s="1268">
        <f>AH7</f>
        <v>1.0560322604923171</v>
      </c>
      <c r="AG6" s="577"/>
      <c r="AH6" s="578">
        <f>L6+W6</f>
        <v>20236021</v>
      </c>
      <c r="AI6" s="1317">
        <f>총괄표!P11</f>
        <v>65.399999999999991</v>
      </c>
    </row>
    <row r="7" spans="2:43" s="99" customFormat="1" ht="90" customHeight="1" x14ac:dyDescent="0.15">
      <c r="B7" s="579">
        <f>VLOOKUP(B6,데이터!$D$33:$E$38,2,FALSE)</f>
        <v>1130934</v>
      </c>
      <c r="C7" s="1288"/>
      <c r="D7" s="580">
        <f>C6-E6</f>
        <v>438387</v>
      </c>
      <c r="E7" s="581">
        <f>C6/E6</f>
        <v>1.0216038782871184</v>
      </c>
      <c r="F7" s="1288"/>
      <c r="G7" s="580">
        <f>H6-F6</f>
        <v>438387</v>
      </c>
      <c r="H7" s="581">
        <f>H6/E6</f>
        <v>1.0216038782871184</v>
      </c>
      <c r="I7" s="1277"/>
      <c r="J7" s="1293"/>
      <c r="K7" s="580">
        <f>C6-L6</f>
        <v>1143250</v>
      </c>
      <c r="L7" s="581">
        <f>C6/L6</f>
        <v>1.0583672347454878</v>
      </c>
      <c r="M7" s="1289"/>
      <c r="N7" s="1291"/>
      <c r="O7" s="580">
        <f>N6-P6</f>
        <v>3599</v>
      </c>
      <c r="P7" s="581">
        <f>N6/P6</f>
        <v>1.0056601043635802</v>
      </c>
      <c r="Q7" s="1284"/>
      <c r="R7" s="582">
        <f>(S7-1)</f>
        <v>5.6601043635802206E-3</v>
      </c>
      <c r="S7" s="583">
        <f>P7</f>
        <v>1.0056601043635802</v>
      </c>
      <c r="T7" s="582">
        <f>U6-1</f>
        <v>-1.445672461172598E-2</v>
      </c>
      <c r="U7" s="1280"/>
      <c r="V7" s="584">
        <f>N6-W6</f>
        <v>-9380</v>
      </c>
      <c r="W7" s="585">
        <f>N6/W6</f>
        <v>0.98554327538827402</v>
      </c>
      <c r="X7" s="1271"/>
      <c r="Y7" s="1272"/>
      <c r="Z7" s="586">
        <f>Y6-AA6</f>
        <v>441986</v>
      </c>
      <c r="AA7" s="585">
        <f>Y6/AA6</f>
        <v>1.0211194574898921</v>
      </c>
      <c r="AB7" s="1316"/>
      <c r="AC7" s="582">
        <f>AD7-1</f>
        <v>2.1119457489892079E-2</v>
      </c>
      <c r="AD7" s="583">
        <f>AA7</f>
        <v>1.0211194574898921</v>
      </c>
      <c r="AE7" s="582">
        <f>AF6-1</f>
        <v>5.6032260492317132E-2</v>
      </c>
      <c r="AF7" s="1280"/>
      <c r="AG7" s="587">
        <f>Y6-AH6</f>
        <v>1133870</v>
      </c>
      <c r="AH7" s="581">
        <f>Y6/AH6</f>
        <v>1.0560322604923171</v>
      </c>
      <c r="AI7" s="1317"/>
    </row>
    <row r="8" spans="2:43" s="99" customFormat="1" ht="90" customHeight="1" x14ac:dyDescent="0.7">
      <c r="B8" s="588" t="s">
        <v>167</v>
      </c>
      <c r="C8" s="1265">
        <f>총괄표!$X$12</f>
        <v>2010366</v>
      </c>
      <c r="D8" s="589"/>
      <c r="E8" s="590">
        <f>총괄표!V12</f>
        <v>2020805</v>
      </c>
      <c r="F8" s="1265">
        <f>E8</f>
        <v>2020805</v>
      </c>
      <c r="G8" s="589"/>
      <c r="H8" s="590">
        <f>C8</f>
        <v>2010366</v>
      </c>
      <c r="I8" s="1276">
        <f>K9</f>
        <v>411.93534570001066</v>
      </c>
      <c r="J8" s="1278">
        <f>L9</f>
        <v>1.0002049476418113</v>
      </c>
      <c r="K8" s="589"/>
      <c r="L8" s="591">
        <f>총괄표!Y12</f>
        <v>2009954.0646543</v>
      </c>
      <c r="M8" s="1267">
        <f>C8/$C$18</f>
        <v>6.5737750986655186E-2</v>
      </c>
      <c r="N8" s="1287">
        <f>총괄표!E12</f>
        <v>234318</v>
      </c>
      <c r="O8" s="589"/>
      <c r="P8" s="590">
        <f>총괄표!C12</f>
        <v>238789</v>
      </c>
      <c r="Q8" s="1284">
        <f>P8</f>
        <v>238789</v>
      </c>
      <c r="R8" s="586">
        <f>O9</f>
        <v>-4471</v>
      </c>
      <c r="S8" s="592">
        <f>N8</f>
        <v>234318</v>
      </c>
      <c r="T8" s="586">
        <f>V9</f>
        <v>-2957.9359886000166</v>
      </c>
      <c r="U8" s="1280">
        <f>W9</f>
        <v>0.98753377169801948</v>
      </c>
      <c r="V8" s="593"/>
      <c r="W8" s="584">
        <f>총괄표!G12</f>
        <v>237275.93598860002</v>
      </c>
      <c r="X8" s="1285">
        <f>총괄표!I12</f>
        <v>11.2</v>
      </c>
      <c r="Y8" s="1272">
        <f>C8+N8</f>
        <v>2244684</v>
      </c>
      <c r="Z8" s="586"/>
      <c r="AA8" s="592">
        <f>E8+P8</f>
        <v>2259594</v>
      </c>
      <c r="AB8" s="1316">
        <f>AA8</f>
        <v>2259594</v>
      </c>
      <c r="AC8" s="586">
        <f>Z9</f>
        <v>-14910</v>
      </c>
      <c r="AD8" s="592">
        <f>Y8</f>
        <v>2244684</v>
      </c>
      <c r="AE8" s="586">
        <f>AG9</f>
        <v>-2546.0006428998895</v>
      </c>
      <c r="AF8" s="1280">
        <f>AH9</f>
        <v>0.99886704937092707</v>
      </c>
      <c r="AG8" s="594"/>
      <c r="AH8" s="595">
        <f>L8+W8</f>
        <v>2247230.0006428999</v>
      </c>
      <c r="AI8" s="1274">
        <f>총괄표!P12</f>
        <v>6.9</v>
      </c>
    </row>
    <row r="9" spans="2:43" s="99" customFormat="1" ht="90" customHeight="1" x14ac:dyDescent="0.15">
      <c r="B9" s="579">
        <f>VLOOKUP(B8,데이터!$D$33:$E$38,2,FALSE)</f>
        <v>21923</v>
      </c>
      <c r="C9" s="1266"/>
      <c r="D9" s="580">
        <f>C8-E8</f>
        <v>-10439</v>
      </c>
      <c r="E9" s="581">
        <f>C8/E8</f>
        <v>0.99483423685115591</v>
      </c>
      <c r="F9" s="1266"/>
      <c r="G9" s="580">
        <f>H8-F8</f>
        <v>-10439</v>
      </c>
      <c r="H9" s="581">
        <f>H8/E8</f>
        <v>0.99483423685115591</v>
      </c>
      <c r="I9" s="1277"/>
      <c r="J9" s="1279"/>
      <c r="K9" s="580">
        <f>C8-L8</f>
        <v>411.93534570001066</v>
      </c>
      <c r="L9" s="581">
        <f>C8/L8</f>
        <v>1.0002049476418113</v>
      </c>
      <c r="M9" s="1268"/>
      <c r="N9" s="1287"/>
      <c r="O9" s="580">
        <f>N8-P8</f>
        <v>-4471</v>
      </c>
      <c r="P9" s="581">
        <f>N8/P8</f>
        <v>0.98127635695111581</v>
      </c>
      <c r="Q9" s="1284"/>
      <c r="R9" s="596">
        <f>S9-1</f>
        <v>-1.8723643048884187E-2</v>
      </c>
      <c r="S9" s="583">
        <f>P9</f>
        <v>0.98127635695111581</v>
      </c>
      <c r="T9" s="582">
        <f>U8-1</f>
        <v>-1.246622830198052E-2</v>
      </c>
      <c r="U9" s="1280"/>
      <c r="V9" s="584">
        <f>N8-W8</f>
        <v>-2957.9359886000166</v>
      </c>
      <c r="W9" s="585">
        <f>N8/W8</f>
        <v>0.98753377169801948</v>
      </c>
      <c r="X9" s="1286"/>
      <c r="Y9" s="1272"/>
      <c r="Z9" s="586">
        <f>Y8-AA8</f>
        <v>-14910</v>
      </c>
      <c r="AA9" s="585">
        <f>Y8/AA8</f>
        <v>0.99340146946752383</v>
      </c>
      <c r="AB9" s="1316"/>
      <c r="AC9" s="582">
        <f>AD9-1</f>
        <v>-6.5985305324761656E-3</v>
      </c>
      <c r="AD9" s="583">
        <f>AA9</f>
        <v>0.99340146946752383</v>
      </c>
      <c r="AE9" s="582">
        <f>AF8-1</f>
        <v>-1.1329506290729263E-3</v>
      </c>
      <c r="AF9" s="1280"/>
      <c r="AG9" s="587">
        <f>Y8-AH8</f>
        <v>-2546.0006428998895</v>
      </c>
      <c r="AH9" s="581">
        <f>Y8/AH8</f>
        <v>0.99886704937092707</v>
      </c>
      <c r="AI9" s="1275"/>
    </row>
    <row r="10" spans="2:43" s="99" customFormat="1" ht="90" customHeight="1" x14ac:dyDescent="0.7">
      <c r="B10" s="588" t="s">
        <v>198</v>
      </c>
      <c r="C10" s="1265">
        <f>총괄표!$X$13+총괄표!$X$14</f>
        <v>1156167</v>
      </c>
      <c r="D10" s="589"/>
      <c r="E10" s="590">
        <f>총괄표!V13+총괄표!V14</f>
        <v>1112461</v>
      </c>
      <c r="F10" s="1265">
        <f>E10</f>
        <v>1112461</v>
      </c>
      <c r="G10" s="589"/>
      <c r="H10" s="590">
        <f>C10</f>
        <v>1156167</v>
      </c>
      <c r="I10" s="1276">
        <f>K11</f>
        <v>49427</v>
      </c>
      <c r="J10" s="1278">
        <f>L11</f>
        <v>1.0446599924101414</v>
      </c>
      <c r="K10" s="589"/>
      <c r="L10" s="591">
        <f>총괄표!Y13+총괄표!Y14</f>
        <v>1106740</v>
      </c>
      <c r="M10" s="1267">
        <f>C10/$C$18</f>
        <v>3.7805960877267203E-2</v>
      </c>
      <c r="N10" s="1269">
        <f>총괄표!E13+총괄표!E14</f>
        <v>204887</v>
      </c>
      <c r="O10" s="589"/>
      <c r="P10" s="590">
        <f>총괄표!C13+총괄표!C14</f>
        <v>183513</v>
      </c>
      <c r="Q10" s="1284">
        <f>P10</f>
        <v>183513</v>
      </c>
      <c r="R10" s="586">
        <f>O11</f>
        <v>21374</v>
      </c>
      <c r="S10" s="592">
        <f>N10</f>
        <v>204887</v>
      </c>
      <c r="T10" s="586">
        <f>V11</f>
        <v>17191</v>
      </c>
      <c r="U10" s="1280">
        <f>W11</f>
        <v>1.0915895916801637</v>
      </c>
      <c r="V10" s="593"/>
      <c r="W10" s="584">
        <f>총괄표!G13+총괄표!G14</f>
        <v>187696</v>
      </c>
      <c r="X10" s="1285">
        <f>SUM(총괄표!I13:I14)</f>
        <v>9.7000000000000011</v>
      </c>
      <c r="Y10" s="1272">
        <f>C10+N10</f>
        <v>1361054</v>
      </c>
      <c r="Z10" s="586"/>
      <c r="AA10" s="592">
        <f>E10+P10</f>
        <v>1295974</v>
      </c>
      <c r="AB10" s="1316">
        <f>AA10</f>
        <v>1295974</v>
      </c>
      <c r="AC10" s="586">
        <f>Z11</f>
        <v>65080</v>
      </c>
      <c r="AD10" s="592">
        <f>Y10</f>
        <v>1361054</v>
      </c>
      <c r="AE10" s="586">
        <f>AG11</f>
        <v>66618</v>
      </c>
      <c r="AF10" s="1280">
        <f>AH11</f>
        <v>1.0514648850928126</v>
      </c>
      <c r="AG10" s="594"/>
      <c r="AH10" s="595">
        <f>L10+W10</f>
        <v>1294436</v>
      </c>
      <c r="AI10" s="1274">
        <f>SUM(총괄표!P13:P14)</f>
        <v>4.2</v>
      </c>
      <c r="AQ10" s="192"/>
    </row>
    <row r="11" spans="2:43" s="99" customFormat="1" ht="90" customHeight="1" x14ac:dyDescent="0.15">
      <c r="B11" s="579">
        <f>VLOOKUP(B10,데이터!$D$33:$E$38,2,FALSE)</f>
        <v>7908</v>
      </c>
      <c r="C11" s="1266"/>
      <c r="D11" s="580">
        <f>C10-E10</f>
        <v>43706</v>
      </c>
      <c r="E11" s="581">
        <f>C10/E10</f>
        <v>1.0392876694104332</v>
      </c>
      <c r="F11" s="1266"/>
      <c r="G11" s="580">
        <f>H10-F10</f>
        <v>43706</v>
      </c>
      <c r="H11" s="581">
        <f>H10/E10</f>
        <v>1.0392876694104332</v>
      </c>
      <c r="I11" s="1277"/>
      <c r="J11" s="1279"/>
      <c r="K11" s="580">
        <f>C10-L10</f>
        <v>49427</v>
      </c>
      <c r="L11" s="581">
        <f>C10/L10</f>
        <v>1.0446599924101414</v>
      </c>
      <c r="M11" s="1268"/>
      <c r="N11" s="1270"/>
      <c r="O11" s="580">
        <f>N10-P10</f>
        <v>21374</v>
      </c>
      <c r="P11" s="581">
        <f>N10/P10</f>
        <v>1.1164713126590486</v>
      </c>
      <c r="Q11" s="1284"/>
      <c r="R11" s="596">
        <f>S11-1</f>
        <v>0.11647131265904864</v>
      </c>
      <c r="S11" s="583">
        <f>P11</f>
        <v>1.1164713126590486</v>
      </c>
      <c r="T11" s="596">
        <f>U10-1</f>
        <v>9.1589591680163673E-2</v>
      </c>
      <c r="U11" s="1280"/>
      <c r="V11" s="584">
        <f>N10-W10</f>
        <v>17191</v>
      </c>
      <c r="W11" s="585">
        <f>N10/W10</f>
        <v>1.0915895916801637</v>
      </c>
      <c r="X11" s="1286"/>
      <c r="Y11" s="1272"/>
      <c r="Z11" s="586">
        <f>Y10-AA10</f>
        <v>65080</v>
      </c>
      <c r="AA11" s="585">
        <f>Y10/AA10</f>
        <v>1.0502170568236708</v>
      </c>
      <c r="AB11" s="1316"/>
      <c r="AC11" s="582">
        <f>AD11-1</f>
        <v>5.0217056823670836E-2</v>
      </c>
      <c r="AD11" s="583">
        <f>AA11</f>
        <v>1.0502170568236708</v>
      </c>
      <c r="AE11" s="582">
        <f>AF10-1</f>
        <v>5.1464885092812551E-2</v>
      </c>
      <c r="AF11" s="1280"/>
      <c r="AG11" s="587">
        <f>Y10-AH10</f>
        <v>66618</v>
      </c>
      <c r="AH11" s="581">
        <f>Y10/AH10</f>
        <v>1.0514648850928126</v>
      </c>
      <c r="AI11" s="1275"/>
    </row>
    <row r="12" spans="2:43" s="99" customFormat="1" ht="90" customHeight="1" x14ac:dyDescent="0.7">
      <c r="B12" s="588" t="s">
        <v>44</v>
      </c>
      <c r="C12" s="1265">
        <f>총괄표!$X$15</f>
        <v>4836856</v>
      </c>
      <c r="D12" s="589"/>
      <c r="E12" s="590">
        <f>총괄표!V15</f>
        <v>5061750</v>
      </c>
      <c r="F12" s="1265">
        <f>E12</f>
        <v>5061750</v>
      </c>
      <c r="G12" s="589"/>
      <c r="H12" s="590">
        <f>C12</f>
        <v>4836856</v>
      </c>
      <c r="I12" s="1276">
        <f>K13</f>
        <v>-342791</v>
      </c>
      <c r="J12" s="1278">
        <f>L13</f>
        <v>0.93381962129851703</v>
      </c>
      <c r="K12" s="589"/>
      <c r="L12" s="591">
        <f>총괄표!Y15</f>
        <v>5179647</v>
      </c>
      <c r="M12" s="1267">
        <f>C12/$C$18</f>
        <v>0.15816226263591257</v>
      </c>
      <c r="N12" s="1269">
        <f>총괄표!E15</f>
        <v>688770</v>
      </c>
      <c r="O12" s="589"/>
      <c r="P12" s="590">
        <f>총괄표!C15</f>
        <v>742258</v>
      </c>
      <c r="Q12" s="1284">
        <f>P12</f>
        <v>742258</v>
      </c>
      <c r="R12" s="586">
        <f>O13</f>
        <v>-53488</v>
      </c>
      <c r="S12" s="592">
        <f>N12</f>
        <v>688770</v>
      </c>
      <c r="T12" s="586">
        <f>V13</f>
        <v>-51695</v>
      </c>
      <c r="U12" s="1280">
        <f>W13</f>
        <v>0.93018576164977418</v>
      </c>
      <c r="V12" s="593"/>
      <c r="W12" s="584">
        <f>총괄표!G15</f>
        <v>740465</v>
      </c>
      <c r="X12" s="1271">
        <f>총괄표!I15</f>
        <v>32.700000000000003</v>
      </c>
      <c r="Y12" s="1272">
        <f>C12+N12</f>
        <v>5525626</v>
      </c>
      <c r="Z12" s="586"/>
      <c r="AA12" s="592">
        <f>E12+P12</f>
        <v>5804008</v>
      </c>
      <c r="AB12" s="1316">
        <f>AA12</f>
        <v>5804008</v>
      </c>
      <c r="AC12" s="586">
        <f>Z13</f>
        <v>-278382</v>
      </c>
      <c r="AD12" s="592">
        <f>Y12</f>
        <v>5525626</v>
      </c>
      <c r="AE12" s="586">
        <f>AG13</f>
        <v>-394486</v>
      </c>
      <c r="AF12" s="1280">
        <f>AH13</f>
        <v>0.93336511201139438</v>
      </c>
      <c r="AG12" s="594"/>
      <c r="AH12" s="595">
        <f>L12+W12</f>
        <v>5920112</v>
      </c>
      <c r="AI12" s="1274">
        <f>총괄표!P15</f>
        <v>16.899999999999999</v>
      </c>
    </row>
    <row r="13" spans="2:43" s="99" customFormat="1" ht="90" customHeight="1" x14ac:dyDescent="0.15">
      <c r="B13" s="579">
        <f>VLOOKUP(B12,데이터!$D$33:$E$38,2,FALSE)</f>
        <v>1121</v>
      </c>
      <c r="C13" s="1266"/>
      <c r="D13" s="580">
        <f>C12-E12</f>
        <v>-224894</v>
      </c>
      <c r="E13" s="581">
        <f>C12/E12</f>
        <v>0.95556991159184079</v>
      </c>
      <c r="F13" s="1266"/>
      <c r="G13" s="580">
        <f>H12-F12</f>
        <v>-224894</v>
      </c>
      <c r="H13" s="581">
        <f>H12/E12</f>
        <v>0.95556991159184079</v>
      </c>
      <c r="I13" s="1277"/>
      <c r="J13" s="1279"/>
      <c r="K13" s="580">
        <f>C12-L12</f>
        <v>-342791</v>
      </c>
      <c r="L13" s="581">
        <f>C12/L12</f>
        <v>0.93381962129851703</v>
      </c>
      <c r="M13" s="1268"/>
      <c r="N13" s="1270"/>
      <c r="O13" s="580">
        <f>N12-P12</f>
        <v>-53488</v>
      </c>
      <c r="P13" s="581">
        <f>N12/P12</f>
        <v>0.92793880294991771</v>
      </c>
      <c r="Q13" s="1284"/>
      <c r="R13" s="596">
        <f>S13-1</f>
        <v>-7.2061197050082293E-2</v>
      </c>
      <c r="S13" s="583">
        <f>P13</f>
        <v>0.92793880294991771</v>
      </c>
      <c r="T13" s="596">
        <f>U12-1</f>
        <v>-6.9814238350225821E-2</v>
      </c>
      <c r="U13" s="1280"/>
      <c r="V13" s="584">
        <f>N12-W12</f>
        <v>-51695</v>
      </c>
      <c r="W13" s="585">
        <f>N12/W12</f>
        <v>0.93018576164977418</v>
      </c>
      <c r="X13" s="1271"/>
      <c r="Y13" s="1272"/>
      <c r="Z13" s="586">
        <f>Y12-AA12</f>
        <v>-278382</v>
      </c>
      <c r="AA13" s="585">
        <f>Y12/AA12</f>
        <v>0.95203624805479248</v>
      </c>
      <c r="AB13" s="1316"/>
      <c r="AC13" s="582">
        <f>AD13-1</f>
        <v>-4.7963751945207522E-2</v>
      </c>
      <c r="AD13" s="583">
        <f>AA13</f>
        <v>0.95203624805479248</v>
      </c>
      <c r="AE13" s="582">
        <f>AF12-1</f>
        <v>-6.6634887988605618E-2</v>
      </c>
      <c r="AF13" s="1280"/>
      <c r="AG13" s="587">
        <f>Y12-AH12</f>
        <v>-394486</v>
      </c>
      <c r="AH13" s="581">
        <f>Y12/AH12</f>
        <v>0.93336511201139438</v>
      </c>
      <c r="AI13" s="1275"/>
    </row>
    <row r="14" spans="2:43" s="99" customFormat="1" ht="90" customHeight="1" x14ac:dyDescent="0.7">
      <c r="B14" s="588" t="s">
        <v>123</v>
      </c>
      <c r="C14" s="1265">
        <f>총괄표!$X$16+총괄표!$X$17</f>
        <v>1575462</v>
      </c>
      <c r="D14" s="589"/>
      <c r="E14" s="590">
        <f>총괄표!V16+총괄표!V17</f>
        <v>1564895</v>
      </c>
      <c r="F14" s="1265">
        <f>E14</f>
        <v>1564895</v>
      </c>
      <c r="G14" s="589"/>
      <c r="H14" s="590">
        <f>C14</f>
        <v>1575462</v>
      </c>
      <c r="I14" s="1276">
        <f>K15</f>
        <v>-31988</v>
      </c>
      <c r="J14" s="1278">
        <f>L15</f>
        <v>0.98010015863634947</v>
      </c>
      <c r="K14" s="589"/>
      <c r="L14" s="591">
        <f>총괄표!Y16+총괄표!Y17</f>
        <v>1607450</v>
      </c>
      <c r="M14" s="1267">
        <f>C14/$C$18</f>
        <v>5.1516653507340325E-2</v>
      </c>
      <c r="N14" s="1269">
        <f>총괄표!E16+총괄표!E17</f>
        <v>293934</v>
      </c>
      <c r="O14" s="589"/>
      <c r="P14" s="590">
        <f>총괄표!C16+총괄표!C17</f>
        <v>281878</v>
      </c>
      <c r="Q14" s="1284">
        <f>P14</f>
        <v>281878</v>
      </c>
      <c r="R14" s="586">
        <f>O15</f>
        <v>12056</v>
      </c>
      <c r="S14" s="592">
        <f>N14</f>
        <v>293934</v>
      </c>
      <c r="T14" s="586">
        <f>V15</f>
        <v>1734</v>
      </c>
      <c r="U14" s="1280">
        <f>W15</f>
        <v>1.0059342915811089</v>
      </c>
      <c r="V14" s="593"/>
      <c r="W14" s="584">
        <f>총괄표!G16+총괄표!G17</f>
        <v>292200</v>
      </c>
      <c r="X14" s="1271">
        <f>SUM(총괄표!I16:I17)</f>
        <v>14</v>
      </c>
      <c r="Y14" s="1272">
        <f>C14+N14</f>
        <v>1869396</v>
      </c>
      <c r="Z14" s="586"/>
      <c r="AA14" s="592">
        <f>E14+P14</f>
        <v>1846773</v>
      </c>
      <c r="AB14" s="1316">
        <f>AA14</f>
        <v>1846773</v>
      </c>
      <c r="AC14" s="586">
        <f>Z15</f>
        <v>22623</v>
      </c>
      <c r="AD14" s="592">
        <f>Y14</f>
        <v>1869396</v>
      </c>
      <c r="AE14" s="586">
        <f>AG15</f>
        <v>-30254</v>
      </c>
      <c r="AF14" s="1280">
        <f>AH15</f>
        <v>0.98407390835153841</v>
      </c>
      <c r="AG14" s="594"/>
      <c r="AH14" s="595">
        <f>L14+W14</f>
        <v>1899650</v>
      </c>
      <c r="AI14" s="1274">
        <f>SUM(총괄표!P16:P17)</f>
        <v>5.7</v>
      </c>
    </row>
    <row r="15" spans="2:43" s="99" customFormat="1" ht="90" customHeight="1" x14ac:dyDescent="0.15">
      <c r="B15" s="579">
        <f>VLOOKUP(B14,데이터!$D$33:$E$38,2,FALSE)</f>
        <v>100</v>
      </c>
      <c r="C15" s="1266"/>
      <c r="D15" s="580">
        <f>C14-E14</f>
        <v>10567</v>
      </c>
      <c r="E15" s="581">
        <f>C14/E14</f>
        <v>1.0067525297224413</v>
      </c>
      <c r="F15" s="1266"/>
      <c r="G15" s="580">
        <f>H14-F14</f>
        <v>10567</v>
      </c>
      <c r="H15" s="581">
        <f>H14/E14</f>
        <v>1.0067525297224413</v>
      </c>
      <c r="I15" s="1277"/>
      <c r="J15" s="1279"/>
      <c r="K15" s="580">
        <f>C14-L14</f>
        <v>-31988</v>
      </c>
      <c r="L15" s="581">
        <f>C14/L14</f>
        <v>0.98010015863634947</v>
      </c>
      <c r="M15" s="1268"/>
      <c r="N15" s="1270"/>
      <c r="O15" s="580">
        <f>N14-P14</f>
        <v>12056</v>
      </c>
      <c r="P15" s="581">
        <f>N14/P14</f>
        <v>1.0427702765026003</v>
      </c>
      <c r="Q15" s="1284"/>
      <c r="R15" s="596">
        <f>S15-1</f>
        <v>4.2770276502600346E-2</v>
      </c>
      <c r="S15" s="583">
        <f>P15</f>
        <v>1.0427702765026003</v>
      </c>
      <c r="T15" s="596">
        <f>U14-1</f>
        <v>5.9342915811089192E-3</v>
      </c>
      <c r="U15" s="1280"/>
      <c r="V15" s="584">
        <f>N14-W14</f>
        <v>1734</v>
      </c>
      <c r="W15" s="585">
        <f>N14/W14</f>
        <v>1.0059342915811089</v>
      </c>
      <c r="X15" s="1271"/>
      <c r="Y15" s="1272"/>
      <c r="Z15" s="586">
        <f>Y14-AA14</f>
        <v>22623</v>
      </c>
      <c r="AA15" s="585">
        <f>Y14/AA14</f>
        <v>1.0122500166506658</v>
      </c>
      <c r="AB15" s="1316"/>
      <c r="AC15" s="582">
        <f>AD15-1</f>
        <v>1.2250016650665829E-2</v>
      </c>
      <c r="AD15" s="583">
        <f>AA15</f>
        <v>1.0122500166506658</v>
      </c>
      <c r="AE15" s="582">
        <f>AF14-1</f>
        <v>-1.5926091648461593E-2</v>
      </c>
      <c r="AF15" s="1280"/>
      <c r="AG15" s="587">
        <f>Y14-AH14</f>
        <v>-30254</v>
      </c>
      <c r="AH15" s="581">
        <f>Y14/AH14</f>
        <v>0.98407390835153841</v>
      </c>
      <c r="AI15" s="1275"/>
    </row>
    <row r="16" spans="2:43" s="99" customFormat="1" ht="90" customHeight="1" x14ac:dyDescent="0.7">
      <c r="B16" s="588" t="s">
        <v>223</v>
      </c>
      <c r="C16" s="1265">
        <f>총괄표!X18+총괄표!X19+총괄표!X20+총괄표!X21</f>
        <v>272317</v>
      </c>
      <c r="D16" s="589"/>
      <c r="E16" s="590">
        <f>총괄표!V18+총괄표!V19+총괄표!V20+총괄표!V21</f>
        <v>281783</v>
      </c>
      <c r="F16" s="1265">
        <f>E16</f>
        <v>281783</v>
      </c>
      <c r="G16" s="589"/>
      <c r="H16" s="590">
        <f>C16</f>
        <v>272317</v>
      </c>
      <c r="I16" s="1276">
        <f>K17</f>
        <v>-117658</v>
      </c>
      <c r="J16" s="1278">
        <f>L17</f>
        <v>0.69829348035130456</v>
      </c>
      <c r="K16" s="589"/>
      <c r="L16" s="591">
        <f>총괄표!Y18+총괄표!Y19+총괄표!Y20+총괄표!Y21</f>
        <v>389975</v>
      </c>
      <c r="M16" s="1267">
        <f>C16/$C$18</f>
        <v>8.9046010206265819E-3</v>
      </c>
      <c r="N16" s="1269">
        <f>총괄표!E18+총괄표!E19+총괄표!E20+총괄표!E21</f>
        <v>36989</v>
      </c>
      <c r="O16" s="589"/>
      <c r="P16" s="590">
        <f>총괄표!C18+총괄표!C19+총괄표!C20+총괄표!C21</f>
        <v>39578</v>
      </c>
      <c r="Q16" s="1284">
        <f>P16</f>
        <v>39578</v>
      </c>
      <c r="R16" s="586">
        <f>O17</f>
        <v>-2589</v>
      </c>
      <c r="S16" s="592">
        <f>N16</f>
        <v>36989</v>
      </c>
      <c r="T16" s="586">
        <f>V17</f>
        <v>-29418</v>
      </c>
      <c r="U16" s="1280">
        <f>W17</f>
        <v>0.55700453265468997</v>
      </c>
      <c r="V16" s="593"/>
      <c r="W16" s="584">
        <f>총괄표!G18+총괄표!G19+총괄표!G20+총괄표!G21</f>
        <v>66407</v>
      </c>
      <c r="X16" s="1271">
        <f>SUM(총괄표!I18:I21)</f>
        <v>1.9000000000000004</v>
      </c>
      <c r="Y16" s="1272">
        <f>C16+N16</f>
        <v>309306</v>
      </c>
      <c r="Z16" s="586"/>
      <c r="AA16" s="592">
        <f>E16+P16</f>
        <v>321361</v>
      </c>
      <c r="AB16" s="1316">
        <f>AA16</f>
        <v>321361</v>
      </c>
      <c r="AC16" s="586">
        <f>Z17</f>
        <v>-12055</v>
      </c>
      <c r="AD16" s="592">
        <f>Y16</f>
        <v>309306</v>
      </c>
      <c r="AE16" s="586">
        <f>AG17</f>
        <v>-147076</v>
      </c>
      <c r="AF16" s="1280">
        <f>AH17</f>
        <v>0.67773487999088478</v>
      </c>
      <c r="AG16" s="594"/>
      <c r="AH16" s="595">
        <f>L16+W16</f>
        <v>456382</v>
      </c>
      <c r="AI16" s="1274">
        <f>SUM(총괄표!P18:P21)</f>
        <v>0.9</v>
      </c>
    </row>
    <row r="17" spans="2:39" s="99" customFormat="1" ht="90" customHeight="1" thickBot="1" x14ac:dyDescent="0.2">
      <c r="B17" s="597">
        <f>VLOOKUP(B16,데이터!$D$33:$E$38,2,FALSE)</f>
        <v>344</v>
      </c>
      <c r="C17" s="1266"/>
      <c r="D17" s="580">
        <f>C16-E16</f>
        <v>-9466</v>
      </c>
      <c r="E17" s="581">
        <f>C16/E16</f>
        <v>0.96640677400694863</v>
      </c>
      <c r="F17" s="1266"/>
      <c r="G17" s="580">
        <f>H16-F16</f>
        <v>-9466</v>
      </c>
      <c r="H17" s="581">
        <f>H16/F16</f>
        <v>0.96640677400694863</v>
      </c>
      <c r="I17" s="1282"/>
      <c r="J17" s="1283"/>
      <c r="K17" s="580">
        <f>C16-L16</f>
        <v>-117658</v>
      </c>
      <c r="L17" s="581">
        <f>C16/L16</f>
        <v>0.69829348035130456</v>
      </c>
      <c r="M17" s="1268"/>
      <c r="N17" s="1270"/>
      <c r="O17" s="580">
        <f>N16-P16</f>
        <v>-2589</v>
      </c>
      <c r="P17" s="581">
        <f>N16/P16</f>
        <v>0.93458487038253579</v>
      </c>
      <c r="Q17" s="1321"/>
      <c r="R17" s="598">
        <f>S17-1</f>
        <v>-6.5415129617464207E-2</v>
      </c>
      <c r="S17" s="599">
        <f>P17</f>
        <v>0.93458487038253579</v>
      </c>
      <c r="T17" s="598">
        <f>U16-1</f>
        <v>-0.44299546734531003</v>
      </c>
      <c r="U17" s="1281"/>
      <c r="V17" s="600">
        <f>N16-W16</f>
        <v>-29418</v>
      </c>
      <c r="W17" s="601">
        <f>N16/W16</f>
        <v>0.55700453265468997</v>
      </c>
      <c r="X17" s="1271"/>
      <c r="Y17" s="1273"/>
      <c r="Z17" s="602">
        <f>Y16-AA16</f>
        <v>-12055</v>
      </c>
      <c r="AA17" s="601">
        <f>Y16/AA16</f>
        <v>0.96248766963010446</v>
      </c>
      <c r="AB17" s="1320"/>
      <c r="AC17" s="625">
        <f>AD17-1</f>
        <v>-3.7512330369895541E-2</v>
      </c>
      <c r="AD17" s="599">
        <f>AA17</f>
        <v>0.96248766963010446</v>
      </c>
      <c r="AE17" s="625">
        <f>AF16-1</f>
        <v>-0.32226512000911522</v>
      </c>
      <c r="AF17" s="1281"/>
      <c r="AG17" s="587">
        <f>Y16-AH16</f>
        <v>-147076</v>
      </c>
      <c r="AH17" s="581">
        <f>Y16/AH16</f>
        <v>0.67773487999088478</v>
      </c>
      <c r="AI17" s="1275"/>
    </row>
    <row r="18" spans="2:39" s="101" customFormat="1" ht="90" customHeight="1" x14ac:dyDescent="0.7">
      <c r="B18" s="603" t="s">
        <v>138</v>
      </c>
      <c r="C18" s="1247">
        <f>SUM(C6:C17)</f>
        <v>30581606</v>
      </c>
      <c r="D18" s="604"/>
      <c r="E18" s="605">
        <f>E6+E8+E10+E12+E14+E16</f>
        <v>30333745</v>
      </c>
      <c r="F18" s="1247">
        <f>SUM(F6:F17)</f>
        <v>30333745</v>
      </c>
      <c r="G18" s="604"/>
      <c r="H18" s="605">
        <f>H6+H8+H10+H12+H14+H16</f>
        <v>30581606</v>
      </c>
      <c r="I18" s="1261">
        <f>K19</f>
        <v>700651.93534570187</v>
      </c>
      <c r="J18" s="1259">
        <f>L19</f>
        <v>1.0234481112560758</v>
      </c>
      <c r="K18" s="604"/>
      <c r="L18" s="606">
        <f>L6+L8+L10+L12+L14+L16</f>
        <v>29880954.064654298</v>
      </c>
      <c r="M18" s="1249"/>
      <c r="N18" s="1251">
        <f>SUM(N6:N17)</f>
        <v>2098351</v>
      </c>
      <c r="O18" s="604"/>
      <c r="P18" s="605">
        <f>P6+P8+P10+P12+P14+P16</f>
        <v>2121870</v>
      </c>
      <c r="Q18" s="1251">
        <f>SUM(Q6:Q17)</f>
        <v>2121870</v>
      </c>
      <c r="R18" s="607">
        <f>O19</f>
        <v>-23519</v>
      </c>
      <c r="S18" s="608">
        <f>S6+'판매량-월별추이'!S8+S10+S12+S14+S16</f>
        <v>2098351</v>
      </c>
      <c r="T18" s="607">
        <f>V19</f>
        <v>-74525.9359885999</v>
      </c>
      <c r="U18" s="1263">
        <f>W19</f>
        <v>0.96570172256226161</v>
      </c>
      <c r="V18" s="609"/>
      <c r="W18" s="609">
        <f>W6+W8+W10+W12+W14+W16</f>
        <v>2172876.9359885999</v>
      </c>
      <c r="X18" s="1253"/>
      <c r="Y18" s="1255">
        <f>SUM(Y6:Y17)</f>
        <v>32679957</v>
      </c>
      <c r="Z18" s="607"/>
      <c r="AA18" s="608">
        <f>AA6+AA8+AA10+AA12+AA14+AA16</f>
        <v>32455615</v>
      </c>
      <c r="AB18" s="1257">
        <f>SUM(AB6:AB17)</f>
        <v>32455615</v>
      </c>
      <c r="AC18" s="607">
        <f>Z19</f>
        <v>224342</v>
      </c>
      <c r="AD18" s="608">
        <f>AD6+AD8+AD10+AD12+AD14+AD16</f>
        <v>32679957</v>
      </c>
      <c r="AE18" s="610">
        <f>AG19</f>
        <v>626125.99935710058</v>
      </c>
      <c r="AF18" s="1249">
        <f>AH19</f>
        <v>1.019533577728807</v>
      </c>
      <c r="AG18" s="611"/>
      <c r="AH18" s="612">
        <f>AH6+AH8+AH10+AH12+AH14+AH16</f>
        <v>32053831.000642899</v>
      </c>
      <c r="AI18" s="1318"/>
    </row>
    <row r="19" spans="2:39" s="101" customFormat="1" ht="90" customHeight="1" thickBot="1" x14ac:dyDescent="0.2">
      <c r="B19" s="613">
        <f>IF(B7+B9+B11+B13+B15+B17=데이터!E39,B7+B9+B11+B13+B15+B17,"")</f>
        <v>1162330</v>
      </c>
      <c r="C19" s="1248"/>
      <c r="D19" s="614">
        <f>C18-E18</f>
        <v>247861</v>
      </c>
      <c r="E19" s="615">
        <f>C18/E18</f>
        <v>1.0081711308643229</v>
      </c>
      <c r="F19" s="1248"/>
      <c r="G19" s="614">
        <f>H18-F18</f>
        <v>247861</v>
      </c>
      <c r="H19" s="615">
        <f>H18/F18</f>
        <v>1.0081711308643229</v>
      </c>
      <c r="I19" s="1262"/>
      <c r="J19" s="1260"/>
      <c r="K19" s="614">
        <f>C18-L18</f>
        <v>700651.93534570187</v>
      </c>
      <c r="L19" s="616">
        <f>C18/L18</f>
        <v>1.0234481112560758</v>
      </c>
      <c r="M19" s="1250"/>
      <c r="N19" s="1252"/>
      <c r="O19" s="617">
        <f>N18-P18</f>
        <v>-23519</v>
      </c>
      <c r="P19" s="618">
        <f>N18/P18</f>
        <v>0.98891590908019811</v>
      </c>
      <c r="Q19" s="1252"/>
      <c r="R19" s="619">
        <f>S19-1</f>
        <v>-1.1084090919801892E-2</v>
      </c>
      <c r="S19" s="694">
        <f>P19</f>
        <v>0.98891590908019811</v>
      </c>
      <c r="T19" s="619">
        <f>U18-1</f>
        <v>-3.4298277437738389E-2</v>
      </c>
      <c r="U19" s="1264"/>
      <c r="V19" s="620">
        <f>N18-W18</f>
        <v>-74525.9359885999</v>
      </c>
      <c r="W19" s="621">
        <f>N18/W18</f>
        <v>0.96570172256226161</v>
      </c>
      <c r="X19" s="1254"/>
      <c r="Y19" s="1256"/>
      <c r="Z19" s="622">
        <f>Y18-AA18</f>
        <v>224342</v>
      </c>
      <c r="AA19" s="623">
        <f>Y18/AA18</f>
        <v>1.0069122708042968</v>
      </c>
      <c r="AB19" s="1258"/>
      <c r="AC19" s="635">
        <f>AD19-1</f>
        <v>6.912270804296794E-3</v>
      </c>
      <c r="AD19" s="695">
        <f>AA19</f>
        <v>1.0069122708042968</v>
      </c>
      <c r="AE19" s="739">
        <f>AF18-1</f>
        <v>1.9533577728807039E-2</v>
      </c>
      <c r="AF19" s="1250"/>
      <c r="AG19" s="624">
        <f>Y18-AH18</f>
        <v>626125.99935710058</v>
      </c>
      <c r="AH19" s="615">
        <f>Y18/AH18</f>
        <v>1.019533577728807</v>
      </c>
      <c r="AI19" s="1319"/>
    </row>
    <row r="20" spans="2:39" s="111" customFormat="1" ht="35.25" customHeight="1" x14ac:dyDescent="0.15">
      <c r="B20" s="539"/>
      <c r="C20" s="540"/>
      <c r="D20" s="541"/>
      <c r="E20" s="542"/>
      <c r="F20" s="540"/>
      <c r="G20" s="541"/>
      <c r="H20" s="542"/>
      <c r="I20" s="541"/>
      <c r="J20" s="542"/>
      <c r="K20" s="541"/>
      <c r="L20" s="542"/>
      <c r="M20" s="543"/>
      <c r="N20" s="540"/>
      <c r="O20" s="543"/>
      <c r="P20" s="544"/>
      <c r="Q20" s="540"/>
      <c r="R20" s="543"/>
      <c r="S20" s="544"/>
      <c r="T20" s="542"/>
      <c r="U20" s="544"/>
      <c r="V20" s="542"/>
      <c r="W20" s="544"/>
      <c r="X20" s="543"/>
      <c r="Y20" s="540"/>
      <c r="Z20" s="543"/>
      <c r="AA20" s="544"/>
      <c r="AB20" s="540"/>
      <c r="AC20" s="543"/>
      <c r="AD20" s="544"/>
      <c r="AE20" s="542"/>
      <c r="AF20" s="544"/>
      <c r="AG20" s="542"/>
      <c r="AH20" s="544"/>
      <c r="AI20" s="543"/>
    </row>
    <row r="21" spans="2:39" ht="35.25" customHeight="1" x14ac:dyDescent="0.15">
      <c r="B21" s="545" t="s">
        <v>135</v>
      </c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49"/>
      <c r="AB21" s="549"/>
      <c r="AC21" s="549"/>
      <c r="AD21" s="549"/>
      <c r="AE21" s="549"/>
      <c r="AF21" s="549"/>
      <c r="AG21" s="549"/>
      <c r="AH21" s="549"/>
      <c r="AI21" s="549"/>
    </row>
    <row r="22" spans="2:39" ht="35.25" customHeight="1" x14ac:dyDescent="0.15">
      <c r="B22" s="545" t="s">
        <v>130</v>
      </c>
      <c r="C22" s="549"/>
      <c r="D22" s="549"/>
      <c r="E22" s="549"/>
      <c r="F22" s="549"/>
      <c r="G22" s="549"/>
      <c r="H22" s="549"/>
      <c r="I22" s="549"/>
      <c r="J22" s="549"/>
      <c r="K22" s="549"/>
      <c r="L22" s="549"/>
      <c r="M22" s="549"/>
      <c r="N22" s="549"/>
      <c r="O22" s="549"/>
      <c r="P22" s="549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  <c r="AE22" s="549"/>
      <c r="AF22" s="549"/>
      <c r="AG22" s="549"/>
      <c r="AH22" s="549"/>
      <c r="AI22" s="549"/>
      <c r="AL22" s="782">
        <f>SUM(AD19)</f>
        <v>1.0069122708042968</v>
      </c>
      <c r="AM22" s="781"/>
    </row>
    <row r="23" spans="2:39" ht="35.25" customHeight="1" x14ac:dyDescent="0.15">
      <c r="B23" s="545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49"/>
      <c r="P23" s="549"/>
      <c r="Q23" s="549"/>
      <c r="R23" s="549"/>
      <c r="S23" s="549"/>
      <c r="T23" s="549"/>
      <c r="U23" s="549"/>
      <c r="V23" s="549"/>
      <c r="W23" s="549"/>
      <c r="X23" s="549"/>
      <c r="Y23" s="549"/>
      <c r="Z23" s="549"/>
      <c r="AA23" s="549"/>
      <c r="AB23" s="549"/>
      <c r="AC23" s="549"/>
      <c r="AD23" s="549"/>
      <c r="AE23" s="549"/>
      <c r="AF23" s="549"/>
      <c r="AG23" s="549"/>
      <c r="AH23" s="549"/>
      <c r="AI23" s="549"/>
      <c r="AL23" s="783">
        <f>SUM(S19)</f>
        <v>0.98891590908019811</v>
      </c>
    </row>
    <row r="24" spans="2:39" ht="35.25" customHeight="1" x14ac:dyDescent="0.15">
      <c r="B24" s="545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49"/>
      <c r="P24" s="549"/>
      <c r="Q24" s="549"/>
      <c r="R24" s="549"/>
      <c r="S24" s="549"/>
      <c r="T24" s="549"/>
      <c r="U24" s="549"/>
      <c r="V24" s="549"/>
      <c r="W24" s="549"/>
      <c r="X24" s="549"/>
      <c r="Y24" s="549"/>
      <c r="Z24" s="549"/>
      <c r="AA24" s="549"/>
      <c r="AB24" s="549"/>
      <c r="AC24" s="549"/>
      <c r="AD24" s="549"/>
      <c r="AE24" s="549"/>
      <c r="AF24" s="549"/>
      <c r="AG24" s="549"/>
      <c r="AH24" s="549"/>
      <c r="AI24" s="549"/>
    </row>
    <row r="25" spans="2:39" ht="35.25" customHeight="1" x14ac:dyDescent="0.15"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49"/>
      <c r="AB25" s="549"/>
      <c r="AC25" s="549"/>
      <c r="AD25" s="549"/>
      <c r="AE25" s="549"/>
      <c r="AF25" s="549"/>
      <c r="AG25" s="549"/>
      <c r="AH25" s="549"/>
      <c r="AI25" s="549"/>
    </row>
    <row r="26" spans="2:39" ht="35.25" customHeight="1" x14ac:dyDescent="0.15"/>
    <row r="27" spans="2:39" ht="35.25" customHeight="1" x14ac:dyDescent="0.15"/>
    <row r="28" spans="2:39" ht="35.25" customHeight="1" x14ac:dyDescent="0.15"/>
    <row r="29" spans="2:39" ht="35.25" customHeight="1" x14ac:dyDescent="0.15"/>
    <row r="30" spans="2:39" ht="35.25" customHeight="1" x14ac:dyDescent="0.15"/>
    <row r="31" spans="2:39" ht="35.25" customHeight="1" x14ac:dyDescent="0.15"/>
    <row r="32" spans="2:39" ht="35.25" customHeight="1" x14ac:dyDescent="0.15"/>
    <row r="33" ht="35.25" customHeight="1" x14ac:dyDescent="0.15"/>
    <row r="34" ht="35.25" customHeight="1" x14ac:dyDescent="0.15"/>
    <row r="35" ht="35.25" customHeight="1" x14ac:dyDescent="0.15"/>
    <row r="36" ht="35.25" customHeight="1" x14ac:dyDescent="0.15"/>
    <row r="37" ht="35.25" customHeight="1" x14ac:dyDescent="0.15"/>
    <row r="38" ht="35.25" customHeight="1" x14ac:dyDescent="0.15"/>
    <row r="39" ht="35.25" customHeight="1" x14ac:dyDescent="0.15"/>
    <row r="40" ht="35.25" customHeight="1" x14ac:dyDescent="0.15"/>
    <row r="41" ht="35.25" customHeight="1" x14ac:dyDescent="0.15"/>
    <row r="42" ht="35.25" customHeight="1" x14ac:dyDescent="0.15"/>
    <row r="43" ht="35.25" customHeight="1" x14ac:dyDescent="0.15"/>
    <row r="44" ht="35.25" customHeight="1" x14ac:dyDescent="0.15"/>
    <row r="45" ht="35.25" customHeight="1" x14ac:dyDescent="0.15"/>
    <row r="46" ht="35.25" customHeight="1" x14ac:dyDescent="0.15"/>
    <row r="47" ht="35.25" customHeight="1" x14ac:dyDescent="0.15"/>
    <row r="48" ht="35.25" customHeight="1" x14ac:dyDescent="0.15"/>
    <row r="49" ht="35.25" customHeight="1" x14ac:dyDescent="0.15"/>
    <row r="50" ht="35.25" customHeight="1" x14ac:dyDescent="0.15"/>
    <row r="51" ht="35.25" customHeight="1" x14ac:dyDescent="0.15"/>
    <row r="52" ht="35.25" customHeight="1" x14ac:dyDescent="0.15"/>
    <row r="53" ht="35.25" customHeight="1" x14ac:dyDescent="0.15"/>
    <row r="54" ht="35.25" customHeight="1" x14ac:dyDescent="0.15"/>
    <row r="55" ht="35.25" customHeight="1" x14ac:dyDescent="0.15"/>
    <row r="56" ht="35.25" customHeight="1" x14ac:dyDescent="0.15"/>
    <row r="57" ht="35.25" customHeight="1" x14ac:dyDescent="0.15"/>
    <row r="58" ht="35.25" customHeight="1" x14ac:dyDescent="0.15"/>
    <row r="59" ht="35.25" customHeight="1" x14ac:dyDescent="0.15"/>
    <row r="60" ht="35.25" customHeight="1" x14ac:dyDescent="0.15"/>
    <row r="61" ht="35.25" customHeight="1" x14ac:dyDescent="0.15"/>
    <row r="62" ht="35.25" customHeight="1" x14ac:dyDescent="0.15"/>
    <row r="63" ht="35.25" customHeight="1" x14ac:dyDescent="0.15"/>
    <row r="64" ht="35.25" customHeight="1" x14ac:dyDescent="0.15"/>
    <row r="65" ht="35.25" customHeight="1" x14ac:dyDescent="0.15"/>
    <row r="66" ht="35.25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</sheetData>
  <mergeCells count="111"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</mergeCells>
  <phoneticPr fontId="36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 x14ac:dyDescent="0.1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 x14ac:dyDescent="0.15">
      <c r="B1" s="533" t="s">
        <v>348</v>
      </c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</row>
    <row r="2" spans="2:35" s="99" customFormat="1" ht="32.1" customHeight="1" thickBot="1" x14ac:dyDescent="0.2">
      <c r="B2" s="535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7"/>
      <c r="N2" s="538" t="s">
        <v>368</v>
      </c>
    </row>
    <row r="3" spans="2:35" s="100" customFormat="1" ht="54" customHeight="1" thickTop="1" x14ac:dyDescent="0.15">
      <c r="B3" s="1343" t="s">
        <v>148</v>
      </c>
      <c r="C3" s="552" t="s">
        <v>153</v>
      </c>
      <c r="D3" s="553"/>
      <c r="E3" s="553"/>
      <c r="F3" s="553"/>
      <c r="G3" s="554"/>
      <c r="H3" s="554"/>
      <c r="I3" s="627" t="s">
        <v>153</v>
      </c>
      <c r="J3" s="551"/>
      <c r="K3" s="551"/>
      <c r="L3" s="551"/>
      <c r="M3" s="556"/>
      <c r="N3" s="556"/>
      <c r="O3" s="482"/>
      <c r="P3" s="482"/>
      <c r="Q3" s="482"/>
      <c r="R3" s="482"/>
      <c r="S3" s="482"/>
      <c r="T3" s="482"/>
      <c r="U3" s="482"/>
      <c r="V3" s="482"/>
      <c r="W3" s="482"/>
      <c r="X3" s="482"/>
      <c r="Y3" s="482"/>
      <c r="Z3" s="482"/>
      <c r="AA3" s="482"/>
      <c r="AB3" s="482"/>
      <c r="AC3" s="482"/>
      <c r="AD3" s="482"/>
      <c r="AE3" s="482"/>
      <c r="AF3" s="482"/>
      <c r="AG3" s="482"/>
      <c r="AH3" s="482"/>
      <c r="AI3" s="482"/>
    </row>
    <row r="4" spans="2:35" s="100" customFormat="1" ht="46.5" customHeight="1" x14ac:dyDescent="0.15">
      <c r="B4" s="1296"/>
      <c r="C4" s="1305" t="s">
        <v>150</v>
      </c>
      <c r="D4" s="1308" t="str">
        <f>'판매량-월별추이'!R4</f>
        <v xml:space="preserve">7월 </v>
      </c>
      <c r="E4" s="1308"/>
      <c r="F4" s="1308" t="s">
        <v>136</v>
      </c>
      <c r="G4" s="1308"/>
      <c r="H4" s="1345" t="s">
        <v>121</v>
      </c>
      <c r="I4" s="1305" t="s">
        <v>150</v>
      </c>
      <c r="J4" s="1308" t="s">
        <v>129</v>
      </c>
      <c r="K4" s="1308"/>
      <c r="L4" s="1308" t="s">
        <v>136</v>
      </c>
      <c r="M4" s="1308"/>
      <c r="N4" s="1310" t="s">
        <v>121</v>
      </c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</row>
    <row r="5" spans="2:35" s="100" customFormat="1" ht="46.5" customHeight="1" x14ac:dyDescent="0.15">
      <c r="B5" s="1297"/>
      <c r="C5" s="1306"/>
      <c r="D5" s="565" t="s">
        <v>152</v>
      </c>
      <c r="E5" s="565" t="s">
        <v>154</v>
      </c>
      <c r="F5" s="565" t="s">
        <v>137</v>
      </c>
      <c r="G5" s="565" t="s">
        <v>151</v>
      </c>
      <c r="H5" s="1346"/>
      <c r="I5" s="1306"/>
      <c r="J5" s="565" t="s">
        <v>152</v>
      </c>
      <c r="K5" s="565" t="s">
        <v>139</v>
      </c>
      <c r="L5" s="565" t="s">
        <v>137</v>
      </c>
      <c r="M5" s="565" t="s">
        <v>151</v>
      </c>
      <c r="N5" s="1311"/>
      <c r="O5" s="483"/>
      <c r="P5" s="483"/>
      <c r="Q5" s="483"/>
      <c r="R5" s="483"/>
      <c r="S5" s="483"/>
      <c r="T5" s="483"/>
      <c r="U5" s="483"/>
      <c r="V5" s="483"/>
      <c r="W5" s="483"/>
      <c r="X5" s="483"/>
      <c r="Y5" s="483"/>
      <c r="Z5" s="483"/>
      <c r="AA5" s="483"/>
      <c r="AB5" s="483"/>
      <c r="AC5" s="483"/>
      <c r="AD5" s="483"/>
      <c r="AE5" s="483"/>
      <c r="AF5" s="483"/>
      <c r="AG5" s="483"/>
      <c r="AH5" s="483"/>
      <c r="AI5" s="483"/>
    </row>
    <row r="6" spans="2:35" s="99" customFormat="1" ht="90" customHeight="1" x14ac:dyDescent="0.15">
      <c r="B6" s="1344" t="s">
        <v>369</v>
      </c>
      <c r="C6" s="1341">
        <f>총괄표!C35</f>
        <v>15155288</v>
      </c>
      <c r="D6" s="629">
        <f>E6-C6</f>
        <v>105179</v>
      </c>
      <c r="E6" s="629">
        <f>총괄표!D35</f>
        <v>15260467</v>
      </c>
      <c r="F6" s="630">
        <f>총괄표!D35-총괄표!F35</f>
        <v>804220.12600000016</v>
      </c>
      <c r="G6" s="1289">
        <f>E6/총괄표!F35</f>
        <v>1.0556313220858462</v>
      </c>
      <c r="H6" s="1352">
        <f>데이터!B24</f>
        <v>35.000000000000036</v>
      </c>
      <c r="I6" s="1341">
        <f>총괄표!J35</f>
        <v>466250364.76500005</v>
      </c>
      <c r="J6" s="629">
        <f>K6-I6</f>
        <v>6173491.2349999547</v>
      </c>
      <c r="K6" s="629">
        <f>총괄표!K35</f>
        <v>472423856</v>
      </c>
      <c r="L6" s="630">
        <f>총괄표!K35-총괄표!M35</f>
        <v>56703536.263000011</v>
      </c>
      <c r="M6" s="1289">
        <f>K6/총괄표!M35</f>
        <v>1.1363982792538809</v>
      </c>
      <c r="N6" s="1326">
        <f>데이터!D24</f>
        <v>65.8</v>
      </c>
    </row>
    <row r="7" spans="2:35" s="99" customFormat="1" ht="90" customHeight="1" x14ac:dyDescent="0.15">
      <c r="B7" s="1334"/>
      <c r="C7" s="1338"/>
      <c r="D7" s="582">
        <f>E7-1</f>
        <v>6.9400858630994655E-3</v>
      </c>
      <c r="E7" s="583">
        <f>E6/C6</f>
        <v>1.0069400858630995</v>
      </c>
      <c r="F7" s="596">
        <f>G6-1</f>
        <v>5.5631322085846202E-2</v>
      </c>
      <c r="G7" s="1268"/>
      <c r="H7" s="1350"/>
      <c r="I7" s="1338"/>
      <c r="J7" s="596">
        <f>K7-1</f>
        <v>1.3240721512596698E-2</v>
      </c>
      <c r="K7" s="583">
        <f>K6/I6</f>
        <v>1.0132407215125967</v>
      </c>
      <c r="L7" s="596">
        <f>M6-1</f>
        <v>0.13639827925388093</v>
      </c>
      <c r="M7" s="1268"/>
      <c r="N7" s="1325"/>
    </row>
    <row r="8" spans="2:35" s="99" customFormat="1" ht="90" customHeight="1" x14ac:dyDescent="0.15">
      <c r="B8" s="1330" t="s">
        <v>167</v>
      </c>
      <c r="C8" s="1337">
        <f>총괄표!C36</f>
        <v>5399114</v>
      </c>
      <c r="D8" s="631">
        <f>E8-C8</f>
        <v>-112114</v>
      </c>
      <c r="E8" s="631">
        <f>총괄표!D36</f>
        <v>5287000</v>
      </c>
      <c r="F8" s="632">
        <f>총괄표!D36-총괄표!F36</f>
        <v>287707.51999999955</v>
      </c>
      <c r="G8" s="1267">
        <f>E8/총괄표!F36</f>
        <v>1.0575496475053205</v>
      </c>
      <c r="H8" s="1349">
        <f>데이터!B25</f>
        <v>12.1</v>
      </c>
      <c r="I8" s="1337">
        <f>총괄표!J36</f>
        <v>51090318</v>
      </c>
      <c r="J8" s="631">
        <f>K8-I8</f>
        <v>-457318</v>
      </c>
      <c r="K8" s="631">
        <f>총괄표!K36</f>
        <v>50633000</v>
      </c>
      <c r="L8" s="632">
        <f>총괄표!K36-총괄표!M36</f>
        <v>3191856.5059999973</v>
      </c>
      <c r="M8" s="1267">
        <f>K8/총괄표!M36</f>
        <v>1.0672803450954693</v>
      </c>
      <c r="N8" s="1324">
        <f>데이터!D25</f>
        <v>7.1</v>
      </c>
    </row>
    <row r="9" spans="2:35" s="99" customFormat="1" ht="90" customHeight="1" x14ac:dyDescent="0.15">
      <c r="B9" s="1334"/>
      <c r="C9" s="1338"/>
      <c r="D9" s="582">
        <f>E9-1</f>
        <v>-2.0765258892477489E-2</v>
      </c>
      <c r="E9" s="583">
        <f>E8/C8</f>
        <v>0.97923474110752251</v>
      </c>
      <c r="F9" s="596">
        <f>G8-1</f>
        <v>5.7549647505320545E-2</v>
      </c>
      <c r="G9" s="1268"/>
      <c r="H9" s="1350"/>
      <c r="I9" s="1338"/>
      <c r="J9" s="596">
        <f>K9-1</f>
        <v>-8.951167616533473E-3</v>
      </c>
      <c r="K9" s="583">
        <f>K8/I8</f>
        <v>0.99104883238346653</v>
      </c>
      <c r="L9" s="596">
        <f>M8-1</f>
        <v>6.7280345095469318E-2</v>
      </c>
      <c r="M9" s="1268"/>
      <c r="N9" s="1325"/>
    </row>
    <row r="10" spans="2:35" s="99" customFormat="1" ht="90" customHeight="1" x14ac:dyDescent="0.15">
      <c r="B10" s="1330" t="s">
        <v>198</v>
      </c>
      <c r="C10" s="1337">
        <f>총괄표!C37+총괄표!C38</f>
        <v>3011833</v>
      </c>
      <c r="D10" s="631">
        <f>E10-C10</f>
        <v>72786</v>
      </c>
      <c r="E10" s="631">
        <f>총괄표!D37+총괄표!D38</f>
        <v>3084619</v>
      </c>
      <c r="F10" s="632">
        <f>(총괄표!D37+총괄표!D38)-(총괄표!F37+총괄표!F38)</f>
        <v>124291.96500000032</v>
      </c>
      <c r="G10" s="1267">
        <f>E10/(총괄표!F37+총괄표!F38)</f>
        <v>1.0419858899136798</v>
      </c>
      <c r="H10" s="1349">
        <f>데이터!B26</f>
        <v>7</v>
      </c>
      <c r="I10" s="1337">
        <f>총괄표!J37+총괄표!J38</f>
        <v>29789825</v>
      </c>
      <c r="J10" s="631">
        <f>K10-I10</f>
        <v>938301</v>
      </c>
      <c r="K10" s="631">
        <f>총괄표!K37+총괄표!K38</f>
        <v>30728126</v>
      </c>
      <c r="L10" s="632">
        <f>(총괄표!K37+총괄표!K38)-(총괄표!M37+총괄표!M38)</f>
        <v>1589622.9650000036</v>
      </c>
      <c r="M10" s="1267">
        <f>K10/(총괄표!M37+총괄표!M38)</f>
        <v>1.0545540367358821</v>
      </c>
      <c r="N10" s="1324">
        <f>데이터!D26</f>
        <v>4.3</v>
      </c>
    </row>
    <row r="11" spans="2:35" s="99" customFormat="1" ht="90" customHeight="1" x14ac:dyDescent="0.15">
      <c r="B11" s="1334"/>
      <c r="C11" s="1338"/>
      <c r="D11" s="582">
        <f>E11-1</f>
        <v>2.4166678564183419E-2</v>
      </c>
      <c r="E11" s="583">
        <f>E10/C10</f>
        <v>1.0241666785641834</v>
      </c>
      <c r="F11" s="596">
        <f>G10-1</f>
        <v>4.1985889913679797E-2</v>
      </c>
      <c r="G11" s="1268"/>
      <c r="H11" s="1350"/>
      <c r="I11" s="1338"/>
      <c r="J11" s="596">
        <f>K11-1</f>
        <v>3.1497365291672574E-2</v>
      </c>
      <c r="K11" s="583">
        <f>K10/I10</f>
        <v>1.0314973652916726</v>
      </c>
      <c r="L11" s="596">
        <f>M10-1</f>
        <v>5.4554036735882105E-2</v>
      </c>
      <c r="M11" s="1268"/>
      <c r="N11" s="1325"/>
    </row>
    <row r="12" spans="2:35" s="99" customFormat="1" ht="90" customHeight="1" x14ac:dyDescent="0.15">
      <c r="B12" s="1328" t="s">
        <v>44</v>
      </c>
      <c r="C12" s="1337">
        <f>총괄표!C39</f>
        <v>15808165</v>
      </c>
      <c r="D12" s="631">
        <f>E12-C12</f>
        <v>-2764006</v>
      </c>
      <c r="E12" s="631">
        <f>총괄표!D39</f>
        <v>13044159</v>
      </c>
      <c r="F12" s="632">
        <f>총괄표!D39-총괄표!F39</f>
        <v>-1971452.6160000004</v>
      </c>
      <c r="G12" s="1267">
        <f>E12/총괄표!F39</f>
        <v>0.86870647254226374</v>
      </c>
      <c r="H12" s="1349">
        <f>데이터!B27</f>
        <v>29.9</v>
      </c>
      <c r="I12" s="1337">
        <f>총괄표!J39</f>
        <v>123610276</v>
      </c>
      <c r="J12" s="631">
        <f>K12-I12</f>
        <v>-9317940</v>
      </c>
      <c r="K12" s="631">
        <f>총괄표!K39</f>
        <v>114292336</v>
      </c>
      <c r="L12" s="632">
        <f>총괄표!K39-총괄표!M39</f>
        <v>-10374085.615999997</v>
      </c>
      <c r="M12" s="1267">
        <f>K12/총괄표!M39</f>
        <v>0.91678524592648958</v>
      </c>
      <c r="N12" s="1324">
        <f>데이터!D27</f>
        <v>15.9</v>
      </c>
    </row>
    <row r="13" spans="2:35" s="99" customFormat="1" ht="90" customHeight="1" x14ac:dyDescent="0.15">
      <c r="B13" s="1329"/>
      <c r="C13" s="1338"/>
      <c r="D13" s="582">
        <f>E13-1</f>
        <v>-0.17484673268529272</v>
      </c>
      <c r="E13" s="583">
        <f>E12/C12</f>
        <v>0.82515326731470728</v>
      </c>
      <c r="F13" s="596">
        <f>G12-1</f>
        <v>-0.13129352745773626</v>
      </c>
      <c r="G13" s="1268"/>
      <c r="H13" s="1350"/>
      <c r="I13" s="1338"/>
      <c r="J13" s="596">
        <f>K13-1</f>
        <v>-7.5381596915130245E-2</v>
      </c>
      <c r="K13" s="583">
        <f>K12/I12</f>
        <v>0.92461840308486976</v>
      </c>
      <c r="L13" s="596">
        <f>M12-1</f>
        <v>-8.3214754073510422E-2</v>
      </c>
      <c r="M13" s="1268"/>
      <c r="N13" s="1325"/>
    </row>
    <row r="14" spans="2:35" s="99" customFormat="1" ht="90" customHeight="1" x14ac:dyDescent="0.15">
      <c r="B14" s="1330" t="s">
        <v>123</v>
      </c>
      <c r="C14" s="1337">
        <f>SUM(총괄표!C40:C41)</f>
        <v>6779221</v>
      </c>
      <c r="D14" s="631">
        <f>E14-C14</f>
        <v>-511263</v>
      </c>
      <c r="E14" s="631">
        <f>SUM(총괄표!D40:D41)</f>
        <v>6267958</v>
      </c>
      <c r="F14" s="632">
        <f>(총괄표!D40+총괄표!D41)-(총괄표!F40+총괄표!F41)</f>
        <v>-645932.375</v>
      </c>
      <c r="G14" s="1267">
        <f>E14/(총괄표!F40+총괄표!F41)</f>
        <v>0.90657468661411922</v>
      </c>
      <c r="H14" s="1349">
        <f>데이터!B28</f>
        <v>14.4</v>
      </c>
      <c r="I14" s="1337">
        <f>SUM(총괄표!J40:J41)</f>
        <v>44415255</v>
      </c>
      <c r="J14" s="631">
        <f>K14-I14</f>
        <v>-1165485</v>
      </c>
      <c r="K14" s="631">
        <f>SUM(총괄표!K40:K41)</f>
        <v>43249770</v>
      </c>
      <c r="L14" s="632">
        <f>(총괄표!K40+총괄표!K41)-(총괄표!M40+총괄표!M41)</f>
        <v>-1266284.375</v>
      </c>
      <c r="M14" s="1267">
        <f>K14/(총괄표!M40+총괄표!M41)</f>
        <v>0.97155443372557426</v>
      </c>
      <c r="N14" s="1324">
        <f>데이터!D28</f>
        <v>6.1</v>
      </c>
    </row>
    <row r="15" spans="2:35" s="99" customFormat="1" ht="90" customHeight="1" x14ac:dyDescent="0.15">
      <c r="B15" s="1334"/>
      <c r="C15" s="1338"/>
      <c r="D15" s="582">
        <f>E15-1</f>
        <v>-7.5416187199089713E-2</v>
      </c>
      <c r="E15" s="583">
        <f>E14/C14</f>
        <v>0.92458381280091029</v>
      </c>
      <c r="F15" s="596">
        <f>G14-1</f>
        <v>-9.3425313385880782E-2</v>
      </c>
      <c r="G15" s="1268"/>
      <c r="H15" s="1350"/>
      <c r="I15" s="1338"/>
      <c r="J15" s="596">
        <f>K15-1</f>
        <v>-2.6240646372513221E-2</v>
      </c>
      <c r="K15" s="583">
        <f>K14/I14</f>
        <v>0.97375935362748678</v>
      </c>
      <c r="L15" s="596">
        <f>M14-1</f>
        <v>-2.8445566274425738E-2</v>
      </c>
      <c r="M15" s="1268"/>
      <c r="N15" s="1325"/>
    </row>
    <row r="16" spans="2:35" s="99" customFormat="1" ht="90" customHeight="1" x14ac:dyDescent="0.15">
      <c r="B16" s="1330" t="s">
        <v>132</v>
      </c>
      <c r="C16" s="1341">
        <f>총괄표!C42+총괄표!C43+총괄표!C44+총괄표!C45</f>
        <v>862402</v>
      </c>
      <c r="D16" s="629">
        <f>E16-C16</f>
        <v>-193575</v>
      </c>
      <c r="E16" s="629">
        <f>총괄표!D42+총괄표!D43+총괄표!D44+총괄표!D45</f>
        <v>668827</v>
      </c>
      <c r="F16" s="630">
        <f>(총괄표!D42+총괄표!D43+총괄표!D44+총괄표!D45)-(총괄표!F42+총괄표!F43+총괄표!F44+총괄표!F45)</f>
        <v>-843209.92100000009</v>
      </c>
      <c r="G16" s="1289">
        <f>E16/(총괄표!F42+총괄표!F43+총괄표!F44+총괄표!F45)</f>
        <v>0.44233509824460165</v>
      </c>
      <c r="H16" s="1352">
        <f>100-SUM(H6:H15)</f>
        <v>1.5999999999999659</v>
      </c>
      <c r="I16" s="1341">
        <f>총괄표!J42+총괄표!J43+총괄표!J44+총괄표!J45</f>
        <v>7091005</v>
      </c>
      <c r="J16" s="629">
        <f>K16-I16</f>
        <v>-906169</v>
      </c>
      <c r="K16" s="629">
        <f>총괄표!K42+총괄표!K43+총괄표!K44+총괄표!K45</f>
        <v>6184836</v>
      </c>
      <c r="L16" s="630">
        <f>(총괄표!K42+총괄표!K43+총괄표!K44+총괄표!K45)-(총괄표!M42+총괄표!M43+총괄표!M44+총괄표!M45)</f>
        <v>-3741088.9210000001</v>
      </c>
      <c r="M16" s="1289">
        <f>K16/(총괄표!M42+총괄표!M43+총괄표!M44+총괄표!M45)</f>
        <v>0.62309921233787657</v>
      </c>
      <c r="N16" s="1326">
        <f>100-SUM(N6:N15)</f>
        <v>0.80000000000001137</v>
      </c>
    </row>
    <row r="17" spans="2:14" s="99" customFormat="1" ht="90" customHeight="1" thickBot="1" x14ac:dyDescent="0.2">
      <c r="B17" s="1331"/>
      <c r="C17" s="1342"/>
      <c r="D17" s="625">
        <f>E17-1</f>
        <v>-0.22446028650211847</v>
      </c>
      <c r="E17" s="583">
        <f>E16/C16</f>
        <v>0.77553971349788153</v>
      </c>
      <c r="F17" s="598">
        <f>G16-1</f>
        <v>-0.55766490175539829</v>
      </c>
      <c r="G17" s="1336"/>
      <c r="H17" s="1353"/>
      <c r="I17" s="1342"/>
      <c r="J17" s="598">
        <f>K17-1</f>
        <v>-0.12779133564283196</v>
      </c>
      <c r="K17" s="583">
        <f>K16/I16</f>
        <v>0.87220866435716804</v>
      </c>
      <c r="L17" s="598">
        <f>M16-1</f>
        <v>-0.37690078766212343</v>
      </c>
      <c r="M17" s="1336"/>
      <c r="N17" s="1327"/>
    </row>
    <row r="18" spans="2:14" s="101" customFormat="1" ht="90" customHeight="1" x14ac:dyDescent="0.15">
      <c r="B18" s="1332" t="s">
        <v>138</v>
      </c>
      <c r="C18" s="1339">
        <f>SUM(C6:C17)</f>
        <v>47016023</v>
      </c>
      <c r="D18" s="628">
        <f>E18-C18</f>
        <v>-3402993</v>
      </c>
      <c r="E18" s="628">
        <f>E6+E8+E10+E12+E14+E16</f>
        <v>43613030</v>
      </c>
      <c r="F18" s="633">
        <f>F6+F8+F10+F12+F14+F16</f>
        <v>-2244375.3010000004</v>
      </c>
      <c r="G18" s="1263">
        <f>(E18/총괄표!F47)</f>
        <v>0.95105751652828341</v>
      </c>
      <c r="H18" s="1253"/>
      <c r="I18" s="1347">
        <f>SUM(I6:I17)</f>
        <v>722247043.7650001</v>
      </c>
      <c r="J18" s="628">
        <f>K18-I18</f>
        <v>-4735119.7650001049</v>
      </c>
      <c r="K18" s="628">
        <f>K6+K8+K10+K12+K14+K16</f>
        <v>717511924</v>
      </c>
      <c r="L18" s="633">
        <f>L6+L8+L10+L12+L14+L16</f>
        <v>46103556.822000012</v>
      </c>
      <c r="M18" s="1263">
        <f>(K18/총괄표!M47)</f>
        <v>1.0686669381493981</v>
      </c>
      <c r="N18" s="1322"/>
    </row>
    <row r="19" spans="2:14" s="101" customFormat="1" ht="90" customHeight="1" thickBot="1" x14ac:dyDescent="0.2">
      <c r="B19" s="1333"/>
      <c r="C19" s="1340"/>
      <c r="D19" s="634">
        <f>D18/C18</f>
        <v>-7.2379431156905802E-2</v>
      </c>
      <c r="E19" s="626">
        <f>E18/C18</f>
        <v>0.92762056884309418</v>
      </c>
      <c r="F19" s="635">
        <f>G18-1</f>
        <v>-4.8942483471716591E-2</v>
      </c>
      <c r="G19" s="1335"/>
      <c r="H19" s="1351"/>
      <c r="I19" s="1348"/>
      <c r="J19" s="634">
        <f>J18/I18</f>
        <v>-6.5560943528635424E-3</v>
      </c>
      <c r="K19" s="626">
        <f>K18/I18</f>
        <v>0.99344390564713647</v>
      </c>
      <c r="L19" s="635">
        <f>M18-1</f>
        <v>6.866693814939806E-2</v>
      </c>
      <c r="M19" s="1335"/>
      <c r="N19" s="1323"/>
    </row>
    <row r="20" spans="2:14" s="101" customFormat="1" ht="35.25" customHeight="1" x14ac:dyDescent="0.15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 x14ac:dyDescent="0.15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 x14ac:dyDescent="0.15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 x14ac:dyDescent="0.15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 x14ac:dyDescent="0.15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 x14ac:dyDescent="0.15"/>
    <row r="26" spans="2:14" ht="30" customHeight="1" x14ac:dyDescent="0.15"/>
    <row r="27" spans="2:14" ht="30" customHeight="1" x14ac:dyDescent="0.15"/>
    <row r="28" spans="2:14" ht="30" customHeight="1" x14ac:dyDescent="0.15"/>
    <row r="29" spans="2:14" ht="30" customHeight="1" x14ac:dyDescent="0.15"/>
    <row r="30" spans="2:14" ht="30" customHeight="1" x14ac:dyDescent="0.15"/>
    <row r="31" spans="2:14" ht="30" customHeight="1" x14ac:dyDescent="0.15"/>
    <row r="32" spans="2:14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  <row r="40" ht="30" customHeight="1" x14ac:dyDescent="0.15"/>
    <row r="41" ht="30" customHeight="1" x14ac:dyDescent="0.15"/>
    <row r="42" ht="30" customHeight="1" x14ac:dyDescent="0.15"/>
    <row r="43" ht="30" customHeight="1" x14ac:dyDescent="0.15"/>
    <row r="44" ht="30" customHeight="1" x14ac:dyDescent="0.15"/>
    <row r="45" ht="30" customHeight="1" x14ac:dyDescent="0.15"/>
    <row r="46" ht="30" customHeight="1" x14ac:dyDescent="0.15"/>
    <row r="47" ht="30" customHeight="1" x14ac:dyDescent="0.15"/>
    <row r="48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  <row r="57" ht="30" customHeight="1" x14ac:dyDescent="0.15"/>
    <row r="58" ht="30" customHeight="1" x14ac:dyDescent="0.15"/>
    <row r="59" ht="30" customHeight="1" x14ac:dyDescent="0.15"/>
    <row r="60" ht="30" customHeight="1" x14ac:dyDescent="0.15"/>
    <row r="61" ht="30" customHeight="1" x14ac:dyDescent="0.15"/>
    <row r="62" ht="30" customHeight="1" x14ac:dyDescent="0.15"/>
    <row r="63" ht="30" customHeight="1" x14ac:dyDescent="0.15"/>
    <row r="64" ht="30" customHeight="1" x14ac:dyDescent="0.15"/>
    <row r="65" ht="32.1" customHeight="1" x14ac:dyDescent="0.15"/>
    <row r="66" ht="32.1" customHeight="1" x14ac:dyDescent="0.15"/>
    <row r="67" ht="32.1" customHeight="1" x14ac:dyDescent="0.15"/>
    <row r="68" ht="32.1" customHeight="1" x14ac:dyDescent="0.15"/>
    <row r="69" ht="32.1" customHeight="1" x14ac:dyDescent="0.15"/>
    <row r="70" ht="32.1" customHeight="1" x14ac:dyDescent="0.15"/>
    <row r="71" ht="32.1" customHeight="1" x14ac:dyDescent="0.15"/>
    <row r="72" ht="32.1" customHeight="1" x14ac:dyDescent="0.15"/>
    <row r="73" ht="32.1" customHeight="1" x14ac:dyDescent="0.15"/>
    <row r="74" ht="32.1" customHeight="1" x14ac:dyDescent="0.15"/>
    <row r="75" ht="32.1" customHeight="1" x14ac:dyDescent="0.15"/>
    <row r="76" ht="32.1" customHeight="1" x14ac:dyDescent="0.15"/>
    <row r="77" ht="32.1" customHeight="1" x14ac:dyDescent="0.15"/>
    <row r="78" ht="32.1" customHeight="1" x14ac:dyDescent="0.15"/>
    <row r="79" ht="32.1" customHeight="1" x14ac:dyDescent="0.15"/>
    <row r="80" ht="32.1" customHeight="1" x14ac:dyDescent="0.15"/>
    <row r="81" ht="32.1" customHeight="1" x14ac:dyDescent="0.15"/>
    <row r="82" ht="32.1" customHeight="1" x14ac:dyDescent="0.15"/>
    <row r="83" ht="32.1" customHeight="1" x14ac:dyDescent="0.15"/>
    <row r="84" ht="32.1" customHeight="1" x14ac:dyDescent="0.15"/>
    <row r="85" ht="32.1" customHeight="1" x14ac:dyDescent="0.15"/>
    <row r="86" ht="32.1" customHeight="1" x14ac:dyDescent="0.15"/>
    <row r="87" ht="32.1" customHeight="1" x14ac:dyDescent="0.15"/>
  </sheetData>
  <mergeCells count="58"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</mergeCells>
  <phoneticPr fontId="36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33" zoomScale="87" zoomScaleNormal="87" workbookViewId="0">
      <selection activeCell="E38" sqref="E38"/>
    </sheetView>
  </sheetViews>
  <sheetFormatPr defaultColWidth="8.88671875" defaultRowHeight="21.75" customHeight="1" x14ac:dyDescent="0.15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 x14ac:dyDescent="0.15">
      <c r="A1" s="784"/>
    </row>
    <row r="2" spans="1:7" ht="21.75" customHeight="1" x14ac:dyDescent="0.15">
      <c r="A2" s="98" t="s">
        <v>124</v>
      </c>
    </row>
    <row r="3" spans="1:7" ht="21.75" customHeight="1" x14ac:dyDescent="0.15">
      <c r="A3" s="1356" t="str">
        <f>'판매량-월별추이'!R4</f>
        <v xml:space="preserve">7월 </v>
      </c>
      <c r="B3" s="1357"/>
      <c r="C3" s="1354" t="str">
        <f>'판매량-월별추이'!AC4</f>
        <v>누 계</v>
      </c>
      <c r="D3" s="1355"/>
      <c r="F3" s="7" t="s">
        <v>193</v>
      </c>
      <c r="G3" s="7" t="s">
        <v>194</v>
      </c>
    </row>
    <row r="4" spans="1:7" ht="21.75" customHeight="1" x14ac:dyDescent="0.15">
      <c r="A4" s="257" t="s">
        <v>119</v>
      </c>
      <c r="B4" s="258" t="s">
        <v>120</v>
      </c>
      <c r="C4" s="259" t="s">
        <v>119</v>
      </c>
      <c r="D4" s="257" t="s">
        <v>120</v>
      </c>
      <c r="E4" s="7" t="s">
        <v>197</v>
      </c>
      <c r="F4" s="168">
        <f>A5</f>
        <v>2121870</v>
      </c>
      <c r="G4" s="168">
        <f>B5</f>
        <v>2098351</v>
      </c>
    </row>
    <row r="5" spans="1:7" ht="21.75" customHeight="1" x14ac:dyDescent="0.15">
      <c r="A5" s="105">
        <f>총괄표!C23</f>
        <v>2121870</v>
      </c>
      <c r="B5" s="106">
        <f>총괄표!E23</f>
        <v>2098351</v>
      </c>
      <c r="C5" s="103">
        <f>총괄표!J23</f>
        <v>32455615</v>
      </c>
      <c r="D5" s="104">
        <f>총괄표!L23</f>
        <v>32679957</v>
      </c>
      <c r="E5" s="7" t="s">
        <v>195</v>
      </c>
      <c r="F5" s="168">
        <f>C5</f>
        <v>32455615</v>
      </c>
      <c r="G5" s="168">
        <f>D5</f>
        <v>32679957</v>
      </c>
    </row>
    <row r="9" spans="1:7" ht="21.75" customHeight="1" x14ac:dyDescent="0.15">
      <c r="A9" s="98" t="s">
        <v>121</v>
      </c>
    </row>
    <row r="10" spans="1:7" ht="21.75" customHeight="1" x14ac:dyDescent="0.15">
      <c r="A10" s="260" t="str">
        <f>A3</f>
        <v xml:space="preserve">7월 </v>
      </c>
      <c r="B10" s="261" t="s">
        <v>125</v>
      </c>
      <c r="C10" s="261" t="str">
        <f>C3</f>
        <v>누 계</v>
      </c>
      <c r="D10" s="262" t="s">
        <v>125</v>
      </c>
    </row>
    <row r="11" spans="1:7" ht="21.75" customHeight="1" x14ac:dyDescent="0.15">
      <c r="A11" s="108" t="s">
        <v>390</v>
      </c>
      <c r="B11" s="109">
        <f>총괄표!I11</f>
        <v>30.5</v>
      </c>
      <c r="C11" s="108" t="s">
        <v>390</v>
      </c>
      <c r="D11" s="110">
        <f>총괄표!P11</f>
        <v>65.399999999999991</v>
      </c>
      <c r="E11" s="107"/>
      <c r="F11" s="107"/>
      <c r="G11" s="107"/>
    </row>
    <row r="12" spans="1:7" ht="21.75" customHeight="1" x14ac:dyDescent="0.15">
      <c r="A12" s="108" t="s">
        <v>167</v>
      </c>
      <c r="B12" s="109">
        <f>총괄표!I12</f>
        <v>11.2</v>
      </c>
      <c r="C12" s="108" t="s">
        <v>167</v>
      </c>
      <c r="D12" s="110">
        <f>총괄표!P12</f>
        <v>6.9</v>
      </c>
      <c r="E12" s="107"/>
      <c r="F12" s="107"/>
      <c r="G12" s="107"/>
    </row>
    <row r="13" spans="1:7" ht="21.75" customHeight="1" x14ac:dyDescent="0.15">
      <c r="A13" s="108" t="s">
        <v>131</v>
      </c>
      <c r="B13" s="109">
        <f>총괄표!I13+총괄표!I14</f>
        <v>9.7000000000000011</v>
      </c>
      <c r="C13" s="108" t="s">
        <v>131</v>
      </c>
      <c r="D13" s="110">
        <f>총괄표!P13+총괄표!P14</f>
        <v>4.2</v>
      </c>
      <c r="E13" s="107"/>
      <c r="F13" s="107"/>
      <c r="G13" s="107"/>
    </row>
    <row r="14" spans="1:7" ht="21.75" customHeight="1" x14ac:dyDescent="0.15">
      <c r="A14" s="108" t="s">
        <v>122</v>
      </c>
      <c r="B14" s="109">
        <f>총괄표!I15</f>
        <v>32.700000000000003</v>
      </c>
      <c r="C14" s="108" t="s">
        <v>122</v>
      </c>
      <c r="D14" s="110">
        <f>총괄표!P15</f>
        <v>16.899999999999999</v>
      </c>
      <c r="E14" s="107"/>
      <c r="F14" s="107"/>
      <c r="G14" s="107"/>
    </row>
    <row r="15" spans="1:7" ht="21.75" customHeight="1" x14ac:dyDescent="0.15">
      <c r="A15" s="108" t="s">
        <v>123</v>
      </c>
      <c r="B15" s="109">
        <f>총괄표!I16+총괄표!I17</f>
        <v>14</v>
      </c>
      <c r="C15" s="108" t="s">
        <v>123</v>
      </c>
      <c r="D15" s="110">
        <f>총괄표!P16+총괄표!P17</f>
        <v>5.7</v>
      </c>
      <c r="E15" s="107"/>
      <c r="F15" s="107"/>
      <c r="G15" s="107"/>
    </row>
    <row r="16" spans="1:7" ht="21.75" customHeight="1" x14ac:dyDescent="0.15">
      <c r="A16" s="108" t="s">
        <v>132</v>
      </c>
      <c r="B16" s="109">
        <f>총괄표!I18+총괄표!I19+총괄표!I20+총괄표!I21</f>
        <v>1.9000000000000004</v>
      </c>
      <c r="C16" s="108" t="s">
        <v>132</v>
      </c>
      <c r="D16" s="110">
        <f>총괄표!P18+총괄표!P19+총괄표!P20+총괄표!P21</f>
        <v>0.9</v>
      </c>
      <c r="E16" s="107"/>
      <c r="F16" s="107"/>
      <c r="G16" s="107"/>
    </row>
    <row r="17" spans="1:7" ht="21.75" customHeight="1" x14ac:dyDescent="0.15">
      <c r="A17" s="98" t="s">
        <v>126</v>
      </c>
    </row>
    <row r="18" spans="1:7" ht="21.75" customHeight="1" x14ac:dyDescent="0.15">
      <c r="A18" s="1356" t="str">
        <f>A3</f>
        <v xml:space="preserve">7월 </v>
      </c>
      <c r="B18" s="1357"/>
      <c r="C18" s="1354" t="str">
        <f>C3</f>
        <v>누 계</v>
      </c>
      <c r="D18" s="1355"/>
      <c r="F18" s="7" t="s">
        <v>193</v>
      </c>
      <c r="G18" s="7" t="s">
        <v>194</v>
      </c>
    </row>
    <row r="19" spans="1:7" ht="21.75" customHeight="1" x14ac:dyDescent="0.15">
      <c r="A19" s="257" t="s">
        <v>119</v>
      </c>
      <c r="B19" s="258" t="s">
        <v>120</v>
      </c>
      <c r="C19" s="259" t="s">
        <v>119</v>
      </c>
      <c r="D19" s="257" t="s">
        <v>120</v>
      </c>
      <c r="E19" s="7" t="s">
        <v>196</v>
      </c>
      <c r="F19" s="236">
        <f>A20</f>
        <v>47016023</v>
      </c>
      <c r="G19" s="236">
        <f>B20</f>
        <v>43613030</v>
      </c>
    </row>
    <row r="20" spans="1:7" ht="21.75" customHeight="1" x14ac:dyDescent="0.15">
      <c r="A20" s="105">
        <f>총괄표!C47</f>
        <v>47016023</v>
      </c>
      <c r="B20" s="106">
        <f>총괄표!D47</f>
        <v>43613030</v>
      </c>
      <c r="C20" s="103">
        <f>총괄표!J47</f>
        <v>722247043.7650001</v>
      </c>
      <c r="D20" s="104">
        <f>총괄표!K47</f>
        <v>717511924</v>
      </c>
      <c r="E20" s="7" t="s">
        <v>195</v>
      </c>
      <c r="F20" s="236">
        <f>C20</f>
        <v>722247043.7650001</v>
      </c>
      <c r="G20" s="236">
        <f>D20</f>
        <v>717511924</v>
      </c>
    </row>
    <row r="22" spans="1:7" ht="21.75" customHeight="1" x14ac:dyDescent="0.15">
      <c r="A22" s="98" t="s">
        <v>127</v>
      </c>
    </row>
    <row r="23" spans="1:7" ht="21.75" customHeight="1" x14ac:dyDescent="0.15">
      <c r="A23" s="260" t="str">
        <f>A18</f>
        <v xml:space="preserve">7월 </v>
      </c>
      <c r="B23" s="261" t="s">
        <v>121</v>
      </c>
      <c r="C23" s="261" t="str">
        <f>C18</f>
        <v>누 계</v>
      </c>
      <c r="D23" s="262" t="s">
        <v>121</v>
      </c>
    </row>
    <row r="24" spans="1:7" ht="21.75" customHeight="1" x14ac:dyDescent="0.15">
      <c r="A24" s="108" t="s">
        <v>390</v>
      </c>
      <c r="B24" s="109">
        <f>총괄표!H35</f>
        <v>35.000000000000036</v>
      </c>
      <c r="C24" s="108" t="s">
        <v>390</v>
      </c>
      <c r="D24" s="110">
        <f>총괄표!O35</f>
        <v>65.8</v>
      </c>
      <c r="E24" s="107"/>
      <c r="F24" s="107"/>
      <c r="G24" s="107"/>
    </row>
    <row r="25" spans="1:7" ht="21.75" customHeight="1" x14ac:dyDescent="0.15">
      <c r="A25" s="108" t="s">
        <v>167</v>
      </c>
      <c r="B25" s="109">
        <f>총괄표!H36</f>
        <v>12.1</v>
      </c>
      <c r="C25" s="108" t="s">
        <v>167</v>
      </c>
      <c r="D25" s="110">
        <f>총괄표!O36</f>
        <v>7.1</v>
      </c>
      <c r="E25" s="107"/>
      <c r="F25" s="107"/>
      <c r="G25" s="107"/>
    </row>
    <row r="26" spans="1:7" ht="21.75" customHeight="1" x14ac:dyDescent="0.15">
      <c r="A26" s="108" t="s">
        <v>131</v>
      </c>
      <c r="B26" s="109">
        <f>총괄표!H37+총괄표!H38</f>
        <v>7</v>
      </c>
      <c r="C26" s="108" t="s">
        <v>131</v>
      </c>
      <c r="D26" s="110">
        <f>총괄표!O37+총괄표!O38</f>
        <v>4.3</v>
      </c>
      <c r="E26" s="107"/>
      <c r="F26" s="107"/>
      <c r="G26" s="107"/>
    </row>
    <row r="27" spans="1:7" ht="21.75" customHeight="1" x14ac:dyDescent="0.15">
      <c r="A27" s="108" t="s">
        <v>115</v>
      </c>
      <c r="B27" s="109">
        <f>총괄표!H39</f>
        <v>29.9</v>
      </c>
      <c r="C27" s="108" t="s">
        <v>44</v>
      </c>
      <c r="D27" s="110">
        <f>총괄표!O39</f>
        <v>15.9</v>
      </c>
      <c r="E27" s="107"/>
      <c r="F27" s="107"/>
      <c r="G27" s="107"/>
    </row>
    <row r="28" spans="1:7" ht="21.75" customHeight="1" x14ac:dyDescent="0.15">
      <c r="A28" s="108" t="s">
        <v>123</v>
      </c>
      <c r="B28" s="109">
        <f>총괄표!H40+총괄표!H41</f>
        <v>14.4</v>
      </c>
      <c r="C28" s="108" t="s">
        <v>123</v>
      </c>
      <c r="D28" s="110">
        <f>총괄표!O40+총괄표!O41</f>
        <v>6.1</v>
      </c>
      <c r="E28" s="107"/>
      <c r="F28" s="107"/>
      <c r="G28" s="107"/>
    </row>
    <row r="29" spans="1:7" ht="21.75" customHeight="1" x14ac:dyDescent="0.15">
      <c r="A29" s="108" t="s">
        <v>133</v>
      </c>
      <c r="B29" s="109">
        <f>총괄표!H42+총괄표!H43+총괄표!H44+총괄표!H45</f>
        <v>1.6</v>
      </c>
      <c r="C29" s="108" t="s">
        <v>133</v>
      </c>
      <c r="D29" s="110">
        <f>총괄표!O42+총괄표!O43+총괄표!O44+총괄표!O45</f>
        <v>0.79999999999999993</v>
      </c>
      <c r="E29" s="107"/>
      <c r="F29" s="107"/>
      <c r="G29" s="107"/>
    </row>
    <row r="31" spans="1:7" ht="21.75" customHeight="1" x14ac:dyDescent="0.15">
      <c r="A31" s="194" t="s">
        <v>217</v>
      </c>
    </row>
    <row r="32" spans="1:7" ht="21.75" customHeight="1" x14ac:dyDescent="0.15">
      <c r="A32" s="263" t="s">
        <v>169</v>
      </c>
      <c r="B32" s="264" t="s">
        <v>170</v>
      </c>
      <c r="D32" s="260" t="s">
        <v>144</v>
      </c>
      <c r="E32" s="261" t="s">
        <v>145</v>
      </c>
    </row>
    <row r="33" spans="1:5" ht="21.75" customHeight="1" x14ac:dyDescent="0.15">
      <c r="A33" s="159" t="s">
        <v>37</v>
      </c>
      <c r="B33" s="1042">
        <v>61074</v>
      </c>
      <c r="D33" s="108" t="s">
        <v>369</v>
      </c>
      <c r="E33" s="156">
        <f>SUM(B33:B35,B37,B47)</f>
        <v>1130934</v>
      </c>
    </row>
    <row r="34" spans="1:5" ht="21.75" customHeight="1" x14ac:dyDescent="0.15">
      <c r="A34" s="159" t="s">
        <v>171</v>
      </c>
      <c r="B34" s="1042">
        <v>431980</v>
      </c>
      <c r="D34" s="108" t="s">
        <v>167</v>
      </c>
      <c r="E34" s="156">
        <f>SUM(B38:B39)</f>
        <v>21923</v>
      </c>
    </row>
    <row r="35" spans="1:5" ht="21.75" customHeight="1" x14ac:dyDescent="0.15">
      <c r="A35" s="159" t="s">
        <v>38</v>
      </c>
      <c r="B35" s="1042">
        <v>106</v>
      </c>
      <c r="D35" s="108" t="s">
        <v>198</v>
      </c>
      <c r="E35" s="156">
        <f>SUM(B43,B45:B46)</f>
        <v>7908</v>
      </c>
    </row>
    <row r="36" spans="1:5" ht="21.75" customHeight="1" x14ac:dyDescent="0.15">
      <c r="A36" s="159" t="s">
        <v>141</v>
      </c>
      <c r="B36" s="1042">
        <v>266</v>
      </c>
      <c r="D36" s="108" t="s">
        <v>122</v>
      </c>
      <c r="E36" s="156">
        <f>SUM(B44)</f>
        <v>1121</v>
      </c>
    </row>
    <row r="37" spans="1:5" ht="21.75" customHeight="1" x14ac:dyDescent="0.15">
      <c r="A37" s="159" t="s">
        <v>172</v>
      </c>
      <c r="B37" s="1042">
        <v>26</v>
      </c>
      <c r="D37" s="108" t="s">
        <v>123</v>
      </c>
      <c r="E37" s="156">
        <f>SUM(B48:B49)</f>
        <v>100</v>
      </c>
    </row>
    <row r="38" spans="1:5" ht="21.75" customHeight="1" x14ac:dyDescent="0.15">
      <c r="A38" s="161" t="s">
        <v>173</v>
      </c>
      <c r="B38" s="1042">
        <v>1075</v>
      </c>
      <c r="D38" s="480" t="s">
        <v>223</v>
      </c>
      <c r="E38" s="481">
        <f>SUM(B36,B40,B41,B42)</f>
        <v>344</v>
      </c>
    </row>
    <row r="39" spans="1:5" ht="21.75" customHeight="1" x14ac:dyDescent="0.15">
      <c r="A39" s="161" t="s">
        <v>174</v>
      </c>
      <c r="B39" s="1042">
        <v>20848</v>
      </c>
      <c r="D39" s="157" t="s">
        <v>146</v>
      </c>
      <c r="E39" s="158">
        <f>SUM(E33:E38)</f>
        <v>1162330</v>
      </c>
    </row>
    <row r="40" spans="1:5" ht="21.75" customHeight="1" x14ac:dyDescent="0.15">
      <c r="A40" s="161" t="s">
        <v>47</v>
      </c>
      <c r="B40" s="1042">
        <v>5</v>
      </c>
    </row>
    <row r="41" spans="1:5" ht="21.75" customHeight="1" x14ac:dyDescent="0.15">
      <c r="A41" s="161" t="s">
        <v>168</v>
      </c>
      <c r="B41" s="1042">
        <v>17</v>
      </c>
    </row>
    <row r="42" spans="1:5" ht="21.75" customHeight="1" x14ac:dyDescent="0.15">
      <c r="A42" s="161" t="s">
        <v>140</v>
      </c>
      <c r="B42" s="1042">
        <v>56</v>
      </c>
    </row>
    <row r="43" spans="1:5" ht="21.75" customHeight="1" x14ac:dyDescent="0.15">
      <c r="A43" s="161" t="s">
        <v>40</v>
      </c>
      <c r="B43" s="1042">
        <v>6815</v>
      </c>
    </row>
    <row r="44" spans="1:5" ht="21.75" customHeight="1" x14ac:dyDescent="0.15">
      <c r="A44" s="161" t="s">
        <v>175</v>
      </c>
      <c r="B44" s="1042">
        <v>1121</v>
      </c>
    </row>
    <row r="45" spans="1:5" ht="21.75" customHeight="1" x14ac:dyDescent="0.15">
      <c r="A45" s="159" t="s">
        <v>176</v>
      </c>
      <c r="B45" s="1042">
        <v>30</v>
      </c>
    </row>
    <row r="46" spans="1:5" ht="21.75" customHeight="1" x14ac:dyDescent="0.15">
      <c r="A46" s="159" t="s">
        <v>177</v>
      </c>
      <c r="B46" s="1042">
        <v>1063</v>
      </c>
    </row>
    <row r="47" spans="1:5" ht="21.75" customHeight="1" x14ac:dyDescent="0.15">
      <c r="A47" s="159" t="s">
        <v>178</v>
      </c>
      <c r="B47" s="1042">
        <v>637748</v>
      </c>
    </row>
    <row r="48" spans="1:5" ht="21.75" customHeight="1" x14ac:dyDescent="0.15">
      <c r="A48" s="955" t="s">
        <v>142</v>
      </c>
      <c r="B48" s="1042">
        <v>100</v>
      </c>
      <c r="C48" s="7" t="s">
        <v>455</v>
      </c>
    </row>
    <row r="49" spans="1:9" ht="21.75" customHeight="1" x14ac:dyDescent="0.15">
      <c r="A49" s="159" t="s">
        <v>143</v>
      </c>
      <c r="B49" s="193"/>
    </row>
    <row r="50" spans="1:9" ht="21.75" customHeight="1" x14ac:dyDescent="0.15">
      <c r="A50" s="160" t="s">
        <v>179</v>
      </c>
      <c r="B50" s="789">
        <f>SUM(B33:B49)</f>
        <v>1162330</v>
      </c>
    </row>
    <row r="53" spans="1:9" ht="21.75" customHeight="1" x14ac:dyDescent="0.15">
      <c r="A53" s="199" t="s">
        <v>210</v>
      </c>
      <c r="E53" s="7" t="s">
        <v>218</v>
      </c>
      <c r="H53" s="227" t="s">
        <v>219</v>
      </c>
    </row>
    <row r="54" spans="1:9" ht="21.75" customHeight="1" thickBot="1" x14ac:dyDescent="0.2">
      <c r="A54" s="1358" t="s">
        <v>199</v>
      </c>
      <c r="B54" s="1359"/>
      <c r="C54" s="186" t="s">
        <v>200</v>
      </c>
      <c r="D54" s="198" t="s">
        <v>201</v>
      </c>
      <c r="E54" s="186" t="s">
        <v>202</v>
      </c>
      <c r="F54" s="198" t="s">
        <v>203</v>
      </c>
      <c r="G54" s="186"/>
      <c r="H54" s="228" t="s">
        <v>204</v>
      </c>
      <c r="I54" s="186"/>
    </row>
    <row r="55" spans="1:9" ht="21.75" customHeight="1" thickTop="1" x14ac:dyDescent="0.15">
      <c r="A55" s="187" t="s">
        <v>205</v>
      </c>
      <c r="B55" s="188" t="str">
        <f>A3</f>
        <v xml:space="preserve">7월 </v>
      </c>
      <c r="C55" s="203">
        <f>총괄표!C23</f>
        <v>2121870</v>
      </c>
      <c r="D55" s="206">
        <f>총괄표!E23</f>
        <v>2098351</v>
      </c>
      <c r="E55" s="207">
        <f>D55/C55</f>
        <v>0.98891590908019811</v>
      </c>
      <c r="F55" s="237">
        <f>총괄표!G23</f>
        <v>2172876.9359885999</v>
      </c>
      <c r="G55" s="208">
        <f>D55/F55</f>
        <v>0.96570172256226161</v>
      </c>
      <c r="H55" s="942">
        <v>2486181</v>
      </c>
      <c r="I55" s="204">
        <f>D55/H55</f>
        <v>0.84400572605132129</v>
      </c>
    </row>
    <row r="56" spans="1:9" ht="21.75" customHeight="1" thickBot="1" x14ac:dyDescent="0.2">
      <c r="A56" s="189" t="s">
        <v>206</v>
      </c>
      <c r="B56" s="186" t="s">
        <v>207</v>
      </c>
      <c r="C56" s="201">
        <f>총괄표!J23</f>
        <v>32455615</v>
      </c>
      <c r="D56" s="209">
        <f>총괄표!L23</f>
        <v>32679957</v>
      </c>
      <c r="E56" s="210">
        <f>D56/C56</f>
        <v>1.0069122708042968</v>
      </c>
      <c r="F56" s="238">
        <f>총괄표!N23</f>
        <v>32053831.000642899</v>
      </c>
      <c r="G56" s="211">
        <f>D56/F56</f>
        <v>1.019533577728807</v>
      </c>
      <c r="H56" s="943">
        <v>30581606</v>
      </c>
      <c r="I56" s="202"/>
    </row>
    <row r="57" spans="1:9" ht="21.75" customHeight="1" thickTop="1" x14ac:dyDescent="0.15">
      <c r="A57" s="187" t="s">
        <v>208</v>
      </c>
      <c r="B57" s="188" t="str">
        <f>B55</f>
        <v xml:space="preserve">7월 </v>
      </c>
      <c r="C57" s="239">
        <f>총괄표!C47</f>
        <v>47016023</v>
      </c>
      <c r="D57" s="240">
        <f>총괄표!D47</f>
        <v>43613030</v>
      </c>
      <c r="E57" s="241">
        <f>D57/C57</f>
        <v>0.92762056884309418</v>
      </c>
      <c r="F57" s="242">
        <f>총괄표!F47</f>
        <v>45857405.300999999</v>
      </c>
      <c r="G57" s="208">
        <f>D57/F57</f>
        <v>0.95105751652828341</v>
      </c>
      <c r="H57" s="944">
        <v>54199650</v>
      </c>
      <c r="I57" s="204">
        <f>D57/H57</f>
        <v>0.80467364641653594</v>
      </c>
    </row>
    <row r="58" spans="1:9" ht="21.75" customHeight="1" x14ac:dyDescent="0.15">
      <c r="A58" s="190" t="s">
        <v>209</v>
      </c>
      <c r="B58" s="191" t="s">
        <v>207</v>
      </c>
      <c r="C58" s="243">
        <f>총괄표!J47</f>
        <v>722247043.7650001</v>
      </c>
      <c r="D58" s="244">
        <f>총괄표!K47</f>
        <v>717511924</v>
      </c>
      <c r="E58" s="245">
        <f>D58/C58</f>
        <v>0.99344390564713647</v>
      </c>
      <c r="F58" s="246">
        <f>총괄표!M47</f>
        <v>671408367.17799997</v>
      </c>
      <c r="G58" s="247">
        <f>D58/F58</f>
        <v>1.0686669381493981</v>
      </c>
      <c r="H58" s="945">
        <v>673898894</v>
      </c>
      <c r="I58" s="248"/>
    </row>
  </sheetData>
  <mergeCells count="5">
    <mergeCell ref="C18:D18"/>
    <mergeCell ref="A18:B18"/>
    <mergeCell ref="C3:D3"/>
    <mergeCell ref="A3:B3"/>
    <mergeCell ref="A54:B54"/>
  </mergeCells>
  <phoneticPr fontId="36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 x14ac:dyDescent="0.15"/>
  <cols>
    <col min="1" max="1" width="14.5546875" style="474" customWidth="1"/>
    <col min="2" max="3" width="8.88671875" style="474"/>
    <col min="4" max="4" width="19.6640625" style="474" bestFit="1" customWidth="1"/>
    <col min="5" max="5" width="8.88671875" style="474"/>
    <col min="6" max="6" width="16.33203125" style="475" bestFit="1" customWidth="1"/>
    <col min="7" max="7" width="19.109375" style="475" bestFit="1" customWidth="1"/>
    <col min="8" max="8" width="17.44140625" style="474" bestFit="1" customWidth="1"/>
    <col min="9" max="9" width="13.5546875" style="474" bestFit="1" customWidth="1"/>
    <col min="10" max="10" width="11.77734375" style="474" bestFit="1" customWidth="1"/>
    <col min="11" max="11" width="10.6640625" style="474" bestFit="1" customWidth="1"/>
    <col min="12" max="12" width="17.44140625" style="474" bestFit="1" customWidth="1"/>
    <col min="13" max="13" width="13.5546875" style="474" bestFit="1" customWidth="1"/>
    <col min="14" max="14" width="14.6640625" style="474" bestFit="1" customWidth="1"/>
    <col min="15" max="16" width="6.33203125" style="474" bestFit="1" customWidth="1"/>
    <col min="17" max="18" width="10.44140625" style="474" bestFit="1" customWidth="1"/>
    <col min="19" max="19" width="14.77734375" style="474" bestFit="1" customWidth="1"/>
    <col min="20" max="20" width="8.88671875" style="474"/>
    <col min="21" max="21" width="13.109375" style="474" bestFit="1" customWidth="1"/>
    <col min="22" max="22" width="15.6640625" style="474" bestFit="1" customWidth="1"/>
    <col min="23" max="23" width="11" style="474" customWidth="1"/>
    <col min="24" max="24" width="11.44140625" style="474" bestFit="1" customWidth="1"/>
    <col min="25" max="25" width="12.44140625" style="476" bestFit="1" customWidth="1"/>
    <col min="26" max="26" width="12.77734375" style="474" bestFit="1" customWidth="1"/>
    <col min="27" max="16384" width="8.88671875" style="474"/>
  </cols>
  <sheetData>
    <row r="2" spans="1:27" x14ac:dyDescent="0.15">
      <c r="A2" s="474" t="s">
        <v>268</v>
      </c>
    </row>
    <row r="4" spans="1:27" ht="16.5" x14ac:dyDescent="0.15">
      <c r="A4" s="474" t="s">
        <v>269</v>
      </c>
      <c r="B4" s="643">
        <v>45413</v>
      </c>
      <c r="U4" s="474" t="s">
        <v>327</v>
      </c>
    </row>
    <row r="5" spans="1:27" x14ac:dyDescent="0.15">
      <c r="A5" s="474" t="s">
        <v>270</v>
      </c>
      <c r="B5" s="474" t="s">
        <v>271</v>
      </c>
      <c r="C5" s="474" t="s">
        <v>272</v>
      </c>
      <c r="D5" s="474" t="s">
        <v>273</v>
      </c>
      <c r="E5" s="474" t="s">
        <v>0</v>
      </c>
      <c r="F5" s="475" t="s">
        <v>274</v>
      </c>
      <c r="G5" s="475" t="s">
        <v>275</v>
      </c>
      <c r="H5" s="474" t="s">
        <v>276</v>
      </c>
      <c r="I5" s="474" t="s">
        <v>12</v>
      </c>
      <c r="J5" s="474" t="s">
        <v>277</v>
      </c>
      <c r="K5" s="474" t="s">
        <v>278</v>
      </c>
      <c r="L5" s="474" t="s">
        <v>279</v>
      </c>
      <c r="M5" s="474" t="s">
        <v>29</v>
      </c>
      <c r="N5" s="474" t="s">
        <v>280</v>
      </c>
      <c r="O5" s="474" t="s">
        <v>281</v>
      </c>
      <c r="P5" s="474" t="s">
        <v>282</v>
      </c>
      <c r="Q5" s="474" t="s">
        <v>283</v>
      </c>
      <c r="R5" s="474" t="s">
        <v>284</v>
      </c>
      <c r="S5" s="474" t="s">
        <v>285</v>
      </c>
      <c r="U5" s="474" t="s">
        <v>272</v>
      </c>
      <c r="V5" s="474" t="s">
        <v>326</v>
      </c>
      <c r="W5" s="474" t="s">
        <v>341</v>
      </c>
      <c r="X5" s="474" t="s">
        <v>328</v>
      </c>
    </row>
    <row r="6" spans="1:27" ht="16.5" x14ac:dyDescent="0.15">
      <c r="A6" s="648">
        <v>43654</v>
      </c>
      <c r="B6" s="647" t="s">
        <v>286</v>
      </c>
      <c r="C6" s="647" t="s">
        <v>171</v>
      </c>
      <c r="D6" s="647" t="s">
        <v>288</v>
      </c>
      <c r="E6" s="647">
        <v>16.936699999999998</v>
      </c>
      <c r="F6" s="652">
        <v>7.8100000000000003E-2</v>
      </c>
      <c r="G6" s="652">
        <v>3.3403</v>
      </c>
      <c r="H6" s="647">
        <v>56.57</v>
      </c>
      <c r="I6" s="647">
        <v>900</v>
      </c>
      <c r="J6" s="647"/>
      <c r="K6" s="647"/>
      <c r="L6" s="647">
        <v>56.57</v>
      </c>
      <c r="M6" s="647"/>
      <c r="N6" s="647"/>
      <c r="O6" s="647"/>
      <c r="P6" s="647"/>
      <c r="Q6" s="647"/>
      <c r="R6" s="647">
        <v>0</v>
      </c>
      <c r="S6" s="647"/>
      <c r="U6" s="474" t="s">
        <v>37</v>
      </c>
      <c r="V6" s="474" t="s">
        <v>28</v>
      </c>
      <c r="W6" s="474">
        <f>COUNTIFS($B:$B,$U$4,$C:$C,U6)</f>
        <v>3</v>
      </c>
      <c r="X6" s="476">
        <f t="array" ref="X6">MAX(IF($D:$D=V6,$A:$A))</f>
        <v>45139</v>
      </c>
      <c r="AA6" s="475"/>
    </row>
    <row r="7" spans="1:27" ht="16.5" x14ac:dyDescent="0.15">
      <c r="A7" s="648">
        <v>44013</v>
      </c>
      <c r="B7" s="647" t="s">
        <v>286</v>
      </c>
      <c r="C7" s="647" t="s">
        <v>171</v>
      </c>
      <c r="D7" s="647" t="s">
        <v>288</v>
      </c>
      <c r="E7" s="647">
        <v>15.1523</v>
      </c>
      <c r="F7" s="652">
        <v>2.4291</v>
      </c>
      <c r="G7" s="652">
        <v>103.8789</v>
      </c>
      <c r="H7" s="649">
        <v>1574</v>
      </c>
      <c r="I7" s="647">
        <v>900</v>
      </c>
      <c r="J7" s="647"/>
      <c r="K7" s="647"/>
      <c r="L7" s="649">
        <v>1574</v>
      </c>
      <c r="M7" s="647"/>
      <c r="N7" s="647"/>
      <c r="O7" s="647"/>
      <c r="P7" s="647"/>
      <c r="Q7" s="647"/>
      <c r="R7" s="647">
        <v>0</v>
      </c>
      <c r="S7" s="647"/>
      <c r="U7" s="474" t="s">
        <v>178</v>
      </c>
      <c r="V7" s="474" t="s">
        <v>325</v>
      </c>
      <c r="W7" s="474">
        <f t="shared" ref="W7:W17" si="0">COUNTIFS($B:$B,$U$4,$C:$C,U7)</f>
        <v>7</v>
      </c>
      <c r="X7" s="476">
        <f t="array" ref="X7">MAX(IF($D:$D=V7,$A:$A))</f>
        <v>45139</v>
      </c>
    </row>
    <row r="8" spans="1:27" ht="16.5" x14ac:dyDescent="0.15">
      <c r="A8" s="648">
        <v>44378</v>
      </c>
      <c r="B8" s="647" t="s">
        <v>286</v>
      </c>
      <c r="C8" s="647" t="s">
        <v>178</v>
      </c>
      <c r="D8" s="647" t="s">
        <v>287</v>
      </c>
      <c r="E8" s="647">
        <v>15.139200000000001</v>
      </c>
      <c r="F8" s="652">
        <v>3.8915000000000002</v>
      </c>
      <c r="G8" s="652">
        <v>166.6285</v>
      </c>
      <c r="H8" s="649">
        <v>2522.61</v>
      </c>
      <c r="I8" s="650">
        <v>1800</v>
      </c>
      <c r="J8" s="647"/>
      <c r="K8" s="647"/>
      <c r="L8" s="649">
        <v>2522.61</v>
      </c>
      <c r="M8" s="647"/>
      <c r="N8" s="647"/>
      <c r="O8" s="647"/>
      <c r="P8" s="647"/>
      <c r="Q8" s="647"/>
      <c r="R8" s="647">
        <v>0</v>
      </c>
      <c r="S8" s="647"/>
      <c r="U8" s="474" t="s">
        <v>171</v>
      </c>
      <c r="V8" s="474" t="s">
        <v>325</v>
      </c>
      <c r="W8" s="474">
        <f t="shared" si="0"/>
        <v>13</v>
      </c>
      <c r="X8" s="476">
        <f t="array" ref="X8">MAX(IF($D:$D=V8,$A:$A))</f>
        <v>45139</v>
      </c>
    </row>
    <row r="9" spans="1:27" ht="16.5" x14ac:dyDescent="0.15">
      <c r="A9" s="648">
        <v>44378</v>
      </c>
      <c r="B9" s="647" t="s">
        <v>286</v>
      </c>
      <c r="C9" s="647" t="s">
        <v>171</v>
      </c>
      <c r="D9" s="647" t="s">
        <v>288</v>
      </c>
      <c r="E9" s="647">
        <v>15.139200000000001</v>
      </c>
      <c r="F9" s="652">
        <v>2.4037999999999999</v>
      </c>
      <c r="G9" s="652">
        <v>102.7997</v>
      </c>
      <c r="H9" s="649">
        <v>1556.29</v>
      </c>
      <c r="I9" s="647"/>
      <c r="J9" s="647"/>
      <c r="K9" s="647"/>
      <c r="L9" s="649">
        <v>1556.29</v>
      </c>
      <c r="M9" s="647"/>
      <c r="N9" s="647"/>
      <c r="O9" s="647"/>
      <c r="P9" s="647"/>
      <c r="Q9" s="647"/>
      <c r="R9" s="647">
        <v>0</v>
      </c>
      <c r="S9" s="647"/>
      <c r="U9" s="474" t="s">
        <v>171</v>
      </c>
      <c r="V9" s="474" t="s">
        <v>288</v>
      </c>
      <c r="W9" s="474">
        <f t="shared" si="0"/>
        <v>13</v>
      </c>
      <c r="X9" s="476">
        <f t="array" ref="X9">MAX(IF($D:$D=V9,$A:$A))</f>
        <v>45139</v>
      </c>
    </row>
    <row r="10" spans="1:27" ht="16.5" x14ac:dyDescent="0.15">
      <c r="A10" s="648">
        <v>44652</v>
      </c>
      <c r="B10" s="647" t="s">
        <v>286</v>
      </c>
      <c r="C10" s="647" t="s">
        <v>178</v>
      </c>
      <c r="D10" s="647" t="s">
        <v>287</v>
      </c>
      <c r="E10" s="647">
        <v>15.5692</v>
      </c>
      <c r="F10" s="652">
        <v>0.71340000000000003</v>
      </c>
      <c r="G10" s="652">
        <v>30.5486</v>
      </c>
      <c r="H10" s="647">
        <v>475.6</v>
      </c>
      <c r="I10" s="647"/>
      <c r="J10" s="647"/>
      <c r="K10" s="647"/>
      <c r="L10" s="647">
        <v>475.6</v>
      </c>
      <c r="M10" s="647"/>
      <c r="N10" s="647"/>
      <c r="O10" s="647"/>
      <c r="P10" s="647"/>
      <c r="Q10" s="647"/>
      <c r="R10" s="647">
        <v>0</v>
      </c>
      <c r="S10" s="647"/>
      <c r="U10" s="474" t="s">
        <v>174</v>
      </c>
      <c r="V10" s="474" t="s">
        <v>289</v>
      </c>
      <c r="W10" s="474">
        <f t="shared" si="0"/>
        <v>3</v>
      </c>
      <c r="X10" s="476">
        <f t="array" ref="X10">MAX(IF($D:$D=V10,$A:$A))</f>
        <v>45139</v>
      </c>
    </row>
    <row r="11" spans="1:27" ht="16.5" x14ac:dyDescent="0.15">
      <c r="A11" s="648">
        <v>44652</v>
      </c>
      <c r="B11" s="647" t="s">
        <v>286</v>
      </c>
      <c r="C11" s="647" t="s">
        <v>171</v>
      </c>
      <c r="D11" s="647" t="s">
        <v>288</v>
      </c>
      <c r="E11" s="647">
        <v>15.5692</v>
      </c>
      <c r="F11" s="652">
        <v>0.26319999999999999</v>
      </c>
      <c r="G11" s="652">
        <v>11.2554</v>
      </c>
      <c r="H11" s="647">
        <v>175.23</v>
      </c>
      <c r="I11" s="647"/>
      <c r="J11" s="647"/>
      <c r="K11" s="647"/>
      <c r="L11" s="647">
        <v>175.23</v>
      </c>
      <c r="M11" s="647"/>
      <c r="N11" s="647"/>
      <c r="O11" s="647"/>
      <c r="P11" s="647"/>
      <c r="Q11" s="647"/>
      <c r="R11" s="647">
        <v>0</v>
      </c>
      <c r="S11" s="647"/>
      <c r="U11" s="474" t="s">
        <v>174</v>
      </c>
      <c r="V11" s="474" t="s">
        <v>290</v>
      </c>
      <c r="W11" s="474">
        <f t="shared" si="0"/>
        <v>3</v>
      </c>
      <c r="X11" s="476">
        <f t="array" ref="X11">MAX(IF($D:$D=V11,$A:$A))</f>
        <v>45139</v>
      </c>
      <c r="Y11" s="523" t="s">
        <v>361</v>
      </c>
    </row>
    <row r="12" spans="1:27" ht="16.5" x14ac:dyDescent="0.15">
      <c r="A12" s="648">
        <v>44682</v>
      </c>
      <c r="B12" s="647" t="s">
        <v>286</v>
      </c>
      <c r="C12" s="647" t="s">
        <v>178</v>
      </c>
      <c r="D12" s="647" t="s">
        <v>287</v>
      </c>
      <c r="E12" s="647">
        <v>16.7959</v>
      </c>
      <c r="F12" s="652">
        <v>1.4505999999999999</v>
      </c>
      <c r="G12" s="652">
        <v>62.115499999999997</v>
      </c>
      <c r="H12" s="649">
        <v>1043.27</v>
      </c>
      <c r="I12" s="647"/>
      <c r="J12" s="647"/>
      <c r="K12" s="647"/>
      <c r="L12" s="649">
        <v>1043.27</v>
      </c>
      <c r="M12" s="647"/>
      <c r="N12" s="647"/>
      <c r="O12" s="647"/>
      <c r="P12" s="647"/>
      <c r="Q12" s="647"/>
      <c r="R12" s="647">
        <v>0</v>
      </c>
      <c r="S12" s="647"/>
      <c r="U12" s="474" t="s">
        <v>174</v>
      </c>
      <c r="V12" s="474" t="s">
        <v>293</v>
      </c>
      <c r="W12" s="474">
        <f t="shared" si="0"/>
        <v>3</v>
      </c>
      <c r="X12" s="476">
        <f t="array" ref="X12">MAX(IF($D:$D=V12,$A:$A))</f>
        <v>45139</v>
      </c>
    </row>
    <row r="13" spans="1:27" ht="16.5" x14ac:dyDescent="0.15">
      <c r="A13" s="648">
        <v>44682</v>
      </c>
      <c r="B13" s="647" t="s">
        <v>286</v>
      </c>
      <c r="C13" s="647" t="s">
        <v>171</v>
      </c>
      <c r="D13" s="647" t="s">
        <v>288</v>
      </c>
      <c r="E13" s="647">
        <v>16.7959</v>
      </c>
      <c r="F13" s="652">
        <v>0.53520000000000001</v>
      </c>
      <c r="G13" s="652">
        <v>22.886099999999999</v>
      </c>
      <c r="H13" s="647">
        <v>384.38</v>
      </c>
      <c r="I13" s="647"/>
      <c r="J13" s="647"/>
      <c r="K13" s="647"/>
      <c r="L13" s="647">
        <v>384.38</v>
      </c>
      <c r="M13" s="647"/>
      <c r="N13" s="647"/>
      <c r="O13" s="647"/>
      <c r="P13" s="647"/>
      <c r="Q13" s="647"/>
      <c r="R13" s="647">
        <v>0</v>
      </c>
      <c r="S13" s="647"/>
      <c r="U13" s="474" t="s">
        <v>141</v>
      </c>
      <c r="V13" s="474" t="s">
        <v>141</v>
      </c>
      <c r="W13" s="474">
        <f t="shared" si="0"/>
        <v>1</v>
      </c>
      <c r="X13" s="476">
        <f t="array" ref="X13">MAX(IF($D:$D=V13,$A:$A))</f>
        <v>45352</v>
      </c>
    </row>
    <row r="14" spans="1:27" ht="16.5" x14ac:dyDescent="0.15">
      <c r="A14" s="648">
        <v>44743</v>
      </c>
      <c r="B14" s="647" t="s">
        <v>286</v>
      </c>
      <c r="C14" s="647" t="s">
        <v>178</v>
      </c>
      <c r="D14" s="647" t="s">
        <v>287</v>
      </c>
      <c r="E14" s="647">
        <v>17.954699999999999</v>
      </c>
      <c r="F14" s="652">
        <v>2.1878000000000002</v>
      </c>
      <c r="G14" s="652">
        <v>93.682400000000001</v>
      </c>
      <c r="H14" s="649">
        <v>1682.03</v>
      </c>
      <c r="I14" s="647"/>
      <c r="J14" s="647"/>
      <c r="K14" s="647"/>
      <c r="L14" s="649">
        <v>1682.03</v>
      </c>
      <c r="M14" s="647"/>
      <c r="N14" s="647"/>
      <c r="O14" s="647"/>
      <c r="P14" s="647"/>
      <c r="Q14" s="647"/>
      <c r="R14" s="647">
        <v>0</v>
      </c>
      <c r="S14" s="647"/>
      <c r="U14" s="474" t="s">
        <v>40</v>
      </c>
      <c r="V14" s="474" t="s">
        <v>291</v>
      </c>
      <c r="W14" s="474">
        <f t="shared" si="0"/>
        <v>5</v>
      </c>
      <c r="X14" s="476">
        <f t="array" ref="X14">MAX(IF($D:$D=V14,$A:$A))</f>
        <v>45444</v>
      </c>
    </row>
    <row r="15" spans="1:27" ht="16.5" x14ac:dyDescent="0.15">
      <c r="A15" s="648">
        <v>44743</v>
      </c>
      <c r="B15" s="647" t="s">
        <v>286</v>
      </c>
      <c r="C15" s="647" t="s">
        <v>171</v>
      </c>
      <c r="D15" s="647" t="s">
        <v>288</v>
      </c>
      <c r="E15" s="647">
        <v>17.954699999999999</v>
      </c>
      <c r="F15" s="652">
        <v>0.80710000000000004</v>
      </c>
      <c r="G15" s="652">
        <v>34.5167</v>
      </c>
      <c r="H15" s="647">
        <v>619.72</v>
      </c>
      <c r="I15" s="647"/>
      <c r="J15" s="647"/>
      <c r="K15" s="647"/>
      <c r="L15" s="647">
        <v>619.72</v>
      </c>
      <c r="M15" s="647"/>
      <c r="N15" s="647"/>
      <c r="O15" s="647"/>
      <c r="P15" s="647"/>
      <c r="Q15" s="647"/>
      <c r="R15" s="647">
        <v>0</v>
      </c>
      <c r="S15" s="647"/>
      <c r="U15" s="474" t="s">
        <v>38</v>
      </c>
      <c r="V15" s="474" t="s">
        <v>292</v>
      </c>
      <c r="W15" s="474">
        <f t="shared" si="0"/>
        <v>1</v>
      </c>
      <c r="X15" s="476">
        <f t="array" ref="X15">MAX(IF($D:$D=V15,$A:$A))</f>
        <v>45139</v>
      </c>
    </row>
    <row r="16" spans="1:27" ht="16.5" x14ac:dyDescent="0.15">
      <c r="A16" s="648">
        <v>44835</v>
      </c>
      <c r="B16" s="647" t="s">
        <v>286</v>
      </c>
      <c r="C16" s="647" t="s">
        <v>37</v>
      </c>
      <c r="D16" s="647" t="s">
        <v>37</v>
      </c>
      <c r="E16" s="647">
        <v>20.654699999999998</v>
      </c>
      <c r="F16" s="652">
        <v>5.9035000000000002</v>
      </c>
      <c r="G16" s="652">
        <v>252.61160000000001</v>
      </c>
      <c r="H16" s="649">
        <v>5217.58</v>
      </c>
      <c r="I16" s="650">
        <v>8940</v>
      </c>
      <c r="J16" s="650">
        <v>1160</v>
      </c>
      <c r="K16" s="647"/>
      <c r="L16" s="649">
        <v>5217.58</v>
      </c>
      <c r="M16" s="647"/>
      <c r="N16" s="647"/>
      <c r="O16" s="647"/>
      <c r="P16" s="647"/>
      <c r="Q16" s="647"/>
      <c r="R16" s="647">
        <v>0</v>
      </c>
      <c r="S16" s="647"/>
      <c r="U16" s="474" t="s">
        <v>173</v>
      </c>
      <c r="V16" s="474" t="s">
        <v>342</v>
      </c>
      <c r="W16" s="474">
        <f t="shared" si="0"/>
        <v>2</v>
      </c>
      <c r="X16" s="476">
        <f t="array" ref="X16">MAX(IF($D:$D=V16,$A:$A))</f>
        <v>0</v>
      </c>
    </row>
    <row r="17" spans="1:24" ht="16.5" x14ac:dyDescent="0.15">
      <c r="A17" s="648">
        <v>44835</v>
      </c>
      <c r="B17" s="647" t="s">
        <v>286</v>
      </c>
      <c r="C17" s="647" t="s">
        <v>178</v>
      </c>
      <c r="D17" s="647" t="s">
        <v>287</v>
      </c>
      <c r="E17" s="647">
        <v>20.654699999999998</v>
      </c>
      <c r="F17" s="652">
        <v>24.200900000000001</v>
      </c>
      <c r="G17" s="652">
        <v>1034.3155999999999</v>
      </c>
      <c r="H17" s="649">
        <v>21363.45</v>
      </c>
      <c r="I17" s="650">
        <v>2700</v>
      </c>
      <c r="J17" s="647">
        <v>580</v>
      </c>
      <c r="K17" s="647"/>
      <c r="L17" s="649">
        <v>21363.45</v>
      </c>
      <c r="M17" s="647"/>
      <c r="N17" s="647"/>
      <c r="O17" s="647"/>
      <c r="P17" s="647"/>
      <c r="Q17" s="647"/>
      <c r="R17" s="647">
        <v>0</v>
      </c>
      <c r="U17" s="474" t="s">
        <v>173</v>
      </c>
      <c r="V17" s="474" t="s">
        <v>294</v>
      </c>
      <c r="W17" s="474">
        <f t="shared" si="0"/>
        <v>2</v>
      </c>
      <c r="X17" s="476">
        <f t="array" ref="X17">MAX(IF($D:$D=V17,$A:$A))</f>
        <v>45139</v>
      </c>
    </row>
    <row r="18" spans="1:24" ht="16.5" x14ac:dyDescent="0.15">
      <c r="A18" s="648">
        <v>44835</v>
      </c>
      <c r="B18" s="647" t="s">
        <v>286</v>
      </c>
      <c r="C18" s="647" t="s">
        <v>171</v>
      </c>
      <c r="D18" s="647" t="s">
        <v>288</v>
      </c>
      <c r="E18" s="647">
        <v>20.654699999999998</v>
      </c>
      <c r="F18" s="652">
        <v>15.146000000000001</v>
      </c>
      <c r="G18" s="652">
        <v>647.48680000000002</v>
      </c>
      <c r="H18" s="649">
        <v>13373.59</v>
      </c>
      <c r="I18" s="650">
        <v>6300</v>
      </c>
      <c r="J18" s="647"/>
      <c r="K18" s="647"/>
      <c r="L18" s="649">
        <v>13373.59</v>
      </c>
      <c r="M18" s="647"/>
      <c r="N18" s="647"/>
      <c r="O18" s="647"/>
      <c r="P18" s="647"/>
      <c r="Q18" s="647"/>
      <c r="R18" s="647">
        <v>0</v>
      </c>
      <c r="U18" s="474" t="s">
        <v>173</v>
      </c>
      <c r="V18" s="474" t="s">
        <v>335</v>
      </c>
      <c r="W18" s="474">
        <f t="shared" ref="W18" si="1">COUNTIFS($B:$B,$U$4,$C:$C,U18)</f>
        <v>2</v>
      </c>
      <c r="X18" s="476">
        <f t="array" ref="X18">MAX(IF($D:$D=V18,$A:$A))</f>
        <v>45139</v>
      </c>
    </row>
    <row r="19" spans="1:24" ht="16.5" x14ac:dyDescent="0.15">
      <c r="A19" s="648">
        <v>44835</v>
      </c>
      <c r="B19" s="647" t="s">
        <v>286</v>
      </c>
      <c r="C19" s="647" t="s">
        <v>171</v>
      </c>
      <c r="D19" s="647" t="s">
        <v>287</v>
      </c>
      <c r="E19" s="647">
        <v>20.654699999999998</v>
      </c>
      <c r="F19" s="652">
        <v>76.332999999999998</v>
      </c>
      <c r="G19" s="652">
        <v>3264.5569</v>
      </c>
      <c r="H19" s="649">
        <v>67428.42</v>
      </c>
      <c r="I19" s="647"/>
      <c r="J19" s="647"/>
      <c r="K19" s="647"/>
      <c r="L19" s="649">
        <v>67428.42</v>
      </c>
      <c r="M19" s="647"/>
      <c r="N19" s="647"/>
      <c r="O19" s="647"/>
      <c r="P19" s="647"/>
      <c r="Q19" s="647"/>
      <c r="R19" s="647">
        <v>0</v>
      </c>
      <c r="U19" s="474" t="s">
        <v>172</v>
      </c>
      <c r="V19" s="474" t="s">
        <v>172</v>
      </c>
      <c r="W19" s="474">
        <f t="shared" ref="W19:W31" si="2">COUNTIFS($B:$B,$U$4,$C:$C,U19)</f>
        <v>1</v>
      </c>
      <c r="X19" s="476">
        <f t="array" ref="X19">MAX(IF($D:$D=V19,$A:$A))</f>
        <v>45139</v>
      </c>
    </row>
    <row r="20" spans="1:24" ht="16.5" x14ac:dyDescent="0.15">
      <c r="A20" s="648">
        <v>45062</v>
      </c>
      <c r="B20" s="647" t="s">
        <v>286</v>
      </c>
      <c r="C20" s="647" t="s">
        <v>37</v>
      </c>
      <c r="D20" s="647" t="s">
        <v>37</v>
      </c>
      <c r="E20" s="647">
        <v>21.699100000000001</v>
      </c>
      <c r="F20" s="652">
        <v>8.8399000000000001</v>
      </c>
      <c r="G20" s="652">
        <v>377.54790000000003</v>
      </c>
      <c r="H20" s="649">
        <v>8192.39</v>
      </c>
      <c r="I20" s="650">
        <v>8350</v>
      </c>
      <c r="J20" s="650">
        <v>1160</v>
      </c>
      <c r="K20" s="647"/>
      <c r="L20" s="649">
        <v>8192.39</v>
      </c>
      <c r="M20" s="647"/>
      <c r="N20" s="647"/>
      <c r="O20" s="647"/>
      <c r="P20" s="647"/>
      <c r="Q20" s="647"/>
      <c r="R20" s="647">
        <v>0</v>
      </c>
      <c r="U20" s="474" t="s">
        <v>175</v>
      </c>
      <c r="V20" s="474" t="s">
        <v>343</v>
      </c>
      <c r="W20" s="474">
        <f t="shared" si="2"/>
        <v>2</v>
      </c>
      <c r="X20" s="476">
        <f t="array" ref="X20">MAX(IF($D:$D=V20,$A:$A))</f>
        <v>0</v>
      </c>
    </row>
    <row r="21" spans="1:24" ht="16.5" x14ac:dyDescent="0.15">
      <c r="A21" s="648">
        <v>45062</v>
      </c>
      <c r="B21" s="647" t="s">
        <v>286</v>
      </c>
      <c r="C21" s="647" t="s">
        <v>178</v>
      </c>
      <c r="D21" s="647" t="s">
        <v>287</v>
      </c>
      <c r="E21" s="647">
        <v>21.699100000000001</v>
      </c>
      <c r="F21" s="652">
        <v>23.057700000000001</v>
      </c>
      <c r="G21" s="652">
        <v>985.01499999999999</v>
      </c>
      <c r="H21" s="649">
        <v>21373.9</v>
      </c>
      <c r="I21" s="647"/>
      <c r="J21" s="647"/>
      <c r="K21" s="647"/>
      <c r="L21" s="649">
        <v>21373.9</v>
      </c>
      <c r="M21" s="647"/>
      <c r="N21" s="647"/>
      <c r="O21" s="647"/>
      <c r="P21" s="647"/>
      <c r="Q21" s="647"/>
      <c r="R21" s="647">
        <v>0</v>
      </c>
      <c r="U21" s="474" t="s">
        <v>175</v>
      </c>
      <c r="V21" s="474" t="s">
        <v>338</v>
      </c>
      <c r="W21" s="474">
        <f t="shared" si="2"/>
        <v>2</v>
      </c>
      <c r="X21" s="476">
        <f t="array" ref="X21">MAX(IF($D:$D=V21,$A:$A))</f>
        <v>45413</v>
      </c>
    </row>
    <row r="22" spans="1:24" ht="16.5" x14ac:dyDescent="0.15">
      <c r="A22" s="648">
        <v>45062</v>
      </c>
      <c r="B22" s="647" t="s">
        <v>286</v>
      </c>
      <c r="C22" s="647" t="s">
        <v>171</v>
      </c>
      <c r="D22" s="647" t="s">
        <v>288</v>
      </c>
      <c r="E22" s="647">
        <v>21.699100000000001</v>
      </c>
      <c r="F22" s="652">
        <v>13.9899</v>
      </c>
      <c r="G22" s="652">
        <v>597.68589999999995</v>
      </c>
      <c r="H22" s="649">
        <v>12969.19</v>
      </c>
      <c r="I22" s="650">
        <v>2700</v>
      </c>
      <c r="J22" s="647"/>
      <c r="K22" s="647"/>
      <c r="L22" s="649">
        <v>12969.19</v>
      </c>
      <c r="M22" s="647"/>
      <c r="N22" s="647"/>
      <c r="O22" s="647"/>
      <c r="P22" s="647"/>
      <c r="Q22" s="647"/>
      <c r="R22" s="647">
        <v>0</v>
      </c>
      <c r="U22" s="474" t="s">
        <v>175</v>
      </c>
      <c r="V22" s="474" t="s">
        <v>376</v>
      </c>
      <c r="W22" s="474">
        <f t="shared" si="2"/>
        <v>2</v>
      </c>
      <c r="X22" s="476">
        <f t="array" ref="X22">MAX(IF($D:$D=V22,$A:$A))</f>
        <v>45444</v>
      </c>
    </row>
    <row r="23" spans="1:24" ht="16.5" x14ac:dyDescent="0.15">
      <c r="A23" s="648">
        <v>45062</v>
      </c>
      <c r="B23" s="647" t="s">
        <v>286</v>
      </c>
      <c r="C23" s="647" t="s">
        <v>171</v>
      </c>
      <c r="D23" s="647" t="s">
        <v>287</v>
      </c>
      <c r="E23" s="647">
        <v>21.699100000000001</v>
      </c>
      <c r="F23" s="652">
        <v>49.760800000000003</v>
      </c>
      <c r="G23" s="652">
        <v>2127.2721000000001</v>
      </c>
      <c r="H23" s="649">
        <v>46159.87</v>
      </c>
      <c r="I23" s="647"/>
      <c r="J23" s="647"/>
      <c r="K23" s="647"/>
      <c r="L23" s="649">
        <v>46159.87</v>
      </c>
      <c r="M23" s="647"/>
      <c r="N23" s="647"/>
      <c r="O23" s="647"/>
      <c r="P23" s="647"/>
      <c r="Q23" s="647"/>
      <c r="R23" s="647">
        <v>0</v>
      </c>
      <c r="U23" s="474" t="s">
        <v>177</v>
      </c>
      <c r="V23" s="474" t="s">
        <v>347</v>
      </c>
      <c r="W23" s="474">
        <f t="shared" si="2"/>
        <v>3</v>
      </c>
      <c r="X23" s="476">
        <f t="array" ref="X23">MAX(IF($D:$D=V23,$A:$A))</f>
        <v>0</v>
      </c>
    </row>
    <row r="24" spans="1:24" ht="16.5" x14ac:dyDescent="0.15">
      <c r="A24" s="648">
        <v>45139</v>
      </c>
      <c r="B24" s="647" t="s">
        <v>286</v>
      </c>
      <c r="C24" s="647" t="s">
        <v>37</v>
      </c>
      <c r="D24" s="647" t="s">
        <v>37</v>
      </c>
      <c r="E24" s="647">
        <v>21.847200000000001</v>
      </c>
      <c r="F24" s="652">
        <v>480547.54920000001</v>
      </c>
      <c r="G24" s="652">
        <v>20505702.9976</v>
      </c>
      <c r="H24" s="649">
        <v>447931939.02999997</v>
      </c>
      <c r="I24" s="650">
        <v>92691770</v>
      </c>
      <c r="J24" s="650">
        <v>17135370</v>
      </c>
      <c r="K24" s="647"/>
      <c r="L24" s="649">
        <v>447964044.02999997</v>
      </c>
      <c r="M24" s="649">
        <v>32105</v>
      </c>
      <c r="N24" s="647"/>
      <c r="O24" s="647"/>
      <c r="P24" s="647"/>
      <c r="Q24" s="647"/>
      <c r="R24" s="647">
        <v>0</v>
      </c>
      <c r="U24" s="474" t="s">
        <v>177</v>
      </c>
      <c r="V24" s="474" t="s">
        <v>339</v>
      </c>
      <c r="W24" s="474">
        <f t="shared" si="2"/>
        <v>3</v>
      </c>
      <c r="X24" s="476">
        <f t="array" ref="X24">MAX(IF($D:$D=V24,$A:$A))</f>
        <v>0</v>
      </c>
    </row>
    <row r="25" spans="1:24" ht="16.5" x14ac:dyDescent="0.15">
      <c r="A25" s="648">
        <v>45139</v>
      </c>
      <c r="B25" s="647" t="s">
        <v>286</v>
      </c>
      <c r="C25" s="647" t="s">
        <v>178</v>
      </c>
      <c r="D25" s="647" t="s">
        <v>287</v>
      </c>
      <c r="E25" s="647">
        <v>21.847200000000001</v>
      </c>
      <c r="F25" s="652">
        <v>10846905.844699999</v>
      </c>
      <c r="G25" s="652">
        <v>462035510.8423</v>
      </c>
      <c r="H25" s="649">
        <v>10093649794.139999</v>
      </c>
      <c r="I25" s="650">
        <v>526008600</v>
      </c>
      <c r="J25" s="650">
        <v>119152980</v>
      </c>
      <c r="K25" s="647"/>
      <c r="L25" s="649">
        <v>10093901457.139999</v>
      </c>
      <c r="M25" s="649">
        <v>251663</v>
      </c>
      <c r="N25" s="647"/>
      <c r="O25" s="647"/>
      <c r="P25" s="647"/>
      <c r="Q25" s="647"/>
      <c r="R25" s="647">
        <v>0</v>
      </c>
      <c r="U25" s="474" t="s">
        <v>177</v>
      </c>
      <c r="V25" s="474" t="s">
        <v>340</v>
      </c>
      <c r="W25" s="474">
        <f t="shared" si="2"/>
        <v>3</v>
      </c>
      <c r="X25" s="476">
        <f t="array" ref="X25">MAX(IF($D:$D=V25,$A:$A))</f>
        <v>45444</v>
      </c>
    </row>
    <row r="26" spans="1:24" ht="16.5" x14ac:dyDescent="0.15">
      <c r="A26" s="648">
        <v>45139</v>
      </c>
      <c r="B26" s="647" t="s">
        <v>286</v>
      </c>
      <c r="C26" s="647" t="s">
        <v>171</v>
      </c>
      <c r="D26" s="647" t="s">
        <v>288</v>
      </c>
      <c r="E26" s="647">
        <v>21.847200000000001</v>
      </c>
      <c r="F26" s="652">
        <v>4795920.8256000001</v>
      </c>
      <c r="G26" s="652">
        <v>204289568.49430001</v>
      </c>
      <c r="H26" s="649">
        <v>4462824836.79</v>
      </c>
      <c r="I26" s="650">
        <v>417552300</v>
      </c>
      <c r="J26" s="650">
        <v>37963000</v>
      </c>
      <c r="K26" s="647"/>
      <c r="L26" s="649">
        <v>4463084582.9700003</v>
      </c>
      <c r="M26" s="649">
        <v>259746.18</v>
      </c>
      <c r="N26" s="647"/>
      <c r="O26" s="647"/>
      <c r="P26" s="647"/>
      <c r="Q26" s="647"/>
      <c r="R26" s="647">
        <v>0</v>
      </c>
      <c r="U26" s="474" t="s">
        <v>177</v>
      </c>
      <c r="V26" s="474" t="s">
        <v>292</v>
      </c>
      <c r="W26" s="474">
        <f t="shared" si="2"/>
        <v>3</v>
      </c>
      <c r="X26" s="476">
        <f t="array" ref="X26">MAX(IF($D:$D=V26,$A:$A))</f>
        <v>45139</v>
      </c>
    </row>
    <row r="27" spans="1:24" ht="16.5" x14ac:dyDescent="0.15">
      <c r="A27" s="648">
        <v>45139</v>
      </c>
      <c r="B27" s="647" t="s">
        <v>286</v>
      </c>
      <c r="C27" s="647" t="s">
        <v>171</v>
      </c>
      <c r="D27" s="647" t="s">
        <v>287</v>
      </c>
      <c r="E27" s="647">
        <v>21.847200000000001</v>
      </c>
      <c r="F27" s="652">
        <v>6119621.3738000002</v>
      </c>
      <c r="G27" s="652">
        <v>260678449.02329999</v>
      </c>
      <c r="H27" s="649">
        <v>5694369773.9499998</v>
      </c>
      <c r="I27" s="647"/>
      <c r="J27" s="647"/>
      <c r="K27" s="647"/>
      <c r="L27" s="649">
        <v>5694936546.7700005</v>
      </c>
      <c r="M27" s="649">
        <v>566772.81999999995</v>
      </c>
      <c r="N27" s="647"/>
      <c r="O27" s="647"/>
      <c r="P27" s="647"/>
      <c r="Q27" s="647"/>
      <c r="R27" s="647">
        <v>0</v>
      </c>
      <c r="U27" s="474" t="s">
        <v>47</v>
      </c>
      <c r="V27" s="474" t="s">
        <v>47</v>
      </c>
      <c r="W27" s="474">
        <f t="shared" si="2"/>
        <v>1</v>
      </c>
      <c r="X27" s="476">
        <f t="array" ref="X27">MAX(IF($D:$D=V27,$A:$A))</f>
        <v>45444</v>
      </c>
    </row>
    <row r="28" spans="1:24" ht="16.5" x14ac:dyDescent="0.15">
      <c r="A28" s="648">
        <v>45139</v>
      </c>
      <c r="B28" s="647" t="s">
        <v>286</v>
      </c>
      <c r="C28" s="647" t="s">
        <v>38</v>
      </c>
      <c r="D28" s="647" t="s">
        <v>292</v>
      </c>
      <c r="E28" s="647">
        <v>21.814399999999999</v>
      </c>
      <c r="F28" s="652">
        <v>469114.5294</v>
      </c>
      <c r="G28" s="652">
        <v>19916008.332899999</v>
      </c>
      <c r="H28" s="649">
        <v>434455731</v>
      </c>
      <c r="I28" s="647"/>
      <c r="J28" s="650">
        <v>1804180</v>
      </c>
      <c r="K28" s="650">
        <v>1049000</v>
      </c>
      <c r="L28" s="649">
        <v>434455731</v>
      </c>
      <c r="M28" s="647"/>
      <c r="N28" s="647"/>
      <c r="O28" s="647"/>
      <c r="P28" s="647"/>
      <c r="Q28" s="647"/>
      <c r="R28" s="647">
        <v>0</v>
      </c>
      <c r="U28" s="474" t="s">
        <v>176</v>
      </c>
      <c r="V28" s="474" t="s">
        <v>340</v>
      </c>
      <c r="W28" s="474">
        <f t="shared" si="2"/>
        <v>2</v>
      </c>
      <c r="X28" s="476">
        <f t="array" ref="X28">MAX(IF($D:$D=V28,$A:$A))</f>
        <v>45444</v>
      </c>
    </row>
    <row r="29" spans="1:24" ht="16.5" x14ac:dyDescent="0.15">
      <c r="A29" s="648">
        <v>45139</v>
      </c>
      <c r="B29" s="647" t="s">
        <v>286</v>
      </c>
      <c r="C29" s="647" t="s">
        <v>174</v>
      </c>
      <c r="D29" s="647" t="s">
        <v>289</v>
      </c>
      <c r="E29" s="647">
        <v>21.1877</v>
      </c>
      <c r="F29" s="652">
        <v>47.575099999999999</v>
      </c>
      <c r="G29" s="652">
        <v>2036.4354000000001</v>
      </c>
      <c r="H29" s="649">
        <v>43147.360000000001</v>
      </c>
      <c r="I29" s="647"/>
      <c r="J29" s="650">
        <v>1300</v>
      </c>
      <c r="K29" s="647"/>
      <c r="L29" s="649">
        <v>43147.360000000001</v>
      </c>
      <c r="M29" s="647"/>
      <c r="N29" s="647"/>
      <c r="O29" s="647"/>
      <c r="P29" s="647"/>
      <c r="Q29" s="647"/>
      <c r="R29" s="647">
        <v>0</v>
      </c>
      <c r="U29" s="474" t="s">
        <v>176</v>
      </c>
      <c r="V29" s="474" t="s">
        <v>337</v>
      </c>
      <c r="W29" s="474">
        <f t="shared" si="2"/>
        <v>2</v>
      </c>
      <c r="X29" s="476">
        <f t="array" ref="X29">MAX(IF($D:$D=V29,$A:$A))</f>
        <v>0</v>
      </c>
    </row>
    <row r="30" spans="1:24" ht="16.5" x14ac:dyDescent="0.15">
      <c r="A30" s="648">
        <v>45139</v>
      </c>
      <c r="B30" s="647" t="s">
        <v>286</v>
      </c>
      <c r="C30" s="647" t="s">
        <v>174</v>
      </c>
      <c r="D30" s="647" t="s">
        <v>293</v>
      </c>
      <c r="E30" s="647">
        <v>20.980799999999999</v>
      </c>
      <c r="F30" s="652">
        <v>1131902.4282</v>
      </c>
      <c r="G30" s="652">
        <v>48106659.251400001</v>
      </c>
      <c r="H30" s="649">
        <v>1008434276.67</v>
      </c>
      <c r="I30" s="647"/>
      <c r="J30" s="650">
        <v>618880</v>
      </c>
      <c r="K30" s="650">
        <v>117600</v>
      </c>
      <c r="L30" s="649">
        <v>1009306421.36</v>
      </c>
      <c r="M30" s="649">
        <v>872144.69</v>
      </c>
      <c r="N30" s="647"/>
      <c r="O30" s="647"/>
      <c r="P30" s="647"/>
      <c r="Q30" s="647"/>
      <c r="R30" s="647">
        <v>0</v>
      </c>
      <c r="U30" s="474" t="s">
        <v>176</v>
      </c>
      <c r="V30" s="474" t="s">
        <v>292</v>
      </c>
      <c r="W30" s="474">
        <f t="shared" si="2"/>
        <v>2</v>
      </c>
      <c r="X30" s="476">
        <f t="array" ref="X30">MAX(IF($D:$D=V30,$A:$A))</f>
        <v>45139</v>
      </c>
    </row>
    <row r="31" spans="1:24" ht="16.5" x14ac:dyDescent="0.15">
      <c r="A31" s="648">
        <v>45139</v>
      </c>
      <c r="B31" s="647" t="s">
        <v>286</v>
      </c>
      <c r="C31" s="647" t="s">
        <v>174</v>
      </c>
      <c r="D31" s="647" t="s">
        <v>290</v>
      </c>
      <c r="E31" s="647">
        <v>20.993400000000001</v>
      </c>
      <c r="F31" s="652">
        <v>3695364.9739000001</v>
      </c>
      <c r="G31" s="652">
        <v>157336968.32589999</v>
      </c>
      <c r="H31" s="649">
        <v>3301972718.9699998</v>
      </c>
      <c r="I31" s="647"/>
      <c r="J31" s="650">
        <v>38016940</v>
      </c>
      <c r="K31" s="650">
        <v>1168900</v>
      </c>
      <c r="L31" s="649">
        <v>3303037802.2800002</v>
      </c>
      <c r="M31" s="649">
        <v>1065083.31</v>
      </c>
      <c r="N31" s="647"/>
      <c r="O31" s="647"/>
      <c r="P31" s="647"/>
      <c r="Q31" s="647"/>
      <c r="R31" s="647">
        <v>0</v>
      </c>
      <c r="U31" s="474" t="s">
        <v>168</v>
      </c>
      <c r="V31" s="474" t="s">
        <v>344</v>
      </c>
      <c r="W31" s="474">
        <f t="shared" si="2"/>
        <v>3</v>
      </c>
      <c r="X31" s="476">
        <f t="array" ref="X31">MAX(IF($C:$C=U31,$A:$A))</f>
        <v>45444</v>
      </c>
    </row>
    <row r="32" spans="1:24" ht="16.5" x14ac:dyDescent="0.15">
      <c r="A32" s="648">
        <v>45139</v>
      </c>
      <c r="B32" s="647" t="s">
        <v>286</v>
      </c>
      <c r="C32" s="647" t="s">
        <v>173</v>
      </c>
      <c r="D32" s="647" t="s">
        <v>372</v>
      </c>
      <c r="E32" s="647">
        <v>20.980799999999999</v>
      </c>
      <c r="F32" s="652">
        <v>841753.15700000001</v>
      </c>
      <c r="G32" s="652">
        <v>35745418.1932</v>
      </c>
      <c r="H32" s="649">
        <v>749105737.29999995</v>
      </c>
      <c r="I32" s="647"/>
      <c r="J32" s="650">
        <v>186700</v>
      </c>
      <c r="K32" s="650">
        <v>29400</v>
      </c>
      <c r="L32" s="649">
        <v>749967020.72000003</v>
      </c>
      <c r="M32" s="649">
        <v>861283.42</v>
      </c>
      <c r="N32" s="647"/>
      <c r="O32" s="647"/>
      <c r="P32" s="647"/>
      <c r="Q32" s="647"/>
      <c r="R32" s="647">
        <v>0</v>
      </c>
      <c r="U32" s="474" t="s">
        <v>168</v>
      </c>
      <c r="V32" s="474" t="s">
        <v>377</v>
      </c>
      <c r="W32" s="474">
        <f t="shared" ref="W32:W33" si="3">COUNTIFS($B:$B,$U$4,$C:$C,U32)</f>
        <v>3</v>
      </c>
      <c r="X32" s="476">
        <f t="array" ref="X32">MAX(IF($C:$C=U32,$A:$A))</f>
        <v>45444</v>
      </c>
    </row>
    <row r="33" spans="1:24" ht="16.5" x14ac:dyDescent="0.15">
      <c r="A33" s="648">
        <v>45139</v>
      </c>
      <c r="B33" s="647" t="s">
        <v>286</v>
      </c>
      <c r="C33" s="647" t="s">
        <v>173</v>
      </c>
      <c r="D33" s="647" t="s">
        <v>294</v>
      </c>
      <c r="E33" s="647">
        <v>20.993400000000001</v>
      </c>
      <c r="F33" s="652">
        <v>709236.701</v>
      </c>
      <c r="G33" s="652">
        <v>30144216.296300001</v>
      </c>
      <c r="H33" s="649">
        <v>632306747.70000005</v>
      </c>
      <c r="I33" s="647"/>
      <c r="J33" s="650">
        <v>10158960</v>
      </c>
      <c r="K33" s="650">
        <v>2578400</v>
      </c>
      <c r="L33" s="649">
        <v>632829584.27999997</v>
      </c>
      <c r="M33" s="649">
        <v>522836.58</v>
      </c>
      <c r="N33" s="647"/>
      <c r="O33" s="647"/>
      <c r="P33" s="647"/>
      <c r="Q33" s="647"/>
      <c r="R33" s="647">
        <v>0</v>
      </c>
      <c r="U33" s="474" t="s">
        <v>168</v>
      </c>
      <c r="V33" s="474" t="s">
        <v>378</v>
      </c>
      <c r="W33" s="474">
        <f t="shared" si="3"/>
        <v>3</v>
      </c>
      <c r="X33" s="476">
        <f t="array" ref="X33">MAX(IF($C:$C=U33,$A:$A))</f>
        <v>45444</v>
      </c>
    </row>
    <row r="34" spans="1:24" ht="16.5" x14ac:dyDescent="0.15">
      <c r="A34" s="648">
        <v>45139</v>
      </c>
      <c r="B34" s="647" t="s">
        <v>286</v>
      </c>
      <c r="C34" s="647" t="s">
        <v>172</v>
      </c>
      <c r="D34" s="647" t="s">
        <v>172</v>
      </c>
      <c r="E34" s="647">
        <v>21.814399999999999</v>
      </c>
      <c r="F34" s="652">
        <v>126655</v>
      </c>
      <c r="G34" s="652">
        <v>5375871.4819999998</v>
      </c>
      <c r="H34" s="649">
        <v>117271403</v>
      </c>
      <c r="I34" s="647"/>
      <c r="J34" s="650">
        <v>712570</v>
      </c>
      <c r="K34" s="650">
        <v>735000</v>
      </c>
      <c r="L34" s="649">
        <v>117271403</v>
      </c>
      <c r="M34" s="647"/>
      <c r="N34" s="647"/>
      <c r="O34" s="647"/>
      <c r="P34" s="647"/>
      <c r="Q34" s="647"/>
      <c r="R34" s="647">
        <v>0</v>
      </c>
      <c r="U34" s="474" t="s">
        <v>140</v>
      </c>
      <c r="V34" s="474" t="s">
        <v>379</v>
      </c>
      <c r="W34" s="474">
        <f>COUNTIFS($B:$B,$U$4,$C:$C,U34)</f>
        <v>3</v>
      </c>
      <c r="X34" s="476">
        <f t="array" ref="X34">MAX(IF($D:$D=V34,$A:$A))</f>
        <v>45444</v>
      </c>
    </row>
    <row r="35" spans="1:24" ht="16.5" x14ac:dyDescent="0.15">
      <c r="A35" s="648">
        <v>45323</v>
      </c>
      <c r="B35" s="647" t="s">
        <v>286</v>
      </c>
      <c r="C35" s="647" t="s">
        <v>40</v>
      </c>
      <c r="D35" s="647" t="s">
        <v>291</v>
      </c>
      <c r="E35" s="647">
        <v>24.627800000000001</v>
      </c>
      <c r="F35" s="652">
        <v>0.39560000000000001</v>
      </c>
      <c r="G35" s="652">
        <v>16.937000000000001</v>
      </c>
      <c r="H35" s="647">
        <v>417.12</v>
      </c>
      <c r="I35" s="647"/>
      <c r="J35" s="647">
        <v>320</v>
      </c>
      <c r="K35" s="647"/>
      <c r="L35" s="647">
        <v>417.12</v>
      </c>
      <c r="M35" s="647"/>
      <c r="N35" s="647"/>
      <c r="O35" s="647"/>
      <c r="P35" s="647"/>
      <c r="Q35" s="647"/>
      <c r="R35" s="647">
        <v>0</v>
      </c>
      <c r="U35" s="474" t="s">
        <v>140</v>
      </c>
      <c r="V35" s="474" t="s">
        <v>380</v>
      </c>
      <c r="W35" s="474">
        <f t="shared" ref="W35:W36" si="4">COUNTIFS($B:$B,$U$4,$C:$C,U35)</f>
        <v>3</v>
      </c>
      <c r="X35" s="476">
        <f t="array" ref="X35">MAX(IF($D:$D=V35,$A:$A))</f>
        <v>45413</v>
      </c>
    </row>
    <row r="36" spans="1:24" ht="16.5" x14ac:dyDescent="0.15">
      <c r="A36" s="648">
        <v>45352</v>
      </c>
      <c r="B36" s="647" t="s">
        <v>286</v>
      </c>
      <c r="C36" s="647" t="s">
        <v>40</v>
      </c>
      <c r="D36" s="647" t="s">
        <v>291</v>
      </c>
      <c r="E36" s="647">
        <v>25.141400000000001</v>
      </c>
      <c r="F36" s="652">
        <v>0.47170000000000001</v>
      </c>
      <c r="G36" s="652">
        <v>20.194099999999999</v>
      </c>
      <c r="H36" s="647">
        <v>507.7</v>
      </c>
      <c r="I36" s="647"/>
      <c r="J36" s="647"/>
      <c r="K36" s="647"/>
      <c r="L36" s="647">
        <v>507.7</v>
      </c>
      <c r="M36" s="647"/>
      <c r="N36" s="647"/>
      <c r="O36" s="647"/>
      <c r="P36" s="647"/>
      <c r="Q36" s="647"/>
      <c r="R36" s="647">
        <v>0</v>
      </c>
      <c r="U36" s="474" t="s">
        <v>140</v>
      </c>
      <c r="V36" s="474" t="s">
        <v>345</v>
      </c>
      <c r="W36" s="474">
        <f t="shared" si="4"/>
        <v>3</v>
      </c>
      <c r="X36" s="476">
        <f t="array" ref="X36">MAX(IF($D:$D=V36,$A:$A))</f>
        <v>0</v>
      </c>
    </row>
    <row r="37" spans="1:24" ht="16.5" x14ac:dyDescent="0.15">
      <c r="A37" s="648">
        <v>45352</v>
      </c>
      <c r="B37" s="647" t="s">
        <v>286</v>
      </c>
      <c r="C37" s="647" t="s">
        <v>141</v>
      </c>
      <c r="D37" s="647" t="s">
        <v>141</v>
      </c>
      <c r="E37" s="647">
        <v>21.877800000000001</v>
      </c>
      <c r="F37" s="652">
        <v>48863.487099999998</v>
      </c>
      <c r="G37" s="652">
        <v>2072740.2593</v>
      </c>
      <c r="H37" s="649">
        <v>45346799.920000002</v>
      </c>
      <c r="I37" s="647"/>
      <c r="J37" s="650">
        <v>1243410</v>
      </c>
      <c r="K37" s="647"/>
      <c r="L37" s="649">
        <v>45346799.920000002</v>
      </c>
      <c r="M37" s="647"/>
      <c r="N37" s="647"/>
      <c r="O37" s="647"/>
      <c r="P37" s="647"/>
      <c r="Q37" s="647"/>
      <c r="R37" s="647">
        <v>0</v>
      </c>
      <c r="U37" s="474" t="s">
        <v>142</v>
      </c>
      <c r="V37" s="474" t="s">
        <v>142</v>
      </c>
      <c r="W37" s="474">
        <f>COUNTIFS($B:$B,$U$4,$C:$C,U37)</f>
        <v>1</v>
      </c>
      <c r="X37" s="476">
        <f t="array" ref="X37">MAX(IF($D:$D=V37,$A:$A))</f>
        <v>45444</v>
      </c>
    </row>
    <row r="38" spans="1:24" ht="16.5" x14ac:dyDescent="0.15">
      <c r="A38" s="648">
        <v>45383</v>
      </c>
      <c r="B38" s="647" t="s">
        <v>286</v>
      </c>
      <c r="C38" s="647" t="s">
        <v>40</v>
      </c>
      <c r="D38" s="647" t="s">
        <v>291</v>
      </c>
      <c r="E38" s="647">
        <v>23.674099999999999</v>
      </c>
      <c r="F38" s="652">
        <v>399.35399999999998</v>
      </c>
      <c r="G38" s="652">
        <v>17042.606</v>
      </c>
      <c r="H38" s="649">
        <v>351823.78</v>
      </c>
      <c r="I38" s="647"/>
      <c r="J38" s="650">
        <v>14970</v>
      </c>
      <c r="K38" s="647"/>
      <c r="L38" s="649">
        <v>403468.24</v>
      </c>
      <c r="M38" s="649">
        <v>51644.46</v>
      </c>
      <c r="N38" s="647"/>
      <c r="O38" s="647"/>
      <c r="P38" s="647"/>
      <c r="Q38" s="647"/>
      <c r="R38" s="647">
        <v>0</v>
      </c>
      <c r="U38"/>
    </row>
    <row r="39" spans="1:24" ht="16.5" x14ac:dyDescent="0.15">
      <c r="A39" s="648">
        <v>45413</v>
      </c>
      <c r="B39" s="647" t="s">
        <v>286</v>
      </c>
      <c r="C39" s="647" t="s">
        <v>40</v>
      </c>
      <c r="D39" s="647" t="s">
        <v>291</v>
      </c>
      <c r="E39" s="647">
        <v>24.919499999999999</v>
      </c>
      <c r="F39" s="652">
        <v>383811.25089999998</v>
      </c>
      <c r="G39" s="652">
        <v>16335712.263900001</v>
      </c>
      <c r="H39" s="649">
        <v>391727703.22000003</v>
      </c>
      <c r="I39" s="647"/>
      <c r="J39" s="650">
        <v>13198450</v>
      </c>
      <c r="K39" s="650">
        <v>1529100</v>
      </c>
      <c r="L39" s="649">
        <v>407077715.39999998</v>
      </c>
      <c r="M39" s="649">
        <v>15350012.18</v>
      </c>
      <c r="N39" s="647"/>
      <c r="O39" s="647"/>
      <c r="P39" s="647"/>
      <c r="Q39" s="647"/>
      <c r="R39" s="647">
        <v>0</v>
      </c>
      <c r="U39"/>
    </row>
    <row r="40" spans="1:24" ht="16.5" x14ac:dyDescent="0.15">
      <c r="A40" s="648">
        <v>45413</v>
      </c>
      <c r="B40" s="647" t="s">
        <v>286</v>
      </c>
      <c r="C40" s="647" t="s">
        <v>175</v>
      </c>
      <c r="D40" s="647" t="s">
        <v>364</v>
      </c>
      <c r="E40" s="647">
        <v>20.419499999999999</v>
      </c>
      <c r="F40" s="652">
        <v>6556748.0643999996</v>
      </c>
      <c r="G40" s="652">
        <v>278891309.6552</v>
      </c>
      <c r="H40" s="649">
        <v>5694820683.6899996</v>
      </c>
      <c r="I40" s="647"/>
      <c r="J40" s="650">
        <v>1054890</v>
      </c>
      <c r="K40" s="650">
        <v>235200</v>
      </c>
      <c r="L40" s="649">
        <v>5694820683.6899996</v>
      </c>
      <c r="M40" s="647"/>
      <c r="N40" s="647"/>
      <c r="O40" s="647"/>
      <c r="P40" s="647"/>
      <c r="Q40" s="647"/>
      <c r="R40" s="647">
        <v>0</v>
      </c>
      <c r="U40"/>
    </row>
    <row r="41" spans="1:24" ht="16.5" x14ac:dyDescent="0.15">
      <c r="A41" s="648">
        <v>45413</v>
      </c>
      <c r="B41" s="647" t="s">
        <v>286</v>
      </c>
      <c r="C41" s="647" t="s">
        <v>177</v>
      </c>
      <c r="D41" s="647" t="s">
        <v>371</v>
      </c>
      <c r="E41" s="647">
        <v>14.7867</v>
      </c>
      <c r="F41" s="652">
        <v>798094.69180000003</v>
      </c>
      <c r="G41" s="652">
        <v>33952558.090000004</v>
      </c>
      <c r="H41" s="649">
        <v>502046280.24000001</v>
      </c>
      <c r="I41" s="647"/>
      <c r="J41" s="650">
        <v>10678650</v>
      </c>
      <c r="K41" s="650">
        <v>4275700</v>
      </c>
      <c r="L41" s="649">
        <v>502046280.24000001</v>
      </c>
      <c r="M41" s="647"/>
      <c r="N41" s="647"/>
      <c r="O41" s="647"/>
      <c r="P41" s="647"/>
      <c r="Q41" s="647"/>
      <c r="R41" s="647">
        <v>0</v>
      </c>
      <c r="U41"/>
    </row>
    <row r="42" spans="1:24" ht="16.5" x14ac:dyDescent="0.15">
      <c r="A42" s="648">
        <v>45413</v>
      </c>
      <c r="B42" s="647" t="s">
        <v>286</v>
      </c>
      <c r="C42" s="647" t="s">
        <v>176</v>
      </c>
      <c r="D42" s="647" t="s">
        <v>371</v>
      </c>
      <c r="E42" s="647">
        <v>14.7867</v>
      </c>
      <c r="F42" s="652">
        <v>27489.418399999999</v>
      </c>
      <c r="G42" s="652">
        <v>1169639.0101000001</v>
      </c>
      <c r="H42" s="649">
        <v>17295101</v>
      </c>
      <c r="I42" s="647"/>
      <c r="J42" s="650">
        <v>289450</v>
      </c>
      <c r="K42" s="650">
        <v>98200</v>
      </c>
      <c r="L42" s="649">
        <v>17295101</v>
      </c>
      <c r="M42" s="647"/>
      <c r="N42" s="647"/>
      <c r="O42" s="647"/>
      <c r="P42" s="647"/>
      <c r="Q42" s="647"/>
      <c r="R42" s="647">
        <v>0</v>
      </c>
      <c r="U42"/>
    </row>
    <row r="43" spans="1:24" ht="16.5" x14ac:dyDescent="0.15">
      <c r="A43" s="648">
        <v>45413</v>
      </c>
      <c r="B43" s="647" t="s">
        <v>286</v>
      </c>
      <c r="C43" s="647" t="s">
        <v>168</v>
      </c>
      <c r="D43" s="647" t="s">
        <v>365</v>
      </c>
      <c r="E43" s="647">
        <v>22.507300000000001</v>
      </c>
      <c r="F43" s="652">
        <v>115677.6563</v>
      </c>
      <c r="G43" s="652">
        <v>4921007.0986000001</v>
      </c>
      <c r="H43" s="649">
        <v>110758582.13</v>
      </c>
      <c r="I43" s="647"/>
      <c r="J43" s="650">
        <v>71550</v>
      </c>
      <c r="K43" s="650">
        <v>117600</v>
      </c>
      <c r="L43" s="649">
        <v>110758582.13</v>
      </c>
      <c r="M43" s="647"/>
      <c r="N43" s="647"/>
      <c r="O43" s="647"/>
      <c r="P43" s="647"/>
      <c r="Q43" s="647"/>
      <c r="R43" s="647">
        <v>0</v>
      </c>
      <c r="U43"/>
    </row>
    <row r="44" spans="1:24" ht="16.5" x14ac:dyDescent="0.15">
      <c r="A44" s="648">
        <v>45413</v>
      </c>
      <c r="B44" s="647" t="s">
        <v>286</v>
      </c>
      <c r="C44" s="647" t="s">
        <v>140</v>
      </c>
      <c r="D44" s="647" t="s">
        <v>366</v>
      </c>
      <c r="E44" s="647">
        <v>19.512599999999999</v>
      </c>
      <c r="F44" s="652">
        <v>56796.397499999999</v>
      </c>
      <c r="G44" s="652">
        <v>2415268.3106</v>
      </c>
      <c r="H44" s="649">
        <v>47128164.359999999</v>
      </c>
      <c r="I44" s="647"/>
      <c r="J44" s="650">
        <v>76190</v>
      </c>
      <c r="K44" s="647"/>
      <c r="L44" s="649">
        <v>47128164.359999999</v>
      </c>
      <c r="M44" s="647"/>
      <c r="N44" s="647"/>
      <c r="O44" s="647"/>
      <c r="P44" s="647"/>
      <c r="Q44" s="647"/>
      <c r="R44" s="647">
        <v>0</v>
      </c>
      <c r="U44"/>
    </row>
    <row r="45" spans="1:24" ht="16.5" x14ac:dyDescent="0.15">
      <c r="A45" s="648">
        <v>45444</v>
      </c>
      <c r="B45" s="647" t="s">
        <v>286</v>
      </c>
      <c r="C45" s="647" t="s">
        <v>40</v>
      </c>
      <c r="D45" s="647" t="s">
        <v>291</v>
      </c>
      <c r="E45" s="647">
        <v>24.359200000000001</v>
      </c>
      <c r="F45" s="652">
        <v>240565.76639999999</v>
      </c>
      <c r="G45" s="652">
        <v>10208474.3201</v>
      </c>
      <c r="H45" s="649">
        <v>243594814.18000001</v>
      </c>
      <c r="I45" s="647"/>
      <c r="J45" s="650">
        <v>210500</v>
      </c>
      <c r="K45" s="650">
        <v>117600</v>
      </c>
      <c r="L45" s="649">
        <v>248667497.53999999</v>
      </c>
      <c r="M45" s="649">
        <v>5072683.3600000003</v>
      </c>
      <c r="N45" s="647"/>
      <c r="O45" s="647"/>
      <c r="P45" s="647"/>
      <c r="Q45" s="647"/>
      <c r="R45" s="647">
        <v>0</v>
      </c>
      <c r="U45"/>
    </row>
    <row r="46" spans="1:24" ht="16.5" x14ac:dyDescent="0.15">
      <c r="A46" s="648">
        <v>45444</v>
      </c>
      <c r="B46" s="647" t="s">
        <v>286</v>
      </c>
      <c r="C46" s="647" t="s">
        <v>175</v>
      </c>
      <c r="D46" s="647" t="s">
        <v>373</v>
      </c>
      <c r="E46" s="647">
        <v>19.815000000000001</v>
      </c>
      <c r="F46" s="652">
        <v>12265656.411900001</v>
      </c>
      <c r="G46" s="652">
        <v>520323689.76889998</v>
      </c>
      <c r="H46" s="649">
        <v>10310213414.309999</v>
      </c>
      <c r="I46" s="647"/>
      <c r="J46" s="650">
        <v>17277760</v>
      </c>
      <c r="K46" s="650">
        <v>13093500</v>
      </c>
      <c r="L46" s="649">
        <v>10310213414.309999</v>
      </c>
      <c r="M46" s="647"/>
      <c r="N46" s="647"/>
      <c r="O46" s="647"/>
      <c r="P46" s="647"/>
      <c r="Q46" s="647"/>
      <c r="R46" s="647">
        <v>0</v>
      </c>
      <c r="U46"/>
    </row>
    <row r="47" spans="1:24" ht="16.5" x14ac:dyDescent="0.15">
      <c r="A47" s="648">
        <v>45444</v>
      </c>
      <c r="B47" s="647" t="s">
        <v>286</v>
      </c>
      <c r="C47" s="647" t="s">
        <v>177</v>
      </c>
      <c r="D47" s="647" t="s">
        <v>371</v>
      </c>
      <c r="E47" s="647">
        <v>14.3665</v>
      </c>
      <c r="F47" s="652">
        <v>1324242.4399000001</v>
      </c>
      <c r="G47" s="652">
        <v>56180302.688299999</v>
      </c>
      <c r="H47" s="649">
        <v>807113865.75999999</v>
      </c>
      <c r="I47" s="647"/>
      <c r="J47" s="650">
        <v>655560</v>
      </c>
      <c r="K47" s="650">
        <v>264600</v>
      </c>
      <c r="L47" s="649">
        <v>807113865.75999999</v>
      </c>
      <c r="M47" s="647"/>
      <c r="N47" s="647"/>
      <c r="O47" s="647"/>
      <c r="P47" s="647"/>
      <c r="Q47" s="647"/>
      <c r="R47" s="647">
        <v>0</v>
      </c>
      <c r="U47"/>
    </row>
    <row r="48" spans="1:24" ht="16.5" x14ac:dyDescent="0.15">
      <c r="A48" s="648">
        <v>45444</v>
      </c>
      <c r="B48" s="647" t="s">
        <v>286</v>
      </c>
      <c r="C48" s="647" t="s">
        <v>142</v>
      </c>
      <c r="D48" s="647" t="s">
        <v>142</v>
      </c>
      <c r="E48" s="647">
        <v>22.658000000000001</v>
      </c>
      <c r="F48" s="652">
        <v>6076441.1500000004</v>
      </c>
      <c r="G48" s="652">
        <v>262690779.22040001</v>
      </c>
      <c r="H48" s="649">
        <v>5951807296</v>
      </c>
      <c r="I48" s="647"/>
      <c r="J48" s="647"/>
      <c r="K48" s="647"/>
      <c r="L48" s="649">
        <v>5951807296</v>
      </c>
      <c r="M48" s="647"/>
      <c r="N48" s="647"/>
      <c r="O48" s="647"/>
      <c r="P48" s="647"/>
      <c r="Q48" s="647"/>
      <c r="R48" s="647">
        <v>0</v>
      </c>
      <c r="U48"/>
    </row>
    <row r="49" spans="1:21" ht="16.5" x14ac:dyDescent="0.15">
      <c r="A49" s="648">
        <v>45444</v>
      </c>
      <c r="B49" s="647" t="s">
        <v>286</v>
      </c>
      <c r="C49" s="647" t="s">
        <v>47</v>
      </c>
      <c r="D49" s="647" t="s">
        <v>47</v>
      </c>
      <c r="E49" s="647">
        <v>24.786300000000001</v>
      </c>
      <c r="F49" s="652">
        <v>329596</v>
      </c>
      <c r="G49" s="652">
        <v>13981132.723999999</v>
      </c>
      <c r="H49" s="649">
        <v>346540549</v>
      </c>
      <c r="I49" s="647"/>
      <c r="J49" s="650">
        <v>629820</v>
      </c>
      <c r="K49" s="650">
        <v>88200</v>
      </c>
      <c r="L49" s="649">
        <v>346540549</v>
      </c>
      <c r="M49" s="647"/>
      <c r="N49" s="647"/>
      <c r="O49" s="647"/>
      <c r="P49" s="647"/>
      <c r="Q49" s="647"/>
      <c r="R49" s="647">
        <v>0</v>
      </c>
      <c r="S49" s="647"/>
      <c r="U49"/>
    </row>
    <row r="50" spans="1:21" ht="16.5" x14ac:dyDescent="0.15">
      <c r="A50" s="648">
        <v>45444</v>
      </c>
      <c r="B50" s="647" t="s">
        <v>286</v>
      </c>
      <c r="C50" s="647" t="s">
        <v>176</v>
      </c>
      <c r="D50" s="647" t="s">
        <v>371</v>
      </c>
      <c r="E50" s="647">
        <v>14.3665</v>
      </c>
      <c r="F50" s="652">
        <v>45667.754200000003</v>
      </c>
      <c r="G50" s="652">
        <v>1937475.5992999999</v>
      </c>
      <c r="H50" s="649">
        <v>27834726</v>
      </c>
      <c r="I50" s="647"/>
      <c r="J50" s="647"/>
      <c r="K50" s="647"/>
      <c r="L50" s="649">
        <v>27834726</v>
      </c>
      <c r="M50" s="647"/>
      <c r="N50" s="647"/>
      <c r="O50" s="647"/>
      <c r="P50" s="647"/>
      <c r="Q50" s="647"/>
      <c r="R50" s="647">
        <v>0</v>
      </c>
      <c r="S50" s="647"/>
      <c r="U50"/>
    </row>
    <row r="51" spans="1:21" ht="16.5" x14ac:dyDescent="0.15">
      <c r="A51" s="648">
        <v>45444</v>
      </c>
      <c r="B51" s="647" t="s">
        <v>286</v>
      </c>
      <c r="C51" s="647" t="s">
        <v>168</v>
      </c>
      <c r="D51" s="647" t="s">
        <v>374</v>
      </c>
      <c r="E51" s="647">
        <v>21.941500000000001</v>
      </c>
      <c r="F51" s="652">
        <v>417737.34370000003</v>
      </c>
      <c r="G51" s="652">
        <v>17720211.9164</v>
      </c>
      <c r="H51" s="649">
        <v>388808022.87</v>
      </c>
      <c r="I51" s="647"/>
      <c r="J51" s="650">
        <v>279100</v>
      </c>
      <c r="K51" s="650">
        <v>352800</v>
      </c>
      <c r="L51" s="649">
        <v>388808022.87</v>
      </c>
      <c r="M51" s="647"/>
      <c r="N51" s="647"/>
      <c r="O51" s="647"/>
      <c r="P51" s="647"/>
      <c r="Q51" s="647"/>
      <c r="R51" s="647">
        <v>0</v>
      </c>
      <c r="S51" s="647"/>
      <c r="U51"/>
    </row>
    <row r="52" spans="1:21" ht="16.5" x14ac:dyDescent="0.15">
      <c r="A52" s="648">
        <v>45444</v>
      </c>
      <c r="B52" s="647" t="s">
        <v>286</v>
      </c>
      <c r="C52" s="647" t="s">
        <v>140</v>
      </c>
      <c r="D52" s="647" t="s">
        <v>375</v>
      </c>
      <c r="E52" s="647">
        <v>18.9468</v>
      </c>
      <c r="F52" s="652">
        <v>338897.25209999998</v>
      </c>
      <c r="G52" s="652">
        <v>14375914.0845</v>
      </c>
      <c r="H52" s="649">
        <v>272377567.63999999</v>
      </c>
      <c r="I52" s="647"/>
      <c r="J52" s="650">
        <v>45220</v>
      </c>
      <c r="K52" s="647"/>
      <c r="L52" s="649">
        <v>272377567.63999999</v>
      </c>
      <c r="M52" s="647"/>
      <c r="N52" s="647"/>
      <c r="O52" s="647"/>
      <c r="P52" s="647"/>
      <c r="Q52" s="647"/>
      <c r="R52" s="647">
        <v>0</v>
      </c>
      <c r="S52" s="647"/>
      <c r="U52"/>
    </row>
    <row r="53" spans="1:21" ht="16.5" x14ac:dyDescent="0.15">
      <c r="A53" s="647" t="s">
        <v>295</v>
      </c>
      <c r="B53" s="647" t="s">
        <v>286</v>
      </c>
      <c r="C53" s="647" t="s">
        <v>171</v>
      </c>
      <c r="D53" s="647" t="s">
        <v>296</v>
      </c>
      <c r="E53" s="647"/>
      <c r="F53" s="652">
        <v>0</v>
      </c>
      <c r="G53" s="652">
        <v>0</v>
      </c>
      <c r="H53" s="647">
        <v>0</v>
      </c>
      <c r="I53" s="647">
        <v>900</v>
      </c>
      <c r="J53" s="647"/>
      <c r="K53" s="647"/>
      <c r="L53" s="647">
        <v>0</v>
      </c>
      <c r="M53" s="647"/>
      <c r="N53" s="647"/>
      <c r="O53" s="647"/>
      <c r="P53" s="647"/>
      <c r="Q53" s="647"/>
      <c r="R53" s="647">
        <v>0</v>
      </c>
      <c r="S53" s="647"/>
      <c r="U53"/>
    </row>
    <row r="54" spans="1:21" ht="16.5" x14ac:dyDescent="0.15">
      <c r="A54" s="647" t="s">
        <v>295</v>
      </c>
      <c r="B54" s="647" t="s">
        <v>286</v>
      </c>
      <c r="C54" s="647" t="s">
        <v>177</v>
      </c>
      <c r="D54" s="647" t="s">
        <v>296</v>
      </c>
      <c r="E54" s="647"/>
      <c r="F54" s="652">
        <v>0</v>
      </c>
      <c r="G54" s="652">
        <v>0</v>
      </c>
      <c r="H54" s="647">
        <v>0</v>
      </c>
      <c r="I54" s="647"/>
      <c r="J54" s="650">
        <v>18760</v>
      </c>
      <c r="K54" s="647"/>
      <c r="L54" s="647">
        <v>0</v>
      </c>
      <c r="M54" s="647"/>
      <c r="N54" s="647"/>
      <c r="O54" s="647"/>
      <c r="P54" s="647"/>
      <c r="Q54" s="647"/>
      <c r="R54" s="647">
        <v>0</v>
      </c>
      <c r="S54" s="647"/>
      <c r="U54"/>
    </row>
    <row r="55" spans="1:21" ht="16.5" x14ac:dyDescent="0.15">
      <c r="A55" s="647" t="s">
        <v>295</v>
      </c>
      <c r="B55" s="647" t="s">
        <v>286</v>
      </c>
      <c r="C55" s="647" t="s">
        <v>168</v>
      </c>
      <c r="D55" s="647" t="s">
        <v>296</v>
      </c>
      <c r="E55" s="647"/>
      <c r="F55" s="652">
        <v>0</v>
      </c>
      <c r="G55" s="652">
        <v>0</v>
      </c>
      <c r="H55" s="647">
        <v>0</v>
      </c>
      <c r="I55" s="647"/>
      <c r="J55" s="647">
        <v>320</v>
      </c>
      <c r="K55" s="647"/>
      <c r="L55" s="647">
        <v>0</v>
      </c>
      <c r="M55" s="647"/>
      <c r="N55" s="647"/>
      <c r="O55" s="647"/>
      <c r="P55" s="647"/>
      <c r="Q55" s="647"/>
      <c r="R55" s="647">
        <v>0</v>
      </c>
      <c r="S55" s="647"/>
      <c r="U55"/>
    </row>
    <row r="56" spans="1:21" ht="16.5" x14ac:dyDescent="0.15">
      <c r="A56" s="647" t="s">
        <v>295</v>
      </c>
      <c r="B56" s="647" t="s">
        <v>286</v>
      </c>
      <c r="C56" s="647" t="s">
        <v>140</v>
      </c>
      <c r="D56" s="647" t="s">
        <v>296</v>
      </c>
      <c r="E56" s="647"/>
      <c r="F56" s="652">
        <v>0</v>
      </c>
      <c r="G56" s="652">
        <v>0</v>
      </c>
      <c r="H56" s="647">
        <v>0</v>
      </c>
      <c r="I56" s="647"/>
      <c r="J56" s="647">
        <v>980</v>
      </c>
      <c r="K56" s="647"/>
      <c r="L56" s="647">
        <v>0</v>
      </c>
      <c r="M56" s="647"/>
      <c r="N56" s="647"/>
      <c r="O56" s="647"/>
      <c r="P56" s="647"/>
      <c r="Q56" s="647"/>
      <c r="R56" s="647">
        <v>0</v>
      </c>
      <c r="S56" s="647"/>
      <c r="U56"/>
    </row>
    <row r="57" spans="1:21" ht="16.5" x14ac:dyDescent="0.15">
      <c r="A57" s="647" t="s">
        <v>297</v>
      </c>
      <c r="B57" s="647"/>
      <c r="C57" s="647"/>
      <c r="D57" s="647"/>
      <c r="E57" s="647"/>
      <c r="F57" s="652">
        <v>58243987.2553</v>
      </c>
      <c r="G57" s="652">
        <v>2481339622.5651999</v>
      </c>
      <c r="H57" s="649">
        <v>52100338592.919998</v>
      </c>
      <c r="I57" s="650">
        <v>1036286160</v>
      </c>
      <c r="J57" s="650">
        <v>271499680</v>
      </c>
      <c r="K57" s="650">
        <v>25850800</v>
      </c>
      <c r="L57" s="649">
        <v>52125244567.919998</v>
      </c>
      <c r="M57" s="649">
        <v>24905975</v>
      </c>
      <c r="N57" s="647">
        <v>0</v>
      </c>
      <c r="O57" s="647">
        <v>0</v>
      </c>
      <c r="P57" s="647">
        <v>0</v>
      </c>
      <c r="Q57" s="647">
        <v>0</v>
      </c>
      <c r="R57" s="647">
        <v>0</v>
      </c>
      <c r="S57" s="647">
        <v>0</v>
      </c>
      <c r="U57"/>
    </row>
    <row r="58" spans="1:21" ht="16.5" x14ac:dyDescent="0.15">
      <c r="A58" s="648">
        <v>37622</v>
      </c>
      <c r="B58" s="647" t="s">
        <v>298</v>
      </c>
      <c r="C58" s="647" t="s">
        <v>37</v>
      </c>
      <c r="D58" s="647" t="s">
        <v>299</v>
      </c>
      <c r="E58" s="650">
        <v>1680</v>
      </c>
      <c r="F58" s="652">
        <v>0</v>
      </c>
      <c r="G58" s="652">
        <v>0</v>
      </c>
      <c r="H58" s="649">
        <v>-7563386</v>
      </c>
      <c r="I58" s="647"/>
      <c r="J58" s="647"/>
      <c r="K58" s="647"/>
      <c r="L58" s="647">
        <v>0</v>
      </c>
      <c r="M58" s="647"/>
      <c r="N58" s="649">
        <v>7563386</v>
      </c>
      <c r="O58" s="647"/>
      <c r="P58" s="647"/>
      <c r="Q58" s="647"/>
      <c r="R58" s="647">
        <v>0</v>
      </c>
      <c r="S58" s="647"/>
      <c r="U58"/>
    </row>
    <row r="59" spans="1:21" ht="16.5" x14ac:dyDescent="0.15">
      <c r="A59" s="648">
        <v>37622</v>
      </c>
      <c r="B59" s="647" t="s">
        <v>298</v>
      </c>
      <c r="C59" s="647" t="s">
        <v>37</v>
      </c>
      <c r="D59" s="647" t="s">
        <v>301</v>
      </c>
      <c r="E59" s="647">
        <v>840</v>
      </c>
      <c r="F59" s="652">
        <v>0</v>
      </c>
      <c r="G59" s="652">
        <v>0</v>
      </c>
      <c r="H59" s="649">
        <v>-1630098</v>
      </c>
      <c r="I59" s="647"/>
      <c r="J59" s="647"/>
      <c r="K59" s="647"/>
      <c r="L59" s="647">
        <v>0</v>
      </c>
      <c r="M59" s="647"/>
      <c r="N59" s="649">
        <v>1630098</v>
      </c>
      <c r="O59" s="647"/>
      <c r="P59" s="647"/>
      <c r="Q59" s="647"/>
      <c r="R59" s="647">
        <v>0</v>
      </c>
      <c r="S59" s="647"/>
      <c r="U59"/>
    </row>
    <row r="60" spans="1:21" ht="16.5" x14ac:dyDescent="0.15">
      <c r="A60" s="648">
        <v>37622</v>
      </c>
      <c r="B60" s="647" t="s">
        <v>298</v>
      </c>
      <c r="C60" s="647" t="s">
        <v>37</v>
      </c>
      <c r="D60" s="647" t="s">
        <v>300</v>
      </c>
      <c r="E60" s="650">
        <v>1680</v>
      </c>
      <c r="F60" s="652">
        <v>0</v>
      </c>
      <c r="G60" s="652">
        <v>0</v>
      </c>
      <c r="H60" s="649">
        <v>-5286816</v>
      </c>
      <c r="I60" s="647"/>
      <c r="J60" s="647"/>
      <c r="K60" s="647"/>
      <c r="L60" s="647">
        <v>0</v>
      </c>
      <c r="M60" s="647"/>
      <c r="N60" s="649">
        <v>5286816</v>
      </c>
      <c r="O60" s="647"/>
      <c r="P60" s="647"/>
      <c r="Q60" s="647"/>
      <c r="R60" s="647">
        <v>0</v>
      </c>
      <c r="S60" s="647"/>
      <c r="U60"/>
    </row>
    <row r="61" spans="1:21" ht="16.5" x14ac:dyDescent="0.15">
      <c r="A61" s="648">
        <v>37622</v>
      </c>
      <c r="B61" s="647" t="s">
        <v>298</v>
      </c>
      <c r="C61" s="647" t="s">
        <v>37</v>
      </c>
      <c r="D61" s="647" t="s">
        <v>281</v>
      </c>
      <c r="E61" s="647">
        <v>840</v>
      </c>
      <c r="F61" s="652">
        <v>0</v>
      </c>
      <c r="G61" s="652">
        <v>0</v>
      </c>
      <c r="H61" s="649">
        <v>-423233</v>
      </c>
      <c r="I61" s="647"/>
      <c r="J61" s="647"/>
      <c r="K61" s="647"/>
      <c r="L61" s="647">
        <v>0</v>
      </c>
      <c r="M61" s="647"/>
      <c r="N61" s="649">
        <v>423233</v>
      </c>
      <c r="O61" s="647"/>
      <c r="P61" s="647"/>
      <c r="Q61" s="647"/>
      <c r="R61" s="647">
        <v>0</v>
      </c>
      <c r="S61" s="647"/>
      <c r="U61"/>
    </row>
    <row r="62" spans="1:21" ht="16.5" x14ac:dyDescent="0.15">
      <c r="A62" s="648">
        <v>41395</v>
      </c>
      <c r="B62" s="647" t="s">
        <v>298</v>
      </c>
      <c r="C62" s="647" t="s">
        <v>37</v>
      </c>
      <c r="D62" s="647" t="s">
        <v>302</v>
      </c>
      <c r="E62" s="647">
        <v>420</v>
      </c>
      <c r="F62" s="652">
        <v>0</v>
      </c>
      <c r="G62" s="652">
        <v>0</v>
      </c>
      <c r="H62" s="649">
        <v>-5428</v>
      </c>
      <c r="I62" s="647"/>
      <c r="J62" s="647"/>
      <c r="K62" s="647"/>
      <c r="L62" s="647">
        <v>0</v>
      </c>
      <c r="M62" s="647"/>
      <c r="N62" s="649">
        <v>5428</v>
      </c>
      <c r="O62" s="647"/>
      <c r="P62" s="647"/>
      <c r="Q62" s="647"/>
      <c r="R62" s="647">
        <v>0</v>
      </c>
      <c r="S62" s="647"/>
      <c r="U62"/>
    </row>
    <row r="63" spans="1:21" ht="16.5" x14ac:dyDescent="0.15">
      <c r="A63" s="648">
        <v>41395</v>
      </c>
      <c r="B63" s="647" t="s">
        <v>298</v>
      </c>
      <c r="C63" s="647" t="s">
        <v>37</v>
      </c>
      <c r="D63" s="647" t="s">
        <v>303</v>
      </c>
      <c r="E63" s="647">
        <v>420</v>
      </c>
      <c r="F63" s="652">
        <v>0</v>
      </c>
      <c r="G63" s="652">
        <v>0</v>
      </c>
      <c r="H63" s="649">
        <v>-504724</v>
      </c>
      <c r="I63" s="647"/>
      <c r="J63" s="647"/>
      <c r="K63" s="647"/>
      <c r="L63" s="647">
        <v>0</v>
      </c>
      <c r="M63" s="647"/>
      <c r="N63" s="649">
        <v>504724</v>
      </c>
      <c r="O63" s="647"/>
      <c r="P63" s="647"/>
      <c r="Q63" s="647"/>
      <c r="R63" s="647">
        <v>0</v>
      </c>
      <c r="S63" s="647"/>
      <c r="U63"/>
    </row>
    <row r="64" spans="1:21" ht="16.5" x14ac:dyDescent="0.15">
      <c r="A64" s="648">
        <v>44896</v>
      </c>
      <c r="B64" s="647" t="s">
        <v>298</v>
      </c>
      <c r="C64" s="647" t="s">
        <v>172</v>
      </c>
      <c r="D64" s="647" t="s">
        <v>303</v>
      </c>
      <c r="E64" s="650">
        <v>2470</v>
      </c>
      <c r="F64" s="652">
        <v>0</v>
      </c>
      <c r="G64" s="652">
        <v>0</v>
      </c>
      <c r="H64" s="649">
        <v>-289578</v>
      </c>
      <c r="I64" s="647"/>
      <c r="J64" s="647"/>
      <c r="K64" s="647"/>
      <c r="L64" s="647">
        <v>0</v>
      </c>
      <c r="M64" s="647"/>
      <c r="N64" s="649">
        <v>289578</v>
      </c>
      <c r="O64" s="647"/>
      <c r="P64" s="647"/>
      <c r="Q64" s="647"/>
      <c r="R64" s="647">
        <v>0</v>
      </c>
      <c r="S64" s="647"/>
      <c r="U64"/>
    </row>
    <row r="65" spans="1:21" ht="16.5" x14ac:dyDescent="0.15">
      <c r="A65" s="648">
        <v>44896</v>
      </c>
      <c r="B65" s="647" t="s">
        <v>298</v>
      </c>
      <c r="C65" s="647" t="s">
        <v>172</v>
      </c>
      <c r="D65" s="647" t="s">
        <v>300</v>
      </c>
      <c r="E65" s="650">
        <v>9900</v>
      </c>
      <c r="F65" s="652">
        <v>0</v>
      </c>
      <c r="G65" s="652">
        <v>0</v>
      </c>
      <c r="H65" s="649">
        <v>-1401530</v>
      </c>
      <c r="I65" s="647"/>
      <c r="J65" s="647"/>
      <c r="K65" s="647"/>
      <c r="L65" s="647">
        <v>0</v>
      </c>
      <c r="M65" s="647"/>
      <c r="N65" s="649">
        <v>1401530</v>
      </c>
      <c r="O65" s="647"/>
      <c r="P65" s="647"/>
      <c r="Q65" s="647"/>
      <c r="R65" s="647">
        <v>0</v>
      </c>
      <c r="S65" s="636"/>
      <c r="U65"/>
    </row>
    <row r="66" spans="1:21" ht="16.5" x14ac:dyDescent="0.15">
      <c r="A66" s="648">
        <v>44896</v>
      </c>
      <c r="B66" s="647" t="s">
        <v>298</v>
      </c>
      <c r="C66" s="647" t="s">
        <v>38</v>
      </c>
      <c r="D66" s="647" t="s">
        <v>303</v>
      </c>
      <c r="E66" s="650">
        <v>2470</v>
      </c>
      <c r="F66" s="652">
        <v>0</v>
      </c>
      <c r="G66" s="652">
        <v>0</v>
      </c>
      <c r="H66" s="649">
        <v>-381812</v>
      </c>
      <c r="I66" s="647"/>
      <c r="J66" s="647"/>
      <c r="K66" s="647"/>
      <c r="L66" s="647">
        <v>0</v>
      </c>
      <c r="M66" s="647"/>
      <c r="N66" s="649">
        <v>381812</v>
      </c>
      <c r="O66" s="647"/>
      <c r="P66" s="647"/>
      <c r="Q66" s="647"/>
      <c r="R66" s="647">
        <v>0</v>
      </c>
      <c r="S66" s="636"/>
      <c r="U66"/>
    </row>
    <row r="67" spans="1:21" ht="16.5" x14ac:dyDescent="0.15">
      <c r="A67" s="648">
        <v>44896</v>
      </c>
      <c r="B67" s="647" t="s">
        <v>298</v>
      </c>
      <c r="C67" s="647" t="s">
        <v>38</v>
      </c>
      <c r="D67" s="647" t="s">
        <v>300</v>
      </c>
      <c r="E67" s="650">
        <v>9900</v>
      </c>
      <c r="F67" s="652">
        <v>0</v>
      </c>
      <c r="G67" s="652">
        <v>0</v>
      </c>
      <c r="H67" s="649">
        <v>-6066609</v>
      </c>
      <c r="I67" s="647"/>
      <c r="J67" s="647"/>
      <c r="K67" s="647"/>
      <c r="L67" s="647">
        <v>0</v>
      </c>
      <c r="M67" s="647"/>
      <c r="N67" s="649">
        <v>6066609</v>
      </c>
      <c r="O67" s="647"/>
      <c r="P67" s="647"/>
      <c r="Q67" s="647"/>
      <c r="R67" s="647">
        <v>0</v>
      </c>
      <c r="S67" s="636"/>
      <c r="U67"/>
    </row>
    <row r="68" spans="1:21" ht="16.5" x14ac:dyDescent="0.15">
      <c r="A68" s="648">
        <v>44896</v>
      </c>
      <c r="B68" s="647" t="s">
        <v>298</v>
      </c>
      <c r="C68" s="647" t="s">
        <v>171</v>
      </c>
      <c r="D68" s="647" t="s">
        <v>299</v>
      </c>
      <c r="E68" s="650">
        <v>86000</v>
      </c>
      <c r="F68" s="652">
        <v>0</v>
      </c>
      <c r="G68" s="652">
        <v>0</v>
      </c>
      <c r="H68" s="649">
        <v>86000</v>
      </c>
      <c r="I68" s="647"/>
      <c r="J68" s="647"/>
      <c r="K68" s="647"/>
      <c r="L68" s="647">
        <v>0</v>
      </c>
      <c r="M68" s="647"/>
      <c r="N68" s="649">
        <v>-86000</v>
      </c>
      <c r="O68" s="647"/>
      <c r="P68" s="647"/>
      <c r="Q68" s="647"/>
      <c r="R68" s="647">
        <v>0</v>
      </c>
      <c r="S68" s="636"/>
      <c r="U68"/>
    </row>
    <row r="69" spans="1:21" ht="16.5" x14ac:dyDescent="0.15">
      <c r="A69" s="648">
        <v>44896</v>
      </c>
      <c r="B69" s="647" t="s">
        <v>298</v>
      </c>
      <c r="C69" s="647" t="s">
        <v>171</v>
      </c>
      <c r="D69" s="647" t="s">
        <v>303</v>
      </c>
      <c r="E69" s="650">
        <v>18000</v>
      </c>
      <c r="F69" s="652">
        <v>0</v>
      </c>
      <c r="G69" s="652">
        <v>0</v>
      </c>
      <c r="H69" s="649">
        <v>-36614549</v>
      </c>
      <c r="I69" s="647"/>
      <c r="J69" s="647"/>
      <c r="K69" s="647"/>
      <c r="L69" s="647">
        <v>0</v>
      </c>
      <c r="M69" s="647"/>
      <c r="N69" s="649">
        <v>36614549</v>
      </c>
      <c r="O69" s="647"/>
      <c r="P69" s="647"/>
      <c r="Q69" s="647"/>
      <c r="R69" s="647">
        <v>0</v>
      </c>
      <c r="S69" s="636"/>
      <c r="U69"/>
    </row>
    <row r="70" spans="1:21" ht="16.5" x14ac:dyDescent="0.15">
      <c r="A70" s="648">
        <v>44896</v>
      </c>
      <c r="B70" s="647" t="s">
        <v>298</v>
      </c>
      <c r="C70" s="647" t="s">
        <v>171</v>
      </c>
      <c r="D70" s="647" t="s">
        <v>300</v>
      </c>
      <c r="E70" s="650">
        <v>72000</v>
      </c>
      <c r="F70" s="652">
        <v>0</v>
      </c>
      <c r="G70" s="652">
        <v>0</v>
      </c>
      <c r="H70" s="649">
        <v>-242790849</v>
      </c>
      <c r="I70" s="647"/>
      <c r="J70" s="647"/>
      <c r="K70" s="647"/>
      <c r="L70" s="647">
        <v>0</v>
      </c>
      <c r="M70" s="647"/>
      <c r="N70" s="649">
        <v>242790849</v>
      </c>
      <c r="O70" s="647"/>
      <c r="P70" s="647"/>
      <c r="Q70" s="647"/>
      <c r="R70" s="647">
        <v>0</v>
      </c>
      <c r="S70" s="636"/>
      <c r="U70"/>
    </row>
    <row r="71" spans="1:21" ht="16.5" x14ac:dyDescent="0.15">
      <c r="A71" s="648">
        <v>45261</v>
      </c>
      <c r="B71" s="647" t="s">
        <v>298</v>
      </c>
      <c r="C71" s="647" t="s">
        <v>172</v>
      </c>
      <c r="D71" s="647" t="s">
        <v>302</v>
      </c>
      <c r="E71" s="650">
        <v>2470</v>
      </c>
      <c r="F71" s="652">
        <v>0</v>
      </c>
      <c r="G71" s="652">
        <v>0</v>
      </c>
      <c r="H71" s="649">
        <v>-4940</v>
      </c>
      <c r="I71" s="647"/>
      <c r="J71" s="647"/>
      <c r="K71" s="647"/>
      <c r="L71" s="647">
        <v>0</v>
      </c>
      <c r="M71" s="647"/>
      <c r="N71" s="649">
        <v>4940</v>
      </c>
      <c r="O71" s="647"/>
      <c r="P71" s="647"/>
      <c r="Q71" s="647"/>
      <c r="R71" s="647">
        <v>0</v>
      </c>
      <c r="S71" s="636"/>
      <c r="U71"/>
    </row>
    <row r="72" spans="1:21" ht="16.5" x14ac:dyDescent="0.15">
      <c r="A72" s="648">
        <v>45261</v>
      </c>
      <c r="B72" s="647" t="s">
        <v>298</v>
      </c>
      <c r="C72" s="647" t="s">
        <v>172</v>
      </c>
      <c r="D72" s="647" t="s">
        <v>299</v>
      </c>
      <c r="E72" s="650">
        <v>9900</v>
      </c>
      <c r="F72" s="652">
        <v>0</v>
      </c>
      <c r="G72" s="652">
        <v>0</v>
      </c>
      <c r="H72" s="649">
        <v>-311946</v>
      </c>
      <c r="I72" s="647"/>
      <c r="J72" s="647"/>
      <c r="K72" s="647"/>
      <c r="L72" s="647">
        <v>0</v>
      </c>
      <c r="M72" s="647"/>
      <c r="N72" s="649">
        <v>311946</v>
      </c>
      <c r="O72" s="647"/>
      <c r="P72" s="647"/>
      <c r="Q72" s="647"/>
      <c r="R72" s="647">
        <v>0</v>
      </c>
      <c r="S72" s="636"/>
      <c r="U72"/>
    </row>
    <row r="73" spans="1:21" ht="16.5" x14ac:dyDescent="0.15">
      <c r="A73" s="648">
        <v>45261</v>
      </c>
      <c r="B73" s="647" t="s">
        <v>298</v>
      </c>
      <c r="C73" s="647" t="s">
        <v>172</v>
      </c>
      <c r="D73" s="647" t="s">
        <v>301</v>
      </c>
      <c r="E73" s="650">
        <v>4950</v>
      </c>
      <c r="F73" s="652">
        <v>0</v>
      </c>
      <c r="G73" s="652">
        <v>0</v>
      </c>
      <c r="H73" s="649">
        <v>-105370</v>
      </c>
      <c r="I73" s="647"/>
      <c r="J73" s="647"/>
      <c r="K73" s="647"/>
      <c r="L73" s="647">
        <v>0</v>
      </c>
      <c r="M73" s="647"/>
      <c r="N73" s="649">
        <v>105370</v>
      </c>
      <c r="O73" s="647"/>
      <c r="P73" s="647"/>
      <c r="Q73" s="647"/>
      <c r="R73" s="647">
        <v>0</v>
      </c>
      <c r="S73" s="636"/>
      <c r="U73"/>
    </row>
    <row r="74" spans="1:21" ht="16.5" x14ac:dyDescent="0.15">
      <c r="A74" s="648">
        <v>45261</v>
      </c>
      <c r="B74" s="647" t="s">
        <v>298</v>
      </c>
      <c r="C74" s="647" t="s">
        <v>172</v>
      </c>
      <c r="D74" s="647" t="s">
        <v>281</v>
      </c>
      <c r="E74" s="650">
        <v>4950</v>
      </c>
      <c r="F74" s="652">
        <v>0</v>
      </c>
      <c r="G74" s="652">
        <v>0</v>
      </c>
      <c r="H74" s="649">
        <v>-80819</v>
      </c>
      <c r="I74" s="647"/>
      <c r="J74" s="647"/>
      <c r="K74" s="647"/>
      <c r="L74" s="647">
        <v>0</v>
      </c>
      <c r="M74" s="647"/>
      <c r="N74" s="649">
        <v>80819</v>
      </c>
      <c r="O74" s="647"/>
      <c r="P74" s="647"/>
      <c r="Q74" s="647"/>
      <c r="R74" s="647">
        <v>0</v>
      </c>
      <c r="S74" s="636"/>
      <c r="U74"/>
    </row>
    <row r="75" spans="1:21" ht="16.5" x14ac:dyDescent="0.15">
      <c r="A75" s="648">
        <v>45261</v>
      </c>
      <c r="B75" s="647" t="s">
        <v>298</v>
      </c>
      <c r="C75" s="647" t="s">
        <v>38</v>
      </c>
      <c r="D75" s="647" t="s">
        <v>299</v>
      </c>
      <c r="E75" s="650">
        <v>9900</v>
      </c>
      <c r="F75" s="652">
        <v>0</v>
      </c>
      <c r="G75" s="652">
        <v>0</v>
      </c>
      <c r="H75" s="649">
        <v>-25699301</v>
      </c>
      <c r="I75" s="647"/>
      <c r="J75" s="647"/>
      <c r="K75" s="647"/>
      <c r="L75" s="647">
        <v>0</v>
      </c>
      <c r="M75" s="647"/>
      <c r="N75" s="649">
        <v>25699301</v>
      </c>
      <c r="O75" s="647"/>
      <c r="P75" s="647"/>
      <c r="Q75" s="647"/>
      <c r="R75" s="647">
        <v>0</v>
      </c>
      <c r="S75" s="636"/>
      <c r="U75"/>
    </row>
    <row r="76" spans="1:21" ht="16.5" x14ac:dyDescent="0.15">
      <c r="A76" s="648">
        <v>45261</v>
      </c>
      <c r="B76" s="647" t="s">
        <v>298</v>
      </c>
      <c r="C76" s="647" t="s">
        <v>38</v>
      </c>
      <c r="D76" s="647" t="s">
        <v>301</v>
      </c>
      <c r="E76" s="650">
        <v>4950</v>
      </c>
      <c r="F76" s="652">
        <v>0</v>
      </c>
      <c r="G76" s="652">
        <v>0</v>
      </c>
      <c r="H76" s="649">
        <v>-1650129</v>
      </c>
      <c r="I76" s="647"/>
      <c r="J76" s="647"/>
      <c r="K76" s="647"/>
      <c r="L76" s="647">
        <v>0</v>
      </c>
      <c r="M76" s="647"/>
      <c r="N76" s="649">
        <v>1650129</v>
      </c>
      <c r="O76" s="647"/>
      <c r="P76" s="647"/>
      <c r="Q76" s="647"/>
      <c r="R76" s="647">
        <v>0</v>
      </c>
      <c r="S76" s="636"/>
      <c r="U76"/>
    </row>
    <row r="77" spans="1:21" ht="16.5" x14ac:dyDescent="0.15">
      <c r="A77" s="648">
        <v>45261</v>
      </c>
      <c r="B77" s="647" t="s">
        <v>298</v>
      </c>
      <c r="C77" s="647" t="s">
        <v>38</v>
      </c>
      <c r="D77" s="647" t="s">
        <v>281</v>
      </c>
      <c r="E77" s="650">
        <v>4950</v>
      </c>
      <c r="F77" s="652">
        <v>0</v>
      </c>
      <c r="G77" s="652">
        <v>0</v>
      </c>
      <c r="H77" s="649">
        <v>-387378</v>
      </c>
      <c r="I77" s="647"/>
      <c r="J77" s="647"/>
      <c r="K77" s="647"/>
      <c r="L77" s="647">
        <v>0</v>
      </c>
      <c r="M77" s="647"/>
      <c r="N77" s="649">
        <v>387378</v>
      </c>
      <c r="O77" s="647"/>
      <c r="P77" s="647"/>
      <c r="Q77" s="647"/>
      <c r="R77" s="647">
        <v>0</v>
      </c>
      <c r="S77" s="636"/>
      <c r="U77"/>
    </row>
    <row r="78" spans="1:21" ht="16.5" x14ac:dyDescent="0.15">
      <c r="A78" s="648">
        <v>45261</v>
      </c>
      <c r="B78" s="647" t="s">
        <v>298</v>
      </c>
      <c r="C78" s="647" t="s">
        <v>171</v>
      </c>
      <c r="D78" s="647" t="s">
        <v>302</v>
      </c>
      <c r="E78" s="650">
        <v>2470</v>
      </c>
      <c r="F78" s="652">
        <v>0</v>
      </c>
      <c r="G78" s="652">
        <v>0</v>
      </c>
      <c r="H78" s="649">
        <v>-493525</v>
      </c>
      <c r="I78" s="647"/>
      <c r="J78" s="647"/>
      <c r="K78" s="647"/>
      <c r="L78" s="647">
        <v>0</v>
      </c>
      <c r="M78" s="647"/>
      <c r="N78" s="649">
        <v>493525</v>
      </c>
      <c r="O78" s="647"/>
      <c r="P78" s="647"/>
      <c r="Q78" s="647"/>
      <c r="R78" s="647">
        <v>0</v>
      </c>
      <c r="S78" s="636"/>
      <c r="U78"/>
    </row>
    <row r="79" spans="1:21" ht="16.5" x14ac:dyDescent="0.15">
      <c r="A79" s="648">
        <v>45261</v>
      </c>
      <c r="B79" s="647" t="s">
        <v>298</v>
      </c>
      <c r="C79" s="647" t="s">
        <v>171</v>
      </c>
      <c r="D79" s="647" t="s">
        <v>299</v>
      </c>
      <c r="E79" s="650">
        <v>148000</v>
      </c>
      <c r="F79" s="652">
        <v>0</v>
      </c>
      <c r="G79" s="652">
        <v>0</v>
      </c>
      <c r="H79" s="649">
        <v>-434991124</v>
      </c>
      <c r="I79" s="647"/>
      <c r="J79" s="647"/>
      <c r="K79" s="647"/>
      <c r="L79" s="647">
        <v>0</v>
      </c>
      <c r="M79" s="647"/>
      <c r="N79" s="649">
        <v>434991124</v>
      </c>
      <c r="O79" s="647"/>
      <c r="P79" s="647"/>
      <c r="Q79" s="647"/>
      <c r="R79" s="647">
        <v>0</v>
      </c>
      <c r="S79" s="636"/>
      <c r="U79"/>
    </row>
    <row r="80" spans="1:21" ht="16.5" x14ac:dyDescent="0.15">
      <c r="A80" s="648">
        <v>45261</v>
      </c>
      <c r="B80" s="647" t="s">
        <v>298</v>
      </c>
      <c r="C80" s="647" t="s">
        <v>171</v>
      </c>
      <c r="D80" s="647" t="s">
        <v>301</v>
      </c>
      <c r="E80" s="650">
        <v>148000</v>
      </c>
      <c r="F80" s="652">
        <v>0</v>
      </c>
      <c r="G80" s="652">
        <v>0</v>
      </c>
      <c r="H80" s="649">
        <v>-90642372</v>
      </c>
      <c r="I80" s="647"/>
      <c r="J80" s="647"/>
      <c r="K80" s="647"/>
      <c r="L80" s="647">
        <v>0</v>
      </c>
      <c r="M80" s="647"/>
      <c r="N80" s="649">
        <v>90642372</v>
      </c>
      <c r="O80" s="647"/>
      <c r="P80" s="647"/>
      <c r="Q80" s="647"/>
      <c r="R80" s="647">
        <v>0</v>
      </c>
      <c r="S80" s="636"/>
      <c r="U80"/>
    </row>
    <row r="81" spans="1:21" ht="16.5" x14ac:dyDescent="0.15">
      <c r="A81" s="648">
        <v>45261</v>
      </c>
      <c r="B81" s="647" t="s">
        <v>298</v>
      </c>
      <c r="C81" s="647" t="s">
        <v>171</v>
      </c>
      <c r="D81" s="647" t="s">
        <v>281</v>
      </c>
      <c r="E81" s="650">
        <v>148000</v>
      </c>
      <c r="F81" s="652">
        <v>0</v>
      </c>
      <c r="G81" s="652">
        <v>0</v>
      </c>
      <c r="H81" s="649">
        <v>-28711122</v>
      </c>
      <c r="I81" s="647"/>
      <c r="J81" s="647"/>
      <c r="K81" s="647"/>
      <c r="L81" s="647">
        <v>0</v>
      </c>
      <c r="M81" s="647"/>
      <c r="N81" s="649">
        <v>28711122</v>
      </c>
      <c r="O81" s="647"/>
      <c r="P81" s="647"/>
      <c r="Q81" s="647"/>
      <c r="R81" s="647">
        <v>0</v>
      </c>
      <c r="S81" s="647"/>
      <c r="U81"/>
    </row>
    <row r="82" spans="1:21" ht="16.5" x14ac:dyDescent="0.15">
      <c r="A82" s="647" t="s">
        <v>304</v>
      </c>
      <c r="B82" s="647"/>
      <c r="C82" s="647"/>
      <c r="D82" s="647"/>
      <c r="E82" s="647"/>
      <c r="F82" s="652">
        <v>0</v>
      </c>
      <c r="G82" s="652">
        <v>0</v>
      </c>
      <c r="H82" s="649">
        <v>-885950638</v>
      </c>
      <c r="I82" s="647"/>
      <c r="J82" s="647"/>
      <c r="K82" s="647"/>
      <c r="L82" s="647">
        <v>0</v>
      </c>
      <c r="M82" s="647">
        <v>0</v>
      </c>
      <c r="N82" s="649">
        <v>885950638</v>
      </c>
      <c r="O82" s="647">
        <v>0</v>
      </c>
      <c r="P82" s="647">
        <v>0</v>
      </c>
      <c r="Q82" s="647">
        <v>0</v>
      </c>
      <c r="R82" s="647">
        <v>0</v>
      </c>
      <c r="S82" s="647">
        <v>0</v>
      </c>
      <c r="U82"/>
    </row>
    <row r="83" spans="1:21" ht="16.5" x14ac:dyDescent="0.15">
      <c r="A83" s="647" t="s">
        <v>305</v>
      </c>
      <c r="B83" s="647" t="s">
        <v>306</v>
      </c>
      <c r="C83" s="647" t="s">
        <v>168</v>
      </c>
      <c r="D83" s="647" t="s">
        <v>106</v>
      </c>
      <c r="E83" s="647"/>
      <c r="F83" s="652">
        <v>0</v>
      </c>
      <c r="G83" s="652">
        <v>0</v>
      </c>
      <c r="H83" s="649">
        <v>-3183922</v>
      </c>
      <c r="I83" s="647"/>
      <c r="J83" s="647"/>
      <c r="K83" s="647"/>
      <c r="L83" s="647">
        <v>0</v>
      </c>
      <c r="M83" s="647"/>
      <c r="N83" s="647"/>
      <c r="O83" s="647"/>
      <c r="P83" s="647"/>
      <c r="Q83" s="649">
        <v>1809916</v>
      </c>
      <c r="R83" s="649">
        <v>1374006</v>
      </c>
      <c r="S83" s="647"/>
      <c r="U83"/>
    </row>
    <row r="84" spans="1:21" ht="16.5" x14ac:dyDescent="0.15">
      <c r="A84" s="647" t="s">
        <v>305</v>
      </c>
      <c r="B84" s="647" t="s">
        <v>306</v>
      </c>
      <c r="C84" s="647" t="s">
        <v>140</v>
      </c>
      <c r="D84" s="647" t="s">
        <v>106</v>
      </c>
      <c r="E84" s="647"/>
      <c r="F84" s="652">
        <v>0</v>
      </c>
      <c r="G84" s="652">
        <v>0</v>
      </c>
      <c r="H84" s="649">
        <v>-2993395</v>
      </c>
      <c r="I84" s="647"/>
      <c r="J84" s="647"/>
      <c r="K84" s="647"/>
      <c r="L84" s="647">
        <v>0</v>
      </c>
      <c r="M84" s="647"/>
      <c r="N84" s="647"/>
      <c r="O84" s="647"/>
      <c r="P84" s="647"/>
      <c r="Q84" s="649">
        <v>1701217</v>
      </c>
      <c r="R84" s="649">
        <v>1292178</v>
      </c>
      <c r="S84" s="647"/>
      <c r="U84"/>
    </row>
    <row r="85" spans="1:21" ht="16.5" x14ac:dyDescent="0.15">
      <c r="A85" s="647" t="s">
        <v>307</v>
      </c>
      <c r="B85" s="647"/>
      <c r="C85" s="647"/>
      <c r="D85" s="647"/>
      <c r="E85" s="647"/>
      <c r="F85" s="652">
        <v>0</v>
      </c>
      <c r="G85" s="652">
        <v>0</v>
      </c>
      <c r="H85" s="649">
        <v>-6177317</v>
      </c>
      <c r="I85" s="647"/>
      <c r="J85" s="647"/>
      <c r="K85" s="647"/>
      <c r="L85" s="647">
        <v>0</v>
      </c>
      <c r="M85" s="647">
        <v>0</v>
      </c>
      <c r="N85" s="647">
        <v>0</v>
      </c>
      <c r="O85" s="647">
        <v>0</v>
      </c>
      <c r="P85" s="647">
        <v>0</v>
      </c>
      <c r="Q85" s="649">
        <v>3511133</v>
      </c>
      <c r="R85" s="649">
        <v>2666184</v>
      </c>
      <c r="S85" s="647">
        <v>0</v>
      </c>
      <c r="U85"/>
    </row>
    <row r="86" spans="1:21" ht="16.5" x14ac:dyDescent="0.15">
      <c r="A86" s="647" t="s">
        <v>295</v>
      </c>
      <c r="B86" s="647" t="s">
        <v>308</v>
      </c>
      <c r="C86" s="647" t="s">
        <v>141</v>
      </c>
      <c r="D86" s="647" t="s">
        <v>141</v>
      </c>
      <c r="E86" s="647"/>
      <c r="F86" s="652">
        <v>0</v>
      </c>
      <c r="G86" s="652">
        <v>0</v>
      </c>
      <c r="H86" s="649">
        <v>3958483.08</v>
      </c>
      <c r="I86" s="647"/>
      <c r="J86" s="647"/>
      <c r="K86" s="647"/>
      <c r="L86" s="649">
        <v>3958483.08</v>
      </c>
      <c r="M86" s="647"/>
      <c r="N86" s="647"/>
      <c r="O86" s="647"/>
      <c r="P86" s="647"/>
      <c r="Q86" s="647"/>
      <c r="R86" s="647">
        <v>0</v>
      </c>
      <c r="S86" s="647"/>
      <c r="U86"/>
    </row>
    <row r="87" spans="1:21" ht="16.5" x14ac:dyDescent="0.15">
      <c r="A87" s="647" t="s">
        <v>309</v>
      </c>
      <c r="B87" s="647"/>
      <c r="C87" s="647"/>
      <c r="D87" s="647"/>
      <c r="E87" s="647"/>
      <c r="F87" s="652">
        <v>0</v>
      </c>
      <c r="G87" s="652">
        <v>0</v>
      </c>
      <c r="H87" s="649">
        <v>3958483.08</v>
      </c>
      <c r="I87" s="647"/>
      <c r="J87" s="647"/>
      <c r="K87" s="647"/>
      <c r="L87" s="649">
        <v>3958483.08</v>
      </c>
      <c r="M87" s="647">
        <v>0</v>
      </c>
      <c r="N87" s="647">
        <v>0</v>
      </c>
      <c r="O87" s="647">
        <v>0</v>
      </c>
      <c r="P87" s="647">
        <v>0</v>
      </c>
      <c r="Q87" s="647">
        <v>0</v>
      </c>
      <c r="R87" s="647">
        <v>0</v>
      </c>
      <c r="S87" s="647">
        <v>0</v>
      </c>
      <c r="U87"/>
    </row>
    <row r="88" spans="1:21" ht="16.5" x14ac:dyDescent="0.15">
      <c r="A88" s="647"/>
      <c r="B88" s="647" t="s">
        <v>310</v>
      </c>
      <c r="C88" s="647" t="s">
        <v>37</v>
      </c>
      <c r="D88" s="647" t="s">
        <v>37</v>
      </c>
      <c r="E88" s="647"/>
      <c r="F88" s="652">
        <v>-2947.5711999999999</v>
      </c>
      <c r="G88" s="652">
        <v>-126144.45299999999</v>
      </c>
      <c r="H88" s="649">
        <v>-2750398</v>
      </c>
      <c r="I88" s="647"/>
      <c r="J88" s="647"/>
      <c r="K88" s="647"/>
      <c r="L88" s="649">
        <v>-2750398</v>
      </c>
      <c r="M88" s="647"/>
      <c r="N88" s="647"/>
      <c r="O88" s="647"/>
      <c r="P88" s="647"/>
      <c r="Q88" s="647"/>
      <c r="R88" s="647">
        <v>0</v>
      </c>
      <c r="S88" s="647"/>
      <c r="U88"/>
    </row>
    <row r="89" spans="1:21" ht="16.5" x14ac:dyDescent="0.15">
      <c r="A89" s="647"/>
      <c r="B89" s="647" t="s">
        <v>310</v>
      </c>
      <c r="C89" s="647" t="s">
        <v>178</v>
      </c>
      <c r="D89" s="647" t="s">
        <v>287</v>
      </c>
      <c r="E89" s="647"/>
      <c r="F89" s="652">
        <v>-60708.962099999997</v>
      </c>
      <c r="G89" s="652">
        <v>-2596776.1365999999</v>
      </c>
      <c r="H89" s="649">
        <v>-56582880</v>
      </c>
      <c r="I89" s="647"/>
      <c r="J89" s="647"/>
      <c r="K89" s="647"/>
      <c r="L89" s="649">
        <v>-56582880</v>
      </c>
      <c r="M89" s="647"/>
      <c r="N89" s="647"/>
      <c r="O89" s="647"/>
      <c r="P89" s="647"/>
      <c r="Q89" s="647"/>
      <c r="R89" s="647">
        <v>0</v>
      </c>
      <c r="S89" s="647"/>
      <c r="U89"/>
    </row>
    <row r="90" spans="1:21" ht="16.5" x14ac:dyDescent="0.15">
      <c r="A90" s="647"/>
      <c r="B90" s="647" t="s">
        <v>310</v>
      </c>
      <c r="C90" s="647" t="s">
        <v>171</v>
      </c>
      <c r="D90" s="647" t="s">
        <v>288</v>
      </c>
      <c r="E90" s="647"/>
      <c r="F90" s="652">
        <v>-71256.203800000003</v>
      </c>
      <c r="G90" s="652">
        <v>-3047144.7382999999</v>
      </c>
      <c r="H90" s="649">
        <v>-66404922</v>
      </c>
      <c r="I90" s="647"/>
      <c r="J90" s="647"/>
      <c r="K90" s="647"/>
      <c r="L90" s="649">
        <v>-66404922</v>
      </c>
      <c r="M90" s="647"/>
      <c r="N90" s="647"/>
      <c r="O90" s="647"/>
      <c r="P90" s="647"/>
      <c r="Q90" s="647"/>
      <c r="R90" s="647">
        <v>0</v>
      </c>
      <c r="S90" s="647"/>
      <c r="U90"/>
    </row>
    <row r="91" spans="1:21" ht="16.5" x14ac:dyDescent="0.15">
      <c r="A91" s="647"/>
      <c r="B91" s="647" t="s">
        <v>310</v>
      </c>
      <c r="C91" s="647" t="s">
        <v>40</v>
      </c>
      <c r="D91" s="647" t="s">
        <v>291</v>
      </c>
      <c r="E91" s="647"/>
      <c r="F91" s="652">
        <v>-1174.0617</v>
      </c>
      <c r="G91" s="652">
        <v>-50183.004300000001</v>
      </c>
      <c r="H91" s="649">
        <v>-1048811</v>
      </c>
      <c r="I91" s="647"/>
      <c r="J91" s="647"/>
      <c r="K91" s="647"/>
      <c r="L91" s="649">
        <v>-1048811</v>
      </c>
      <c r="M91" s="647"/>
      <c r="N91" s="647"/>
      <c r="O91" s="647"/>
      <c r="P91" s="647"/>
      <c r="Q91" s="647"/>
      <c r="R91" s="647">
        <v>0</v>
      </c>
      <c r="S91" s="647"/>
    </row>
    <row r="92" spans="1:21" ht="16.5" x14ac:dyDescent="0.15">
      <c r="A92" s="647"/>
      <c r="B92" s="647" t="s">
        <v>310</v>
      </c>
      <c r="C92" s="647" t="s">
        <v>174</v>
      </c>
      <c r="D92" s="647" t="s">
        <v>289</v>
      </c>
      <c r="E92" s="647"/>
      <c r="F92" s="652">
        <v>-497.45979999999997</v>
      </c>
      <c r="G92" s="652">
        <v>-21332.0131</v>
      </c>
      <c r="H92" s="649">
        <v>-451972.46</v>
      </c>
      <c r="I92" s="647"/>
      <c r="J92" s="647"/>
      <c r="K92" s="647"/>
      <c r="L92" s="649">
        <v>-451972.46</v>
      </c>
      <c r="M92" s="647"/>
      <c r="N92" s="647"/>
      <c r="O92" s="647"/>
      <c r="P92" s="647"/>
      <c r="Q92" s="647"/>
      <c r="R92" s="647">
        <v>0</v>
      </c>
      <c r="S92" s="647"/>
    </row>
    <row r="93" spans="1:21" ht="16.5" x14ac:dyDescent="0.15">
      <c r="A93" s="647"/>
      <c r="B93" s="647" t="s">
        <v>310</v>
      </c>
      <c r="C93" s="647" t="s">
        <v>174</v>
      </c>
      <c r="D93" s="647" t="s">
        <v>293</v>
      </c>
      <c r="E93" s="647"/>
      <c r="F93" s="652">
        <v>-4.4668999999999999</v>
      </c>
      <c r="G93" s="652">
        <v>-190.27670000000001</v>
      </c>
      <c r="H93" s="649">
        <v>-3992.15</v>
      </c>
      <c r="I93" s="647"/>
      <c r="J93" s="647"/>
      <c r="K93" s="647"/>
      <c r="L93" s="649">
        <v>-3992.15</v>
      </c>
      <c r="M93" s="647"/>
      <c r="N93" s="647"/>
      <c r="O93" s="647"/>
      <c r="P93" s="647"/>
      <c r="Q93" s="647"/>
      <c r="R93" s="647">
        <v>0</v>
      </c>
      <c r="S93" s="647"/>
    </row>
    <row r="94" spans="1:21" ht="16.5" x14ac:dyDescent="0.15">
      <c r="A94" s="647"/>
      <c r="B94" s="647" t="s">
        <v>310</v>
      </c>
      <c r="C94" s="647" t="s">
        <v>174</v>
      </c>
      <c r="D94" s="647" t="s">
        <v>290</v>
      </c>
      <c r="E94" s="647"/>
      <c r="F94" s="652">
        <v>-2184.4688999999998</v>
      </c>
      <c r="G94" s="652">
        <v>-93360.291500000007</v>
      </c>
      <c r="H94" s="649">
        <v>-1959939.39</v>
      </c>
      <c r="I94" s="647"/>
      <c r="J94" s="647"/>
      <c r="K94" s="647"/>
      <c r="L94" s="649">
        <v>-1959939.39</v>
      </c>
      <c r="M94" s="647"/>
      <c r="N94" s="647"/>
      <c r="O94" s="647"/>
      <c r="P94" s="647"/>
      <c r="Q94" s="647"/>
      <c r="R94" s="647">
        <v>0</v>
      </c>
      <c r="S94" s="647"/>
    </row>
    <row r="95" spans="1:21" ht="16.5" x14ac:dyDescent="0.15">
      <c r="A95" s="647"/>
      <c r="B95" s="647" t="s">
        <v>310</v>
      </c>
      <c r="C95" s="647" t="s">
        <v>173</v>
      </c>
      <c r="D95" s="647" t="s">
        <v>294</v>
      </c>
      <c r="E95" s="647"/>
      <c r="F95" s="652">
        <v>-2128.5432000000001</v>
      </c>
      <c r="G95" s="652">
        <v>-90927.108399999997</v>
      </c>
      <c r="H95" s="649">
        <v>-1908869</v>
      </c>
      <c r="I95" s="647"/>
      <c r="J95" s="647"/>
      <c r="K95" s="647"/>
      <c r="L95" s="649">
        <v>-1908869</v>
      </c>
      <c r="M95" s="647"/>
      <c r="N95" s="647"/>
      <c r="O95" s="647"/>
      <c r="P95" s="647"/>
      <c r="Q95" s="647"/>
      <c r="R95" s="647">
        <v>0</v>
      </c>
      <c r="S95" s="647"/>
    </row>
    <row r="96" spans="1:21" ht="16.5" x14ac:dyDescent="0.15">
      <c r="A96" s="647" t="s">
        <v>311</v>
      </c>
      <c r="B96" s="647"/>
      <c r="C96" s="647"/>
      <c r="D96" s="647"/>
      <c r="E96" s="647"/>
      <c r="F96" s="652">
        <v>-140901.73759999999</v>
      </c>
      <c r="G96" s="652">
        <v>-6026058.0219000001</v>
      </c>
      <c r="H96" s="649">
        <v>-131111784</v>
      </c>
      <c r="I96" s="647"/>
      <c r="J96" s="647"/>
      <c r="K96" s="647"/>
      <c r="L96" s="649">
        <v>-131111784</v>
      </c>
      <c r="M96" s="647">
        <v>0</v>
      </c>
      <c r="N96" s="647">
        <v>0</v>
      </c>
      <c r="O96" s="647">
        <v>0</v>
      </c>
      <c r="P96" s="647">
        <v>0</v>
      </c>
      <c r="Q96" s="647">
        <v>0</v>
      </c>
      <c r="R96" s="647">
        <v>0</v>
      </c>
      <c r="S96" s="647">
        <v>0</v>
      </c>
    </row>
    <row r="97" spans="1:21" ht="16.5" x14ac:dyDescent="0.15">
      <c r="A97" s="647" t="s">
        <v>312</v>
      </c>
      <c r="B97" s="647"/>
      <c r="C97" s="647"/>
      <c r="D97" s="647"/>
      <c r="E97" s="647"/>
      <c r="F97" s="652">
        <v>58103085.517700002</v>
      </c>
      <c r="G97" s="652">
        <v>2475313564.5433002</v>
      </c>
      <c r="H97" s="649">
        <v>51081057337</v>
      </c>
      <c r="I97" s="650">
        <v>1036286160</v>
      </c>
      <c r="J97" s="650">
        <v>271499680</v>
      </c>
      <c r="K97" s="650">
        <v>25850800</v>
      </c>
      <c r="L97" s="649">
        <v>51998091267</v>
      </c>
      <c r="M97" s="649">
        <v>24905975</v>
      </c>
      <c r="N97" s="649">
        <v>885950638</v>
      </c>
      <c r="O97" s="647">
        <v>0</v>
      </c>
      <c r="P97" s="647">
        <v>0</v>
      </c>
      <c r="Q97" s="649">
        <v>3511133</v>
      </c>
      <c r="R97" s="649">
        <v>2666184</v>
      </c>
      <c r="S97" s="647">
        <v>0</v>
      </c>
      <c r="U97"/>
    </row>
    <row r="98" spans="1:21" ht="16.5" x14ac:dyDescent="0.15">
      <c r="A98" s="648">
        <v>45444</v>
      </c>
      <c r="B98" s="647" t="s">
        <v>313</v>
      </c>
      <c r="C98" s="647" t="s">
        <v>143</v>
      </c>
      <c r="D98" s="647" t="s">
        <v>143</v>
      </c>
      <c r="E98" s="647">
        <v>22.658000000000001</v>
      </c>
      <c r="F98" s="652">
        <v>314785.56</v>
      </c>
      <c r="G98" s="652">
        <v>13314048.6109</v>
      </c>
      <c r="H98" s="649">
        <v>301658300</v>
      </c>
      <c r="I98" s="647"/>
      <c r="J98" s="647"/>
      <c r="K98" s="647"/>
      <c r="L98" s="649">
        <v>301658300</v>
      </c>
      <c r="M98" s="647"/>
      <c r="N98" s="647"/>
      <c r="O98" s="647"/>
      <c r="P98" s="647"/>
      <c r="Q98" s="647"/>
      <c r="R98" s="647">
        <v>0</v>
      </c>
      <c r="S98" s="647"/>
      <c r="U98"/>
    </row>
    <row r="99" spans="1:21" ht="16.5" x14ac:dyDescent="0.15">
      <c r="A99" s="647" t="s">
        <v>314</v>
      </c>
      <c r="B99" s="647"/>
      <c r="C99" s="647"/>
      <c r="D99" s="647"/>
      <c r="E99" s="647"/>
      <c r="F99" s="652">
        <v>314785.56</v>
      </c>
      <c r="G99" s="652">
        <v>13314048.6109</v>
      </c>
      <c r="H99" s="649">
        <v>301658300</v>
      </c>
      <c r="I99" s="647"/>
      <c r="J99" s="647"/>
      <c r="K99" s="647"/>
      <c r="L99" s="649">
        <v>301658300</v>
      </c>
      <c r="M99" s="647">
        <v>0</v>
      </c>
      <c r="N99" s="647">
        <v>0</v>
      </c>
      <c r="O99" s="647">
        <v>0</v>
      </c>
      <c r="P99" s="647">
        <v>0</v>
      </c>
      <c r="Q99" s="647">
        <v>0</v>
      </c>
      <c r="R99" s="647">
        <v>0</v>
      </c>
      <c r="S99" s="647">
        <v>0</v>
      </c>
      <c r="U99"/>
    </row>
    <row r="100" spans="1:21" ht="16.5" x14ac:dyDescent="0.15">
      <c r="A100" s="647" t="s">
        <v>315</v>
      </c>
      <c r="B100" s="647"/>
      <c r="C100" s="647"/>
      <c r="D100" s="647"/>
      <c r="E100" s="647"/>
      <c r="F100" s="652">
        <v>314785.56</v>
      </c>
      <c r="G100" s="652">
        <v>13314048.6109</v>
      </c>
      <c r="H100" s="649">
        <v>301658300</v>
      </c>
      <c r="I100" s="647"/>
      <c r="J100" s="647"/>
      <c r="K100" s="647"/>
      <c r="L100" s="649">
        <v>301658300</v>
      </c>
      <c r="M100" s="647">
        <v>0</v>
      </c>
      <c r="N100" s="647">
        <v>0</v>
      </c>
      <c r="O100" s="647">
        <v>0</v>
      </c>
      <c r="P100" s="647">
        <v>0</v>
      </c>
      <c r="Q100" s="647">
        <v>0</v>
      </c>
      <c r="R100" s="647">
        <v>0</v>
      </c>
      <c r="S100" s="647">
        <v>0</v>
      </c>
      <c r="U100"/>
    </row>
    <row r="101" spans="1:21" ht="16.5" x14ac:dyDescent="0.15">
      <c r="A101" s="647" t="s">
        <v>316</v>
      </c>
      <c r="B101" s="647"/>
      <c r="C101" s="647"/>
      <c r="D101" s="647"/>
      <c r="E101" s="647"/>
      <c r="F101" s="652">
        <v>58417871.077699997</v>
      </c>
      <c r="G101" s="652">
        <v>2488627613.1542001</v>
      </c>
      <c r="H101" s="649">
        <v>51382715637</v>
      </c>
      <c r="I101" s="650">
        <v>1036286160</v>
      </c>
      <c r="J101" s="650">
        <v>271499680</v>
      </c>
      <c r="K101" s="650">
        <v>25850800</v>
      </c>
      <c r="L101" s="649">
        <v>52299749567</v>
      </c>
      <c r="M101" s="649">
        <v>24905975</v>
      </c>
      <c r="N101" s="649">
        <v>885950638</v>
      </c>
      <c r="O101" s="647"/>
      <c r="P101" s="647">
        <v>0</v>
      </c>
      <c r="Q101" s="649">
        <v>3511133</v>
      </c>
      <c r="R101" s="649">
        <v>2666184</v>
      </c>
      <c r="S101" s="647"/>
      <c r="U101"/>
    </row>
    <row r="102" spans="1:21" ht="16.5" x14ac:dyDescent="0.15">
      <c r="A102" s="647"/>
      <c r="B102" s="647" t="s">
        <v>317</v>
      </c>
      <c r="C102" s="647" t="s">
        <v>40</v>
      </c>
      <c r="D102" s="647" t="s">
        <v>318</v>
      </c>
      <c r="E102" s="647"/>
      <c r="F102" s="652">
        <v>987</v>
      </c>
      <c r="G102" s="652">
        <v>41867.553</v>
      </c>
      <c r="H102" s="647">
        <v>0</v>
      </c>
      <c r="I102" s="647"/>
      <c r="J102" s="647"/>
      <c r="K102" s="647"/>
      <c r="L102" s="647">
        <v>0</v>
      </c>
      <c r="M102" s="647"/>
      <c r="N102" s="647"/>
      <c r="O102" s="647"/>
      <c r="P102" s="647"/>
      <c r="Q102" s="647"/>
      <c r="R102" s="647">
        <v>0</v>
      </c>
      <c r="S102" s="647"/>
      <c r="U102"/>
    </row>
    <row r="103" spans="1:21" ht="16.5" x14ac:dyDescent="0.15">
      <c r="A103" s="647"/>
      <c r="B103" s="647" t="s">
        <v>317</v>
      </c>
      <c r="C103" s="647" t="s">
        <v>174</v>
      </c>
      <c r="D103" s="647" t="s">
        <v>318</v>
      </c>
      <c r="E103" s="647"/>
      <c r="F103" s="652">
        <v>140</v>
      </c>
      <c r="G103" s="652">
        <v>5938.66</v>
      </c>
      <c r="H103" s="647">
        <v>0</v>
      </c>
      <c r="I103" s="647"/>
      <c r="J103" s="647"/>
      <c r="K103" s="647"/>
      <c r="L103" s="647">
        <v>0</v>
      </c>
      <c r="M103" s="647"/>
      <c r="N103" s="647"/>
      <c r="O103" s="647"/>
      <c r="P103" s="647"/>
      <c r="Q103" s="647"/>
      <c r="R103" s="647">
        <v>0</v>
      </c>
      <c r="S103" s="647"/>
      <c r="U103"/>
    </row>
    <row r="104" spans="1:21" ht="16.5" x14ac:dyDescent="0.15">
      <c r="A104" s="647"/>
      <c r="B104" s="647" t="s">
        <v>317</v>
      </c>
      <c r="C104" s="647" t="s">
        <v>177</v>
      </c>
      <c r="D104" s="647" t="s">
        <v>318</v>
      </c>
      <c r="E104" s="647"/>
      <c r="F104" s="652">
        <v>6154</v>
      </c>
      <c r="G104" s="652">
        <v>261046.52600000001</v>
      </c>
      <c r="H104" s="647">
        <v>0</v>
      </c>
      <c r="I104" s="647"/>
      <c r="J104" s="647"/>
      <c r="K104" s="647"/>
      <c r="L104" s="647">
        <v>0</v>
      </c>
      <c r="M104" s="647"/>
      <c r="N104" s="647"/>
      <c r="O104" s="647"/>
      <c r="P104" s="647"/>
      <c r="Q104" s="647"/>
      <c r="R104" s="647">
        <v>0</v>
      </c>
      <c r="S104" s="647"/>
      <c r="U104"/>
    </row>
    <row r="105" spans="1:21" ht="16.5" x14ac:dyDescent="0.15">
      <c r="A105" s="647"/>
      <c r="B105" s="647" t="s">
        <v>317</v>
      </c>
      <c r="C105" s="647" t="s">
        <v>47</v>
      </c>
      <c r="D105" s="647" t="s">
        <v>318</v>
      </c>
      <c r="E105" s="647"/>
      <c r="F105" s="652">
        <v>55176</v>
      </c>
      <c r="G105" s="652">
        <v>2340510.7439999999</v>
      </c>
      <c r="H105" s="647">
        <v>0</v>
      </c>
      <c r="I105" s="647"/>
      <c r="J105" s="647"/>
      <c r="K105" s="647"/>
      <c r="L105" s="647">
        <v>0</v>
      </c>
      <c r="M105" s="647"/>
      <c r="N105" s="647"/>
      <c r="O105" s="647"/>
      <c r="P105" s="647"/>
      <c r="Q105" s="647"/>
      <c r="R105" s="647">
        <v>0</v>
      </c>
      <c r="S105" s="647"/>
      <c r="U105"/>
    </row>
    <row r="106" spans="1:21" ht="16.5" x14ac:dyDescent="0.15">
      <c r="A106" s="647"/>
      <c r="B106" s="647" t="s">
        <v>317</v>
      </c>
      <c r="C106" s="647" t="s">
        <v>168</v>
      </c>
      <c r="D106" s="647" t="s">
        <v>318</v>
      </c>
      <c r="E106" s="647"/>
      <c r="F106" s="652">
        <v>1634</v>
      </c>
      <c r="G106" s="652">
        <v>69312.645999999993</v>
      </c>
      <c r="H106" s="647">
        <v>0</v>
      </c>
      <c r="I106" s="647"/>
      <c r="J106" s="647"/>
      <c r="K106" s="647"/>
      <c r="L106" s="647">
        <v>0</v>
      </c>
      <c r="M106" s="647"/>
      <c r="N106" s="647"/>
      <c r="O106" s="647"/>
      <c r="P106" s="647"/>
      <c r="Q106" s="647"/>
      <c r="R106" s="647">
        <v>0</v>
      </c>
      <c r="S106" s="647"/>
      <c r="U106"/>
    </row>
    <row r="107" spans="1:21" ht="16.5" x14ac:dyDescent="0.15">
      <c r="A107" s="647"/>
      <c r="B107" s="647" t="s">
        <v>317</v>
      </c>
      <c r="C107" s="647" t="s">
        <v>319</v>
      </c>
      <c r="D107" s="647" t="s">
        <v>318</v>
      </c>
      <c r="E107" s="647"/>
      <c r="F107" s="652">
        <v>161.1</v>
      </c>
      <c r="G107" s="652">
        <v>6833.7008999999998</v>
      </c>
      <c r="H107" s="647">
        <v>0</v>
      </c>
      <c r="I107" s="647"/>
      <c r="J107" s="647"/>
      <c r="K107" s="647"/>
      <c r="L107" s="647">
        <v>0</v>
      </c>
      <c r="M107" s="647"/>
      <c r="N107" s="647"/>
      <c r="O107" s="647"/>
      <c r="P107" s="647"/>
      <c r="Q107" s="647"/>
      <c r="R107" s="647">
        <v>0</v>
      </c>
      <c r="S107" s="647"/>
      <c r="U107"/>
    </row>
    <row r="108" spans="1:21" ht="16.5" x14ac:dyDescent="0.15">
      <c r="A108" s="647" t="s">
        <v>320</v>
      </c>
      <c r="B108" s="647"/>
      <c r="C108" s="647"/>
      <c r="D108" s="647"/>
      <c r="E108" s="647"/>
      <c r="F108" s="652">
        <v>64252.1</v>
      </c>
      <c r="G108" s="652">
        <v>2725509.8298999998</v>
      </c>
      <c r="H108" s="647">
        <v>0</v>
      </c>
      <c r="I108" s="647"/>
      <c r="J108" s="647"/>
      <c r="K108" s="647"/>
      <c r="L108" s="647">
        <v>0</v>
      </c>
      <c r="M108" s="647">
        <v>0</v>
      </c>
      <c r="N108" s="647">
        <v>0</v>
      </c>
      <c r="O108" s="647">
        <v>0</v>
      </c>
      <c r="P108" s="647">
        <v>0</v>
      </c>
      <c r="Q108" s="647">
        <v>0</v>
      </c>
      <c r="R108" s="647">
        <v>0</v>
      </c>
      <c r="S108" s="647">
        <v>0</v>
      </c>
      <c r="U108"/>
    </row>
    <row r="109" spans="1:21" ht="16.5" x14ac:dyDescent="0.15">
      <c r="A109" s="647" t="s">
        <v>321</v>
      </c>
      <c r="B109" s="647"/>
      <c r="C109" s="647"/>
      <c r="D109" s="647"/>
      <c r="E109" s="647"/>
      <c r="F109" s="652">
        <v>64252.1</v>
      </c>
      <c r="G109" s="652">
        <v>2725509.8298999998</v>
      </c>
      <c r="H109" s="647">
        <v>0</v>
      </c>
      <c r="I109" s="647"/>
      <c r="J109" s="647"/>
      <c r="K109" s="647"/>
      <c r="L109" s="647">
        <v>0</v>
      </c>
      <c r="M109" s="647">
        <v>0</v>
      </c>
      <c r="N109" s="647">
        <v>0</v>
      </c>
      <c r="O109" s="647">
        <v>0</v>
      </c>
      <c r="P109" s="647">
        <v>0</v>
      </c>
      <c r="Q109" s="647">
        <v>0</v>
      </c>
      <c r="R109" s="647">
        <v>0</v>
      </c>
      <c r="S109" s="647">
        <v>0</v>
      </c>
      <c r="U109"/>
    </row>
    <row r="110" spans="1:21" ht="16.5" x14ac:dyDescent="0.15">
      <c r="A110" s="647" t="s">
        <v>322</v>
      </c>
      <c r="B110" s="647"/>
      <c r="C110" s="647"/>
      <c r="D110" s="647"/>
      <c r="E110" s="647"/>
      <c r="F110" s="652">
        <v>64252.1</v>
      </c>
      <c r="G110" s="652">
        <v>2725509.8298999998</v>
      </c>
      <c r="H110" s="647">
        <v>0</v>
      </c>
      <c r="I110" s="647"/>
      <c r="J110" s="647"/>
      <c r="K110" s="647"/>
      <c r="L110" s="647">
        <v>0</v>
      </c>
      <c r="M110" s="647"/>
      <c r="N110" s="647"/>
      <c r="O110" s="647"/>
      <c r="P110" s="647">
        <v>0</v>
      </c>
      <c r="Q110" s="647">
        <v>0</v>
      </c>
      <c r="R110" s="647">
        <v>0</v>
      </c>
      <c r="S110" s="647"/>
      <c r="U110"/>
    </row>
    <row r="111" spans="1:21" ht="16.5" x14ac:dyDescent="0.15">
      <c r="A111" s="647" t="s">
        <v>323</v>
      </c>
      <c r="B111" s="647"/>
      <c r="C111" s="647"/>
      <c r="D111" s="647"/>
      <c r="E111" s="647"/>
      <c r="F111" s="652">
        <v>58482123.177699998</v>
      </c>
      <c r="G111" s="652">
        <v>2491353122.9840999</v>
      </c>
      <c r="H111" s="649">
        <v>51382715637</v>
      </c>
      <c r="I111" s="650">
        <v>1036286160</v>
      </c>
      <c r="J111" s="650">
        <v>271499680</v>
      </c>
      <c r="K111" s="650">
        <v>25850800</v>
      </c>
      <c r="L111" s="649">
        <v>52299749567</v>
      </c>
      <c r="M111" s="649">
        <v>24905975</v>
      </c>
      <c r="N111" s="649">
        <v>885950638</v>
      </c>
      <c r="O111" s="647"/>
      <c r="P111" s="647">
        <v>0</v>
      </c>
      <c r="Q111" s="649">
        <v>3511133</v>
      </c>
      <c r="R111" s="649">
        <v>2666184</v>
      </c>
      <c r="S111" s="647"/>
      <c r="U111"/>
    </row>
    <row r="112" spans="1:21" ht="16.5" x14ac:dyDescent="0.15">
      <c r="A112" s="647" t="s">
        <v>324</v>
      </c>
      <c r="B112" s="647"/>
      <c r="C112" s="647"/>
      <c r="D112" s="647"/>
      <c r="E112" s="647"/>
      <c r="F112" s="647"/>
      <c r="G112" s="647"/>
      <c r="H112" s="647"/>
      <c r="I112" s="647"/>
      <c r="J112" s="647"/>
      <c r="K112" s="647"/>
      <c r="L112" s="647"/>
      <c r="M112" s="647"/>
      <c r="N112" s="647"/>
      <c r="O112" s="647"/>
      <c r="P112" s="647"/>
      <c r="Q112" s="647"/>
      <c r="R112" s="647"/>
      <c r="S112" s="651">
        <v>45478.68241898148</v>
      </c>
      <c r="U112"/>
    </row>
    <row r="113" spans="1:21" ht="16.5" x14ac:dyDescent="0.15">
      <c r="A113" s="637"/>
      <c r="B113" s="637"/>
      <c r="C113" s="637"/>
      <c r="D113" s="637"/>
      <c r="E113" s="637"/>
      <c r="F113" s="637"/>
      <c r="G113" s="642"/>
      <c r="H113" s="642"/>
      <c r="I113" s="637"/>
      <c r="J113" s="637"/>
      <c r="K113" s="637"/>
      <c r="L113" s="639"/>
      <c r="M113" s="637"/>
      <c r="N113" s="637"/>
      <c r="O113" s="637"/>
      <c r="P113" s="637"/>
      <c r="Q113" s="637"/>
      <c r="R113" s="637"/>
      <c r="S113" s="636"/>
      <c r="U113"/>
    </row>
    <row r="114" spans="1:21" ht="16.5" x14ac:dyDescent="0.15">
      <c r="A114" s="637"/>
      <c r="B114" s="637"/>
      <c r="C114" s="637"/>
      <c r="D114" s="639"/>
      <c r="E114" s="637"/>
      <c r="F114" s="637"/>
      <c r="G114" s="637"/>
      <c r="H114" s="642"/>
      <c r="I114" s="637"/>
      <c r="J114" s="637"/>
      <c r="K114" s="637"/>
      <c r="L114" s="637"/>
      <c r="M114" s="637"/>
      <c r="N114" s="637"/>
      <c r="O114" s="637"/>
      <c r="P114" s="637"/>
      <c r="Q114" s="637"/>
      <c r="R114" s="637"/>
      <c r="S114" s="636"/>
      <c r="U114"/>
    </row>
    <row r="115" spans="1:21" ht="16.5" x14ac:dyDescent="0.15">
      <c r="A115" s="637"/>
      <c r="B115" s="637"/>
      <c r="C115" s="637"/>
      <c r="D115" s="637"/>
      <c r="E115" s="637"/>
      <c r="F115" s="639"/>
      <c r="G115" s="642"/>
      <c r="H115" s="642"/>
      <c r="I115" s="637"/>
      <c r="J115" s="637"/>
      <c r="K115" s="637"/>
      <c r="L115" s="639"/>
      <c r="M115" s="637"/>
      <c r="N115" s="637"/>
      <c r="O115" s="637"/>
      <c r="P115" s="637"/>
      <c r="Q115" s="637"/>
      <c r="R115" s="637"/>
      <c r="S115" s="636"/>
      <c r="U115"/>
    </row>
    <row r="116" spans="1:21" ht="16.5" x14ac:dyDescent="0.15">
      <c r="A116" s="637"/>
      <c r="B116" s="637"/>
      <c r="C116" s="637"/>
      <c r="D116" s="637"/>
      <c r="E116" s="637"/>
      <c r="F116" s="639"/>
      <c r="G116" s="642"/>
      <c r="H116" s="642"/>
      <c r="I116" s="637"/>
      <c r="J116" s="637"/>
      <c r="K116" s="637"/>
      <c r="L116" s="639"/>
      <c r="M116" s="637"/>
      <c r="N116" s="637"/>
      <c r="O116" s="637"/>
      <c r="P116" s="637"/>
      <c r="Q116" s="637"/>
      <c r="R116" s="637"/>
      <c r="S116" s="636"/>
      <c r="U116"/>
    </row>
    <row r="117" spans="1:21" ht="16.5" x14ac:dyDescent="0.15">
      <c r="A117" s="637"/>
      <c r="B117" s="637"/>
      <c r="C117" s="637"/>
      <c r="D117" s="637"/>
      <c r="E117" s="637"/>
      <c r="F117" s="639"/>
      <c r="G117" s="642"/>
      <c r="H117" s="642"/>
      <c r="I117" s="637"/>
      <c r="J117" s="637"/>
      <c r="K117" s="637"/>
      <c r="L117" s="639"/>
      <c r="M117" s="637"/>
      <c r="N117" s="637"/>
      <c r="O117" s="637"/>
      <c r="P117" s="637"/>
      <c r="Q117" s="637"/>
      <c r="R117" s="637"/>
      <c r="S117" s="636"/>
      <c r="U117"/>
    </row>
    <row r="118" spans="1:21" ht="16.5" x14ac:dyDescent="0.15">
      <c r="A118" s="637"/>
      <c r="B118" s="637"/>
      <c r="C118" s="637"/>
      <c r="D118" s="637"/>
      <c r="E118" s="637"/>
      <c r="F118" s="639"/>
      <c r="G118" s="642"/>
      <c r="H118" s="642"/>
      <c r="I118" s="637"/>
      <c r="J118" s="637"/>
      <c r="K118" s="637"/>
      <c r="L118" s="639"/>
      <c r="M118" s="637"/>
      <c r="N118" s="637"/>
      <c r="O118" s="637"/>
      <c r="P118" s="637"/>
      <c r="Q118" s="637"/>
      <c r="R118" s="637"/>
      <c r="S118" s="636"/>
      <c r="U118"/>
    </row>
    <row r="119" spans="1:21" ht="16.5" x14ac:dyDescent="0.15">
      <c r="A119" s="637"/>
      <c r="B119" s="637"/>
      <c r="C119" s="637"/>
      <c r="D119" s="637"/>
      <c r="E119" s="637"/>
      <c r="F119" s="639"/>
      <c r="G119" s="642"/>
      <c r="H119" s="642"/>
      <c r="I119" s="637"/>
      <c r="J119" s="637"/>
      <c r="K119" s="637"/>
      <c r="L119" s="639"/>
      <c r="M119" s="637"/>
      <c r="N119" s="637"/>
      <c r="O119" s="637"/>
      <c r="P119" s="637"/>
      <c r="Q119" s="637"/>
      <c r="R119" s="637"/>
      <c r="S119" s="636"/>
      <c r="U119"/>
    </row>
    <row r="120" spans="1:21" ht="16.5" x14ac:dyDescent="0.15">
      <c r="A120" s="637"/>
      <c r="B120" s="637"/>
      <c r="C120" s="637"/>
      <c r="D120" s="637"/>
      <c r="E120" s="637"/>
      <c r="F120" s="637"/>
      <c r="G120" s="642"/>
      <c r="H120" s="642"/>
      <c r="I120" s="637"/>
      <c r="J120" s="637"/>
      <c r="K120" s="637"/>
      <c r="L120" s="639"/>
      <c r="M120" s="637"/>
      <c r="N120" s="637"/>
      <c r="O120" s="637"/>
      <c r="P120" s="637"/>
      <c r="Q120" s="637"/>
      <c r="R120" s="637"/>
      <c r="S120" s="636"/>
      <c r="U120"/>
    </row>
    <row r="121" spans="1:21" ht="16.5" x14ac:dyDescent="0.15">
      <c r="A121" s="637"/>
      <c r="B121" s="637"/>
      <c r="C121" s="637"/>
      <c r="D121" s="637"/>
      <c r="E121" s="637"/>
      <c r="F121" s="637"/>
      <c r="G121" s="642"/>
      <c r="H121" s="642"/>
      <c r="I121" s="637"/>
      <c r="J121" s="637"/>
      <c r="K121" s="637"/>
      <c r="L121" s="639"/>
      <c r="M121" s="637"/>
      <c r="N121" s="637"/>
      <c r="O121" s="637"/>
      <c r="P121" s="637"/>
      <c r="Q121" s="637"/>
      <c r="R121" s="637"/>
      <c r="S121" s="636"/>
      <c r="U121"/>
    </row>
    <row r="122" spans="1:21" ht="16.5" x14ac:dyDescent="0.15">
      <c r="A122" s="637"/>
      <c r="B122" s="639"/>
      <c r="C122" s="639"/>
      <c r="D122" s="639"/>
      <c r="E122" s="637"/>
      <c r="F122" s="637"/>
      <c r="G122" s="637"/>
      <c r="H122" s="642"/>
      <c r="I122" s="637"/>
      <c r="J122" s="637"/>
      <c r="K122" s="637"/>
      <c r="L122" s="637"/>
      <c r="M122" s="637"/>
      <c r="N122" s="637"/>
      <c r="O122" s="637"/>
      <c r="P122" s="637"/>
      <c r="Q122" s="637"/>
      <c r="R122" s="637"/>
      <c r="S122" s="636"/>
      <c r="U122"/>
    </row>
    <row r="123" spans="1:21" ht="16.5" x14ac:dyDescent="0.15">
      <c r="A123" s="637"/>
      <c r="B123" s="639"/>
      <c r="C123" s="639"/>
      <c r="D123" s="639"/>
      <c r="E123" s="640"/>
      <c r="F123" s="640"/>
      <c r="G123" s="642"/>
      <c r="H123" s="642"/>
      <c r="I123" s="639"/>
      <c r="J123" s="639"/>
      <c r="K123" s="637"/>
      <c r="L123" s="637"/>
      <c r="M123" s="639"/>
      <c r="N123" s="639"/>
      <c r="O123" s="637"/>
      <c r="P123" s="637"/>
      <c r="Q123" s="637"/>
      <c r="R123" s="637"/>
      <c r="S123" s="636"/>
      <c r="U123"/>
    </row>
    <row r="124" spans="1:21" ht="16.5" x14ac:dyDescent="0.15">
      <c r="A124" s="638"/>
      <c r="B124" s="637"/>
      <c r="C124" s="637"/>
      <c r="D124" s="637"/>
      <c r="E124" s="637"/>
      <c r="F124" s="639"/>
      <c r="G124" s="642"/>
      <c r="H124" s="642"/>
      <c r="I124" s="637"/>
      <c r="J124" s="637"/>
      <c r="K124" s="637"/>
      <c r="L124" s="639"/>
      <c r="M124" s="637"/>
      <c r="N124" s="637"/>
      <c r="O124" s="637"/>
      <c r="P124" s="637"/>
      <c r="Q124" s="637"/>
      <c r="R124" s="637"/>
      <c r="S124" s="636"/>
      <c r="U124"/>
    </row>
    <row r="125" spans="1:21" ht="16.5" x14ac:dyDescent="0.15">
      <c r="A125" s="637"/>
      <c r="B125" s="639"/>
      <c r="C125" s="639"/>
      <c r="D125" s="639"/>
      <c r="E125" s="637"/>
      <c r="F125" s="637"/>
      <c r="G125" s="637"/>
      <c r="H125" s="642"/>
      <c r="I125" s="637"/>
      <c r="J125" s="637"/>
      <c r="K125" s="637"/>
      <c r="L125" s="637"/>
      <c r="M125" s="637"/>
      <c r="N125" s="637"/>
      <c r="O125" s="637"/>
      <c r="P125" s="637"/>
      <c r="Q125" s="637"/>
      <c r="R125" s="637"/>
      <c r="S125" s="636"/>
    </row>
    <row r="126" spans="1:21" ht="16.5" x14ac:dyDescent="0.15">
      <c r="A126" s="637"/>
      <c r="B126" s="639"/>
      <c r="C126" s="639"/>
      <c r="D126" s="639"/>
      <c r="E126" s="637"/>
      <c r="F126" s="637"/>
      <c r="G126" s="637"/>
      <c r="H126" s="642"/>
      <c r="I126" s="637"/>
      <c r="J126" s="637"/>
      <c r="K126" s="637"/>
      <c r="L126" s="637"/>
      <c r="M126" s="637"/>
      <c r="N126" s="637"/>
      <c r="O126" s="637"/>
      <c r="P126" s="637"/>
      <c r="Q126" s="637"/>
      <c r="R126" s="637"/>
      <c r="S126" s="636"/>
    </row>
    <row r="127" spans="1:21" ht="16.5" x14ac:dyDescent="0.15">
      <c r="A127" s="637"/>
      <c r="B127" s="639"/>
      <c r="C127" s="639"/>
      <c r="D127" s="639"/>
      <c r="E127" s="640"/>
      <c r="F127" s="640"/>
      <c r="G127" s="642"/>
      <c r="H127" s="642"/>
      <c r="I127" s="639"/>
      <c r="J127" s="639"/>
      <c r="K127" s="637"/>
      <c r="L127" s="637"/>
      <c r="M127" s="639"/>
      <c r="N127" s="639"/>
      <c r="O127" s="637"/>
      <c r="P127" s="637"/>
      <c r="Q127" s="637"/>
      <c r="R127" s="637"/>
      <c r="S127" s="636"/>
    </row>
    <row r="128" spans="1:21" ht="16.5" x14ac:dyDescent="0.15">
      <c r="A128" s="637"/>
      <c r="B128" s="637"/>
      <c r="C128" s="637"/>
      <c r="D128" s="637"/>
      <c r="E128" s="637"/>
      <c r="F128" s="637"/>
      <c r="G128" s="642"/>
      <c r="H128" s="642"/>
      <c r="I128" s="637"/>
      <c r="J128" s="637"/>
      <c r="K128" s="637"/>
      <c r="L128" s="637"/>
      <c r="M128" s="637"/>
      <c r="N128" s="637"/>
      <c r="O128" s="637"/>
      <c r="P128" s="637"/>
      <c r="Q128" s="637"/>
      <c r="R128" s="637"/>
      <c r="S128" s="636"/>
    </row>
    <row r="129" spans="1:19" ht="16.5" x14ac:dyDescent="0.15">
      <c r="A129" s="637"/>
      <c r="B129" s="637"/>
      <c r="C129" s="637"/>
      <c r="D129" s="637"/>
      <c r="E129" s="637"/>
      <c r="F129" s="637"/>
      <c r="G129" s="642"/>
      <c r="H129" s="642"/>
      <c r="I129" s="637"/>
      <c r="J129" s="637"/>
      <c r="K129" s="637"/>
      <c r="L129" s="637"/>
      <c r="M129" s="637"/>
      <c r="N129" s="637"/>
      <c r="O129" s="637"/>
      <c r="P129" s="637"/>
      <c r="Q129" s="637"/>
      <c r="R129" s="637"/>
      <c r="S129" s="637"/>
    </row>
    <row r="130" spans="1:19" ht="16.5" x14ac:dyDescent="0.15">
      <c r="A130" s="637"/>
      <c r="B130" s="637"/>
      <c r="C130" s="637"/>
      <c r="D130" s="637"/>
      <c r="E130" s="637"/>
      <c r="F130" s="639"/>
      <c r="G130" s="642"/>
      <c r="H130" s="642"/>
      <c r="I130" s="637"/>
      <c r="J130" s="637"/>
      <c r="K130" s="637"/>
      <c r="L130" s="637"/>
      <c r="M130" s="637"/>
      <c r="N130" s="637"/>
      <c r="O130" s="637"/>
      <c r="P130" s="637"/>
      <c r="Q130" s="637"/>
      <c r="R130" s="637"/>
      <c r="S130" s="637"/>
    </row>
    <row r="131" spans="1:19" ht="16.5" x14ac:dyDescent="0.15">
      <c r="A131" s="637"/>
      <c r="B131" s="637"/>
      <c r="C131" s="637"/>
      <c r="D131" s="637"/>
      <c r="E131" s="637"/>
      <c r="F131" s="639"/>
      <c r="G131" s="642"/>
      <c r="H131" s="642"/>
      <c r="I131" s="637"/>
      <c r="J131" s="637"/>
      <c r="K131" s="637"/>
      <c r="L131" s="637"/>
      <c r="M131" s="637"/>
      <c r="N131" s="637"/>
      <c r="O131" s="637"/>
      <c r="P131" s="637"/>
      <c r="Q131" s="637"/>
      <c r="R131" s="637"/>
      <c r="S131" s="637"/>
    </row>
    <row r="132" spans="1:19" ht="16.5" x14ac:dyDescent="0.15">
      <c r="A132" s="637"/>
      <c r="B132" s="637"/>
      <c r="C132" s="637"/>
      <c r="D132" s="637"/>
      <c r="E132" s="637"/>
      <c r="F132" s="639"/>
      <c r="G132" s="642"/>
      <c r="H132" s="642"/>
      <c r="I132" s="637"/>
      <c r="J132" s="637"/>
      <c r="K132" s="637"/>
      <c r="L132" s="637"/>
      <c r="M132" s="637"/>
      <c r="N132" s="637"/>
      <c r="O132" s="637"/>
      <c r="P132" s="637"/>
      <c r="Q132" s="637"/>
      <c r="R132" s="637"/>
      <c r="S132" s="637"/>
    </row>
    <row r="133" spans="1:19" ht="16.5" x14ac:dyDescent="0.15">
      <c r="A133" s="637"/>
      <c r="B133" s="637"/>
      <c r="C133" s="637"/>
      <c r="D133" s="637"/>
      <c r="E133" s="637"/>
      <c r="F133" s="637"/>
      <c r="G133" s="642"/>
      <c r="H133" s="642"/>
      <c r="I133" s="637"/>
      <c r="J133" s="637"/>
      <c r="K133" s="637"/>
      <c r="L133" s="637"/>
      <c r="M133" s="637"/>
      <c r="N133" s="637"/>
      <c r="O133" s="637"/>
      <c r="P133" s="637"/>
      <c r="Q133" s="637"/>
      <c r="R133" s="637"/>
      <c r="S133" s="637"/>
    </row>
    <row r="134" spans="1:19" ht="16.5" x14ac:dyDescent="0.15">
      <c r="A134" s="637"/>
      <c r="B134" s="639"/>
      <c r="C134" s="639"/>
      <c r="D134" s="637"/>
      <c r="E134" s="637"/>
      <c r="F134" s="637"/>
      <c r="G134" s="637"/>
      <c r="H134" s="642"/>
      <c r="I134" s="637"/>
      <c r="J134" s="637"/>
      <c r="K134" s="637"/>
      <c r="L134" s="637"/>
      <c r="M134" s="637"/>
      <c r="N134" s="637"/>
      <c r="O134" s="637"/>
      <c r="P134" s="637"/>
      <c r="Q134" s="637"/>
      <c r="R134" s="637"/>
      <c r="S134" s="637"/>
    </row>
    <row r="135" spans="1:19" ht="16.5" x14ac:dyDescent="0.15">
      <c r="A135" s="637"/>
      <c r="B135" s="639"/>
      <c r="C135" s="639"/>
      <c r="D135" s="637"/>
      <c r="E135" s="637"/>
      <c r="F135" s="637"/>
      <c r="G135" s="637"/>
      <c r="H135" s="642"/>
      <c r="I135" s="637"/>
      <c r="J135" s="637"/>
      <c r="K135" s="637"/>
      <c r="L135" s="637"/>
      <c r="M135" s="637"/>
      <c r="N135" s="637"/>
      <c r="O135" s="637"/>
      <c r="P135" s="637"/>
      <c r="Q135" s="637"/>
      <c r="R135" s="637"/>
      <c r="S135" s="637"/>
    </row>
    <row r="136" spans="1:19" ht="16.5" x14ac:dyDescent="0.15">
      <c r="A136" s="637"/>
      <c r="B136" s="639"/>
      <c r="C136" s="639"/>
      <c r="D136" s="637"/>
      <c r="E136" s="637"/>
      <c r="F136" s="637"/>
      <c r="G136" s="637"/>
      <c r="H136" s="642"/>
      <c r="I136" s="637"/>
      <c r="J136" s="637"/>
      <c r="K136" s="637"/>
      <c r="L136" s="637"/>
      <c r="M136" s="637"/>
      <c r="N136" s="637"/>
      <c r="O136" s="637"/>
      <c r="P136" s="637"/>
      <c r="Q136" s="637"/>
      <c r="R136" s="637"/>
      <c r="S136" s="637"/>
    </row>
    <row r="137" spans="1:19" ht="16.5" x14ac:dyDescent="0.15">
      <c r="A137" s="637"/>
      <c r="B137" s="637"/>
      <c r="C137" s="637"/>
      <c r="D137" s="637"/>
      <c r="E137" s="637"/>
      <c r="F137" s="639"/>
      <c r="G137" s="642"/>
      <c r="H137" s="642"/>
      <c r="I137" s="640"/>
      <c r="J137" s="640"/>
      <c r="K137" s="640"/>
      <c r="L137" s="639"/>
      <c r="M137" s="639"/>
      <c r="N137" s="639"/>
      <c r="O137" s="637"/>
      <c r="P137" s="637"/>
      <c r="Q137" s="639"/>
      <c r="R137" s="639"/>
      <c r="S137" s="637"/>
    </row>
    <row r="138" spans="1:19" ht="16.5" x14ac:dyDescent="0.15">
      <c r="A138" s="637"/>
      <c r="B138" s="637"/>
      <c r="C138" s="637"/>
      <c r="D138" s="637"/>
      <c r="E138" s="637"/>
      <c r="F138" s="637"/>
      <c r="G138" s="637"/>
      <c r="H138" s="637"/>
      <c r="I138" s="637"/>
      <c r="J138" s="637"/>
      <c r="K138" s="637"/>
      <c r="L138" s="637"/>
      <c r="M138" s="637"/>
      <c r="N138" s="637"/>
      <c r="O138" s="637"/>
      <c r="P138" s="637"/>
      <c r="Q138" s="637"/>
      <c r="R138" s="637"/>
      <c r="S138" s="641"/>
    </row>
    <row r="139" spans="1:19" x14ac:dyDescent="0.15">
      <c r="J139" s="527"/>
      <c r="S139" s="477"/>
    </row>
  </sheetData>
  <phoneticPr fontId="3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"/>
  <sheetViews>
    <sheetView showGridLines="0" zoomScaleNormal="100" workbookViewId="0">
      <selection activeCell="B2" sqref="B2"/>
    </sheetView>
  </sheetViews>
  <sheetFormatPr defaultRowHeight="13.5" x14ac:dyDescent="0.15"/>
  <cols>
    <col min="1" max="1" width="2.6640625" style="484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74" customFormat="1" ht="30.75" customHeight="1" x14ac:dyDescent="0.15">
      <c r="B1" s="485"/>
      <c r="C1" s="485"/>
      <c r="D1" s="485"/>
      <c r="E1" s="485"/>
      <c r="F1" s="485"/>
      <c r="G1" s="485"/>
      <c r="H1" s="485"/>
      <c r="K1" s="474" t="s">
        <v>362</v>
      </c>
    </row>
    <row r="2" spans="2:11" s="474" customFormat="1" ht="30.75" customHeight="1" x14ac:dyDescent="0.15">
      <c r="B2" s="486" t="str">
        <f>LEFT(총괄표!A2,9)&amp;" 매출현황을 다음과 같이 보고하오니 결재 바랍니다."</f>
        <v>2025년 7월  매출현황을 다음과 같이 보고하오니 결재 바랍니다.</v>
      </c>
      <c r="C2" s="486"/>
      <c r="D2" s="486"/>
      <c r="E2" s="486"/>
      <c r="F2" s="486"/>
      <c r="G2" s="486"/>
      <c r="H2" s="486"/>
    </row>
    <row r="3" spans="2:11" s="474" customFormat="1" ht="30.75" customHeight="1" x14ac:dyDescent="0.15">
      <c r="B3" s="486"/>
      <c r="C3" s="486"/>
      <c r="E3" s="493" t="s">
        <v>349</v>
      </c>
      <c r="F3" s="486"/>
      <c r="G3" s="486"/>
      <c r="H3" s="486"/>
    </row>
    <row r="4" spans="2:11" s="474" customFormat="1" ht="15" customHeight="1" x14ac:dyDescent="0.15">
      <c r="B4" s="486"/>
      <c r="C4" s="486"/>
      <c r="D4" s="486"/>
      <c r="E4" s="486"/>
      <c r="F4" s="486"/>
      <c r="G4" s="486"/>
      <c r="H4" s="486"/>
    </row>
    <row r="5" spans="2:11" s="474" customFormat="1" ht="30.75" customHeight="1" x14ac:dyDescent="0.15">
      <c r="B5" s="486" t="str">
        <f>"1. 매출년월: "&amp;LEFT(총괄표!A2,9)</f>
        <v xml:space="preserve">1. 매출년월: 2025년 7월 </v>
      </c>
      <c r="C5" s="486"/>
      <c r="D5" s="486"/>
      <c r="E5" s="486"/>
      <c r="F5" s="486"/>
      <c r="G5" s="486"/>
      <c r="H5" s="486"/>
    </row>
    <row r="6" spans="2:11" s="474" customFormat="1" ht="30.75" customHeight="1" x14ac:dyDescent="0.15">
      <c r="B6" s="486" t="s">
        <v>350</v>
      </c>
      <c r="C6" s="486"/>
      <c r="D6" s="486"/>
      <c r="E6" s="486"/>
      <c r="F6" s="486"/>
      <c r="G6" s="486"/>
      <c r="H6" s="486"/>
    </row>
    <row r="7" spans="2:11" s="474" customFormat="1" ht="30.75" customHeight="1" thickBot="1" x14ac:dyDescent="0.2">
      <c r="B7" s="1360" t="s">
        <v>199</v>
      </c>
      <c r="C7" s="1361"/>
      <c r="D7" s="487" t="s">
        <v>200</v>
      </c>
      <c r="E7" s="505" t="s">
        <v>201</v>
      </c>
      <c r="F7" s="500" t="s">
        <v>351</v>
      </c>
      <c r="G7" s="487" t="s">
        <v>352</v>
      </c>
      <c r="H7" s="487" t="s">
        <v>353</v>
      </c>
    </row>
    <row r="8" spans="2:11" s="474" customFormat="1" ht="30.75" customHeight="1" thickTop="1" x14ac:dyDescent="0.15">
      <c r="B8" s="488" t="s">
        <v>124</v>
      </c>
      <c r="C8" s="494" t="str">
        <f>RIGHT(B5,3)</f>
        <v xml:space="preserve">7월 </v>
      </c>
      <c r="D8" s="791">
        <f>데이터!C55</f>
        <v>2121870</v>
      </c>
      <c r="E8" s="524">
        <f>데이터!D55</f>
        <v>2098351</v>
      </c>
      <c r="F8" s="501">
        <f>E8/D8</f>
        <v>0.98891590908019811</v>
      </c>
      <c r="G8" s="496">
        <f>데이터!G55</f>
        <v>0.96570172256226161</v>
      </c>
      <c r="H8" s="495">
        <f>데이터!I55</f>
        <v>0.84400572605132129</v>
      </c>
    </row>
    <row r="9" spans="2:11" s="474" customFormat="1" ht="30.75" customHeight="1" thickBot="1" x14ac:dyDescent="0.2">
      <c r="B9" s="489" t="s">
        <v>354</v>
      </c>
      <c r="C9" s="489" t="s">
        <v>207</v>
      </c>
      <c r="D9" s="792">
        <f>데이터!C56</f>
        <v>32455615</v>
      </c>
      <c r="E9" s="790">
        <f>데이터!D56</f>
        <v>32679957</v>
      </c>
      <c r="F9" s="502">
        <f>E9/D9</f>
        <v>1.0069122708042968</v>
      </c>
      <c r="G9" s="490">
        <f>데이터!G56</f>
        <v>1.019533577728807</v>
      </c>
      <c r="H9" s="491"/>
    </row>
    <row r="10" spans="2:11" s="474" customFormat="1" ht="30.75" customHeight="1" thickTop="1" x14ac:dyDescent="0.15">
      <c r="B10" s="488" t="s">
        <v>208</v>
      </c>
      <c r="C10" s="494" t="str">
        <f>C8</f>
        <v xml:space="preserve">7월 </v>
      </c>
      <c r="D10" s="499">
        <f>데이터!C57</f>
        <v>47016023</v>
      </c>
      <c r="E10" s="506">
        <f>데이터!D57</f>
        <v>43613030</v>
      </c>
      <c r="F10" s="503">
        <f>E10/D10</f>
        <v>0.92762056884309418</v>
      </c>
      <c r="G10" s="495">
        <f>데이터!G57</f>
        <v>0.95105751652828341</v>
      </c>
      <c r="H10" s="495">
        <f>데이터!I57</f>
        <v>0.80467364641653594</v>
      </c>
    </row>
    <row r="11" spans="2:11" s="474" customFormat="1" ht="30.75" customHeight="1" x14ac:dyDescent="0.15">
      <c r="B11" s="492" t="s">
        <v>209</v>
      </c>
      <c r="C11" s="492" t="s">
        <v>207</v>
      </c>
      <c r="D11" s="497">
        <f>데이터!C58</f>
        <v>722247043.7650001</v>
      </c>
      <c r="E11" s="507">
        <f>데이터!D58</f>
        <v>717511924</v>
      </c>
      <c r="F11" s="504">
        <f>E11/D11</f>
        <v>0.99344390564713647</v>
      </c>
      <c r="G11" s="498">
        <f>데이터!G58</f>
        <v>1.0686669381493981</v>
      </c>
      <c r="H11" s="498"/>
    </row>
    <row r="12" spans="2:11" s="474" customFormat="1" ht="30.75" customHeight="1" x14ac:dyDescent="0.15">
      <c r="B12" s="486" t="s">
        <v>358</v>
      </c>
      <c r="C12" s="485"/>
      <c r="D12" s="485"/>
      <c r="E12" s="485"/>
      <c r="F12" s="485"/>
      <c r="G12" s="485"/>
      <c r="H12" s="485"/>
    </row>
    <row r="13" spans="2:11" s="474" customFormat="1" ht="17.25" customHeight="1" x14ac:dyDescent="0.15">
      <c r="B13" s="486"/>
      <c r="C13" s="485"/>
      <c r="D13" s="485"/>
      <c r="E13" s="485"/>
      <c r="F13" s="485"/>
      <c r="G13" s="485"/>
      <c r="H13" s="485"/>
    </row>
    <row r="14" spans="2:11" s="485" customFormat="1" ht="24.95" customHeight="1" x14ac:dyDescent="0.15">
      <c r="B14" s="486" t="s">
        <v>355</v>
      </c>
      <c r="C14" s="486"/>
      <c r="D14" s="486"/>
      <c r="E14" s="486"/>
      <c r="F14" s="486"/>
      <c r="G14" s="486"/>
      <c r="H14" s="486"/>
    </row>
    <row r="15" spans="2:11" s="485" customFormat="1" ht="24.95" customHeight="1" x14ac:dyDescent="0.15">
      <c r="B15" s="486" t="s">
        <v>356</v>
      </c>
      <c r="C15" s="486"/>
      <c r="D15" s="486"/>
      <c r="E15" s="486"/>
      <c r="F15" s="486"/>
      <c r="G15" s="486"/>
      <c r="H15" s="486"/>
    </row>
    <row r="16" spans="2:11" s="508" customFormat="1" ht="24.95" customHeight="1" x14ac:dyDescent="0.3">
      <c r="B16" s="486" t="s">
        <v>357</v>
      </c>
    </row>
    <row r="17" spans="2:2" ht="30.75" customHeight="1" x14ac:dyDescent="0.15">
      <c r="B17" s="486"/>
    </row>
    <row r="18" spans="2:2" ht="30.75" customHeight="1" x14ac:dyDescent="0.15"/>
  </sheetData>
  <mergeCells count="1">
    <mergeCell ref="B7:C7"/>
  </mergeCells>
  <phoneticPr fontId="3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zoomScale="80" zoomScaleNormal="80" workbookViewId="0">
      <selection activeCell="E23" sqref="E23"/>
    </sheetView>
  </sheetViews>
  <sheetFormatPr defaultRowHeight="13.5" x14ac:dyDescent="0.15"/>
  <cols>
    <col min="1" max="1" width="8.88671875" style="474"/>
    <col min="2" max="2" width="13.109375" style="474" bestFit="1" customWidth="1"/>
    <col min="3" max="3" width="16" style="478" bestFit="1" customWidth="1"/>
    <col min="4" max="4" width="18.77734375" style="478" bestFit="1" customWidth="1"/>
    <col min="5" max="5" width="21.5546875" style="474" bestFit="1" customWidth="1"/>
    <col min="6" max="7" width="19.88671875" style="474" bestFit="1" customWidth="1"/>
    <col min="8" max="16384" width="8.88671875" style="474"/>
  </cols>
  <sheetData>
    <row r="1" spans="1:9" ht="16.5" x14ac:dyDescent="0.15">
      <c r="A1" s="773" t="s">
        <v>329</v>
      </c>
      <c r="B1" s="773" t="s">
        <v>272</v>
      </c>
      <c r="C1" s="774" t="s">
        <v>205</v>
      </c>
      <c r="D1" s="774" t="s">
        <v>463</v>
      </c>
      <c r="E1" s="773" t="s">
        <v>330</v>
      </c>
      <c r="F1" s="773" t="s">
        <v>331</v>
      </c>
      <c r="G1" s="773" t="s">
        <v>332</v>
      </c>
    </row>
    <row r="2" spans="1:9" ht="16.5" x14ac:dyDescent="0.15">
      <c r="A2" s="1044">
        <v>45839</v>
      </c>
      <c r="B2" s="1043" t="s">
        <v>178</v>
      </c>
      <c r="C2" s="1046">
        <v>1890.6736000000001</v>
      </c>
      <c r="D2" s="1046">
        <v>80196.782300000006</v>
      </c>
      <c r="E2" s="1045">
        <v>1884929</v>
      </c>
      <c r="F2" s="1045">
        <v>320443</v>
      </c>
      <c r="G2" s="1045">
        <v>1564486</v>
      </c>
      <c r="I2" s="954" t="s">
        <v>469</v>
      </c>
    </row>
    <row r="3" spans="1:9" ht="16.5" x14ac:dyDescent="0.15">
      <c r="A3" s="1044">
        <v>45839</v>
      </c>
      <c r="B3" s="1043" t="s">
        <v>40</v>
      </c>
      <c r="C3" s="1046">
        <v>73363.247399999993</v>
      </c>
      <c r="D3" s="1046">
        <v>3110980.662</v>
      </c>
      <c r="E3" s="1045">
        <v>74218112</v>
      </c>
      <c r="F3" s="1045">
        <v>14069958</v>
      </c>
      <c r="G3" s="1045">
        <v>60148154</v>
      </c>
      <c r="I3" s="474" t="s">
        <v>457</v>
      </c>
    </row>
    <row r="4" spans="1:9" ht="16.5" x14ac:dyDescent="0.15">
      <c r="A4" s="1044">
        <v>45839</v>
      </c>
      <c r="B4" s="1043" t="s">
        <v>174</v>
      </c>
      <c r="C4" s="1046">
        <v>51573.421799999996</v>
      </c>
      <c r="D4" s="1046">
        <v>2186848.4882</v>
      </c>
      <c r="E4" s="1045">
        <v>49445020</v>
      </c>
      <c r="F4" s="1045">
        <v>7229173</v>
      </c>
      <c r="G4" s="1045">
        <v>42215847</v>
      </c>
    </row>
    <row r="5" spans="1:9" ht="16.5" x14ac:dyDescent="0.15">
      <c r="A5" s="1044">
        <v>45839</v>
      </c>
      <c r="B5" s="1043" t="s">
        <v>173</v>
      </c>
      <c r="C5" s="1046">
        <v>22211.0782</v>
      </c>
      <c r="D5" s="1046">
        <v>941604.22710000002</v>
      </c>
      <c r="E5" s="1045">
        <v>21290020</v>
      </c>
      <c r="F5" s="1045">
        <v>3263352</v>
      </c>
      <c r="G5" s="1045">
        <v>18026668</v>
      </c>
    </row>
    <row r="6" spans="1:9" ht="16.5" x14ac:dyDescent="0.15">
      <c r="A6" s="1044">
        <v>45839</v>
      </c>
      <c r="B6" s="1043" t="s">
        <v>171</v>
      </c>
      <c r="C6" s="1046">
        <v>5443.0056000000004</v>
      </c>
      <c r="D6" s="1046">
        <v>230872.0196</v>
      </c>
      <c r="E6" s="1045">
        <v>5426312</v>
      </c>
      <c r="F6" s="1045">
        <v>922088</v>
      </c>
      <c r="G6" s="1045">
        <v>4504224</v>
      </c>
    </row>
    <row r="7" spans="1:9" ht="16.5" x14ac:dyDescent="0.15">
      <c r="A7" s="1044">
        <v>45839</v>
      </c>
      <c r="B7" s="1043" t="s">
        <v>37</v>
      </c>
      <c r="C7" s="1046">
        <v>411.09120000000001</v>
      </c>
      <c r="D7" s="1046">
        <v>17466.877799999998</v>
      </c>
      <c r="E7" s="1045">
        <v>410538</v>
      </c>
      <c r="F7" s="1045">
        <v>66664</v>
      </c>
      <c r="G7" s="1045">
        <v>343874</v>
      </c>
    </row>
    <row r="8" spans="1:9" ht="16.5" x14ac:dyDescent="0.15">
      <c r="A8" s="1044">
        <v>45870</v>
      </c>
      <c r="B8" s="1043" t="s">
        <v>40</v>
      </c>
      <c r="C8" s="1046">
        <v>150.2064</v>
      </c>
      <c r="D8" s="1046">
        <v>6363.8647000000001</v>
      </c>
      <c r="E8" s="1045">
        <v>147163</v>
      </c>
      <c r="F8" s="1045">
        <v>28780</v>
      </c>
      <c r="G8" s="1045">
        <v>118383</v>
      </c>
    </row>
    <row r="9" spans="1:9" ht="16.5" x14ac:dyDescent="0.15">
      <c r="A9" s="1044">
        <v>45870</v>
      </c>
      <c r="B9" s="1043" t="s">
        <v>173</v>
      </c>
      <c r="C9" s="1046">
        <v>20.752199999999998</v>
      </c>
      <c r="D9" s="1046">
        <v>881.44970000000001</v>
      </c>
      <c r="E9" s="1045">
        <v>19929</v>
      </c>
      <c r="F9" s="1045">
        <v>3532</v>
      </c>
      <c r="G9" s="1045">
        <v>16397</v>
      </c>
    </row>
    <row r="10" spans="1:9" ht="16.5" x14ac:dyDescent="0.15">
      <c r="A10" s="1043"/>
      <c r="B10" s="1043" t="s">
        <v>336</v>
      </c>
      <c r="C10" s="1046">
        <v>155063.47640000001</v>
      </c>
      <c r="D10" s="1046">
        <v>6575214.3713999996</v>
      </c>
      <c r="E10" s="1045">
        <v>152842023</v>
      </c>
      <c r="F10" s="1045">
        <v>25903990</v>
      </c>
      <c r="G10" s="1045">
        <v>126938033</v>
      </c>
    </row>
  </sheetData>
  <phoneticPr fontId="36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C30" sqref="C30"/>
    </sheetView>
  </sheetViews>
  <sheetFormatPr defaultRowHeight="13.5" x14ac:dyDescent="0.15"/>
  <sheetData/>
  <phoneticPr fontId="3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user</cp:lastModifiedBy>
  <cp:lastPrinted>2025-08-12T00:24:40Z</cp:lastPrinted>
  <dcterms:created xsi:type="dcterms:W3CDTF">1997-01-06T01:40:49Z</dcterms:created>
  <dcterms:modified xsi:type="dcterms:W3CDTF">2025-08-12T07:43:16Z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